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5525" windowHeight="6645" tabRatio="812" activeTab="1"/>
  </bookViews>
  <sheets>
    <sheet name="Sheet1" sheetId="1" r:id="rId1"/>
    <sheet name="working" sheetId="2" r:id="rId2"/>
    <sheet name="Office of the President" sheetId="3" r:id="rId3"/>
    <sheet name="EVP" sheetId="4" r:id="rId4"/>
    <sheet name="SVP-SS" sheetId="5" r:id="rId5"/>
    <sheet name="Administration-Facilities-EHS" sheetId="11" r:id="rId6"/>
    <sheet name="Procurement and Contracts" sheetId="13" r:id="rId7"/>
    <sheet name="Human Resources" sheetId="14" r:id="rId8"/>
    <sheet name="IT" sheetId="15" r:id="rId9"/>
    <sheet name="Contingency " sheetId="6" r:id="rId10"/>
    <sheet name="Finance &amp; Investment Office" sheetId="12" r:id="rId11"/>
    <sheet name="Provost" sheetId="7" r:id="rId12"/>
    <sheet name="College of Medicine" sheetId="17" r:id="rId13"/>
    <sheet name="College of Engineering" sheetId="9" r:id="rId14"/>
    <sheet name="College of Arts and Science " sheetId="10" r:id="rId15"/>
    <sheet name="Academic &amp; Student Services" sheetId="8" r:id="rId16"/>
    <sheet name="Research &amp; Development Office" sheetId="16" r:id="rId17"/>
  </sheets>
  <definedNames>
    <definedName name="_xlnm._FilterDatabase" localSheetId="0" hidden="1">Sheet1!$A$3:$X$3</definedName>
    <definedName name="_xlnm._FilterDatabase" localSheetId="1" hidden="1">working!$A$3:$W$467</definedName>
  </definedNames>
  <calcPr calcId="162913"/>
</workbook>
</file>

<file path=xl/calcChain.xml><?xml version="1.0" encoding="utf-8"?>
<calcChain xmlns="http://schemas.openxmlformats.org/spreadsheetml/2006/main">
  <c r="S214" i="2" l="1"/>
  <c r="Q223" i="2" l="1"/>
  <c r="Q222" i="2"/>
  <c r="R220" i="2"/>
  <c r="T210" i="2"/>
  <c r="S210" i="2"/>
  <c r="R210" i="2"/>
  <c r="Q210" i="2"/>
  <c r="P210" i="2"/>
  <c r="O210" i="2"/>
  <c r="N210" i="2"/>
  <c r="M210" i="2"/>
  <c r="L210" i="2"/>
  <c r="N209" i="2"/>
  <c r="T206" i="2"/>
  <c r="S206" i="2"/>
  <c r="R206" i="2"/>
  <c r="Q206" i="2"/>
  <c r="P206" i="2"/>
  <c r="O206" i="2"/>
  <c r="N206" i="2"/>
  <c r="M206" i="2"/>
  <c r="L206" i="2"/>
  <c r="L278" i="2" l="1"/>
  <c r="L277" i="2"/>
  <c r="P276" i="2"/>
  <c r="T275" i="2"/>
  <c r="M275" i="2"/>
  <c r="K274" i="2"/>
  <c r="V274" i="2" s="1"/>
  <c r="V254" i="2" l="1"/>
  <c r="V255" i="2"/>
  <c r="M306" i="2" l="1"/>
  <c r="N306" i="2" s="1"/>
  <c r="O306" i="2" s="1"/>
  <c r="P306" i="2" s="1"/>
  <c r="Q306" i="2" s="1"/>
  <c r="R306" i="2" s="1"/>
  <c r="S306" i="2" s="1"/>
  <c r="T306" i="2" s="1"/>
  <c r="M305" i="2"/>
  <c r="N305" i="2" s="1"/>
  <c r="O305" i="2" s="1"/>
  <c r="P305" i="2" s="1"/>
  <c r="Q305" i="2" s="1"/>
  <c r="R305" i="2" s="1"/>
  <c r="S305" i="2" s="1"/>
  <c r="T305" i="2" s="1"/>
  <c r="N301" i="2"/>
  <c r="V301" i="2" s="1"/>
  <c r="O300" i="2"/>
  <c r="M300" i="2"/>
  <c r="L300" i="2"/>
  <c r="V300" i="2" s="1"/>
  <c r="L299" i="2"/>
  <c r="M299" i="2" s="1"/>
  <c r="N299" i="2" s="1"/>
  <c r="O299" i="2" s="1"/>
  <c r="P299" i="2" s="1"/>
  <c r="Q299" i="2" s="1"/>
  <c r="R299" i="2" s="1"/>
  <c r="S299" i="2" s="1"/>
  <c r="T299" i="2" s="1"/>
  <c r="V299" i="2" l="1"/>
  <c r="Q59" i="2" l="1"/>
  <c r="P59" i="2"/>
  <c r="T381" i="2"/>
  <c r="L379" i="2"/>
  <c r="S378" i="2"/>
  <c r="R378" i="2"/>
  <c r="M378" i="2"/>
  <c r="L378" i="2"/>
  <c r="M377" i="2"/>
  <c r="V349" i="2"/>
  <c r="V348" i="2"/>
  <c r="T374" i="2"/>
  <c r="S374" i="2"/>
  <c r="R374" i="2"/>
  <c r="Q374" i="2"/>
  <c r="P374" i="2"/>
  <c r="O374" i="2"/>
  <c r="N374" i="2"/>
  <c r="M374" i="2"/>
  <c r="L374" i="2"/>
  <c r="V374" i="2" s="1"/>
  <c r="L330" i="2" l="1"/>
  <c r="N345" i="2" l="1"/>
  <c r="V5" i="2" l="1"/>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6" i="2"/>
  <c r="V257" i="2"/>
  <c r="V258" i="2"/>
  <c r="V259" i="2"/>
  <c r="V260" i="2"/>
  <c r="V261" i="2"/>
  <c r="V262" i="2"/>
  <c r="V263" i="2"/>
  <c r="V264" i="2"/>
  <c r="V265" i="2"/>
  <c r="V266" i="2"/>
  <c r="V267" i="2"/>
  <c r="V268" i="2"/>
  <c r="V269" i="2"/>
  <c r="V270" i="2"/>
  <c r="V271" i="2"/>
  <c r="V272" i="2"/>
  <c r="V273" i="2"/>
  <c r="V275" i="2"/>
  <c r="V276" i="2"/>
  <c r="V277" i="2"/>
  <c r="V278" i="2"/>
  <c r="V279" i="2"/>
  <c r="V280" i="2"/>
  <c r="V281" i="2"/>
  <c r="V282" i="2"/>
  <c r="V283" i="2"/>
  <c r="V284" i="2"/>
  <c r="V285" i="2"/>
  <c r="V286" i="2"/>
  <c r="V287" i="2"/>
  <c r="V288" i="2"/>
  <c r="V289" i="2"/>
  <c r="V290" i="2"/>
  <c r="V291" i="2"/>
  <c r="V292" i="2"/>
  <c r="V293" i="2"/>
  <c r="V294" i="2"/>
  <c r="V295" i="2"/>
  <c r="V296" i="2"/>
  <c r="V297" i="2"/>
  <c r="V298"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50" i="2"/>
  <c r="V351" i="2"/>
  <c r="V352" i="2"/>
  <c r="V353" i="2"/>
  <c r="V354" i="2"/>
  <c r="V355" i="2"/>
  <c r="V356" i="2"/>
  <c r="V357" i="2"/>
  <c r="V358" i="2"/>
  <c r="V359" i="2"/>
  <c r="V360" i="2"/>
  <c r="V361" i="2"/>
  <c r="V362" i="2"/>
  <c r="V363" i="2"/>
  <c r="V364" i="2"/>
  <c r="V365" i="2"/>
  <c r="V366" i="2"/>
  <c r="V367" i="2"/>
  <c r="V368" i="2"/>
  <c r="V369" i="2"/>
  <c r="V370" i="2"/>
  <c r="V371" i="2"/>
  <c r="V372" i="2"/>
  <c r="V373"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 i="2"/>
  <c r="G465" i="2" l="1"/>
  <c r="G467" i="2" s="1"/>
  <c r="V4" i="8" l="1"/>
  <c r="V4" i="15"/>
  <c r="V5" i="15"/>
  <c r="V4" i="12"/>
  <c r="V4" i="11"/>
  <c r="V5" i="5" l="1"/>
  <c r="V6" i="5"/>
  <c r="V7" i="5"/>
  <c r="V8" i="5"/>
  <c r="V9" i="5"/>
  <c r="V10" i="5"/>
  <c r="V4" i="5"/>
  <c r="V5" i="4"/>
  <c r="V6" i="4"/>
  <c r="V7" i="4"/>
  <c r="V8" i="4"/>
  <c r="V9" i="4"/>
  <c r="V10" i="4"/>
  <c r="V11" i="4"/>
  <c r="V12" i="4"/>
  <c r="V13" i="4"/>
  <c r="V14" i="4"/>
  <c r="V15" i="4"/>
  <c r="V16" i="4"/>
  <c r="V17" i="4"/>
  <c r="V4" i="4"/>
  <c r="V19" i="3"/>
  <c r="V5" i="3"/>
  <c r="V6" i="3"/>
  <c r="V7" i="3"/>
  <c r="V8" i="3"/>
  <c r="V9" i="3"/>
  <c r="V10" i="3"/>
  <c r="V11" i="3"/>
  <c r="V12" i="3"/>
  <c r="V13" i="3"/>
  <c r="V14" i="3"/>
  <c r="V15" i="3"/>
  <c r="V16" i="3"/>
  <c r="V17" i="3"/>
  <c r="V18" i="3"/>
  <c r="V4" i="3"/>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4" i="16"/>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5" i="8"/>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4" i="10"/>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4" i="9"/>
  <c r="V5" i="17"/>
  <c r="V6" i="17"/>
  <c r="V7" i="17"/>
  <c r="V8" i="17"/>
  <c r="V9" i="17"/>
  <c r="V10" i="17"/>
  <c r="V11" i="17"/>
  <c r="V12" i="17"/>
  <c r="V13" i="17"/>
  <c r="V14" i="17"/>
  <c r="V15" i="17"/>
  <c r="V16" i="17"/>
  <c r="V17" i="17"/>
  <c r="V18" i="17"/>
  <c r="V19" i="17"/>
  <c r="V20" i="17"/>
  <c r="V21" i="17"/>
  <c r="V22" i="17"/>
  <c r="V23" i="17"/>
  <c r="V24" i="17"/>
  <c r="V25" i="17"/>
  <c r="V26" i="17"/>
  <c r="V27" i="17"/>
  <c r="V28" i="17"/>
  <c r="V29" i="17"/>
  <c r="V30" i="17"/>
  <c r="V31" i="17"/>
  <c r="V32" i="17"/>
  <c r="V33" i="17"/>
  <c r="V4" i="17"/>
  <c r="V5" i="7"/>
  <c r="V6" i="7"/>
  <c r="V7" i="7"/>
  <c r="V8" i="7"/>
  <c r="V9" i="7"/>
  <c r="V10" i="7"/>
  <c r="V11" i="7"/>
  <c r="V12" i="7"/>
  <c r="V13" i="7"/>
  <c r="V14" i="7"/>
  <c r="V15" i="7"/>
  <c r="V16" i="7"/>
  <c r="V17" i="7"/>
  <c r="V18" i="7"/>
  <c r="V4" i="7"/>
  <c r="V6" i="12"/>
  <c r="V7" i="12"/>
  <c r="V8" i="12"/>
  <c r="V9" i="12"/>
  <c r="V10" i="12"/>
  <c r="V11" i="12"/>
  <c r="V12" i="12"/>
  <c r="V13" i="12"/>
  <c r="V14" i="12"/>
  <c r="V15" i="12"/>
  <c r="V5" i="12"/>
  <c r="V5" i="6"/>
  <c r="V6" i="6"/>
  <c r="V7" i="6"/>
  <c r="V8" i="6"/>
  <c r="V4" i="6"/>
  <c r="V7" i="15"/>
  <c r="V8" i="15"/>
  <c r="V9" i="15"/>
  <c r="V10" i="15"/>
  <c r="V11" i="15"/>
  <c r="V12" i="15"/>
  <c r="V13" i="15"/>
  <c r="V14" i="15"/>
  <c r="V15" i="15"/>
  <c r="V16" i="15"/>
  <c r="V17" i="15"/>
  <c r="V18" i="15"/>
  <c r="V19" i="15"/>
  <c r="V20" i="15"/>
  <c r="V21" i="15"/>
  <c r="V6" i="15"/>
  <c r="V5" i="14"/>
  <c r="V6" i="14"/>
  <c r="V7" i="14"/>
  <c r="V8" i="14"/>
  <c r="V9" i="14"/>
  <c r="V4" i="14"/>
  <c r="V5" i="13"/>
  <c r="V6" i="13"/>
  <c r="V7" i="13"/>
  <c r="V8" i="13"/>
  <c r="V9" i="13"/>
  <c r="V10" i="13"/>
  <c r="V11" i="13"/>
  <c r="V12" i="13"/>
  <c r="V13" i="13"/>
  <c r="V14" i="13"/>
  <c r="V15" i="13"/>
  <c r="V4" i="13"/>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 i="11"/>
</calcChain>
</file>

<file path=xl/comments1.xml><?xml version="1.0" encoding="utf-8"?>
<comments xmlns="http://schemas.openxmlformats.org/spreadsheetml/2006/main">
  <authors>
    <author>Author</author>
  </authors>
  <commentList>
    <comment ref="L59" authorId="0" shapeId="0">
      <text>
        <r>
          <rPr>
            <sz val="10"/>
            <color indexed="81"/>
            <rFont val="Tahoma"/>
            <family val="2"/>
          </rPr>
          <t>Travel allowance.</t>
        </r>
      </text>
    </comment>
    <comment ref="M59" authorId="0" shapeId="0">
      <text>
        <r>
          <rPr>
            <sz val="10"/>
            <color indexed="81"/>
            <rFont val="Tahoma"/>
            <family val="2"/>
          </rPr>
          <t>Demobilisation for S23/SM23 graduates (57 students).</t>
        </r>
      </text>
    </comment>
    <comment ref="N59" authorId="0" shapeId="0">
      <text>
        <r>
          <rPr>
            <sz val="10"/>
            <color indexed="81"/>
            <rFont val="Tahoma"/>
            <family val="2"/>
          </rPr>
          <t>Visa renewal</t>
        </r>
      </text>
    </comment>
    <comment ref="O59" authorId="0" shapeId="0">
      <text>
        <r>
          <rPr>
            <sz val="10"/>
            <color indexed="81"/>
            <rFont val="Tahoma"/>
            <family val="2"/>
          </rPr>
          <t>Visa renewal</t>
        </r>
      </text>
    </comment>
    <comment ref="P59" authorId="0" shapeId="0">
      <text>
        <r>
          <rPr>
            <sz val="10"/>
            <color indexed="81"/>
            <rFont val="Tahoma"/>
            <family val="2"/>
          </rPr>
          <t>Visa renewal +  F23 student mobilisation + F23 new visa.</t>
        </r>
      </text>
    </comment>
    <comment ref="Q59" authorId="0" shapeId="0">
      <text>
        <r>
          <rPr>
            <sz val="10"/>
            <color indexed="81"/>
            <rFont val="Tahoma"/>
            <family val="2"/>
          </rPr>
          <t>Travel allowance for CCMDRTS + F23 student mobilisation + F23 new visa.</t>
        </r>
      </text>
    </comment>
    <comment ref="R59" authorId="0" shapeId="0">
      <text>
        <r>
          <rPr>
            <sz val="10"/>
            <color indexed="81"/>
            <rFont val="Tahoma"/>
            <family val="2"/>
          </rPr>
          <t>Visa renewal</t>
        </r>
      </text>
    </comment>
    <comment ref="S59" authorId="0" shapeId="0">
      <text>
        <r>
          <rPr>
            <sz val="10"/>
            <color indexed="81"/>
            <rFont val="Tahoma"/>
            <family val="2"/>
          </rPr>
          <t>Travel allowance.</t>
        </r>
      </text>
    </comment>
    <comment ref="T59" authorId="0" shapeId="0">
      <text>
        <r>
          <rPr>
            <sz val="10"/>
            <color indexed="81"/>
            <rFont val="Tahoma"/>
            <family val="2"/>
          </rPr>
          <t>Demobilisation for F23 graduates (50 students)</t>
        </r>
      </text>
    </comment>
    <comment ref="P276" authorId="0" shapeId="0">
      <text>
        <r>
          <rPr>
            <b/>
            <sz val="9"/>
            <color indexed="81"/>
            <rFont val="Tahoma"/>
            <charset val="1"/>
          </rPr>
          <t>Author:</t>
        </r>
        <r>
          <rPr>
            <sz val="9"/>
            <color indexed="81"/>
            <rFont val="Tahoma"/>
            <charset val="1"/>
          </rPr>
          <t xml:space="preserve">
375k for impairment &amp; 95k for COSO remediation (50%)</t>
        </r>
      </text>
    </comment>
    <comment ref="V349" authorId="0" shapeId="0">
      <text>
        <r>
          <rPr>
            <b/>
            <sz val="9"/>
            <color indexed="81"/>
            <rFont val="Tahoma"/>
            <family val="2"/>
          </rPr>
          <t xml:space="preserve">Author:
</t>
        </r>
      </text>
    </comment>
  </commentList>
</comments>
</file>

<file path=xl/sharedStrings.xml><?xml version="1.0" encoding="utf-8"?>
<sst xmlns="http://schemas.openxmlformats.org/spreadsheetml/2006/main" count="6672" uniqueCount="924">
  <si>
    <t/>
  </si>
  <si>
    <t>Chapter Name</t>
  </si>
  <si>
    <t>Cost Center Code</t>
  </si>
  <si>
    <t>Cost Center Description</t>
  </si>
  <si>
    <t>Account Code</t>
  </si>
  <si>
    <t>Account Description</t>
  </si>
  <si>
    <t>GL Account Combination</t>
  </si>
  <si>
    <t>Annual Budget</t>
  </si>
  <si>
    <t>Revised Budget</t>
  </si>
  <si>
    <t>Actual Amount</t>
  </si>
  <si>
    <t>PR</t>
  </si>
  <si>
    <t>PO</t>
  </si>
  <si>
    <t>Fund Available</t>
  </si>
  <si>
    <t>Utilization Justification</t>
  </si>
  <si>
    <t>Budget Surplus Amount</t>
  </si>
  <si>
    <t>Surplus Justification</t>
  </si>
  <si>
    <t>2 Other Operating Costs</t>
  </si>
  <si>
    <t>KUST - Office of the President</t>
  </si>
  <si>
    <t>Academic Advisory Service</t>
  </si>
  <si>
    <t>847.8470110.1.420550.000000.847001.200179</t>
  </si>
  <si>
    <t>Conferences, seminars and exhibitions and other events: - Local Events</t>
  </si>
  <si>
    <t>847.8470110.1.425510.000000.847001.200179</t>
  </si>
  <si>
    <t>Conferences, seminars and exhibitions and other events: - Overseas event</t>
  </si>
  <si>
    <t>847.8470110.1.425550.000000.847001.200179</t>
  </si>
  <si>
    <t>Entertainment and hospitality</t>
  </si>
  <si>
    <t>847.8470110.1.425900.000000.847001.200179</t>
  </si>
  <si>
    <t>Business Travel - Combined expenses</t>
  </si>
  <si>
    <t>847.8470110.1.428090.000000.847001.200179</t>
  </si>
  <si>
    <t>KUST - Audit</t>
  </si>
  <si>
    <t>Internal Audit service</t>
  </si>
  <si>
    <t>847.8470120.1.420120.000000.847001.200179</t>
  </si>
  <si>
    <t>847.8470120.1.425900.000000.847001.200179</t>
  </si>
  <si>
    <t>847.8470120.1.428090.000000.847001.200179</t>
  </si>
  <si>
    <t>KUST - Compliance and Risk Management</t>
  </si>
  <si>
    <t>Management consultancy</t>
  </si>
  <si>
    <t>847.8470121.1.421000.000000.847001.200179</t>
  </si>
  <si>
    <t>Standards Certification Services (e.g. ISO)</t>
  </si>
  <si>
    <t>847.8470121.1.421700.000000.847001.200179</t>
  </si>
  <si>
    <t>847.8470121.1.425900.000000.847001.200179</t>
  </si>
  <si>
    <t>Computer software licenses-Software License Renewal</t>
  </si>
  <si>
    <t>847.8470121.1.426610.000000.847001.200179</t>
  </si>
  <si>
    <t>847.8470121.1.428090.000000.847001.200179</t>
  </si>
  <si>
    <t>KUST - Institutional Research &amp; Planning</t>
  </si>
  <si>
    <t>847.8470130.1.421000.000000.847001.200179</t>
  </si>
  <si>
    <t>847.8470130.1.426610.000000.847001.200179</t>
  </si>
  <si>
    <t>Subscriptions and membership fees: Trade organisations</t>
  </si>
  <si>
    <t>847.8470130.1.427710.000000.847001.200179</t>
  </si>
  <si>
    <t>847.8470130.1.428090.000000.847001.200179</t>
  </si>
  <si>
    <t>KUST - Communication</t>
  </si>
  <si>
    <t>Advertising Services (General)</t>
  </si>
  <si>
    <t>847.8470140.1.425100.000000.847001.200179</t>
  </si>
  <si>
    <t>847.8470140.1.425510.000000.847001.200179</t>
  </si>
  <si>
    <t>847.8470140.1.425550.000000.847001.200179</t>
  </si>
  <si>
    <t>Student Project Expenses</t>
  </si>
  <si>
    <t>847.8470140.1.425763.000000.847001.200179</t>
  </si>
  <si>
    <t>Public relations</t>
  </si>
  <si>
    <t>847.8470140.1.427100.000000.847001.200179</t>
  </si>
  <si>
    <t>Printing and publishing</t>
  </si>
  <si>
    <t>847.8470140.1.427200.000000.847001.200179</t>
  </si>
  <si>
    <t>Events - Awards, prizes &amp; gifts</t>
  </si>
  <si>
    <t>847.8470140.1.428640.000000.847001.200179</t>
  </si>
  <si>
    <t>Photography - Consumable materials /Tools</t>
  </si>
  <si>
    <t>847.8470140.1.435519.000000.847001.200179</t>
  </si>
  <si>
    <t>KUST - General Counsel</t>
  </si>
  <si>
    <t>Legal services</t>
  </si>
  <si>
    <t>847.8470150.1.420900.000000.847001.200179</t>
  </si>
  <si>
    <t>847.8470150.1.426610.000000.847001.200179</t>
  </si>
  <si>
    <t>KUST - SVP/ Support Services Office</t>
  </si>
  <si>
    <t>847.8470160.1.420900.000000.847001.200179</t>
  </si>
  <si>
    <t>847.8470160.1.425550.000000.847001.200179</t>
  </si>
  <si>
    <t>847.8470160.1.425900.000000.847001.200179</t>
  </si>
  <si>
    <t>847.8470160.1.426610.000000.847001.200179</t>
  </si>
  <si>
    <t>847.8470160.1.428090.000000.847001.200179</t>
  </si>
  <si>
    <t>847.8470160.1.428640.000000.847001.200179</t>
  </si>
  <si>
    <t>Scientific</t>
  </si>
  <si>
    <t>847.8470160.1.435523.000000.847001.200179</t>
  </si>
  <si>
    <t>KUST - Khalifa University of Science &amp; Technology - General Administration</t>
  </si>
  <si>
    <t>IT Systems &amp; Support expenses-Application/Systems Operation</t>
  </si>
  <si>
    <t>847.8470210.1.420811.000000.847001.200179</t>
  </si>
  <si>
    <t>847.8470210.1.420900.000000.847001.200179</t>
  </si>
  <si>
    <t>Student Accommodation</t>
  </si>
  <si>
    <t>847.8470210.1.425747.000000.847001.200179</t>
  </si>
  <si>
    <t>Postgraduate Student Salaries</t>
  </si>
  <si>
    <t>847.8470210.1.425749.000000.847001.200179</t>
  </si>
  <si>
    <t>847.8470210.1.435523.000000.847001.200179</t>
  </si>
  <si>
    <t>KUST - Office of the Provost</t>
  </si>
  <si>
    <t>847.8470220.1.420550.000000.847001.200179</t>
  </si>
  <si>
    <t>Academic Collaborative Partnership Services</t>
  </si>
  <si>
    <t>847.8470220.1.420570.000000.847001.200179</t>
  </si>
  <si>
    <t>847.8470220.1.421700.000000.847001.200179</t>
  </si>
  <si>
    <t>847.8470220.1.425510.000000.847001.200179</t>
  </si>
  <si>
    <t>847.8470220.1.425550.000000.847001.200179</t>
  </si>
  <si>
    <t>847.8470220.1.425900.000000.847001.200179</t>
  </si>
  <si>
    <t>847.8470220.1.428090.000000.847001.200179</t>
  </si>
  <si>
    <t>847.8470220.1.428640.000000.847001.200179</t>
  </si>
  <si>
    <t>847.8470220.1.428640.000000.847020.050589</t>
  </si>
  <si>
    <t>Maintenance: Computers and peripherals-End user and Infrastructure components maintenance and support</t>
  </si>
  <si>
    <t>847.8470220.1.432205.000000.847001.200179</t>
  </si>
  <si>
    <t>Academic Publications</t>
  </si>
  <si>
    <t>847.8470220.1.435350.000000.847020.050589</t>
  </si>
  <si>
    <t>Laboratory - Scientific</t>
  </si>
  <si>
    <t>847.8470220.1.435508.000000.847001.200179</t>
  </si>
  <si>
    <t>KUST - Graduate Studies</t>
  </si>
  <si>
    <t>847.8470230.1.420550.000000.847001.200179</t>
  </si>
  <si>
    <t>847.8470230.1.425510.000000.847001.200179</t>
  </si>
  <si>
    <t>847.8470230.1.425550.000000.847001.200179</t>
  </si>
  <si>
    <t>Student medical insurance</t>
  </si>
  <si>
    <t>847.8470230.1.425744.000000.847001.200179</t>
  </si>
  <si>
    <t>Student relocation &amp; travel exps</t>
  </si>
  <si>
    <t>847.8470230.1.425745.000000.847001.200179</t>
  </si>
  <si>
    <t>847.8470230.1.425749.000000.847001.200179</t>
  </si>
  <si>
    <t>Student Internship</t>
  </si>
  <si>
    <t>847.8470230.1.425762.000000.847001.200179</t>
  </si>
  <si>
    <t>847.8470230.1.425900.000000.847001.200179</t>
  </si>
  <si>
    <t>KUST - Dean Of Engineering</t>
  </si>
  <si>
    <t>847.8470305.1.425510.000000.847001.200179</t>
  </si>
  <si>
    <t>Student activities &amp; field trip expenses</t>
  </si>
  <si>
    <t>847.8470305.1.425760.000000.847001.200179</t>
  </si>
  <si>
    <t>847.8470305.1.425763.000000.847001.200179</t>
  </si>
  <si>
    <t>Academic Missions - Combined expenses</t>
  </si>
  <si>
    <t>847.8470305.1.425770.000000.847001.200179</t>
  </si>
  <si>
    <t>847.8470305.1.425900.000000.847001.200179</t>
  </si>
  <si>
    <t>847.8470305.1.426610.000000.847001.200179</t>
  </si>
  <si>
    <t>847.8470305.1.428090.000000.847001.200179</t>
  </si>
  <si>
    <t>Laboratory equipment</t>
  </si>
  <si>
    <t>847.8470305.1.432209.000000.847001.200179</t>
  </si>
  <si>
    <t>847.8470305.1.435350.000000.847001.200179</t>
  </si>
  <si>
    <t>847.8470305.1.435508.000000.847001.200179</t>
  </si>
  <si>
    <t>KUST - Aerospace Engineering</t>
  </si>
  <si>
    <t>847.8470310.1.420550.000000.847001.200179</t>
  </si>
  <si>
    <t>847.8470310.1.425510.000000.847001.200179</t>
  </si>
  <si>
    <t>847.8470310.1.425760.000000.847001.200179</t>
  </si>
  <si>
    <t>847.8470310.1.425763.000000.847001.200179</t>
  </si>
  <si>
    <t>847.8470310.1.425770.000000.847001.200179</t>
  </si>
  <si>
    <t>847.8470310.1.425900.000000.847001.200179</t>
  </si>
  <si>
    <t>847.8470310.1.426610.000000.847001.200179</t>
  </si>
  <si>
    <t>847.8470310.1.435350.000000.847001.200179</t>
  </si>
  <si>
    <t>847.8470310.1.435508.000000.847001.200179</t>
  </si>
  <si>
    <t>KUST - Biomedical Engineering</t>
  </si>
  <si>
    <t>847.8470315.1.420550.000000.847001.200179</t>
  </si>
  <si>
    <t>847.8470315.1.425510.000000.847001.200179</t>
  </si>
  <si>
    <t>847.8470315.1.425763.000000.847001.200179</t>
  </si>
  <si>
    <t>847.8470315.1.425770.000000.847001.200179</t>
  </si>
  <si>
    <t>847.8470315.1.425900.000000.847001.200179</t>
  </si>
  <si>
    <t>847.8470315.1.426610.000000.847001.200179</t>
  </si>
  <si>
    <t>847.8470315.1.428090.000000.847001.200179</t>
  </si>
  <si>
    <t>847.8470315.1.432209.000000.847001.200179</t>
  </si>
  <si>
    <t>847.8470315.1.435350.000000.847001.200179</t>
  </si>
  <si>
    <t>847.8470315.1.435508.000000.847001.200179</t>
  </si>
  <si>
    <t>KUST - Chemical Engineering</t>
  </si>
  <si>
    <t>847.8470320.1.425510.000000.847001.200179</t>
  </si>
  <si>
    <t>847.8470320.1.425760.000000.847001.200179</t>
  </si>
  <si>
    <t>847.8470320.1.425763.000000.847001.200179</t>
  </si>
  <si>
    <t>847.8470320.1.425770.000000.847001.200179</t>
  </si>
  <si>
    <t>847.8470320.1.425900.000000.847001.200179</t>
  </si>
  <si>
    <t>847.8470320.1.426610.000000.847001.200179</t>
  </si>
  <si>
    <t>847.8470320.1.435350.000000.847001.200179</t>
  </si>
  <si>
    <t>847.8470320.1.435508.000000.847001.200179</t>
  </si>
  <si>
    <t>Printing supplies</t>
  </si>
  <si>
    <t>847.8470320.1.436110.000000.847001.200179</t>
  </si>
  <si>
    <t>Training/Teaching equipment and other educational aid</t>
  </si>
  <si>
    <t>847.8470320.1.436600.000000.847001.200179</t>
  </si>
  <si>
    <t>KUST - Civil Engineering</t>
  </si>
  <si>
    <t>847.8470325.1.425510.000000.847001.200179</t>
  </si>
  <si>
    <t>847.8470325.1.425763.000000.847001.200179</t>
  </si>
  <si>
    <t>847.8470325.1.425770.000000.847001.200179</t>
  </si>
  <si>
    <t>847.8470325.1.425900.000000.847001.200179</t>
  </si>
  <si>
    <t>847.8470325.1.426610.000000.847001.200179</t>
  </si>
  <si>
    <t>847.8470325.1.432209.000000.847001.200179</t>
  </si>
  <si>
    <t>847.8470325.1.435350.000000.847001.200179</t>
  </si>
  <si>
    <t>847.8470325.1.435508.000000.847001.200179</t>
  </si>
  <si>
    <t>847.8470325.1.436600.000000.847001.200179</t>
  </si>
  <si>
    <t>KUST - Electrical &amp; Computer Engineering</t>
  </si>
  <si>
    <t>847.8470330.1.420550.000000.847001.200179</t>
  </si>
  <si>
    <t>847.8470330.1.425510.000000.847001.200179</t>
  </si>
  <si>
    <t>847.8470330.1.425760.000000.847001.200179</t>
  </si>
  <si>
    <t>847.8470330.1.425763.000000.847001.200179</t>
  </si>
  <si>
    <t>847.8470330.1.425770.000000.847001.200179</t>
  </si>
  <si>
    <t>847.8470330.1.425900.000000.847001.200179</t>
  </si>
  <si>
    <t>847.8470330.1.426610.000000.847001.200179</t>
  </si>
  <si>
    <t>847.8470330.1.432209.000000.847001.200179</t>
  </si>
  <si>
    <t>847.8470330.1.435350.000000.847001.200179</t>
  </si>
  <si>
    <t>847.8470330.1.435508.000000.847001.200179</t>
  </si>
  <si>
    <t>KUST - Industrial &amp; Systems Engineering</t>
  </si>
  <si>
    <t>847.8470335.1.425510.000000.847001.200179</t>
  </si>
  <si>
    <t>Education-Outsourced training service</t>
  </si>
  <si>
    <t>847.8470335.1.425720.000000.847001.200179</t>
  </si>
  <si>
    <t>847.8470335.1.425760.000000.847001.200179</t>
  </si>
  <si>
    <t>847.8470335.1.425763.000000.847001.200179</t>
  </si>
  <si>
    <t>847.8470335.1.425770.000000.847001.200179</t>
  </si>
  <si>
    <t>847.8470335.1.425900.000000.847001.200179</t>
  </si>
  <si>
    <t>847.8470335.1.426610.000000.847001.200179</t>
  </si>
  <si>
    <t>847.8470335.1.435350.000000.847001.200179</t>
  </si>
  <si>
    <t>847.8470335.1.435508.000000.847001.200179</t>
  </si>
  <si>
    <t>847.8470335.1.436600.000000.847001.200179</t>
  </si>
  <si>
    <t>KUST - Mechanical Engineering</t>
  </si>
  <si>
    <t>847.8470340.1.425510.000000.847001.200179</t>
  </si>
  <si>
    <t>847.8470340.1.425720.000000.847001.200179</t>
  </si>
  <si>
    <t>847.8470340.1.425760.000000.847001.200179</t>
  </si>
  <si>
    <t>847.8470340.1.425763.000000.847001.200179</t>
  </si>
  <si>
    <t>847.8470340.1.425770.000000.847001.200179</t>
  </si>
  <si>
    <t>847.8470340.1.425900.000000.847001.200179</t>
  </si>
  <si>
    <t>847.8470340.1.426610.000000.847001.200179</t>
  </si>
  <si>
    <t>847.8470340.1.428090.000000.847001.200179</t>
  </si>
  <si>
    <t>847.8470340.1.432209.000000.847001.200179</t>
  </si>
  <si>
    <t>847.8470340.1.435350.000000.847001.200179</t>
  </si>
  <si>
    <t>847.8470340.1.435508.000000.847001.200179</t>
  </si>
  <si>
    <t>847.8470340.1.436110.000000.847001.200179</t>
  </si>
  <si>
    <t>847.8470340.1.436600.000000.847001.200179</t>
  </si>
  <si>
    <t>KUST - Nuclear Engineering</t>
  </si>
  <si>
    <t>847.8470345.1.425510.000000.847001.200179</t>
  </si>
  <si>
    <t>847.8470345.1.425760.000000.847001.200179</t>
  </si>
  <si>
    <t>Student Field trips</t>
  </si>
  <si>
    <t>847.8470345.1.425761.000000.847001.200179</t>
  </si>
  <si>
    <t>847.8470345.1.425770.000000.847001.200179</t>
  </si>
  <si>
    <t>847.8470345.1.425900.000000.847001.200179</t>
  </si>
  <si>
    <t>847.8470345.1.426610.000000.847001.200179</t>
  </si>
  <si>
    <t>847.8470345.1.435350.000000.847001.200179</t>
  </si>
  <si>
    <t>847.8470345.1.435508.000000.847001.200179</t>
  </si>
  <si>
    <t>847.8470345.1.436600.000000.847001.200179</t>
  </si>
  <si>
    <t>KUST - Petroleum Engineering</t>
  </si>
  <si>
    <t>847.8470350.1.425510.000000.847001.200179</t>
  </si>
  <si>
    <t>847.8470350.1.425763.000000.847001.200179</t>
  </si>
  <si>
    <t>847.8470350.1.425770.000000.847001.200179</t>
  </si>
  <si>
    <t>847.8470350.1.425900.000000.847001.200179</t>
  </si>
  <si>
    <t>847.8470350.1.426610.000000.847001.200179</t>
  </si>
  <si>
    <t>847.8470350.1.432209.000000.847001.200179</t>
  </si>
  <si>
    <t>847.8470350.1.435350.000000.847001.200179</t>
  </si>
  <si>
    <t>847.8470350.1.435508.000000.847001.200179</t>
  </si>
  <si>
    <t>847.8470350.1.436600.000000.847001.200179</t>
  </si>
  <si>
    <t>KUST - Dean Of Arts &amp; Science</t>
  </si>
  <si>
    <t>847.8470405.1.420550.000000.847001.200179</t>
  </si>
  <si>
    <t>847.8470405.1.421700.000000.847001.200179</t>
  </si>
  <si>
    <t>847.8470405.1.425510.000000.847001.200179</t>
  </si>
  <si>
    <t>847.8470405.1.425550.000000.847001.200179</t>
  </si>
  <si>
    <t>847.8470405.1.425770.000000.847001.200179</t>
  </si>
  <si>
    <t>847.8470405.1.425900.000000.847001.200179</t>
  </si>
  <si>
    <t>847.8470405.1.427710.000000.847001.200179</t>
  </si>
  <si>
    <t>847.8470405.1.428090.000000.847001.200179</t>
  </si>
  <si>
    <t>847.8470405.1.435350.000000.847001.200179</t>
  </si>
  <si>
    <t>KUST - Institute of International &amp; Civil Security</t>
  </si>
  <si>
    <t>847.8470410.1.425770.000000.847001.200179</t>
  </si>
  <si>
    <t>847.8470410.1.426610.000000.847001.200179</t>
  </si>
  <si>
    <t>Newspapers, magazines, journals, etc</t>
  </si>
  <si>
    <t>847.8470410.1.435310.000000.847001.200179</t>
  </si>
  <si>
    <t>847.8470410.1.435350.000000.847001.200179</t>
  </si>
  <si>
    <t>KUST - Chemistry</t>
  </si>
  <si>
    <t>847.8470415.1.425763.000000.847001.200179</t>
  </si>
  <si>
    <t>847.8470415.1.425770.000000.847001.200179</t>
  </si>
  <si>
    <t>847.8470415.1.425900.000000.847001.200179</t>
  </si>
  <si>
    <t>847.8470415.1.426610.000000.847001.200179</t>
  </si>
  <si>
    <t>847.8470415.1.432209.000000.847001.200179</t>
  </si>
  <si>
    <t>847.8470415.1.435350.000000.847001.200179</t>
  </si>
  <si>
    <t>847.8470415.1.435508.000000.847001.200179</t>
  </si>
  <si>
    <t>KUST - Physics</t>
  </si>
  <si>
    <t>847.8470425.1.425510.000000.847001.200179</t>
  </si>
  <si>
    <t>847.8470425.1.425550.000000.847001.200179</t>
  </si>
  <si>
    <t>847.8470425.1.425770.000000.847001.200179</t>
  </si>
  <si>
    <t>847.8470425.1.425900.000000.847001.200179</t>
  </si>
  <si>
    <t>847.8470425.1.426610.000000.847001.200179</t>
  </si>
  <si>
    <t>847.8470425.1.428090.000000.847001.200179</t>
  </si>
  <si>
    <t>847.8470425.1.435350.000000.847001.200179</t>
  </si>
  <si>
    <t>847.8470425.1.435508.000000.847001.200179</t>
  </si>
  <si>
    <t>KUST - Preparatory Program</t>
  </si>
  <si>
    <t>847.8470430.1.425763.000000.847001.200179</t>
  </si>
  <si>
    <t>847.8470430.1.425770.000000.847001.200179</t>
  </si>
  <si>
    <t>847.8470430.1.426610.000000.847001.200179</t>
  </si>
  <si>
    <t>847.8470430.1.432209.000000.847001.200179</t>
  </si>
  <si>
    <t>847.8470430.1.435508.000000.847001.200179</t>
  </si>
  <si>
    <t>KUST - Department of English</t>
  </si>
  <si>
    <t>Other services, not specifically mentioned elsewhere</t>
  </si>
  <si>
    <t>847.8470435.1.429900.000000.847001.200179</t>
  </si>
  <si>
    <t>KUST - Humanities &amp; Social Sciences</t>
  </si>
  <si>
    <t>847.8470440.1.420550.000000.847001.200179</t>
  </si>
  <si>
    <t>847.8470440.1.425510.000000.847001.200179</t>
  </si>
  <si>
    <t>847.8470440.1.425550.000000.847001.200179</t>
  </si>
  <si>
    <t>847.8470440.1.425770.000000.847001.200179</t>
  </si>
  <si>
    <t>847.8470440.1.426610.000000.847001.200179</t>
  </si>
  <si>
    <t>847.8470440.1.427710.000000.847001.200179</t>
  </si>
  <si>
    <t>847.8470440.1.428090.000000.847001.200179</t>
  </si>
  <si>
    <t>847.8470440.1.428640.000000.847001.200179</t>
  </si>
  <si>
    <t>847.8470440.1.435350.000000.847001.200179</t>
  </si>
  <si>
    <t>847.8470440.1.436600.000000.847001.200179</t>
  </si>
  <si>
    <t>KUST - Mathematics</t>
  </si>
  <si>
    <t>847.8470445.1.425510.000000.847001.200179</t>
  </si>
  <si>
    <t>847.8470445.1.425720.000000.847001.200179</t>
  </si>
  <si>
    <t>847.8470445.1.425770.000000.847001.200179</t>
  </si>
  <si>
    <t>847.8470445.1.426610.000000.847001.200179</t>
  </si>
  <si>
    <t>847.8470445.1.435350.000000.847001.200179</t>
  </si>
  <si>
    <t>KUST - Earth Science</t>
  </si>
  <si>
    <t>847.8470450.1.420550.000000.847001.200179</t>
  </si>
  <si>
    <t>847.8470450.1.421700.000000.847001.200179</t>
  </si>
  <si>
    <t>847.8470450.1.425510.000000.847001.200179</t>
  </si>
  <si>
    <t>847.8470450.1.425761.000000.847001.200179</t>
  </si>
  <si>
    <t>847.8470450.1.425763.000000.847001.200179</t>
  </si>
  <si>
    <t>847.8470450.1.425770.000000.847001.200179</t>
  </si>
  <si>
    <t>847.8470450.1.426610.000000.847001.200179</t>
  </si>
  <si>
    <t>847.8470450.1.432209.000000.847001.200179</t>
  </si>
  <si>
    <t>847.8470450.1.435350.000000.847001.200179</t>
  </si>
  <si>
    <t>KUST – Biology</t>
  </si>
  <si>
    <t>847.8470455.1.425770.000000.847001.200179</t>
  </si>
  <si>
    <t>847.8470455.1.425900.000000.847001.200179</t>
  </si>
  <si>
    <t>847.8470455.1.426610.000000.847001.200179</t>
  </si>
  <si>
    <t>847.8470455.1.432209.000000.847001.200179</t>
  </si>
  <si>
    <t>847.8470455.1.435350.000000.847001.200179</t>
  </si>
  <si>
    <t>847.8470455.1.435508.000000.847001.200179</t>
  </si>
  <si>
    <t>KUST - Environment, Health &amp; Safety</t>
  </si>
  <si>
    <t>847.8470520.1.425510.000000.847001.200179</t>
  </si>
  <si>
    <t>847.8470520.1.427710.000000.847001.200179</t>
  </si>
  <si>
    <t>Health,safety&amp;environment awareness</t>
  </si>
  <si>
    <t>847.8470520.1.428200.000000.847001.200179</t>
  </si>
  <si>
    <t>KUST - Facilities Management</t>
  </si>
  <si>
    <t>Cleaning Services: Business premises</t>
  </si>
  <si>
    <t>847.8470530.1.420310.000000.847010.200179</t>
  </si>
  <si>
    <t>847.8470530.1.420310.000000.847015.200179</t>
  </si>
  <si>
    <t>847.8470530.1.420310.000000.847020.200179</t>
  </si>
  <si>
    <t>847.8470530.1.421000.000000.847010.200179</t>
  </si>
  <si>
    <t>Security service</t>
  </si>
  <si>
    <t>847.8470530.1.421600.000000.847010.200179</t>
  </si>
  <si>
    <t>847.8470530.1.421600.000000.847015.200179</t>
  </si>
  <si>
    <t>847.8470530.1.421600.000000.847020.200179</t>
  </si>
  <si>
    <t>847.8470530.1.421600.000000.847030.200179</t>
  </si>
  <si>
    <t>847.8470530.1.421700.000000.847010.200179</t>
  </si>
  <si>
    <t>847.8470530.1.425510.000000.847010.200179</t>
  </si>
  <si>
    <t>847.8470530.1.425747.000000.847015.200179</t>
  </si>
  <si>
    <t>847.8470530.1.425900.000000.847010.200179</t>
  </si>
  <si>
    <t>Insurance - Fire and allied perils</t>
  </si>
  <si>
    <t>847.8470530.1.426220.000000.847010.200179</t>
  </si>
  <si>
    <t>Postal, courier and other document delivery expenses</t>
  </si>
  <si>
    <t>847.8470530.1.426900.000000.847010.200179</t>
  </si>
  <si>
    <t>847.8470530.1.428090.000000.847001.200179</t>
  </si>
  <si>
    <t>847.8470530.1.429900.000000.847010.200179</t>
  </si>
  <si>
    <t>Bldg maintenance-Business premises</t>
  </si>
  <si>
    <t>847.8470530.1.432120.000000.847010.200179</t>
  </si>
  <si>
    <t>847.8470530.1.432120.000000.847015.200179</t>
  </si>
  <si>
    <t>847.8470530.1.432120.000000.847020.200179</t>
  </si>
  <si>
    <t>847.8470530.1.432120.000000.847030.200179</t>
  </si>
  <si>
    <t>Bldg decoration &amp; minor improvements</t>
  </si>
  <si>
    <t>847.8470530.1.432170.000000.847010.200179</t>
  </si>
  <si>
    <t>Maintenance: Residential Furniture and fixtures</t>
  </si>
  <si>
    <t>847.8470530.1.432320.000000.847001.200179</t>
  </si>
  <si>
    <t>847.8470530.1.432320.000000.847010.200179</t>
  </si>
  <si>
    <t>Motor vehicles (non-military)</t>
  </si>
  <si>
    <t>847.8470530.1.432540.000000.847010.200179</t>
  </si>
  <si>
    <t>Catering supplies: Offices</t>
  </si>
  <si>
    <t>847.8470530.1.435410.000000.847020.200179</t>
  </si>
  <si>
    <t>KUST - Administration</t>
  </si>
  <si>
    <t>Manpower supply "Other Than IT Related"</t>
  </si>
  <si>
    <t>847.8470540.1.421100.000000.847010.200179</t>
  </si>
  <si>
    <t>Motor vehicle registration and inspection charges</t>
  </si>
  <si>
    <t>847.8470540.1.426800.000000.847001.200179</t>
  </si>
  <si>
    <t>847.8470540.1.427710.000000.847001.200179</t>
  </si>
  <si>
    <t>Electricity consumption charges</t>
  </si>
  <si>
    <t>847.8470540.1.428111.000000.847010.200179</t>
  </si>
  <si>
    <t>847.8470540.1.428111.000000.847015.200179</t>
  </si>
  <si>
    <t>847.8470540.1.428111.000000.847020.200179</t>
  </si>
  <si>
    <t>Water consumption charges</t>
  </si>
  <si>
    <t>847.8470540.1.428112.000000.847010.200179</t>
  </si>
  <si>
    <t>847.8470540.1.428112.000000.847015.200179</t>
  </si>
  <si>
    <t>847.8470540.1.428112.000000.847020.200179</t>
  </si>
  <si>
    <t>Rental - Motor vehicles</t>
  </si>
  <si>
    <t>847.8470540.1.430330.000000.847010.200179</t>
  </si>
  <si>
    <t>847.8470540.1.432540.000000.847010.200179</t>
  </si>
  <si>
    <t>847.8470540.1.435410.000000.847020.200179</t>
  </si>
  <si>
    <t>Fuel, oil and lubricants: Motor vehicles</t>
  </si>
  <si>
    <t>847.8470540.1.435740.000000.847010.200179</t>
  </si>
  <si>
    <t>847.8470540.1.436110.000000.847010.200179</t>
  </si>
  <si>
    <t>KUST - SVP / Finance &amp; Investment Office</t>
  </si>
  <si>
    <t>847.8470605.1.421000.000000.847001.200179</t>
  </si>
  <si>
    <t>847.8470605.1.425720.000000.847001.200179</t>
  </si>
  <si>
    <t>847.8470605.1.425900.000000.847001.200179</t>
  </si>
  <si>
    <t>847.8470605.1.428090.000000.847001.200179</t>
  </si>
  <si>
    <t>847.8470605.1.429900.000000.847001.200179</t>
  </si>
  <si>
    <t>KUST - Finance Operations</t>
  </si>
  <si>
    <t>External Audit service</t>
  </si>
  <si>
    <t>847.8470620.1.420130.000000.847001.200179</t>
  </si>
  <si>
    <t>Other specialised professional services, not mentioned elsewhere</t>
  </si>
  <si>
    <t>847.8470620.1.422900.000000.847001.200179</t>
  </si>
  <si>
    <t>Banking service charges / Fees</t>
  </si>
  <si>
    <t>847.8470620.1.425300.000000.847001.200179</t>
  </si>
  <si>
    <t>Fees for processing e-payments-e-Payment operation</t>
  </si>
  <si>
    <t>847.8470620.1.425350.000000.847001.200179</t>
  </si>
  <si>
    <t>847.8470620.1.425900.000000.847001.200179</t>
  </si>
  <si>
    <t>847.8470620.1.426610.000000.847001.200179</t>
  </si>
  <si>
    <t>KUST - Procurement and Contracts</t>
  </si>
  <si>
    <t>847.8470720.1.421000.000000.847001.200179</t>
  </si>
  <si>
    <t>847.8470720.1.421700.000000.847001.200179</t>
  </si>
  <si>
    <t>847.8470720.1.422900.000000.847001.200179</t>
  </si>
  <si>
    <t>847.8470720.1.425900.000000.847001.200179</t>
  </si>
  <si>
    <t>847.8470720.1.426610.000000.847001.200179</t>
  </si>
  <si>
    <t>847.8470720.1.426900.000000.847001.200179</t>
  </si>
  <si>
    <t>847.8470720.1.428090.000000.847001.200179</t>
  </si>
  <si>
    <t>847.8470720.1.428200.000000.847001.200179</t>
  </si>
  <si>
    <t>847.8470720.1.428640.000000.847001.200179</t>
  </si>
  <si>
    <t>847.8470720.1.435410.000000.847001.200179</t>
  </si>
  <si>
    <t>847.8470720.1.436110.000000.847001.200179</t>
  </si>
  <si>
    <t>Stationery</t>
  </si>
  <si>
    <t>847.8470720.1.436120.000000.847001.200179</t>
  </si>
  <si>
    <t>KUST - Human Resources</t>
  </si>
  <si>
    <t>847.8470730.1.421000.000000.847001.200179</t>
  </si>
  <si>
    <t>847.8470730.1.425900.000000.847001.200179</t>
  </si>
  <si>
    <t>847.8470730.1.426610.000000.847001.200179</t>
  </si>
  <si>
    <t>847.8470730.1.428090.000000.847001.200179</t>
  </si>
  <si>
    <t>847.8470730.1.428640.000000.847001.200179</t>
  </si>
  <si>
    <t>847.8470730.1.436110.000000.847001.200179</t>
  </si>
  <si>
    <t>KUST - Ankabut office</t>
  </si>
  <si>
    <t>847.8470810.1.420811.000000.847001.200179</t>
  </si>
  <si>
    <t>847.8470810.1.421100.000000.847001.200179</t>
  </si>
  <si>
    <t>847.8470810.1.425900.000000.847001.200179</t>
  </si>
  <si>
    <t>847.8470810.1.426610.000000.847001.200179</t>
  </si>
  <si>
    <t>Telephone and telefax charges-Telecommunication, Satellite services</t>
  </si>
  <si>
    <t>847.8470810.1.427810.000000.847001.200179</t>
  </si>
  <si>
    <t>Data Transmission charges-Data Transmission charges</t>
  </si>
  <si>
    <t>847.8470810.1.427850.000000.847001.200179</t>
  </si>
  <si>
    <t>847.8470810.1.428090.000000.847001.200179</t>
  </si>
  <si>
    <t>Rental - Equipment</t>
  </si>
  <si>
    <t>847.8470810.1.430230.000000.847001.200179</t>
  </si>
  <si>
    <t>Rental - Computer hardware-Rental/Subscription - Computer hardware</t>
  </si>
  <si>
    <t>847.8470810.1.430250.000000.847001.200179</t>
  </si>
  <si>
    <t>847.8470810.1.432205.000000.847001.200179</t>
  </si>
  <si>
    <t>Computers and peripherals-Printers maintenance and support</t>
  </si>
  <si>
    <t>847.8470810.1.432226.000000.847001.200179</t>
  </si>
  <si>
    <t>KUST - Executive Vice President Office</t>
  </si>
  <si>
    <t>847.8470910.1.425900.000000.847001.200179</t>
  </si>
  <si>
    <t>847.8470910.1.428090.000000.847001.200179</t>
  </si>
  <si>
    <t>KUST - Continuing Education Office</t>
  </si>
  <si>
    <t>847.8471010.1.425100.000000.847001.200179</t>
  </si>
  <si>
    <t>847.8471010.1.425510.000000.847001.200179</t>
  </si>
  <si>
    <t>847.8471010.1.425720.000000.847001.200179</t>
  </si>
  <si>
    <t>847.8471010.1.425900.000000.847001.200179</t>
  </si>
  <si>
    <t>847.8471010.1.436110.000000.847001.200179</t>
  </si>
  <si>
    <t>KUST - SVP/ Research &amp; Development Office</t>
  </si>
  <si>
    <t>847.8471110.1.425900.000000.847001.200179</t>
  </si>
  <si>
    <t>847.8471110.1.427710.000000.847001.200179</t>
  </si>
  <si>
    <t>847.8471110.1.428090.000000.847001.200179</t>
  </si>
  <si>
    <t>KUST - Research Service</t>
  </si>
  <si>
    <t>847.8471130.1.420811.000000.847001.200179</t>
  </si>
  <si>
    <t>847.8471130.1.426610.000000.847001.200179</t>
  </si>
  <si>
    <t>847.8471130.1.428090.000000.847001.200179</t>
  </si>
  <si>
    <t>847.8471130.1.435523.000000.847001.200179</t>
  </si>
  <si>
    <t>KUST - University Sponsored Research</t>
  </si>
  <si>
    <t>847.8471140.1.420570.000000.847001.050583</t>
  </si>
  <si>
    <t>847.8471140.1.420570.000000.847001.200179</t>
  </si>
  <si>
    <t>847.8471140.1.421000.000000.847001.050583</t>
  </si>
  <si>
    <t>847.8471140.1.428090.000000.847001.200179</t>
  </si>
  <si>
    <t>847.8471140.1.435523.000000.847001.050583</t>
  </si>
  <si>
    <t>847.8471140.1.435523.000000.847001.200179</t>
  </si>
  <si>
    <t>KUST - Technology Management &amp; Innovation</t>
  </si>
  <si>
    <t>847.8471150.1.420900.000000.847001.050587</t>
  </si>
  <si>
    <t>847.8471150.1.420900.000000.847001.200179</t>
  </si>
  <si>
    <t>847.8471150.1.425510.000000.847001.200179</t>
  </si>
  <si>
    <t>847.8471150.1.425550.000000.847001.200179</t>
  </si>
  <si>
    <t>847.8471150.1.426610.000000.847001.200179</t>
  </si>
  <si>
    <t>KUST - Research Laboratories</t>
  </si>
  <si>
    <t>847.8471160.1.425900.000000.847001.200179</t>
  </si>
  <si>
    <t>847.8471160.1.426610.000000.847001.200179</t>
  </si>
  <si>
    <t>847.8471160.1.428090.000000.847001.200179</t>
  </si>
  <si>
    <t>847.8471160.1.432209.000000.847001.200179</t>
  </si>
  <si>
    <t>847.8471160.1.435508.000000.847001.200179</t>
  </si>
  <si>
    <t>847.8471160.1.436600.000000.847001.200179</t>
  </si>
  <si>
    <t>KUST - Research Computing</t>
  </si>
  <si>
    <t>847.8471170.1.420811.000000.847001.200179</t>
  </si>
  <si>
    <t>847.8471170.1.426610.000000.847001.200179</t>
  </si>
  <si>
    <t>847.8471170.1.428090.000000.847001.200179</t>
  </si>
  <si>
    <t>KUST - SVP/ Academic &amp; Student Services Office</t>
  </si>
  <si>
    <t>847.8471210.1.425900.000000.847001.200179</t>
  </si>
  <si>
    <t>847.8471210.1.428090.000000.847001.200179</t>
  </si>
  <si>
    <t>KUST - Registrar</t>
  </si>
  <si>
    <t>847.8471220.1.425510.000000.847001.200179</t>
  </si>
  <si>
    <t>Student stipend</t>
  </si>
  <si>
    <t>847.8471220.1.425741.000000.847001.200179</t>
  </si>
  <si>
    <t>847.8471220.1.425745.000000.847001.200179</t>
  </si>
  <si>
    <t>Text books and library books</t>
  </si>
  <si>
    <t>847.8471220.1.435340.000000.847001.200179</t>
  </si>
  <si>
    <t>847.8471220.1.436110.000000.847001.200179</t>
  </si>
  <si>
    <t>KUST - Student Enrollment</t>
  </si>
  <si>
    <t>Enrollment expenses</t>
  </si>
  <si>
    <t>847.8471230.1.425742.000000.847001.200179</t>
  </si>
  <si>
    <t>847.8471230.1.426610.000000.847001.200179</t>
  </si>
  <si>
    <t>KUST - Student Success</t>
  </si>
  <si>
    <t>847.8471240.1.425510.000000.847001.200179</t>
  </si>
  <si>
    <t>847.8471240.1.425720.000000.847001.200179</t>
  </si>
  <si>
    <t>847.8471240.1.425761.000000.847001.050584</t>
  </si>
  <si>
    <t>847.8471240.1.425761.000000.847001.200179</t>
  </si>
  <si>
    <t>847.8471240.1.425762.000000.847001.200179</t>
  </si>
  <si>
    <t>847.8471240.1.425900.000000.847001.200179</t>
  </si>
  <si>
    <t>847.8471240.1.426610.000000.847001.200179</t>
  </si>
  <si>
    <t>847.8471240.1.427710.000000.847001.200179</t>
  </si>
  <si>
    <t>847.8471240.1.428090.000000.847001.200179</t>
  </si>
  <si>
    <t>KUST - Career Services</t>
  </si>
  <si>
    <t>847.8471250.1.425510.000000.847001.050584</t>
  </si>
  <si>
    <t>847.8471250.1.425510.000000.847001.050585</t>
  </si>
  <si>
    <t>847.8471250.1.425510.000000.847001.200179</t>
  </si>
  <si>
    <t>847.8471250.1.425762.000000.847001.050584</t>
  </si>
  <si>
    <t>847.8471250.1.425762.000000.847001.200179</t>
  </si>
  <si>
    <t>847.8471250.1.425900.000000.847001.200179</t>
  </si>
  <si>
    <t>847.8471250.1.426610.000000.847001.050585</t>
  </si>
  <si>
    <t>847.8471250.1.426610.000000.847001.200179</t>
  </si>
  <si>
    <t>847.8471250.1.428090.000000.847001.200179</t>
  </si>
  <si>
    <t>847.8471250.1.436110.000000.847001.200179</t>
  </si>
  <si>
    <t>KUST - Student Life</t>
  </si>
  <si>
    <t>847.8471260.1.425510.000000.847001.200179</t>
  </si>
  <si>
    <t>Student Transport</t>
  </si>
  <si>
    <t>847.8471260.1.425746.000000.847001.200179</t>
  </si>
  <si>
    <t>847.8471260.1.425747.000000.847001.200179</t>
  </si>
  <si>
    <t>847.8471260.1.425760.000000.847001.200179</t>
  </si>
  <si>
    <t>847.8471260.1.425900.000000.847001.200179</t>
  </si>
  <si>
    <t>847.8471260.1.428640.000000.847001.200179</t>
  </si>
  <si>
    <t>847.8471260.1.429900.000000.847001.200179</t>
  </si>
  <si>
    <t>School consumables, not specifically mentioned elsewhere</t>
  </si>
  <si>
    <t>847.8471260.1.435530.000000.847001.200179</t>
  </si>
  <si>
    <t>847.8471260.1.436110.000000.847001.200179</t>
  </si>
  <si>
    <t>KUST - Libraries</t>
  </si>
  <si>
    <t>847.8471270.1.425900.000000.847001.200179</t>
  </si>
  <si>
    <t>Library books</t>
  </si>
  <si>
    <t>847.8471270.1.435330.000000.847001.200179</t>
  </si>
  <si>
    <t>KUST - Center for Teaching &amp; Learning</t>
  </si>
  <si>
    <t>847.8471280.1.425100.000000.847001.200179</t>
  </si>
  <si>
    <t>847.8471280.1.425510.000000.847001.200179</t>
  </si>
  <si>
    <t>847.8471280.1.425550.000000.847001.200179</t>
  </si>
  <si>
    <t>Higher education and specialisation incentives</t>
  </si>
  <si>
    <t>847.8471280.1.425710.000000.847001.200179</t>
  </si>
  <si>
    <t>847.8471280.1.425720.000000.847001.200179</t>
  </si>
  <si>
    <t>847.8471280.1.425760.000000.847001.200179</t>
  </si>
  <si>
    <t>847.8471280.1.425770.000000.847001.200179</t>
  </si>
  <si>
    <t>847.8471280.1.425900.000000.847001.200179</t>
  </si>
  <si>
    <t>847.8471280.1.426610.000000.847001.200179</t>
  </si>
  <si>
    <t>847.8471280.1.428640.000000.847001.200179</t>
  </si>
  <si>
    <t>847.8471280.1.435530.000000.847001.200179</t>
  </si>
  <si>
    <t>847.8471280.1.436110.000000.847001.200179</t>
  </si>
  <si>
    <t>KUST - Dean Of Medicine</t>
  </si>
  <si>
    <t>847.8471305.1.420570.000000.847001.200179</t>
  </si>
  <si>
    <t>847.8471305.1.421000.000000.847001.200179</t>
  </si>
  <si>
    <t>847.8471305.1.421700.000000.847001.200179</t>
  </si>
  <si>
    <t>847.8471305.1.425510.000000.847001.200179</t>
  </si>
  <si>
    <t>847.8471305.1.425550.000000.847001.200179</t>
  </si>
  <si>
    <t>847.8471305.1.425720.000000.847001.200179</t>
  </si>
  <si>
    <t>847.8471305.1.425742.000000.847001.200179</t>
  </si>
  <si>
    <t>847.8471305.1.425744.000000.847001.200179</t>
  </si>
  <si>
    <t>847.8471305.1.425745.000000.847001.200179</t>
  </si>
  <si>
    <t>847.8471305.1.425749.000000.847001.200179</t>
  </si>
  <si>
    <t>Skill assessment service</t>
  </si>
  <si>
    <t>847.8471305.1.425750.000000.847001.200179</t>
  </si>
  <si>
    <t>847.8471305.1.425762.000000.847001.200179</t>
  </si>
  <si>
    <t>847.8471305.1.425763.000000.847001.200179</t>
  </si>
  <si>
    <t>847.8471305.1.425770.000000.847001.200179</t>
  </si>
  <si>
    <t>847.8471305.1.425900.000000.847001.200179</t>
  </si>
  <si>
    <t>847.8471305.1.426610.000000.847001.200179</t>
  </si>
  <si>
    <t>847.8471305.1.426900.000000.847001.200179</t>
  </si>
  <si>
    <t>847.8471305.1.427710.000000.847001.200179</t>
  </si>
  <si>
    <t>847.8471305.1.428090.000000.847001.200179</t>
  </si>
  <si>
    <t>847.8471305.1.428640.000000.847001.200179</t>
  </si>
  <si>
    <t>847.8471305.1.432205.000000.847001.200179</t>
  </si>
  <si>
    <t>847.8471305.1.432209.000000.847001.200179</t>
  </si>
  <si>
    <t>847.8471305.1.435330.000000.847001.200179</t>
  </si>
  <si>
    <t>847.8471305.1.435340.000000.847001.200179</t>
  </si>
  <si>
    <t>847.8471305.1.435350.000000.847001.200179</t>
  </si>
  <si>
    <t>847.8471305.1.435508.000000.847001.200179</t>
  </si>
  <si>
    <t>847.8471305.1.435530.000000.847001.200179</t>
  </si>
  <si>
    <t>847.8471305.1.436120.000000.847001.200179</t>
  </si>
  <si>
    <t>2 Other Operating Costs Total</t>
  </si>
  <si>
    <t>3 Capital Payments</t>
  </si>
  <si>
    <t>847.8470110.1.492316.000000.847001.300180</t>
  </si>
  <si>
    <t>847.8470120.1.492316.000000.847001.300180</t>
  </si>
  <si>
    <t>Hardware &amp; peripherals</t>
  </si>
  <si>
    <t>847.8470220.1.492310.000000.847001.300180</t>
  </si>
  <si>
    <t>847.8470220.1.492316.000000.847001.300180</t>
  </si>
  <si>
    <t>847.8470220.1.492316.000000.847020.050589</t>
  </si>
  <si>
    <t>847.8470230.1.492310.000000.847001.300180</t>
  </si>
  <si>
    <t>847.8470305.1.492316.000000.847001.300180</t>
  </si>
  <si>
    <t>847.8470310.1.492316.000000.847001.300180</t>
  </si>
  <si>
    <t>847.8470320.1.492316.000000.847001.300180</t>
  </si>
  <si>
    <t>847.8470325.1.492316.000000.847001.300180</t>
  </si>
  <si>
    <t>847.8470335.1.492316.000000.847001.300180</t>
  </si>
  <si>
    <t>847.8470345.1.492316.000000.847001.300180</t>
  </si>
  <si>
    <t>847.8470405.1.492316.000000.847001.300180</t>
  </si>
  <si>
    <t>847.8470415.1.492316.000000.847001.300180</t>
  </si>
  <si>
    <t>847.8470425.1.492316.000000.847001.300180</t>
  </si>
  <si>
    <t>847.8470450.1.492316.000000.847001.300180</t>
  </si>
  <si>
    <t>847.8470455.1.492316.000000.847001.300180</t>
  </si>
  <si>
    <t>Capital expense - Buildings</t>
  </si>
  <si>
    <t>847.8470530.1.492200.000000.847001.300180</t>
  </si>
  <si>
    <t>847.8470530.1.492200.000000.847010.300180</t>
  </si>
  <si>
    <t>847.8470530.1.492200.000000.847020.300180</t>
  </si>
  <si>
    <t>Furniture &amp; Fixtures - Offices</t>
  </si>
  <si>
    <t>847.8470530.1.492610.000000.847010.050640</t>
  </si>
  <si>
    <t>847.8470530.1.492610.000000.847010.300180</t>
  </si>
  <si>
    <t>847.8470530.1.492610.000000.847015.300180</t>
  </si>
  <si>
    <t>847.8470530.1.492610.000000.847020.050640</t>
  </si>
  <si>
    <t>847.8470530.1.492610.000000.847020.300180</t>
  </si>
  <si>
    <t>847.8470810.1.492310.000000.847001.300180</t>
  </si>
  <si>
    <t>Hardware &amp; peripherals-Network Devices</t>
  </si>
  <si>
    <t>847.8470810.1.492352.000000.847001.300180</t>
  </si>
  <si>
    <t>Hardware &amp; peripherals-Peripherals &amp; Infrastructure Components</t>
  </si>
  <si>
    <t>847.8470810.1.492354.000000.847001.300180</t>
  </si>
  <si>
    <t>Hardware &amp; peripherals-Conferencing &amp; AV</t>
  </si>
  <si>
    <t>847.8470810.1.492356.000000.847001.300180</t>
  </si>
  <si>
    <t>Computer software-Application, Platform</t>
  </si>
  <si>
    <t>847.8470810.1.495113.000000.847001.300180</t>
  </si>
  <si>
    <t>847.8471160.1.492200.000000.847001.300180</t>
  </si>
  <si>
    <t>847.8471160.1.492316.000000.847001.300180</t>
  </si>
  <si>
    <t>847.8471170.1.492316.000000.847001.300180</t>
  </si>
  <si>
    <t>847.8471170.1.495113.000000.847001.300180</t>
  </si>
  <si>
    <t>847.8471305.1.492310.000000.847001.300180</t>
  </si>
  <si>
    <t>847.8471305.1.492316.000000.847001.300180</t>
  </si>
  <si>
    <t>3 Capital Payments Total</t>
  </si>
  <si>
    <t>Grand Total</t>
  </si>
  <si>
    <t>Rows 1 - 456 (All Rows)</t>
  </si>
  <si>
    <t>Budget Performance Quarter 01 - 2023</t>
  </si>
  <si>
    <t>Apr-2023 Utilization Plan</t>
  </si>
  <si>
    <t>May-2023 Utilization Plan</t>
  </si>
  <si>
    <t>Jun-2023 Utilization Plan</t>
  </si>
  <si>
    <t>July-2023 Utilization Plan</t>
  </si>
  <si>
    <t>Aug-2023 Utilization Plan</t>
  </si>
  <si>
    <t>Sep-2023 Utilization Plan</t>
  </si>
  <si>
    <t>Oct-2023 Utilization Plan</t>
  </si>
  <si>
    <t>Nov-2023 Utilization Plan</t>
  </si>
  <si>
    <t>Dec-2023 Utilization Plan</t>
  </si>
  <si>
    <t xml:space="preserve"> Budget</t>
  </si>
  <si>
    <t>Apr-2023 Utilization Plan Amount</t>
  </si>
  <si>
    <t>May-2023 Utilization Plan Amount</t>
  </si>
  <si>
    <t>Jun-2023 Utilization Plan Amount</t>
  </si>
  <si>
    <t>July-2023 Utilization Plan Amount</t>
  </si>
  <si>
    <t>Aug-2023 Utilization Plan Amount</t>
  </si>
  <si>
    <t>Sep-2023 Utilization Plan Amount</t>
  </si>
  <si>
    <t>Oct-2023 Utilization Plan Amount</t>
  </si>
  <si>
    <t>Nov-2023 Utilization Plan Amount</t>
  </si>
  <si>
    <t>Dec-2023 Utilization Plan Amount</t>
  </si>
  <si>
    <t>KUST - IT office</t>
  </si>
  <si>
    <t>1 Personnel Costs</t>
  </si>
  <si>
    <t>Consolidated cost of outsourced employees</t>
  </si>
  <si>
    <t>IT Manpower supply-ICT Specialized resources</t>
  </si>
  <si>
    <t>IT Manpower supply-IT Support resources</t>
  </si>
  <si>
    <t>847.8470540.1.413310.000000.847001.100178</t>
  </si>
  <si>
    <t>847.8470810.1.413327.000000.847001.100178</t>
  </si>
  <si>
    <t>847.8470810.1.413328.000000.847001.100178</t>
  </si>
  <si>
    <t>847.8470620.1.413310.000000.847001.100178</t>
  </si>
  <si>
    <t>847.8471260.1.413310.000000.847001.100178</t>
  </si>
  <si>
    <t>Manpower</t>
  </si>
  <si>
    <t>Conference attenence for faculty 20K each</t>
  </si>
  <si>
    <t xml:space="preserve">Deans office retriet +ECC retriet </t>
  </si>
  <si>
    <t xml:space="preserve">Supporting educational software liciencing </t>
  </si>
  <si>
    <t>Support for conferences</t>
  </si>
  <si>
    <t>Departments lab support</t>
  </si>
  <si>
    <t>Publication fees and open access</t>
  </si>
  <si>
    <t>Department lab support</t>
  </si>
  <si>
    <t xml:space="preserve">Transfer the surplus amount to the Laboratory Equipment account 432209  </t>
  </si>
  <si>
    <t xml:space="preserve">13996 AED to be transferred from the academic mission 425770 </t>
  </si>
  <si>
    <t>Student participation in competition and event</t>
  </si>
  <si>
    <t>CISPA/security clearance for student's ADNOC field trip</t>
  </si>
  <si>
    <t>Budget release request for AED 30k is pennding with Finance</t>
  </si>
  <si>
    <t>Faculty conference and travel support</t>
  </si>
  <si>
    <t xml:space="preserve">Department meeting  and other professional events </t>
  </si>
  <si>
    <t>A purchase requisition is underway to cover for a specific one-time SDP project software
PR Expected to complete in April/May 2023</t>
  </si>
  <si>
    <t>For department facilitation of faculy publication as per need</t>
  </si>
  <si>
    <t>for arzanah lab &amp; general consumables</t>
  </si>
  <si>
    <t>PR for printing of Department booklet is underway</t>
  </si>
  <si>
    <t xml:space="preserve">For training of academic staff  of the department </t>
  </si>
  <si>
    <t>Advisory board meeting on campus</t>
  </si>
  <si>
    <t>Some budgte would be neded for seminars</t>
  </si>
  <si>
    <t>IEEE event and programming contest</t>
  </si>
  <si>
    <t>SDP funds for Spring an Fall 2023</t>
  </si>
  <si>
    <t>We will ned funds and will do a budget ransfer</t>
  </si>
  <si>
    <t>Monthly Depatment meing</t>
  </si>
  <si>
    <t>Software license renewal</t>
  </si>
  <si>
    <t xml:space="preserve">FPGA kit </t>
  </si>
  <si>
    <t>Faculty extra page charges and opne access</t>
  </si>
  <si>
    <t>PCB fabrication</t>
  </si>
  <si>
    <t>Student support for attending local conference</t>
  </si>
  <si>
    <t>Carbon Literacy Training</t>
  </si>
  <si>
    <t>Student activities and trips</t>
  </si>
  <si>
    <t>senior design projects</t>
  </si>
  <si>
    <t>faculty travel to conferences</t>
  </si>
  <si>
    <t>Dept. orientations, &amp; student socials</t>
  </si>
  <si>
    <t>IT renewal of licenses</t>
  </si>
  <si>
    <t>Open access publications</t>
  </si>
  <si>
    <t>committed to lab upgrades &amp; maintenance</t>
  </si>
  <si>
    <t>support teaching aids</t>
  </si>
  <si>
    <t>Student Senior Design Projects, Design Competions, Student Class Projects, ASME events. Activities take place throuhout the year. Amounts are entered in the utization months as being representative of cumulative funds settlement for preceeding months.</t>
  </si>
  <si>
    <t xml:space="preserve">Ongoing expenses as and when the need arise. </t>
  </si>
  <si>
    <t>This is an ogoing requirement to pay for publication fees when the submitted faculty paper is approved by a journal for publication.</t>
  </si>
  <si>
    <t>Transfered to software on 4 April</t>
  </si>
  <si>
    <t xml:space="preserve">Transfered to academic mission on 4 April </t>
  </si>
  <si>
    <t>Transfers as needed to cover the cost and bring to zero</t>
  </si>
  <si>
    <t>Fund transfered to cover cost (software licenses) : remaining will be zero</t>
  </si>
  <si>
    <t>One transfer (AED 6057) to software on 4 April. Remaining funds (AED 50 k) will be used for further mandatory PR and priorities</t>
  </si>
  <si>
    <t xml:space="preserve">Small consummable as needed </t>
  </si>
  <si>
    <t xml:space="preserve">Procurement of one state-of-the-art teaching tool for radiation metrology (Scintillator/SIPM/MCA system, 2022 quotation AED 20800, updated quotation has been asked for   </t>
  </si>
  <si>
    <t>400 for aeroflight simulator &amp; 370 support for chemical eng &amp; 230k will be shared</t>
  </si>
  <si>
    <t>Procurement of laboratory accessories</t>
  </si>
  <si>
    <t>Student events/activities</t>
  </si>
  <si>
    <t>Students SDPs</t>
  </si>
  <si>
    <t>Conference attendance</t>
  </si>
  <si>
    <t>Dept Meetings+Retreat</t>
  </si>
  <si>
    <t>Lab Equip (minor)</t>
  </si>
  <si>
    <t>Journal Publications</t>
  </si>
  <si>
    <t>Lab   supplies</t>
  </si>
  <si>
    <t>This is to cover the expenses of local events and conferences registration for PE faculties and staff</t>
  </si>
  <si>
    <t>This is to cover Student Senior Design Projects and Class Projects expenses.</t>
  </si>
  <si>
    <t>This is to cover the expenses of the faculty's academic missions in local and international events.</t>
  </si>
  <si>
    <t>Entertainment and hospitality for department and student activities</t>
  </si>
  <si>
    <t>This is to cover the expenses for software renewals as per contracts and agreements.</t>
  </si>
  <si>
    <t>This is to cover all maintenance jobs required for our current teaching and research equipments and also provide training, calibration, etc.</t>
  </si>
  <si>
    <t>This is to cover expenses for consumable materials needed in the labs for running experiments for teaching and research purposes.</t>
  </si>
  <si>
    <t>Budget utilized for ongoing RFP technical evaluations (RFQ #6488060, RFQ #6491310) for which vendors (Jeol, Thermo Fisher, Zeiss) were onsite at KU to provide technical presentations for their proposed equipment.</t>
  </si>
  <si>
    <t>PR raised for RL Machine Shop CAD-CAM software</t>
  </si>
  <si>
    <t>N/A</t>
  </si>
  <si>
    <t xml:space="preserve">Maintenance support for research lab equipment </t>
  </si>
  <si>
    <t>Support for research lab equipment space parts and consumables.</t>
  </si>
  <si>
    <t>Infrastructure support for EHS compliance.</t>
  </si>
  <si>
    <t xml:space="preserve">Project 8474000489 was approved on the basis that Research Labs would provide supporting CAPEX for equipment purchase. </t>
  </si>
  <si>
    <t>Budget will be utilized for ongoing RFP technical evaluations for which vendors will be onsite at KU to provide technical presentations that have been stipulated as part of the tender process.</t>
  </si>
  <si>
    <t>Remaining budget will be utilized for RL lab equipment software upgrades.</t>
  </si>
  <si>
    <t>Budget will be utilized (for DTRs) in April 2023 for RFQ #6488060 (Material Science Electron Microscope) and RFQ #6491310 (cryo-Electron Microscope) for which RL staff will be visiting the vendor sites to conduct technical inspection of the proposed equipment for purchase.</t>
  </si>
  <si>
    <t>Ongoing support for research lab equipment space parts and consumables.</t>
  </si>
  <si>
    <t>Budget will be utilized for RL staff EHS trainings to obtain compliance certificates for firefighting, lab safety and use of specialized equipment.</t>
  </si>
  <si>
    <t>Budget will be utilized for the Arzanah Softwall Cleanroom lab infrastructure for which the SOW is being developed by Facilities. PR to be raised by April 28, 2023.</t>
  </si>
  <si>
    <t>RFQ #6488060 (Material Science Electron Microscope) and RFQ #6491310 (cryo-Electron Microscope) technical evaluations are to be completed by April 19, 2023. Once completed the commercial bids for both RFPs will be unsealed by Procurement to advise on their anticipated payment schedules for 2023. As these tenders, based on previous quotations received, total AED 130 M, Procurement need to advise on 2023 budget amount that will be required to be set aside for 2023 payment schedule. The RFPs for the vivarium fit-out and pre-clinical imaging equipment will be raised by April 14, 2023 and April 21, 2023, respectively. These RFPs are being based on the Vivarium Facility design that has been finalized with Facilities and sign-offed by the end users (Research Labs and CMHS).</t>
  </si>
  <si>
    <t>In discussion with Ankabut on how to best  procure items needed</t>
  </si>
  <si>
    <t>In dsicussion with Ankabut on how to best  procure items needed</t>
  </si>
  <si>
    <t xml:space="preserve">RIG 2023 external reviewer payments </t>
  </si>
  <si>
    <t>Funds already allocated for team member professional conference attendance in Q3 &amp; Q4</t>
  </si>
  <si>
    <t>Centers and  Joint Programs</t>
  </si>
  <si>
    <t>CIRA, FSU, ESIG, Other</t>
  </si>
  <si>
    <t xml:space="preserve">Suplus moved to Scientific  (Strategic) to cover KUSTIC &amp; ENTC co-funded center commitments  BTR already submitted. </t>
  </si>
  <si>
    <t>Minimal surplus against planned activities</t>
  </si>
  <si>
    <t>There will be no surplus, budgets already overallocated compared to awards</t>
  </si>
  <si>
    <t>This is required for the SVP office events</t>
  </si>
  <si>
    <t>There is no surplus, in fact we still need extra funds to cover other subscriptions</t>
  </si>
  <si>
    <t xml:space="preserve">This amount is needed to cover the Business travels in  Q3 &amp; Q4 ( air tickets, hotels, and other expenses..etc) </t>
  </si>
  <si>
    <t>These amounts will be used to order customized, KU branded gifts to be used for KU alumni events and ceremonies)</t>
  </si>
  <si>
    <t>These amounts will be used for employers events like the Career Fair and Employer Appreciation Ceremony</t>
  </si>
  <si>
    <t>These amounts will be used for our events (Alumni Iftar Gathering, Internship Fair, Alumni Networking, Alumni Reunion, Majors Day, Mock Interviews, Alumi Awards)</t>
  </si>
  <si>
    <t>To be used for International students internship to cover their airfare, accomodations, travel insurance and per-diem)</t>
  </si>
  <si>
    <t>To renew current solutions (Graduway &amp; Symplicity)</t>
  </si>
  <si>
    <t>To be used to purchase Student Assessment (MBTI)</t>
  </si>
  <si>
    <t>A staff member will travel to present a paper in London</t>
  </si>
  <si>
    <t>To be used for the Alumni Cards requests</t>
  </si>
  <si>
    <t>This amount to be transferred to another account and used to enroll number of selective students on soft skills course with Udacity after obtaining our AVP and SVP approval</t>
  </si>
  <si>
    <t>Honors Day via budget transfer</t>
  </si>
  <si>
    <t>Honors Day</t>
  </si>
  <si>
    <t>Study Abroad outbound students</t>
  </si>
  <si>
    <t xml:space="preserve">This budget item belongs to Career Services </t>
  </si>
  <si>
    <t>EAB Navigate</t>
  </si>
  <si>
    <t>ILM</t>
  </si>
  <si>
    <t>NACADA Annual Conference</t>
  </si>
  <si>
    <t xml:space="preserve">The salary for 10 outsourced staff is AED 103241 per month + one additional staff (AED 9833). This include overtime and health insurance. </t>
  </si>
  <si>
    <t>We are expecting shortage by around AED 60,000 for salaries related to the outsource staff &amp; by around AED 40,000 for overtime &amp; by around AED 178,677 for Medical Insurance.</t>
  </si>
  <si>
    <t>The funds are for catering expenses. We host VIP guests and delegations on a regular basis, and catering is an integral part of these events. And so the events can run smoothly and that our guests are provided with high-quality food and beverages.</t>
  </si>
  <si>
    <t>The funds are for travel expenses related to the business missions and conferences that our SVP will be attending in the coming months. The SVP will be attending several important events, including the Work-Integrated Learning Project at the University of Waterloo and the WACE World Conference, as well as several other trips that are essential for our organization. These events provide a unique opportunity for the SVP to network with other professionals in our field, exchange ideas and knowledge, and explore new opportunities for our organization. We estimated the costs of these expenses and will ensure that all expenditures are justified and necessary.</t>
  </si>
  <si>
    <r>
      <t>10,300,000</t>
    </r>
    <r>
      <rPr>
        <sz val="10"/>
        <color rgb="FF000000"/>
        <rFont val="Calibri"/>
        <family val="2"/>
      </rPr>
      <t> </t>
    </r>
  </si>
  <si>
    <r>
      <t>11,500,000</t>
    </r>
    <r>
      <rPr>
        <sz val="10"/>
        <color rgb="FF000000"/>
        <rFont val="Calibri"/>
        <family val="2"/>
      </rPr>
      <t> </t>
    </r>
  </si>
  <si>
    <r>
      <t>61,750,000</t>
    </r>
    <r>
      <rPr>
        <sz val="10"/>
        <color rgb="FF000000"/>
        <rFont val="Calibri"/>
        <family val="2"/>
      </rPr>
      <t> </t>
    </r>
  </si>
  <si>
    <t>In the process of purchasing a printer</t>
  </si>
  <si>
    <r>
      <t>Fall 2023 Intake is not confirmed</t>
    </r>
    <r>
      <rPr>
        <sz val="10"/>
        <color rgb="FF000000"/>
        <rFont val="Calibri"/>
        <family val="2"/>
      </rPr>
      <t> </t>
    </r>
  </si>
  <si>
    <t>Dell PC 2nd payment Al Nokhba. Gift Items. UG Scholarship Digital Media Campaign. THE Times Higher Education agreement. NAJAH Abu Dhabi. Sharjah Educational Show. KU Open Day In Campus. Competition.</t>
  </si>
  <si>
    <t xml:space="preserve">Software </t>
  </si>
  <si>
    <t xml:space="preserve">_Iftar Gatherings _ PR for Booth Stands for National Day Event </t>
  </si>
  <si>
    <t>Payment for utilization of student transportation service like, weekend trips, daily shuttle buses,
Field and recreational trips.
Payment for the fuel variation.
Pending payments for 2022 &amp; 2021</t>
  </si>
  <si>
    <t xml:space="preserve">_PR for Fixing curtains and buying mattresses _TV &amp; Satellite Receivers _Sports Equipment for the Dorms_ Smart White Boards_ Miscellaneous items (mirrors, ironing device, boiler..etc) _Renting additional rooms outside KU _ Petty Cash for students trips and activities in the dorm. </t>
  </si>
  <si>
    <t xml:space="preserve">_Petty Cash Settlements for Bazaar &amp; Global Day_ PR for Club Day 2023 _ PR for UG/PG Orientation &amp; Gift Items_Petty Cash For National Day Event_ Recreational/Sports/ Local Trips_Petty Cash settlements every month for clubs' activities, Field Trip to Japan </t>
  </si>
  <si>
    <t>_Catering for Winter Night Gathering in Dorm (it seems one payment is not done yet) and for UG/PG Orientation Fall 2023 for 3 days_Catering for Global Day_ Caterings for Clubs Events and First Aid Honor Day_Catering for Club Day and National Day_Catering for Clubs events in Fall 2023.</t>
  </si>
  <si>
    <t>Winners of Ratel Competition Winners for Film Festival and Other events in Fall 2023.</t>
  </si>
  <si>
    <t>_On-campus employment pending payments for Summer and Fall 2022_ payments for Spring and Fall 2023.</t>
  </si>
  <si>
    <t>_Sports uniforms/jersey/training suits for Sports Teams and Coordinators and personal tools for sports teams (racket, knee pads, goalkeeper gloves, drawstring bags..etc...)</t>
  </si>
  <si>
    <t xml:space="preserve">_Printing materials for Orientation Program 2023, club Fair &amp; National Day </t>
  </si>
  <si>
    <t>We already raised PR with AED 13,000,000 and we are still expecting shortage by around AED 1,596,563.00 for the fourth quarter and we plan to raise another PR in July-August 2023 to cover the shortage if the extra required amount is credited to the Student Transportation budget account.</t>
  </si>
  <si>
    <t>We are expecting deficit in this account as we want to have sport coaches services for 9 months and the total excepted cost for this element is around AED 507,000.</t>
  </si>
  <si>
    <t>We are expecting deficit in this budget account as we have some important events in Fall 2023 which we have to provide catering like the 3 days orientation program for students and parents as well as the national day event which is open to public.</t>
  </si>
  <si>
    <t>CTL &amp; Library Office are in need of extra students to support them during the year. In order to help them with continuation of extending students contract for on-campus employment, we will need extra budget by AED 70,000.</t>
  </si>
  <si>
    <t>We are expecting deficit in this account as we are out of stock from  sports uniforms as well as some sports items needs to be replaced.</t>
  </si>
  <si>
    <t xml:space="preserve">We are expecting deficit in this budget account as we have some important materials to be printed for the upcoming Orientation Program, Club Fair and National Day </t>
  </si>
  <si>
    <t xml:space="preserve"> Budget availability is  1,352,893 AED, resulting in a shortage of funds to renew all the databases. We need an additioal amout 550,000 AED to renew our existing subscriptions therefore requesting additional funding to ensure uninterrupted access to all our scholarly databases. So we plan to renew carefully from a prioritized list based on the available budget, covering the most important databases first, until we are granted additional funding.</t>
  </si>
  <si>
    <t xml:space="preserve">Scheduled Marketing Campaign </t>
  </si>
  <si>
    <t>Will be used for: PD Week Fall 2023, Faculty workshops, staff local conferences attendance</t>
  </si>
  <si>
    <t>International conferences by CTL team</t>
  </si>
  <si>
    <t>Teaching awards and Mini-grants for faculty recipients</t>
  </si>
  <si>
    <t xml:space="preserve">Payment for education-outsourced services </t>
  </si>
  <si>
    <t>E-Gaming competition, Experiential Learning Symposium, Musabaqat</t>
  </si>
  <si>
    <t>Catering for face-to-face training services.</t>
  </si>
  <si>
    <t>Educational Technology Tools</t>
  </si>
  <si>
    <t xml:space="preserve">Petty Cash Consumables items </t>
  </si>
  <si>
    <t>Posters, roll-ups, printing training materials</t>
  </si>
  <si>
    <t>Laptops purchased for PhD students.</t>
  </si>
  <si>
    <t>a PR raised to purchase laptops for PhD students</t>
  </si>
  <si>
    <t>External Examiner costs for graduating PhD students:
22 students in Spring 2023
13 students in Summer 2023
44 students in Fall 2023</t>
  </si>
  <si>
    <t>Budget is used as per the approved conference applications of graduate students.</t>
  </si>
  <si>
    <t>Medical insurance for current students was expected to be deducted in Jan and Feb 2023. For F23 admitted students (161 expat students), it is expected to be deducted in Sep 2023. Also, please note that medical insurance is needed for students who renew their visas</t>
  </si>
  <si>
    <t>Calculation includes:
Current students - travel allowance, visa renewal, demobilisation
New F23 students - visa application, mobilisation (113 expat students).</t>
  </si>
  <si>
    <t>Minimum required to cover stipend costs of current graduate students. Estimation for Fall 2023 admitted students is pending approval of new graduate scholarship structure.</t>
  </si>
  <si>
    <t>Budget is used as per the approved internship applications of graduate students.</t>
  </si>
  <si>
    <t>Graduate student event will be planned in winter.</t>
  </si>
  <si>
    <t>around 2.5 million is needed to cover the expenses of external examiners services.  Starting from Fall 2023, our aim is to have the external examiners joining the exam virtually.</t>
  </si>
  <si>
    <t>We don’t expect that there will surplus</t>
  </si>
  <si>
    <t>Stipend amount needed for new intake in Fall 2023.</t>
  </si>
  <si>
    <t xml:space="preserve">Committeed Invoice IAF Euro 440 to be paid once siupplier registered </t>
  </si>
  <si>
    <t xml:space="preserve">CAA accreditation fees to be paid, new programs (5)/reaccrediation (23) /substanstansive changes , @150K each  28 in all, plus need to pay ADEK for these too 
SDP/DoE Field Trips and Earch Sciences - transferred for these </t>
  </si>
  <si>
    <r>
      <rPr>
        <b/>
        <sz val="10"/>
        <color theme="1"/>
        <rFont val="Calibri"/>
        <family val="2"/>
      </rPr>
      <t>commmitted invoices</t>
    </r>
    <r>
      <rPr>
        <sz val="10"/>
        <color theme="1"/>
        <rFont val="Calibri"/>
        <family val="2"/>
      </rPr>
      <t xml:space="preserve"> 
Jade Restaurant: March event 2571/Jan Event 2835
April Event 2000
Various meetings to happened, such as Dean search and other committee meetings where catering required </t>
    </r>
  </si>
  <si>
    <t xml:space="preserve">ICC May Rome Dr Bayan
Globecom 2023 Dec Dr Bayan + 1
Some international trips for Provost office </t>
  </si>
  <si>
    <t>Catering 25200 Townhall committeed
Award Plaques 8000</t>
  </si>
  <si>
    <t>award for top publications @ 20K each to winners. Will be done in 2 "batches" during the year</t>
  </si>
  <si>
    <t>800K to be tranferred to library for Open Access 
250k per month on top Academic publications payments</t>
  </si>
  <si>
    <t>New budget line, gases and consummables 800k for 9 months (50K on gases alone per month</t>
  </si>
  <si>
    <t>Will need to keep these funds in order to transfer to areas with deficit</t>
  </si>
  <si>
    <t xml:space="preserve">Hololens </t>
  </si>
  <si>
    <t xml:space="preserve">20000 EECS
Start Up CAPEX as follows:
2966840 CHEM
320000 ISYE
300000 CIVE
1115000 EECS
499000 BMED
1000000 CMHS
8,799160 Remainder of Start Up CAPEX
</t>
  </si>
  <si>
    <t>Team Building Activitiy for the employees of Support Services. Delegations/Catering</t>
  </si>
  <si>
    <t>All Business Travel which are related to the KU Projects</t>
  </si>
  <si>
    <t xml:space="preserve">Town Hall Meeting </t>
  </si>
  <si>
    <t xml:space="preserve">For KU IT Staff Payroll </t>
  </si>
  <si>
    <t>Manpower outsourcing contract</t>
  </si>
  <si>
    <t>Cloud Services expansion</t>
  </si>
  <si>
    <t>To be transferred to AC 432205 (maintenance and support) for Audio Visual Renovations</t>
  </si>
  <si>
    <t>Software Licenses.</t>
  </si>
  <si>
    <t>Telephony &amp; Mobile usage bill. 
Balance to be transferred to other Opex Accounts</t>
  </si>
  <si>
    <t>Internet Bills requires additional funds to be transferred from the Telephony A/C 427810</t>
  </si>
  <si>
    <t>Travel to events and to DR Site</t>
  </si>
  <si>
    <t>- Renewal maintenance network, telephony and network security. 
- Wireless and Audio Visual expansion projects</t>
  </si>
  <si>
    <t>Printing charges bill for Mar 2023</t>
  </si>
  <si>
    <t>PR for network refresh issued in April.
Balance to be transferred to AC 492356</t>
  </si>
  <si>
    <t>Balance to be transferred to AC 492356</t>
  </si>
  <si>
    <r>
      <t xml:space="preserve">After Transfer from CAPEX Accounts, additional funds are needed AED </t>
    </r>
    <r>
      <rPr>
        <b/>
        <sz val="10"/>
        <color theme="1"/>
        <rFont val="Calibri"/>
        <family val="2"/>
      </rPr>
      <t>2,107,140 for Audio Visual Projects to renovate Classrooms, Multipurpose rooms and Meeting Rooms</t>
    </r>
  </si>
  <si>
    <t>Balance from PR</t>
  </si>
  <si>
    <t>Usage re-prioritized for Audio Visual Renovations projects.
Fudns to be tarnsferd to AC 492356</t>
  </si>
  <si>
    <t>Budget not used because manpower outsourcing is now using Chapter 1 budget account. 
Funds to be repurposed to maintenance for audio visual renovation projects</t>
  </si>
  <si>
    <t>Budget approved more than requested. 
Funds to be repurposed to cover gaps for Internet expenses AC 427850 and maintenance for audio visual renovations AC 432205</t>
  </si>
  <si>
    <t>Taleo Support Service</t>
  </si>
  <si>
    <t>Employee relations events</t>
  </si>
  <si>
    <t>PR's will be raised</t>
  </si>
  <si>
    <t xml:space="preserve">unplanned Furniture Movment </t>
  </si>
  <si>
    <t xml:space="preserve"> PR's to be raised</t>
  </si>
  <si>
    <t>New contract PR to be raised</t>
  </si>
  <si>
    <t xml:space="preserve">Petty cash cost </t>
  </si>
  <si>
    <t>Monthly consumption</t>
  </si>
  <si>
    <t>Planned PR to be raised</t>
  </si>
  <si>
    <t>Maintenance of Cars</t>
  </si>
  <si>
    <t>Catering supplies cost</t>
  </si>
  <si>
    <t>Fuel cost</t>
  </si>
  <si>
    <t>Printing services</t>
  </si>
  <si>
    <t>Extra Funds</t>
  </si>
  <si>
    <t>planned projects</t>
  </si>
  <si>
    <t>Under Tendering for PO</t>
  </si>
  <si>
    <t>ISO Certification renewal charge, Due in Nov</t>
  </si>
  <si>
    <t>PCD gathering expenses</t>
  </si>
  <si>
    <t>Renewal of PCD HD License</t>
  </si>
  <si>
    <t>To Pay Clearance Charges till end of the year</t>
  </si>
  <si>
    <t>PCD Staff Business travel expense</t>
  </si>
  <si>
    <t>Release Order for PPE Stock Items in 2023</t>
  </si>
  <si>
    <t>To reorder Print Stationery items</t>
  </si>
  <si>
    <t>Release Order for Stationery Stock Items in 2023</t>
  </si>
  <si>
    <t>* yearend AED 90,900 + 50,500 addition 
* midyear AED 35,350
*internal control (ICFR) AED 60,600
* 50% advance for 2023 audit</t>
  </si>
  <si>
    <t>*Gap assessment for the internal control over financial reporting - COSO framework 1*290000
* COSO remediation AED 95,000 (50%)
* Impairment loss implementation AED 375,000</t>
  </si>
  <si>
    <t>Bank charges/transaction during the year</t>
  </si>
  <si>
    <t>the outsource staff moved to permanent position in Research payroll</t>
  </si>
  <si>
    <t>extra budget was allocated by budget team compared to submission</t>
  </si>
  <si>
    <t>To be covered from the surplus in other accounts</t>
  </si>
  <si>
    <t>might be utilized during the year</t>
  </si>
  <si>
    <t>not required</t>
  </si>
  <si>
    <t>Plan for marketing our new Programs</t>
  </si>
  <si>
    <t>CAA accreditation visits</t>
  </si>
  <si>
    <t>Support Math conference</t>
  </si>
  <si>
    <t>Send Faculty to overseas conferences to market our programs</t>
  </si>
  <si>
    <t>1PLoS  paper</t>
  </si>
  <si>
    <t>as per the budget</t>
  </si>
  <si>
    <t>We plan to transfer 150k to this account from equipment maintenance account (432209)</t>
  </si>
  <si>
    <t>App. 58,000 AED supporting the DTR for three faculty members</t>
  </si>
  <si>
    <t>No activities planned for the month of April. Will keep it for majors Day</t>
  </si>
  <si>
    <t>No activities planned for the month of April</t>
  </si>
  <si>
    <t>We have about 350k of maintenance PRs to raise. Some of them will be raised in April</t>
  </si>
  <si>
    <t>App. 2500 GBP  publication fees to support one open access manuscript in top 10%  journal</t>
  </si>
  <si>
    <t>We plan to transfer 300k to here from equipment maintenance account (432209) due to lack of lab supplies budget for urgent PRs</t>
  </si>
  <si>
    <t xml:space="preserve"> </t>
  </si>
  <si>
    <t>less expensive than budgeted</t>
  </si>
  <si>
    <t>consulting and editing service</t>
  </si>
  <si>
    <t>conference attendance (local)</t>
  </si>
  <si>
    <t>conference attendance (overseas)</t>
  </si>
  <si>
    <t>academic visit and seminars</t>
  </si>
  <si>
    <t>software renewal (IBM SPSS/AMOS)</t>
  </si>
  <si>
    <t>journal subscriptions</t>
  </si>
  <si>
    <t xml:space="preserve">short business travels </t>
  </si>
  <si>
    <t>event awards and gifts for attendees</t>
  </si>
  <si>
    <t>journal submission and publication fees</t>
  </si>
  <si>
    <t>instruments used for teaching purposes</t>
  </si>
  <si>
    <t>Running regular seminars at our department</t>
  </si>
  <si>
    <t>possible bank charges</t>
  </si>
  <si>
    <t>Summer months faculty will be attending conferences. However, other conferences are planned throughout the year. Delay in use is due to late confirmation of the budget.</t>
  </si>
  <si>
    <t>budget was delayed and there was uncertainty. We plan to use the remaining amount by June</t>
  </si>
  <si>
    <t>publication fee payments were delayed due to delay in budged confirmation. In principle we expect a steady flow of requests for payments throughout the year.</t>
  </si>
  <si>
    <t>devolved to Departments</t>
  </si>
  <si>
    <t>We plan to utilize this fund to buy one microscope (activity plan 5187). Additional PRs are subject to approved budget transfer from Provost Account</t>
  </si>
  <si>
    <t>20k for microscope maintaining,  12.5k Cathodoleomence</t>
  </si>
  <si>
    <t xml:space="preserve"> Geosoft Classroom Subscription Renewal– (5 License) </t>
  </si>
  <si>
    <t>Current plans for overseas conference presetntaions are ongoing.  Many faculty and staff are working on papers to present for KU showcasing.   Two high level conferences have accepted papers for presentation in USA and Australia</t>
  </si>
  <si>
    <t xml:space="preserve">new policies and renewal pending  student onboarding and renewal dates to be reported.  </t>
  </si>
  <si>
    <t xml:space="preserve">student onboarding in July/August </t>
  </si>
  <si>
    <t xml:space="preserve">Monthly Stiped Ongoing </t>
  </si>
  <si>
    <t xml:space="preserve">NBME and IFOM  across all quarters assessment being planned by OME </t>
  </si>
  <si>
    <t>On target for student applications and ongong experienceswiht Cedar Sinai and Washington as well as others.</t>
  </si>
  <si>
    <t>Shoud be reflected in Q2 and Q3 as students present locally internally and regionally</t>
  </si>
  <si>
    <t>will be expended in the next three quarters, more heavilty in Q 3 and Q4.</t>
  </si>
  <si>
    <t>Funds will be expeneded for Graduation and other events for Med School onboarding.  As first class graduates, this may requie budget transfer funds.</t>
  </si>
  <si>
    <t xml:space="preserve">renewal programs review in process and expnses will be entered Q2 by Anatomy and OME student learning platforms. </t>
  </si>
  <si>
    <t>shipping items locally regionall or internationlly TBD and expended Q3/Q4</t>
  </si>
  <si>
    <t>renewal and applications per faculty and staff in review process.</t>
  </si>
  <si>
    <t xml:space="preserve">Expenditures planned in Q3 and Q4 others may be established for Q2 </t>
  </si>
  <si>
    <t xml:space="preserve">Will be expended in Q2 and Q3 as new student onboard and events are planned and executed for recogntion and celebration </t>
  </si>
  <si>
    <t xml:space="preserve">Major Computer concerns will be addressed and enterd Q2, Q3 and Q4 by enduser </t>
  </si>
  <si>
    <t>End users have been informed of the amounts they are allocated for use.  This should be expended before the end of Q3 or Early Q4</t>
  </si>
  <si>
    <t>OME has this under discussion.</t>
  </si>
  <si>
    <t>Purchases underway departmentally</t>
  </si>
  <si>
    <t xml:space="preserve">Articles have been published and paid more output per faculty and staff pendind publication acceptance.   Q1 top quartile journals only. </t>
  </si>
  <si>
    <t>Suppply and inventory items for laboratory needs will  need to be continually reviewed by Chairs and allocated accordingy Q 2 - Q 4/</t>
  </si>
  <si>
    <t xml:space="preserve">will be expended over the next 3 qyarters by OME and Falcon Communites as well as Balsam. </t>
  </si>
  <si>
    <t xml:space="preserve">Order Pending Q2 </t>
  </si>
  <si>
    <t>will be used</t>
  </si>
  <si>
    <t>will be determined in q2</t>
  </si>
  <si>
    <t>in april being organized</t>
  </si>
  <si>
    <t>Courses being organized in april and may and student onboarding in june</t>
  </si>
  <si>
    <t>Submissions pending new student onboarding in april</t>
  </si>
  <si>
    <t xml:space="preserve">POs have been raised, further discussions with Chairs by Research will determine focus and spending Q2-Q4 </t>
  </si>
  <si>
    <t>Department Feedback</t>
  </si>
  <si>
    <t>no</t>
  </si>
  <si>
    <t>yes</t>
  </si>
  <si>
    <t xml:space="preserve">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</si>
</sst>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0_);_(* \(#,##0.0\);_(* &quot;-&quot;??_);_(@_)"/>
    <numFmt numFmtId="165" formatCode="_(* #,##0_);_(* \(#,##0\);_(* &quot;-&quot;??_);_(@_)"/>
    <numFmt numFmtId="166" formatCode="_-* #,##0_-;\-* #,##0_-;_-* &quot;-&quot;??_-;_-@_-"/>
  </numFmts>
  <fonts count="20" x14ac:knownFonts="1">
    <font>
      <sz val="11"/>
      <color theme="1"/>
      <name val="Calibri"/>
    </font>
    <font>
      <sz val="11"/>
      <color theme="1"/>
      <name val="Calibri"/>
      <family val="2"/>
      <scheme val="minor"/>
    </font>
    <font>
      <sz val="6"/>
      <color theme="1"/>
      <name val="Calibri"/>
    </font>
    <font>
      <b/>
      <sz val="12"/>
      <color theme="1"/>
      <name val="Calibri"/>
      <family val="2"/>
    </font>
    <font>
      <sz val="10"/>
      <color theme="1"/>
      <name val="Calibri"/>
      <family val="2"/>
    </font>
    <font>
      <b/>
      <sz val="10"/>
      <color theme="1"/>
      <name val="Calibri"/>
      <family val="2"/>
    </font>
    <font>
      <b/>
      <sz val="11"/>
      <color theme="0" tint="-4.9989318521683403E-2"/>
      <name val="Calibri"/>
      <family val="2"/>
    </font>
    <font>
      <sz val="11"/>
      <color theme="1"/>
      <name val="Calibri"/>
    </font>
    <font>
      <sz val="8"/>
      <color theme="1"/>
      <name val="Calibri"/>
    </font>
    <font>
      <sz val="10"/>
      <color theme="1"/>
      <name val="Times New Roman"/>
      <family val="1"/>
    </font>
    <font>
      <sz val="10"/>
      <name val="Calibri"/>
      <family val="2"/>
      <scheme val="minor"/>
    </font>
    <font>
      <sz val="10"/>
      <color rgb="FF000000"/>
      <name val="Calibri"/>
      <family val="2"/>
    </font>
    <font>
      <b/>
      <sz val="9"/>
      <color indexed="81"/>
      <name val="Tahoma"/>
      <family val="2"/>
    </font>
    <font>
      <sz val="10"/>
      <name val="Calibri"/>
      <family val="2"/>
    </font>
    <font>
      <sz val="10"/>
      <color indexed="81"/>
      <name val="Tahoma"/>
      <family val="2"/>
    </font>
    <font>
      <sz val="11"/>
      <color rgb="FF000000"/>
      <name val="Calibri"/>
      <family val="2"/>
    </font>
    <font>
      <sz val="10"/>
      <color theme="1"/>
      <name val="Calibri"/>
      <family val="2"/>
      <scheme val="minor"/>
    </font>
    <font>
      <b/>
      <sz val="9"/>
      <color indexed="81"/>
      <name val="Tahoma"/>
      <charset val="1"/>
    </font>
    <font>
      <sz val="9"/>
      <color indexed="81"/>
      <name val="Tahoma"/>
      <charset val="1"/>
    </font>
    <font>
      <sz val="10"/>
      <color rgb="FF000000"/>
      <name val="Calibri"/>
      <family val="2"/>
      <charset val="1"/>
    </font>
  </fonts>
  <fills count="11">
    <fill>
      <patternFill patternType="none"/>
    </fill>
    <fill>
      <patternFill patternType="gray125"/>
    </fill>
    <fill>
      <patternFill patternType="solid">
        <fgColor rgb="FFF0F4FA"/>
      </patternFill>
    </fill>
    <fill>
      <patternFill patternType="solid">
        <fgColor rgb="FFFFFFFF"/>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FFFF"/>
        <bgColor rgb="FFF2F2F2"/>
      </patternFill>
    </fill>
  </fills>
  <borders count="20">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979991"/>
      </left>
      <right/>
      <top style="thin">
        <color rgb="FF979991"/>
      </top>
      <bottom style="thin">
        <color rgb="FF97999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indexed="64"/>
      </right>
      <top/>
      <bottom style="thin">
        <color rgb="FF000000"/>
      </bottom>
      <diagonal/>
    </border>
  </borders>
  <cellStyleXfs count="5">
    <xf numFmtId="0" fontId="0" fillId="0" borderId="0"/>
    <xf numFmtId="43" fontId="7" fillId="0" borderId="0" applyFont="0" applyFill="0" applyBorder="0" applyAlignment="0" applyProtection="0"/>
    <xf numFmtId="0" fontId="1" fillId="0" borderId="0"/>
    <xf numFmtId="0" fontId="7" fillId="0" borderId="0"/>
    <xf numFmtId="43" fontId="7" fillId="0" borderId="0" applyFont="0" applyFill="0" applyBorder="0" applyAlignment="0" applyProtection="0"/>
  </cellStyleXfs>
  <cellXfs count="216">
    <xf numFmtId="0" fontId="0" fillId="0" borderId="0" xfId="0"/>
    <xf numFmtId="0" fontId="0" fillId="0" borderId="0" xfId="0" applyAlignment="1">
      <alignment horizontal="center" vertical="top" wrapText="1"/>
    </xf>
    <xf numFmtId="0" fontId="2" fillId="0" borderId="0" xfId="0" applyFont="1"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horizontal="center" wrapText="1"/>
    </xf>
    <xf numFmtId="0" fontId="0" fillId="0" borderId="0" xfId="0" applyAlignment="1">
      <alignment wrapText="1"/>
    </xf>
    <xf numFmtId="0" fontId="4" fillId="3" borderId="5" xfId="0" applyFont="1" applyFill="1" applyBorder="1" applyAlignment="1">
      <alignment horizontal="left" vertical="top" wrapText="1"/>
    </xf>
    <xf numFmtId="0" fontId="4" fillId="3" borderId="6" xfId="0" applyNumberFormat="1" applyFont="1" applyFill="1" applyBorder="1" applyAlignment="1">
      <alignment horizontal="left" vertical="top" wrapText="1"/>
    </xf>
    <xf numFmtId="0" fontId="4" fillId="3" borderId="7" xfId="0" applyFont="1" applyFill="1" applyBorder="1" applyAlignment="1">
      <alignment horizontal="left" vertical="top" wrapText="1"/>
    </xf>
    <xf numFmtId="0" fontId="4" fillId="3" borderId="7" xfId="0" applyNumberFormat="1" applyFont="1" applyFill="1" applyBorder="1" applyAlignment="1">
      <alignment horizontal="left" vertical="top" wrapText="1"/>
    </xf>
    <xf numFmtId="3" fontId="4" fillId="3" borderId="7" xfId="0" applyNumberFormat="1" applyFont="1" applyFill="1" applyBorder="1" applyAlignment="1">
      <alignment horizontal="right" vertical="top" wrapText="1"/>
    </xf>
    <xf numFmtId="3" fontId="4" fillId="3" borderId="8" xfId="0" applyNumberFormat="1" applyFont="1" applyFill="1" applyBorder="1" applyAlignment="1">
      <alignment horizontal="right" vertical="top" wrapText="1"/>
    </xf>
    <xf numFmtId="0" fontId="4" fillId="3" borderId="5" xfId="0" applyFont="1" applyFill="1" applyBorder="1" applyAlignment="1">
      <alignment horizontal="right" vertical="top" wrapText="1"/>
    </xf>
    <xf numFmtId="0" fontId="4" fillId="3" borderId="6" xfId="0" applyFont="1" applyFill="1" applyBorder="1" applyAlignment="1">
      <alignment horizontal="right" vertical="top" wrapText="1"/>
    </xf>
    <xf numFmtId="0" fontId="4" fillId="3" borderId="8" xfId="0" applyFont="1" applyFill="1" applyBorder="1" applyAlignment="1">
      <alignment horizontal="right" vertical="top" wrapText="1"/>
    </xf>
    <xf numFmtId="3" fontId="4" fillId="3" borderId="6" xfId="0" applyNumberFormat="1" applyFont="1" applyFill="1" applyBorder="1" applyAlignment="1">
      <alignment horizontal="right" vertical="top" wrapText="1"/>
    </xf>
    <xf numFmtId="0" fontId="4" fillId="3" borderId="7" xfId="0" applyFont="1" applyFill="1" applyBorder="1" applyAlignment="1">
      <alignment horizontal="right" vertical="top" wrapText="1"/>
    </xf>
    <xf numFmtId="3" fontId="4" fillId="3" borderId="5" xfId="0" applyNumberFormat="1" applyFont="1" applyFill="1" applyBorder="1" applyAlignment="1">
      <alignment horizontal="right" vertical="top" wrapText="1"/>
    </xf>
    <xf numFmtId="1" fontId="4" fillId="3" borderId="6" xfId="0" applyNumberFormat="1" applyFont="1" applyFill="1" applyBorder="1" applyAlignment="1">
      <alignment horizontal="right" vertical="top" wrapText="1"/>
    </xf>
    <xf numFmtId="0" fontId="5"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3" fontId="5" fillId="2" borderId="7" xfId="0" applyNumberFormat="1" applyFont="1" applyFill="1" applyBorder="1" applyAlignment="1">
      <alignment horizontal="right" vertical="top" wrapText="1"/>
    </xf>
    <xf numFmtId="3" fontId="5" fillId="2" borderId="8" xfId="0" applyNumberFormat="1" applyFont="1" applyFill="1" applyBorder="1" applyAlignment="1">
      <alignment horizontal="right" vertical="top" wrapText="1"/>
    </xf>
    <xf numFmtId="3" fontId="5" fillId="2" borderId="5" xfId="0" applyNumberFormat="1" applyFont="1" applyFill="1" applyBorder="1" applyAlignment="1">
      <alignment horizontal="right" vertical="top" wrapText="1"/>
    </xf>
    <xf numFmtId="1" fontId="5" fillId="2" borderId="6" xfId="0" applyNumberFormat="1" applyFont="1" applyFill="1" applyBorder="1" applyAlignment="1">
      <alignment horizontal="right" vertical="top" wrapText="1"/>
    </xf>
    <xf numFmtId="3" fontId="5" fillId="2" borderId="6" xfId="0" applyNumberFormat="1" applyFont="1" applyFill="1" applyBorder="1" applyAlignment="1">
      <alignment horizontal="right" vertical="top" wrapText="1"/>
    </xf>
    <xf numFmtId="0" fontId="4" fillId="2" borderId="8" xfId="0" applyFont="1" applyFill="1" applyBorder="1" applyAlignment="1">
      <alignment horizontal="right" vertical="top" wrapText="1"/>
    </xf>
    <xf numFmtId="0" fontId="4" fillId="2" borderId="6" xfId="0" applyFont="1" applyFill="1" applyBorder="1" applyAlignment="1">
      <alignment horizontal="right" vertical="top" wrapText="1"/>
    </xf>
    <xf numFmtId="0" fontId="4" fillId="2" borderId="7" xfId="0" applyFont="1" applyFill="1" applyBorder="1" applyAlignment="1">
      <alignment horizontal="right" vertical="top" wrapText="1"/>
    </xf>
    <xf numFmtId="0" fontId="5"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6" fillId="4" borderId="10"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1" xfId="0" applyFont="1" applyFill="1" applyBorder="1" applyAlignment="1">
      <alignment horizontal="left" vertical="center" wrapText="1"/>
    </xf>
    <xf numFmtId="43" fontId="5" fillId="2" borderId="6" xfId="1" applyFont="1" applyFill="1" applyBorder="1" applyAlignment="1">
      <alignment horizontal="right" vertical="top" wrapText="1"/>
    </xf>
    <xf numFmtId="0" fontId="3" fillId="0" borderId="0" xfId="0" applyFont="1" applyAlignment="1">
      <alignment horizontal="left" vertical="top"/>
    </xf>
    <xf numFmtId="0" fontId="0" fillId="0" borderId="0" xfId="0" applyAlignment="1"/>
    <xf numFmtId="0" fontId="0" fillId="0" borderId="0" xfId="0" applyAlignment="1">
      <alignment horizontal="center"/>
    </xf>
    <xf numFmtId="0" fontId="0" fillId="0" borderId="0" xfId="0" applyAlignment="1">
      <alignment horizontal="center" vertical="top"/>
    </xf>
    <xf numFmtId="0" fontId="6" fillId="4" borderId="10" xfId="0" applyFont="1" applyFill="1" applyBorder="1" applyAlignment="1">
      <alignment horizontal="left" vertical="center"/>
    </xf>
    <xf numFmtId="0" fontId="6" fillId="4" borderId="4" xfId="0" applyFont="1" applyFill="1" applyBorder="1" applyAlignment="1">
      <alignment horizontal="left" vertical="center"/>
    </xf>
    <xf numFmtId="0" fontId="6" fillId="4" borderId="2" xfId="0" applyFont="1" applyFill="1" applyBorder="1" applyAlignment="1">
      <alignment horizontal="left" vertical="center"/>
    </xf>
    <xf numFmtId="0" fontId="6" fillId="4" borderId="3" xfId="0" applyFont="1" applyFill="1" applyBorder="1" applyAlignment="1">
      <alignment horizontal="left" vertical="center"/>
    </xf>
    <xf numFmtId="0" fontId="6" fillId="4" borderId="1" xfId="0" applyFont="1" applyFill="1" applyBorder="1" applyAlignment="1">
      <alignment horizontal="left" vertical="center"/>
    </xf>
    <xf numFmtId="0" fontId="4" fillId="3" borderId="5" xfId="0" applyFont="1" applyFill="1" applyBorder="1" applyAlignment="1">
      <alignment horizontal="left" vertical="top"/>
    </xf>
    <xf numFmtId="0" fontId="4" fillId="3" borderId="6" xfId="0" applyNumberFormat="1" applyFont="1" applyFill="1" applyBorder="1" applyAlignment="1">
      <alignment horizontal="left" vertical="top"/>
    </xf>
    <xf numFmtId="0" fontId="4" fillId="3" borderId="7" xfId="0" applyFont="1" applyFill="1" applyBorder="1" applyAlignment="1">
      <alignment horizontal="left" vertical="top"/>
    </xf>
    <xf numFmtId="0" fontId="4" fillId="3" borderId="7" xfId="0" applyNumberFormat="1" applyFont="1" applyFill="1" applyBorder="1" applyAlignment="1">
      <alignment horizontal="left" vertical="top"/>
    </xf>
    <xf numFmtId="3" fontId="4" fillId="3" borderId="8" xfId="0" applyNumberFormat="1" applyFont="1" applyFill="1" applyBorder="1" applyAlignment="1">
      <alignment horizontal="right" vertical="top"/>
    </xf>
    <xf numFmtId="0" fontId="4" fillId="3" borderId="5" xfId="0" applyFont="1" applyFill="1" applyBorder="1" applyAlignment="1">
      <alignment horizontal="right" vertical="top"/>
    </xf>
    <xf numFmtId="0" fontId="4" fillId="3" borderId="6" xfId="0" applyFont="1" applyFill="1" applyBorder="1" applyAlignment="1">
      <alignment horizontal="right" vertical="top"/>
    </xf>
    <xf numFmtId="0" fontId="4" fillId="3" borderId="8" xfId="0" applyFont="1" applyFill="1" applyBorder="1" applyAlignment="1">
      <alignment horizontal="right" vertical="top"/>
    </xf>
    <xf numFmtId="3" fontId="4" fillId="3" borderId="6" xfId="0" applyNumberFormat="1" applyFont="1" applyFill="1" applyBorder="1" applyAlignment="1">
      <alignment horizontal="right" vertical="top"/>
    </xf>
    <xf numFmtId="0" fontId="4" fillId="3" borderId="7" xfId="0" applyFont="1" applyFill="1" applyBorder="1" applyAlignment="1">
      <alignment horizontal="right" vertical="top"/>
    </xf>
    <xf numFmtId="3" fontId="4" fillId="3" borderId="7" xfId="0" applyNumberFormat="1" applyFont="1" applyFill="1" applyBorder="1" applyAlignment="1">
      <alignment horizontal="right" vertical="top"/>
    </xf>
    <xf numFmtId="3" fontId="4" fillId="3" borderId="5" xfId="0" applyNumberFormat="1" applyFont="1" applyFill="1" applyBorder="1" applyAlignment="1">
      <alignment horizontal="right" vertical="top"/>
    </xf>
    <xf numFmtId="1" fontId="4" fillId="3" borderId="6" xfId="0" applyNumberFormat="1" applyFont="1" applyFill="1" applyBorder="1" applyAlignment="1">
      <alignment horizontal="right" vertical="top"/>
    </xf>
    <xf numFmtId="43" fontId="4" fillId="3" borderId="8" xfId="1" applyFont="1" applyFill="1" applyBorder="1" applyAlignment="1">
      <alignment horizontal="right" vertical="top"/>
    </xf>
    <xf numFmtId="43" fontId="4" fillId="3" borderId="6" xfId="1" applyFont="1" applyFill="1" applyBorder="1" applyAlignment="1">
      <alignment horizontal="right" vertical="top"/>
    </xf>
    <xf numFmtId="164" fontId="4" fillId="3" borderId="8" xfId="1" applyNumberFormat="1" applyFont="1" applyFill="1" applyBorder="1" applyAlignment="1">
      <alignment horizontal="right" vertical="top"/>
    </xf>
    <xf numFmtId="164" fontId="4" fillId="3" borderId="6" xfId="1" applyNumberFormat="1" applyFont="1" applyFill="1" applyBorder="1" applyAlignment="1">
      <alignment horizontal="right" vertical="top"/>
    </xf>
    <xf numFmtId="165" fontId="4" fillId="3" borderId="8" xfId="1" applyNumberFormat="1" applyFont="1" applyFill="1" applyBorder="1" applyAlignment="1">
      <alignment horizontal="right" vertical="top"/>
    </xf>
    <xf numFmtId="165" fontId="4" fillId="3" borderId="5" xfId="1" applyNumberFormat="1" applyFont="1" applyFill="1" applyBorder="1" applyAlignment="1">
      <alignment horizontal="right" vertical="top"/>
    </xf>
    <xf numFmtId="165" fontId="4" fillId="3" borderId="6" xfId="1" applyNumberFormat="1" applyFont="1" applyFill="1" applyBorder="1" applyAlignment="1">
      <alignment horizontal="right" vertical="top"/>
    </xf>
    <xf numFmtId="165" fontId="4" fillId="3" borderId="7" xfId="1" applyNumberFormat="1" applyFont="1" applyFill="1" applyBorder="1" applyAlignment="1">
      <alignment horizontal="right" vertical="top"/>
    </xf>
    <xf numFmtId="0" fontId="8" fillId="3" borderId="7" xfId="0" applyFont="1" applyFill="1" applyBorder="1" applyAlignment="1">
      <alignment horizontal="left" vertical="top" wrapText="1"/>
    </xf>
    <xf numFmtId="165" fontId="0" fillId="0" borderId="0" xfId="0" applyNumberFormat="1"/>
    <xf numFmtId="3" fontId="0" fillId="0" borderId="0" xfId="0" applyNumberFormat="1"/>
    <xf numFmtId="165" fontId="1" fillId="0" borderId="0" xfId="2" applyNumberFormat="1"/>
    <xf numFmtId="165" fontId="0" fillId="0" borderId="0" xfId="0" applyNumberFormat="1" applyAlignment="1">
      <alignment wrapText="1"/>
    </xf>
    <xf numFmtId="43" fontId="0" fillId="0" borderId="0" xfId="1" applyFont="1" applyAlignment="1">
      <alignment wrapText="1"/>
    </xf>
    <xf numFmtId="43" fontId="0" fillId="0" borderId="0" xfId="0" applyNumberFormat="1" applyAlignment="1">
      <alignment wrapText="1"/>
    </xf>
    <xf numFmtId="43" fontId="4" fillId="3" borderId="7" xfId="1" applyFont="1" applyFill="1" applyBorder="1" applyAlignment="1">
      <alignment horizontal="right" vertical="top" wrapText="1"/>
    </xf>
    <xf numFmtId="0" fontId="4" fillId="6" borderId="7" xfId="0" applyFont="1" applyFill="1" applyBorder="1" applyAlignment="1">
      <alignment horizontal="right" vertical="top"/>
    </xf>
    <xf numFmtId="0" fontId="4" fillId="6" borderId="7" xfId="0" applyFont="1" applyFill="1" applyBorder="1" applyAlignment="1">
      <alignment horizontal="right" vertical="top" wrapText="1"/>
    </xf>
    <xf numFmtId="0" fontId="4" fillId="6" borderId="8" xfId="0" applyFont="1" applyFill="1" applyBorder="1" applyAlignment="1">
      <alignment horizontal="right" vertical="top"/>
    </xf>
    <xf numFmtId="0" fontId="4" fillId="6" borderId="6" xfId="0" applyFont="1" applyFill="1" applyBorder="1" applyAlignment="1">
      <alignment horizontal="right" vertical="top"/>
    </xf>
    <xf numFmtId="0" fontId="4" fillId="6" borderId="8" xfId="0" applyFont="1" applyFill="1" applyBorder="1" applyAlignment="1">
      <alignment horizontal="center" vertical="top"/>
    </xf>
    <xf numFmtId="3" fontId="4" fillId="7" borderId="7" xfId="0" applyNumberFormat="1" applyFont="1" applyFill="1" applyBorder="1" applyAlignment="1">
      <alignment horizontal="right" vertical="top" wrapText="1"/>
    </xf>
    <xf numFmtId="43" fontId="4" fillId="3" borderId="8" xfId="1" applyFont="1" applyFill="1" applyBorder="1" applyAlignment="1">
      <alignment horizontal="right" vertical="top" wrapText="1"/>
    </xf>
    <xf numFmtId="43" fontId="4" fillId="3" borderId="6" xfId="1" applyFont="1" applyFill="1" applyBorder="1" applyAlignment="1">
      <alignment horizontal="right" vertical="top" wrapText="1"/>
    </xf>
    <xf numFmtId="0" fontId="4" fillId="3" borderId="7" xfId="0" applyFont="1" applyFill="1" applyBorder="1" applyAlignment="1">
      <alignment vertical="top" wrapText="1"/>
    </xf>
    <xf numFmtId="0" fontId="4" fillId="3" borderId="7" xfId="0" applyFont="1" applyFill="1" applyBorder="1" applyAlignment="1">
      <alignment vertical="top"/>
    </xf>
    <xf numFmtId="0" fontId="4" fillId="7" borderId="6" xfId="0" applyFont="1" applyFill="1" applyBorder="1" applyAlignment="1">
      <alignment horizontal="right" vertical="top"/>
    </xf>
    <xf numFmtId="0" fontId="4" fillId="7" borderId="7" xfId="0" applyFont="1" applyFill="1" applyBorder="1" applyAlignment="1">
      <alignment horizontal="right" vertical="top"/>
    </xf>
    <xf numFmtId="3" fontId="4" fillId="6" borderId="6" xfId="0" applyNumberFormat="1" applyFont="1" applyFill="1" applyBorder="1" applyAlignment="1">
      <alignment horizontal="right" vertical="top"/>
    </xf>
    <xf numFmtId="165" fontId="4" fillId="3" borderId="6" xfId="0" applyNumberFormat="1" applyFont="1" applyFill="1" applyBorder="1" applyAlignment="1">
      <alignment horizontal="right" vertical="top"/>
    </xf>
    <xf numFmtId="165" fontId="4" fillId="3" borderId="7" xfId="1" applyNumberFormat="1" applyFont="1" applyFill="1" applyBorder="1" applyAlignment="1">
      <alignment horizontal="left" vertical="top"/>
    </xf>
    <xf numFmtId="43" fontId="4" fillId="3" borderId="7" xfId="1" applyFont="1" applyFill="1" applyBorder="1" applyAlignment="1">
      <alignment horizontal="right" vertical="top"/>
    </xf>
    <xf numFmtId="0" fontId="9" fillId="3" borderId="7" xfId="0" applyFont="1" applyFill="1" applyBorder="1" applyAlignment="1">
      <alignment horizontal="left" vertical="top" wrapText="1"/>
    </xf>
    <xf numFmtId="0" fontId="4" fillId="3" borderId="8"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3" fontId="4" fillId="3" borderId="7" xfId="0" applyNumberFormat="1" applyFont="1" applyFill="1" applyBorder="1" applyAlignment="1">
      <alignment horizontal="center" vertical="center"/>
    </xf>
    <xf numFmtId="0" fontId="4" fillId="3" borderId="10"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vertical="center" wrapText="1"/>
    </xf>
    <xf numFmtId="3" fontId="4" fillId="3" borderId="10" xfId="0" applyNumberFormat="1" applyFont="1" applyFill="1" applyBorder="1" applyAlignment="1">
      <alignment horizontal="center" vertical="center"/>
    </xf>
    <xf numFmtId="3" fontId="4" fillId="3" borderId="10" xfId="0" applyNumberFormat="1" applyFont="1" applyFill="1" applyBorder="1" applyAlignment="1">
      <alignment vertical="center" wrapText="1"/>
    </xf>
    <xf numFmtId="3" fontId="4" fillId="3" borderId="8" xfId="0" applyNumberFormat="1" applyFont="1" applyFill="1" applyBorder="1" applyAlignment="1">
      <alignment horizontal="center" vertical="center"/>
    </xf>
    <xf numFmtId="3" fontId="4" fillId="3" borderId="6" xfId="0" applyNumberFormat="1" applyFont="1" applyFill="1" applyBorder="1" applyAlignment="1">
      <alignment horizontal="center" vertical="center"/>
    </xf>
    <xf numFmtId="0" fontId="0" fillId="0" borderId="0" xfId="0" applyAlignment="1">
      <alignment horizontal="center" vertical="center"/>
    </xf>
    <xf numFmtId="0" fontId="4" fillId="3" borderId="10" xfId="0" applyFont="1" applyFill="1" applyBorder="1" applyAlignment="1">
      <alignment vertical="center" wrapText="1"/>
    </xf>
    <xf numFmtId="0" fontId="4" fillId="3" borderId="11" xfId="0" applyFont="1" applyFill="1" applyBorder="1" applyAlignment="1">
      <alignment horizontal="center" vertical="center"/>
    </xf>
    <xf numFmtId="3" fontId="4" fillId="3" borderId="5" xfId="0" applyNumberFormat="1" applyFont="1" applyFill="1" applyBorder="1" applyAlignment="1">
      <alignment horizontal="center" vertical="center"/>
    </xf>
    <xf numFmtId="0" fontId="4" fillId="3" borderId="7" xfId="0" applyFont="1" applyFill="1" applyBorder="1" applyAlignment="1">
      <alignment vertical="center" wrapText="1"/>
    </xf>
    <xf numFmtId="0" fontId="10" fillId="3" borderId="7" xfId="0" applyNumberFormat="1" applyFont="1" applyFill="1" applyBorder="1" applyAlignment="1">
      <alignment vertical="top"/>
    </xf>
    <xf numFmtId="0" fontId="10" fillId="3" borderId="7" xfId="0" applyFont="1" applyFill="1" applyBorder="1" applyAlignment="1">
      <alignment vertical="top"/>
    </xf>
    <xf numFmtId="165" fontId="10" fillId="3" borderId="8" xfId="1" applyNumberFormat="1" applyFont="1" applyFill="1" applyBorder="1" applyAlignment="1">
      <alignment vertical="top"/>
    </xf>
    <xf numFmtId="165" fontId="10" fillId="3" borderId="5" xfId="1" applyNumberFormat="1" applyFont="1" applyFill="1" applyBorder="1" applyAlignment="1">
      <alignment vertical="top"/>
    </xf>
    <xf numFmtId="165" fontId="10" fillId="3" borderId="6" xfId="1" applyNumberFormat="1" applyFont="1" applyFill="1" applyBorder="1" applyAlignment="1">
      <alignment vertical="top"/>
    </xf>
    <xf numFmtId="0" fontId="4" fillId="3" borderId="8" xfId="0" applyFont="1" applyFill="1" applyBorder="1" applyAlignment="1">
      <alignment vertical="top"/>
    </xf>
    <xf numFmtId="0" fontId="4" fillId="3" borderId="6" xfId="0" applyFont="1" applyFill="1" applyBorder="1" applyAlignment="1">
      <alignment vertical="top"/>
    </xf>
    <xf numFmtId="0" fontId="10" fillId="0" borderId="10" xfId="0" applyFont="1" applyFill="1" applyBorder="1" applyAlignment="1">
      <alignment horizontal="right" vertical="top" wrapText="1"/>
    </xf>
    <xf numFmtId="0" fontId="10" fillId="0" borderId="10" xfId="0" applyFont="1" applyFill="1" applyBorder="1" applyAlignment="1">
      <alignment horizontal="right" vertical="top"/>
    </xf>
    <xf numFmtId="0" fontId="10" fillId="0" borderId="10" xfId="0" applyFont="1" applyFill="1" applyBorder="1" applyAlignment="1">
      <alignment horizontal="left" vertical="top" wrapText="1"/>
    </xf>
    <xf numFmtId="3" fontId="4" fillId="6" borderId="5" xfId="0" applyNumberFormat="1" applyFont="1" applyFill="1" applyBorder="1" applyAlignment="1">
      <alignment horizontal="right" vertical="top" wrapText="1"/>
    </xf>
    <xf numFmtId="0" fontId="4" fillId="6" borderId="6" xfId="0" applyFont="1" applyFill="1" applyBorder="1" applyAlignment="1">
      <alignment horizontal="right" vertical="top" wrapText="1"/>
    </xf>
    <xf numFmtId="0" fontId="4" fillId="6" borderId="8" xfId="0" applyFont="1" applyFill="1" applyBorder="1" applyAlignment="1">
      <alignment horizontal="right" vertical="top" wrapText="1"/>
    </xf>
    <xf numFmtId="3" fontId="4" fillId="6" borderId="6" xfId="0" applyNumberFormat="1" applyFont="1" applyFill="1" applyBorder="1" applyAlignment="1">
      <alignment horizontal="right" vertical="top" wrapText="1"/>
    </xf>
    <xf numFmtId="0" fontId="10" fillId="6" borderId="12" xfId="0" applyFont="1" applyFill="1" applyBorder="1" applyAlignment="1">
      <alignment horizontal="right" vertical="top"/>
    </xf>
    <xf numFmtId="0" fontId="10" fillId="6" borderId="12" xfId="0" applyFont="1" applyFill="1" applyBorder="1" applyAlignment="1">
      <alignment horizontal="right" vertical="top" wrapText="1"/>
    </xf>
    <xf numFmtId="3" fontId="10" fillId="6" borderId="12" xfId="0" applyNumberFormat="1" applyFont="1" applyFill="1" applyBorder="1" applyAlignment="1">
      <alignment horizontal="right" vertical="top"/>
    </xf>
    <xf numFmtId="0" fontId="10" fillId="6" borderId="12" xfId="0" applyFont="1" applyFill="1" applyBorder="1" applyAlignment="1">
      <alignment horizontal="left" vertical="top" wrapText="1"/>
    </xf>
    <xf numFmtId="0" fontId="4" fillId="0" borderId="10" xfId="0" applyFont="1" applyFill="1" applyBorder="1" applyAlignment="1">
      <alignment horizontal="right" vertical="top"/>
    </xf>
    <xf numFmtId="0" fontId="4" fillId="0" borderId="10" xfId="0" applyFont="1" applyFill="1" applyBorder="1" applyAlignment="1">
      <alignment horizontal="left" vertical="top"/>
    </xf>
    <xf numFmtId="0" fontId="4" fillId="0" borderId="10" xfId="0" applyFont="1" applyFill="1" applyBorder="1" applyAlignment="1">
      <alignment horizontal="left" vertical="top" wrapText="1"/>
    </xf>
    <xf numFmtId="3" fontId="4" fillId="0" borderId="10" xfId="0" applyNumberFormat="1" applyFont="1" applyFill="1" applyBorder="1" applyAlignment="1">
      <alignment horizontal="right" vertical="top"/>
    </xf>
    <xf numFmtId="0" fontId="13" fillId="3" borderId="8" xfId="0" applyFont="1" applyFill="1" applyBorder="1" applyAlignment="1">
      <alignment horizontal="right" vertical="top"/>
    </xf>
    <xf numFmtId="0" fontId="13" fillId="3" borderId="6" xfId="0" applyFont="1" applyFill="1" applyBorder="1" applyAlignment="1">
      <alignment horizontal="right" vertical="top"/>
    </xf>
    <xf numFmtId="0" fontId="13" fillId="3" borderId="7" xfId="0" applyFont="1" applyFill="1" applyBorder="1" applyAlignment="1">
      <alignment horizontal="right" vertical="top"/>
    </xf>
    <xf numFmtId="0" fontId="13" fillId="3" borderId="7" xfId="0" applyFont="1" applyFill="1" applyBorder="1" applyAlignment="1">
      <alignment horizontal="right" vertical="top" wrapText="1"/>
    </xf>
    <xf numFmtId="0" fontId="4" fillId="3" borderId="7" xfId="0" applyFont="1" applyFill="1" applyBorder="1" applyAlignment="1">
      <alignment horizontal="left" vertical="center"/>
    </xf>
    <xf numFmtId="0" fontId="13" fillId="8" borderId="7" xfId="0" applyFont="1" applyFill="1" applyBorder="1" applyAlignment="1">
      <alignment horizontal="center" vertical="center"/>
    </xf>
    <xf numFmtId="0" fontId="4" fillId="3" borderId="7" xfId="0" applyFont="1" applyFill="1" applyBorder="1" applyAlignment="1">
      <alignment horizontal="left" vertical="center" wrapText="1"/>
    </xf>
    <xf numFmtId="0" fontId="10" fillId="3" borderId="8" xfId="0" applyFont="1" applyFill="1" applyBorder="1" applyAlignment="1">
      <alignment horizontal="right" vertical="top"/>
    </xf>
    <xf numFmtId="0" fontId="10" fillId="3" borderId="6" xfId="0" applyFont="1" applyFill="1" applyBorder="1" applyAlignment="1">
      <alignment horizontal="right" vertical="top"/>
    </xf>
    <xf numFmtId="0" fontId="10" fillId="3" borderId="7" xfId="0" applyFont="1" applyFill="1" applyBorder="1" applyAlignment="1">
      <alignment horizontal="right" vertical="top"/>
    </xf>
    <xf numFmtId="43" fontId="10" fillId="0" borderId="10" xfId="1" applyFont="1" applyFill="1" applyBorder="1" applyAlignment="1">
      <alignment horizontal="right" vertical="top"/>
    </xf>
    <xf numFmtId="0" fontId="10" fillId="0" borderId="10" xfId="0" applyFont="1" applyBorder="1" applyAlignment="1">
      <alignment horizontal="left" wrapText="1"/>
    </xf>
    <xf numFmtId="0" fontId="10" fillId="9" borderId="8" xfId="0" applyFont="1" applyFill="1" applyBorder="1" applyAlignment="1">
      <alignment horizontal="right" vertical="top"/>
    </xf>
    <xf numFmtId="0" fontId="10" fillId="9" borderId="6" xfId="0" applyFont="1" applyFill="1" applyBorder="1" applyAlignment="1">
      <alignment horizontal="right" vertical="top"/>
    </xf>
    <xf numFmtId="0" fontId="10" fillId="9" borderId="7" xfId="0" applyFont="1" applyFill="1" applyBorder="1" applyAlignment="1">
      <alignment horizontal="right" vertical="top"/>
    </xf>
    <xf numFmtId="3" fontId="10" fillId="9" borderId="7" xfId="0" applyNumberFormat="1" applyFont="1" applyFill="1" applyBorder="1" applyAlignment="1">
      <alignment horizontal="right" vertical="top"/>
    </xf>
    <xf numFmtId="0" fontId="10" fillId="9" borderId="7" xfId="0" applyFont="1" applyFill="1" applyBorder="1" applyAlignment="1">
      <alignment horizontal="left" vertical="top"/>
    </xf>
    <xf numFmtId="0" fontId="10" fillId="3" borderId="7" xfId="0" applyFont="1" applyFill="1" applyBorder="1" applyAlignment="1">
      <alignment horizontal="left" vertical="top"/>
    </xf>
    <xf numFmtId="3" fontId="10" fillId="3" borderId="8" xfId="0" applyNumberFormat="1" applyFont="1" applyFill="1" applyBorder="1" applyAlignment="1">
      <alignment horizontal="right" vertical="top"/>
    </xf>
    <xf numFmtId="165" fontId="10" fillId="3" borderId="8" xfId="1" applyNumberFormat="1" applyFont="1" applyFill="1" applyBorder="1" applyAlignment="1">
      <alignment horizontal="right" vertical="top"/>
    </xf>
    <xf numFmtId="165" fontId="10" fillId="3" borderId="6" xfId="1" applyNumberFormat="1" applyFont="1" applyFill="1" applyBorder="1" applyAlignment="1">
      <alignment horizontal="right" vertical="top"/>
    </xf>
    <xf numFmtId="165" fontId="10" fillId="3" borderId="7" xfId="1" applyNumberFormat="1" applyFont="1" applyFill="1" applyBorder="1" applyAlignment="1">
      <alignment horizontal="right" vertical="top"/>
    </xf>
    <xf numFmtId="0" fontId="10" fillId="3" borderId="8"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7" xfId="0" applyFont="1" applyFill="1" applyBorder="1" applyAlignment="1">
      <alignment horizontal="left" vertical="top" wrapText="1"/>
    </xf>
    <xf numFmtId="0" fontId="4" fillId="3" borderId="13" xfId="0" applyFont="1" applyFill="1" applyBorder="1" applyAlignment="1">
      <alignment horizontal="right" vertical="top" wrapText="1"/>
    </xf>
    <xf numFmtId="0" fontId="4" fillId="3" borderId="14" xfId="0" applyFont="1" applyFill="1" applyBorder="1" applyAlignment="1">
      <alignment horizontal="right" vertical="top" wrapText="1"/>
    </xf>
    <xf numFmtId="3" fontId="4" fillId="3" borderId="13" xfId="0" applyNumberFormat="1" applyFont="1" applyFill="1" applyBorder="1" applyAlignment="1">
      <alignment horizontal="right" vertical="top" wrapText="1"/>
    </xf>
    <xf numFmtId="165" fontId="10" fillId="3" borderId="14" xfId="1" applyNumberFormat="1" applyFont="1" applyFill="1" applyBorder="1" applyAlignment="1">
      <alignment horizontal="right" vertical="top"/>
    </xf>
    <xf numFmtId="165" fontId="10" fillId="3" borderId="13" xfId="1" applyNumberFormat="1" applyFont="1" applyFill="1" applyBorder="1" applyAlignment="1">
      <alignment horizontal="right" vertical="top"/>
    </xf>
    <xf numFmtId="165" fontId="10" fillId="3" borderId="15" xfId="1" applyNumberFormat="1" applyFont="1" applyFill="1" applyBorder="1" applyAlignment="1">
      <alignment horizontal="right" vertical="top"/>
    </xf>
    <xf numFmtId="0" fontId="10" fillId="3" borderId="15"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3" borderId="8" xfId="0" applyFont="1" applyFill="1" applyBorder="1" applyAlignment="1">
      <alignment horizontal="center" vertical="top"/>
    </xf>
    <xf numFmtId="0" fontId="4" fillId="3" borderId="10" xfId="0" applyFont="1" applyFill="1" applyBorder="1" applyAlignment="1">
      <alignment horizontal="left" vertical="center" wrapText="1"/>
    </xf>
    <xf numFmtId="0" fontId="4" fillId="3" borderId="10" xfId="0" applyNumberFormat="1" applyFont="1" applyFill="1" applyBorder="1" applyAlignment="1">
      <alignment horizontal="left" vertical="center" wrapText="1"/>
    </xf>
    <xf numFmtId="165" fontId="4" fillId="3" borderId="10" xfId="1" applyNumberFormat="1" applyFont="1" applyFill="1" applyBorder="1" applyAlignment="1">
      <alignment horizontal="right" vertical="center" wrapText="1"/>
    </xf>
    <xf numFmtId="165" fontId="0" fillId="0" borderId="10" xfId="1" applyNumberFormat="1" applyFont="1" applyBorder="1" applyAlignment="1">
      <alignment vertical="center" wrapText="1"/>
    </xf>
    <xf numFmtId="165" fontId="15" fillId="0" borderId="10" xfId="1" applyNumberFormat="1" applyFont="1" applyBorder="1" applyAlignment="1">
      <alignment vertical="center" wrapText="1"/>
    </xf>
    <xf numFmtId="0" fontId="13" fillId="3" borderId="10" xfId="0" applyFont="1" applyFill="1" applyBorder="1" applyAlignment="1">
      <alignment horizontal="left" vertical="center" wrapText="1"/>
    </xf>
    <xf numFmtId="0" fontId="4" fillId="3" borderId="10" xfId="0" quotePrefix="1" applyFont="1" applyFill="1" applyBorder="1" applyAlignment="1">
      <alignment horizontal="left" vertical="center" wrapText="1"/>
    </xf>
    <xf numFmtId="4" fontId="4" fillId="3" borderId="6" xfId="0" applyNumberFormat="1" applyFont="1" applyFill="1" applyBorder="1" applyAlignment="1">
      <alignment horizontal="right" vertical="top"/>
    </xf>
    <xf numFmtId="4" fontId="4" fillId="3" borderId="7" xfId="0" applyNumberFormat="1" applyFont="1" applyFill="1" applyBorder="1" applyAlignment="1">
      <alignment horizontal="right" vertical="top"/>
    </xf>
    <xf numFmtId="4" fontId="4" fillId="3" borderId="8" xfId="0" applyNumberFormat="1" applyFont="1" applyFill="1" applyBorder="1" applyAlignment="1">
      <alignment horizontal="right" vertical="top"/>
    </xf>
    <xf numFmtId="0" fontId="11" fillId="0" borderId="0" xfId="0" applyFont="1" applyAlignment="1">
      <alignment horizontal="right" vertical="center"/>
    </xf>
    <xf numFmtId="165" fontId="4" fillId="3" borderId="8" xfId="1" applyNumberFormat="1" applyFont="1" applyFill="1" applyBorder="1" applyAlignment="1">
      <alignment horizontal="center" vertical="center"/>
    </xf>
    <xf numFmtId="165" fontId="4" fillId="3" borderId="6" xfId="1" applyNumberFormat="1" applyFont="1" applyFill="1" applyBorder="1" applyAlignment="1">
      <alignment horizontal="center" vertical="center"/>
    </xf>
    <xf numFmtId="165" fontId="4" fillId="3" borderId="7" xfId="1" applyNumberFormat="1" applyFont="1" applyFill="1" applyBorder="1" applyAlignment="1">
      <alignment horizontal="center" vertical="center"/>
    </xf>
    <xf numFmtId="166" fontId="4" fillId="5" borderId="10" xfId="1" applyNumberFormat="1" applyFont="1" applyFill="1" applyBorder="1" applyAlignment="1">
      <alignment horizontal="left" vertical="center" wrapText="1"/>
    </xf>
    <xf numFmtId="0" fontId="16" fillId="6" borderId="10" xfId="0" applyFont="1" applyFill="1" applyBorder="1" applyAlignment="1">
      <alignment horizontal="left" vertical="center" wrapText="1"/>
    </xf>
    <xf numFmtId="165" fontId="4" fillId="3" borderId="8" xfId="0" applyNumberFormat="1" applyFont="1" applyFill="1" applyBorder="1" applyAlignment="1">
      <alignment horizontal="center" vertical="center"/>
    </xf>
    <xf numFmtId="165" fontId="4" fillId="3" borderId="6" xfId="0" applyNumberFormat="1" applyFont="1" applyFill="1" applyBorder="1" applyAlignment="1">
      <alignment horizontal="center" vertical="center"/>
    </xf>
    <xf numFmtId="0" fontId="4" fillId="3" borderId="7" xfId="0" applyNumberFormat="1" applyFont="1" applyFill="1" applyBorder="1" applyAlignment="1">
      <alignment horizontal="center" vertical="center"/>
    </xf>
    <xf numFmtId="165" fontId="4" fillId="3" borderId="5" xfId="1" applyNumberFormat="1" applyFont="1" applyFill="1" applyBorder="1" applyAlignment="1">
      <alignment horizontal="center" vertical="center"/>
    </xf>
    <xf numFmtId="0" fontId="4" fillId="3" borderId="8" xfId="0" applyFont="1" applyFill="1" applyBorder="1" applyAlignment="1">
      <alignment horizontal="left" vertical="top"/>
    </xf>
    <xf numFmtId="0" fontId="13" fillId="3" borderId="8" xfId="0" applyFont="1" applyFill="1" applyBorder="1" applyAlignment="1">
      <alignment horizontal="left" vertical="top"/>
    </xf>
    <xf numFmtId="3" fontId="4" fillId="3" borderId="7" xfId="0" applyNumberFormat="1" applyFont="1" applyFill="1" applyBorder="1" applyAlignment="1">
      <alignment vertical="top"/>
    </xf>
    <xf numFmtId="3" fontId="4" fillId="3" borderId="6" xfId="0" applyNumberFormat="1" applyFont="1" applyFill="1" applyBorder="1" applyAlignment="1">
      <alignment vertical="top"/>
    </xf>
    <xf numFmtId="0" fontId="19" fillId="10" borderId="16" xfId="0" applyFont="1" applyFill="1" applyBorder="1" applyAlignment="1">
      <alignment vertical="top"/>
    </xf>
    <xf numFmtId="0" fontId="19" fillId="10" borderId="17" xfId="0" applyFont="1" applyFill="1" applyBorder="1" applyAlignment="1">
      <alignment vertical="top"/>
    </xf>
    <xf numFmtId="0" fontId="19" fillId="10" borderId="18" xfId="0" applyFont="1" applyFill="1" applyBorder="1" applyAlignment="1">
      <alignment vertical="top"/>
    </xf>
    <xf numFmtId="0" fontId="19" fillId="10" borderId="18" xfId="0" applyFont="1" applyFill="1" applyBorder="1" applyAlignment="1">
      <alignment horizontal="left" vertical="top" wrapText="1"/>
    </xf>
    <xf numFmtId="3" fontId="19" fillId="10" borderId="18" xfId="0" applyNumberFormat="1" applyFont="1" applyFill="1" applyBorder="1" applyAlignment="1">
      <alignment vertical="top"/>
    </xf>
    <xf numFmtId="43" fontId="4" fillId="3" borderId="7" xfId="1" applyFont="1" applyFill="1" applyBorder="1" applyAlignment="1">
      <alignment vertical="top"/>
    </xf>
    <xf numFmtId="43" fontId="4" fillId="3" borderId="7" xfId="0" applyNumberFormat="1" applyFont="1" applyFill="1" applyBorder="1" applyAlignment="1">
      <alignment vertical="top"/>
    </xf>
    <xf numFmtId="43" fontId="4" fillId="3" borderId="6" xfId="1" applyFont="1" applyFill="1" applyBorder="1" applyAlignment="1">
      <alignment vertical="top"/>
    </xf>
    <xf numFmtId="0" fontId="4" fillId="3" borderId="6" xfId="0" applyFont="1" applyFill="1" applyBorder="1" applyAlignment="1">
      <alignment horizontal="left" vertical="top"/>
    </xf>
    <xf numFmtId="165" fontId="5" fillId="7" borderId="8" xfId="1" applyNumberFormat="1" applyFont="1" applyFill="1" applyBorder="1" applyAlignment="1">
      <alignment horizontal="right" vertical="top"/>
    </xf>
    <xf numFmtId="165" fontId="5" fillId="7" borderId="6" xfId="1" applyNumberFormat="1" applyFont="1" applyFill="1" applyBorder="1" applyAlignment="1">
      <alignment horizontal="right" vertical="top"/>
    </xf>
    <xf numFmtId="165" fontId="5" fillId="7" borderId="7" xfId="1" applyNumberFormat="1" applyFont="1" applyFill="1" applyBorder="1" applyAlignment="1">
      <alignment horizontal="right" vertical="top"/>
    </xf>
    <xf numFmtId="165" fontId="5" fillId="6" borderId="8" xfId="1" applyNumberFormat="1" applyFont="1" applyFill="1" applyBorder="1" applyAlignment="1">
      <alignment horizontal="right" vertical="top"/>
    </xf>
    <xf numFmtId="165" fontId="5" fillId="6" borderId="6" xfId="1" applyNumberFormat="1" applyFont="1" applyFill="1" applyBorder="1" applyAlignment="1">
      <alignment horizontal="right" vertical="top"/>
    </xf>
    <xf numFmtId="165" fontId="5" fillId="6" borderId="7" xfId="1" applyNumberFormat="1" applyFont="1" applyFill="1" applyBorder="1" applyAlignment="1">
      <alignment horizontal="right" vertical="top"/>
    </xf>
    <xf numFmtId="0" fontId="4" fillId="3" borderId="8" xfId="0" applyFont="1" applyFill="1" applyBorder="1" applyAlignment="1">
      <alignment vertical="top" wrapText="1"/>
    </xf>
    <xf numFmtId="0" fontId="4" fillId="3" borderId="6" xfId="0" applyFont="1" applyFill="1" applyBorder="1" applyAlignment="1">
      <alignment vertical="top" wrapText="1"/>
    </xf>
    <xf numFmtId="0" fontId="4" fillId="3" borderId="19" xfId="0" applyFont="1" applyFill="1" applyBorder="1" applyAlignment="1">
      <alignment horizontal="left" vertical="top" wrapText="1"/>
    </xf>
    <xf numFmtId="0" fontId="4" fillId="7" borderId="8" xfId="0" applyFont="1" applyFill="1" applyBorder="1" applyAlignment="1">
      <alignment vertical="top"/>
    </xf>
    <xf numFmtId="0" fontId="4" fillId="7" borderId="6" xfId="0" applyFont="1" applyFill="1" applyBorder="1" applyAlignment="1">
      <alignment vertical="top"/>
    </xf>
    <xf numFmtId="0" fontId="4" fillId="7" borderId="7" xfId="0" applyFont="1" applyFill="1" applyBorder="1" applyAlignment="1">
      <alignment vertical="top" wrapText="1"/>
    </xf>
    <xf numFmtId="0" fontId="4" fillId="7" borderId="7" xfId="0" applyFont="1" applyFill="1" applyBorder="1" applyAlignment="1">
      <alignment vertical="top"/>
    </xf>
    <xf numFmtId="0" fontId="13" fillId="3" borderId="8" xfId="0" applyFont="1" applyFill="1" applyBorder="1" applyAlignment="1">
      <alignment horizontal="left" vertical="top" wrapText="1"/>
    </xf>
    <xf numFmtId="0" fontId="4" fillId="3" borderId="6" xfId="0" applyFont="1" applyFill="1" applyBorder="1" applyAlignment="1">
      <alignment horizontal="left" vertical="top" wrapText="1"/>
    </xf>
    <xf numFmtId="43" fontId="4" fillId="3" borderId="6" xfId="1" applyFont="1" applyFill="1" applyBorder="1" applyAlignment="1">
      <alignment vertical="top" wrapText="1"/>
    </xf>
    <xf numFmtId="0" fontId="4" fillId="7" borderId="8" xfId="0" applyFont="1" applyFill="1" applyBorder="1" applyAlignment="1">
      <alignment vertical="top" wrapText="1"/>
    </xf>
  </cellXfs>
  <cellStyles count="5">
    <cellStyle name="Comma" xfId="1" builtinId="3"/>
    <cellStyle name="Comma 2" xfId="4"/>
    <cellStyle name="Normal" xfId="0" builtinId="0"/>
    <cellStyle name="Normal 2" xfId="3"/>
    <cellStyle name="Normal 3" xfId="2"/>
  </cellStyles>
  <dxfs count="286">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61"/>
  <sheetViews>
    <sheetView showGridLines="0" topLeftCell="F1" workbookViewId="0">
      <selection activeCell="Y20" sqref="Y20"/>
    </sheetView>
  </sheetViews>
  <sheetFormatPr defaultColWidth="8.7109375" defaultRowHeight="15" x14ac:dyDescent="0.25"/>
  <cols>
    <col min="1" max="1" width="24.7109375" style="6" bestFit="1" customWidth="1"/>
    <col min="2" max="2" width="30.140625" style="6" bestFit="1" customWidth="1"/>
    <col min="3" max="3" width="48.5703125" style="6" bestFit="1" customWidth="1"/>
    <col min="4" max="4" width="9.7109375" style="6" customWidth="1"/>
    <col min="5" max="5" width="32.140625" style="6" customWidth="1"/>
    <col min="6" max="6" width="39.140625" style="6" customWidth="1"/>
    <col min="7" max="9" width="10.85546875" style="6" bestFit="1" customWidth="1"/>
    <col min="10" max="10" width="13.28515625" style="6" bestFit="1" customWidth="1"/>
    <col min="11" max="11" width="9.85546875" style="6" bestFit="1" customWidth="1"/>
    <col min="12" max="12" width="10.85546875" style="6" bestFit="1" customWidth="1"/>
    <col min="13" max="21" width="10.5703125" style="6" customWidth="1"/>
    <col min="22" max="22" width="12.85546875" style="6" customWidth="1"/>
    <col min="23" max="23" width="13.7109375" style="6" customWidth="1"/>
    <col min="24" max="24" width="28.5703125" style="6" customWidth="1"/>
    <col min="25" max="25" width="0.7109375" style="6" customWidth="1"/>
    <col min="26" max="16384" width="8.7109375" style="6"/>
  </cols>
  <sheetData>
    <row r="1" spans="1:24" ht="31.5" x14ac:dyDescent="0.25">
      <c r="A1" s="3" t="s">
        <v>0</v>
      </c>
      <c r="B1" s="4" t="s">
        <v>608</v>
      </c>
      <c r="C1" s="5"/>
    </row>
    <row r="2" spans="1:24" x14ac:dyDescent="0.25">
      <c r="A2" s="1" t="s">
        <v>0</v>
      </c>
    </row>
    <row r="3" spans="1:24" ht="45" x14ac:dyDescent="0.25">
      <c r="A3" s="33" t="s">
        <v>1</v>
      </c>
      <c r="B3" s="34" t="s">
        <v>2</v>
      </c>
      <c r="C3" s="35" t="s">
        <v>3</v>
      </c>
      <c r="D3" s="36" t="s">
        <v>4</v>
      </c>
      <c r="E3" s="34" t="s">
        <v>5</v>
      </c>
      <c r="F3" s="37" t="s">
        <v>6</v>
      </c>
      <c r="G3" s="37" t="s">
        <v>7</v>
      </c>
      <c r="H3" s="37" t="s">
        <v>8</v>
      </c>
      <c r="I3" s="37" t="s">
        <v>9</v>
      </c>
      <c r="J3" s="37" t="s">
        <v>10</v>
      </c>
      <c r="K3" s="37" t="s">
        <v>11</v>
      </c>
      <c r="L3" s="35" t="s">
        <v>12</v>
      </c>
      <c r="M3" s="36" t="s">
        <v>609</v>
      </c>
      <c r="N3" s="36" t="s">
        <v>610</v>
      </c>
      <c r="O3" s="36" t="s">
        <v>611</v>
      </c>
      <c r="P3" s="36" t="s">
        <v>612</v>
      </c>
      <c r="Q3" s="36" t="s">
        <v>613</v>
      </c>
      <c r="R3" s="36" t="s">
        <v>614</v>
      </c>
      <c r="S3" s="36" t="s">
        <v>615</v>
      </c>
      <c r="T3" s="36" t="s">
        <v>616</v>
      </c>
      <c r="U3" s="36" t="s">
        <v>617</v>
      </c>
      <c r="V3" s="36" t="s">
        <v>13</v>
      </c>
      <c r="W3" s="36" t="s">
        <v>14</v>
      </c>
      <c r="X3" s="36" t="s">
        <v>15</v>
      </c>
    </row>
    <row r="4" spans="1:24" ht="25.5" x14ac:dyDescent="0.25">
      <c r="A4" s="7" t="s">
        <v>16</v>
      </c>
      <c r="B4" s="8">
        <v>8470110</v>
      </c>
      <c r="C4" s="9" t="s">
        <v>17</v>
      </c>
      <c r="D4" s="10">
        <v>420550</v>
      </c>
      <c r="E4" s="9" t="s">
        <v>18</v>
      </c>
      <c r="F4" s="9" t="s">
        <v>19</v>
      </c>
      <c r="G4" s="11">
        <v>0</v>
      </c>
      <c r="H4" s="12">
        <v>500000</v>
      </c>
      <c r="I4" s="13"/>
      <c r="J4" s="14"/>
      <c r="K4" s="15"/>
      <c r="L4" s="16">
        <v>500000</v>
      </c>
      <c r="M4" s="15"/>
      <c r="N4" s="14"/>
      <c r="O4" s="17"/>
      <c r="P4" s="17"/>
      <c r="Q4" s="17"/>
      <c r="R4" s="17"/>
      <c r="S4" s="17"/>
      <c r="T4" s="17"/>
      <c r="U4" s="17"/>
      <c r="V4" s="17"/>
      <c r="W4" s="11">
        <v>500000</v>
      </c>
      <c r="X4" s="17"/>
    </row>
    <row r="5" spans="1:24" ht="25.5" x14ac:dyDescent="0.25">
      <c r="A5" s="7" t="s">
        <v>16</v>
      </c>
      <c r="B5" s="8">
        <v>8470110</v>
      </c>
      <c r="C5" s="9" t="s">
        <v>17</v>
      </c>
      <c r="D5" s="10">
        <v>425510</v>
      </c>
      <c r="E5" s="9" t="s">
        <v>20</v>
      </c>
      <c r="F5" s="9" t="s">
        <v>21</v>
      </c>
      <c r="G5" s="11">
        <v>52920</v>
      </c>
      <c r="H5" s="12">
        <v>52920</v>
      </c>
      <c r="I5" s="18">
        <v>6100</v>
      </c>
      <c r="J5" s="14"/>
      <c r="K5" s="15"/>
      <c r="L5" s="16">
        <v>46820</v>
      </c>
      <c r="M5" s="15"/>
      <c r="N5" s="14"/>
      <c r="O5" s="17"/>
      <c r="P5" s="17"/>
      <c r="Q5" s="17"/>
      <c r="R5" s="17"/>
      <c r="S5" s="17"/>
      <c r="T5" s="17"/>
      <c r="U5" s="17"/>
      <c r="V5" s="17"/>
      <c r="W5" s="11">
        <v>46820</v>
      </c>
      <c r="X5" s="17"/>
    </row>
    <row r="6" spans="1:24" ht="25.5" x14ac:dyDescent="0.25">
      <c r="A6" s="7" t="s">
        <v>16</v>
      </c>
      <c r="B6" s="8">
        <v>8470110</v>
      </c>
      <c r="C6" s="9" t="s">
        <v>17</v>
      </c>
      <c r="D6" s="10">
        <v>425550</v>
      </c>
      <c r="E6" s="9" t="s">
        <v>22</v>
      </c>
      <c r="F6" s="9" t="s">
        <v>23</v>
      </c>
      <c r="G6" s="11">
        <v>22225</v>
      </c>
      <c r="H6" s="12">
        <v>22225</v>
      </c>
      <c r="I6" s="18">
        <v>3300</v>
      </c>
      <c r="J6" s="14"/>
      <c r="K6" s="15"/>
      <c r="L6" s="16">
        <v>18925</v>
      </c>
      <c r="M6" s="15"/>
      <c r="N6" s="14"/>
      <c r="O6" s="17"/>
      <c r="P6" s="17"/>
      <c r="Q6" s="17"/>
      <c r="R6" s="17"/>
      <c r="S6" s="17"/>
      <c r="T6" s="17"/>
      <c r="U6" s="17"/>
      <c r="V6" s="17"/>
      <c r="W6" s="11">
        <v>18925</v>
      </c>
      <c r="X6" s="17"/>
    </row>
    <row r="7" spans="1:24" ht="25.5" x14ac:dyDescent="0.25">
      <c r="A7" s="7" t="s">
        <v>16</v>
      </c>
      <c r="B7" s="8">
        <v>8470110</v>
      </c>
      <c r="C7" s="9" t="s">
        <v>17</v>
      </c>
      <c r="D7" s="10">
        <v>425900</v>
      </c>
      <c r="E7" s="9" t="s">
        <v>24</v>
      </c>
      <c r="F7" s="9" t="s">
        <v>25</v>
      </c>
      <c r="G7" s="11">
        <v>14286</v>
      </c>
      <c r="H7" s="12">
        <v>320000</v>
      </c>
      <c r="I7" s="18">
        <v>5827.5</v>
      </c>
      <c r="J7" s="14"/>
      <c r="K7" s="15"/>
      <c r="L7" s="16">
        <v>314172.5</v>
      </c>
      <c r="M7" s="15"/>
      <c r="N7" s="14"/>
      <c r="O7" s="17"/>
      <c r="P7" s="17"/>
      <c r="Q7" s="17"/>
      <c r="R7" s="17"/>
      <c r="S7" s="17"/>
      <c r="T7" s="17"/>
      <c r="U7" s="17"/>
      <c r="V7" s="17"/>
      <c r="W7" s="11">
        <v>314172.5</v>
      </c>
      <c r="X7" s="17"/>
    </row>
    <row r="8" spans="1:24" ht="25.5" x14ac:dyDescent="0.25">
      <c r="A8" s="7" t="s">
        <v>16</v>
      </c>
      <c r="B8" s="8">
        <v>8470110</v>
      </c>
      <c r="C8" s="9" t="s">
        <v>17</v>
      </c>
      <c r="D8" s="10">
        <v>428090</v>
      </c>
      <c r="E8" s="9" t="s">
        <v>26</v>
      </c>
      <c r="F8" s="9" t="s">
        <v>27</v>
      </c>
      <c r="G8" s="11">
        <v>379941</v>
      </c>
      <c r="H8" s="12">
        <v>1079941</v>
      </c>
      <c r="I8" s="18">
        <v>117410</v>
      </c>
      <c r="J8" s="14"/>
      <c r="K8" s="15"/>
      <c r="L8" s="16">
        <v>962531</v>
      </c>
      <c r="M8" s="15"/>
      <c r="N8" s="14"/>
      <c r="O8" s="17"/>
      <c r="P8" s="17"/>
      <c r="Q8" s="17"/>
      <c r="R8" s="17"/>
      <c r="S8" s="17"/>
      <c r="T8" s="17"/>
      <c r="U8" s="17"/>
      <c r="V8" s="17"/>
      <c r="W8" s="11">
        <v>962531</v>
      </c>
      <c r="X8" s="17"/>
    </row>
    <row r="9" spans="1:24" ht="25.5" x14ac:dyDescent="0.25">
      <c r="A9" s="7" t="s">
        <v>16</v>
      </c>
      <c r="B9" s="8">
        <v>8470120</v>
      </c>
      <c r="C9" s="9" t="s">
        <v>28</v>
      </c>
      <c r="D9" s="10">
        <v>420120</v>
      </c>
      <c r="E9" s="9" t="s">
        <v>29</v>
      </c>
      <c r="F9" s="9" t="s">
        <v>30</v>
      </c>
      <c r="G9" s="11">
        <v>550028</v>
      </c>
      <c r="H9" s="12">
        <v>550028</v>
      </c>
      <c r="I9" s="18">
        <v>425925.92</v>
      </c>
      <c r="J9" s="19">
        <v>-242128.46</v>
      </c>
      <c r="K9" s="12">
        <v>58331</v>
      </c>
      <c r="L9" s="16">
        <v>307899.53999999998</v>
      </c>
      <c r="M9" s="15"/>
      <c r="N9" s="14"/>
      <c r="O9" s="17"/>
      <c r="P9" s="17"/>
      <c r="Q9" s="17"/>
      <c r="R9" s="17"/>
      <c r="S9" s="17"/>
      <c r="T9" s="17"/>
      <c r="U9" s="17"/>
      <c r="V9" s="17"/>
      <c r="W9" s="11">
        <v>307899.53999999998</v>
      </c>
      <c r="X9" s="17"/>
    </row>
    <row r="10" spans="1:24" ht="25.5" x14ac:dyDescent="0.25">
      <c r="A10" s="7" t="s">
        <v>16</v>
      </c>
      <c r="B10" s="8">
        <v>8470120</v>
      </c>
      <c r="C10" s="9" t="s">
        <v>28</v>
      </c>
      <c r="D10" s="10">
        <v>425900</v>
      </c>
      <c r="E10" s="9" t="s">
        <v>24</v>
      </c>
      <c r="F10" s="9" t="s">
        <v>31</v>
      </c>
      <c r="G10" s="11">
        <v>0</v>
      </c>
      <c r="H10" s="12">
        <v>20000</v>
      </c>
      <c r="I10" s="13"/>
      <c r="J10" s="14"/>
      <c r="K10" s="15"/>
      <c r="L10" s="16">
        <v>20000</v>
      </c>
      <c r="M10" s="15"/>
      <c r="N10" s="14"/>
      <c r="O10" s="17"/>
      <c r="P10" s="17"/>
      <c r="Q10" s="17"/>
      <c r="R10" s="17"/>
      <c r="S10" s="17"/>
      <c r="T10" s="17"/>
      <c r="U10" s="17"/>
      <c r="V10" s="17"/>
      <c r="W10" s="11">
        <v>20000</v>
      </c>
      <c r="X10" s="17"/>
    </row>
    <row r="11" spans="1:24" ht="25.5" x14ac:dyDescent="0.25">
      <c r="A11" s="7" t="s">
        <v>16</v>
      </c>
      <c r="B11" s="8">
        <v>8470120</v>
      </c>
      <c r="C11" s="9" t="s">
        <v>28</v>
      </c>
      <c r="D11" s="10">
        <v>428090</v>
      </c>
      <c r="E11" s="9" t="s">
        <v>26</v>
      </c>
      <c r="F11" s="9" t="s">
        <v>32</v>
      </c>
      <c r="G11" s="11">
        <v>37075</v>
      </c>
      <c r="H11" s="12">
        <v>100000</v>
      </c>
      <c r="I11" s="13"/>
      <c r="J11" s="14"/>
      <c r="K11" s="15"/>
      <c r="L11" s="16">
        <v>100000</v>
      </c>
      <c r="M11" s="15"/>
      <c r="N11" s="14"/>
      <c r="O11" s="17"/>
      <c r="P11" s="17"/>
      <c r="Q11" s="17"/>
      <c r="R11" s="17"/>
      <c r="S11" s="17"/>
      <c r="T11" s="17"/>
      <c r="U11" s="17"/>
      <c r="V11" s="17"/>
      <c r="W11" s="11">
        <v>100000</v>
      </c>
      <c r="X11" s="17"/>
    </row>
    <row r="12" spans="1:24" ht="25.5" x14ac:dyDescent="0.25">
      <c r="A12" s="7" t="s">
        <v>16</v>
      </c>
      <c r="B12" s="8">
        <v>8470121</v>
      </c>
      <c r="C12" s="9" t="s">
        <v>33</v>
      </c>
      <c r="D12" s="10">
        <v>421000</v>
      </c>
      <c r="E12" s="9" t="s">
        <v>34</v>
      </c>
      <c r="F12" s="9" t="s">
        <v>35</v>
      </c>
      <c r="G12" s="11">
        <v>55000</v>
      </c>
      <c r="H12" s="12">
        <v>650000</v>
      </c>
      <c r="I12" s="13"/>
      <c r="J12" s="14"/>
      <c r="K12" s="15"/>
      <c r="L12" s="16">
        <v>650000</v>
      </c>
      <c r="M12" s="15"/>
      <c r="N12" s="14"/>
      <c r="O12" s="17"/>
      <c r="P12" s="17"/>
      <c r="Q12" s="17"/>
      <c r="R12" s="17"/>
      <c r="S12" s="17"/>
      <c r="T12" s="17"/>
      <c r="U12" s="17"/>
      <c r="V12" s="17"/>
      <c r="W12" s="11">
        <v>650000</v>
      </c>
      <c r="X12" s="17"/>
    </row>
    <row r="13" spans="1:24" ht="25.5" x14ac:dyDescent="0.25">
      <c r="A13" s="7" t="s">
        <v>16</v>
      </c>
      <c r="B13" s="8">
        <v>8470121</v>
      </c>
      <c r="C13" s="9" t="s">
        <v>33</v>
      </c>
      <c r="D13" s="10">
        <v>421700</v>
      </c>
      <c r="E13" s="9" t="s">
        <v>36</v>
      </c>
      <c r="F13" s="9" t="s">
        <v>37</v>
      </c>
      <c r="G13" s="11">
        <v>55000</v>
      </c>
      <c r="H13" s="12">
        <v>0</v>
      </c>
      <c r="I13" s="13"/>
      <c r="J13" s="14"/>
      <c r="K13" s="15"/>
      <c r="L13" s="16">
        <v>0</v>
      </c>
      <c r="M13" s="15"/>
      <c r="N13" s="14"/>
      <c r="O13" s="17"/>
      <c r="P13" s="17"/>
      <c r="Q13" s="17"/>
      <c r="R13" s="17"/>
      <c r="S13" s="17"/>
      <c r="T13" s="17"/>
      <c r="U13" s="17"/>
      <c r="V13" s="17"/>
      <c r="W13" s="11">
        <v>0</v>
      </c>
      <c r="X13" s="17"/>
    </row>
    <row r="14" spans="1:24" ht="25.5" x14ac:dyDescent="0.25">
      <c r="A14" s="7" t="s">
        <v>16</v>
      </c>
      <c r="B14" s="8">
        <v>8470121</v>
      </c>
      <c r="C14" s="9" t="s">
        <v>33</v>
      </c>
      <c r="D14" s="10">
        <v>425900</v>
      </c>
      <c r="E14" s="9" t="s">
        <v>24</v>
      </c>
      <c r="F14" s="9" t="s">
        <v>38</v>
      </c>
      <c r="G14" s="11">
        <v>3000</v>
      </c>
      <c r="H14" s="12">
        <v>32000</v>
      </c>
      <c r="I14" s="13"/>
      <c r="J14" s="14"/>
      <c r="K14" s="15"/>
      <c r="L14" s="16">
        <v>32000</v>
      </c>
      <c r="M14" s="15"/>
      <c r="N14" s="14"/>
      <c r="O14" s="17"/>
      <c r="P14" s="17"/>
      <c r="Q14" s="17"/>
      <c r="R14" s="17"/>
      <c r="S14" s="17"/>
      <c r="T14" s="17"/>
      <c r="U14" s="17"/>
      <c r="V14" s="17"/>
      <c r="W14" s="11">
        <v>32000</v>
      </c>
      <c r="X14" s="17"/>
    </row>
    <row r="15" spans="1:24" ht="25.5" x14ac:dyDescent="0.25">
      <c r="A15" s="7" t="s">
        <v>16</v>
      </c>
      <c r="B15" s="8">
        <v>8470121</v>
      </c>
      <c r="C15" s="9" t="s">
        <v>33</v>
      </c>
      <c r="D15" s="10">
        <v>426610</v>
      </c>
      <c r="E15" s="9" t="s">
        <v>39</v>
      </c>
      <c r="F15" s="9" t="s">
        <v>40</v>
      </c>
      <c r="G15" s="11">
        <v>75000</v>
      </c>
      <c r="H15" s="12">
        <v>173000</v>
      </c>
      <c r="I15" s="13"/>
      <c r="J15" s="14"/>
      <c r="K15" s="15"/>
      <c r="L15" s="16">
        <v>173000</v>
      </c>
      <c r="M15" s="15"/>
      <c r="N15" s="14"/>
      <c r="O15" s="17"/>
      <c r="P15" s="17"/>
      <c r="Q15" s="17"/>
      <c r="R15" s="17"/>
      <c r="S15" s="17"/>
      <c r="T15" s="17"/>
      <c r="U15" s="17"/>
      <c r="V15" s="17"/>
      <c r="W15" s="11">
        <v>173000</v>
      </c>
      <c r="X15" s="17"/>
    </row>
    <row r="16" spans="1:24" ht="25.5" x14ac:dyDescent="0.25">
      <c r="A16" s="7" t="s">
        <v>16</v>
      </c>
      <c r="B16" s="8">
        <v>8470121</v>
      </c>
      <c r="C16" s="9" t="s">
        <v>33</v>
      </c>
      <c r="D16" s="10">
        <v>428090</v>
      </c>
      <c r="E16" s="9" t="s">
        <v>26</v>
      </c>
      <c r="F16" s="9" t="s">
        <v>41</v>
      </c>
      <c r="G16" s="11">
        <v>0</v>
      </c>
      <c r="H16" s="12">
        <v>100000</v>
      </c>
      <c r="I16" s="13"/>
      <c r="J16" s="14"/>
      <c r="K16" s="15"/>
      <c r="L16" s="16">
        <v>100000</v>
      </c>
      <c r="M16" s="15"/>
      <c r="N16" s="14"/>
      <c r="O16" s="17"/>
      <c r="P16" s="17"/>
      <c r="Q16" s="17"/>
      <c r="R16" s="17"/>
      <c r="S16" s="17"/>
      <c r="T16" s="17"/>
      <c r="U16" s="17"/>
      <c r="V16" s="17"/>
      <c r="W16" s="11">
        <v>100000</v>
      </c>
      <c r="X16" s="17"/>
    </row>
    <row r="17" spans="1:24" ht="25.5" x14ac:dyDescent="0.25">
      <c r="A17" s="7" t="s">
        <v>16</v>
      </c>
      <c r="B17" s="8">
        <v>8470130</v>
      </c>
      <c r="C17" s="9" t="s">
        <v>42</v>
      </c>
      <c r="D17" s="10">
        <v>421000</v>
      </c>
      <c r="E17" s="9" t="s">
        <v>34</v>
      </c>
      <c r="F17" s="9" t="s">
        <v>43</v>
      </c>
      <c r="G17" s="11">
        <v>202500</v>
      </c>
      <c r="H17" s="12">
        <v>202500</v>
      </c>
      <c r="I17" s="13"/>
      <c r="J17" s="14"/>
      <c r="K17" s="15"/>
      <c r="L17" s="16">
        <v>202500</v>
      </c>
      <c r="M17" s="15"/>
      <c r="N17" s="14"/>
      <c r="O17" s="17"/>
      <c r="P17" s="17"/>
      <c r="Q17" s="17"/>
      <c r="R17" s="17"/>
      <c r="S17" s="17"/>
      <c r="T17" s="17"/>
      <c r="U17" s="17"/>
      <c r="V17" s="17"/>
      <c r="W17" s="11">
        <v>202500</v>
      </c>
      <c r="X17" s="17"/>
    </row>
    <row r="18" spans="1:24" ht="25.5" x14ac:dyDescent="0.25">
      <c r="A18" s="7" t="s">
        <v>16</v>
      </c>
      <c r="B18" s="8">
        <v>8470130</v>
      </c>
      <c r="C18" s="9" t="s">
        <v>42</v>
      </c>
      <c r="D18" s="10">
        <v>426610</v>
      </c>
      <c r="E18" s="9" t="s">
        <v>39</v>
      </c>
      <c r="F18" s="9" t="s">
        <v>44</v>
      </c>
      <c r="G18" s="11">
        <v>0</v>
      </c>
      <c r="H18" s="12">
        <v>647100</v>
      </c>
      <c r="I18" s="13"/>
      <c r="J18" s="14"/>
      <c r="K18" s="15"/>
      <c r="L18" s="16">
        <v>647100</v>
      </c>
      <c r="M18" s="15"/>
      <c r="N18" s="14"/>
      <c r="O18" s="17"/>
      <c r="P18" s="17"/>
      <c r="Q18" s="17"/>
      <c r="R18" s="17"/>
      <c r="S18" s="17"/>
      <c r="T18" s="17"/>
      <c r="U18" s="17"/>
      <c r="V18" s="17"/>
      <c r="W18" s="11">
        <v>647100</v>
      </c>
      <c r="X18" s="17"/>
    </row>
    <row r="19" spans="1:24" ht="25.5" x14ac:dyDescent="0.25">
      <c r="A19" s="7" t="s">
        <v>16</v>
      </c>
      <c r="B19" s="8">
        <v>8470130</v>
      </c>
      <c r="C19" s="9" t="s">
        <v>42</v>
      </c>
      <c r="D19" s="10">
        <v>427710</v>
      </c>
      <c r="E19" s="9" t="s">
        <v>45</v>
      </c>
      <c r="F19" s="9" t="s">
        <v>46</v>
      </c>
      <c r="G19" s="11">
        <v>114759</v>
      </c>
      <c r="H19" s="12">
        <v>114759</v>
      </c>
      <c r="I19" s="13"/>
      <c r="J19" s="14"/>
      <c r="K19" s="15"/>
      <c r="L19" s="16">
        <v>114759</v>
      </c>
      <c r="M19" s="15"/>
      <c r="N19" s="14"/>
      <c r="O19" s="17"/>
      <c r="P19" s="17"/>
      <c r="Q19" s="17"/>
      <c r="R19" s="17"/>
      <c r="S19" s="17"/>
      <c r="T19" s="17"/>
      <c r="U19" s="17"/>
      <c r="V19" s="17"/>
      <c r="W19" s="11">
        <v>114759</v>
      </c>
      <c r="X19" s="17"/>
    </row>
    <row r="20" spans="1:24" ht="25.5" x14ac:dyDescent="0.25">
      <c r="A20" s="7" t="s">
        <v>16</v>
      </c>
      <c r="B20" s="8">
        <v>8470130</v>
      </c>
      <c r="C20" s="9" t="s">
        <v>42</v>
      </c>
      <c r="D20" s="10">
        <v>428090</v>
      </c>
      <c r="E20" s="9" t="s">
        <v>26</v>
      </c>
      <c r="F20" s="9" t="s">
        <v>47</v>
      </c>
      <c r="G20" s="11">
        <v>20000</v>
      </c>
      <c r="H20" s="12">
        <v>20000</v>
      </c>
      <c r="I20" s="13"/>
      <c r="J20" s="14"/>
      <c r="K20" s="15"/>
      <c r="L20" s="16">
        <v>20000</v>
      </c>
      <c r="M20" s="15"/>
      <c r="N20" s="14"/>
      <c r="O20" s="17"/>
      <c r="P20" s="17"/>
      <c r="Q20" s="17"/>
      <c r="R20" s="17"/>
      <c r="S20" s="17"/>
      <c r="T20" s="17"/>
      <c r="U20" s="17"/>
      <c r="V20" s="17"/>
      <c r="W20" s="11">
        <v>20000</v>
      </c>
      <c r="X20" s="17"/>
    </row>
    <row r="21" spans="1:24" ht="25.5" x14ac:dyDescent="0.25">
      <c r="A21" s="7" t="s">
        <v>16</v>
      </c>
      <c r="B21" s="8">
        <v>8470140</v>
      </c>
      <c r="C21" s="9" t="s">
        <v>48</v>
      </c>
      <c r="D21" s="10">
        <v>425100</v>
      </c>
      <c r="E21" s="9" t="s">
        <v>49</v>
      </c>
      <c r="F21" s="9" t="s">
        <v>50</v>
      </c>
      <c r="G21" s="11">
        <v>4978531</v>
      </c>
      <c r="H21" s="12">
        <v>5978531</v>
      </c>
      <c r="I21" s="18">
        <v>710565.94</v>
      </c>
      <c r="J21" s="19">
        <v>2806066.37</v>
      </c>
      <c r="K21" s="12">
        <v>547384.5</v>
      </c>
      <c r="L21" s="16">
        <v>1914514.19</v>
      </c>
      <c r="M21" s="15"/>
      <c r="N21" s="14"/>
      <c r="O21" s="17"/>
      <c r="P21" s="17"/>
      <c r="Q21" s="17"/>
      <c r="R21" s="17"/>
      <c r="S21" s="17"/>
      <c r="T21" s="17"/>
      <c r="U21" s="17"/>
      <c r="V21" s="17"/>
      <c r="W21" s="11">
        <v>1914514.19</v>
      </c>
      <c r="X21" s="17"/>
    </row>
    <row r="22" spans="1:24" ht="25.5" x14ac:dyDescent="0.25">
      <c r="A22" s="7" t="s">
        <v>16</v>
      </c>
      <c r="B22" s="8">
        <v>8470140</v>
      </c>
      <c r="C22" s="9" t="s">
        <v>48</v>
      </c>
      <c r="D22" s="10">
        <v>425510</v>
      </c>
      <c r="E22" s="9" t="s">
        <v>20</v>
      </c>
      <c r="F22" s="9" t="s">
        <v>51</v>
      </c>
      <c r="G22" s="11">
        <v>6769802</v>
      </c>
      <c r="H22" s="12">
        <v>7769802</v>
      </c>
      <c r="I22" s="18">
        <v>2654531.7599999998</v>
      </c>
      <c r="J22" s="19">
        <v>1647405.9</v>
      </c>
      <c r="K22" s="12">
        <v>785041</v>
      </c>
      <c r="L22" s="16">
        <v>2682823.34</v>
      </c>
      <c r="M22" s="15"/>
      <c r="N22" s="14"/>
      <c r="O22" s="17"/>
      <c r="P22" s="17"/>
      <c r="Q22" s="17"/>
      <c r="R22" s="17"/>
      <c r="S22" s="17"/>
      <c r="T22" s="17"/>
      <c r="U22" s="17"/>
      <c r="V22" s="17"/>
      <c r="W22" s="11">
        <v>2682823.34</v>
      </c>
      <c r="X22" s="17"/>
    </row>
    <row r="23" spans="1:24" ht="25.5" x14ac:dyDescent="0.25">
      <c r="A23" s="7" t="s">
        <v>16</v>
      </c>
      <c r="B23" s="8">
        <v>8470140</v>
      </c>
      <c r="C23" s="9" t="s">
        <v>48</v>
      </c>
      <c r="D23" s="10">
        <v>425550</v>
      </c>
      <c r="E23" s="9" t="s">
        <v>22</v>
      </c>
      <c r="F23" s="9" t="s">
        <v>52</v>
      </c>
      <c r="G23" s="11">
        <v>64327</v>
      </c>
      <c r="H23" s="12">
        <v>64327</v>
      </c>
      <c r="I23" s="18">
        <v>-5201.42</v>
      </c>
      <c r="J23" s="14"/>
      <c r="K23" s="15"/>
      <c r="L23" s="16">
        <v>69528.42</v>
      </c>
      <c r="M23" s="15"/>
      <c r="N23" s="14"/>
      <c r="O23" s="17"/>
      <c r="P23" s="17"/>
      <c r="Q23" s="17"/>
      <c r="R23" s="17"/>
      <c r="S23" s="17"/>
      <c r="T23" s="17"/>
      <c r="U23" s="17"/>
      <c r="V23" s="17"/>
      <c r="W23" s="11">
        <v>69528.42</v>
      </c>
      <c r="X23" s="17"/>
    </row>
    <row r="24" spans="1:24" ht="25.5" x14ac:dyDescent="0.25">
      <c r="A24" s="7" t="s">
        <v>16</v>
      </c>
      <c r="B24" s="8">
        <v>8470140</v>
      </c>
      <c r="C24" s="9" t="s">
        <v>48</v>
      </c>
      <c r="D24" s="10">
        <v>425763</v>
      </c>
      <c r="E24" s="9" t="s">
        <v>53</v>
      </c>
      <c r="F24" s="9" t="s">
        <v>54</v>
      </c>
      <c r="G24" s="11">
        <v>154663</v>
      </c>
      <c r="H24" s="12">
        <v>154663</v>
      </c>
      <c r="I24" s="13"/>
      <c r="J24" s="14"/>
      <c r="K24" s="15"/>
      <c r="L24" s="16">
        <v>154663</v>
      </c>
      <c r="M24" s="15"/>
      <c r="N24" s="14"/>
      <c r="O24" s="17"/>
      <c r="P24" s="17"/>
      <c r="Q24" s="17"/>
      <c r="R24" s="17"/>
      <c r="S24" s="17"/>
      <c r="T24" s="17"/>
      <c r="U24" s="17"/>
      <c r="V24" s="17"/>
      <c r="W24" s="11">
        <v>154663</v>
      </c>
      <c r="X24" s="17"/>
    </row>
    <row r="25" spans="1:24" ht="25.5" x14ac:dyDescent="0.25">
      <c r="A25" s="7" t="s">
        <v>16</v>
      </c>
      <c r="B25" s="8">
        <v>8470140</v>
      </c>
      <c r="C25" s="9" t="s">
        <v>48</v>
      </c>
      <c r="D25" s="10">
        <v>427100</v>
      </c>
      <c r="E25" s="9" t="s">
        <v>55</v>
      </c>
      <c r="F25" s="9" t="s">
        <v>56</v>
      </c>
      <c r="G25" s="11">
        <v>928026</v>
      </c>
      <c r="H25" s="12">
        <v>1578026</v>
      </c>
      <c r="I25" s="18">
        <v>712427.38</v>
      </c>
      <c r="J25" s="19">
        <v>-432001.91</v>
      </c>
      <c r="K25" s="12">
        <v>151576.44</v>
      </c>
      <c r="L25" s="16">
        <v>1146024.0900000001</v>
      </c>
      <c r="M25" s="15"/>
      <c r="N25" s="14"/>
      <c r="O25" s="17"/>
      <c r="P25" s="17"/>
      <c r="Q25" s="17"/>
      <c r="R25" s="17"/>
      <c r="S25" s="17"/>
      <c r="T25" s="17"/>
      <c r="U25" s="17"/>
      <c r="V25" s="17"/>
      <c r="W25" s="11">
        <v>1146024.0900000001</v>
      </c>
      <c r="X25" s="17"/>
    </row>
    <row r="26" spans="1:24" ht="25.5" x14ac:dyDescent="0.25">
      <c r="A26" s="7" t="s">
        <v>16</v>
      </c>
      <c r="B26" s="8">
        <v>8470140</v>
      </c>
      <c r="C26" s="9" t="s">
        <v>48</v>
      </c>
      <c r="D26" s="10">
        <v>427200</v>
      </c>
      <c r="E26" s="9" t="s">
        <v>57</v>
      </c>
      <c r="F26" s="9" t="s">
        <v>58</v>
      </c>
      <c r="G26" s="11">
        <v>23653</v>
      </c>
      <c r="H26" s="12">
        <v>23653</v>
      </c>
      <c r="I26" s="13"/>
      <c r="J26" s="14"/>
      <c r="K26" s="15"/>
      <c r="L26" s="16">
        <v>23653</v>
      </c>
      <c r="M26" s="15"/>
      <c r="N26" s="14"/>
      <c r="O26" s="17"/>
      <c r="P26" s="17"/>
      <c r="Q26" s="17"/>
      <c r="R26" s="17"/>
      <c r="S26" s="17"/>
      <c r="T26" s="17"/>
      <c r="U26" s="17"/>
      <c r="V26" s="17"/>
      <c r="W26" s="11">
        <v>23653</v>
      </c>
      <c r="X26" s="17"/>
    </row>
    <row r="27" spans="1:24" ht="25.5" x14ac:dyDescent="0.25">
      <c r="A27" s="7" t="s">
        <v>16</v>
      </c>
      <c r="B27" s="8">
        <v>8470140</v>
      </c>
      <c r="C27" s="9" t="s">
        <v>48</v>
      </c>
      <c r="D27" s="10">
        <v>428640</v>
      </c>
      <c r="E27" s="9" t="s">
        <v>59</v>
      </c>
      <c r="F27" s="9" t="s">
        <v>60</v>
      </c>
      <c r="G27" s="11">
        <v>45999</v>
      </c>
      <c r="H27" s="12">
        <v>45999</v>
      </c>
      <c r="I27" s="18">
        <v>2205</v>
      </c>
      <c r="J27" s="14"/>
      <c r="K27" s="15"/>
      <c r="L27" s="16">
        <v>43794</v>
      </c>
      <c r="M27" s="15"/>
      <c r="N27" s="14"/>
      <c r="O27" s="17"/>
      <c r="P27" s="17"/>
      <c r="Q27" s="17"/>
      <c r="R27" s="17"/>
      <c r="S27" s="17"/>
      <c r="T27" s="17"/>
      <c r="U27" s="17"/>
      <c r="V27" s="17"/>
      <c r="W27" s="11">
        <v>43794</v>
      </c>
      <c r="X27" s="17"/>
    </row>
    <row r="28" spans="1:24" ht="25.5" x14ac:dyDescent="0.25">
      <c r="A28" s="7" t="s">
        <v>16</v>
      </c>
      <c r="B28" s="8">
        <v>8470140</v>
      </c>
      <c r="C28" s="9" t="s">
        <v>48</v>
      </c>
      <c r="D28" s="10">
        <v>435519</v>
      </c>
      <c r="E28" s="9" t="s">
        <v>61</v>
      </c>
      <c r="F28" s="9" t="s">
        <v>62</v>
      </c>
      <c r="G28" s="11">
        <v>58125</v>
      </c>
      <c r="H28" s="12">
        <v>58125</v>
      </c>
      <c r="I28" s="13"/>
      <c r="J28" s="14"/>
      <c r="K28" s="15"/>
      <c r="L28" s="16">
        <v>58125</v>
      </c>
      <c r="M28" s="15"/>
      <c r="N28" s="14"/>
      <c r="O28" s="17"/>
      <c r="P28" s="17"/>
      <c r="Q28" s="17"/>
      <c r="R28" s="17"/>
      <c r="S28" s="17"/>
      <c r="T28" s="17"/>
      <c r="U28" s="17"/>
      <c r="V28" s="17"/>
      <c r="W28" s="11">
        <v>58125</v>
      </c>
      <c r="X28" s="17"/>
    </row>
    <row r="29" spans="1:24" ht="25.5" x14ac:dyDescent="0.25">
      <c r="A29" s="7" t="s">
        <v>16</v>
      </c>
      <c r="B29" s="8">
        <v>8470150</v>
      </c>
      <c r="C29" s="9" t="s">
        <v>63</v>
      </c>
      <c r="D29" s="10">
        <v>420900</v>
      </c>
      <c r="E29" s="9" t="s">
        <v>64</v>
      </c>
      <c r="F29" s="9" t="s">
        <v>65</v>
      </c>
      <c r="G29" s="11">
        <v>33692</v>
      </c>
      <c r="H29" s="12">
        <v>353692</v>
      </c>
      <c r="I29" s="18">
        <v>4145.71</v>
      </c>
      <c r="J29" s="19">
        <v>300000</v>
      </c>
      <c r="K29" s="15"/>
      <c r="L29" s="16">
        <v>49546.29</v>
      </c>
      <c r="M29" s="15"/>
      <c r="N29" s="14"/>
      <c r="O29" s="17"/>
      <c r="P29" s="17"/>
      <c r="Q29" s="17"/>
      <c r="R29" s="17"/>
      <c r="S29" s="17"/>
      <c r="T29" s="17"/>
      <c r="U29" s="17"/>
      <c r="V29" s="17"/>
      <c r="W29" s="11">
        <v>49546.29</v>
      </c>
      <c r="X29" s="17"/>
    </row>
    <row r="30" spans="1:24" ht="25.5" x14ac:dyDescent="0.25">
      <c r="A30" s="7" t="s">
        <v>16</v>
      </c>
      <c r="B30" s="8">
        <v>8470150</v>
      </c>
      <c r="C30" s="9" t="s">
        <v>63</v>
      </c>
      <c r="D30" s="10">
        <v>426610</v>
      </c>
      <c r="E30" s="9" t="s">
        <v>39</v>
      </c>
      <c r="F30" s="9" t="s">
        <v>66</v>
      </c>
      <c r="G30" s="11">
        <v>0</v>
      </c>
      <c r="H30" s="12">
        <v>25000</v>
      </c>
      <c r="I30" s="18">
        <v>15000</v>
      </c>
      <c r="J30" s="14"/>
      <c r="K30" s="15"/>
      <c r="L30" s="16">
        <v>10000</v>
      </c>
      <c r="M30" s="15"/>
      <c r="N30" s="14"/>
      <c r="O30" s="17"/>
      <c r="P30" s="17"/>
      <c r="Q30" s="17"/>
      <c r="R30" s="17"/>
      <c r="S30" s="17"/>
      <c r="T30" s="17"/>
      <c r="U30" s="17"/>
      <c r="V30" s="17"/>
      <c r="W30" s="11">
        <v>10000</v>
      </c>
      <c r="X30" s="17"/>
    </row>
    <row r="31" spans="1:24" ht="25.5" x14ac:dyDescent="0.25">
      <c r="A31" s="7" t="s">
        <v>16</v>
      </c>
      <c r="B31" s="8">
        <v>8470160</v>
      </c>
      <c r="C31" s="9" t="s">
        <v>67</v>
      </c>
      <c r="D31" s="10">
        <v>420900</v>
      </c>
      <c r="E31" s="9" t="s">
        <v>64</v>
      </c>
      <c r="F31" s="9" t="s">
        <v>68</v>
      </c>
      <c r="G31" s="11">
        <v>0</v>
      </c>
      <c r="H31" s="12">
        <v>0</v>
      </c>
      <c r="I31" s="13"/>
      <c r="J31" s="14"/>
      <c r="K31" s="15"/>
      <c r="L31" s="16">
        <v>0</v>
      </c>
      <c r="M31" s="15"/>
      <c r="N31" s="14"/>
      <c r="O31" s="17"/>
      <c r="P31" s="17"/>
      <c r="Q31" s="17"/>
      <c r="R31" s="17"/>
      <c r="S31" s="17"/>
      <c r="T31" s="17"/>
      <c r="U31" s="17"/>
      <c r="V31" s="17"/>
      <c r="W31" s="11">
        <v>0</v>
      </c>
      <c r="X31" s="17"/>
    </row>
    <row r="32" spans="1:24" ht="25.5" x14ac:dyDescent="0.25">
      <c r="A32" s="7" t="s">
        <v>16</v>
      </c>
      <c r="B32" s="8">
        <v>8470160</v>
      </c>
      <c r="C32" s="9" t="s">
        <v>67</v>
      </c>
      <c r="D32" s="10">
        <v>425550</v>
      </c>
      <c r="E32" s="9" t="s">
        <v>22</v>
      </c>
      <c r="F32" s="9" t="s">
        <v>69</v>
      </c>
      <c r="G32" s="11">
        <v>37000</v>
      </c>
      <c r="H32" s="12">
        <v>37000</v>
      </c>
      <c r="I32" s="13"/>
      <c r="J32" s="14"/>
      <c r="K32" s="15"/>
      <c r="L32" s="16">
        <v>37000</v>
      </c>
      <c r="M32" s="15"/>
      <c r="N32" s="14"/>
      <c r="O32" s="17"/>
      <c r="P32" s="17"/>
      <c r="Q32" s="17"/>
      <c r="R32" s="17"/>
      <c r="S32" s="17"/>
      <c r="T32" s="17"/>
      <c r="U32" s="17"/>
      <c r="V32" s="17"/>
      <c r="W32" s="11">
        <v>37000</v>
      </c>
      <c r="X32" s="17"/>
    </row>
    <row r="33" spans="1:24" ht="25.5" x14ac:dyDescent="0.25">
      <c r="A33" s="7" t="s">
        <v>16</v>
      </c>
      <c r="B33" s="8">
        <v>8470160</v>
      </c>
      <c r="C33" s="9" t="s">
        <v>67</v>
      </c>
      <c r="D33" s="10">
        <v>425900</v>
      </c>
      <c r="E33" s="9" t="s">
        <v>24</v>
      </c>
      <c r="F33" s="9" t="s">
        <v>70</v>
      </c>
      <c r="G33" s="11">
        <v>195000</v>
      </c>
      <c r="H33" s="12">
        <v>195000</v>
      </c>
      <c r="I33" s="18">
        <v>551.25</v>
      </c>
      <c r="J33" s="14"/>
      <c r="K33" s="15"/>
      <c r="L33" s="16">
        <v>194448.75</v>
      </c>
      <c r="M33" s="15"/>
      <c r="N33" s="14"/>
      <c r="O33" s="17"/>
      <c r="P33" s="17"/>
      <c r="Q33" s="17"/>
      <c r="R33" s="17"/>
      <c r="S33" s="17"/>
      <c r="T33" s="17"/>
      <c r="U33" s="17"/>
      <c r="V33" s="17"/>
      <c r="W33" s="11">
        <v>194448.75</v>
      </c>
      <c r="X33" s="17"/>
    </row>
    <row r="34" spans="1:24" ht="25.5" x14ac:dyDescent="0.25">
      <c r="A34" s="7" t="s">
        <v>16</v>
      </c>
      <c r="B34" s="8">
        <v>8470160</v>
      </c>
      <c r="C34" s="9" t="s">
        <v>67</v>
      </c>
      <c r="D34" s="10">
        <v>426610</v>
      </c>
      <c r="E34" s="9" t="s">
        <v>39</v>
      </c>
      <c r="F34" s="9" t="s">
        <v>71</v>
      </c>
      <c r="G34" s="11">
        <v>0</v>
      </c>
      <c r="H34" s="12">
        <v>1</v>
      </c>
      <c r="I34" s="13"/>
      <c r="J34" s="19">
        <v>1</v>
      </c>
      <c r="K34" s="15"/>
      <c r="L34" s="16">
        <v>0</v>
      </c>
      <c r="M34" s="15"/>
      <c r="N34" s="14"/>
      <c r="O34" s="17"/>
      <c r="P34" s="17"/>
      <c r="Q34" s="17"/>
      <c r="R34" s="17"/>
      <c r="S34" s="17"/>
      <c r="T34" s="17"/>
      <c r="U34" s="17"/>
      <c r="V34" s="17"/>
      <c r="W34" s="11">
        <v>0</v>
      </c>
      <c r="X34" s="17"/>
    </row>
    <row r="35" spans="1:24" ht="25.5" x14ac:dyDescent="0.25">
      <c r="A35" s="7" t="s">
        <v>16</v>
      </c>
      <c r="B35" s="8">
        <v>8470160</v>
      </c>
      <c r="C35" s="9" t="s">
        <v>67</v>
      </c>
      <c r="D35" s="10">
        <v>428090</v>
      </c>
      <c r="E35" s="9" t="s">
        <v>26</v>
      </c>
      <c r="F35" s="9" t="s">
        <v>72</v>
      </c>
      <c r="G35" s="11">
        <v>37075</v>
      </c>
      <c r="H35" s="12">
        <v>100000</v>
      </c>
      <c r="I35" s="18">
        <v>1650</v>
      </c>
      <c r="J35" s="14"/>
      <c r="K35" s="15"/>
      <c r="L35" s="16">
        <v>98350</v>
      </c>
      <c r="M35" s="15"/>
      <c r="N35" s="14"/>
      <c r="O35" s="17"/>
      <c r="P35" s="17"/>
      <c r="Q35" s="17"/>
      <c r="R35" s="17"/>
      <c r="S35" s="17"/>
      <c r="T35" s="17"/>
      <c r="U35" s="17"/>
      <c r="V35" s="17"/>
      <c r="W35" s="11">
        <v>98350</v>
      </c>
      <c r="X35" s="17"/>
    </row>
    <row r="36" spans="1:24" ht="25.5" x14ac:dyDescent="0.25">
      <c r="A36" s="7" t="s">
        <v>16</v>
      </c>
      <c r="B36" s="8">
        <v>8470160</v>
      </c>
      <c r="C36" s="9" t="s">
        <v>67</v>
      </c>
      <c r="D36" s="10">
        <v>428640</v>
      </c>
      <c r="E36" s="9" t="s">
        <v>59</v>
      </c>
      <c r="F36" s="9" t="s">
        <v>73</v>
      </c>
      <c r="G36" s="11">
        <v>20000</v>
      </c>
      <c r="H36" s="12">
        <v>20000</v>
      </c>
      <c r="I36" s="13"/>
      <c r="J36" s="14"/>
      <c r="K36" s="15"/>
      <c r="L36" s="16">
        <v>20000</v>
      </c>
      <c r="M36" s="15"/>
      <c r="N36" s="14"/>
      <c r="O36" s="17"/>
      <c r="P36" s="17"/>
      <c r="Q36" s="17"/>
      <c r="R36" s="17"/>
      <c r="S36" s="17"/>
      <c r="T36" s="17"/>
      <c r="U36" s="17"/>
      <c r="V36" s="17"/>
      <c r="W36" s="11">
        <v>20000</v>
      </c>
      <c r="X36" s="17"/>
    </row>
    <row r="37" spans="1:24" ht="25.5" x14ac:dyDescent="0.25">
      <c r="A37" s="7" t="s">
        <v>16</v>
      </c>
      <c r="B37" s="8">
        <v>8470160</v>
      </c>
      <c r="C37" s="9" t="s">
        <v>67</v>
      </c>
      <c r="D37" s="10">
        <v>435523</v>
      </c>
      <c r="E37" s="9" t="s">
        <v>74</v>
      </c>
      <c r="F37" s="9" t="s">
        <v>75</v>
      </c>
      <c r="G37" s="11">
        <v>0</v>
      </c>
      <c r="H37" s="12">
        <v>650000</v>
      </c>
      <c r="I37" s="13"/>
      <c r="J37" s="14"/>
      <c r="K37" s="15"/>
      <c r="L37" s="16">
        <v>650000</v>
      </c>
      <c r="M37" s="15"/>
      <c r="N37" s="14"/>
      <c r="O37" s="17"/>
      <c r="P37" s="17"/>
      <c r="Q37" s="17"/>
      <c r="R37" s="17"/>
      <c r="S37" s="17"/>
      <c r="T37" s="17"/>
      <c r="U37" s="17"/>
      <c r="V37" s="17"/>
      <c r="W37" s="11">
        <v>650000</v>
      </c>
      <c r="X37" s="17"/>
    </row>
    <row r="38" spans="1:24" ht="25.5" x14ac:dyDescent="0.25">
      <c r="A38" s="7" t="s">
        <v>16</v>
      </c>
      <c r="B38" s="8">
        <v>8470210</v>
      </c>
      <c r="C38" s="9" t="s">
        <v>76</v>
      </c>
      <c r="D38" s="10">
        <v>420811</v>
      </c>
      <c r="E38" s="9" t="s">
        <v>77</v>
      </c>
      <c r="F38" s="9" t="s">
        <v>78</v>
      </c>
      <c r="G38" s="11">
        <v>14000000</v>
      </c>
      <c r="H38" s="12">
        <v>10905900</v>
      </c>
      <c r="I38" s="13"/>
      <c r="J38" s="14"/>
      <c r="K38" s="15"/>
      <c r="L38" s="16">
        <v>10905900</v>
      </c>
      <c r="M38" s="15"/>
      <c r="N38" s="14"/>
      <c r="O38" s="17"/>
      <c r="P38" s="17"/>
      <c r="Q38" s="17"/>
      <c r="R38" s="17"/>
      <c r="S38" s="17"/>
      <c r="T38" s="17"/>
      <c r="U38" s="17"/>
      <c r="V38" s="17"/>
      <c r="W38" s="11">
        <v>10905900</v>
      </c>
      <c r="X38" s="17"/>
    </row>
    <row r="39" spans="1:24" ht="25.5" x14ac:dyDescent="0.25">
      <c r="A39" s="7" t="s">
        <v>16</v>
      </c>
      <c r="B39" s="8">
        <v>8470210</v>
      </c>
      <c r="C39" s="9" t="s">
        <v>76</v>
      </c>
      <c r="D39" s="10">
        <v>420900</v>
      </c>
      <c r="E39" s="9" t="s">
        <v>64</v>
      </c>
      <c r="F39" s="9" t="s">
        <v>79</v>
      </c>
      <c r="G39" s="11">
        <v>1000000</v>
      </c>
      <c r="H39" s="12">
        <v>1000000</v>
      </c>
      <c r="I39" s="13"/>
      <c r="J39" s="14"/>
      <c r="K39" s="15"/>
      <c r="L39" s="16">
        <v>1000000</v>
      </c>
      <c r="M39" s="15"/>
      <c r="N39" s="14"/>
      <c r="O39" s="17"/>
      <c r="P39" s="17"/>
      <c r="Q39" s="17"/>
      <c r="R39" s="17"/>
      <c r="S39" s="17"/>
      <c r="T39" s="17"/>
      <c r="U39" s="17"/>
      <c r="V39" s="17"/>
      <c r="W39" s="11">
        <v>1000000</v>
      </c>
      <c r="X39" s="17"/>
    </row>
    <row r="40" spans="1:24" ht="25.5" x14ac:dyDescent="0.25">
      <c r="A40" s="7" t="s">
        <v>16</v>
      </c>
      <c r="B40" s="8">
        <v>8470210</v>
      </c>
      <c r="C40" s="9" t="s">
        <v>76</v>
      </c>
      <c r="D40" s="10">
        <v>425747</v>
      </c>
      <c r="E40" s="9" t="s">
        <v>80</v>
      </c>
      <c r="F40" s="9" t="s">
        <v>81</v>
      </c>
      <c r="G40" s="11">
        <v>15000000</v>
      </c>
      <c r="H40" s="12">
        <v>12350000</v>
      </c>
      <c r="I40" s="13"/>
      <c r="J40" s="14"/>
      <c r="K40" s="15"/>
      <c r="L40" s="16">
        <v>12350000</v>
      </c>
      <c r="M40" s="15"/>
      <c r="N40" s="14"/>
      <c r="O40" s="17"/>
      <c r="P40" s="17"/>
      <c r="Q40" s="17"/>
      <c r="R40" s="17"/>
      <c r="S40" s="17"/>
      <c r="T40" s="17"/>
      <c r="U40" s="17"/>
      <c r="V40" s="17"/>
      <c r="W40" s="11">
        <v>12350000</v>
      </c>
      <c r="X40" s="17"/>
    </row>
    <row r="41" spans="1:24" ht="25.5" x14ac:dyDescent="0.25">
      <c r="A41" s="7" t="s">
        <v>16</v>
      </c>
      <c r="B41" s="8">
        <v>8470210</v>
      </c>
      <c r="C41" s="9" t="s">
        <v>76</v>
      </c>
      <c r="D41" s="10">
        <v>425749</v>
      </c>
      <c r="E41" s="9" t="s">
        <v>82</v>
      </c>
      <c r="F41" s="9" t="s">
        <v>83</v>
      </c>
      <c r="G41" s="11">
        <v>0</v>
      </c>
      <c r="H41" s="12">
        <v>18990890</v>
      </c>
      <c r="I41" s="13"/>
      <c r="J41" s="14"/>
      <c r="K41" s="15"/>
      <c r="L41" s="16">
        <v>18990890</v>
      </c>
      <c r="M41" s="15"/>
      <c r="N41" s="14"/>
      <c r="O41" s="17"/>
      <c r="P41" s="17"/>
      <c r="Q41" s="17"/>
      <c r="R41" s="17"/>
      <c r="S41" s="17"/>
      <c r="T41" s="17"/>
      <c r="U41" s="17"/>
      <c r="V41" s="17"/>
      <c r="W41" s="11">
        <v>18990890</v>
      </c>
      <c r="X41" s="17"/>
    </row>
    <row r="42" spans="1:24" ht="25.5" x14ac:dyDescent="0.25">
      <c r="A42" s="7" t="s">
        <v>16</v>
      </c>
      <c r="B42" s="8">
        <v>8470210</v>
      </c>
      <c r="C42" s="9" t="s">
        <v>76</v>
      </c>
      <c r="D42" s="10">
        <v>435523</v>
      </c>
      <c r="E42" s="9" t="s">
        <v>74</v>
      </c>
      <c r="F42" s="9" t="s">
        <v>84</v>
      </c>
      <c r="G42" s="11">
        <v>9000000</v>
      </c>
      <c r="H42" s="12">
        <v>9000000</v>
      </c>
      <c r="I42" s="13"/>
      <c r="J42" s="14"/>
      <c r="K42" s="15"/>
      <c r="L42" s="16">
        <v>9000000</v>
      </c>
      <c r="M42" s="15"/>
      <c r="N42" s="14"/>
      <c r="O42" s="17"/>
      <c r="P42" s="17"/>
      <c r="Q42" s="17"/>
      <c r="R42" s="17"/>
      <c r="S42" s="17"/>
      <c r="T42" s="17"/>
      <c r="U42" s="17"/>
      <c r="V42" s="17"/>
      <c r="W42" s="11">
        <v>9000000</v>
      </c>
      <c r="X42" s="17"/>
    </row>
    <row r="43" spans="1:24" ht="25.5" x14ac:dyDescent="0.25">
      <c r="A43" s="7" t="s">
        <v>16</v>
      </c>
      <c r="B43" s="8">
        <v>8470220</v>
      </c>
      <c r="C43" s="9" t="s">
        <v>85</v>
      </c>
      <c r="D43" s="10">
        <v>420550</v>
      </c>
      <c r="E43" s="9" t="s">
        <v>18</v>
      </c>
      <c r="F43" s="9" t="s">
        <v>86</v>
      </c>
      <c r="G43" s="11">
        <v>0</v>
      </c>
      <c r="H43" s="12">
        <v>26159</v>
      </c>
      <c r="I43" s="13"/>
      <c r="J43" s="14"/>
      <c r="K43" s="15"/>
      <c r="L43" s="16">
        <v>26159</v>
      </c>
      <c r="M43" s="15"/>
      <c r="N43" s="14"/>
      <c r="O43" s="17"/>
      <c r="P43" s="17"/>
      <c r="Q43" s="17"/>
      <c r="R43" s="17"/>
      <c r="S43" s="17"/>
      <c r="T43" s="17"/>
      <c r="U43" s="17"/>
      <c r="V43" s="17"/>
      <c r="W43" s="11">
        <v>26159</v>
      </c>
      <c r="X43" s="17"/>
    </row>
    <row r="44" spans="1:24" ht="25.5" x14ac:dyDescent="0.25">
      <c r="A44" s="7" t="s">
        <v>16</v>
      </c>
      <c r="B44" s="8">
        <v>8470220</v>
      </c>
      <c r="C44" s="9" t="s">
        <v>85</v>
      </c>
      <c r="D44" s="10">
        <v>420570</v>
      </c>
      <c r="E44" s="9" t="s">
        <v>87</v>
      </c>
      <c r="F44" s="9" t="s">
        <v>88</v>
      </c>
      <c r="G44" s="11">
        <v>500000</v>
      </c>
      <c r="H44" s="12">
        <v>185000</v>
      </c>
      <c r="I44" s="18">
        <v>174841.45</v>
      </c>
      <c r="J44" s="14"/>
      <c r="K44" s="15"/>
      <c r="L44" s="16">
        <v>10158.549999999999</v>
      </c>
      <c r="M44" s="15"/>
      <c r="N44" s="14"/>
      <c r="O44" s="17"/>
      <c r="P44" s="17"/>
      <c r="Q44" s="17"/>
      <c r="R44" s="17"/>
      <c r="S44" s="17"/>
      <c r="T44" s="17"/>
      <c r="U44" s="17"/>
      <c r="V44" s="17"/>
      <c r="W44" s="11">
        <v>10158.549999999999</v>
      </c>
      <c r="X44" s="17"/>
    </row>
    <row r="45" spans="1:24" ht="25.5" x14ac:dyDescent="0.25">
      <c r="A45" s="7" t="s">
        <v>16</v>
      </c>
      <c r="B45" s="8">
        <v>8470220</v>
      </c>
      <c r="C45" s="9" t="s">
        <v>85</v>
      </c>
      <c r="D45" s="10">
        <v>421700</v>
      </c>
      <c r="E45" s="9" t="s">
        <v>36</v>
      </c>
      <c r="F45" s="9" t="s">
        <v>89</v>
      </c>
      <c r="G45" s="11">
        <v>1100000</v>
      </c>
      <c r="H45" s="12">
        <v>1617497</v>
      </c>
      <c r="I45" s="18">
        <v>25003</v>
      </c>
      <c r="J45" s="14"/>
      <c r="K45" s="15"/>
      <c r="L45" s="16">
        <v>1592494</v>
      </c>
      <c r="M45" s="15"/>
      <c r="N45" s="14"/>
      <c r="O45" s="17"/>
      <c r="P45" s="17"/>
      <c r="Q45" s="17"/>
      <c r="R45" s="17"/>
      <c r="S45" s="17"/>
      <c r="T45" s="17"/>
      <c r="U45" s="17"/>
      <c r="V45" s="17"/>
      <c r="W45" s="11">
        <v>1592494</v>
      </c>
      <c r="X45" s="17"/>
    </row>
    <row r="46" spans="1:24" ht="25.5" x14ac:dyDescent="0.25">
      <c r="A46" s="7" t="s">
        <v>16</v>
      </c>
      <c r="B46" s="8">
        <v>8470220</v>
      </c>
      <c r="C46" s="9" t="s">
        <v>85</v>
      </c>
      <c r="D46" s="10">
        <v>425510</v>
      </c>
      <c r="E46" s="9" t="s">
        <v>20</v>
      </c>
      <c r="F46" s="9" t="s">
        <v>90</v>
      </c>
      <c r="G46" s="11">
        <v>13750</v>
      </c>
      <c r="H46" s="12">
        <v>1389058</v>
      </c>
      <c r="I46" s="18">
        <v>3300</v>
      </c>
      <c r="J46" s="14"/>
      <c r="K46" s="15"/>
      <c r="L46" s="16">
        <v>1385758</v>
      </c>
      <c r="M46" s="15"/>
      <c r="N46" s="14"/>
      <c r="O46" s="17"/>
      <c r="P46" s="17"/>
      <c r="Q46" s="17"/>
      <c r="R46" s="17"/>
      <c r="S46" s="17"/>
      <c r="T46" s="17"/>
      <c r="U46" s="17"/>
      <c r="V46" s="17"/>
      <c r="W46" s="11">
        <v>1385758</v>
      </c>
      <c r="X46" s="17"/>
    </row>
    <row r="47" spans="1:24" ht="25.5" x14ac:dyDescent="0.25">
      <c r="A47" s="7" t="s">
        <v>16</v>
      </c>
      <c r="B47" s="8">
        <v>8470220</v>
      </c>
      <c r="C47" s="9" t="s">
        <v>85</v>
      </c>
      <c r="D47" s="10">
        <v>425550</v>
      </c>
      <c r="E47" s="9" t="s">
        <v>22</v>
      </c>
      <c r="F47" s="9" t="s">
        <v>91</v>
      </c>
      <c r="G47" s="11">
        <v>13790</v>
      </c>
      <c r="H47" s="12">
        <v>13790</v>
      </c>
      <c r="I47" s="13"/>
      <c r="J47" s="14"/>
      <c r="K47" s="15"/>
      <c r="L47" s="16">
        <v>13790</v>
      </c>
      <c r="M47" s="15"/>
      <c r="N47" s="14"/>
      <c r="O47" s="17"/>
      <c r="P47" s="17"/>
      <c r="Q47" s="17"/>
      <c r="R47" s="17"/>
      <c r="S47" s="17"/>
      <c r="T47" s="17"/>
      <c r="U47" s="17"/>
      <c r="V47" s="17"/>
      <c r="W47" s="11">
        <v>13790</v>
      </c>
      <c r="X47" s="17"/>
    </row>
    <row r="48" spans="1:24" ht="25.5" x14ac:dyDescent="0.25">
      <c r="A48" s="7" t="s">
        <v>16</v>
      </c>
      <c r="B48" s="8">
        <v>8470220</v>
      </c>
      <c r="C48" s="9" t="s">
        <v>85</v>
      </c>
      <c r="D48" s="10">
        <v>425900</v>
      </c>
      <c r="E48" s="9" t="s">
        <v>24</v>
      </c>
      <c r="F48" s="9" t="s">
        <v>92</v>
      </c>
      <c r="G48" s="11">
        <v>21378</v>
      </c>
      <c r="H48" s="12">
        <v>21378</v>
      </c>
      <c r="I48" s="18">
        <v>5716.61</v>
      </c>
      <c r="J48" s="14"/>
      <c r="K48" s="15"/>
      <c r="L48" s="16">
        <v>15661.39</v>
      </c>
      <c r="M48" s="15"/>
      <c r="N48" s="14"/>
      <c r="O48" s="17"/>
      <c r="P48" s="17"/>
      <c r="Q48" s="17"/>
      <c r="R48" s="17"/>
      <c r="S48" s="17"/>
      <c r="T48" s="17"/>
      <c r="U48" s="17"/>
      <c r="V48" s="17"/>
      <c r="W48" s="11">
        <v>15661.39</v>
      </c>
      <c r="X48" s="17"/>
    </row>
    <row r="49" spans="1:24" ht="25.5" x14ac:dyDescent="0.25">
      <c r="A49" s="7" t="s">
        <v>16</v>
      </c>
      <c r="B49" s="8">
        <v>8470220</v>
      </c>
      <c r="C49" s="9" t="s">
        <v>85</v>
      </c>
      <c r="D49" s="10">
        <v>428090</v>
      </c>
      <c r="E49" s="9" t="s">
        <v>26</v>
      </c>
      <c r="F49" s="9" t="s">
        <v>93</v>
      </c>
      <c r="G49" s="11">
        <v>33100</v>
      </c>
      <c r="H49" s="12">
        <v>551900</v>
      </c>
      <c r="I49" s="18">
        <v>7269.52</v>
      </c>
      <c r="J49" s="14"/>
      <c r="K49" s="15"/>
      <c r="L49" s="16">
        <v>544630.48</v>
      </c>
      <c r="M49" s="15"/>
      <c r="N49" s="14"/>
      <c r="O49" s="17"/>
      <c r="P49" s="17"/>
      <c r="Q49" s="17"/>
      <c r="R49" s="17"/>
      <c r="S49" s="17"/>
      <c r="T49" s="17"/>
      <c r="U49" s="17"/>
      <c r="V49" s="17"/>
      <c r="W49" s="11">
        <v>544630.48</v>
      </c>
      <c r="X49" s="17"/>
    </row>
    <row r="50" spans="1:24" ht="25.5" x14ac:dyDescent="0.25">
      <c r="A50" s="7" t="s">
        <v>16</v>
      </c>
      <c r="B50" s="8">
        <v>8470220</v>
      </c>
      <c r="C50" s="9" t="s">
        <v>85</v>
      </c>
      <c r="D50" s="10">
        <v>428640</v>
      </c>
      <c r="E50" s="9" t="s">
        <v>59</v>
      </c>
      <c r="F50" s="9" t="s">
        <v>94</v>
      </c>
      <c r="G50" s="11">
        <v>6320</v>
      </c>
      <c r="H50" s="12">
        <v>261820</v>
      </c>
      <c r="I50" s="18">
        <v>316</v>
      </c>
      <c r="J50" s="14"/>
      <c r="K50" s="15"/>
      <c r="L50" s="16">
        <v>261504</v>
      </c>
      <c r="M50" s="15"/>
      <c r="N50" s="14"/>
      <c r="O50" s="17"/>
      <c r="P50" s="17"/>
      <c r="Q50" s="17"/>
      <c r="R50" s="17"/>
      <c r="S50" s="17"/>
      <c r="T50" s="17"/>
      <c r="U50" s="17"/>
      <c r="V50" s="17"/>
      <c r="W50" s="11">
        <v>261504</v>
      </c>
      <c r="X50" s="17"/>
    </row>
    <row r="51" spans="1:24" ht="25.5" x14ac:dyDescent="0.25">
      <c r="A51" s="7" t="s">
        <v>16</v>
      </c>
      <c r="B51" s="8">
        <v>8470220</v>
      </c>
      <c r="C51" s="9" t="s">
        <v>85</v>
      </c>
      <c r="D51" s="10">
        <v>428640</v>
      </c>
      <c r="E51" s="9" t="s">
        <v>59</v>
      </c>
      <c r="F51" s="9" t="s">
        <v>95</v>
      </c>
      <c r="G51" s="11">
        <v>2000000</v>
      </c>
      <c r="H51" s="12">
        <v>2000000</v>
      </c>
      <c r="I51" s="13"/>
      <c r="J51" s="14"/>
      <c r="K51" s="15"/>
      <c r="L51" s="16">
        <v>2000000</v>
      </c>
      <c r="M51" s="15"/>
      <c r="N51" s="14"/>
      <c r="O51" s="17"/>
      <c r="P51" s="17"/>
      <c r="Q51" s="17"/>
      <c r="R51" s="17"/>
      <c r="S51" s="17"/>
      <c r="T51" s="17"/>
      <c r="U51" s="17"/>
      <c r="V51" s="17"/>
      <c r="W51" s="11">
        <v>2000000</v>
      </c>
      <c r="X51" s="17"/>
    </row>
    <row r="52" spans="1:24" ht="51" x14ac:dyDescent="0.25">
      <c r="A52" s="7" t="s">
        <v>16</v>
      </c>
      <c r="B52" s="8">
        <v>8470220</v>
      </c>
      <c r="C52" s="9" t="s">
        <v>85</v>
      </c>
      <c r="D52" s="10">
        <v>432205</v>
      </c>
      <c r="E52" s="9" t="s">
        <v>96</v>
      </c>
      <c r="F52" s="9" t="s">
        <v>97</v>
      </c>
      <c r="G52" s="11">
        <v>4648</v>
      </c>
      <c r="H52" s="12">
        <v>4648</v>
      </c>
      <c r="I52" s="13"/>
      <c r="J52" s="14"/>
      <c r="K52" s="15"/>
      <c r="L52" s="16">
        <v>4648</v>
      </c>
      <c r="M52" s="15"/>
      <c r="N52" s="14"/>
      <c r="O52" s="17"/>
      <c r="P52" s="17"/>
      <c r="Q52" s="17"/>
      <c r="R52" s="17"/>
      <c r="S52" s="17"/>
      <c r="T52" s="17"/>
      <c r="U52" s="17"/>
      <c r="V52" s="17"/>
      <c r="W52" s="11">
        <v>4648</v>
      </c>
      <c r="X52" s="17"/>
    </row>
    <row r="53" spans="1:24" ht="25.5" x14ac:dyDescent="0.25">
      <c r="A53" s="7" t="s">
        <v>16</v>
      </c>
      <c r="B53" s="8">
        <v>8470220</v>
      </c>
      <c r="C53" s="9" t="s">
        <v>85</v>
      </c>
      <c r="D53" s="10">
        <v>435350</v>
      </c>
      <c r="E53" s="9" t="s">
        <v>98</v>
      </c>
      <c r="F53" s="9" t="s">
        <v>99</v>
      </c>
      <c r="G53" s="11">
        <v>3500000</v>
      </c>
      <c r="H53" s="12">
        <v>3500000</v>
      </c>
      <c r="I53" s="18">
        <v>3856.65</v>
      </c>
      <c r="J53" s="14"/>
      <c r="K53" s="15"/>
      <c r="L53" s="16">
        <v>3496143.35</v>
      </c>
      <c r="M53" s="15"/>
      <c r="N53" s="14"/>
      <c r="O53" s="17"/>
      <c r="P53" s="17"/>
      <c r="Q53" s="17"/>
      <c r="R53" s="17"/>
      <c r="S53" s="17"/>
      <c r="T53" s="17"/>
      <c r="U53" s="17"/>
      <c r="V53" s="17"/>
      <c r="W53" s="11">
        <v>3496143.35</v>
      </c>
      <c r="X53" s="17"/>
    </row>
    <row r="54" spans="1:24" ht="25.5" x14ac:dyDescent="0.25">
      <c r="A54" s="7" t="s">
        <v>16</v>
      </c>
      <c r="B54" s="8">
        <v>8470220</v>
      </c>
      <c r="C54" s="9" t="s">
        <v>85</v>
      </c>
      <c r="D54" s="10">
        <v>435508</v>
      </c>
      <c r="E54" s="9" t="s">
        <v>100</v>
      </c>
      <c r="F54" s="9" t="s">
        <v>101</v>
      </c>
      <c r="G54" s="11">
        <v>0</v>
      </c>
      <c r="H54" s="12">
        <v>300000</v>
      </c>
      <c r="I54" s="13"/>
      <c r="J54" s="14"/>
      <c r="K54" s="15"/>
      <c r="L54" s="16">
        <v>300000</v>
      </c>
      <c r="M54" s="15"/>
      <c r="N54" s="14"/>
      <c r="O54" s="17"/>
      <c r="P54" s="17"/>
      <c r="Q54" s="17"/>
      <c r="R54" s="17"/>
      <c r="S54" s="17"/>
      <c r="T54" s="17"/>
      <c r="U54" s="17"/>
      <c r="V54" s="17"/>
      <c r="W54" s="11">
        <v>300000</v>
      </c>
      <c r="X54" s="17"/>
    </row>
    <row r="55" spans="1:24" ht="25.5" x14ac:dyDescent="0.25">
      <c r="A55" s="7" t="s">
        <v>16</v>
      </c>
      <c r="B55" s="8">
        <v>8470230</v>
      </c>
      <c r="C55" s="9" t="s">
        <v>102</v>
      </c>
      <c r="D55" s="10">
        <v>420550</v>
      </c>
      <c r="E55" s="9" t="s">
        <v>18</v>
      </c>
      <c r="F55" s="9" t="s">
        <v>103</v>
      </c>
      <c r="G55" s="11">
        <v>93666</v>
      </c>
      <c r="H55" s="12">
        <v>93666</v>
      </c>
      <c r="I55" s="18">
        <v>59022.98</v>
      </c>
      <c r="J55" s="14"/>
      <c r="K55" s="15"/>
      <c r="L55" s="16">
        <v>34643.019999999997</v>
      </c>
      <c r="M55" s="15"/>
      <c r="N55" s="14"/>
      <c r="O55" s="17"/>
      <c r="P55" s="17"/>
      <c r="Q55" s="17"/>
      <c r="R55" s="17"/>
      <c r="S55" s="17"/>
      <c r="T55" s="17"/>
      <c r="U55" s="17"/>
      <c r="V55" s="17"/>
      <c r="W55" s="11">
        <v>34643.019999999997</v>
      </c>
      <c r="X55" s="17"/>
    </row>
    <row r="56" spans="1:24" ht="25.5" x14ac:dyDescent="0.25">
      <c r="A56" s="7" t="s">
        <v>16</v>
      </c>
      <c r="B56" s="8">
        <v>8470230</v>
      </c>
      <c r="C56" s="9" t="s">
        <v>102</v>
      </c>
      <c r="D56" s="10">
        <v>425510</v>
      </c>
      <c r="E56" s="9" t="s">
        <v>20</v>
      </c>
      <c r="F56" s="9" t="s">
        <v>104</v>
      </c>
      <c r="G56" s="11">
        <v>9463</v>
      </c>
      <c r="H56" s="12">
        <v>9463</v>
      </c>
      <c r="I56" s="18">
        <v>4980</v>
      </c>
      <c r="J56" s="14"/>
      <c r="K56" s="15"/>
      <c r="L56" s="16">
        <v>4483</v>
      </c>
      <c r="M56" s="15"/>
      <c r="N56" s="14"/>
      <c r="O56" s="17"/>
      <c r="P56" s="17"/>
      <c r="Q56" s="17"/>
      <c r="R56" s="17"/>
      <c r="S56" s="17"/>
      <c r="T56" s="17"/>
      <c r="U56" s="17"/>
      <c r="V56" s="17"/>
      <c r="W56" s="11">
        <v>4483</v>
      </c>
      <c r="X56" s="17"/>
    </row>
    <row r="57" spans="1:24" ht="25.5" x14ac:dyDescent="0.25">
      <c r="A57" s="7" t="s">
        <v>16</v>
      </c>
      <c r="B57" s="8">
        <v>8470230</v>
      </c>
      <c r="C57" s="9" t="s">
        <v>102</v>
      </c>
      <c r="D57" s="10">
        <v>425550</v>
      </c>
      <c r="E57" s="9" t="s">
        <v>22</v>
      </c>
      <c r="F57" s="9" t="s">
        <v>105</v>
      </c>
      <c r="G57" s="11">
        <v>133200</v>
      </c>
      <c r="H57" s="12">
        <v>133200</v>
      </c>
      <c r="I57" s="18">
        <v>37712.85</v>
      </c>
      <c r="J57" s="14"/>
      <c r="K57" s="15"/>
      <c r="L57" s="16">
        <v>95487.15</v>
      </c>
      <c r="M57" s="15"/>
      <c r="N57" s="14"/>
      <c r="O57" s="17"/>
      <c r="P57" s="17"/>
      <c r="Q57" s="17"/>
      <c r="R57" s="17"/>
      <c r="S57" s="17"/>
      <c r="T57" s="17"/>
      <c r="U57" s="17"/>
      <c r="V57" s="17"/>
      <c r="W57" s="11">
        <v>95487.15</v>
      </c>
      <c r="X57" s="17"/>
    </row>
    <row r="58" spans="1:24" ht="25.5" x14ac:dyDescent="0.25">
      <c r="A58" s="7" t="s">
        <v>16</v>
      </c>
      <c r="B58" s="8">
        <v>8470230</v>
      </c>
      <c r="C58" s="9" t="s">
        <v>102</v>
      </c>
      <c r="D58" s="10">
        <v>425744</v>
      </c>
      <c r="E58" s="9" t="s">
        <v>106</v>
      </c>
      <c r="F58" s="9" t="s">
        <v>107</v>
      </c>
      <c r="G58" s="11">
        <v>3612600</v>
      </c>
      <c r="H58" s="12">
        <v>3512600</v>
      </c>
      <c r="I58" s="18">
        <v>-100</v>
      </c>
      <c r="J58" s="14"/>
      <c r="K58" s="15"/>
      <c r="L58" s="16">
        <v>3512700</v>
      </c>
      <c r="M58" s="15"/>
      <c r="N58" s="14"/>
      <c r="O58" s="17"/>
      <c r="P58" s="17"/>
      <c r="Q58" s="17"/>
      <c r="R58" s="17"/>
      <c r="S58" s="17"/>
      <c r="T58" s="17"/>
      <c r="U58" s="17"/>
      <c r="V58" s="17"/>
      <c r="W58" s="11">
        <v>3512700</v>
      </c>
      <c r="X58" s="17"/>
    </row>
    <row r="59" spans="1:24" ht="25.5" x14ac:dyDescent="0.25">
      <c r="A59" s="7" t="s">
        <v>16</v>
      </c>
      <c r="B59" s="8">
        <v>8470230</v>
      </c>
      <c r="C59" s="9" t="s">
        <v>102</v>
      </c>
      <c r="D59" s="10">
        <v>425745</v>
      </c>
      <c r="E59" s="9" t="s">
        <v>108</v>
      </c>
      <c r="F59" s="9" t="s">
        <v>109</v>
      </c>
      <c r="G59" s="11">
        <v>1183248</v>
      </c>
      <c r="H59" s="12">
        <v>1183248</v>
      </c>
      <c r="I59" s="18">
        <v>160141.4</v>
      </c>
      <c r="J59" s="14"/>
      <c r="K59" s="15"/>
      <c r="L59" s="16">
        <v>1023106.6</v>
      </c>
      <c r="M59" s="15"/>
      <c r="N59" s="14"/>
      <c r="O59" s="17"/>
      <c r="P59" s="17"/>
      <c r="Q59" s="17"/>
      <c r="R59" s="17"/>
      <c r="S59" s="17"/>
      <c r="T59" s="17"/>
      <c r="U59" s="17"/>
      <c r="V59" s="17"/>
      <c r="W59" s="11">
        <v>1023106.6</v>
      </c>
      <c r="X59" s="17"/>
    </row>
    <row r="60" spans="1:24" ht="25.5" x14ac:dyDescent="0.25">
      <c r="A60" s="7" t="s">
        <v>16</v>
      </c>
      <c r="B60" s="8">
        <v>8470230</v>
      </c>
      <c r="C60" s="9" t="s">
        <v>102</v>
      </c>
      <c r="D60" s="10">
        <v>425749</v>
      </c>
      <c r="E60" s="9" t="s">
        <v>82</v>
      </c>
      <c r="F60" s="9" t="s">
        <v>110</v>
      </c>
      <c r="G60" s="11">
        <v>173750000</v>
      </c>
      <c r="H60" s="12">
        <v>159750000</v>
      </c>
      <c r="I60" s="18">
        <v>34938992.899999999</v>
      </c>
      <c r="J60" s="14"/>
      <c r="K60" s="15"/>
      <c r="L60" s="16">
        <v>124811007.09999999</v>
      </c>
      <c r="M60" s="15"/>
      <c r="N60" s="14"/>
      <c r="O60" s="17"/>
      <c r="P60" s="17"/>
      <c r="Q60" s="17"/>
      <c r="R60" s="17"/>
      <c r="S60" s="17"/>
      <c r="T60" s="17"/>
      <c r="U60" s="17"/>
      <c r="V60" s="17"/>
      <c r="W60" s="11">
        <v>124811007.09999999</v>
      </c>
      <c r="X60" s="17"/>
    </row>
    <row r="61" spans="1:24" ht="25.5" x14ac:dyDescent="0.25">
      <c r="A61" s="7" t="s">
        <v>16</v>
      </c>
      <c r="B61" s="8">
        <v>8470230</v>
      </c>
      <c r="C61" s="9" t="s">
        <v>102</v>
      </c>
      <c r="D61" s="10">
        <v>425762</v>
      </c>
      <c r="E61" s="9" t="s">
        <v>111</v>
      </c>
      <c r="F61" s="9" t="s">
        <v>112</v>
      </c>
      <c r="G61" s="11">
        <v>97200</v>
      </c>
      <c r="H61" s="12">
        <v>197200</v>
      </c>
      <c r="I61" s="18">
        <v>28580</v>
      </c>
      <c r="J61" s="14"/>
      <c r="K61" s="15"/>
      <c r="L61" s="16">
        <v>168620</v>
      </c>
      <c r="M61" s="15"/>
      <c r="N61" s="14"/>
      <c r="O61" s="17"/>
      <c r="P61" s="17"/>
      <c r="Q61" s="17"/>
      <c r="R61" s="17"/>
      <c r="S61" s="17"/>
      <c r="T61" s="17"/>
      <c r="U61" s="17"/>
      <c r="V61" s="17"/>
      <c r="W61" s="11">
        <v>168620</v>
      </c>
      <c r="X61" s="17"/>
    </row>
    <row r="62" spans="1:24" ht="25.5" x14ac:dyDescent="0.25">
      <c r="A62" s="7" t="s">
        <v>16</v>
      </c>
      <c r="B62" s="8">
        <v>8470230</v>
      </c>
      <c r="C62" s="9" t="s">
        <v>102</v>
      </c>
      <c r="D62" s="10">
        <v>425900</v>
      </c>
      <c r="E62" s="9" t="s">
        <v>24</v>
      </c>
      <c r="F62" s="9" t="s">
        <v>113</v>
      </c>
      <c r="G62" s="11">
        <v>9913</v>
      </c>
      <c r="H62" s="12">
        <v>20000</v>
      </c>
      <c r="I62" s="13"/>
      <c r="J62" s="14"/>
      <c r="K62" s="15"/>
      <c r="L62" s="16">
        <v>20000</v>
      </c>
      <c r="M62" s="15"/>
      <c r="N62" s="14"/>
      <c r="O62" s="17"/>
      <c r="P62" s="17"/>
      <c r="Q62" s="17"/>
      <c r="R62" s="17"/>
      <c r="S62" s="17"/>
      <c r="T62" s="17"/>
      <c r="U62" s="17"/>
      <c r="V62" s="17"/>
      <c r="W62" s="11">
        <v>20000</v>
      </c>
      <c r="X62" s="17"/>
    </row>
    <row r="63" spans="1:24" ht="25.5" x14ac:dyDescent="0.25">
      <c r="A63" s="7" t="s">
        <v>16</v>
      </c>
      <c r="B63" s="8">
        <v>8470305</v>
      </c>
      <c r="C63" s="9" t="s">
        <v>114</v>
      </c>
      <c r="D63" s="10">
        <v>425510</v>
      </c>
      <c r="E63" s="9" t="s">
        <v>20</v>
      </c>
      <c r="F63" s="9" t="s">
        <v>115</v>
      </c>
      <c r="G63" s="11">
        <v>9100</v>
      </c>
      <c r="H63" s="12">
        <v>9100</v>
      </c>
      <c r="I63" s="18">
        <v>8807.6</v>
      </c>
      <c r="J63" s="14"/>
      <c r="K63" s="15"/>
      <c r="L63" s="16">
        <v>292.39999999999998</v>
      </c>
      <c r="M63" s="15"/>
      <c r="N63" s="14"/>
      <c r="O63" s="17"/>
      <c r="P63" s="17"/>
      <c r="Q63" s="17"/>
      <c r="R63" s="17"/>
      <c r="S63" s="17"/>
      <c r="T63" s="17"/>
      <c r="U63" s="17"/>
      <c r="V63" s="17"/>
      <c r="W63" s="11">
        <v>292.39999999999998</v>
      </c>
      <c r="X63" s="17"/>
    </row>
    <row r="64" spans="1:24" ht="25.5" x14ac:dyDescent="0.25">
      <c r="A64" s="7" t="s">
        <v>16</v>
      </c>
      <c r="B64" s="8">
        <v>8470305</v>
      </c>
      <c r="C64" s="9" t="s">
        <v>114</v>
      </c>
      <c r="D64" s="10">
        <v>425760</v>
      </c>
      <c r="E64" s="9" t="s">
        <v>116</v>
      </c>
      <c r="F64" s="9" t="s">
        <v>117</v>
      </c>
      <c r="G64" s="11">
        <v>109500</v>
      </c>
      <c r="H64" s="12">
        <v>0</v>
      </c>
      <c r="I64" s="13"/>
      <c r="J64" s="14"/>
      <c r="K64" s="15"/>
      <c r="L64" s="16">
        <v>0</v>
      </c>
      <c r="M64" s="15"/>
      <c r="N64" s="14"/>
      <c r="O64" s="17"/>
      <c r="P64" s="17"/>
      <c r="Q64" s="17"/>
      <c r="R64" s="17"/>
      <c r="S64" s="17"/>
      <c r="T64" s="17"/>
      <c r="U64" s="17"/>
      <c r="V64" s="17"/>
      <c r="W64" s="11">
        <v>0</v>
      </c>
      <c r="X64" s="17"/>
    </row>
    <row r="65" spans="1:24" ht="25.5" x14ac:dyDescent="0.25">
      <c r="A65" s="7" t="s">
        <v>16</v>
      </c>
      <c r="B65" s="8">
        <v>8470305</v>
      </c>
      <c r="C65" s="9" t="s">
        <v>114</v>
      </c>
      <c r="D65" s="10">
        <v>425763</v>
      </c>
      <c r="E65" s="9" t="s">
        <v>53</v>
      </c>
      <c r="F65" s="9" t="s">
        <v>118</v>
      </c>
      <c r="G65" s="11">
        <v>270000</v>
      </c>
      <c r="H65" s="12">
        <v>190000</v>
      </c>
      <c r="I65" s="18">
        <v>50000</v>
      </c>
      <c r="J65" s="14"/>
      <c r="K65" s="15"/>
      <c r="L65" s="16">
        <v>140000</v>
      </c>
      <c r="M65" s="15"/>
      <c r="N65" s="14"/>
      <c r="O65" s="17"/>
      <c r="P65" s="17"/>
      <c r="Q65" s="17"/>
      <c r="R65" s="17"/>
      <c r="S65" s="17"/>
      <c r="T65" s="17"/>
      <c r="U65" s="17"/>
      <c r="V65" s="17"/>
      <c r="W65" s="11">
        <v>140000</v>
      </c>
      <c r="X65" s="17"/>
    </row>
    <row r="66" spans="1:24" ht="25.5" x14ac:dyDescent="0.25">
      <c r="A66" s="7" t="s">
        <v>16</v>
      </c>
      <c r="B66" s="8">
        <v>8470305</v>
      </c>
      <c r="C66" s="9" t="s">
        <v>114</v>
      </c>
      <c r="D66" s="10">
        <v>425770</v>
      </c>
      <c r="E66" s="9" t="s">
        <v>119</v>
      </c>
      <c r="F66" s="9" t="s">
        <v>120</v>
      </c>
      <c r="G66" s="11">
        <v>69895</v>
      </c>
      <c r="H66" s="12">
        <v>144895</v>
      </c>
      <c r="I66" s="13"/>
      <c r="J66" s="14"/>
      <c r="K66" s="15"/>
      <c r="L66" s="16">
        <v>144895</v>
      </c>
      <c r="M66" s="15"/>
      <c r="N66" s="14"/>
      <c r="O66" s="17"/>
      <c r="P66" s="17"/>
      <c r="Q66" s="17"/>
      <c r="R66" s="17"/>
      <c r="S66" s="17"/>
      <c r="T66" s="17"/>
      <c r="U66" s="17"/>
      <c r="V66" s="17"/>
      <c r="W66" s="11">
        <v>144895</v>
      </c>
      <c r="X66" s="17"/>
    </row>
    <row r="67" spans="1:24" ht="25.5" x14ac:dyDescent="0.25">
      <c r="A67" s="7" t="s">
        <v>16</v>
      </c>
      <c r="B67" s="8">
        <v>8470305</v>
      </c>
      <c r="C67" s="9" t="s">
        <v>114</v>
      </c>
      <c r="D67" s="10">
        <v>425900</v>
      </c>
      <c r="E67" s="9" t="s">
        <v>24</v>
      </c>
      <c r="F67" s="9" t="s">
        <v>121</v>
      </c>
      <c r="G67" s="11">
        <v>4800</v>
      </c>
      <c r="H67" s="12">
        <v>20000</v>
      </c>
      <c r="I67" s="18">
        <v>11571</v>
      </c>
      <c r="J67" s="14"/>
      <c r="K67" s="15"/>
      <c r="L67" s="16">
        <v>8429</v>
      </c>
      <c r="M67" s="15"/>
      <c r="N67" s="14"/>
      <c r="O67" s="17"/>
      <c r="P67" s="17"/>
      <c r="Q67" s="17"/>
      <c r="R67" s="17"/>
      <c r="S67" s="17"/>
      <c r="T67" s="17"/>
      <c r="U67" s="17"/>
      <c r="V67" s="17"/>
      <c r="W67" s="11">
        <v>8429</v>
      </c>
      <c r="X67" s="17"/>
    </row>
    <row r="68" spans="1:24" ht="25.5" x14ac:dyDescent="0.25">
      <c r="A68" s="7" t="s">
        <v>16</v>
      </c>
      <c r="B68" s="8">
        <v>8470305</v>
      </c>
      <c r="C68" s="9" t="s">
        <v>114</v>
      </c>
      <c r="D68" s="10">
        <v>426610</v>
      </c>
      <c r="E68" s="9" t="s">
        <v>39</v>
      </c>
      <c r="F68" s="9" t="s">
        <v>122</v>
      </c>
      <c r="G68" s="11">
        <v>46943</v>
      </c>
      <c r="H68" s="12">
        <v>46943</v>
      </c>
      <c r="I68" s="13"/>
      <c r="J68" s="14"/>
      <c r="K68" s="15"/>
      <c r="L68" s="16">
        <v>46943</v>
      </c>
      <c r="M68" s="15"/>
      <c r="N68" s="14"/>
      <c r="O68" s="17"/>
      <c r="P68" s="17"/>
      <c r="Q68" s="17"/>
      <c r="R68" s="17"/>
      <c r="S68" s="17"/>
      <c r="T68" s="17"/>
      <c r="U68" s="17"/>
      <c r="V68" s="17"/>
      <c r="W68" s="11">
        <v>46943</v>
      </c>
      <c r="X68" s="17"/>
    </row>
    <row r="69" spans="1:24" ht="25.5" x14ac:dyDescent="0.25">
      <c r="A69" s="7" t="s">
        <v>16</v>
      </c>
      <c r="B69" s="8">
        <v>8470305</v>
      </c>
      <c r="C69" s="9" t="s">
        <v>114</v>
      </c>
      <c r="D69" s="10">
        <v>428090</v>
      </c>
      <c r="E69" s="9" t="s">
        <v>26</v>
      </c>
      <c r="F69" s="9" t="s">
        <v>123</v>
      </c>
      <c r="G69" s="11">
        <v>15000</v>
      </c>
      <c r="H69" s="12">
        <v>100000</v>
      </c>
      <c r="I69" s="13"/>
      <c r="J69" s="14"/>
      <c r="K69" s="15"/>
      <c r="L69" s="16">
        <v>100000</v>
      </c>
      <c r="M69" s="15"/>
      <c r="N69" s="14"/>
      <c r="O69" s="17"/>
      <c r="P69" s="17"/>
      <c r="Q69" s="17"/>
      <c r="R69" s="17"/>
      <c r="S69" s="17"/>
      <c r="T69" s="17"/>
      <c r="U69" s="17"/>
      <c r="V69" s="17"/>
      <c r="W69" s="11">
        <v>100000</v>
      </c>
      <c r="X69" s="17"/>
    </row>
    <row r="70" spans="1:24" ht="25.5" x14ac:dyDescent="0.25">
      <c r="A70" s="7" t="s">
        <v>16</v>
      </c>
      <c r="B70" s="8">
        <v>8470305</v>
      </c>
      <c r="C70" s="9" t="s">
        <v>114</v>
      </c>
      <c r="D70" s="10">
        <v>432209</v>
      </c>
      <c r="E70" s="9" t="s">
        <v>124</v>
      </c>
      <c r="F70" s="9" t="s">
        <v>125</v>
      </c>
      <c r="G70" s="11">
        <v>43796</v>
      </c>
      <c r="H70" s="12">
        <v>43796</v>
      </c>
      <c r="I70" s="13"/>
      <c r="J70" s="19">
        <v>0</v>
      </c>
      <c r="K70" s="12">
        <v>3550</v>
      </c>
      <c r="L70" s="16">
        <v>40246</v>
      </c>
      <c r="M70" s="15"/>
      <c r="N70" s="14"/>
      <c r="O70" s="17"/>
      <c r="P70" s="17"/>
      <c r="Q70" s="17"/>
      <c r="R70" s="17"/>
      <c r="S70" s="17"/>
      <c r="T70" s="17"/>
      <c r="U70" s="17"/>
      <c r="V70" s="17"/>
      <c r="W70" s="11">
        <v>40246</v>
      </c>
      <c r="X70" s="17"/>
    </row>
    <row r="71" spans="1:24" ht="25.5" x14ac:dyDescent="0.25">
      <c r="A71" s="7" t="s">
        <v>16</v>
      </c>
      <c r="B71" s="8">
        <v>8470305</v>
      </c>
      <c r="C71" s="9" t="s">
        <v>114</v>
      </c>
      <c r="D71" s="10">
        <v>435350</v>
      </c>
      <c r="E71" s="9" t="s">
        <v>98</v>
      </c>
      <c r="F71" s="9" t="s">
        <v>126</v>
      </c>
      <c r="G71" s="11">
        <v>53040</v>
      </c>
      <c r="H71" s="12">
        <v>83040</v>
      </c>
      <c r="I71" s="13"/>
      <c r="J71" s="14"/>
      <c r="K71" s="15"/>
      <c r="L71" s="16">
        <v>83040</v>
      </c>
      <c r="M71" s="15"/>
      <c r="N71" s="14"/>
      <c r="O71" s="17"/>
      <c r="P71" s="17"/>
      <c r="Q71" s="17"/>
      <c r="R71" s="17"/>
      <c r="S71" s="17"/>
      <c r="T71" s="17"/>
      <c r="U71" s="17"/>
      <c r="V71" s="17"/>
      <c r="W71" s="11">
        <v>83040</v>
      </c>
      <c r="X71" s="17"/>
    </row>
    <row r="72" spans="1:24" ht="25.5" x14ac:dyDescent="0.25">
      <c r="A72" s="7" t="s">
        <v>16</v>
      </c>
      <c r="B72" s="8">
        <v>8470305</v>
      </c>
      <c r="C72" s="9" t="s">
        <v>114</v>
      </c>
      <c r="D72" s="10">
        <v>435508</v>
      </c>
      <c r="E72" s="9" t="s">
        <v>100</v>
      </c>
      <c r="F72" s="9" t="s">
        <v>127</v>
      </c>
      <c r="G72" s="11">
        <v>19087</v>
      </c>
      <c r="H72" s="12">
        <v>19087</v>
      </c>
      <c r="I72" s="18">
        <v>0</v>
      </c>
      <c r="J72" s="14"/>
      <c r="K72" s="15"/>
      <c r="L72" s="16">
        <v>19087</v>
      </c>
      <c r="M72" s="15"/>
      <c r="N72" s="14"/>
      <c r="O72" s="17"/>
      <c r="P72" s="17"/>
      <c r="Q72" s="17"/>
      <c r="R72" s="17"/>
      <c r="S72" s="17"/>
      <c r="T72" s="17"/>
      <c r="U72" s="17"/>
      <c r="V72" s="17"/>
      <c r="W72" s="11">
        <v>19087</v>
      </c>
      <c r="X72" s="17"/>
    </row>
    <row r="73" spans="1:24" ht="25.5" x14ac:dyDescent="0.25">
      <c r="A73" s="7" t="s">
        <v>16</v>
      </c>
      <c r="B73" s="8">
        <v>8470310</v>
      </c>
      <c r="C73" s="9" t="s">
        <v>128</v>
      </c>
      <c r="D73" s="10">
        <v>420550</v>
      </c>
      <c r="E73" s="9" t="s">
        <v>18</v>
      </c>
      <c r="F73" s="9" t="s">
        <v>129</v>
      </c>
      <c r="G73" s="11">
        <v>1610</v>
      </c>
      <c r="H73" s="12">
        <v>1610</v>
      </c>
      <c r="I73" s="13"/>
      <c r="J73" s="14"/>
      <c r="K73" s="15"/>
      <c r="L73" s="16">
        <v>1610</v>
      </c>
      <c r="M73" s="15"/>
      <c r="N73" s="14"/>
      <c r="O73" s="17"/>
      <c r="P73" s="17"/>
      <c r="Q73" s="17"/>
      <c r="R73" s="17"/>
      <c r="S73" s="17"/>
      <c r="T73" s="17"/>
      <c r="U73" s="17"/>
      <c r="V73" s="17"/>
      <c r="W73" s="11">
        <v>1610</v>
      </c>
      <c r="X73" s="17"/>
    </row>
    <row r="74" spans="1:24" ht="25.5" x14ac:dyDescent="0.25">
      <c r="A74" s="7" t="s">
        <v>16</v>
      </c>
      <c r="B74" s="8">
        <v>8470310</v>
      </c>
      <c r="C74" s="9" t="s">
        <v>128</v>
      </c>
      <c r="D74" s="10">
        <v>425510</v>
      </c>
      <c r="E74" s="9" t="s">
        <v>20</v>
      </c>
      <c r="F74" s="9" t="s">
        <v>130</v>
      </c>
      <c r="G74" s="11">
        <v>5918</v>
      </c>
      <c r="H74" s="12">
        <v>5918</v>
      </c>
      <c r="I74" s="13"/>
      <c r="J74" s="14"/>
      <c r="K74" s="15"/>
      <c r="L74" s="16">
        <v>5918</v>
      </c>
      <c r="M74" s="15"/>
      <c r="N74" s="14"/>
      <c r="O74" s="17"/>
      <c r="P74" s="17"/>
      <c r="Q74" s="17"/>
      <c r="R74" s="17"/>
      <c r="S74" s="17"/>
      <c r="T74" s="17"/>
      <c r="U74" s="17"/>
      <c r="V74" s="17"/>
      <c r="W74" s="11">
        <v>5918</v>
      </c>
      <c r="X74" s="17"/>
    </row>
    <row r="75" spans="1:24" ht="25.5" x14ac:dyDescent="0.25">
      <c r="A75" s="7" t="s">
        <v>16</v>
      </c>
      <c r="B75" s="8">
        <v>8470310</v>
      </c>
      <c r="C75" s="9" t="s">
        <v>128</v>
      </c>
      <c r="D75" s="10">
        <v>425760</v>
      </c>
      <c r="E75" s="9" t="s">
        <v>116</v>
      </c>
      <c r="F75" s="9" t="s">
        <v>131</v>
      </c>
      <c r="G75" s="11">
        <v>7300</v>
      </c>
      <c r="H75" s="12">
        <v>103514</v>
      </c>
      <c r="I75" s="13"/>
      <c r="J75" s="14"/>
      <c r="K75" s="15"/>
      <c r="L75" s="16">
        <v>103514</v>
      </c>
      <c r="M75" s="15"/>
      <c r="N75" s="14"/>
      <c r="O75" s="17"/>
      <c r="P75" s="17"/>
      <c r="Q75" s="17"/>
      <c r="R75" s="17"/>
      <c r="S75" s="17"/>
      <c r="T75" s="17"/>
      <c r="U75" s="17"/>
      <c r="V75" s="17"/>
      <c r="W75" s="11">
        <v>103514</v>
      </c>
      <c r="X75" s="17"/>
    </row>
    <row r="76" spans="1:24" ht="25.5" x14ac:dyDescent="0.25">
      <c r="A76" s="7" t="s">
        <v>16</v>
      </c>
      <c r="B76" s="8">
        <v>8470310</v>
      </c>
      <c r="C76" s="9" t="s">
        <v>128</v>
      </c>
      <c r="D76" s="10">
        <v>425763</v>
      </c>
      <c r="E76" s="9" t="s">
        <v>53</v>
      </c>
      <c r="F76" s="9" t="s">
        <v>132</v>
      </c>
      <c r="G76" s="11">
        <v>153000</v>
      </c>
      <c r="H76" s="12">
        <v>268594</v>
      </c>
      <c r="I76" s="18">
        <v>50000</v>
      </c>
      <c r="J76" s="14"/>
      <c r="K76" s="15"/>
      <c r="L76" s="16">
        <v>218594</v>
      </c>
      <c r="M76" s="15"/>
      <c r="N76" s="14"/>
      <c r="O76" s="17"/>
      <c r="P76" s="17"/>
      <c r="Q76" s="17"/>
      <c r="R76" s="17"/>
      <c r="S76" s="17"/>
      <c r="T76" s="17"/>
      <c r="U76" s="17"/>
      <c r="V76" s="17"/>
      <c r="W76" s="11">
        <v>218594</v>
      </c>
      <c r="X76" s="17"/>
    </row>
    <row r="77" spans="1:24" ht="25.5" x14ac:dyDescent="0.25">
      <c r="A77" s="7" t="s">
        <v>16</v>
      </c>
      <c r="B77" s="8">
        <v>8470310</v>
      </c>
      <c r="C77" s="9" t="s">
        <v>128</v>
      </c>
      <c r="D77" s="10">
        <v>425770</v>
      </c>
      <c r="E77" s="9" t="s">
        <v>119</v>
      </c>
      <c r="F77" s="9" t="s">
        <v>133</v>
      </c>
      <c r="G77" s="11">
        <v>80689</v>
      </c>
      <c r="H77" s="12">
        <v>130689</v>
      </c>
      <c r="I77" s="18">
        <v>1442</v>
      </c>
      <c r="J77" s="14"/>
      <c r="K77" s="15"/>
      <c r="L77" s="16">
        <v>129247</v>
      </c>
      <c r="M77" s="15"/>
      <c r="N77" s="14"/>
      <c r="O77" s="17"/>
      <c r="P77" s="17"/>
      <c r="Q77" s="17"/>
      <c r="R77" s="17"/>
      <c r="S77" s="17"/>
      <c r="T77" s="17"/>
      <c r="U77" s="17"/>
      <c r="V77" s="17"/>
      <c r="W77" s="11">
        <v>129247</v>
      </c>
      <c r="X77" s="17"/>
    </row>
    <row r="78" spans="1:24" ht="25.5" x14ac:dyDescent="0.25">
      <c r="A78" s="7" t="s">
        <v>16</v>
      </c>
      <c r="B78" s="8">
        <v>8470310</v>
      </c>
      <c r="C78" s="9" t="s">
        <v>128</v>
      </c>
      <c r="D78" s="10">
        <v>425900</v>
      </c>
      <c r="E78" s="9" t="s">
        <v>24</v>
      </c>
      <c r="F78" s="9" t="s">
        <v>134</v>
      </c>
      <c r="G78" s="11">
        <v>1360</v>
      </c>
      <c r="H78" s="12">
        <v>1360</v>
      </c>
      <c r="I78" s="13"/>
      <c r="J78" s="14"/>
      <c r="K78" s="15"/>
      <c r="L78" s="16">
        <v>1360</v>
      </c>
      <c r="M78" s="15"/>
      <c r="N78" s="14"/>
      <c r="O78" s="17"/>
      <c r="P78" s="17"/>
      <c r="Q78" s="17"/>
      <c r="R78" s="17"/>
      <c r="S78" s="17"/>
      <c r="T78" s="17"/>
      <c r="U78" s="17"/>
      <c r="V78" s="17"/>
      <c r="W78" s="11">
        <v>1360</v>
      </c>
      <c r="X78" s="17"/>
    </row>
    <row r="79" spans="1:24" ht="25.5" x14ac:dyDescent="0.25">
      <c r="A79" s="7" t="s">
        <v>16</v>
      </c>
      <c r="B79" s="8">
        <v>8470310</v>
      </c>
      <c r="C79" s="9" t="s">
        <v>128</v>
      </c>
      <c r="D79" s="10">
        <v>426610</v>
      </c>
      <c r="E79" s="9" t="s">
        <v>39</v>
      </c>
      <c r="F79" s="9" t="s">
        <v>135</v>
      </c>
      <c r="G79" s="11">
        <v>8896</v>
      </c>
      <c r="H79" s="12">
        <v>8896</v>
      </c>
      <c r="I79" s="13"/>
      <c r="J79" s="19">
        <v>0</v>
      </c>
      <c r="K79" s="12">
        <v>5436.04</v>
      </c>
      <c r="L79" s="16">
        <v>3459.96</v>
      </c>
      <c r="M79" s="15"/>
      <c r="N79" s="14"/>
      <c r="O79" s="17"/>
      <c r="P79" s="17"/>
      <c r="Q79" s="17"/>
      <c r="R79" s="17"/>
      <c r="S79" s="17"/>
      <c r="T79" s="17"/>
      <c r="U79" s="17"/>
      <c r="V79" s="17"/>
      <c r="W79" s="11">
        <v>3459.96</v>
      </c>
      <c r="X79" s="17"/>
    </row>
    <row r="80" spans="1:24" ht="25.5" x14ac:dyDescent="0.25">
      <c r="A80" s="7" t="s">
        <v>16</v>
      </c>
      <c r="B80" s="8">
        <v>8470310</v>
      </c>
      <c r="C80" s="9" t="s">
        <v>128</v>
      </c>
      <c r="D80" s="10">
        <v>435350</v>
      </c>
      <c r="E80" s="9" t="s">
        <v>98</v>
      </c>
      <c r="F80" s="9" t="s">
        <v>136</v>
      </c>
      <c r="G80" s="11">
        <v>18000</v>
      </c>
      <c r="H80" s="12">
        <v>78000</v>
      </c>
      <c r="I80" s="18">
        <v>10440.31</v>
      </c>
      <c r="J80" s="14"/>
      <c r="K80" s="15"/>
      <c r="L80" s="16">
        <v>67559.69</v>
      </c>
      <c r="M80" s="15"/>
      <c r="N80" s="14"/>
      <c r="O80" s="17"/>
      <c r="P80" s="17"/>
      <c r="Q80" s="17"/>
      <c r="R80" s="17"/>
      <c r="S80" s="17"/>
      <c r="T80" s="17"/>
      <c r="U80" s="17"/>
      <c r="V80" s="17"/>
      <c r="W80" s="11">
        <v>67559.69</v>
      </c>
      <c r="X80" s="17"/>
    </row>
    <row r="81" spans="1:24" ht="25.5" x14ac:dyDescent="0.25">
      <c r="A81" s="7" t="s">
        <v>16</v>
      </c>
      <c r="B81" s="8">
        <v>8470310</v>
      </c>
      <c r="C81" s="9" t="s">
        <v>128</v>
      </c>
      <c r="D81" s="10">
        <v>435508</v>
      </c>
      <c r="E81" s="9" t="s">
        <v>100</v>
      </c>
      <c r="F81" s="9" t="s">
        <v>137</v>
      </c>
      <c r="G81" s="11">
        <v>64332</v>
      </c>
      <c r="H81" s="12">
        <v>38173</v>
      </c>
      <c r="I81" s="18">
        <v>2518.35</v>
      </c>
      <c r="J81" s="14"/>
      <c r="K81" s="15"/>
      <c r="L81" s="16">
        <v>35654.65</v>
      </c>
      <c r="M81" s="15"/>
      <c r="N81" s="14"/>
      <c r="O81" s="17"/>
      <c r="P81" s="17"/>
      <c r="Q81" s="17"/>
      <c r="R81" s="17"/>
      <c r="S81" s="17"/>
      <c r="T81" s="17"/>
      <c r="U81" s="17"/>
      <c r="V81" s="17"/>
      <c r="W81" s="11">
        <v>35654.65</v>
      </c>
      <c r="X81" s="17"/>
    </row>
    <row r="82" spans="1:24" ht="25.5" x14ac:dyDescent="0.25">
      <c r="A82" s="7" t="s">
        <v>16</v>
      </c>
      <c r="B82" s="8">
        <v>8470315</v>
      </c>
      <c r="C82" s="9" t="s">
        <v>138</v>
      </c>
      <c r="D82" s="10">
        <v>420550</v>
      </c>
      <c r="E82" s="9" t="s">
        <v>18</v>
      </c>
      <c r="F82" s="9" t="s">
        <v>139</v>
      </c>
      <c r="G82" s="11">
        <v>2363</v>
      </c>
      <c r="H82" s="12">
        <v>2363</v>
      </c>
      <c r="I82" s="13"/>
      <c r="J82" s="14"/>
      <c r="K82" s="15"/>
      <c r="L82" s="16">
        <v>2363</v>
      </c>
      <c r="M82" s="15"/>
      <c r="N82" s="14"/>
      <c r="O82" s="17"/>
      <c r="P82" s="17"/>
      <c r="Q82" s="17"/>
      <c r="R82" s="17"/>
      <c r="S82" s="17"/>
      <c r="T82" s="17"/>
      <c r="U82" s="17"/>
      <c r="V82" s="17"/>
      <c r="W82" s="11">
        <v>2363</v>
      </c>
      <c r="X82" s="17"/>
    </row>
    <row r="83" spans="1:24" ht="25.5" x14ac:dyDescent="0.25">
      <c r="A83" s="7" t="s">
        <v>16</v>
      </c>
      <c r="B83" s="8">
        <v>8470315</v>
      </c>
      <c r="C83" s="9" t="s">
        <v>138</v>
      </c>
      <c r="D83" s="10">
        <v>425510</v>
      </c>
      <c r="E83" s="9" t="s">
        <v>20</v>
      </c>
      <c r="F83" s="9" t="s">
        <v>140</v>
      </c>
      <c r="G83" s="11">
        <v>4095</v>
      </c>
      <c r="H83" s="12">
        <v>6712</v>
      </c>
      <c r="I83" s="18">
        <v>6712</v>
      </c>
      <c r="J83" s="14"/>
      <c r="K83" s="15"/>
      <c r="L83" s="16">
        <v>-7.2759576141834308E-12</v>
      </c>
      <c r="M83" s="15"/>
      <c r="N83" s="14"/>
      <c r="O83" s="17"/>
      <c r="P83" s="17"/>
      <c r="Q83" s="17"/>
      <c r="R83" s="17"/>
      <c r="S83" s="17"/>
      <c r="T83" s="17"/>
      <c r="U83" s="17"/>
      <c r="V83" s="17"/>
      <c r="W83" s="11">
        <v>-7.2759576141834308E-12</v>
      </c>
      <c r="X83" s="17"/>
    </row>
    <row r="84" spans="1:24" ht="25.5" x14ac:dyDescent="0.25">
      <c r="A84" s="7" t="s">
        <v>16</v>
      </c>
      <c r="B84" s="8">
        <v>8470315</v>
      </c>
      <c r="C84" s="9" t="s">
        <v>138</v>
      </c>
      <c r="D84" s="10">
        <v>425763</v>
      </c>
      <c r="E84" s="9" t="s">
        <v>53</v>
      </c>
      <c r="F84" s="9" t="s">
        <v>141</v>
      </c>
      <c r="G84" s="11">
        <v>90000</v>
      </c>
      <c r="H84" s="12">
        <v>107045</v>
      </c>
      <c r="I84" s="13"/>
      <c r="J84" s="14"/>
      <c r="K84" s="15"/>
      <c r="L84" s="16">
        <v>107045</v>
      </c>
      <c r="M84" s="15"/>
      <c r="N84" s="14"/>
      <c r="O84" s="17"/>
      <c r="P84" s="17"/>
      <c r="Q84" s="17"/>
      <c r="R84" s="17"/>
      <c r="S84" s="17"/>
      <c r="T84" s="17"/>
      <c r="U84" s="17"/>
      <c r="V84" s="17"/>
      <c r="W84" s="11">
        <v>107045</v>
      </c>
      <c r="X84" s="17"/>
    </row>
    <row r="85" spans="1:24" ht="25.5" x14ac:dyDescent="0.25">
      <c r="A85" s="7" t="s">
        <v>16</v>
      </c>
      <c r="B85" s="8">
        <v>8470315</v>
      </c>
      <c r="C85" s="9" t="s">
        <v>138</v>
      </c>
      <c r="D85" s="10">
        <v>425770</v>
      </c>
      <c r="E85" s="9" t="s">
        <v>119</v>
      </c>
      <c r="F85" s="9" t="s">
        <v>142</v>
      </c>
      <c r="G85" s="11">
        <v>126000</v>
      </c>
      <c r="H85" s="12">
        <v>198383</v>
      </c>
      <c r="I85" s="18">
        <v>25742.22</v>
      </c>
      <c r="J85" s="14"/>
      <c r="K85" s="15"/>
      <c r="L85" s="16">
        <v>172640.78</v>
      </c>
      <c r="M85" s="15"/>
      <c r="N85" s="14"/>
      <c r="O85" s="17"/>
      <c r="P85" s="17"/>
      <c r="Q85" s="17"/>
      <c r="R85" s="17"/>
      <c r="S85" s="17"/>
      <c r="T85" s="17"/>
      <c r="U85" s="17"/>
      <c r="V85" s="17"/>
      <c r="W85" s="11">
        <v>172640.78</v>
      </c>
      <c r="X85" s="17"/>
    </row>
    <row r="86" spans="1:24" ht="25.5" x14ac:dyDescent="0.25">
      <c r="A86" s="7" t="s">
        <v>16</v>
      </c>
      <c r="B86" s="8">
        <v>8470315</v>
      </c>
      <c r="C86" s="9" t="s">
        <v>138</v>
      </c>
      <c r="D86" s="10">
        <v>425900</v>
      </c>
      <c r="E86" s="9" t="s">
        <v>24</v>
      </c>
      <c r="F86" s="9" t="s">
        <v>143</v>
      </c>
      <c r="G86" s="11">
        <v>3072</v>
      </c>
      <c r="H86" s="12">
        <v>3072</v>
      </c>
      <c r="I86" s="13"/>
      <c r="J86" s="14"/>
      <c r="K86" s="15"/>
      <c r="L86" s="16">
        <v>3072</v>
      </c>
      <c r="M86" s="15"/>
      <c r="N86" s="14"/>
      <c r="O86" s="17"/>
      <c r="P86" s="17"/>
      <c r="Q86" s="17"/>
      <c r="R86" s="17"/>
      <c r="S86" s="17"/>
      <c r="T86" s="17"/>
      <c r="U86" s="17"/>
      <c r="V86" s="17"/>
      <c r="W86" s="11">
        <v>3072</v>
      </c>
      <c r="X86" s="17"/>
    </row>
    <row r="87" spans="1:24" ht="25.5" x14ac:dyDescent="0.25">
      <c r="A87" s="7" t="s">
        <v>16</v>
      </c>
      <c r="B87" s="8">
        <v>8470315</v>
      </c>
      <c r="C87" s="9" t="s">
        <v>138</v>
      </c>
      <c r="D87" s="10">
        <v>426610</v>
      </c>
      <c r="E87" s="9" t="s">
        <v>39</v>
      </c>
      <c r="F87" s="9" t="s">
        <v>144</v>
      </c>
      <c r="G87" s="11">
        <v>7412</v>
      </c>
      <c r="H87" s="12">
        <v>7412</v>
      </c>
      <c r="I87" s="13"/>
      <c r="J87" s="14"/>
      <c r="K87" s="15"/>
      <c r="L87" s="16">
        <v>7412</v>
      </c>
      <c r="M87" s="15"/>
      <c r="N87" s="14"/>
      <c r="O87" s="17"/>
      <c r="P87" s="17"/>
      <c r="Q87" s="17"/>
      <c r="R87" s="17"/>
      <c r="S87" s="17"/>
      <c r="T87" s="17"/>
      <c r="U87" s="17"/>
      <c r="V87" s="17"/>
      <c r="W87" s="11">
        <v>7412</v>
      </c>
      <c r="X87" s="17"/>
    </row>
    <row r="88" spans="1:24" ht="25.5" x14ac:dyDescent="0.25">
      <c r="A88" s="7" t="s">
        <v>16</v>
      </c>
      <c r="B88" s="8">
        <v>8470315</v>
      </c>
      <c r="C88" s="9" t="s">
        <v>138</v>
      </c>
      <c r="D88" s="10">
        <v>428090</v>
      </c>
      <c r="E88" s="9" t="s">
        <v>26</v>
      </c>
      <c r="F88" s="9" t="s">
        <v>145</v>
      </c>
      <c r="G88" s="11">
        <v>10400</v>
      </c>
      <c r="H88" s="12">
        <v>10400</v>
      </c>
      <c r="I88" s="13"/>
      <c r="J88" s="14"/>
      <c r="K88" s="15"/>
      <c r="L88" s="16">
        <v>10400</v>
      </c>
      <c r="M88" s="15"/>
      <c r="N88" s="14"/>
      <c r="O88" s="17"/>
      <c r="P88" s="17"/>
      <c r="Q88" s="17"/>
      <c r="R88" s="17"/>
      <c r="S88" s="17"/>
      <c r="T88" s="17"/>
      <c r="U88" s="17"/>
      <c r="V88" s="17"/>
      <c r="W88" s="11">
        <v>10400</v>
      </c>
      <c r="X88" s="17"/>
    </row>
    <row r="89" spans="1:24" ht="25.5" x14ac:dyDescent="0.25">
      <c r="A89" s="7" t="s">
        <v>16</v>
      </c>
      <c r="B89" s="8">
        <v>8470315</v>
      </c>
      <c r="C89" s="9" t="s">
        <v>138</v>
      </c>
      <c r="D89" s="10">
        <v>432209</v>
      </c>
      <c r="E89" s="9" t="s">
        <v>124</v>
      </c>
      <c r="F89" s="9" t="s">
        <v>146</v>
      </c>
      <c r="G89" s="11">
        <v>88394</v>
      </c>
      <c r="H89" s="12">
        <v>88394</v>
      </c>
      <c r="I89" s="18">
        <v>16000</v>
      </c>
      <c r="J89" s="19">
        <v>44872.2</v>
      </c>
      <c r="K89" s="12">
        <v>26517.8</v>
      </c>
      <c r="L89" s="16">
        <v>1004</v>
      </c>
      <c r="M89" s="15"/>
      <c r="N89" s="14"/>
      <c r="O89" s="17"/>
      <c r="P89" s="17"/>
      <c r="Q89" s="17"/>
      <c r="R89" s="17"/>
      <c r="S89" s="17"/>
      <c r="T89" s="17"/>
      <c r="U89" s="17"/>
      <c r="V89" s="17"/>
      <c r="W89" s="11">
        <v>1004</v>
      </c>
      <c r="X89" s="17"/>
    </row>
    <row r="90" spans="1:24" ht="25.5" x14ac:dyDescent="0.25">
      <c r="A90" s="7" t="s">
        <v>16</v>
      </c>
      <c r="B90" s="8">
        <v>8470315</v>
      </c>
      <c r="C90" s="9" t="s">
        <v>138</v>
      </c>
      <c r="D90" s="10">
        <v>435350</v>
      </c>
      <c r="E90" s="9" t="s">
        <v>98</v>
      </c>
      <c r="F90" s="9" t="s">
        <v>147</v>
      </c>
      <c r="G90" s="11">
        <v>22246</v>
      </c>
      <c r="H90" s="12">
        <v>42246</v>
      </c>
      <c r="I90" s="18">
        <v>16669.650000000001</v>
      </c>
      <c r="J90" s="14"/>
      <c r="K90" s="15"/>
      <c r="L90" s="16">
        <v>25576.35</v>
      </c>
      <c r="M90" s="15"/>
      <c r="N90" s="14"/>
      <c r="O90" s="17"/>
      <c r="P90" s="17"/>
      <c r="Q90" s="17"/>
      <c r="R90" s="17"/>
      <c r="S90" s="17"/>
      <c r="T90" s="17"/>
      <c r="U90" s="17"/>
      <c r="V90" s="17"/>
      <c r="W90" s="11">
        <v>25576.35</v>
      </c>
      <c r="X90" s="17"/>
    </row>
    <row r="91" spans="1:24" ht="25.5" x14ac:dyDescent="0.25">
      <c r="A91" s="7" t="s">
        <v>16</v>
      </c>
      <c r="B91" s="8">
        <v>8470315</v>
      </c>
      <c r="C91" s="9" t="s">
        <v>138</v>
      </c>
      <c r="D91" s="10">
        <v>435508</v>
      </c>
      <c r="E91" s="9" t="s">
        <v>100</v>
      </c>
      <c r="F91" s="9" t="s">
        <v>148</v>
      </c>
      <c r="G91" s="11">
        <v>23139</v>
      </c>
      <c r="H91" s="12">
        <v>113080</v>
      </c>
      <c r="I91" s="18">
        <v>6108.9</v>
      </c>
      <c r="J91" s="19">
        <v>21952.560000000001</v>
      </c>
      <c r="K91" s="12">
        <v>1191.78</v>
      </c>
      <c r="L91" s="16">
        <v>83826.759999999995</v>
      </c>
      <c r="M91" s="15"/>
      <c r="N91" s="14"/>
      <c r="O91" s="17"/>
      <c r="P91" s="17"/>
      <c r="Q91" s="17"/>
      <c r="R91" s="17"/>
      <c r="S91" s="17"/>
      <c r="T91" s="17"/>
      <c r="U91" s="17"/>
      <c r="V91" s="17"/>
      <c r="W91" s="11">
        <v>83826.759999999995</v>
      </c>
      <c r="X91" s="17"/>
    </row>
    <row r="92" spans="1:24" ht="25.5" x14ac:dyDescent="0.25">
      <c r="A92" s="7" t="s">
        <v>16</v>
      </c>
      <c r="B92" s="8">
        <v>8470320</v>
      </c>
      <c r="C92" s="9" t="s">
        <v>149</v>
      </c>
      <c r="D92" s="10">
        <v>425510</v>
      </c>
      <c r="E92" s="9" t="s">
        <v>20</v>
      </c>
      <c r="F92" s="9" t="s">
        <v>150</v>
      </c>
      <c r="G92" s="11">
        <v>13650</v>
      </c>
      <c r="H92" s="12">
        <v>13650</v>
      </c>
      <c r="I92" s="18">
        <v>11094.75</v>
      </c>
      <c r="J92" s="14"/>
      <c r="K92" s="15"/>
      <c r="L92" s="16">
        <v>2555.25</v>
      </c>
      <c r="M92" s="15"/>
      <c r="N92" s="14"/>
      <c r="O92" s="17"/>
      <c r="P92" s="17"/>
      <c r="Q92" s="17"/>
      <c r="R92" s="17"/>
      <c r="S92" s="17"/>
      <c r="T92" s="17"/>
      <c r="U92" s="17"/>
      <c r="V92" s="17"/>
      <c r="W92" s="11">
        <v>2555.25</v>
      </c>
      <c r="X92" s="17"/>
    </row>
    <row r="93" spans="1:24" ht="25.5" x14ac:dyDescent="0.25">
      <c r="A93" s="7" t="s">
        <v>16</v>
      </c>
      <c r="B93" s="8">
        <v>8470320</v>
      </c>
      <c r="C93" s="9" t="s">
        <v>149</v>
      </c>
      <c r="D93" s="10">
        <v>425760</v>
      </c>
      <c r="E93" s="9" t="s">
        <v>116</v>
      </c>
      <c r="F93" s="9" t="s">
        <v>151</v>
      </c>
      <c r="G93" s="11">
        <v>5390</v>
      </c>
      <c r="H93" s="12">
        <v>5390</v>
      </c>
      <c r="I93" s="13"/>
      <c r="J93" s="14"/>
      <c r="K93" s="15"/>
      <c r="L93" s="16">
        <v>5390</v>
      </c>
      <c r="M93" s="15"/>
      <c r="N93" s="14"/>
      <c r="O93" s="17"/>
      <c r="P93" s="17"/>
      <c r="Q93" s="17"/>
      <c r="R93" s="17"/>
      <c r="S93" s="17"/>
      <c r="T93" s="17"/>
      <c r="U93" s="17"/>
      <c r="V93" s="17"/>
      <c r="W93" s="11">
        <v>5390</v>
      </c>
      <c r="X93" s="17"/>
    </row>
    <row r="94" spans="1:24" ht="25.5" x14ac:dyDescent="0.25">
      <c r="A94" s="7" t="s">
        <v>16</v>
      </c>
      <c r="B94" s="8">
        <v>8470320</v>
      </c>
      <c r="C94" s="9" t="s">
        <v>149</v>
      </c>
      <c r="D94" s="10">
        <v>425763</v>
      </c>
      <c r="E94" s="9" t="s">
        <v>53</v>
      </c>
      <c r="F94" s="9" t="s">
        <v>152</v>
      </c>
      <c r="G94" s="11">
        <v>45000</v>
      </c>
      <c r="H94" s="12">
        <v>45000</v>
      </c>
      <c r="I94" s="18">
        <v>0</v>
      </c>
      <c r="J94" s="14"/>
      <c r="K94" s="15"/>
      <c r="L94" s="16">
        <v>45000</v>
      </c>
      <c r="M94" s="15"/>
      <c r="N94" s="14"/>
      <c r="O94" s="17"/>
      <c r="P94" s="17"/>
      <c r="Q94" s="17"/>
      <c r="R94" s="17"/>
      <c r="S94" s="17"/>
      <c r="T94" s="17"/>
      <c r="U94" s="17"/>
      <c r="V94" s="17"/>
      <c r="W94" s="11">
        <v>45000</v>
      </c>
      <c r="X94" s="17"/>
    </row>
    <row r="95" spans="1:24" ht="25.5" x14ac:dyDescent="0.25">
      <c r="A95" s="7" t="s">
        <v>16</v>
      </c>
      <c r="B95" s="8">
        <v>8470320</v>
      </c>
      <c r="C95" s="9" t="s">
        <v>149</v>
      </c>
      <c r="D95" s="10">
        <v>425770</v>
      </c>
      <c r="E95" s="9" t="s">
        <v>119</v>
      </c>
      <c r="F95" s="9" t="s">
        <v>153</v>
      </c>
      <c r="G95" s="11">
        <v>61600</v>
      </c>
      <c r="H95" s="12">
        <v>236600</v>
      </c>
      <c r="I95" s="18">
        <v>13803.27</v>
      </c>
      <c r="J95" s="14"/>
      <c r="K95" s="15"/>
      <c r="L95" s="16">
        <v>222796.73</v>
      </c>
      <c r="M95" s="15"/>
      <c r="N95" s="14"/>
      <c r="O95" s="17"/>
      <c r="P95" s="17"/>
      <c r="Q95" s="17"/>
      <c r="R95" s="17"/>
      <c r="S95" s="17"/>
      <c r="T95" s="17"/>
      <c r="U95" s="17"/>
      <c r="V95" s="17"/>
      <c r="W95" s="11">
        <v>222796.73</v>
      </c>
      <c r="X95" s="17"/>
    </row>
    <row r="96" spans="1:24" ht="25.5" x14ac:dyDescent="0.25">
      <c r="A96" s="7" t="s">
        <v>16</v>
      </c>
      <c r="B96" s="8">
        <v>8470320</v>
      </c>
      <c r="C96" s="9" t="s">
        <v>149</v>
      </c>
      <c r="D96" s="10">
        <v>425900</v>
      </c>
      <c r="E96" s="9" t="s">
        <v>24</v>
      </c>
      <c r="F96" s="9" t="s">
        <v>154</v>
      </c>
      <c r="G96" s="11">
        <v>4750</v>
      </c>
      <c r="H96" s="12">
        <v>4750</v>
      </c>
      <c r="I96" s="18">
        <v>2415</v>
      </c>
      <c r="J96" s="14"/>
      <c r="K96" s="15"/>
      <c r="L96" s="16">
        <v>2335</v>
      </c>
      <c r="M96" s="15"/>
      <c r="N96" s="14"/>
      <c r="O96" s="17"/>
      <c r="P96" s="17"/>
      <c r="Q96" s="17"/>
      <c r="R96" s="17"/>
      <c r="S96" s="17"/>
      <c r="T96" s="17"/>
      <c r="U96" s="17"/>
      <c r="V96" s="17"/>
      <c r="W96" s="11">
        <v>2335</v>
      </c>
      <c r="X96" s="17"/>
    </row>
    <row r="97" spans="1:24" ht="25.5" x14ac:dyDescent="0.25">
      <c r="A97" s="7" t="s">
        <v>16</v>
      </c>
      <c r="B97" s="8">
        <v>8470320</v>
      </c>
      <c r="C97" s="9" t="s">
        <v>149</v>
      </c>
      <c r="D97" s="10">
        <v>426610</v>
      </c>
      <c r="E97" s="9" t="s">
        <v>39</v>
      </c>
      <c r="F97" s="9" t="s">
        <v>155</v>
      </c>
      <c r="G97" s="11">
        <v>60384</v>
      </c>
      <c r="H97" s="12">
        <v>60384</v>
      </c>
      <c r="I97" s="13"/>
      <c r="J97" s="19">
        <v>33802.620000000003</v>
      </c>
      <c r="K97" s="15"/>
      <c r="L97" s="16">
        <v>26581.38</v>
      </c>
      <c r="M97" s="15"/>
      <c r="N97" s="14"/>
      <c r="O97" s="17"/>
      <c r="P97" s="17"/>
      <c r="Q97" s="17"/>
      <c r="R97" s="17"/>
      <c r="S97" s="17"/>
      <c r="T97" s="17"/>
      <c r="U97" s="17"/>
      <c r="V97" s="17"/>
      <c r="W97" s="11">
        <v>26581.38</v>
      </c>
      <c r="X97" s="17"/>
    </row>
    <row r="98" spans="1:24" ht="25.5" x14ac:dyDescent="0.25">
      <c r="A98" s="7" t="s">
        <v>16</v>
      </c>
      <c r="B98" s="8">
        <v>8470320</v>
      </c>
      <c r="C98" s="9" t="s">
        <v>149</v>
      </c>
      <c r="D98" s="10">
        <v>435350</v>
      </c>
      <c r="E98" s="9" t="s">
        <v>98</v>
      </c>
      <c r="F98" s="9" t="s">
        <v>156</v>
      </c>
      <c r="G98" s="11">
        <v>15857</v>
      </c>
      <c r="H98" s="12">
        <v>35857</v>
      </c>
      <c r="I98" s="13"/>
      <c r="J98" s="14"/>
      <c r="K98" s="15"/>
      <c r="L98" s="16">
        <v>35857</v>
      </c>
      <c r="M98" s="15"/>
      <c r="N98" s="14"/>
      <c r="O98" s="17"/>
      <c r="P98" s="17"/>
      <c r="Q98" s="17"/>
      <c r="R98" s="17"/>
      <c r="S98" s="17"/>
      <c r="T98" s="17"/>
      <c r="U98" s="17"/>
      <c r="V98" s="17"/>
      <c r="W98" s="11">
        <v>35857</v>
      </c>
      <c r="X98" s="17"/>
    </row>
    <row r="99" spans="1:24" ht="25.5" x14ac:dyDescent="0.25">
      <c r="A99" s="7" t="s">
        <v>16</v>
      </c>
      <c r="B99" s="8">
        <v>8470320</v>
      </c>
      <c r="C99" s="9" t="s">
        <v>149</v>
      </c>
      <c r="D99" s="10">
        <v>435508</v>
      </c>
      <c r="E99" s="9" t="s">
        <v>100</v>
      </c>
      <c r="F99" s="9" t="s">
        <v>157</v>
      </c>
      <c r="G99" s="11">
        <v>60095</v>
      </c>
      <c r="H99" s="12">
        <v>43050</v>
      </c>
      <c r="I99" s="18">
        <v>1883.28</v>
      </c>
      <c r="J99" s="19">
        <v>-1613.7</v>
      </c>
      <c r="K99" s="12">
        <v>6851.84</v>
      </c>
      <c r="L99" s="16">
        <v>35928.58</v>
      </c>
      <c r="M99" s="15"/>
      <c r="N99" s="14"/>
      <c r="O99" s="17"/>
      <c r="P99" s="17"/>
      <c r="Q99" s="17"/>
      <c r="R99" s="17"/>
      <c r="S99" s="17"/>
      <c r="T99" s="17"/>
      <c r="U99" s="17"/>
      <c r="V99" s="17"/>
      <c r="W99" s="11">
        <v>35928.58</v>
      </c>
      <c r="X99" s="17"/>
    </row>
    <row r="100" spans="1:24" ht="25.5" x14ac:dyDescent="0.25">
      <c r="A100" s="7" t="s">
        <v>16</v>
      </c>
      <c r="B100" s="8">
        <v>8470320</v>
      </c>
      <c r="C100" s="9" t="s">
        <v>149</v>
      </c>
      <c r="D100" s="10">
        <v>436110</v>
      </c>
      <c r="E100" s="9" t="s">
        <v>158</v>
      </c>
      <c r="F100" s="9" t="s">
        <v>159</v>
      </c>
      <c r="G100" s="11">
        <v>10850</v>
      </c>
      <c r="H100" s="12">
        <v>10850</v>
      </c>
      <c r="I100" s="13"/>
      <c r="J100" s="14"/>
      <c r="K100" s="15"/>
      <c r="L100" s="16">
        <v>10850</v>
      </c>
      <c r="M100" s="15"/>
      <c r="N100" s="14"/>
      <c r="O100" s="17"/>
      <c r="P100" s="17"/>
      <c r="Q100" s="17"/>
      <c r="R100" s="17"/>
      <c r="S100" s="17"/>
      <c r="T100" s="17"/>
      <c r="U100" s="17"/>
      <c r="V100" s="17"/>
      <c r="W100" s="11">
        <v>10850</v>
      </c>
      <c r="X100" s="17"/>
    </row>
    <row r="101" spans="1:24" ht="25.5" x14ac:dyDescent="0.25">
      <c r="A101" s="7" t="s">
        <v>16</v>
      </c>
      <c r="B101" s="8">
        <v>8470320</v>
      </c>
      <c r="C101" s="9" t="s">
        <v>149</v>
      </c>
      <c r="D101" s="10">
        <v>436600</v>
      </c>
      <c r="E101" s="9" t="s">
        <v>160</v>
      </c>
      <c r="F101" s="9" t="s">
        <v>161</v>
      </c>
      <c r="G101" s="11">
        <v>5175</v>
      </c>
      <c r="H101" s="12">
        <v>5175</v>
      </c>
      <c r="I101" s="13"/>
      <c r="J101" s="14"/>
      <c r="K101" s="15"/>
      <c r="L101" s="16">
        <v>5175</v>
      </c>
      <c r="M101" s="15"/>
      <c r="N101" s="14"/>
      <c r="O101" s="17"/>
      <c r="P101" s="17"/>
      <c r="Q101" s="17"/>
      <c r="R101" s="17"/>
      <c r="S101" s="17"/>
      <c r="T101" s="17"/>
      <c r="U101" s="17"/>
      <c r="V101" s="17"/>
      <c r="W101" s="11">
        <v>5175</v>
      </c>
      <c r="X101" s="17"/>
    </row>
    <row r="102" spans="1:24" ht="25.5" x14ac:dyDescent="0.25">
      <c r="A102" s="7" t="s">
        <v>16</v>
      </c>
      <c r="B102" s="8">
        <v>8470325</v>
      </c>
      <c r="C102" s="9" t="s">
        <v>162</v>
      </c>
      <c r="D102" s="10">
        <v>425510</v>
      </c>
      <c r="E102" s="9" t="s">
        <v>20</v>
      </c>
      <c r="F102" s="9" t="s">
        <v>163</v>
      </c>
      <c r="G102" s="11">
        <v>3003</v>
      </c>
      <c r="H102" s="12">
        <v>3003</v>
      </c>
      <c r="I102" s="18">
        <v>1218.3599999999999</v>
      </c>
      <c r="J102" s="14"/>
      <c r="K102" s="15"/>
      <c r="L102" s="16">
        <v>1784.64</v>
      </c>
      <c r="M102" s="15"/>
      <c r="N102" s="14"/>
      <c r="O102" s="17"/>
      <c r="P102" s="17"/>
      <c r="Q102" s="17"/>
      <c r="R102" s="17"/>
      <c r="S102" s="17"/>
      <c r="T102" s="17"/>
      <c r="U102" s="17"/>
      <c r="V102" s="17"/>
      <c r="W102" s="11">
        <v>1784.64</v>
      </c>
      <c r="X102" s="17"/>
    </row>
    <row r="103" spans="1:24" ht="25.5" x14ac:dyDescent="0.25">
      <c r="A103" s="7" t="s">
        <v>16</v>
      </c>
      <c r="B103" s="8">
        <v>8470325</v>
      </c>
      <c r="C103" s="9" t="s">
        <v>162</v>
      </c>
      <c r="D103" s="10">
        <v>425763</v>
      </c>
      <c r="E103" s="9" t="s">
        <v>53</v>
      </c>
      <c r="F103" s="9" t="s">
        <v>164</v>
      </c>
      <c r="G103" s="11">
        <v>170809</v>
      </c>
      <c r="H103" s="12">
        <v>45000</v>
      </c>
      <c r="I103" s="18">
        <v>3597.7</v>
      </c>
      <c r="J103" s="14"/>
      <c r="K103" s="15"/>
      <c r="L103" s="16">
        <v>41402.300000000003</v>
      </c>
      <c r="M103" s="15"/>
      <c r="N103" s="14"/>
      <c r="O103" s="17"/>
      <c r="P103" s="17"/>
      <c r="Q103" s="17"/>
      <c r="R103" s="17"/>
      <c r="S103" s="17"/>
      <c r="T103" s="17"/>
      <c r="U103" s="17"/>
      <c r="V103" s="17"/>
      <c r="W103" s="11">
        <v>41402.300000000003</v>
      </c>
      <c r="X103" s="17"/>
    </row>
    <row r="104" spans="1:24" ht="25.5" x14ac:dyDescent="0.25">
      <c r="A104" s="7" t="s">
        <v>16</v>
      </c>
      <c r="B104" s="8">
        <v>8470325</v>
      </c>
      <c r="C104" s="9" t="s">
        <v>162</v>
      </c>
      <c r="D104" s="10">
        <v>425770</v>
      </c>
      <c r="E104" s="9" t="s">
        <v>119</v>
      </c>
      <c r="F104" s="9" t="s">
        <v>165</v>
      </c>
      <c r="G104" s="11">
        <v>264435</v>
      </c>
      <c r="H104" s="12">
        <v>264435</v>
      </c>
      <c r="I104" s="18">
        <v>138539</v>
      </c>
      <c r="J104" s="19">
        <v>0</v>
      </c>
      <c r="K104" s="15"/>
      <c r="L104" s="16">
        <v>125896</v>
      </c>
      <c r="M104" s="15"/>
      <c r="N104" s="14"/>
      <c r="O104" s="17"/>
      <c r="P104" s="17"/>
      <c r="Q104" s="17"/>
      <c r="R104" s="17"/>
      <c r="S104" s="17"/>
      <c r="T104" s="17"/>
      <c r="U104" s="17"/>
      <c r="V104" s="17"/>
      <c r="W104" s="11">
        <v>125896</v>
      </c>
      <c r="X104" s="17"/>
    </row>
    <row r="105" spans="1:24" ht="25.5" x14ac:dyDescent="0.25">
      <c r="A105" s="7" t="s">
        <v>16</v>
      </c>
      <c r="B105" s="8">
        <v>8470325</v>
      </c>
      <c r="C105" s="9" t="s">
        <v>162</v>
      </c>
      <c r="D105" s="10">
        <v>425900</v>
      </c>
      <c r="E105" s="9" t="s">
        <v>24</v>
      </c>
      <c r="F105" s="9" t="s">
        <v>166</v>
      </c>
      <c r="G105" s="11">
        <v>9600</v>
      </c>
      <c r="H105" s="12">
        <v>9600</v>
      </c>
      <c r="I105" s="13"/>
      <c r="J105" s="14"/>
      <c r="K105" s="15"/>
      <c r="L105" s="16">
        <v>9600</v>
      </c>
      <c r="M105" s="15"/>
      <c r="N105" s="14"/>
      <c r="O105" s="17"/>
      <c r="P105" s="17"/>
      <c r="Q105" s="17"/>
      <c r="R105" s="17"/>
      <c r="S105" s="17"/>
      <c r="T105" s="17"/>
      <c r="U105" s="17"/>
      <c r="V105" s="17"/>
      <c r="W105" s="11">
        <v>9600</v>
      </c>
      <c r="X105" s="17"/>
    </row>
    <row r="106" spans="1:24" ht="25.5" x14ac:dyDescent="0.25">
      <c r="A106" s="7" t="s">
        <v>16</v>
      </c>
      <c r="B106" s="8">
        <v>8470325</v>
      </c>
      <c r="C106" s="9" t="s">
        <v>162</v>
      </c>
      <c r="D106" s="10">
        <v>426610</v>
      </c>
      <c r="E106" s="9" t="s">
        <v>39</v>
      </c>
      <c r="F106" s="9" t="s">
        <v>167</v>
      </c>
      <c r="G106" s="11">
        <v>24683</v>
      </c>
      <c r="H106" s="12">
        <v>24683</v>
      </c>
      <c r="I106" s="18">
        <v>359.26</v>
      </c>
      <c r="J106" s="19">
        <v>12040</v>
      </c>
      <c r="K106" s="15"/>
      <c r="L106" s="16">
        <v>12283.74</v>
      </c>
      <c r="M106" s="15"/>
      <c r="N106" s="14"/>
      <c r="O106" s="17"/>
      <c r="P106" s="17"/>
      <c r="Q106" s="17"/>
      <c r="R106" s="17"/>
      <c r="S106" s="17"/>
      <c r="T106" s="17"/>
      <c r="U106" s="17"/>
      <c r="V106" s="17"/>
      <c r="W106" s="11">
        <v>12283.74</v>
      </c>
      <c r="X106" s="17"/>
    </row>
    <row r="107" spans="1:24" ht="25.5" x14ac:dyDescent="0.25">
      <c r="A107" s="7" t="s">
        <v>16</v>
      </c>
      <c r="B107" s="8">
        <v>8470325</v>
      </c>
      <c r="C107" s="9" t="s">
        <v>162</v>
      </c>
      <c r="D107" s="10">
        <v>432209</v>
      </c>
      <c r="E107" s="9" t="s">
        <v>124</v>
      </c>
      <c r="F107" s="9" t="s">
        <v>168</v>
      </c>
      <c r="G107" s="11">
        <v>177182</v>
      </c>
      <c r="H107" s="12">
        <v>177182</v>
      </c>
      <c r="I107" s="18">
        <v>7755</v>
      </c>
      <c r="J107" s="19">
        <v>-7755</v>
      </c>
      <c r="K107" s="12">
        <v>8800</v>
      </c>
      <c r="L107" s="16">
        <v>168382</v>
      </c>
      <c r="M107" s="15"/>
      <c r="N107" s="14"/>
      <c r="O107" s="17"/>
      <c r="P107" s="17"/>
      <c r="Q107" s="17"/>
      <c r="R107" s="17"/>
      <c r="S107" s="17"/>
      <c r="T107" s="17"/>
      <c r="U107" s="17"/>
      <c r="V107" s="17"/>
      <c r="W107" s="11">
        <v>168382</v>
      </c>
      <c r="X107" s="17"/>
    </row>
    <row r="108" spans="1:24" ht="25.5" x14ac:dyDescent="0.25">
      <c r="A108" s="7" t="s">
        <v>16</v>
      </c>
      <c r="B108" s="8">
        <v>8470325</v>
      </c>
      <c r="C108" s="9" t="s">
        <v>162</v>
      </c>
      <c r="D108" s="10">
        <v>435350</v>
      </c>
      <c r="E108" s="9" t="s">
        <v>98</v>
      </c>
      <c r="F108" s="9" t="s">
        <v>169</v>
      </c>
      <c r="G108" s="11">
        <v>153994</v>
      </c>
      <c r="H108" s="12">
        <v>38400</v>
      </c>
      <c r="I108" s="18">
        <v>7377.22</v>
      </c>
      <c r="J108" s="14"/>
      <c r="K108" s="15"/>
      <c r="L108" s="16">
        <v>31022.78</v>
      </c>
      <c r="M108" s="15"/>
      <c r="N108" s="14"/>
      <c r="O108" s="17"/>
      <c r="P108" s="17"/>
      <c r="Q108" s="17"/>
      <c r="R108" s="17"/>
      <c r="S108" s="17"/>
      <c r="T108" s="17"/>
      <c r="U108" s="17"/>
      <c r="V108" s="17"/>
      <c r="W108" s="11">
        <v>31022.78</v>
      </c>
      <c r="X108" s="17"/>
    </row>
    <row r="109" spans="1:24" ht="25.5" x14ac:dyDescent="0.25">
      <c r="A109" s="7" t="s">
        <v>16</v>
      </c>
      <c r="B109" s="8">
        <v>8470325</v>
      </c>
      <c r="C109" s="9" t="s">
        <v>162</v>
      </c>
      <c r="D109" s="10">
        <v>435508</v>
      </c>
      <c r="E109" s="9" t="s">
        <v>100</v>
      </c>
      <c r="F109" s="9" t="s">
        <v>170</v>
      </c>
      <c r="G109" s="11">
        <v>14674</v>
      </c>
      <c r="H109" s="12">
        <v>65766</v>
      </c>
      <c r="I109" s="18">
        <v>14023.8</v>
      </c>
      <c r="J109" s="19">
        <v>-13455</v>
      </c>
      <c r="K109" s="12">
        <v>33229.800000000003</v>
      </c>
      <c r="L109" s="16">
        <v>31967.4</v>
      </c>
      <c r="M109" s="15"/>
      <c r="N109" s="14"/>
      <c r="O109" s="17"/>
      <c r="P109" s="17"/>
      <c r="Q109" s="17"/>
      <c r="R109" s="17"/>
      <c r="S109" s="17"/>
      <c r="T109" s="17"/>
      <c r="U109" s="17"/>
      <c r="V109" s="17"/>
      <c r="W109" s="11">
        <v>31967.4</v>
      </c>
      <c r="X109" s="17"/>
    </row>
    <row r="110" spans="1:24" ht="25.5" x14ac:dyDescent="0.25">
      <c r="A110" s="7" t="s">
        <v>16</v>
      </c>
      <c r="B110" s="8">
        <v>8470325</v>
      </c>
      <c r="C110" s="9" t="s">
        <v>162</v>
      </c>
      <c r="D110" s="10">
        <v>436600</v>
      </c>
      <c r="E110" s="9" t="s">
        <v>160</v>
      </c>
      <c r="F110" s="9" t="s">
        <v>171</v>
      </c>
      <c r="G110" s="11">
        <v>19420</v>
      </c>
      <c r="H110" s="12">
        <v>0</v>
      </c>
      <c r="I110" s="13"/>
      <c r="J110" s="14"/>
      <c r="K110" s="15"/>
      <c r="L110" s="16">
        <v>0</v>
      </c>
      <c r="M110" s="15"/>
      <c r="N110" s="14"/>
      <c r="O110" s="17"/>
      <c r="P110" s="17"/>
      <c r="Q110" s="17"/>
      <c r="R110" s="17"/>
      <c r="S110" s="17"/>
      <c r="T110" s="17"/>
      <c r="U110" s="17"/>
      <c r="V110" s="17"/>
      <c r="W110" s="11">
        <v>0</v>
      </c>
      <c r="X110" s="17"/>
    </row>
    <row r="111" spans="1:24" ht="25.5" x14ac:dyDescent="0.25">
      <c r="A111" s="7" t="s">
        <v>16</v>
      </c>
      <c r="B111" s="8">
        <v>8470330</v>
      </c>
      <c r="C111" s="9" t="s">
        <v>172</v>
      </c>
      <c r="D111" s="10">
        <v>420550</v>
      </c>
      <c r="E111" s="9" t="s">
        <v>18</v>
      </c>
      <c r="F111" s="9" t="s">
        <v>173</v>
      </c>
      <c r="G111" s="11">
        <v>5520</v>
      </c>
      <c r="H111" s="12">
        <v>5520</v>
      </c>
      <c r="I111" s="13"/>
      <c r="J111" s="14"/>
      <c r="K111" s="15"/>
      <c r="L111" s="16">
        <v>5520</v>
      </c>
      <c r="M111" s="15"/>
      <c r="N111" s="14"/>
      <c r="O111" s="17"/>
      <c r="P111" s="17"/>
      <c r="Q111" s="17"/>
      <c r="R111" s="17"/>
      <c r="S111" s="17"/>
      <c r="T111" s="17"/>
      <c r="U111" s="17"/>
      <c r="V111" s="17"/>
      <c r="W111" s="11">
        <v>5520</v>
      </c>
      <c r="X111" s="17"/>
    </row>
    <row r="112" spans="1:24" ht="25.5" x14ac:dyDescent="0.25">
      <c r="A112" s="7" t="s">
        <v>16</v>
      </c>
      <c r="B112" s="8">
        <v>8470330</v>
      </c>
      <c r="C112" s="9" t="s">
        <v>172</v>
      </c>
      <c r="D112" s="10">
        <v>425510</v>
      </c>
      <c r="E112" s="9" t="s">
        <v>20</v>
      </c>
      <c r="F112" s="9" t="s">
        <v>174</v>
      </c>
      <c r="G112" s="11">
        <v>4550</v>
      </c>
      <c r="H112" s="12">
        <v>4550</v>
      </c>
      <c r="I112" s="18">
        <v>4520.25</v>
      </c>
      <c r="J112" s="14"/>
      <c r="K112" s="15"/>
      <c r="L112" s="16">
        <v>29.75</v>
      </c>
      <c r="M112" s="15"/>
      <c r="N112" s="14"/>
      <c r="O112" s="17"/>
      <c r="P112" s="17"/>
      <c r="Q112" s="17"/>
      <c r="R112" s="17"/>
      <c r="S112" s="17"/>
      <c r="T112" s="17"/>
      <c r="U112" s="17"/>
      <c r="V112" s="17"/>
      <c r="W112" s="11">
        <v>29.75</v>
      </c>
      <c r="X112" s="17"/>
    </row>
    <row r="113" spans="1:24" ht="25.5" x14ac:dyDescent="0.25">
      <c r="A113" s="7" t="s">
        <v>16</v>
      </c>
      <c r="B113" s="8">
        <v>8470330</v>
      </c>
      <c r="C113" s="9" t="s">
        <v>172</v>
      </c>
      <c r="D113" s="10">
        <v>425760</v>
      </c>
      <c r="E113" s="9" t="s">
        <v>116</v>
      </c>
      <c r="F113" s="9" t="s">
        <v>175</v>
      </c>
      <c r="G113" s="11">
        <v>5434</v>
      </c>
      <c r="H113" s="12">
        <v>5434</v>
      </c>
      <c r="I113" s="13"/>
      <c r="J113" s="14"/>
      <c r="K113" s="15"/>
      <c r="L113" s="16">
        <v>5434</v>
      </c>
      <c r="M113" s="15"/>
      <c r="N113" s="14"/>
      <c r="O113" s="17"/>
      <c r="P113" s="17"/>
      <c r="Q113" s="17"/>
      <c r="R113" s="17"/>
      <c r="S113" s="17"/>
      <c r="T113" s="17"/>
      <c r="U113" s="17"/>
      <c r="V113" s="17"/>
      <c r="W113" s="11">
        <v>5434</v>
      </c>
      <c r="X113" s="17"/>
    </row>
    <row r="114" spans="1:24" ht="25.5" x14ac:dyDescent="0.25">
      <c r="A114" s="7" t="s">
        <v>16</v>
      </c>
      <c r="B114" s="8">
        <v>8470330</v>
      </c>
      <c r="C114" s="9" t="s">
        <v>172</v>
      </c>
      <c r="D114" s="10">
        <v>425763</v>
      </c>
      <c r="E114" s="9" t="s">
        <v>53</v>
      </c>
      <c r="F114" s="9" t="s">
        <v>176</v>
      </c>
      <c r="G114" s="11">
        <v>50000</v>
      </c>
      <c r="H114" s="12">
        <v>175809</v>
      </c>
      <c r="I114" s="18">
        <v>50000</v>
      </c>
      <c r="J114" s="14"/>
      <c r="K114" s="15"/>
      <c r="L114" s="16">
        <v>125809</v>
      </c>
      <c r="M114" s="15"/>
      <c r="N114" s="14"/>
      <c r="O114" s="17"/>
      <c r="P114" s="17"/>
      <c r="Q114" s="17"/>
      <c r="R114" s="17"/>
      <c r="S114" s="17"/>
      <c r="T114" s="17"/>
      <c r="U114" s="17"/>
      <c r="V114" s="17"/>
      <c r="W114" s="11">
        <v>125809</v>
      </c>
      <c r="X114" s="17"/>
    </row>
    <row r="115" spans="1:24" ht="25.5" x14ac:dyDescent="0.25">
      <c r="A115" s="7" t="s">
        <v>16</v>
      </c>
      <c r="B115" s="8">
        <v>8470330</v>
      </c>
      <c r="C115" s="9" t="s">
        <v>172</v>
      </c>
      <c r="D115" s="10">
        <v>425770</v>
      </c>
      <c r="E115" s="9" t="s">
        <v>119</v>
      </c>
      <c r="F115" s="9" t="s">
        <v>177</v>
      </c>
      <c r="G115" s="11">
        <v>106489</v>
      </c>
      <c r="H115" s="12">
        <v>356489</v>
      </c>
      <c r="I115" s="18">
        <v>95672.34</v>
      </c>
      <c r="J115" s="14"/>
      <c r="K115" s="15"/>
      <c r="L115" s="16">
        <v>260816.66</v>
      </c>
      <c r="M115" s="15"/>
      <c r="N115" s="14"/>
      <c r="O115" s="17"/>
      <c r="P115" s="17"/>
      <c r="Q115" s="17"/>
      <c r="R115" s="17"/>
      <c r="S115" s="17"/>
      <c r="T115" s="17"/>
      <c r="U115" s="17"/>
      <c r="V115" s="17"/>
      <c r="W115" s="11">
        <v>260816.66</v>
      </c>
      <c r="X115" s="17"/>
    </row>
    <row r="116" spans="1:24" ht="25.5" x14ac:dyDescent="0.25">
      <c r="A116" s="7" t="s">
        <v>16</v>
      </c>
      <c r="B116" s="8">
        <v>8470330</v>
      </c>
      <c r="C116" s="9" t="s">
        <v>172</v>
      </c>
      <c r="D116" s="10">
        <v>425900</v>
      </c>
      <c r="E116" s="9" t="s">
        <v>24</v>
      </c>
      <c r="F116" s="9" t="s">
        <v>178</v>
      </c>
      <c r="G116" s="11">
        <v>9600</v>
      </c>
      <c r="H116" s="12">
        <v>9600</v>
      </c>
      <c r="I116" s="18">
        <v>4284</v>
      </c>
      <c r="J116" s="14"/>
      <c r="K116" s="15"/>
      <c r="L116" s="16">
        <v>5316</v>
      </c>
      <c r="M116" s="15"/>
      <c r="N116" s="14"/>
      <c r="O116" s="17"/>
      <c r="P116" s="17"/>
      <c r="Q116" s="17"/>
      <c r="R116" s="17"/>
      <c r="S116" s="17"/>
      <c r="T116" s="17"/>
      <c r="U116" s="17"/>
      <c r="V116" s="17"/>
      <c r="W116" s="11">
        <v>5316</v>
      </c>
      <c r="X116" s="17"/>
    </row>
    <row r="117" spans="1:24" ht="25.5" x14ac:dyDescent="0.25">
      <c r="A117" s="7" t="s">
        <v>16</v>
      </c>
      <c r="B117" s="8">
        <v>8470330</v>
      </c>
      <c r="C117" s="9" t="s">
        <v>172</v>
      </c>
      <c r="D117" s="10">
        <v>426610</v>
      </c>
      <c r="E117" s="9" t="s">
        <v>39</v>
      </c>
      <c r="F117" s="9" t="s">
        <v>179</v>
      </c>
      <c r="G117" s="11">
        <v>414733</v>
      </c>
      <c r="H117" s="12">
        <v>414733</v>
      </c>
      <c r="I117" s="18">
        <v>47010</v>
      </c>
      <c r="J117" s="19">
        <v>-23310</v>
      </c>
      <c r="K117" s="12">
        <v>14845.24</v>
      </c>
      <c r="L117" s="16">
        <v>376187.76</v>
      </c>
      <c r="M117" s="15"/>
      <c r="N117" s="14"/>
      <c r="O117" s="17"/>
      <c r="P117" s="17"/>
      <c r="Q117" s="17"/>
      <c r="R117" s="17"/>
      <c r="S117" s="17"/>
      <c r="T117" s="17"/>
      <c r="U117" s="17"/>
      <c r="V117" s="17"/>
      <c r="W117" s="11">
        <v>376187.76</v>
      </c>
      <c r="X117" s="17"/>
    </row>
    <row r="118" spans="1:24" ht="25.5" x14ac:dyDescent="0.25">
      <c r="A118" s="7" t="s">
        <v>16</v>
      </c>
      <c r="B118" s="8">
        <v>8470330</v>
      </c>
      <c r="C118" s="9" t="s">
        <v>172</v>
      </c>
      <c r="D118" s="10">
        <v>432209</v>
      </c>
      <c r="E118" s="9" t="s">
        <v>124</v>
      </c>
      <c r="F118" s="9" t="s">
        <v>180</v>
      </c>
      <c r="G118" s="11">
        <v>18994</v>
      </c>
      <c r="H118" s="12">
        <v>18994</v>
      </c>
      <c r="I118" s="13"/>
      <c r="J118" s="14"/>
      <c r="K118" s="15"/>
      <c r="L118" s="16">
        <v>18994</v>
      </c>
      <c r="M118" s="15"/>
      <c r="N118" s="14"/>
      <c r="O118" s="17"/>
      <c r="P118" s="17"/>
      <c r="Q118" s="17"/>
      <c r="R118" s="17"/>
      <c r="S118" s="17"/>
      <c r="T118" s="17"/>
      <c r="U118" s="17"/>
      <c r="V118" s="17"/>
      <c r="W118" s="11">
        <v>18994</v>
      </c>
      <c r="X118" s="17"/>
    </row>
    <row r="119" spans="1:24" ht="25.5" x14ac:dyDescent="0.25">
      <c r="A119" s="7" t="s">
        <v>16</v>
      </c>
      <c r="B119" s="8">
        <v>8470330</v>
      </c>
      <c r="C119" s="9" t="s">
        <v>172</v>
      </c>
      <c r="D119" s="10">
        <v>435350</v>
      </c>
      <c r="E119" s="9" t="s">
        <v>98</v>
      </c>
      <c r="F119" s="9" t="s">
        <v>181</v>
      </c>
      <c r="G119" s="11">
        <v>23640</v>
      </c>
      <c r="H119" s="12">
        <v>123640</v>
      </c>
      <c r="I119" s="18">
        <v>19662.13</v>
      </c>
      <c r="J119" s="14"/>
      <c r="K119" s="15"/>
      <c r="L119" s="16">
        <v>103977.87</v>
      </c>
      <c r="M119" s="15"/>
      <c r="N119" s="14"/>
      <c r="O119" s="17"/>
      <c r="P119" s="17"/>
      <c r="Q119" s="17"/>
      <c r="R119" s="17"/>
      <c r="S119" s="17"/>
      <c r="T119" s="17"/>
      <c r="U119" s="17"/>
      <c r="V119" s="17"/>
      <c r="W119" s="11">
        <v>103977.87</v>
      </c>
      <c r="X119" s="17"/>
    </row>
    <row r="120" spans="1:24" ht="25.5" x14ac:dyDescent="0.25">
      <c r="A120" s="7" t="s">
        <v>16</v>
      </c>
      <c r="B120" s="8">
        <v>8470330</v>
      </c>
      <c r="C120" s="9" t="s">
        <v>172</v>
      </c>
      <c r="D120" s="10">
        <v>435508</v>
      </c>
      <c r="E120" s="9" t="s">
        <v>100</v>
      </c>
      <c r="F120" s="9" t="s">
        <v>182</v>
      </c>
      <c r="G120" s="11">
        <v>70003</v>
      </c>
      <c r="H120" s="12">
        <v>22960</v>
      </c>
      <c r="I120" s="18">
        <v>814</v>
      </c>
      <c r="J120" s="14"/>
      <c r="K120" s="15"/>
      <c r="L120" s="16">
        <v>22146</v>
      </c>
      <c r="M120" s="15"/>
      <c r="N120" s="14"/>
      <c r="O120" s="17"/>
      <c r="P120" s="17"/>
      <c r="Q120" s="17"/>
      <c r="R120" s="17"/>
      <c r="S120" s="17"/>
      <c r="T120" s="17"/>
      <c r="U120" s="17"/>
      <c r="V120" s="17"/>
      <c r="W120" s="11">
        <v>22146</v>
      </c>
      <c r="X120" s="17"/>
    </row>
    <row r="121" spans="1:24" ht="25.5" x14ac:dyDescent="0.25">
      <c r="A121" s="7" t="s">
        <v>16</v>
      </c>
      <c r="B121" s="8">
        <v>8470335</v>
      </c>
      <c r="C121" s="9" t="s">
        <v>183</v>
      </c>
      <c r="D121" s="10">
        <v>425510</v>
      </c>
      <c r="E121" s="9" t="s">
        <v>20</v>
      </c>
      <c r="F121" s="9" t="s">
        <v>184</v>
      </c>
      <c r="G121" s="11">
        <v>3750</v>
      </c>
      <c r="H121" s="12">
        <v>3750</v>
      </c>
      <c r="I121" s="13"/>
      <c r="J121" s="14"/>
      <c r="K121" s="15"/>
      <c r="L121" s="16">
        <v>3750</v>
      </c>
      <c r="M121" s="15"/>
      <c r="N121" s="14"/>
      <c r="O121" s="17"/>
      <c r="P121" s="17"/>
      <c r="Q121" s="17"/>
      <c r="R121" s="17"/>
      <c r="S121" s="17"/>
      <c r="T121" s="17"/>
      <c r="U121" s="17"/>
      <c r="V121" s="17"/>
      <c r="W121" s="11">
        <v>3750</v>
      </c>
      <c r="X121" s="17"/>
    </row>
    <row r="122" spans="1:24" ht="25.5" x14ac:dyDescent="0.25">
      <c r="A122" s="7" t="s">
        <v>16</v>
      </c>
      <c r="B122" s="8">
        <v>8470335</v>
      </c>
      <c r="C122" s="9" t="s">
        <v>183</v>
      </c>
      <c r="D122" s="10">
        <v>425720</v>
      </c>
      <c r="E122" s="9" t="s">
        <v>185</v>
      </c>
      <c r="F122" s="9" t="s">
        <v>186</v>
      </c>
      <c r="G122" s="11">
        <v>32092</v>
      </c>
      <c r="H122" s="12">
        <v>14000</v>
      </c>
      <c r="I122" s="13"/>
      <c r="J122" s="14"/>
      <c r="K122" s="15"/>
      <c r="L122" s="16">
        <v>14000</v>
      </c>
      <c r="M122" s="15"/>
      <c r="N122" s="14"/>
      <c r="O122" s="17"/>
      <c r="P122" s="17"/>
      <c r="Q122" s="17"/>
      <c r="R122" s="17"/>
      <c r="S122" s="17"/>
      <c r="T122" s="17"/>
      <c r="U122" s="17"/>
      <c r="V122" s="17"/>
      <c r="W122" s="11">
        <v>14000</v>
      </c>
      <c r="X122" s="17"/>
    </row>
    <row r="123" spans="1:24" ht="25.5" x14ac:dyDescent="0.25">
      <c r="A123" s="7" t="s">
        <v>16</v>
      </c>
      <c r="B123" s="8">
        <v>8470335</v>
      </c>
      <c r="C123" s="9" t="s">
        <v>183</v>
      </c>
      <c r="D123" s="10">
        <v>425760</v>
      </c>
      <c r="E123" s="9" t="s">
        <v>116</v>
      </c>
      <c r="F123" s="9" t="s">
        <v>187</v>
      </c>
      <c r="G123" s="11">
        <v>4380</v>
      </c>
      <c r="H123" s="12">
        <v>4380</v>
      </c>
      <c r="I123" s="18">
        <v>2520</v>
      </c>
      <c r="J123" s="14"/>
      <c r="K123" s="15"/>
      <c r="L123" s="16">
        <v>1860</v>
      </c>
      <c r="M123" s="15"/>
      <c r="N123" s="14"/>
      <c r="O123" s="17"/>
      <c r="P123" s="17"/>
      <c r="Q123" s="17"/>
      <c r="R123" s="17"/>
      <c r="S123" s="17"/>
      <c r="T123" s="17"/>
      <c r="U123" s="17"/>
      <c r="V123" s="17"/>
      <c r="W123" s="11">
        <v>1860</v>
      </c>
      <c r="X123" s="17"/>
    </row>
    <row r="124" spans="1:24" ht="25.5" x14ac:dyDescent="0.25">
      <c r="A124" s="7" t="s">
        <v>16</v>
      </c>
      <c r="B124" s="8">
        <v>8470335</v>
      </c>
      <c r="C124" s="9" t="s">
        <v>183</v>
      </c>
      <c r="D124" s="10">
        <v>425763</v>
      </c>
      <c r="E124" s="9" t="s">
        <v>53</v>
      </c>
      <c r="F124" s="9" t="s">
        <v>188</v>
      </c>
      <c r="G124" s="11">
        <v>187500</v>
      </c>
      <c r="H124" s="12">
        <v>60000</v>
      </c>
      <c r="I124" s="18">
        <v>8948</v>
      </c>
      <c r="J124" s="14"/>
      <c r="K124" s="15"/>
      <c r="L124" s="16">
        <v>51052</v>
      </c>
      <c r="M124" s="15"/>
      <c r="N124" s="14"/>
      <c r="O124" s="17"/>
      <c r="P124" s="17"/>
      <c r="Q124" s="17"/>
      <c r="R124" s="17"/>
      <c r="S124" s="17"/>
      <c r="T124" s="17"/>
      <c r="U124" s="17"/>
      <c r="V124" s="17"/>
      <c r="W124" s="11">
        <v>51052</v>
      </c>
      <c r="X124" s="17"/>
    </row>
    <row r="125" spans="1:24" ht="25.5" x14ac:dyDescent="0.25">
      <c r="A125" s="7" t="s">
        <v>16</v>
      </c>
      <c r="B125" s="8">
        <v>8470335</v>
      </c>
      <c r="C125" s="9" t="s">
        <v>183</v>
      </c>
      <c r="D125" s="10">
        <v>425770</v>
      </c>
      <c r="E125" s="9" t="s">
        <v>119</v>
      </c>
      <c r="F125" s="9" t="s">
        <v>189</v>
      </c>
      <c r="G125" s="11">
        <v>192500</v>
      </c>
      <c r="H125" s="12">
        <v>252500</v>
      </c>
      <c r="I125" s="18">
        <v>33969.54</v>
      </c>
      <c r="J125" s="14"/>
      <c r="K125" s="15"/>
      <c r="L125" s="16">
        <v>218530.46</v>
      </c>
      <c r="M125" s="15"/>
      <c r="N125" s="14"/>
      <c r="O125" s="17"/>
      <c r="P125" s="17"/>
      <c r="Q125" s="17"/>
      <c r="R125" s="17"/>
      <c r="S125" s="17"/>
      <c r="T125" s="17"/>
      <c r="U125" s="17"/>
      <c r="V125" s="17"/>
      <c r="W125" s="11">
        <v>218530.46</v>
      </c>
      <c r="X125" s="17"/>
    </row>
    <row r="126" spans="1:24" ht="25.5" x14ac:dyDescent="0.25">
      <c r="A126" s="7" t="s">
        <v>16</v>
      </c>
      <c r="B126" s="8">
        <v>8470335</v>
      </c>
      <c r="C126" s="9" t="s">
        <v>183</v>
      </c>
      <c r="D126" s="10">
        <v>425900</v>
      </c>
      <c r="E126" s="9" t="s">
        <v>24</v>
      </c>
      <c r="F126" s="9" t="s">
        <v>190</v>
      </c>
      <c r="G126" s="11">
        <v>4095</v>
      </c>
      <c r="H126" s="12">
        <v>4095</v>
      </c>
      <c r="I126" s="18">
        <v>1811.25</v>
      </c>
      <c r="J126" s="14"/>
      <c r="K126" s="15"/>
      <c r="L126" s="16">
        <v>2283.75</v>
      </c>
      <c r="M126" s="15"/>
      <c r="N126" s="14"/>
      <c r="O126" s="17"/>
      <c r="P126" s="17"/>
      <c r="Q126" s="17"/>
      <c r="R126" s="17"/>
      <c r="S126" s="17"/>
      <c r="T126" s="17"/>
      <c r="U126" s="17"/>
      <c r="V126" s="17"/>
      <c r="W126" s="11">
        <v>2283.75</v>
      </c>
      <c r="X126" s="17"/>
    </row>
    <row r="127" spans="1:24" ht="25.5" x14ac:dyDescent="0.25">
      <c r="A127" s="7" t="s">
        <v>16</v>
      </c>
      <c r="B127" s="8">
        <v>8470335</v>
      </c>
      <c r="C127" s="9" t="s">
        <v>183</v>
      </c>
      <c r="D127" s="10">
        <v>426610</v>
      </c>
      <c r="E127" s="9" t="s">
        <v>39</v>
      </c>
      <c r="F127" s="9" t="s">
        <v>191</v>
      </c>
      <c r="G127" s="11">
        <v>154616</v>
      </c>
      <c r="H127" s="12">
        <v>154616</v>
      </c>
      <c r="I127" s="18">
        <v>1824.21</v>
      </c>
      <c r="J127" s="19">
        <v>8255.0400000000009</v>
      </c>
      <c r="K127" s="12">
        <v>73034.320000000007</v>
      </c>
      <c r="L127" s="16">
        <v>71502.429999999993</v>
      </c>
      <c r="M127" s="15"/>
      <c r="N127" s="14"/>
      <c r="O127" s="17"/>
      <c r="P127" s="17"/>
      <c r="Q127" s="17"/>
      <c r="R127" s="17"/>
      <c r="S127" s="17"/>
      <c r="T127" s="17"/>
      <c r="U127" s="17"/>
      <c r="V127" s="17"/>
      <c r="W127" s="11">
        <v>71502.429999999993</v>
      </c>
      <c r="X127" s="17"/>
    </row>
    <row r="128" spans="1:24" ht="25.5" x14ac:dyDescent="0.25">
      <c r="A128" s="7" t="s">
        <v>16</v>
      </c>
      <c r="B128" s="8">
        <v>8470335</v>
      </c>
      <c r="C128" s="9" t="s">
        <v>183</v>
      </c>
      <c r="D128" s="10">
        <v>435350</v>
      </c>
      <c r="E128" s="9" t="s">
        <v>98</v>
      </c>
      <c r="F128" s="9" t="s">
        <v>192</v>
      </c>
      <c r="G128" s="11">
        <v>84000</v>
      </c>
      <c r="H128" s="12">
        <v>70000</v>
      </c>
      <c r="I128" s="18">
        <v>28599.33</v>
      </c>
      <c r="J128" s="14"/>
      <c r="K128" s="15"/>
      <c r="L128" s="16">
        <v>41400.67</v>
      </c>
      <c r="M128" s="15"/>
      <c r="N128" s="14"/>
      <c r="O128" s="17"/>
      <c r="P128" s="17"/>
      <c r="Q128" s="17"/>
      <c r="R128" s="17"/>
      <c r="S128" s="17"/>
      <c r="T128" s="17"/>
      <c r="U128" s="17"/>
      <c r="V128" s="17"/>
      <c r="W128" s="11">
        <v>41400.67</v>
      </c>
      <c r="X128" s="17"/>
    </row>
    <row r="129" spans="1:24" ht="25.5" x14ac:dyDescent="0.25">
      <c r="A129" s="7" t="s">
        <v>16</v>
      </c>
      <c r="B129" s="8">
        <v>8470335</v>
      </c>
      <c r="C129" s="9" t="s">
        <v>183</v>
      </c>
      <c r="D129" s="10">
        <v>435508</v>
      </c>
      <c r="E129" s="9" t="s">
        <v>100</v>
      </c>
      <c r="F129" s="9" t="s">
        <v>193</v>
      </c>
      <c r="G129" s="11">
        <v>89880</v>
      </c>
      <c r="H129" s="12">
        <v>70880</v>
      </c>
      <c r="I129" s="18">
        <v>9834.4599999999991</v>
      </c>
      <c r="J129" s="19">
        <v>-9834.4599999999991</v>
      </c>
      <c r="K129" s="12">
        <v>46338.38</v>
      </c>
      <c r="L129" s="16">
        <v>24541.62</v>
      </c>
      <c r="M129" s="15"/>
      <c r="N129" s="14"/>
      <c r="O129" s="17"/>
      <c r="P129" s="17"/>
      <c r="Q129" s="17"/>
      <c r="R129" s="17"/>
      <c r="S129" s="17"/>
      <c r="T129" s="17"/>
      <c r="U129" s="17"/>
      <c r="V129" s="17"/>
      <c r="W129" s="11">
        <v>24541.62</v>
      </c>
      <c r="X129" s="17"/>
    </row>
    <row r="130" spans="1:24" ht="25.5" x14ac:dyDescent="0.25">
      <c r="A130" s="7" t="s">
        <v>16</v>
      </c>
      <c r="B130" s="8">
        <v>8470335</v>
      </c>
      <c r="C130" s="9" t="s">
        <v>183</v>
      </c>
      <c r="D130" s="10">
        <v>436600</v>
      </c>
      <c r="E130" s="9" t="s">
        <v>160</v>
      </c>
      <c r="F130" s="9" t="s">
        <v>194</v>
      </c>
      <c r="G130" s="11">
        <v>2760</v>
      </c>
      <c r="H130" s="12">
        <v>2760</v>
      </c>
      <c r="I130" s="13"/>
      <c r="J130" s="14"/>
      <c r="K130" s="15"/>
      <c r="L130" s="16">
        <v>2760</v>
      </c>
      <c r="M130" s="15"/>
      <c r="N130" s="14"/>
      <c r="O130" s="17"/>
      <c r="P130" s="17"/>
      <c r="Q130" s="17"/>
      <c r="R130" s="17"/>
      <c r="S130" s="17"/>
      <c r="T130" s="17"/>
      <c r="U130" s="17"/>
      <c r="V130" s="17"/>
      <c r="W130" s="11">
        <v>2760</v>
      </c>
      <c r="X130" s="17"/>
    </row>
    <row r="131" spans="1:24" ht="25.5" x14ac:dyDescent="0.25">
      <c r="A131" s="7" t="s">
        <v>16</v>
      </c>
      <c r="B131" s="8">
        <v>8470340</v>
      </c>
      <c r="C131" s="9" t="s">
        <v>195</v>
      </c>
      <c r="D131" s="10">
        <v>425510</v>
      </c>
      <c r="E131" s="9" t="s">
        <v>20</v>
      </c>
      <c r="F131" s="9" t="s">
        <v>196</v>
      </c>
      <c r="G131" s="11">
        <v>0</v>
      </c>
      <c r="H131" s="12">
        <v>10500</v>
      </c>
      <c r="I131" s="18">
        <v>10462.700000000001</v>
      </c>
      <c r="J131" s="14"/>
      <c r="K131" s="15"/>
      <c r="L131" s="16">
        <v>37.299999999999301</v>
      </c>
      <c r="M131" s="15"/>
      <c r="N131" s="14"/>
      <c r="O131" s="17"/>
      <c r="P131" s="17"/>
      <c r="Q131" s="17"/>
      <c r="R131" s="17"/>
      <c r="S131" s="17"/>
      <c r="T131" s="17"/>
      <c r="U131" s="17"/>
      <c r="V131" s="17"/>
      <c r="W131" s="11">
        <v>37.299999999999301</v>
      </c>
      <c r="X131" s="17"/>
    </row>
    <row r="132" spans="1:24" ht="25.5" x14ac:dyDescent="0.25">
      <c r="A132" s="7" t="s">
        <v>16</v>
      </c>
      <c r="B132" s="8">
        <v>8470340</v>
      </c>
      <c r="C132" s="9" t="s">
        <v>195</v>
      </c>
      <c r="D132" s="10">
        <v>425720</v>
      </c>
      <c r="E132" s="9" t="s">
        <v>185</v>
      </c>
      <c r="F132" s="9" t="s">
        <v>197</v>
      </c>
      <c r="G132" s="11">
        <v>0</v>
      </c>
      <c r="H132" s="12">
        <v>30000</v>
      </c>
      <c r="I132" s="18">
        <v>37112.769999999997</v>
      </c>
      <c r="J132" s="19">
        <v>-29766.77</v>
      </c>
      <c r="K132" s="12">
        <v>22420.77</v>
      </c>
      <c r="L132" s="16">
        <v>233.22999999999601</v>
      </c>
      <c r="M132" s="15"/>
      <c r="N132" s="14"/>
      <c r="O132" s="17"/>
      <c r="P132" s="17"/>
      <c r="Q132" s="17"/>
      <c r="R132" s="17"/>
      <c r="S132" s="17"/>
      <c r="T132" s="17"/>
      <c r="U132" s="17"/>
      <c r="V132" s="17"/>
      <c r="W132" s="11">
        <v>233.22999999999601</v>
      </c>
      <c r="X132" s="17"/>
    </row>
    <row r="133" spans="1:24" ht="25.5" x14ac:dyDescent="0.25">
      <c r="A133" s="7" t="s">
        <v>16</v>
      </c>
      <c r="B133" s="8">
        <v>8470340</v>
      </c>
      <c r="C133" s="9" t="s">
        <v>195</v>
      </c>
      <c r="D133" s="10">
        <v>425760</v>
      </c>
      <c r="E133" s="9" t="s">
        <v>116</v>
      </c>
      <c r="F133" s="9" t="s">
        <v>198</v>
      </c>
      <c r="G133" s="11">
        <v>58400</v>
      </c>
      <c r="H133" s="12">
        <v>3400</v>
      </c>
      <c r="I133" s="18">
        <v>1181.25</v>
      </c>
      <c r="J133" s="14"/>
      <c r="K133" s="15"/>
      <c r="L133" s="16">
        <v>2218.75</v>
      </c>
      <c r="M133" s="15"/>
      <c r="N133" s="14"/>
      <c r="O133" s="17"/>
      <c r="P133" s="17"/>
      <c r="Q133" s="17"/>
      <c r="R133" s="17"/>
      <c r="S133" s="17"/>
      <c r="T133" s="17"/>
      <c r="U133" s="17"/>
      <c r="V133" s="17"/>
      <c r="W133" s="11">
        <v>2218.75</v>
      </c>
      <c r="X133" s="17"/>
    </row>
    <row r="134" spans="1:24" ht="25.5" x14ac:dyDescent="0.25">
      <c r="A134" s="7" t="s">
        <v>16</v>
      </c>
      <c r="B134" s="8">
        <v>8470340</v>
      </c>
      <c r="C134" s="9" t="s">
        <v>195</v>
      </c>
      <c r="D134" s="10">
        <v>425763</v>
      </c>
      <c r="E134" s="9" t="s">
        <v>53</v>
      </c>
      <c r="F134" s="9" t="s">
        <v>199</v>
      </c>
      <c r="G134" s="11">
        <v>0</v>
      </c>
      <c r="H134" s="12">
        <v>225000</v>
      </c>
      <c r="I134" s="13"/>
      <c r="J134" s="14"/>
      <c r="K134" s="15"/>
      <c r="L134" s="16">
        <v>225000</v>
      </c>
      <c r="M134" s="15"/>
      <c r="N134" s="14"/>
      <c r="O134" s="17"/>
      <c r="P134" s="17"/>
      <c r="Q134" s="17"/>
      <c r="R134" s="17"/>
      <c r="S134" s="17"/>
      <c r="T134" s="17"/>
      <c r="U134" s="17"/>
      <c r="V134" s="17"/>
      <c r="W134" s="11">
        <v>225000</v>
      </c>
      <c r="X134" s="17"/>
    </row>
    <row r="135" spans="1:24" ht="25.5" x14ac:dyDescent="0.25">
      <c r="A135" s="7" t="s">
        <v>16</v>
      </c>
      <c r="B135" s="8">
        <v>8470340</v>
      </c>
      <c r="C135" s="9" t="s">
        <v>195</v>
      </c>
      <c r="D135" s="10">
        <v>425770</v>
      </c>
      <c r="E135" s="9" t="s">
        <v>119</v>
      </c>
      <c r="F135" s="9" t="s">
        <v>200</v>
      </c>
      <c r="G135" s="11">
        <v>38500</v>
      </c>
      <c r="H135" s="12">
        <v>202500</v>
      </c>
      <c r="I135" s="18">
        <v>24496.62</v>
      </c>
      <c r="J135" s="14"/>
      <c r="K135" s="15"/>
      <c r="L135" s="16">
        <v>178003.38</v>
      </c>
      <c r="M135" s="15"/>
      <c r="N135" s="14"/>
      <c r="O135" s="17"/>
      <c r="P135" s="17"/>
      <c r="Q135" s="17"/>
      <c r="R135" s="17"/>
      <c r="S135" s="17"/>
      <c r="T135" s="17"/>
      <c r="U135" s="17"/>
      <c r="V135" s="17"/>
      <c r="W135" s="11">
        <v>178003.38</v>
      </c>
      <c r="X135" s="17"/>
    </row>
    <row r="136" spans="1:24" ht="25.5" x14ac:dyDescent="0.25">
      <c r="A136" s="7" t="s">
        <v>16</v>
      </c>
      <c r="B136" s="8">
        <v>8470340</v>
      </c>
      <c r="C136" s="9" t="s">
        <v>195</v>
      </c>
      <c r="D136" s="10">
        <v>425900</v>
      </c>
      <c r="E136" s="9" t="s">
        <v>24</v>
      </c>
      <c r="F136" s="9" t="s">
        <v>201</v>
      </c>
      <c r="G136" s="11">
        <v>3200</v>
      </c>
      <c r="H136" s="12">
        <v>19700</v>
      </c>
      <c r="I136" s="18">
        <v>11250</v>
      </c>
      <c r="J136" s="19">
        <v>0</v>
      </c>
      <c r="K136" s="12">
        <v>0</v>
      </c>
      <c r="L136" s="16">
        <v>8450</v>
      </c>
      <c r="M136" s="15"/>
      <c r="N136" s="14"/>
      <c r="O136" s="17"/>
      <c r="P136" s="17"/>
      <c r="Q136" s="17"/>
      <c r="R136" s="17"/>
      <c r="S136" s="17"/>
      <c r="T136" s="17"/>
      <c r="U136" s="17"/>
      <c r="V136" s="17"/>
      <c r="W136" s="11">
        <v>8450</v>
      </c>
      <c r="X136" s="17"/>
    </row>
    <row r="137" spans="1:24" ht="25.5" x14ac:dyDescent="0.25">
      <c r="A137" s="7" t="s">
        <v>16</v>
      </c>
      <c r="B137" s="8">
        <v>8470340</v>
      </c>
      <c r="C137" s="9" t="s">
        <v>195</v>
      </c>
      <c r="D137" s="10">
        <v>426610</v>
      </c>
      <c r="E137" s="9" t="s">
        <v>39</v>
      </c>
      <c r="F137" s="9" t="s">
        <v>202</v>
      </c>
      <c r="G137" s="11">
        <v>177090</v>
      </c>
      <c r="H137" s="12">
        <v>164090</v>
      </c>
      <c r="I137" s="18">
        <v>1836.5</v>
      </c>
      <c r="J137" s="19">
        <v>79345.73</v>
      </c>
      <c r="K137" s="12">
        <v>59145.43</v>
      </c>
      <c r="L137" s="16">
        <v>23762.34</v>
      </c>
      <c r="M137" s="15"/>
      <c r="N137" s="14"/>
      <c r="O137" s="17"/>
      <c r="P137" s="17"/>
      <c r="Q137" s="17"/>
      <c r="R137" s="17"/>
      <c r="S137" s="17"/>
      <c r="T137" s="17"/>
      <c r="U137" s="17"/>
      <c r="V137" s="17"/>
      <c r="W137" s="11">
        <v>23762.34</v>
      </c>
      <c r="X137" s="17"/>
    </row>
    <row r="138" spans="1:24" ht="25.5" x14ac:dyDescent="0.25">
      <c r="A138" s="7" t="s">
        <v>16</v>
      </c>
      <c r="B138" s="8">
        <v>8470340</v>
      </c>
      <c r="C138" s="9" t="s">
        <v>195</v>
      </c>
      <c r="D138" s="10">
        <v>428090</v>
      </c>
      <c r="E138" s="9" t="s">
        <v>26</v>
      </c>
      <c r="F138" s="9" t="s">
        <v>203</v>
      </c>
      <c r="G138" s="11">
        <v>9043</v>
      </c>
      <c r="H138" s="12">
        <v>543</v>
      </c>
      <c r="I138" s="13"/>
      <c r="J138" s="14"/>
      <c r="K138" s="15"/>
      <c r="L138" s="16">
        <v>543</v>
      </c>
      <c r="M138" s="15"/>
      <c r="N138" s="14"/>
      <c r="O138" s="17"/>
      <c r="P138" s="17"/>
      <c r="Q138" s="17"/>
      <c r="R138" s="17"/>
      <c r="S138" s="17"/>
      <c r="T138" s="17"/>
      <c r="U138" s="17"/>
      <c r="V138" s="17"/>
      <c r="W138" s="11">
        <v>543</v>
      </c>
      <c r="X138" s="17"/>
    </row>
    <row r="139" spans="1:24" ht="25.5" x14ac:dyDescent="0.25">
      <c r="A139" s="7" t="s">
        <v>16</v>
      </c>
      <c r="B139" s="8">
        <v>8470340</v>
      </c>
      <c r="C139" s="9" t="s">
        <v>195</v>
      </c>
      <c r="D139" s="10">
        <v>432209</v>
      </c>
      <c r="E139" s="9" t="s">
        <v>124</v>
      </c>
      <c r="F139" s="9" t="s">
        <v>204</v>
      </c>
      <c r="G139" s="11">
        <v>20000</v>
      </c>
      <c r="H139" s="12">
        <v>75500</v>
      </c>
      <c r="I139" s="13"/>
      <c r="J139" s="19">
        <v>0</v>
      </c>
      <c r="K139" s="12">
        <v>74500</v>
      </c>
      <c r="L139" s="16">
        <v>1000</v>
      </c>
      <c r="M139" s="15"/>
      <c r="N139" s="14"/>
      <c r="O139" s="17"/>
      <c r="P139" s="17"/>
      <c r="Q139" s="17"/>
      <c r="R139" s="17"/>
      <c r="S139" s="17"/>
      <c r="T139" s="17"/>
      <c r="U139" s="17"/>
      <c r="V139" s="17"/>
      <c r="W139" s="11">
        <v>1000</v>
      </c>
      <c r="X139" s="17"/>
    </row>
    <row r="140" spans="1:24" ht="25.5" x14ac:dyDescent="0.25">
      <c r="A140" s="7" t="s">
        <v>16</v>
      </c>
      <c r="B140" s="8">
        <v>8470340</v>
      </c>
      <c r="C140" s="9" t="s">
        <v>195</v>
      </c>
      <c r="D140" s="10">
        <v>435350</v>
      </c>
      <c r="E140" s="9" t="s">
        <v>98</v>
      </c>
      <c r="F140" s="9" t="s">
        <v>205</v>
      </c>
      <c r="G140" s="11">
        <v>52403</v>
      </c>
      <c r="H140" s="12">
        <v>152403</v>
      </c>
      <c r="I140" s="18">
        <v>15873.9</v>
      </c>
      <c r="J140" s="14"/>
      <c r="K140" s="15"/>
      <c r="L140" s="16">
        <v>136529.1</v>
      </c>
      <c r="M140" s="15"/>
      <c r="N140" s="14"/>
      <c r="O140" s="17"/>
      <c r="P140" s="17"/>
      <c r="Q140" s="17"/>
      <c r="R140" s="17"/>
      <c r="S140" s="17"/>
      <c r="T140" s="17"/>
      <c r="U140" s="17"/>
      <c r="V140" s="17"/>
      <c r="W140" s="11">
        <v>136529.1</v>
      </c>
      <c r="X140" s="17"/>
    </row>
    <row r="141" spans="1:24" ht="25.5" x14ac:dyDescent="0.25">
      <c r="A141" s="7" t="s">
        <v>16</v>
      </c>
      <c r="B141" s="8">
        <v>8470340</v>
      </c>
      <c r="C141" s="9" t="s">
        <v>195</v>
      </c>
      <c r="D141" s="10">
        <v>435508</v>
      </c>
      <c r="E141" s="9" t="s">
        <v>100</v>
      </c>
      <c r="F141" s="9" t="s">
        <v>206</v>
      </c>
      <c r="G141" s="11">
        <v>72954</v>
      </c>
      <c r="H141" s="12">
        <v>72954</v>
      </c>
      <c r="I141" s="18">
        <v>21458.09</v>
      </c>
      <c r="J141" s="19">
        <v>-2800</v>
      </c>
      <c r="K141" s="12">
        <v>21000</v>
      </c>
      <c r="L141" s="16">
        <v>33295.910000000003</v>
      </c>
      <c r="M141" s="15"/>
      <c r="N141" s="14"/>
      <c r="O141" s="17"/>
      <c r="P141" s="17"/>
      <c r="Q141" s="17"/>
      <c r="R141" s="17"/>
      <c r="S141" s="17"/>
      <c r="T141" s="17"/>
      <c r="U141" s="17"/>
      <c r="V141" s="17"/>
      <c r="W141" s="11">
        <v>33295.910000000003</v>
      </c>
      <c r="X141" s="17"/>
    </row>
    <row r="142" spans="1:24" ht="25.5" x14ac:dyDescent="0.25">
      <c r="A142" s="7" t="s">
        <v>16</v>
      </c>
      <c r="B142" s="8">
        <v>8470340</v>
      </c>
      <c r="C142" s="9" t="s">
        <v>195</v>
      </c>
      <c r="D142" s="10">
        <v>436110</v>
      </c>
      <c r="E142" s="9" t="s">
        <v>158</v>
      </c>
      <c r="F142" s="9" t="s">
        <v>207</v>
      </c>
      <c r="G142" s="11">
        <v>1860</v>
      </c>
      <c r="H142" s="12">
        <v>1860</v>
      </c>
      <c r="I142" s="13"/>
      <c r="J142" s="14"/>
      <c r="K142" s="15"/>
      <c r="L142" s="16">
        <v>1860</v>
      </c>
      <c r="M142" s="15"/>
      <c r="N142" s="14"/>
      <c r="O142" s="17"/>
      <c r="P142" s="17"/>
      <c r="Q142" s="17"/>
      <c r="R142" s="17"/>
      <c r="S142" s="17"/>
      <c r="T142" s="17"/>
      <c r="U142" s="17"/>
      <c r="V142" s="17"/>
      <c r="W142" s="11">
        <v>1860</v>
      </c>
      <c r="X142" s="17"/>
    </row>
    <row r="143" spans="1:24" ht="25.5" x14ac:dyDescent="0.25">
      <c r="A143" s="7" t="s">
        <v>16</v>
      </c>
      <c r="B143" s="8">
        <v>8470340</v>
      </c>
      <c r="C143" s="9" t="s">
        <v>195</v>
      </c>
      <c r="D143" s="10">
        <v>436600</v>
      </c>
      <c r="E143" s="9" t="s">
        <v>160</v>
      </c>
      <c r="F143" s="9" t="s">
        <v>208</v>
      </c>
      <c r="G143" s="11">
        <v>7998</v>
      </c>
      <c r="H143" s="12">
        <v>7998</v>
      </c>
      <c r="I143" s="13"/>
      <c r="J143" s="14"/>
      <c r="K143" s="15"/>
      <c r="L143" s="16">
        <v>7998</v>
      </c>
      <c r="M143" s="15"/>
      <c r="N143" s="14"/>
      <c r="O143" s="17"/>
      <c r="P143" s="17"/>
      <c r="Q143" s="17"/>
      <c r="R143" s="17"/>
      <c r="S143" s="17"/>
      <c r="T143" s="17"/>
      <c r="U143" s="17"/>
      <c r="V143" s="17"/>
      <c r="W143" s="11">
        <v>7998</v>
      </c>
      <c r="X143" s="17"/>
    </row>
    <row r="144" spans="1:24" ht="25.5" x14ac:dyDescent="0.25">
      <c r="A144" s="7" t="s">
        <v>16</v>
      </c>
      <c r="B144" s="8">
        <v>8470345</v>
      </c>
      <c r="C144" s="9" t="s">
        <v>209</v>
      </c>
      <c r="D144" s="10">
        <v>425510</v>
      </c>
      <c r="E144" s="9" t="s">
        <v>20</v>
      </c>
      <c r="F144" s="9" t="s">
        <v>210</v>
      </c>
      <c r="G144" s="11">
        <v>6485</v>
      </c>
      <c r="H144" s="12">
        <v>5832</v>
      </c>
      <c r="I144" s="13"/>
      <c r="J144" s="14"/>
      <c r="K144" s="15"/>
      <c r="L144" s="16">
        <v>5832</v>
      </c>
      <c r="M144" s="15"/>
      <c r="N144" s="14"/>
      <c r="O144" s="17"/>
      <c r="P144" s="17"/>
      <c r="Q144" s="17"/>
      <c r="R144" s="17"/>
      <c r="S144" s="17"/>
      <c r="T144" s="17"/>
      <c r="U144" s="17"/>
      <c r="V144" s="17"/>
      <c r="W144" s="11">
        <v>5832</v>
      </c>
      <c r="X144" s="17"/>
    </row>
    <row r="145" spans="1:24" ht="25.5" x14ac:dyDescent="0.25">
      <c r="A145" s="7" t="s">
        <v>16</v>
      </c>
      <c r="B145" s="8">
        <v>8470345</v>
      </c>
      <c r="C145" s="9" t="s">
        <v>209</v>
      </c>
      <c r="D145" s="10">
        <v>425760</v>
      </c>
      <c r="E145" s="9" t="s">
        <v>116</v>
      </c>
      <c r="F145" s="9" t="s">
        <v>211</v>
      </c>
      <c r="G145" s="11">
        <v>11393</v>
      </c>
      <c r="H145" s="12">
        <v>11393</v>
      </c>
      <c r="I145" s="13"/>
      <c r="J145" s="14"/>
      <c r="K145" s="15"/>
      <c r="L145" s="16">
        <v>11393</v>
      </c>
      <c r="M145" s="15"/>
      <c r="N145" s="14"/>
      <c r="O145" s="17"/>
      <c r="P145" s="17"/>
      <c r="Q145" s="17"/>
      <c r="R145" s="17"/>
      <c r="S145" s="17"/>
      <c r="T145" s="17"/>
      <c r="U145" s="17"/>
      <c r="V145" s="17"/>
      <c r="W145" s="11">
        <v>11393</v>
      </c>
      <c r="X145" s="17"/>
    </row>
    <row r="146" spans="1:24" ht="25.5" x14ac:dyDescent="0.25">
      <c r="A146" s="7" t="s">
        <v>16</v>
      </c>
      <c r="B146" s="8">
        <v>8470345</v>
      </c>
      <c r="C146" s="9" t="s">
        <v>209</v>
      </c>
      <c r="D146" s="10">
        <v>425761</v>
      </c>
      <c r="E146" s="9" t="s">
        <v>212</v>
      </c>
      <c r="F146" s="9" t="s">
        <v>213</v>
      </c>
      <c r="G146" s="11">
        <v>255500</v>
      </c>
      <c r="H146" s="12">
        <v>0</v>
      </c>
      <c r="I146" s="13"/>
      <c r="J146" s="14"/>
      <c r="K146" s="15"/>
      <c r="L146" s="16">
        <v>0</v>
      </c>
      <c r="M146" s="15"/>
      <c r="N146" s="14"/>
      <c r="O146" s="17"/>
      <c r="P146" s="17"/>
      <c r="Q146" s="17"/>
      <c r="R146" s="17"/>
      <c r="S146" s="17"/>
      <c r="T146" s="17"/>
      <c r="U146" s="17"/>
      <c r="V146" s="17"/>
      <c r="W146" s="11">
        <v>0</v>
      </c>
      <c r="X146" s="17"/>
    </row>
    <row r="147" spans="1:24" ht="25.5" x14ac:dyDescent="0.25">
      <c r="A147" s="7" t="s">
        <v>16</v>
      </c>
      <c r="B147" s="8">
        <v>8470345</v>
      </c>
      <c r="C147" s="9" t="s">
        <v>209</v>
      </c>
      <c r="D147" s="10">
        <v>425770</v>
      </c>
      <c r="E147" s="9" t="s">
        <v>119</v>
      </c>
      <c r="F147" s="9" t="s">
        <v>214</v>
      </c>
      <c r="G147" s="11">
        <v>72308</v>
      </c>
      <c r="H147" s="12">
        <v>44108</v>
      </c>
      <c r="I147" s="18">
        <v>16850</v>
      </c>
      <c r="J147" s="14"/>
      <c r="K147" s="15"/>
      <c r="L147" s="16">
        <v>27258</v>
      </c>
      <c r="M147" s="15"/>
      <c r="N147" s="14"/>
      <c r="O147" s="17"/>
      <c r="P147" s="17"/>
      <c r="Q147" s="17"/>
      <c r="R147" s="17"/>
      <c r="S147" s="17"/>
      <c r="T147" s="17"/>
      <c r="U147" s="17"/>
      <c r="V147" s="17"/>
      <c r="W147" s="11">
        <v>27258</v>
      </c>
      <c r="X147" s="17"/>
    </row>
    <row r="148" spans="1:24" ht="25.5" x14ac:dyDescent="0.25">
      <c r="A148" s="7" t="s">
        <v>16</v>
      </c>
      <c r="B148" s="8">
        <v>8470345</v>
      </c>
      <c r="C148" s="9" t="s">
        <v>209</v>
      </c>
      <c r="D148" s="10">
        <v>425900</v>
      </c>
      <c r="E148" s="9" t="s">
        <v>24</v>
      </c>
      <c r="F148" s="9" t="s">
        <v>215</v>
      </c>
      <c r="G148" s="11">
        <v>4578</v>
      </c>
      <c r="H148" s="12">
        <v>960</v>
      </c>
      <c r="I148" s="13"/>
      <c r="J148" s="14"/>
      <c r="K148" s="15"/>
      <c r="L148" s="16">
        <v>960</v>
      </c>
      <c r="M148" s="15"/>
      <c r="N148" s="14"/>
      <c r="O148" s="17"/>
      <c r="P148" s="17"/>
      <c r="Q148" s="17"/>
      <c r="R148" s="17"/>
      <c r="S148" s="17"/>
      <c r="T148" s="17"/>
      <c r="U148" s="17"/>
      <c r="V148" s="17"/>
      <c r="W148" s="11">
        <v>960</v>
      </c>
      <c r="X148" s="17"/>
    </row>
    <row r="149" spans="1:24" ht="25.5" x14ac:dyDescent="0.25">
      <c r="A149" s="7" t="s">
        <v>16</v>
      </c>
      <c r="B149" s="8">
        <v>8470345</v>
      </c>
      <c r="C149" s="9" t="s">
        <v>209</v>
      </c>
      <c r="D149" s="10">
        <v>426610</v>
      </c>
      <c r="E149" s="9" t="s">
        <v>39</v>
      </c>
      <c r="F149" s="9" t="s">
        <v>216</v>
      </c>
      <c r="G149" s="11">
        <v>82655</v>
      </c>
      <c r="H149" s="12">
        <v>86955</v>
      </c>
      <c r="I149" s="18">
        <v>99171</v>
      </c>
      <c r="J149" s="19">
        <v>-12230.31</v>
      </c>
      <c r="K149" s="12">
        <v>0</v>
      </c>
      <c r="L149" s="16">
        <v>14.3099999999995</v>
      </c>
      <c r="M149" s="15"/>
      <c r="N149" s="14"/>
      <c r="O149" s="17"/>
      <c r="P149" s="17"/>
      <c r="Q149" s="17"/>
      <c r="R149" s="17"/>
      <c r="S149" s="17"/>
      <c r="T149" s="17"/>
      <c r="U149" s="17"/>
      <c r="V149" s="17"/>
      <c r="W149" s="11">
        <v>14.3099999999995</v>
      </c>
      <c r="X149" s="17"/>
    </row>
    <row r="150" spans="1:24" ht="25.5" x14ac:dyDescent="0.25">
      <c r="A150" s="7" t="s">
        <v>16</v>
      </c>
      <c r="B150" s="8">
        <v>8470345</v>
      </c>
      <c r="C150" s="9" t="s">
        <v>209</v>
      </c>
      <c r="D150" s="10">
        <v>435350</v>
      </c>
      <c r="E150" s="9" t="s">
        <v>98</v>
      </c>
      <c r="F150" s="9" t="s">
        <v>217</v>
      </c>
      <c r="G150" s="11">
        <v>36148</v>
      </c>
      <c r="H150" s="12">
        <v>56148</v>
      </c>
      <c r="I150" s="13"/>
      <c r="J150" s="14"/>
      <c r="K150" s="15"/>
      <c r="L150" s="16">
        <v>56148</v>
      </c>
      <c r="M150" s="15"/>
      <c r="N150" s="14"/>
      <c r="O150" s="17"/>
      <c r="P150" s="17"/>
      <c r="Q150" s="17"/>
      <c r="R150" s="17"/>
      <c r="S150" s="17"/>
      <c r="T150" s="17"/>
      <c r="U150" s="17"/>
      <c r="V150" s="17"/>
      <c r="W150" s="11">
        <v>56148</v>
      </c>
      <c r="X150" s="17"/>
    </row>
    <row r="151" spans="1:24" ht="25.5" x14ac:dyDescent="0.25">
      <c r="A151" s="7" t="s">
        <v>16</v>
      </c>
      <c r="B151" s="8">
        <v>8470345</v>
      </c>
      <c r="C151" s="9" t="s">
        <v>209</v>
      </c>
      <c r="D151" s="10">
        <v>435508</v>
      </c>
      <c r="E151" s="9" t="s">
        <v>100</v>
      </c>
      <c r="F151" s="9" t="s">
        <v>218</v>
      </c>
      <c r="G151" s="11">
        <v>19761</v>
      </c>
      <c r="H151" s="12">
        <v>48614</v>
      </c>
      <c r="I151" s="18">
        <v>46954.11</v>
      </c>
      <c r="J151" s="19">
        <v>-47590.95</v>
      </c>
      <c r="K151" s="12">
        <v>47895</v>
      </c>
      <c r="L151" s="16">
        <v>1355.8399999999899</v>
      </c>
      <c r="M151" s="15"/>
      <c r="N151" s="14"/>
      <c r="O151" s="17"/>
      <c r="P151" s="17"/>
      <c r="Q151" s="17"/>
      <c r="R151" s="17"/>
      <c r="S151" s="17"/>
      <c r="T151" s="17"/>
      <c r="U151" s="17"/>
      <c r="V151" s="17"/>
      <c r="W151" s="11">
        <v>1355.8399999999899</v>
      </c>
      <c r="X151" s="17"/>
    </row>
    <row r="152" spans="1:24" ht="25.5" x14ac:dyDescent="0.25">
      <c r="A152" s="7" t="s">
        <v>16</v>
      </c>
      <c r="B152" s="8">
        <v>8470345</v>
      </c>
      <c r="C152" s="9" t="s">
        <v>209</v>
      </c>
      <c r="D152" s="10">
        <v>436600</v>
      </c>
      <c r="E152" s="9" t="s">
        <v>160</v>
      </c>
      <c r="F152" s="9" t="s">
        <v>219</v>
      </c>
      <c r="G152" s="11">
        <v>29716</v>
      </c>
      <c r="H152" s="12">
        <v>25416</v>
      </c>
      <c r="I152" s="13"/>
      <c r="J152" s="14"/>
      <c r="K152" s="15"/>
      <c r="L152" s="16">
        <v>25416</v>
      </c>
      <c r="M152" s="15"/>
      <c r="N152" s="14"/>
      <c r="O152" s="17"/>
      <c r="P152" s="17"/>
      <c r="Q152" s="17"/>
      <c r="R152" s="17"/>
      <c r="S152" s="17"/>
      <c r="T152" s="17"/>
      <c r="U152" s="17"/>
      <c r="V152" s="17"/>
      <c r="W152" s="11">
        <v>25416</v>
      </c>
      <c r="X152" s="17"/>
    </row>
    <row r="153" spans="1:24" ht="25.5" x14ac:dyDescent="0.25">
      <c r="A153" s="7" t="s">
        <v>16</v>
      </c>
      <c r="B153" s="8">
        <v>8470350</v>
      </c>
      <c r="C153" s="9" t="s">
        <v>220</v>
      </c>
      <c r="D153" s="10">
        <v>425510</v>
      </c>
      <c r="E153" s="9" t="s">
        <v>20</v>
      </c>
      <c r="F153" s="9" t="s">
        <v>221</v>
      </c>
      <c r="G153" s="11">
        <v>8764</v>
      </c>
      <c r="H153" s="12">
        <v>8764</v>
      </c>
      <c r="I153" s="18">
        <v>6318.1</v>
      </c>
      <c r="J153" s="14"/>
      <c r="K153" s="15"/>
      <c r="L153" s="16">
        <v>2445.9</v>
      </c>
      <c r="M153" s="15"/>
      <c r="N153" s="14"/>
      <c r="O153" s="17"/>
      <c r="P153" s="17"/>
      <c r="Q153" s="17"/>
      <c r="R153" s="17"/>
      <c r="S153" s="17"/>
      <c r="T153" s="17"/>
      <c r="U153" s="17"/>
      <c r="V153" s="17"/>
      <c r="W153" s="11">
        <v>2445.9</v>
      </c>
      <c r="X153" s="17"/>
    </row>
    <row r="154" spans="1:24" ht="25.5" x14ac:dyDescent="0.25">
      <c r="A154" s="7" t="s">
        <v>16</v>
      </c>
      <c r="B154" s="8">
        <v>8470350</v>
      </c>
      <c r="C154" s="9" t="s">
        <v>220</v>
      </c>
      <c r="D154" s="10">
        <v>425763</v>
      </c>
      <c r="E154" s="9" t="s">
        <v>53</v>
      </c>
      <c r="F154" s="9" t="s">
        <v>222</v>
      </c>
      <c r="G154" s="11">
        <v>0</v>
      </c>
      <c r="H154" s="12">
        <v>3618</v>
      </c>
      <c r="I154" s="13"/>
      <c r="J154" s="14"/>
      <c r="K154" s="15"/>
      <c r="L154" s="16">
        <v>3618</v>
      </c>
      <c r="M154" s="15"/>
      <c r="N154" s="14"/>
      <c r="O154" s="17"/>
      <c r="P154" s="17"/>
      <c r="Q154" s="17"/>
      <c r="R154" s="17"/>
      <c r="S154" s="17"/>
      <c r="T154" s="17"/>
      <c r="U154" s="17"/>
      <c r="V154" s="17"/>
      <c r="W154" s="11">
        <v>3618</v>
      </c>
      <c r="X154" s="17"/>
    </row>
    <row r="155" spans="1:24" ht="25.5" x14ac:dyDescent="0.25">
      <c r="A155" s="7" t="s">
        <v>16</v>
      </c>
      <c r="B155" s="8">
        <v>8470350</v>
      </c>
      <c r="C155" s="9" t="s">
        <v>220</v>
      </c>
      <c r="D155" s="10">
        <v>425770</v>
      </c>
      <c r="E155" s="9" t="s">
        <v>119</v>
      </c>
      <c r="F155" s="9" t="s">
        <v>223</v>
      </c>
      <c r="G155" s="11">
        <v>87014</v>
      </c>
      <c r="H155" s="12">
        <v>120199</v>
      </c>
      <c r="I155" s="18">
        <v>16780.22</v>
      </c>
      <c r="J155" s="14"/>
      <c r="K155" s="15"/>
      <c r="L155" s="16">
        <v>103418.78</v>
      </c>
      <c r="M155" s="15"/>
      <c r="N155" s="14"/>
      <c r="O155" s="17"/>
      <c r="P155" s="17"/>
      <c r="Q155" s="17"/>
      <c r="R155" s="17"/>
      <c r="S155" s="17"/>
      <c r="T155" s="17"/>
      <c r="U155" s="17"/>
      <c r="V155" s="17"/>
      <c r="W155" s="11">
        <v>103418.78</v>
      </c>
      <c r="X155" s="17"/>
    </row>
    <row r="156" spans="1:24" ht="25.5" x14ac:dyDescent="0.25">
      <c r="A156" s="7" t="s">
        <v>16</v>
      </c>
      <c r="B156" s="8">
        <v>8470350</v>
      </c>
      <c r="C156" s="9" t="s">
        <v>220</v>
      </c>
      <c r="D156" s="10">
        <v>425900</v>
      </c>
      <c r="E156" s="9" t="s">
        <v>24</v>
      </c>
      <c r="F156" s="9" t="s">
        <v>224</v>
      </c>
      <c r="G156" s="11">
        <v>4578</v>
      </c>
      <c r="H156" s="12">
        <v>4578</v>
      </c>
      <c r="I156" s="13"/>
      <c r="J156" s="14"/>
      <c r="K156" s="15"/>
      <c r="L156" s="16">
        <v>4578</v>
      </c>
      <c r="M156" s="15"/>
      <c r="N156" s="14"/>
      <c r="O156" s="17"/>
      <c r="P156" s="17"/>
      <c r="Q156" s="17"/>
      <c r="R156" s="17"/>
      <c r="S156" s="17"/>
      <c r="T156" s="17"/>
      <c r="U156" s="17"/>
      <c r="V156" s="17"/>
      <c r="W156" s="11">
        <v>4578</v>
      </c>
      <c r="X156" s="17"/>
    </row>
    <row r="157" spans="1:24" ht="25.5" x14ac:dyDescent="0.25">
      <c r="A157" s="7" t="s">
        <v>16</v>
      </c>
      <c r="B157" s="8">
        <v>8470350</v>
      </c>
      <c r="C157" s="9" t="s">
        <v>220</v>
      </c>
      <c r="D157" s="10">
        <v>426610</v>
      </c>
      <c r="E157" s="9" t="s">
        <v>39</v>
      </c>
      <c r="F157" s="9" t="s">
        <v>225</v>
      </c>
      <c r="G157" s="11">
        <v>201762</v>
      </c>
      <c r="H157" s="12">
        <v>201762</v>
      </c>
      <c r="I157" s="13"/>
      <c r="J157" s="19">
        <v>7193.2</v>
      </c>
      <c r="K157" s="12">
        <v>8393.2000000000007</v>
      </c>
      <c r="L157" s="16">
        <v>186175.6</v>
      </c>
      <c r="M157" s="15"/>
      <c r="N157" s="14"/>
      <c r="O157" s="17"/>
      <c r="P157" s="17"/>
      <c r="Q157" s="17"/>
      <c r="R157" s="17"/>
      <c r="S157" s="17"/>
      <c r="T157" s="17"/>
      <c r="U157" s="17"/>
      <c r="V157" s="17"/>
      <c r="W157" s="11">
        <v>186175.6</v>
      </c>
      <c r="X157" s="17"/>
    </row>
    <row r="158" spans="1:24" ht="25.5" x14ac:dyDescent="0.25">
      <c r="A158" s="7" t="s">
        <v>16</v>
      </c>
      <c r="B158" s="8">
        <v>8470350</v>
      </c>
      <c r="C158" s="9" t="s">
        <v>220</v>
      </c>
      <c r="D158" s="10">
        <v>432209</v>
      </c>
      <c r="E158" s="9" t="s">
        <v>124</v>
      </c>
      <c r="F158" s="9" t="s">
        <v>226</v>
      </c>
      <c r="G158" s="11">
        <v>1839402</v>
      </c>
      <c r="H158" s="12">
        <v>957910</v>
      </c>
      <c r="I158" s="18">
        <v>102434</v>
      </c>
      <c r="J158" s="19">
        <v>306425.18</v>
      </c>
      <c r="K158" s="12">
        <v>56566</v>
      </c>
      <c r="L158" s="16">
        <v>492484.82</v>
      </c>
      <c r="M158" s="15"/>
      <c r="N158" s="14"/>
      <c r="O158" s="17"/>
      <c r="P158" s="17"/>
      <c r="Q158" s="17"/>
      <c r="R158" s="17"/>
      <c r="S158" s="17"/>
      <c r="T158" s="17"/>
      <c r="U158" s="17"/>
      <c r="V158" s="17"/>
      <c r="W158" s="11">
        <v>492484.82</v>
      </c>
      <c r="X158" s="17"/>
    </row>
    <row r="159" spans="1:24" ht="25.5" x14ac:dyDescent="0.25">
      <c r="A159" s="7" t="s">
        <v>16</v>
      </c>
      <c r="B159" s="8">
        <v>8470350</v>
      </c>
      <c r="C159" s="9" t="s">
        <v>220</v>
      </c>
      <c r="D159" s="10">
        <v>435350</v>
      </c>
      <c r="E159" s="9" t="s">
        <v>98</v>
      </c>
      <c r="F159" s="9" t="s">
        <v>227</v>
      </c>
      <c r="G159" s="11">
        <v>45176</v>
      </c>
      <c r="H159" s="12">
        <v>65176</v>
      </c>
      <c r="I159" s="18">
        <v>7603.11</v>
      </c>
      <c r="J159" s="14"/>
      <c r="K159" s="15"/>
      <c r="L159" s="16">
        <v>57572.89</v>
      </c>
      <c r="M159" s="15"/>
      <c r="N159" s="14"/>
      <c r="O159" s="17"/>
      <c r="P159" s="17"/>
      <c r="Q159" s="17"/>
      <c r="R159" s="17"/>
      <c r="S159" s="17"/>
      <c r="T159" s="17"/>
      <c r="U159" s="17"/>
      <c r="V159" s="17"/>
      <c r="W159" s="11">
        <v>57572.89</v>
      </c>
      <c r="X159" s="17"/>
    </row>
    <row r="160" spans="1:24" ht="25.5" x14ac:dyDescent="0.25">
      <c r="A160" s="7" t="s">
        <v>16</v>
      </c>
      <c r="B160" s="8">
        <v>8470350</v>
      </c>
      <c r="C160" s="9" t="s">
        <v>220</v>
      </c>
      <c r="D160" s="10">
        <v>435508</v>
      </c>
      <c r="E160" s="9" t="s">
        <v>100</v>
      </c>
      <c r="F160" s="9" t="s">
        <v>228</v>
      </c>
      <c r="G160" s="11">
        <v>431791</v>
      </c>
      <c r="H160" s="12">
        <v>31570</v>
      </c>
      <c r="I160" s="18">
        <v>350</v>
      </c>
      <c r="J160" s="19">
        <v>-3976.22</v>
      </c>
      <c r="K160" s="12">
        <v>3976.22</v>
      </c>
      <c r="L160" s="16">
        <v>31220</v>
      </c>
      <c r="M160" s="15"/>
      <c r="N160" s="14"/>
      <c r="O160" s="17"/>
      <c r="P160" s="17"/>
      <c r="Q160" s="17"/>
      <c r="R160" s="17"/>
      <c r="S160" s="17"/>
      <c r="T160" s="17"/>
      <c r="U160" s="17"/>
      <c r="V160" s="17"/>
      <c r="W160" s="11">
        <v>31220</v>
      </c>
      <c r="X160" s="17"/>
    </row>
    <row r="161" spans="1:24" ht="25.5" x14ac:dyDescent="0.25">
      <c r="A161" s="7" t="s">
        <v>16</v>
      </c>
      <c r="B161" s="8">
        <v>8470350</v>
      </c>
      <c r="C161" s="9" t="s">
        <v>220</v>
      </c>
      <c r="D161" s="10">
        <v>436600</v>
      </c>
      <c r="E161" s="9" t="s">
        <v>160</v>
      </c>
      <c r="F161" s="9" t="s">
        <v>229</v>
      </c>
      <c r="G161" s="11">
        <v>0</v>
      </c>
      <c r="H161" s="12">
        <v>18220</v>
      </c>
      <c r="I161" s="18">
        <v>18216</v>
      </c>
      <c r="J161" s="19">
        <v>-18216</v>
      </c>
      <c r="K161" s="12">
        <v>18216</v>
      </c>
      <c r="L161" s="16">
        <v>4</v>
      </c>
      <c r="M161" s="15"/>
      <c r="N161" s="14"/>
      <c r="O161" s="17"/>
      <c r="P161" s="17"/>
      <c r="Q161" s="17"/>
      <c r="R161" s="17"/>
      <c r="S161" s="17"/>
      <c r="T161" s="17"/>
      <c r="U161" s="17"/>
      <c r="V161" s="17"/>
      <c r="W161" s="11">
        <v>4</v>
      </c>
      <c r="X161" s="17"/>
    </row>
    <row r="162" spans="1:24" ht="25.5" x14ac:dyDescent="0.25">
      <c r="A162" s="7" t="s">
        <v>16</v>
      </c>
      <c r="B162" s="8">
        <v>8470405</v>
      </c>
      <c r="C162" s="9" t="s">
        <v>230</v>
      </c>
      <c r="D162" s="10">
        <v>420550</v>
      </c>
      <c r="E162" s="9" t="s">
        <v>18</v>
      </c>
      <c r="F162" s="9" t="s">
        <v>231</v>
      </c>
      <c r="G162" s="11">
        <v>5406</v>
      </c>
      <c r="H162" s="12">
        <v>12906</v>
      </c>
      <c r="I162" s="18">
        <v>4407.63</v>
      </c>
      <c r="J162" s="14"/>
      <c r="K162" s="15"/>
      <c r="L162" s="16">
        <v>8498.3700000000008</v>
      </c>
      <c r="M162" s="15"/>
      <c r="N162" s="14"/>
      <c r="O162" s="17"/>
      <c r="P162" s="17"/>
      <c r="Q162" s="17"/>
      <c r="R162" s="17"/>
      <c r="S162" s="17"/>
      <c r="T162" s="17"/>
      <c r="U162" s="17"/>
      <c r="V162" s="17"/>
      <c r="W162" s="11">
        <v>8498.3700000000008</v>
      </c>
      <c r="X162" s="17"/>
    </row>
    <row r="163" spans="1:24" ht="25.5" x14ac:dyDescent="0.25">
      <c r="A163" s="7" t="s">
        <v>16</v>
      </c>
      <c r="B163" s="8">
        <v>8470405</v>
      </c>
      <c r="C163" s="9" t="s">
        <v>230</v>
      </c>
      <c r="D163" s="10">
        <v>421700</v>
      </c>
      <c r="E163" s="9" t="s">
        <v>36</v>
      </c>
      <c r="F163" s="9" t="s">
        <v>232</v>
      </c>
      <c r="G163" s="11">
        <v>105000</v>
      </c>
      <c r="H163" s="12">
        <v>97500</v>
      </c>
      <c r="I163" s="13"/>
      <c r="J163" s="14"/>
      <c r="K163" s="15"/>
      <c r="L163" s="16">
        <v>97500</v>
      </c>
      <c r="M163" s="15"/>
      <c r="N163" s="14"/>
      <c r="O163" s="17"/>
      <c r="P163" s="17"/>
      <c r="Q163" s="17"/>
      <c r="R163" s="17"/>
      <c r="S163" s="17"/>
      <c r="T163" s="17"/>
      <c r="U163" s="17"/>
      <c r="V163" s="17"/>
      <c r="W163" s="11">
        <v>97500</v>
      </c>
      <c r="X163" s="17"/>
    </row>
    <row r="164" spans="1:24" ht="25.5" x14ac:dyDescent="0.25">
      <c r="A164" s="7" t="s">
        <v>16</v>
      </c>
      <c r="B164" s="8">
        <v>8470405</v>
      </c>
      <c r="C164" s="9" t="s">
        <v>230</v>
      </c>
      <c r="D164" s="10">
        <v>425510</v>
      </c>
      <c r="E164" s="9" t="s">
        <v>20</v>
      </c>
      <c r="F164" s="9" t="s">
        <v>233</v>
      </c>
      <c r="G164" s="11">
        <v>6825</v>
      </c>
      <c r="H164" s="12">
        <v>6825</v>
      </c>
      <c r="I164" s="13"/>
      <c r="J164" s="14"/>
      <c r="K164" s="15"/>
      <c r="L164" s="16">
        <v>6825</v>
      </c>
      <c r="M164" s="15"/>
      <c r="N164" s="14"/>
      <c r="O164" s="17"/>
      <c r="P164" s="17"/>
      <c r="Q164" s="17"/>
      <c r="R164" s="17"/>
      <c r="S164" s="17"/>
      <c r="T164" s="17"/>
      <c r="U164" s="17"/>
      <c r="V164" s="17"/>
      <c r="W164" s="11">
        <v>6825</v>
      </c>
      <c r="X164" s="17"/>
    </row>
    <row r="165" spans="1:24" ht="25.5" x14ac:dyDescent="0.25">
      <c r="A165" s="7" t="s">
        <v>16</v>
      </c>
      <c r="B165" s="8">
        <v>8470405</v>
      </c>
      <c r="C165" s="9" t="s">
        <v>230</v>
      </c>
      <c r="D165" s="10">
        <v>425550</v>
      </c>
      <c r="E165" s="9" t="s">
        <v>22</v>
      </c>
      <c r="F165" s="9" t="s">
        <v>234</v>
      </c>
      <c r="G165" s="11">
        <v>5625</v>
      </c>
      <c r="H165" s="12">
        <v>5625</v>
      </c>
      <c r="I165" s="13"/>
      <c r="J165" s="14"/>
      <c r="K165" s="15"/>
      <c r="L165" s="16">
        <v>5625</v>
      </c>
      <c r="M165" s="15"/>
      <c r="N165" s="14"/>
      <c r="O165" s="17"/>
      <c r="P165" s="17"/>
      <c r="Q165" s="17"/>
      <c r="R165" s="17"/>
      <c r="S165" s="17"/>
      <c r="T165" s="17"/>
      <c r="U165" s="17"/>
      <c r="V165" s="17"/>
      <c r="W165" s="11">
        <v>5625</v>
      </c>
      <c r="X165" s="17"/>
    </row>
    <row r="166" spans="1:24" ht="25.5" x14ac:dyDescent="0.25">
      <c r="A166" s="7" t="s">
        <v>16</v>
      </c>
      <c r="B166" s="8">
        <v>8470405</v>
      </c>
      <c r="C166" s="9" t="s">
        <v>230</v>
      </c>
      <c r="D166" s="10">
        <v>425770</v>
      </c>
      <c r="E166" s="9" t="s">
        <v>119</v>
      </c>
      <c r="F166" s="9" t="s">
        <v>235</v>
      </c>
      <c r="G166" s="11">
        <v>5625</v>
      </c>
      <c r="H166" s="12">
        <v>78625</v>
      </c>
      <c r="I166" s="13"/>
      <c r="J166" s="14"/>
      <c r="K166" s="15"/>
      <c r="L166" s="16">
        <v>78625</v>
      </c>
      <c r="M166" s="15"/>
      <c r="N166" s="14"/>
      <c r="O166" s="17"/>
      <c r="P166" s="17"/>
      <c r="Q166" s="17"/>
      <c r="R166" s="17"/>
      <c r="S166" s="17"/>
      <c r="T166" s="17"/>
      <c r="U166" s="17"/>
      <c r="V166" s="17"/>
      <c r="W166" s="11">
        <v>78625</v>
      </c>
      <c r="X166" s="17"/>
    </row>
    <row r="167" spans="1:24" ht="25.5" x14ac:dyDescent="0.25">
      <c r="A167" s="7" t="s">
        <v>16</v>
      </c>
      <c r="B167" s="8">
        <v>8470405</v>
      </c>
      <c r="C167" s="9" t="s">
        <v>230</v>
      </c>
      <c r="D167" s="10">
        <v>425900</v>
      </c>
      <c r="E167" s="9" t="s">
        <v>24</v>
      </c>
      <c r="F167" s="9" t="s">
        <v>236</v>
      </c>
      <c r="G167" s="11">
        <v>0</v>
      </c>
      <c r="H167" s="12">
        <v>20000</v>
      </c>
      <c r="I167" s="13"/>
      <c r="J167" s="14"/>
      <c r="K167" s="15"/>
      <c r="L167" s="16">
        <v>20000</v>
      </c>
      <c r="M167" s="15"/>
      <c r="N167" s="14"/>
      <c r="O167" s="17"/>
      <c r="P167" s="17"/>
      <c r="Q167" s="17"/>
      <c r="R167" s="17"/>
      <c r="S167" s="17"/>
      <c r="T167" s="17"/>
      <c r="U167" s="17"/>
      <c r="V167" s="17"/>
      <c r="W167" s="11">
        <v>20000</v>
      </c>
      <c r="X167" s="17"/>
    </row>
    <row r="168" spans="1:24" ht="25.5" x14ac:dyDescent="0.25">
      <c r="A168" s="7" t="s">
        <v>16</v>
      </c>
      <c r="B168" s="8">
        <v>8470405</v>
      </c>
      <c r="C168" s="9" t="s">
        <v>230</v>
      </c>
      <c r="D168" s="10">
        <v>427710</v>
      </c>
      <c r="E168" s="9" t="s">
        <v>45</v>
      </c>
      <c r="F168" s="9" t="s">
        <v>237</v>
      </c>
      <c r="G168" s="11">
        <v>20175</v>
      </c>
      <c r="H168" s="12">
        <v>20175</v>
      </c>
      <c r="I168" s="13"/>
      <c r="J168" s="14"/>
      <c r="K168" s="15"/>
      <c r="L168" s="16">
        <v>20175</v>
      </c>
      <c r="M168" s="15"/>
      <c r="N168" s="14"/>
      <c r="O168" s="17"/>
      <c r="P168" s="17"/>
      <c r="Q168" s="17"/>
      <c r="R168" s="17"/>
      <c r="S168" s="17"/>
      <c r="T168" s="17"/>
      <c r="U168" s="17"/>
      <c r="V168" s="17"/>
      <c r="W168" s="11">
        <v>20175</v>
      </c>
      <c r="X168" s="17"/>
    </row>
    <row r="169" spans="1:24" ht="25.5" x14ac:dyDescent="0.25">
      <c r="A169" s="7" t="s">
        <v>16</v>
      </c>
      <c r="B169" s="8">
        <v>8470405</v>
      </c>
      <c r="C169" s="9" t="s">
        <v>230</v>
      </c>
      <c r="D169" s="10">
        <v>428090</v>
      </c>
      <c r="E169" s="9" t="s">
        <v>26</v>
      </c>
      <c r="F169" s="9" t="s">
        <v>238</v>
      </c>
      <c r="G169" s="11">
        <v>0</v>
      </c>
      <c r="H169" s="12">
        <v>100000</v>
      </c>
      <c r="I169" s="13"/>
      <c r="J169" s="14"/>
      <c r="K169" s="15"/>
      <c r="L169" s="16">
        <v>100000</v>
      </c>
      <c r="M169" s="15"/>
      <c r="N169" s="14"/>
      <c r="O169" s="17"/>
      <c r="P169" s="17"/>
      <c r="Q169" s="17"/>
      <c r="R169" s="17"/>
      <c r="S169" s="17"/>
      <c r="T169" s="17"/>
      <c r="U169" s="17"/>
      <c r="V169" s="17"/>
      <c r="W169" s="11">
        <v>100000</v>
      </c>
      <c r="X169" s="17"/>
    </row>
    <row r="170" spans="1:24" ht="25.5" x14ac:dyDescent="0.25">
      <c r="A170" s="7" t="s">
        <v>16</v>
      </c>
      <c r="B170" s="8">
        <v>8470405</v>
      </c>
      <c r="C170" s="9" t="s">
        <v>230</v>
      </c>
      <c r="D170" s="10">
        <v>435350</v>
      </c>
      <c r="E170" s="9" t="s">
        <v>98</v>
      </c>
      <c r="F170" s="9" t="s">
        <v>239</v>
      </c>
      <c r="G170" s="11">
        <v>14400</v>
      </c>
      <c r="H170" s="12">
        <v>14400</v>
      </c>
      <c r="I170" s="13"/>
      <c r="J170" s="14"/>
      <c r="K170" s="15"/>
      <c r="L170" s="16">
        <v>14400</v>
      </c>
      <c r="M170" s="15"/>
      <c r="N170" s="14"/>
      <c r="O170" s="17"/>
      <c r="P170" s="17"/>
      <c r="Q170" s="17"/>
      <c r="R170" s="17"/>
      <c r="S170" s="17"/>
      <c r="T170" s="17"/>
      <c r="U170" s="17"/>
      <c r="V170" s="17"/>
      <c r="W170" s="11">
        <v>14400</v>
      </c>
      <c r="X170" s="17"/>
    </row>
    <row r="171" spans="1:24" ht="25.5" x14ac:dyDescent="0.25">
      <c r="A171" s="7" t="s">
        <v>16</v>
      </c>
      <c r="B171" s="8">
        <v>8470410</v>
      </c>
      <c r="C171" s="9" t="s">
        <v>240</v>
      </c>
      <c r="D171" s="10">
        <v>425770</v>
      </c>
      <c r="E171" s="9" t="s">
        <v>119</v>
      </c>
      <c r="F171" s="9" t="s">
        <v>241</v>
      </c>
      <c r="G171" s="11">
        <v>39600</v>
      </c>
      <c r="H171" s="12">
        <v>84600</v>
      </c>
      <c r="I171" s="18">
        <v>9864.2199999999993</v>
      </c>
      <c r="J171" s="14"/>
      <c r="K171" s="15"/>
      <c r="L171" s="16">
        <v>74735.78</v>
      </c>
      <c r="M171" s="15"/>
      <c r="N171" s="14"/>
      <c r="O171" s="17"/>
      <c r="P171" s="17"/>
      <c r="Q171" s="17"/>
      <c r="R171" s="17"/>
      <c r="S171" s="17"/>
      <c r="T171" s="17"/>
      <c r="U171" s="17"/>
      <c r="V171" s="17"/>
      <c r="W171" s="11">
        <v>74735.78</v>
      </c>
      <c r="X171" s="17"/>
    </row>
    <row r="172" spans="1:24" ht="25.5" x14ac:dyDescent="0.25">
      <c r="A172" s="7" t="s">
        <v>16</v>
      </c>
      <c r="B172" s="8">
        <v>8470410</v>
      </c>
      <c r="C172" s="9" t="s">
        <v>240</v>
      </c>
      <c r="D172" s="10">
        <v>426610</v>
      </c>
      <c r="E172" s="9" t="s">
        <v>39</v>
      </c>
      <c r="F172" s="9" t="s">
        <v>242</v>
      </c>
      <c r="G172" s="11">
        <v>1612</v>
      </c>
      <c r="H172" s="12">
        <v>5579</v>
      </c>
      <c r="I172" s="13"/>
      <c r="J172" s="19">
        <v>1505</v>
      </c>
      <c r="K172" s="15"/>
      <c r="L172" s="16">
        <v>4074</v>
      </c>
      <c r="M172" s="15"/>
      <c r="N172" s="14"/>
      <c r="O172" s="17"/>
      <c r="P172" s="17"/>
      <c r="Q172" s="17"/>
      <c r="R172" s="17"/>
      <c r="S172" s="17"/>
      <c r="T172" s="17"/>
      <c r="U172" s="17"/>
      <c r="V172" s="17"/>
      <c r="W172" s="11">
        <v>4074</v>
      </c>
      <c r="X172" s="17"/>
    </row>
    <row r="173" spans="1:24" ht="25.5" x14ac:dyDescent="0.25">
      <c r="A173" s="7" t="s">
        <v>16</v>
      </c>
      <c r="B173" s="8">
        <v>8470410</v>
      </c>
      <c r="C173" s="9" t="s">
        <v>240</v>
      </c>
      <c r="D173" s="10">
        <v>435310</v>
      </c>
      <c r="E173" s="9" t="s">
        <v>243</v>
      </c>
      <c r="F173" s="9" t="s">
        <v>244</v>
      </c>
      <c r="G173" s="11">
        <v>13288</v>
      </c>
      <c r="H173" s="12">
        <v>13288</v>
      </c>
      <c r="I173" s="13"/>
      <c r="J173" s="19">
        <v>13288</v>
      </c>
      <c r="K173" s="15"/>
      <c r="L173" s="16">
        <v>0</v>
      </c>
      <c r="M173" s="15"/>
      <c r="N173" s="14"/>
      <c r="O173" s="17"/>
      <c r="P173" s="17"/>
      <c r="Q173" s="17"/>
      <c r="R173" s="17"/>
      <c r="S173" s="17"/>
      <c r="T173" s="17"/>
      <c r="U173" s="17"/>
      <c r="V173" s="17"/>
      <c r="W173" s="11">
        <v>0</v>
      </c>
      <c r="X173" s="17"/>
    </row>
    <row r="174" spans="1:24" ht="25.5" x14ac:dyDescent="0.25">
      <c r="A174" s="7" t="s">
        <v>16</v>
      </c>
      <c r="B174" s="8">
        <v>8470410</v>
      </c>
      <c r="C174" s="9" t="s">
        <v>240</v>
      </c>
      <c r="D174" s="10">
        <v>435350</v>
      </c>
      <c r="E174" s="9" t="s">
        <v>98</v>
      </c>
      <c r="F174" s="9" t="s">
        <v>245</v>
      </c>
      <c r="G174" s="11">
        <v>25633</v>
      </c>
      <c r="H174" s="12">
        <v>21666</v>
      </c>
      <c r="I174" s="13"/>
      <c r="J174" s="14"/>
      <c r="K174" s="15"/>
      <c r="L174" s="16">
        <v>21666</v>
      </c>
      <c r="M174" s="15"/>
      <c r="N174" s="14"/>
      <c r="O174" s="17"/>
      <c r="P174" s="17"/>
      <c r="Q174" s="17"/>
      <c r="R174" s="17"/>
      <c r="S174" s="17"/>
      <c r="T174" s="17"/>
      <c r="U174" s="17"/>
      <c r="V174" s="17"/>
      <c r="W174" s="11">
        <v>21666</v>
      </c>
      <c r="X174" s="17"/>
    </row>
    <row r="175" spans="1:24" ht="25.5" x14ac:dyDescent="0.25">
      <c r="A175" s="7" t="s">
        <v>16</v>
      </c>
      <c r="B175" s="8">
        <v>8470415</v>
      </c>
      <c r="C175" s="9" t="s">
        <v>246</v>
      </c>
      <c r="D175" s="10">
        <v>425763</v>
      </c>
      <c r="E175" s="9" t="s">
        <v>53</v>
      </c>
      <c r="F175" s="9" t="s">
        <v>247</v>
      </c>
      <c r="G175" s="11">
        <v>48844</v>
      </c>
      <c r="H175" s="12">
        <v>48844</v>
      </c>
      <c r="I175" s="18">
        <v>4631.5</v>
      </c>
      <c r="J175" s="19">
        <v>2745.75</v>
      </c>
      <c r="K175" s="12">
        <v>-795</v>
      </c>
      <c r="L175" s="16">
        <v>42261.75</v>
      </c>
      <c r="M175" s="15"/>
      <c r="N175" s="14"/>
      <c r="O175" s="17"/>
      <c r="P175" s="17"/>
      <c r="Q175" s="17"/>
      <c r="R175" s="17"/>
      <c r="S175" s="17"/>
      <c r="T175" s="17"/>
      <c r="U175" s="17"/>
      <c r="V175" s="17"/>
      <c r="W175" s="11">
        <v>42261.75</v>
      </c>
      <c r="X175" s="17"/>
    </row>
    <row r="176" spans="1:24" ht="25.5" x14ac:dyDescent="0.25">
      <c r="A176" s="7" t="s">
        <v>16</v>
      </c>
      <c r="B176" s="8">
        <v>8470415</v>
      </c>
      <c r="C176" s="9" t="s">
        <v>246</v>
      </c>
      <c r="D176" s="10">
        <v>425770</v>
      </c>
      <c r="E176" s="9" t="s">
        <v>119</v>
      </c>
      <c r="F176" s="9" t="s">
        <v>248</v>
      </c>
      <c r="G176" s="11">
        <v>119625</v>
      </c>
      <c r="H176" s="12">
        <v>254625</v>
      </c>
      <c r="I176" s="18">
        <v>13682</v>
      </c>
      <c r="J176" s="14"/>
      <c r="K176" s="15"/>
      <c r="L176" s="16">
        <v>240943</v>
      </c>
      <c r="M176" s="15"/>
      <c r="N176" s="14"/>
      <c r="O176" s="17"/>
      <c r="P176" s="17"/>
      <c r="Q176" s="17"/>
      <c r="R176" s="17"/>
      <c r="S176" s="17"/>
      <c r="T176" s="17"/>
      <c r="U176" s="17"/>
      <c r="V176" s="17"/>
      <c r="W176" s="11">
        <v>240943</v>
      </c>
      <c r="X176" s="17"/>
    </row>
    <row r="177" spans="1:24" ht="25.5" x14ac:dyDescent="0.25">
      <c r="A177" s="7" t="s">
        <v>16</v>
      </c>
      <c r="B177" s="8">
        <v>8470415</v>
      </c>
      <c r="C177" s="9" t="s">
        <v>246</v>
      </c>
      <c r="D177" s="10">
        <v>425900</v>
      </c>
      <c r="E177" s="9" t="s">
        <v>24</v>
      </c>
      <c r="F177" s="9" t="s">
        <v>249</v>
      </c>
      <c r="G177" s="11">
        <v>9340</v>
      </c>
      <c r="H177" s="12">
        <v>9340</v>
      </c>
      <c r="I177" s="13"/>
      <c r="J177" s="14"/>
      <c r="K177" s="15"/>
      <c r="L177" s="16">
        <v>9340</v>
      </c>
      <c r="M177" s="15"/>
      <c r="N177" s="14"/>
      <c r="O177" s="17"/>
      <c r="P177" s="17"/>
      <c r="Q177" s="17"/>
      <c r="R177" s="17"/>
      <c r="S177" s="17"/>
      <c r="T177" s="17"/>
      <c r="U177" s="17"/>
      <c r="V177" s="17"/>
      <c r="W177" s="11">
        <v>9340</v>
      </c>
      <c r="X177" s="17"/>
    </row>
    <row r="178" spans="1:24" ht="25.5" x14ac:dyDescent="0.25">
      <c r="A178" s="7" t="s">
        <v>16</v>
      </c>
      <c r="B178" s="8">
        <v>8470415</v>
      </c>
      <c r="C178" s="9" t="s">
        <v>246</v>
      </c>
      <c r="D178" s="10">
        <v>426610</v>
      </c>
      <c r="E178" s="9" t="s">
        <v>39</v>
      </c>
      <c r="F178" s="9" t="s">
        <v>250</v>
      </c>
      <c r="G178" s="11">
        <v>130504</v>
      </c>
      <c r="H178" s="12">
        <v>130504</v>
      </c>
      <c r="I178" s="18">
        <v>37806.980000000003</v>
      </c>
      <c r="J178" s="19">
        <v>-37806.980000000003</v>
      </c>
      <c r="K178" s="12">
        <v>37806.980000000003</v>
      </c>
      <c r="L178" s="16">
        <v>92697.02</v>
      </c>
      <c r="M178" s="15"/>
      <c r="N178" s="14"/>
      <c r="O178" s="17"/>
      <c r="P178" s="17"/>
      <c r="Q178" s="17"/>
      <c r="R178" s="17"/>
      <c r="S178" s="17"/>
      <c r="T178" s="17"/>
      <c r="U178" s="17"/>
      <c r="V178" s="17"/>
      <c r="W178" s="11">
        <v>92697.02</v>
      </c>
      <c r="X178" s="17"/>
    </row>
    <row r="179" spans="1:24" ht="25.5" x14ac:dyDescent="0.25">
      <c r="A179" s="7" t="s">
        <v>16</v>
      </c>
      <c r="B179" s="8">
        <v>8470415</v>
      </c>
      <c r="C179" s="9" t="s">
        <v>246</v>
      </c>
      <c r="D179" s="10">
        <v>432209</v>
      </c>
      <c r="E179" s="9" t="s">
        <v>124</v>
      </c>
      <c r="F179" s="9" t="s">
        <v>251</v>
      </c>
      <c r="G179" s="11">
        <v>1954697</v>
      </c>
      <c r="H179" s="12">
        <v>965300</v>
      </c>
      <c r="I179" s="18">
        <v>3300</v>
      </c>
      <c r="J179" s="19">
        <v>39325</v>
      </c>
      <c r="K179" s="12">
        <v>0</v>
      </c>
      <c r="L179" s="16">
        <v>922675</v>
      </c>
      <c r="M179" s="15"/>
      <c r="N179" s="14"/>
      <c r="O179" s="17"/>
      <c r="P179" s="17"/>
      <c r="Q179" s="17"/>
      <c r="R179" s="17"/>
      <c r="S179" s="17"/>
      <c r="T179" s="17"/>
      <c r="U179" s="17"/>
      <c r="V179" s="17"/>
      <c r="W179" s="11">
        <v>922675</v>
      </c>
      <c r="X179" s="17"/>
    </row>
    <row r="180" spans="1:24" ht="25.5" x14ac:dyDescent="0.25">
      <c r="A180" s="7" t="s">
        <v>16</v>
      </c>
      <c r="B180" s="8">
        <v>8470415</v>
      </c>
      <c r="C180" s="9" t="s">
        <v>246</v>
      </c>
      <c r="D180" s="10">
        <v>435350</v>
      </c>
      <c r="E180" s="9" t="s">
        <v>98</v>
      </c>
      <c r="F180" s="9" t="s">
        <v>252</v>
      </c>
      <c r="G180" s="11">
        <v>5138</v>
      </c>
      <c r="H180" s="12">
        <v>35138</v>
      </c>
      <c r="I180" s="13"/>
      <c r="J180" s="14"/>
      <c r="K180" s="15"/>
      <c r="L180" s="16">
        <v>35138</v>
      </c>
      <c r="M180" s="15"/>
      <c r="N180" s="14"/>
      <c r="O180" s="17"/>
      <c r="P180" s="17"/>
      <c r="Q180" s="17"/>
      <c r="R180" s="17"/>
      <c r="S180" s="17"/>
      <c r="T180" s="17"/>
      <c r="U180" s="17"/>
      <c r="V180" s="17"/>
      <c r="W180" s="11">
        <v>35138</v>
      </c>
      <c r="X180" s="17"/>
    </row>
    <row r="181" spans="1:24" ht="25.5" x14ac:dyDescent="0.25">
      <c r="A181" s="7" t="s">
        <v>16</v>
      </c>
      <c r="B181" s="8">
        <v>8470415</v>
      </c>
      <c r="C181" s="9" t="s">
        <v>246</v>
      </c>
      <c r="D181" s="10">
        <v>435508</v>
      </c>
      <c r="E181" s="9" t="s">
        <v>100</v>
      </c>
      <c r="F181" s="9" t="s">
        <v>253</v>
      </c>
      <c r="G181" s="11">
        <v>440614</v>
      </c>
      <c r="H181" s="12">
        <v>344400</v>
      </c>
      <c r="I181" s="18">
        <v>243237.12</v>
      </c>
      <c r="J181" s="19">
        <v>35309.440000000002</v>
      </c>
      <c r="K181" s="12">
        <v>64783.87</v>
      </c>
      <c r="L181" s="16">
        <v>1069.5699999999899</v>
      </c>
      <c r="M181" s="15"/>
      <c r="N181" s="14"/>
      <c r="O181" s="17"/>
      <c r="P181" s="17"/>
      <c r="Q181" s="17"/>
      <c r="R181" s="17"/>
      <c r="S181" s="17"/>
      <c r="T181" s="17"/>
      <c r="U181" s="17"/>
      <c r="V181" s="17"/>
      <c r="W181" s="11">
        <v>1069.5699999999899</v>
      </c>
      <c r="X181" s="17"/>
    </row>
    <row r="182" spans="1:24" ht="25.5" x14ac:dyDescent="0.25">
      <c r="A182" s="7" t="s">
        <v>16</v>
      </c>
      <c r="B182" s="8">
        <v>8470425</v>
      </c>
      <c r="C182" s="9" t="s">
        <v>254</v>
      </c>
      <c r="D182" s="10">
        <v>425510</v>
      </c>
      <c r="E182" s="9" t="s">
        <v>20</v>
      </c>
      <c r="F182" s="9" t="s">
        <v>255</v>
      </c>
      <c r="G182" s="11">
        <v>21259</v>
      </c>
      <c r="H182" s="12">
        <v>21259</v>
      </c>
      <c r="I182" s="18">
        <v>27828.81</v>
      </c>
      <c r="J182" s="19">
        <v>-11600</v>
      </c>
      <c r="K182" s="12">
        <v>0</v>
      </c>
      <c r="L182" s="16">
        <v>5030.1899999999996</v>
      </c>
      <c r="M182" s="15"/>
      <c r="N182" s="14"/>
      <c r="O182" s="17"/>
      <c r="P182" s="17"/>
      <c r="Q182" s="17"/>
      <c r="R182" s="17"/>
      <c r="S182" s="17"/>
      <c r="T182" s="17"/>
      <c r="U182" s="17"/>
      <c r="V182" s="17"/>
      <c r="W182" s="11">
        <v>5030.1899999999996</v>
      </c>
      <c r="X182" s="17"/>
    </row>
    <row r="183" spans="1:24" ht="25.5" x14ac:dyDescent="0.25">
      <c r="A183" s="7" t="s">
        <v>16</v>
      </c>
      <c r="B183" s="8">
        <v>8470425</v>
      </c>
      <c r="C183" s="9" t="s">
        <v>254</v>
      </c>
      <c r="D183" s="10">
        <v>425550</v>
      </c>
      <c r="E183" s="9" t="s">
        <v>22</v>
      </c>
      <c r="F183" s="9" t="s">
        <v>256</v>
      </c>
      <c r="G183" s="11">
        <v>54661</v>
      </c>
      <c r="H183" s="12">
        <v>54661</v>
      </c>
      <c r="I183" s="18">
        <v>2727.37</v>
      </c>
      <c r="J183" s="14"/>
      <c r="K183" s="15"/>
      <c r="L183" s="16">
        <v>51933.63</v>
      </c>
      <c r="M183" s="15"/>
      <c r="N183" s="14"/>
      <c r="O183" s="17"/>
      <c r="P183" s="17"/>
      <c r="Q183" s="17"/>
      <c r="R183" s="17"/>
      <c r="S183" s="17"/>
      <c r="T183" s="17"/>
      <c r="U183" s="17"/>
      <c r="V183" s="17"/>
      <c r="W183" s="11">
        <v>51933.63</v>
      </c>
      <c r="X183" s="17"/>
    </row>
    <row r="184" spans="1:24" ht="25.5" x14ac:dyDescent="0.25">
      <c r="A184" s="7" t="s">
        <v>16</v>
      </c>
      <c r="B184" s="8">
        <v>8470425</v>
      </c>
      <c r="C184" s="9" t="s">
        <v>254</v>
      </c>
      <c r="D184" s="10">
        <v>425770</v>
      </c>
      <c r="E184" s="9" t="s">
        <v>119</v>
      </c>
      <c r="F184" s="9" t="s">
        <v>257</v>
      </c>
      <c r="G184" s="11">
        <v>39895</v>
      </c>
      <c r="H184" s="12">
        <v>159895</v>
      </c>
      <c r="I184" s="13"/>
      <c r="J184" s="14"/>
      <c r="K184" s="15"/>
      <c r="L184" s="16">
        <v>159895</v>
      </c>
      <c r="M184" s="15"/>
      <c r="N184" s="14"/>
      <c r="O184" s="17"/>
      <c r="P184" s="17"/>
      <c r="Q184" s="17"/>
      <c r="R184" s="17"/>
      <c r="S184" s="17"/>
      <c r="T184" s="17"/>
      <c r="U184" s="17"/>
      <c r="V184" s="17"/>
      <c r="W184" s="11">
        <v>159895</v>
      </c>
      <c r="X184" s="17"/>
    </row>
    <row r="185" spans="1:24" ht="25.5" x14ac:dyDescent="0.25">
      <c r="A185" s="7" t="s">
        <v>16</v>
      </c>
      <c r="B185" s="8">
        <v>8470425</v>
      </c>
      <c r="C185" s="9" t="s">
        <v>254</v>
      </c>
      <c r="D185" s="10">
        <v>425900</v>
      </c>
      <c r="E185" s="9" t="s">
        <v>24</v>
      </c>
      <c r="F185" s="9" t="s">
        <v>258</v>
      </c>
      <c r="G185" s="11">
        <v>2973</v>
      </c>
      <c r="H185" s="12">
        <v>2973</v>
      </c>
      <c r="I185" s="13"/>
      <c r="J185" s="14"/>
      <c r="K185" s="15"/>
      <c r="L185" s="16">
        <v>2973</v>
      </c>
      <c r="M185" s="15"/>
      <c r="N185" s="14"/>
      <c r="O185" s="17"/>
      <c r="P185" s="17"/>
      <c r="Q185" s="17"/>
      <c r="R185" s="17"/>
      <c r="S185" s="17"/>
      <c r="T185" s="17"/>
      <c r="U185" s="17"/>
      <c r="V185" s="17"/>
      <c r="W185" s="11">
        <v>2973</v>
      </c>
      <c r="X185" s="17"/>
    </row>
    <row r="186" spans="1:24" ht="25.5" x14ac:dyDescent="0.25">
      <c r="A186" s="7" t="s">
        <v>16</v>
      </c>
      <c r="B186" s="8">
        <v>8470425</v>
      </c>
      <c r="C186" s="9" t="s">
        <v>254</v>
      </c>
      <c r="D186" s="10">
        <v>426610</v>
      </c>
      <c r="E186" s="9" t="s">
        <v>39</v>
      </c>
      <c r="F186" s="9" t="s">
        <v>259</v>
      </c>
      <c r="G186" s="11">
        <v>22498</v>
      </c>
      <c r="H186" s="12">
        <v>22498</v>
      </c>
      <c r="I186" s="13"/>
      <c r="J186" s="14"/>
      <c r="K186" s="15"/>
      <c r="L186" s="16">
        <v>22498</v>
      </c>
      <c r="M186" s="15"/>
      <c r="N186" s="14"/>
      <c r="O186" s="17"/>
      <c r="P186" s="17"/>
      <c r="Q186" s="17"/>
      <c r="R186" s="17"/>
      <c r="S186" s="17"/>
      <c r="T186" s="17"/>
      <c r="U186" s="17"/>
      <c r="V186" s="17"/>
      <c r="W186" s="11">
        <v>22498</v>
      </c>
      <c r="X186" s="17"/>
    </row>
    <row r="187" spans="1:24" ht="25.5" x14ac:dyDescent="0.25">
      <c r="A187" s="7" t="s">
        <v>16</v>
      </c>
      <c r="B187" s="8">
        <v>8470425</v>
      </c>
      <c r="C187" s="9" t="s">
        <v>254</v>
      </c>
      <c r="D187" s="10">
        <v>428090</v>
      </c>
      <c r="E187" s="9" t="s">
        <v>26</v>
      </c>
      <c r="F187" s="9" t="s">
        <v>260</v>
      </c>
      <c r="G187" s="11">
        <v>6445</v>
      </c>
      <c r="H187" s="12">
        <v>6445</v>
      </c>
      <c r="I187" s="13"/>
      <c r="J187" s="14"/>
      <c r="K187" s="15"/>
      <c r="L187" s="16">
        <v>6445</v>
      </c>
      <c r="M187" s="15"/>
      <c r="N187" s="14"/>
      <c r="O187" s="17"/>
      <c r="P187" s="17"/>
      <c r="Q187" s="17"/>
      <c r="R187" s="17"/>
      <c r="S187" s="17"/>
      <c r="T187" s="17"/>
      <c r="U187" s="17"/>
      <c r="V187" s="17"/>
      <c r="W187" s="11">
        <v>6445</v>
      </c>
      <c r="X187" s="17"/>
    </row>
    <row r="188" spans="1:24" ht="25.5" x14ac:dyDescent="0.25">
      <c r="A188" s="7" t="s">
        <v>16</v>
      </c>
      <c r="B188" s="8">
        <v>8470425</v>
      </c>
      <c r="C188" s="9" t="s">
        <v>254</v>
      </c>
      <c r="D188" s="10">
        <v>435350</v>
      </c>
      <c r="E188" s="9" t="s">
        <v>98</v>
      </c>
      <c r="F188" s="9" t="s">
        <v>261</v>
      </c>
      <c r="G188" s="11">
        <v>36000</v>
      </c>
      <c r="H188" s="12">
        <v>76000</v>
      </c>
      <c r="I188" s="13"/>
      <c r="J188" s="14"/>
      <c r="K188" s="15"/>
      <c r="L188" s="16">
        <v>76000</v>
      </c>
      <c r="M188" s="15"/>
      <c r="N188" s="14"/>
      <c r="O188" s="17"/>
      <c r="P188" s="17"/>
      <c r="Q188" s="17"/>
      <c r="R188" s="17"/>
      <c r="S188" s="17"/>
      <c r="T188" s="17"/>
      <c r="U188" s="17"/>
      <c r="V188" s="17"/>
      <c r="W188" s="11">
        <v>76000</v>
      </c>
      <c r="X188" s="17"/>
    </row>
    <row r="189" spans="1:24" ht="25.5" x14ac:dyDescent="0.25">
      <c r="A189" s="7" t="s">
        <v>16</v>
      </c>
      <c r="B189" s="8">
        <v>8470425</v>
      </c>
      <c r="C189" s="9" t="s">
        <v>254</v>
      </c>
      <c r="D189" s="10">
        <v>435508</v>
      </c>
      <c r="E189" s="9" t="s">
        <v>100</v>
      </c>
      <c r="F189" s="9" t="s">
        <v>262</v>
      </c>
      <c r="G189" s="11">
        <v>122650</v>
      </c>
      <c r="H189" s="12">
        <v>169693</v>
      </c>
      <c r="I189" s="13"/>
      <c r="J189" s="19">
        <v>1500</v>
      </c>
      <c r="K189" s="12">
        <v>5500</v>
      </c>
      <c r="L189" s="16">
        <v>162693</v>
      </c>
      <c r="M189" s="15"/>
      <c r="N189" s="14"/>
      <c r="O189" s="17"/>
      <c r="P189" s="17"/>
      <c r="Q189" s="17"/>
      <c r="R189" s="17"/>
      <c r="S189" s="17"/>
      <c r="T189" s="17"/>
      <c r="U189" s="17"/>
      <c r="V189" s="17"/>
      <c r="W189" s="11">
        <v>162693</v>
      </c>
      <c r="X189" s="17"/>
    </row>
    <row r="190" spans="1:24" ht="25.5" x14ac:dyDescent="0.25">
      <c r="A190" s="7" t="s">
        <v>16</v>
      </c>
      <c r="B190" s="8">
        <v>8470430</v>
      </c>
      <c r="C190" s="9" t="s">
        <v>263</v>
      </c>
      <c r="D190" s="10">
        <v>425763</v>
      </c>
      <c r="E190" s="9" t="s">
        <v>53</v>
      </c>
      <c r="F190" s="9" t="s">
        <v>264</v>
      </c>
      <c r="G190" s="11">
        <v>0</v>
      </c>
      <c r="H190" s="12">
        <v>25238</v>
      </c>
      <c r="I190" s="13"/>
      <c r="J190" s="14"/>
      <c r="K190" s="15"/>
      <c r="L190" s="16">
        <v>25238</v>
      </c>
      <c r="M190" s="15"/>
      <c r="N190" s="14"/>
      <c r="O190" s="17"/>
      <c r="P190" s="17"/>
      <c r="Q190" s="17"/>
      <c r="R190" s="17"/>
      <c r="S190" s="17"/>
      <c r="T190" s="17"/>
      <c r="U190" s="17"/>
      <c r="V190" s="17"/>
      <c r="W190" s="11">
        <v>25238</v>
      </c>
      <c r="X190" s="17"/>
    </row>
    <row r="191" spans="1:24" ht="25.5" x14ac:dyDescent="0.25">
      <c r="A191" s="7" t="s">
        <v>16</v>
      </c>
      <c r="B191" s="8">
        <v>8470430</v>
      </c>
      <c r="C191" s="9" t="s">
        <v>263</v>
      </c>
      <c r="D191" s="10">
        <v>425770</v>
      </c>
      <c r="E191" s="9" t="s">
        <v>119</v>
      </c>
      <c r="F191" s="9" t="s">
        <v>265</v>
      </c>
      <c r="G191" s="11">
        <v>44724</v>
      </c>
      <c r="H191" s="12">
        <v>19486</v>
      </c>
      <c r="I191" s="18">
        <v>19485.36</v>
      </c>
      <c r="J191" s="14"/>
      <c r="K191" s="15"/>
      <c r="L191" s="16">
        <v>0.63999999999941803</v>
      </c>
      <c r="M191" s="15"/>
      <c r="N191" s="14"/>
      <c r="O191" s="17"/>
      <c r="P191" s="17"/>
      <c r="Q191" s="17"/>
      <c r="R191" s="17"/>
      <c r="S191" s="17"/>
      <c r="T191" s="17"/>
      <c r="U191" s="17"/>
      <c r="V191" s="17"/>
      <c r="W191" s="11">
        <v>0.63999999999941803</v>
      </c>
      <c r="X191" s="17"/>
    </row>
    <row r="192" spans="1:24" ht="25.5" x14ac:dyDescent="0.25">
      <c r="A192" s="7" t="s">
        <v>16</v>
      </c>
      <c r="B192" s="8">
        <v>8470430</v>
      </c>
      <c r="C192" s="9" t="s">
        <v>263</v>
      </c>
      <c r="D192" s="10">
        <v>426610</v>
      </c>
      <c r="E192" s="9" t="s">
        <v>39</v>
      </c>
      <c r="F192" s="9" t="s">
        <v>266</v>
      </c>
      <c r="G192" s="11">
        <v>22981</v>
      </c>
      <c r="H192" s="12">
        <v>22981</v>
      </c>
      <c r="I192" s="13"/>
      <c r="J192" s="19">
        <v>0</v>
      </c>
      <c r="K192" s="12">
        <v>6482.85</v>
      </c>
      <c r="L192" s="16">
        <v>16498.150000000001</v>
      </c>
      <c r="M192" s="15"/>
      <c r="N192" s="14"/>
      <c r="O192" s="17"/>
      <c r="P192" s="17"/>
      <c r="Q192" s="17"/>
      <c r="R192" s="17"/>
      <c r="S192" s="17"/>
      <c r="T192" s="17"/>
      <c r="U192" s="17"/>
      <c r="V192" s="17"/>
      <c r="W192" s="11">
        <v>16498.150000000001</v>
      </c>
      <c r="X192" s="17"/>
    </row>
    <row r="193" spans="1:24" ht="25.5" x14ac:dyDescent="0.25">
      <c r="A193" s="7" t="s">
        <v>16</v>
      </c>
      <c r="B193" s="8">
        <v>8470430</v>
      </c>
      <c r="C193" s="9" t="s">
        <v>263</v>
      </c>
      <c r="D193" s="10">
        <v>432209</v>
      </c>
      <c r="E193" s="9" t="s">
        <v>124</v>
      </c>
      <c r="F193" s="9" t="s">
        <v>267</v>
      </c>
      <c r="G193" s="11">
        <v>1500</v>
      </c>
      <c r="H193" s="12">
        <v>1500</v>
      </c>
      <c r="I193" s="18">
        <v>878.9</v>
      </c>
      <c r="J193" s="14"/>
      <c r="K193" s="15"/>
      <c r="L193" s="16">
        <v>621.1</v>
      </c>
      <c r="M193" s="15"/>
      <c r="N193" s="14"/>
      <c r="O193" s="17"/>
      <c r="P193" s="17"/>
      <c r="Q193" s="17"/>
      <c r="R193" s="17"/>
      <c r="S193" s="17"/>
      <c r="T193" s="17"/>
      <c r="U193" s="17"/>
      <c r="V193" s="17"/>
      <c r="W193" s="11">
        <v>621.1</v>
      </c>
      <c r="X193" s="17"/>
    </row>
    <row r="194" spans="1:24" ht="25.5" x14ac:dyDescent="0.25">
      <c r="A194" s="7" t="s">
        <v>16</v>
      </c>
      <c r="B194" s="8">
        <v>8470430</v>
      </c>
      <c r="C194" s="9" t="s">
        <v>263</v>
      </c>
      <c r="D194" s="10">
        <v>435508</v>
      </c>
      <c r="E194" s="9" t="s">
        <v>100</v>
      </c>
      <c r="F194" s="9" t="s">
        <v>268</v>
      </c>
      <c r="G194" s="11">
        <v>9790</v>
      </c>
      <c r="H194" s="12">
        <v>9790</v>
      </c>
      <c r="I194" s="13"/>
      <c r="J194" s="14"/>
      <c r="K194" s="15"/>
      <c r="L194" s="16">
        <v>9790</v>
      </c>
      <c r="M194" s="15"/>
      <c r="N194" s="14"/>
      <c r="O194" s="17"/>
      <c r="P194" s="17"/>
      <c r="Q194" s="17"/>
      <c r="R194" s="17"/>
      <c r="S194" s="17"/>
      <c r="T194" s="17"/>
      <c r="U194" s="17"/>
      <c r="V194" s="17"/>
      <c r="W194" s="11">
        <v>9790</v>
      </c>
      <c r="X194" s="17"/>
    </row>
    <row r="195" spans="1:24" ht="25.5" x14ac:dyDescent="0.25">
      <c r="A195" s="7" t="s">
        <v>16</v>
      </c>
      <c r="B195" s="8">
        <v>8470435</v>
      </c>
      <c r="C195" s="9" t="s">
        <v>269</v>
      </c>
      <c r="D195" s="10">
        <v>429900</v>
      </c>
      <c r="E195" s="9" t="s">
        <v>270</v>
      </c>
      <c r="F195" s="9" t="s">
        <v>271</v>
      </c>
      <c r="G195" s="11">
        <v>0</v>
      </c>
      <c r="H195" s="12">
        <v>2000</v>
      </c>
      <c r="I195" s="13"/>
      <c r="J195" s="14"/>
      <c r="K195" s="15"/>
      <c r="L195" s="16">
        <v>2000</v>
      </c>
      <c r="M195" s="15"/>
      <c r="N195" s="14"/>
      <c r="O195" s="17"/>
      <c r="P195" s="17"/>
      <c r="Q195" s="17"/>
      <c r="R195" s="17"/>
      <c r="S195" s="17"/>
      <c r="T195" s="17"/>
      <c r="U195" s="17"/>
      <c r="V195" s="17"/>
      <c r="W195" s="11">
        <v>2000</v>
      </c>
      <c r="X195" s="17"/>
    </row>
    <row r="196" spans="1:24" ht="25.5" x14ac:dyDescent="0.25">
      <c r="A196" s="7" t="s">
        <v>16</v>
      </c>
      <c r="B196" s="8">
        <v>8470440</v>
      </c>
      <c r="C196" s="9" t="s">
        <v>272</v>
      </c>
      <c r="D196" s="10">
        <v>420550</v>
      </c>
      <c r="E196" s="9" t="s">
        <v>18</v>
      </c>
      <c r="F196" s="9" t="s">
        <v>273</v>
      </c>
      <c r="G196" s="11">
        <v>20593</v>
      </c>
      <c r="H196" s="12">
        <v>20593</v>
      </c>
      <c r="I196" s="13"/>
      <c r="J196" s="19">
        <v>20593</v>
      </c>
      <c r="K196" s="15"/>
      <c r="L196" s="16">
        <v>0</v>
      </c>
      <c r="M196" s="15"/>
      <c r="N196" s="14"/>
      <c r="O196" s="17"/>
      <c r="P196" s="17"/>
      <c r="Q196" s="17"/>
      <c r="R196" s="17"/>
      <c r="S196" s="17"/>
      <c r="T196" s="17"/>
      <c r="U196" s="17"/>
      <c r="V196" s="17"/>
      <c r="W196" s="11">
        <v>0</v>
      </c>
      <c r="X196" s="17"/>
    </row>
    <row r="197" spans="1:24" ht="25.5" x14ac:dyDescent="0.25">
      <c r="A197" s="7" t="s">
        <v>16</v>
      </c>
      <c r="B197" s="8">
        <v>8470440</v>
      </c>
      <c r="C197" s="9" t="s">
        <v>272</v>
      </c>
      <c r="D197" s="10">
        <v>425510</v>
      </c>
      <c r="E197" s="9" t="s">
        <v>20</v>
      </c>
      <c r="F197" s="9" t="s">
        <v>274</v>
      </c>
      <c r="G197" s="11">
        <v>11270</v>
      </c>
      <c r="H197" s="12">
        <v>11270</v>
      </c>
      <c r="I197" s="13"/>
      <c r="J197" s="19">
        <v>11270</v>
      </c>
      <c r="K197" s="15"/>
      <c r="L197" s="16">
        <v>0</v>
      </c>
      <c r="M197" s="15"/>
      <c r="N197" s="14"/>
      <c r="O197" s="17"/>
      <c r="P197" s="17"/>
      <c r="Q197" s="17"/>
      <c r="R197" s="17"/>
      <c r="S197" s="17"/>
      <c r="T197" s="17"/>
      <c r="U197" s="17"/>
      <c r="V197" s="17"/>
      <c r="W197" s="11">
        <v>0</v>
      </c>
      <c r="X197" s="17"/>
    </row>
    <row r="198" spans="1:24" ht="25.5" x14ac:dyDescent="0.25">
      <c r="A198" s="7" t="s">
        <v>16</v>
      </c>
      <c r="B198" s="8">
        <v>8470440</v>
      </c>
      <c r="C198" s="9" t="s">
        <v>272</v>
      </c>
      <c r="D198" s="10">
        <v>425550</v>
      </c>
      <c r="E198" s="9" t="s">
        <v>22</v>
      </c>
      <c r="F198" s="9" t="s">
        <v>275</v>
      </c>
      <c r="G198" s="11">
        <v>25688</v>
      </c>
      <c r="H198" s="12">
        <v>25688</v>
      </c>
      <c r="I198" s="18">
        <v>7049.25</v>
      </c>
      <c r="J198" s="14"/>
      <c r="K198" s="15"/>
      <c r="L198" s="16">
        <v>18638.75</v>
      </c>
      <c r="M198" s="15"/>
      <c r="N198" s="14"/>
      <c r="O198" s="17"/>
      <c r="P198" s="17"/>
      <c r="Q198" s="17"/>
      <c r="R198" s="17"/>
      <c r="S198" s="17"/>
      <c r="T198" s="17"/>
      <c r="U198" s="17"/>
      <c r="V198" s="17"/>
      <c r="W198" s="11">
        <v>18638.75</v>
      </c>
      <c r="X198" s="17"/>
    </row>
    <row r="199" spans="1:24" ht="25.5" x14ac:dyDescent="0.25">
      <c r="A199" s="7" t="s">
        <v>16</v>
      </c>
      <c r="B199" s="8">
        <v>8470440</v>
      </c>
      <c r="C199" s="9" t="s">
        <v>272</v>
      </c>
      <c r="D199" s="10">
        <v>425770</v>
      </c>
      <c r="E199" s="9" t="s">
        <v>119</v>
      </c>
      <c r="F199" s="9" t="s">
        <v>276</v>
      </c>
      <c r="G199" s="11">
        <v>82500</v>
      </c>
      <c r="H199" s="12">
        <v>82500</v>
      </c>
      <c r="I199" s="18">
        <v>11956.31</v>
      </c>
      <c r="J199" s="14"/>
      <c r="K199" s="15"/>
      <c r="L199" s="16">
        <v>70543.69</v>
      </c>
      <c r="M199" s="15"/>
      <c r="N199" s="14"/>
      <c r="O199" s="17"/>
      <c r="P199" s="17"/>
      <c r="Q199" s="17"/>
      <c r="R199" s="17"/>
      <c r="S199" s="17"/>
      <c r="T199" s="17"/>
      <c r="U199" s="17"/>
      <c r="V199" s="17"/>
      <c r="W199" s="11">
        <v>70543.69</v>
      </c>
      <c r="X199" s="17"/>
    </row>
    <row r="200" spans="1:24" ht="25.5" x14ac:dyDescent="0.25">
      <c r="A200" s="7" t="s">
        <v>16</v>
      </c>
      <c r="B200" s="8">
        <v>8470440</v>
      </c>
      <c r="C200" s="9" t="s">
        <v>272</v>
      </c>
      <c r="D200" s="10">
        <v>426610</v>
      </c>
      <c r="E200" s="9" t="s">
        <v>39</v>
      </c>
      <c r="F200" s="9" t="s">
        <v>277</v>
      </c>
      <c r="G200" s="11">
        <v>22589</v>
      </c>
      <c r="H200" s="12">
        <v>22589</v>
      </c>
      <c r="I200" s="18">
        <v>27190.1</v>
      </c>
      <c r="J200" s="19">
        <v>-13590.1</v>
      </c>
      <c r="K200" s="12">
        <v>0</v>
      </c>
      <c r="L200" s="16">
        <v>8989</v>
      </c>
      <c r="M200" s="15"/>
      <c r="N200" s="14"/>
      <c r="O200" s="17"/>
      <c r="P200" s="17"/>
      <c r="Q200" s="17"/>
      <c r="R200" s="17"/>
      <c r="S200" s="17"/>
      <c r="T200" s="17"/>
      <c r="U200" s="17"/>
      <c r="V200" s="17"/>
      <c r="W200" s="11">
        <v>8989</v>
      </c>
      <c r="X200" s="17"/>
    </row>
    <row r="201" spans="1:24" ht="25.5" x14ac:dyDescent="0.25">
      <c r="A201" s="7" t="s">
        <v>16</v>
      </c>
      <c r="B201" s="8">
        <v>8470440</v>
      </c>
      <c r="C201" s="9" t="s">
        <v>272</v>
      </c>
      <c r="D201" s="10">
        <v>427710</v>
      </c>
      <c r="E201" s="9" t="s">
        <v>45</v>
      </c>
      <c r="F201" s="9" t="s">
        <v>278</v>
      </c>
      <c r="G201" s="11">
        <v>1942</v>
      </c>
      <c r="H201" s="12">
        <v>1942</v>
      </c>
      <c r="I201" s="13"/>
      <c r="J201" s="19">
        <v>0</v>
      </c>
      <c r="K201" s="15"/>
      <c r="L201" s="16">
        <v>1942</v>
      </c>
      <c r="M201" s="15"/>
      <c r="N201" s="14"/>
      <c r="O201" s="17"/>
      <c r="P201" s="17"/>
      <c r="Q201" s="17"/>
      <c r="R201" s="17"/>
      <c r="S201" s="17"/>
      <c r="T201" s="17"/>
      <c r="U201" s="17"/>
      <c r="V201" s="17"/>
      <c r="W201" s="11">
        <v>1942</v>
      </c>
      <c r="X201" s="17"/>
    </row>
    <row r="202" spans="1:24" ht="25.5" x14ac:dyDescent="0.25">
      <c r="A202" s="7" t="s">
        <v>16</v>
      </c>
      <c r="B202" s="8">
        <v>8470440</v>
      </c>
      <c r="C202" s="9" t="s">
        <v>272</v>
      </c>
      <c r="D202" s="10">
        <v>428090</v>
      </c>
      <c r="E202" s="9" t="s">
        <v>26</v>
      </c>
      <c r="F202" s="9" t="s">
        <v>279</v>
      </c>
      <c r="G202" s="11">
        <v>4219</v>
      </c>
      <c r="H202" s="12">
        <v>4219</v>
      </c>
      <c r="I202" s="13"/>
      <c r="J202" s="19">
        <v>4219</v>
      </c>
      <c r="K202" s="15"/>
      <c r="L202" s="16">
        <v>0</v>
      </c>
      <c r="M202" s="15"/>
      <c r="N202" s="14"/>
      <c r="O202" s="17"/>
      <c r="P202" s="17"/>
      <c r="Q202" s="17"/>
      <c r="R202" s="17"/>
      <c r="S202" s="17"/>
      <c r="T202" s="17"/>
      <c r="U202" s="17"/>
      <c r="V202" s="17"/>
      <c r="W202" s="11">
        <v>0</v>
      </c>
      <c r="X202" s="17"/>
    </row>
    <row r="203" spans="1:24" ht="25.5" x14ac:dyDescent="0.25">
      <c r="A203" s="7" t="s">
        <v>16</v>
      </c>
      <c r="B203" s="8">
        <v>8470440</v>
      </c>
      <c r="C203" s="9" t="s">
        <v>272</v>
      </c>
      <c r="D203" s="10">
        <v>428640</v>
      </c>
      <c r="E203" s="9" t="s">
        <v>59</v>
      </c>
      <c r="F203" s="9" t="s">
        <v>280</v>
      </c>
      <c r="G203" s="11">
        <v>2174</v>
      </c>
      <c r="H203" s="12">
        <v>2174</v>
      </c>
      <c r="I203" s="13"/>
      <c r="J203" s="19">
        <v>2174</v>
      </c>
      <c r="K203" s="15"/>
      <c r="L203" s="16">
        <v>0</v>
      </c>
      <c r="M203" s="15"/>
      <c r="N203" s="14"/>
      <c r="O203" s="17"/>
      <c r="P203" s="17"/>
      <c r="Q203" s="17"/>
      <c r="R203" s="17"/>
      <c r="S203" s="17"/>
      <c r="T203" s="17"/>
      <c r="U203" s="17"/>
      <c r="V203" s="17"/>
      <c r="W203" s="11">
        <v>0</v>
      </c>
      <c r="X203" s="17"/>
    </row>
    <row r="204" spans="1:24" ht="25.5" x14ac:dyDescent="0.25">
      <c r="A204" s="7" t="s">
        <v>16</v>
      </c>
      <c r="B204" s="8">
        <v>8470440</v>
      </c>
      <c r="C204" s="9" t="s">
        <v>272</v>
      </c>
      <c r="D204" s="10">
        <v>435350</v>
      </c>
      <c r="E204" s="9" t="s">
        <v>98</v>
      </c>
      <c r="F204" s="9" t="s">
        <v>281</v>
      </c>
      <c r="G204" s="11">
        <v>9600</v>
      </c>
      <c r="H204" s="12">
        <v>29600</v>
      </c>
      <c r="I204" s="13"/>
      <c r="J204" s="19">
        <v>29600</v>
      </c>
      <c r="K204" s="15"/>
      <c r="L204" s="16">
        <v>0</v>
      </c>
      <c r="M204" s="15"/>
      <c r="N204" s="14"/>
      <c r="O204" s="17"/>
      <c r="P204" s="17"/>
      <c r="Q204" s="17"/>
      <c r="R204" s="17"/>
      <c r="S204" s="17"/>
      <c r="T204" s="17"/>
      <c r="U204" s="17"/>
      <c r="V204" s="17"/>
      <c r="W204" s="11">
        <v>0</v>
      </c>
      <c r="X204" s="17"/>
    </row>
    <row r="205" spans="1:24" ht="25.5" x14ac:dyDescent="0.25">
      <c r="A205" s="7" t="s">
        <v>16</v>
      </c>
      <c r="B205" s="8">
        <v>8470440</v>
      </c>
      <c r="C205" s="9" t="s">
        <v>272</v>
      </c>
      <c r="D205" s="10">
        <v>436600</v>
      </c>
      <c r="E205" s="9" t="s">
        <v>160</v>
      </c>
      <c r="F205" s="9" t="s">
        <v>282</v>
      </c>
      <c r="G205" s="11">
        <v>4195</v>
      </c>
      <c r="H205" s="12">
        <v>4195</v>
      </c>
      <c r="I205" s="13"/>
      <c r="J205" s="19">
        <v>4195</v>
      </c>
      <c r="K205" s="15"/>
      <c r="L205" s="16">
        <v>0</v>
      </c>
      <c r="M205" s="15"/>
      <c r="N205" s="14"/>
      <c r="O205" s="17"/>
      <c r="P205" s="17"/>
      <c r="Q205" s="17"/>
      <c r="R205" s="17"/>
      <c r="S205" s="17"/>
      <c r="T205" s="17"/>
      <c r="U205" s="17"/>
      <c r="V205" s="17"/>
      <c r="W205" s="11">
        <v>0</v>
      </c>
      <c r="X205" s="17"/>
    </row>
    <row r="206" spans="1:24" ht="25.5" x14ac:dyDescent="0.25">
      <c r="A206" s="7" t="s">
        <v>16</v>
      </c>
      <c r="B206" s="8">
        <v>8470445</v>
      </c>
      <c r="C206" s="9" t="s">
        <v>283</v>
      </c>
      <c r="D206" s="10">
        <v>425510</v>
      </c>
      <c r="E206" s="9" t="s">
        <v>20</v>
      </c>
      <c r="F206" s="9" t="s">
        <v>284</v>
      </c>
      <c r="G206" s="11">
        <v>0</v>
      </c>
      <c r="H206" s="12">
        <v>20000</v>
      </c>
      <c r="I206" s="18">
        <v>6467</v>
      </c>
      <c r="J206" s="14"/>
      <c r="K206" s="15"/>
      <c r="L206" s="16">
        <v>13533</v>
      </c>
      <c r="M206" s="15"/>
      <c r="N206" s="14"/>
      <c r="O206" s="17"/>
      <c r="P206" s="17"/>
      <c r="Q206" s="17"/>
      <c r="R206" s="17"/>
      <c r="S206" s="17"/>
      <c r="T206" s="17"/>
      <c r="U206" s="17"/>
      <c r="V206" s="17"/>
      <c r="W206" s="11">
        <v>13533</v>
      </c>
      <c r="X206" s="17"/>
    </row>
    <row r="207" spans="1:24" ht="25.5" x14ac:dyDescent="0.25">
      <c r="A207" s="7" t="s">
        <v>16</v>
      </c>
      <c r="B207" s="8">
        <v>8470445</v>
      </c>
      <c r="C207" s="9" t="s">
        <v>283</v>
      </c>
      <c r="D207" s="10">
        <v>425720</v>
      </c>
      <c r="E207" s="9" t="s">
        <v>185</v>
      </c>
      <c r="F207" s="9" t="s">
        <v>285</v>
      </c>
      <c r="G207" s="11">
        <v>19190</v>
      </c>
      <c r="H207" s="12">
        <v>19190</v>
      </c>
      <c r="I207" s="18">
        <v>36730</v>
      </c>
      <c r="J207" s="19">
        <v>-18365</v>
      </c>
      <c r="K207" s="12">
        <v>0</v>
      </c>
      <c r="L207" s="16">
        <v>825</v>
      </c>
      <c r="M207" s="15"/>
      <c r="N207" s="14"/>
      <c r="O207" s="17"/>
      <c r="P207" s="17"/>
      <c r="Q207" s="17"/>
      <c r="R207" s="17"/>
      <c r="S207" s="17"/>
      <c r="T207" s="17"/>
      <c r="U207" s="17"/>
      <c r="V207" s="17"/>
      <c r="W207" s="11">
        <v>825</v>
      </c>
      <c r="X207" s="17"/>
    </row>
    <row r="208" spans="1:24" ht="25.5" x14ac:dyDescent="0.25">
      <c r="A208" s="7" t="s">
        <v>16</v>
      </c>
      <c r="B208" s="8">
        <v>8470445</v>
      </c>
      <c r="C208" s="9" t="s">
        <v>283</v>
      </c>
      <c r="D208" s="10">
        <v>425770</v>
      </c>
      <c r="E208" s="9" t="s">
        <v>119</v>
      </c>
      <c r="F208" s="9" t="s">
        <v>286</v>
      </c>
      <c r="G208" s="11">
        <v>282010</v>
      </c>
      <c r="H208" s="12">
        <v>382177</v>
      </c>
      <c r="I208" s="18">
        <v>16040.64</v>
      </c>
      <c r="J208" s="14"/>
      <c r="K208" s="15"/>
      <c r="L208" s="16">
        <v>366136.36</v>
      </c>
      <c r="M208" s="15"/>
      <c r="N208" s="14"/>
      <c r="O208" s="17"/>
      <c r="P208" s="17"/>
      <c r="Q208" s="17"/>
      <c r="R208" s="17"/>
      <c r="S208" s="17"/>
      <c r="T208" s="17"/>
      <c r="U208" s="17"/>
      <c r="V208" s="17"/>
      <c r="W208" s="11">
        <v>366136.36</v>
      </c>
      <c r="X208" s="17"/>
    </row>
    <row r="209" spans="1:24" ht="25.5" x14ac:dyDescent="0.25">
      <c r="A209" s="7" t="s">
        <v>16</v>
      </c>
      <c r="B209" s="8">
        <v>8470445</v>
      </c>
      <c r="C209" s="9" t="s">
        <v>283</v>
      </c>
      <c r="D209" s="10">
        <v>426610</v>
      </c>
      <c r="E209" s="9" t="s">
        <v>39</v>
      </c>
      <c r="F209" s="9" t="s">
        <v>287</v>
      </c>
      <c r="G209" s="11">
        <v>21928</v>
      </c>
      <c r="H209" s="12">
        <v>21928</v>
      </c>
      <c r="I209" s="13"/>
      <c r="J209" s="19">
        <v>12249.46</v>
      </c>
      <c r="K209" s="15"/>
      <c r="L209" s="16">
        <v>9678.5400000000009</v>
      </c>
      <c r="M209" s="15"/>
      <c r="N209" s="14"/>
      <c r="O209" s="17"/>
      <c r="P209" s="17"/>
      <c r="Q209" s="17"/>
      <c r="R209" s="17"/>
      <c r="S209" s="17"/>
      <c r="T209" s="17"/>
      <c r="U209" s="17"/>
      <c r="V209" s="17"/>
      <c r="W209" s="11">
        <v>9678.5400000000009</v>
      </c>
      <c r="X209" s="17"/>
    </row>
    <row r="210" spans="1:24" ht="25.5" x14ac:dyDescent="0.25">
      <c r="A210" s="7" t="s">
        <v>16</v>
      </c>
      <c r="B210" s="8">
        <v>8470445</v>
      </c>
      <c r="C210" s="9" t="s">
        <v>283</v>
      </c>
      <c r="D210" s="10">
        <v>435350</v>
      </c>
      <c r="E210" s="9" t="s">
        <v>98</v>
      </c>
      <c r="F210" s="9" t="s">
        <v>288</v>
      </c>
      <c r="G210" s="11">
        <v>162000</v>
      </c>
      <c r="H210" s="12">
        <v>202000</v>
      </c>
      <c r="I210" s="18">
        <v>36296.080000000002</v>
      </c>
      <c r="J210" s="14"/>
      <c r="K210" s="15"/>
      <c r="L210" s="16">
        <v>165703.92000000001</v>
      </c>
      <c r="M210" s="15"/>
      <c r="N210" s="14"/>
      <c r="O210" s="17"/>
      <c r="P210" s="17"/>
      <c r="Q210" s="17"/>
      <c r="R210" s="17"/>
      <c r="S210" s="17"/>
      <c r="T210" s="17"/>
      <c r="U210" s="17"/>
      <c r="V210" s="17"/>
      <c r="W210" s="11">
        <v>165703.92000000001</v>
      </c>
      <c r="X210" s="17"/>
    </row>
    <row r="211" spans="1:24" ht="25.5" x14ac:dyDescent="0.25">
      <c r="A211" s="7" t="s">
        <v>16</v>
      </c>
      <c r="B211" s="8">
        <v>8470450</v>
      </c>
      <c r="C211" s="9" t="s">
        <v>289</v>
      </c>
      <c r="D211" s="10">
        <v>420550</v>
      </c>
      <c r="E211" s="9" t="s">
        <v>18</v>
      </c>
      <c r="F211" s="9" t="s">
        <v>290</v>
      </c>
      <c r="G211" s="11">
        <v>23000</v>
      </c>
      <c r="H211" s="12">
        <v>0</v>
      </c>
      <c r="I211" s="13"/>
      <c r="J211" s="14"/>
      <c r="K211" s="15"/>
      <c r="L211" s="16">
        <v>0</v>
      </c>
      <c r="M211" s="15"/>
      <c r="N211" s="14"/>
      <c r="O211" s="17"/>
      <c r="P211" s="17"/>
      <c r="Q211" s="17"/>
      <c r="R211" s="17"/>
      <c r="S211" s="17"/>
      <c r="T211" s="17"/>
      <c r="U211" s="17"/>
      <c r="V211" s="17"/>
      <c r="W211" s="11">
        <v>0</v>
      </c>
      <c r="X211" s="17"/>
    </row>
    <row r="212" spans="1:24" ht="25.5" x14ac:dyDescent="0.25">
      <c r="A212" s="7" t="s">
        <v>16</v>
      </c>
      <c r="B212" s="8">
        <v>8470450</v>
      </c>
      <c r="C212" s="9" t="s">
        <v>289</v>
      </c>
      <c r="D212" s="10">
        <v>421700</v>
      </c>
      <c r="E212" s="9" t="s">
        <v>36</v>
      </c>
      <c r="F212" s="9" t="s">
        <v>291</v>
      </c>
      <c r="G212" s="11">
        <v>225000</v>
      </c>
      <c r="H212" s="12">
        <v>0</v>
      </c>
      <c r="I212" s="13"/>
      <c r="J212" s="14"/>
      <c r="K212" s="15"/>
      <c r="L212" s="16">
        <v>0</v>
      </c>
      <c r="M212" s="15"/>
      <c r="N212" s="14"/>
      <c r="O212" s="17"/>
      <c r="P212" s="17"/>
      <c r="Q212" s="17"/>
      <c r="R212" s="17"/>
      <c r="S212" s="17"/>
      <c r="T212" s="17"/>
      <c r="U212" s="17"/>
      <c r="V212" s="17"/>
      <c r="W212" s="11">
        <v>0</v>
      </c>
      <c r="X212" s="17"/>
    </row>
    <row r="213" spans="1:24" ht="25.5" x14ac:dyDescent="0.25">
      <c r="A213" s="7" t="s">
        <v>16</v>
      </c>
      <c r="B213" s="8">
        <v>8470450</v>
      </c>
      <c r="C213" s="9" t="s">
        <v>289</v>
      </c>
      <c r="D213" s="10">
        <v>425510</v>
      </c>
      <c r="E213" s="9" t="s">
        <v>20</v>
      </c>
      <c r="F213" s="9" t="s">
        <v>292</v>
      </c>
      <c r="G213" s="11">
        <v>9100</v>
      </c>
      <c r="H213" s="12">
        <v>9100</v>
      </c>
      <c r="I213" s="13"/>
      <c r="J213" s="14"/>
      <c r="K213" s="15"/>
      <c r="L213" s="16">
        <v>9100</v>
      </c>
      <c r="M213" s="15"/>
      <c r="N213" s="14"/>
      <c r="O213" s="17"/>
      <c r="P213" s="17"/>
      <c r="Q213" s="17"/>
      <c r="R213" s="17"/>
      <c r="S213" s="17"/>
      <c r="T213" s="17"/>
      <c r="U213" s="17"/>
      <c r="V213" s="17"/>
      <c r="W213" s="11">
        <v>9100</v>
      </c>
      <c r="X213" s="17"/>
    </row>
    <row r="214" spans="1:24" ht="25.5" x14ac:dyDescent="0.25">
      <c r="A214" s="7" t="s">
        <v>16</v>
      </c>
      <c r="B214" s="8">
        <v>8470450</v>
      </c>
      <c r="C214" s="9" t="s">
        <v>289</v>
      </c>
      <c r="D214" s="10">
        <v>425761</v>
      </c>
      <c r="E214" s="9" t="s">
        <v>212</v>
      </c>
      <c r="F214" s="9" t="s">
        <v>293</v>
      </c>
      <c r="G214" s="11">
        <v>0</v>
      </c>
      <c r="H214" s="12">
        <v>52244</v>
      </c>
      <c r="I214" s="18">
        <v>9400</v>
      </c>
      <c r="J214" s="14"/>
      <c r="K214" s="15"/>
      <c r="L214" s="16">
        <v>42844</v>
      </c>
      <c r="M214" s="15"/>
      <c r="N214" s="14"/>
      <c r="O214" s="17"/>
      <c r="P214" s="17"/>
      <c r="Q214" s="17"/>
      <c r="R214" s="17"/>
      <c r="S214" s="17"/>
      <c r="T214" s="17"/>
      <c r="U214" s="17"/>
      <c r="V214" s="17"/>
      <c r="W214" s="11">
        <v>42844</v>
      </c>
      <c r="X214" s="17"/>
    </row>
    <row r="215" spans="1:24" ht="25.5" x14ac:dyDescent="0.25">
      <c r="A215" s="7" t="s">
        <v>16</v>
      </c>
      <c r="B215" s="8">
        <v>8470450</v>
      </c>
      <c r="C215" s="9" t="s">
        <v>289</v>
      </c>
      <c r="D215" s="10">
        <v>425763</v>
      </c>
      <c r="E215" s="9" t="s">
        <v>53</v>
      </c>
      <c r="F215" s="9" t="s">
        <v>294</v>
      </c>
      <c r="G215" s="11">
        <v>52244</v>
      </c>
      <c r="H215" s="12">
        <v>0</v>
      </c>
      <c r="I215" s="13"/>
      <c r="J215" s="14"/>
      <c r="K215" s="15"/>
      <c r="L215" s="16">
        <v>0</v>
      </c>
      <c r="M215" s="15"/>
      <c r="N215" s="14"/>
      <c r="O215" s="17"/>
      <c r="P215" s="17"/>
      <c r="Q215" s="17"/>
      <c r="R215" s="17"/>
      <c r="S215" s="17"/>
      <c r="T215" s="17"/>
      <c r="U215" s="17"/>
      <c r="V215" s="17"/>
      <c r="W215" s="11">
        <v>0</v>
      </c>
      <c r="X215" s="17"/>
    </row>
    <row r="216" spans="1:24" ht="25.5" x14ac:dyDescent="0.25">
      <c r="A216" s="7" t="s">
        <v>16</v>
      </c>
      <c r="B216" s="8">
        <v>8470450</v>
      </c>
      <c r="C216" s="9" t="s">
        <v>289</v>
      </c>
      <c r="D216" s="10">
        <v>425770</v>
      </c>
      <c r="E216" s="9" t="s">
        <v>119</v>
      </c>
      <c r="F216" s="9" t="s">
        <v>295</v>
      </c>
      <c r="G216" s="11">
        <v>0</v>
      </c>
      <c r="H216" s="12">
        <v>110000</v>
      </c>
      <c r="I216" s="13"/>
      <c r="J216" s="14"/>
      <c r="K216" s="15"/>
      <c r="L216" s="16">
        <v>110000</v>
      </c>
      <c r="M216" s="15"/>
      <c r="N216" s="14"/>
      <c r="O216" s="17"/>
      <c r="P216" s="17"/>
      <c r="Q216" s="17"/>
      <c r="R216" s="17"/>
      <c r="S216" s="17"/>
      <c r="T216" s="17"/>
      <c r="U216" s="17"/>
      <c r="V216" s="17"/>
      <c r="W216" s="11">
        <v>110000</v>
      </c>
      <c r="X216" s="17"/>
    </row>
    <row r="217" spans="1:24" ht="25.5" x14ac:dyDescent="0.25">
      <c r="A217" s="7" t="s">
        <v>16</v>
      </c>
      <c r="B217" s="8">
        <v>8470450</v>
      </c>
      <c r="C217" s="9" t="s">
        <v>289</v>
      </c>
      <c r="D217" s="10">
        <v>426610</v>
      </c>
      <c r="E217" s="9" t="s">
        <v>39</v>
      </c>
      <c r="F217" s="9" t="s">
        <v>296</v>
      </c>
      <c r="G217" s="11">
        <v>35628</v>
      </c>
      <c r="H217" s="12">
        <v>35628</v>
      </c>
      <c r="I217" s="13"/>
      <c r="J217" s="14"/>
      <c r="K217" s="15"/>
      <c r="L217" s="16">
        <v>35628</v>
      </c>
      <c r="M217" s="15"/>
      <c r="N217" s="14"/>
      <c r="O217" s="17"/>
      <c r="P217" s="17"/>
      <c r="Q217" s="17"/>
      <c r="R217" s="17"/>
      <c r="S217" s="17"/>
      <c r="T217" s="17"/>
      <c r="U217" s="17"/>
      <c r="V217" s="17"/>
      <c r="W217" s="11">
        <v>35628</v>
      </c>
      <c r="X217" s="17"/>
    </row>
    <row r="218" spans="1:24" ht="25.5" x14ac:dyDescent="0.25">
      <c r="A218" s="7" t="s">
        <v>16</v>
      </c>
      <c r="B218" s="8">
        <v>8470450</v>
      </c>
      <c r="C218" s="9" t="s">
        <v>289</v>
      </c>
      <c r="D218" s="10">
        <v>432209</v>
      </c>
      <c r="E218" s="9" t="s">
        <v>124</v>
      </c>
      <c r="F218" s="9" t="s">
        <v>297</v>
      </c>
      <c r="G218" s="11">
        <v>34643</v>
      </c>
      <c r="H218" s="12">
        <v>34643</v>
      </c>
      <c r="I218" s="13"/>
      <c r="J218" s="14"/>
      <c r="K218" s="15"/>
      <c r="L218" s="16">
        <v>34643</v>
      </c>
      <c r="M218" s="15"/>
      <c r="N218" s="14"/>
      <c r="O218" s="17"/>
      <c r="P218" s="17"/>
      <c r="Q218" s="17"/>
      <c r="R218" s="17"/>
      <c r="S218" s="17"/>
      <c r="T218" s="17"/>
      <c r="U218" s="17"/>
      <c r="V218" s="17"/>
      <c r="W218" s="11">
        <v>34643</v>
      </c>
      <c r="X218" s="17"/>
    </row>
    <row r="219" spans="1:24" ht="25.5" x14ac:dyDescent="0.25">
      <c r="A219" s="7" t="s">
        <v>16</v>
      </c>
      <c r="B219" s="8">
        <v>8470450</v>
      </c>
      <c r="C219" s="9" t="s">
        <v>289</v>
      </c>
      <c r="D219" s="10">
        <v>435350</v>
      </c>
      <c r="E219" s="9" t="s">
        <v>98</v>
      </c>
      <c r="F219" s="9" t="s">
        <v>298</v>
      </c>
      <c r="G219" s="11">
        <v>0</v>
      </c>
      <c r="H219" s="12">
        <v>20000</v>
      </c>
      <c r="I219" s="13"/>
      <c r="J219" s="14"/>
      <c r="K219" s="15"/>
      <c r="L219" s="16">
        <v>20000</v>
      </c>
      <c r="M219" s="15"/>
      <c r="N219" s="14"/>
      <c r="O219" s="17"/>
      <c r="P219" s="17"/>
      <c r="Q219" s="17"/>
      <c r="R219" s="17"/>
      <c r="S219" s="17"/>
      <c r="T219" s="17"/>
      <c r="U219" s="17"/>
      <c r="V219" s="17"/>
      <c r="W219" s="11">
        <v>20000</v>
      </c>
      <c r="X219" s="17"/>
    </row>
    <row r="220" spans="1:24" ht="25.5" x14ac:dyDescent="0.25">
      <c r="A220" s="7" t="s">
        <v>16</v>
      </c>
      <c r="B220" s="8">
        <v>8470455</v>
      </c>
      <c r="C220" s="9" t="s">
        <v>299</v>
      </c>
      <c r="D220" s="10">
        <v>425770</v>
      </c>
      <c r="E220" s="9" t="s">
        <v>119</v>
      </c>
      <c r="F220" s="9" t="s">
        <v>300</v>
      </c>
      <c r="G220" s="11">
        <v>121585</v>
      </c>
      <c r="H220" s="12">
        <v>74285</v>
      </c>
      <c r="I220" s="13"/>
      <c r="J220" s="14"/>
      <c r="K220" s="15"/>
      <c r="L220" s="16">
        <v>74285</v>
      </c>
      <c r="M220" s="15"/>
      <c r="N220" s="14"/>
      <c r="O220" s="17"/>
      <c r="P220" s="17"/>
      <c r="Q220" s="17"/>
      <c r="R220" s="17"/>
      <c r="S220" s="17"/>
      <c r="T220" s="17"/>
      <c r="U220" s="17"/>
      <c r="V220" s="17"/>
      <c r="W220" s="11">
        <v>74285</v>
      </c>
      <c r="X220" s="17"/>
    </row>
    <row r="221" spans="1:24" ht="25.5" x14ac:dyDescent="0.25">
      <c r="A221" s="7" t="s">
        <v>16</v>
      </c>
      <c r="B221" s="8">
        <v>8470455</v>
      </c>
      <c r="C221" s="9" t="s">
        <v>299</v>
      </c>
      <c r="D221" s="10">
        <v>425900</v>
      </c>
      <c r="E221" s="9" t="s">
        <v>24</v>
      </c>
      <c r="F221" s="9" t="s">
        <v>301</v>
      </c>
      <c r="G221" s="11">
        <v>5020</v>
      </c>
      <c r="H221" s="12">
        <v>5020</v>
      </c>
      <c r="I221" s="13"/>
      <c r="J221" s="14"/>
      <c r="K221" s="15"/>
      <c r="L221" s="16">
        <v>5020</v>
      </c>
      <c r="M221" s="15"/>
      <c r="N221" s="14"/>
      <c r="O221" s="17"/>
      <c r="P221" s="17"/>
      <c r="Q221" s="17"/>
      <c r="R221" s="17"/>
      <c r="S221" s="17"/>
      <c r="T221" s="17"/>
      <c r="U221" s="17"/>
      <c r="V221" s="17"/>
      <c r="W221" s="11">
        <v>5020</v>
      </c>
      <c r="X221" s="17"/>
    </row>
    <row r="222" spans="1:24" ht="25.5" x14ac:dyDescent="0.25">
      <c r="A222" s="7" t="s">
        <v>16</v>
      </c>
      <c r="B222" s="8">
        <v>8470455</v>
      </c>
      <c r="C222" s="9" t="s">
        <v>299</v>
      </c>
      <c r="D222" s="10">
        <v>426610</v>
      </c>
      <c r="E222" s="9" t="s">
        <v>39</v>
      </c>
      <c r="F222" s="9" t="s">
        <v>302</v>
      </c>
      <c r="G222" s="11">
        <v>30436</v>
      </c>
      <c r="H222" s="12">
        <v>30436</v>
      </c>
      <c r="I222" s="13"/>
      <c r="J222" s="14"/>
      <c r="K222" s="15"/>
      <c r="L222" s="16">
        <v>30436</v>
      </c>
      <c r="M222" s="15"/>
      <c r="N222" s="14"/>
      <c r="O222" s="17"/>
      <c r="P222" s="17"/>
      <c r="Q222" s="17"/>
      <c r="R222" s="17"/>
      <c r="S222" s="17"/>
      <c r="T222" s="17"/>
      <c r="U222" s="17"/>
      <c r="V222" s="17"/>
      <c r="W222" s="11">
        <v>30436</v>
      </c>
      <c r="X222" s="17"/>
    </row>
    <row r="223" spans="1:24" ht="25.5" x14ac:dyDescent="0.25">
      <c r="A223" s="7" t="s">
        <v>16</v>
      </c>
      <c r="B223" s="8">
        <v>8470455</v>
      </c>
      <c r="C223" s="9" t="s">
        <v>299</v>
      </c>
      <c r="D223" s="10">
        <v>432209</v>
      </c>
      <c r="E223" s="9" t="s">
        <v>124</v>
      </c>
      <c r="F223" s="9" t="s">
        <v>303</v>
      </c>
      <c r="G223" s="11">
        <v>291800</v>
      </c>
      <c r="H223" s="12">
        <v>291800</v>
      </c>
      <c r="I223" s="13"/>
      <c r="J223" s="14"/>
      <c r="K223" s="15"/>
      <c r="L223" s="16">
        <v>291800</v>
      </c>
      <c r="M223" s="15"/>
      <c r="N223" s="14"/>
      <c r="O223" s="17"/>
      <c r="P223" s="17"/>
      <c r="Q223" s="17"/>
      <c r="R223" s="17"/>
      <c r="S223" s="17"/>
      <c r="T223" s="17"/>
      <c r="U223" s="17"/>
      <c r="V223" s="17"/>
      <c r="W223" s="11">
        <v>291800</v>
      </c>
      <c r="X223" s="17"/>
    </row>
    <row r="224" spans="1:24" ht="25.5" x14ac:dyDescent="0.25">
      <c r="A224" s="7" t="s">
        <v>16</v>
      </c>
      <c r="B224" s="8">
        <v>8470455</v>
      </c>
      <c r="C224" s="9" t="s">
        <v>299</v>
      </c>
      <c r="D224" s="10">
        <v>435350</v>
      </c>
      <c r="E224" s="9" t="s">
        <v>98</v>
      </c>
      <c r="F224" s="9" t="s">
        <v>304</v>
      </c>
      <c r="G224" s="11">
        <v>20510</v>
      </c>
      <c r="H224" s="12">
        <v>40510</v>
      </c>
      <c r="I224" s="18">
        <v>6747.11</v>
      </c>
      <c r="J224" s="14"/>
      <c r="K224" s="15"/>
      <c r="L224" s="16">
        <v>33762.89</v>
      </c>
      <c r="M224" s="15"/>
      <c r="N224" s="14"/>
      <c r="O224" s="17"/>
      <c r="P224" s="17"/>
      <c r="Q224" s="17"/>
      <c r="R224" s="17"/>
      <c r="S224" s="17"/>
      <c r="T224" s="17"/>
      <c r="U224" s="17"/>
      <c r="V224" s="17"/>
      <c r="W224" s="11">
        <v>33762.89</v>
      </c>
      <c r="X224" s="17"/>
    </row>
    <row r="225" spans="1:24" ht="25.5" x14ac:dyDescent="0.25">
      <c r="A225" s="7" t="s">
        <v>16</v>
      </c>
      <c r="B225" s="8">
        <v>8470455</v>
      </c>
      <c r="C225" s="9" t="s">
        <v>299</v>
      </c>
      <c r="D225" s="10">
        <v>435508</v>
      </c>
      <c r="E225" s="9" t="s">
        <v>100</v>
      </c>
      <c r="F225" s="9" t="s">
        <v>305</v>
      </c>
      <c r="G225" s="11">
        <v>17220</v>
      </c>
      <c r="H225" s="12">
        <v>234440</v>
      </c>
      <c r="I225" s="18">
        <v>75643.399999999994</v>
      </c>
      <c r="J225" s="19">
        <v>-64818</v>
      </c>
      <c r="K225" s="12">
        <v>38600</v>
      </c>
      <c r="L225" s="16">
        <v>185014.6</v>
      </c>
      <c r="M225" s="15"/>
      <c r="N225" s="14"/>
      <c r="O225" s="17"/>
      <c r="P225" s="17"/>
      <c r="Q225" s="17"/>
      <c r="R225" s="17"/>
      <c r="S225" s="17"/>
      <c r="T225" s="17"/>
      <c r="U225" s="17"/>
      <c r="V225" s="17"/>
      <c r="W225" s="11">
        <v>185014.6</v>
      </c>
      <c r="X225" s="17"/>
    </row>
    <row r="226" spans="1:24" ht="25.5" x14ac:dyDescent="0.25">
      <c r="A226" s="7" t="s">
        <v>16</v>
      </c>
      <c r="B226" s="8">
        <v>8470520</v>
      </c>
      <c r="C226" s="9" t="s">
        <v>306</v>
      </c>
      <c r="D226" s="10">
        <v>425510</v>
      </c>
      <c r="E226" s="9" t="s">
        <v>20</v>
      </c>
      <c r="F226" s="9" t="s">
        <v>307</v>
      </c>
      <c r="G226" s="11">
        <v>7162</v>
      </c>
      <c r="H226" s="12">
        <v>7162</v>
      </c>
      <c r="I226" s="18">
        <v>1659</v>
      </c>
      <c r="J226" s="14"/>
      <c r="K226" s="15"/>
      <c r="L226" s="16">
        <v>5503</v>
      </c>
      <c r="M226" s="15"/>
      <c r="N226" s="14"/>
      <c r="O226" s="17"/>
      <c r="P226" s="17"/>
      <c r="Q226" s="17"/>
      <c r="R226" s="17"/>
      <c r="S226" s="17"/>
      <c r="T226" s="17"/>
      <c r="U226" s="17"/>
      <c r="V226" s="17"/>
      <c r="W226" s="11">
        <v>5503</v>
      </c>
      <c r="X226" s="17"/>
    </row>
    <row r="227" spans="1:24" ht="25.5" x14ac:dyDescent="0.25">
      <c r="A227" s="7" t="s">
        <v>16</v>
      </c>
      <c r="B227" s="8">
        <v>8470520</v>
      </c>
      <c r="C227" s="9" t="s">
        <v>306</v>
      </c>
      <c r="D227" s="10">
        <v>427710</v>
      </c>
      <c r="E227" s="9" t="s">
        <v>45</v>
      </c>
      <c r="F227" s="9" t="s">
        <v>308</v>
      </c>
      <c r="G227" s="11">
        <v>10510</v>
      </c>
      <c r="H227" s="12">
        <v>10510</v>
      </c>
      <c r="I227" s="13"/>
      <c r="J227" s="19">
        <v>0</v>
      </c>
      <c r="K227" s="15"/>
      <c r="L227" s="16">
        <v>10510</v>
      </c>
      <c r="M227" s="15"/>
      <c r="N227" s="14"/>
      <c r="O227" s="17"/>
      <c r="P227" s="17"/>
      <c r="Q227" s="17"/>
      <c r="R227" s="17"/>
      <c r="S227" s="17"/>
      <c r="T227" s="17"/>
      <c r="U227" s="17"/>
      <c r="V227" s="17"/>
      <c r="W227" s="11">
        <v>10510</v>
      </c>
      <c r="X227" s="17"/>
    </row>
    <row r="228" spans="1:24" ht="25.5" x14ac:dyDescent="0.25">
      <c r="A228" s="7" t="s">
        <v>16</v>
      </c>
      <c r="B228" s="8">
        <v>8470520</v>
      </c>
      <c r="C228" s="9" t="s">
        <v>306</v>
      </c>
      <c r="D228" s="10">
        <v>428200</v>
      </c>
      <c r="E228" s="9" t="s">
        <v>309</v>
      </c>
      <c r="F228" s="9" t="s">
        <v>310</v>
      </c>
      <c r="G228" s="11">
        <v>333750</v>
      </c>
      <c r="H228" s="12">
        <v>333750</v>
      </c>
      <c r="I228" s="18">
        <v>24418.639999999999</v>
      </c>
      <c r="J228" s="19">
        <v>106885.92</v>
      </c>
      <c r="K228" s="12">
        <v>23885.01</v>
      </c>
      <c r="L228" s="16">
        <v>178560.43</v>
      </c>
      <c r="M228" s="15"/>
      <c r="N228" s="14"/>
      <c r="O228" s="17"/>
      <c r="P228" s="17"/>
      <c r="Q228" s="17"/>
      <c r="R228" s="17"/>
      <c r="S228" s="17"/>
      <c r="T228" s="17"/>
      <c r="U228" s="17"/>
      <c r="V228" s="17"/>
      <c r="W228" s="11">
        <v>178560.43</v>
      </c>
      <c r="X228" s="17"/>
    </row>
    <row r="229" spans="1:24" ht="25.5" x14ac:dyDescent="0.25">
      <c r="A229" s="7" t="s">
        <v>16</v>
      </c>
      <c r="B229" s="8">
        <v>8470530</v>
      </c>
      <c r="C229" s="9" t="s">
        <v>311</v>
      </c>
      <c r="D229" s="10">
        <v>420310</v>
      </c>
      <c r="E229" s="9" t="s">
        <v>312</v>
      </c>
      <c r="F229" s="9" t="s">
        <v>313</v>
      </c>
      <c r="G229" s="11">
        <v>4076217</v>
      </c>
      <c r="H229" s="12">
        <v>4200474</v>
      </c>
      <c r="I229" s="18">
        <v>5101.1400000000003</v>
      </c>
      <c r="J229" s="19">
        <v>0</v>
      </c>
      <c r="K229" s="12">
        <v>4195372.3</v>
      </c>
      <c r="L229" s="16">
        <v>0.56000000052154097</v>
      </c>
      <c r="M229" s="15"/>
      <c r="N229" s="14"/>
      <c r="O229" s="17"/>
      <c r="P229" s="17"/>
      <c r="Q229" s="17"/>
      <c r="R229" s="17"/>
      <c r="S229" s="17"/>
      <c r="T229" s="17"/>
      <c r="U229" s="17"/>
      <c r="V229" s="17"/>
      <c r="W229" s="11">
        <v>0.56000000052154097</v>
      </c>
      <c r="X229" s="17"/>
    </row>
    <row r="230" spans="1:24" ht="25.5" x14ac:dyDescent="0.25">
      <c r="A230" s="7" t="s">
        <v>16</v>
      </c>
      <c r="B230" s="8">
        <v>8470530</v>
      </c>
      <c r="C230" s="9" t="s">
        <v>311</v>
      </c>
      <c r="D230" s="10">
        <v>420310</v>
      </c>
      <c r="E230" s="9" t="s">
        <v>312</v>
      </c>
      <c r="F230" s="9" t="s">
        <v>314</v>
      </c>
      <c r="G230" s="11">
        <v>747242</v>
      </c>
      <c r="H230" s="12">
        <v>2486010</v>
      </c>
      <c r="I230" s="13"/>
      <c r="J230" s="19">
        <v>0</v>
      </c>
      <c r="K230" s="12">
        <v>2486010</v>
      </c>
      <c r="L230" s="16">
        <v>0</v>
      </c>
      <c r="M230" s="15"/>
      <c r="N230" s="14"/>
      <c r="O230" s="17"/>
      <c r="P230" s="17"/>
      <c r="Q230" s="17"/>
      <c r="R230" s="17"/>
      <c r="S230" s="17"/>
      <c r="T230" s="17"/>
      <c r="U230" s="17"/>
      <c r="V230" s="17"/>
      <c r="W230" s="11">
        <v>0</v>
      </c>
      <c r="X230" s="17"/>
    </row>
    <row r="231" spans="1:24" ht="25.5" x14ac:dyDescent="0.25">
      <c r="A231" s="7" t="s">
        <v>16</v>
      </c>
      <c r="B231" s="8">
        <v>8470530</v>
      </c>
      <c r="C231" s="9" t="s">
        <v>311</v>
      </c>
      <c r="D231" s="10">
        <v>420310</v>
      </c>
      <c r="E231" s="9" t="s">
        <v>312</v>
      </c>
      <c r="F231" s="9" t="s">
        <v>315</v>
      </c>
      <c r="G231" s="11">
        <v>4349278</v>
      </c>
      <c r="H231" s="12">
        <v>2486253</v>
      </c>
      <c r="I231" s="18">
        <v>-3039.68</v>
      </c>
      <c r="J231" s="19">
        <v>0</v>
      </c>
      <c r="K231" s="12">
        <v>2394039.94</v>
      </c>
      <c r="L231" s="16">
        <v>95252.740000000194</v>
      </c>
      <c r="M231" s="15"/>
      <c r="N231" s="14"/>
      <c r="O231" s="17"/>
      <c r="P231" s="17"/>
      <c r="Q231" s="17"/>
      <c r="R231" s="17"/>
      <c r="S231" s="17"/>
      <c r="T231" s="17"/>
      <c r="U231" s="17"/>
      <c r="V231" s="17"/>
      <c r="W231" s="11">
        <v>95252.740000000194</v>
      </c>
      <c r="X231" s="17"/>
    </row>
    <row r="232" spans="1:24" ht="25.5" x14ac:dyDescent="0.25">
      <c r="A232" s="7" t="s">
        <v>16</v>
      </c>
      <c r="B232" s="8">
        <v>8470530</v>
      </c>
      <c r="C232" s="9" t="s">
        <v>311</v>
      </c>
      <c r="D232" s="10">
        <v>421000</v>
      </c>
      <c r="E232" s="9" t="s">
        <v>34</v>
      </c>
      <c r="F232" s="9" t="s">
        <v>316</v>
      </c>
      <c r="G232" s="11">
        <v>850000</v>
      </c>
      <c r="H232" s="12">
        <v>850000</v>
      </c>
      <c r="I232" s="13"/>
      <c r="J232" s="14"/>
      <c r="K232" s="15"/>
      <c r="L232" s="16">
        <v>850000</v>
      </c>
      <c r="M232" s="15"/>
      <c r="N232" s="14"/>
      <c r="O232" s="17"/>
      <c r="P232" s="17"/>
      <c r="Q232" s="17"/>
      <c r="R232" s="17"/>
      <c r="S232" s="17"/>
      <c r="T232" s="17"/>
      <c r="U232" s="17"/>
      <c r="V232" s="17"/>
      <c r="W232" s="11">
        <v>850000</v>
      </c>
      <c r="X232" s="17"/>
    </row>
    <row r="233" spans="1:24" ht="25.5" x14ac:dyDescent="0.25">
      <c r="A233" s="7" t="s">
        <v>16</v>
      </c>
      <c r="B233" s="8">
        <v>8470530</v>
      </c>
      <c r="C233" s="9" t="s">
        <v>311</v>
      </c>
      <c r="D233" s="10">
        <v>421600</v>
      </c>
      <c r="E233" s="9" t="s">
        <v>317</v>
      </c>
      <c r="F233" s="9" t="s">
        <v>318</v>
      </c>
      <c r="G233" s="11">
        <v>3615061</v>
      </c>
      <c r="H233" s="12">
        <v>3615061</v>
      </c>
      <c r="I233" s="13"/>
      <c r="J233" s="19">
        <v>2070713.33</v>
      </c>
      <c r="K233" s="15"/>
      <c r="L233" s="16">
        <v>1544347.67</v>
      </c>
      <c r="M233" s="15"/>
      <c r="N233" s="14"/>
      <c r="O233" s="17"/>
      <c r="P233" s="17"/>
      <c r="Q233" s="17"/>
      <c r="R233" s="17"/>
      <c r="S233" s="17"/>
      <c r="T233" s="17"/>
      <c r="U233" s="17"/>
      <c r="V233" s="17"/>
      <c r="W233" s="11">
        <v>1544347.67</v>
      </c>
      <c r="X233" s="17"/>
    </row>
    <row r="234" spans="1:24" ht="25.5" x14ac:dyDescent="0.25">
      <c r="A234" s="7" t="s">
        <v>16</v>
      </c>
      <c r="B234" s="8">
        <v>8470530</v>
      </c>
      <c r="C234" s="9" t="s">
        <v>311</v>
      </c>
      <c r="D234" s="10">
        <v>421600</v>
      </c>
      <c r="E234" s="9" t="s">
        <v>317</v>
      </c>
      <c r="F234" s="9" t="s">
        <v>319</v>
      </c>
      <c r="G234" s="11">
        <v>2421018</v>
      </c>
      <c r="H234" s="12">
        <v>2421018</v>
      </c>
      <c r="I234" s="18">
        <v>-205935.98</v>
      </c>
      <c r="J234" s="19">
        <v>0</v>
      </c>
      <c r="K234" s="12">
        <v>1479592.98</v>
      </c>
      <c r="L234" s="16">
        <v>1147361</v>
      </c>
      <c r="M234" s="15"/>
      <c r="N234" s="14"/>
      <c r="O234" s="17"/>
      <c r="P234" s="17"/>
      <c r="Q234" s="17"/>
      <c r="R234" s="17"/>
      <c r="S234" s="17"/>
      <c r="T234" s="17"/>
      <c r="U234" s="17"/>
      <c r="V234" s="17"/>
      <c r="W234" s="11">
        <v>1147361</v>
      </c>
      <c r="X234" s="17"/>
    </row>
    <row r="235" spans="1:24" ht="25.5" x14ac:dyDescent="0.25">
      <c r="A235" s="7" t="s">
        <v>16</v>
      </c>
      <c r="B235" s="8">
        <v>8470530</v>
      </c>
      <c r="C235" s="9" t="s">
        <v>311</v>
      </c>
      <c r="D235" s="10">
        <v>421600</v>
      </c>
      <c r="E235" s="9" t="s">
        <v>317</v>
      </c>
      <c r="F235" s="9" t="s">
        <v>320</v>
      </c>
      <c r="G235" s="11">
        <v>1972180</v>
      </c>
      <c r="H235" s="12">
        <v>1972180</v>
      </c>
      <c r="I235" s="18">
        <v>170947.89</v>
      </c>
      <c r="J235" s="19">
        <v>-161217.89000000001</v>
      </c>
      <c r="K235" s="12">
        <v>1240924.72</v>
      </c>
      <c r="L235" s="16">
        <v>721525.28</v>
      </c>
      <c r="M235" s="15"/>
      <c r="N235" s="14"/>
      <c r="O235" s="17"/>
      <c r="P235" s="17"/>
      <c r="Q235" s="17"/>
      <c r="R235" s="17"/>
      <c r="S235" s="17"/>
      <c r="T235" s="17"/>
      <c r="U235" s="17"/>
      <c r="V235" s="17"/>
      <c r="W235" s="11">
        <v>721525.28</v>
      </c>
      <c r="X235" s="17"/>
    </row>
    <row r="236" spans="1:24" ht="25.5" x14ac:dyDescent="0.25">
      <c r="A236" s="7" t="s">
        <v>16</v>
      </c>
      <c r="B236" s="8">
        <v>8470530</v>
      </c>
      <c r="C236" s="9" t="s">
        <v>311</v>
      </c>
      <c r="D236" s="10">
        <v>421600</v>
      </c>
      <c r="E236" s="9" t="s">
        <v>317</v>
      </c>
      <c r="F236" s="9" t="s">
        <v>321</v>
      </c>
      <c r="G236" s="11">
        <v>592937</v>
      </c>
      <c r="H236" s="12">
        <v>592937</v>
      </c>
      <c r="I236" s="13"/>
      <c r="J236" s="19">
        <v>296685.15999999997</v>
      </c>
      <c r="K236" s="15"/>
      <c r="L236" s="16">
        <v>296251.84000000003</v>
      </c>
      <c r="M236" s="15"/>
      <c r="N236" s="14"/>
      <c r="O236" s="17"/>
      <c r="P236" s="17"/>
      <c r="Q236" s="17"/>
      <c r="R236" s="17"/>
      <c r="S236" s="17"/>
      <c r="T236" s="17"/>
      <c r="U236" s="17"/>
      <c r="V236" s="17"/>
      <c r="W236" s="11">
        <v>296251.84000000003</v>
      </c>
      <c r="X236" s="17"/>
    </row>
    <row r="237" spans="1:24" ht="25.5" x14ac:dyDescent="0.25">
      <c r="A237" s="7" t="s">
        <v>16</v>
      </c>
      <c r="B237" s="8">
        <v>8470530</v>
      </c>
      <c r="C237" s="9" t="s">
        <v>311</v>
      </c>
      <c r="D237" s="10">
        <v>421700</v>
      </c>
      <c r="E237" s="9" t="s">
        <v>36</v>
      </c>
      <c r="F237" s="9" t="s">
        <v>322</v>
      </c>
      <c r="G237" s="11">
        <v>187500</v>
      </c>
      <c r="H237" s="12">
        <v>187500</v>
      </c>
      <c r="I237" s="13"/>
      <c r="J237" s="14"/>
      <c r="K237" s="15"/>
      <c r="L237" s="16">
        <v>187500</v>
      </c>
      <c r="M237" s="15"/>
      <c r="N237" s="14"/>
      <c r="O237" s="17"/>
      <c r="P237" s="17"/>
      <c r="Q237" s="17"/>
      <c r="R237" s="17"/>
      <c r="S237" s="17"/>
      <c r="T237" s="17"/>
      <c r="U237" s="17"/>
      <c r="V237" s="17"/>
      <c r="W237" s="11">
        <v>187500</v>
      </c>
      <c r="X237" s="17"/>
    </row>
    <row r="238" spans="1:24" ht="25.5" x14ac:dyDescent="0.25">
      <c r="A238" s="7" t="s">
        <v>16</v>
      </c>
      <c r="B238" s="8">
        <v>8470530</v>
      </c>
      <c r="C238" s="9" t="s">
        <v>311</v>
      </c>
      <c r="D238" s="10">
        <v>425510</v>
      </c>
      <c r="E238" s="9" t="s">
        <v>20</v>
      </c>
      <c r="F238" s="9" t="s">
        <v>323</v>
      </c>
      <c r="G238" s="11">
        <v>21793</v>
      </c>
      <c r="H238" s="12">
        <v>21793</v>
      </c>
      <c r="I238" s="18">
        <v>700</v>
      </c>
      <c r="J238" s="14"/>
      <c r="K238" s="15"/>
      <c r="L238" s="16">
        <v>21093</v>
      </c>
      <c r="M238" s="15"/>
      <c r="N238" s="14"/>
      <c r="O238" s="17"/>
      <c r="P238" s="17"/>
      <c r="Q238" s="17"/>
      <c r="R238" s="17"/>
      <c r="S238" s="17"/>
      <c r="T238" s="17"/>
      <c r="U238" s="17"/>
      <c r="V238" s="17"/>
      <c r="W238" s="11">
        <v>21093</v>
      </c>
      <c r="X238" s="17"/>
    </row>
    <row r="239" spans="1:24" ht="25.5" x14ac:dyDescent="0.25">
      <c r="A239" s="7" t="s">
        <v>16</v>
      </c>
      <c r="B239" s="8">
        <v>8470530</v>
      </c>
      <c r="C239" s="9" t="s">
        <v>311</v>
      </c>
      <c r="D239" s="10">
        <v>425747</v>
      </c>
      <c r="E239" s="9" t="s">
        <v>80</v>
      </c>
      <c r="F239" s="9" t="s">
        <v>324</v>
      </c>
      <c r="G239" s="11">
        <v>8600000</v>
      </c>
      <c r="H239" s="12">
        <v>8600000</v>
      </c>
      <c r="I239" s="18">
        <v>8473395</v>
      </c>
      <c r="J239" s="14"/>
      <c r="K239" s="15"/>
      <c r="L239" s="16">
        <v>126605</v>
      </c>
      <c r="M239" s="15"/>
      <c r="N239" s="14"/>
      <c r="O239" s="17"/>
      <c r="P239" s="17"/>
      <c r="Q239" s="17"/>
      <c r="R239" s="17"/>
      <c r="S239" s="17"/>
      <c r="T239" s="17"/>
      <c r="U239" s="17"/>
      <c r="V239" s="17"/>
      <c r="W239" s="11">
        <v>126605</v>
      </c>
      <c r="X239" s="17"/>
    </row>
    <row r="240" spans="1:24" ht="25.5" x14ac:dyDescent="0.25">
      <c r="A240" s="7" t="s">
        <v>16</v>
      </c>
      <c r="B240" s="8">
        <v>8470530</v>
      </c>
      <c r="C240" s="9" t="s">
        <v>311</v>
      </c>
      <c r="D240" s="10">
        <v>425900</v>
      </c>
      <c r="E240" s="9" t="s">
        <v>24</v>
      </c>
      <c r="F240" s="9" t="s">
        <v>325</v>
      </c>
      <c r="G240" s="11">
        <v>13200</v>
      </c>
      <c r="H240" s="12">
        <v>20000</v>
      </c>
      <c r="I240" s="18">
        <v>1218</v>
      </c>
      <c r="J240" s="14"/>
      <c r="K240" s="15"/>
      <c r="L240" s="16">
        <v>18782</v>
      </c>
      <c r="M240" s="15"/>
      <c r="N240" s="14"/>
      <c r="O240" s="17"/>
      <c r="P240" s="17"/>
      <c r="Q240" s="17"/>
      <c r="R240" s="17"/>
      <c r="S240" s="17"/>
      <c r="T240" s="17"/>
      <c r="U240" s="17"/>
      <c r="V240" s="17"/>
      <c r="W240" s="11">
        <v>18782</v>
      </c>
      <c r="X240" s="17"/>
    </row>
    <row r="241" spans="1:24" ht="25.5" x14ac:dyDescent="0.25">
      <c r="A241" s="7" t="s">
        <v>16</v>
      </c>
      <c r="B241" s="8">
        <v>8470530</v>
      </c>
      <c r="C241" s="9" t="s">
        <v>311</v>
      </c>
      <c r="D241" s="10">
        <v>426220</v>
      </c>
      <c r="E241" s="9" t="s">
        <v>326</v>
      </c>
      <c r="F241" s="9" t="s">
        <v>327</v>
      </c>
      <c r="G241" s="11">
        <v>879708</v>
      </c>
      <c r="H241" s="12">
        <v>879708</v>
      </c>
      <c r="I241" s="13"/>
      <c r="J241" s="14"/>
      <c r="K241" s="15"/>
      <c r="L241" s="16">
        <v>879708</v>
      </c>
      <c r="M241" s="15"/>
      <c r="N241" s="14"/>
      <c r="O241" s="17"/>
      <c r="P241" s="17"/>
      <c r="Q241" s="17"/>
      <c r="R241" s="17"/>
      <c r="S241" s="17"/>
      <c r="T241" s="17"/>
      <c r="U241" s="17"/>
      <c r="V241" s="17"/>
      <c r="W241" s="11">
        <v>879708</v>
      </c>
      <c r="X241" s="17"/>
    </row>
    <row r="242" spans="1:24" ht="25.5" x14ac:dyDescent="0.25">
      <c r="A242" s="7" t="s">
        <v>16</v>
      </c>
      <c r="B242" s="8">
        <v>8470530</v>
      </c>
      <c r="C242" s="9" t="s">
        <v>311</v>
      </c>
      <c r="D242" s="10">
        <v>426900</v>
      </c>
      <c r="E242" s="9" t="s">
        <v>328</v>
      </c>
      <c r="F242" s="9" t="s">
        <v>329</v>
      </c>
      <c r="G242" s="11">
        <v>3000</v>
      </c>
      <c r="H242" s="12">
        <v>6000</v>
      </c>
      <c r="I242" s="18">
        <v>5800</v>
      </c>
      <c r="J242" s="14"/>
      <c r="K242" s="15"/>
      <c r="L242" s="16">
        <v>200</v>
      </c>
      <c r="M242" s="15"/>
      <c r="N242" s="14"/>
      <c r="O242" s="17"/>
      <c r="P242" s="17"/>
      <c r="Q242" s="17"/>
      <c r="R242" s="17"/>
      <c r="S242" s="17"/>
      <c r="T242" s="17"/>
      <c r="U242" s="17"/>
      <c r="V242" s="17"/>
      <c r="W242" s="11">
        <v>200</v>
      </c>
      <c r="X242" s="17"/>
    </row>
    <row r="243" spans="1:24" ht="25.5" x14ac:dyDescent="0.25">
      <c r="A243" s="7" t="s">
        <v>16</v>
      </c>
      <c r="B243" s="8">
        <v>8470530</v>
      </c>
      <c r="C243" s="9" t="s">
        <v>311</v>
      </c>
      <c r="D243" s="10">
        <v>428090</v>
      </c>
      <c r="E243" s="9" t="s">
        <v>26</v>
      </c>
      <c r="F243" s="9" t="s">
        <v>330</v>
      </c>
      <c r="G243" s="11">
        <v>75000</v>
      </c>
      <c r="H243" s="12">
        <v>100000</v>
      </c>
      <c r="I243" s="13"/>
      <c r="J243" s="14"/>
      <c r="K243" s="15"/>
      <c r="L243" s="16">
        <v>100000</v>
      </c>
      <c r="M243" s="15"/>
      <c r="N243" s="14"/>
      <c r="O243" s="17"/>
      <c r="P243" s="17"/>
      <c r="Q243" s="17"/>
      <c r="R243" s="17"/>
      <c r="S243" s="17"/>
      <c r="T243" s="17"/>
      <c r="U243" s="17"/>
      <c r="V243" s="17"/>
      <c r="W243" s="11">
        <v>100000</v>
      </c>
      <c r="X243" s="17"/>
    </row>
    <row r="244" spans="1:24" ht="25.5" x14ac:dyDescent="0.25">
      <c r="A244" s="7" t="s">
        <v>16</v>
      </c>
      <c r="B244" s="8">
        <v>8470530</v>
      </c>
      <c r="C244" s="9" t="s">
        <v>311</v>
      </c>
      <c r="D244" s="10">
        <v>429900</v>
      </c>
      <c r="E244" s="9" t="s">
        <v>270</v>
      </c>
      <c r="F244" s="9" t="s">
        <v>331</v>
      </c>
      <c r="G244" s="11">
        <v>1776</v>
      </c>
      <c r="H244" s="12">
        <v>1776</v>
      </c>
      <c r="I244" s="13"/>
      <c r="J244" s="14"/>
      <c r="K244" s="15"/>
      <c r="L244" s="16">
        <v>1776</v>
      </c>
      <c r="M244" s="15"/>
      <c r="N244" s="14"/>
      <c r="O244" s="17"/>
      <c r="P244" s="17"/>
      <c r="Q244" s="17"/>
      <c r="R244" s="17"/>
      <c r="S244" s="17"/>
      <c r="T244" s="17"/>
      <c r="U244" s="17"/>
      <c r="V244" s="17"/>
      <c r="W244" s="11">
        <v>1776</v>
      </c>
      <c r="X244" s="17"/>
    </row>
    <row r="245" spans="1:24" ht="25.5" x14ac:dyDescent="0.25">
      <c r="A245" s="7" t="s">
        <v>16</v>
      </c>
      <c r="B245" s="8">
        <v>8470530</v>
      </c>
      <c r="C245" s="9" t="s">
        <v>311</v>
      </c>
      <c r="D245" s="10">
        <v>432120</v>
      </c>
      <c r="E245" s="9" t="s">
        <v>332</v>
      </c>
      <c r="F245" s="9" t="s">
        <v>333</v>
      </c>
      <c r="G245" s="11">
        <v>20269255</v>
      </c>
      <c r="H245" s="12">
        <v>14249275</v>
      </c>
      <c r="I245" s="18">
        <v>531539.75</v>
      </c>
      <c r="J245" s="19">
        <v>-341464.75</v>
      </c>
      <c r="K245" s="12">
        <v>3206078.91</v>
      </c>
      <c r="L245" s="16">
        <v>10853121.09</v>
      </c>
      <c r="M245" s="15"/>
      <c r="N245" s="14"/>
      <c r="O245" s="17"/>
      <c r="P245" s="17"/>
      <c r="Q245" s="17"/>
      <c r="R245" s="17"/>
      <c r="S245" s="17"/>
      <c r="T245" s="17"/>
      <c r="U245" s="17"/>
      <c r="V245" s="17"/>
      <c r="W245" s="11">
        <v>10853121.09</v>
      </c>
      <c r="X245" s="17"/>
    </row>
    <row r="246" spans="1:24" ht="25.5" x14ac:dyDescent="0.25">
      <c r="A246" s="7" t="s">
        <v>16</v>
      </c>
      <c r="B246" s="8">
        <v>8470530</v>
      </c>
      <c r="C246" s="9" t="s">
        <v>311</v>
      </c>
      <c r="D246" s="10">
        <v>432120</v>
      </c>
      <c r="E246" s="9" t="s">
        <v>332</v>
      </c>
      <c r="F246" s="9" t="s">
        <v>334</v>
      </c>
      <c r="G246" s="11">
        <v>5021641</v>
      </c>
      <c r="H246" s="12">
        <v>8106876</v>
      </c>
      <c r="I246" s="18">
        <v>355737.64</v>
      </c>
      <c r="J246" s="19">
        <v>-226424.8</v>
      </c>
      <c r="K246" s="12">
        <v>1484466.93</v>
      </c>
      <c r="L246" s="16">
        <v>6493096.2300000004</v>
      </c>
      <c r="M246" s="15"/>
      <c r="N246" s="14"/>
      <c r="O246" s="17"/>
      <c r="P246" s="17"/>
      <c r="Q246" s="17"/>
      <c r="R246" s="17"/>
      <c r="S246" s="17"/>
      <c r="T246" s="17"/>
      <c r="U246" s="17"/>
      <c r="V246" s="17"/>
      <c r="W246" s="11">
        <v>6493096.2300000004</v>
      </c>
      <c r="X246" s="17"/>
    </row>
    <row r="247" spans="1:24" ht="25.5" x14ac:dyDescent="0.25">
      <c r="A247" s="7" t="s">
        <v>16</v>
      </c>
      <c r="B247" s="8">
        <v>8470530</v>
      </c>
      <c r="C247" s="9" t="s">
        <v>311</v>
      </c>
      <c r="D247" s="10">
        <v>432120</v>
      </c>
      <c r="E247" s="9" t="s">
        <v>332</v>
      </c>
      <c r="F247" s="9" t="s">
        <v>335</v>
      </c>
      <c r="G247" s="11">
        <v>5551314</v>
      </c>
      <c r="H247" s="12">
        <v>8486059</v>
      </c>
      <c r="I247" s="18">
        <v>289954.45</v>
      </c>
      <c r="J247" s="19">
        <v>362281.05</v>
      </c>
      <c r="K247" s="12">
        <v>1280752.58</v>
      </c>
      <c r="L247" s="16">
        <v>6553070.9199999999</v>
      </c>
      <c r="M247" s="15"/>
      <c r="N247" s="14"/>
      <c r="O247" s="17"/>
      <c r="P247" s="17"/>
      <c r="Q247" s="17"/>
      <c r="R247" s="17"/>
      <c r="S247" s="17"/>
      <c r="T247" s="17"/>
      <c r="U247" s="17"/>
      <c r="V247" s="17"/>
      <c r="W247" s="11">
        <v>6553070.9199999999</v>
      </c>
      <c r="X247" s="17"/>
    </row>
    <row r="248" spans="1:24" ht="25.5" x14ac:dyDescent="0.25">
      <c r="A248" s="7" t="s">
        <v>16</v>
      </c>
      <c r="B248" s="8">
        <v>8470530</v>
      </c>
      <c r="C248" s="9" t="s">
        <v>311</v>
      </c>
      <c r="D248" s="10">
        <v>432120</v>
      </c>
      <c r="E248" s="9" t="s">
        <v>332</v>
      </c>
      <c r="F248" s="9" t="s">
        <v>336</v>
      </c>
      <c r="G248" s="11">
        <v>1164983</v>
      </c>
      <c r="H248" s="12">
        <v>1164983</v>
      </c>
      <c r="I248" s="18">
        <v>123458.82</v>
      </c>
      <c r="J248" s="19">
        <v>11300</v>
      </c>
      <c r="K248" s="12">
        <v>60161.31</v>
      </c>
      <c r="L248" s="16">
        <v>970062.87</v>
      </c>
      <c r="M248" s="15"/>
      <c r="N248" s="14"/>
      <c r="O248" s="17"/>
      <c r="P248" s="17"/>
      <c r="Q248" s="17"/>
      <c r="R248" s="17"/>
      <c r="S248" s="17"/>
      <c r="T248" s="17"/>
      <c r="U248" s="17"/>
      <c r="V248" s="17"/>
      <c r="W248" s="11">
        <v>970062.87</v>
      </c>
      <c r="X248" s="17"/>
    </row>
    <row r="249" spans="1:24" ht="25.5" x14ac:dyDescent="0.25">
      <c r="A249" s="7" t="s">
        <v>16</v>
      </c>
      <c r="B249" s="8">
        <v>8470530</v>
      </c>
      <c r="C249" s="9" t="s">
        <v>311</v>
      </c>
      <c r="D249" s="10">
        <v>432170</v>
      </c>
      <c r="E249" s="9" t="s">
        <v>337</v>
      </c>
      <c r="F249" s="9" t="s">
        <v>338</v>
      </c>
      <c r="G249" s="11">
        <v>19200</v>
      </c>
      <c r="H249" s="12">
        <v>19200</v>
      </c>
      <c r="I249" s="18">
        <v>9142</v>
      </c>
      <c r="J249" s="14"/>
      <c r="K249" s="15"/>
      <c r="L249" s="16">
        <v>10058</v>
      </c>
      <c r="M249" s="15"/>
      <c r="N249" s="14"/>
      <c r="O249" s="17"/>
      <c r="P249" s="17"/>
      <c r="Q249" s="17"/>
      <c r="R249" s="17"/>
      <c r="S249" s="17"/>
      <c r="T249" s="17"/>
      <c r="U249" s="17"/>
      <c r="V249" s="17"/>
      <c r="W249" s="11">
        <v>10058</v>
      </c>
      <c r="X249" s="17"/>
    </row>
    <row r="250" spans="1:24" ht="25.5" x14ac:dyDescent="0.25">
      <c r="A250" s="7" t="s">
        <v>16</v>
      </c>
      <c r="B250" s="8">
        <v>8470530</v>
      </c>
      <c r="C250" s="9" t="s">
        <v>311</v>
      </c>
      <c r="D250" s="10">
        <v>432320</v>
      </c>
      <c r="E250" s="9" t="s">
        <v>339</v>
      </c>
      <c r="F250" s="9" t="s">
        <v>340</v>
      </c>
      <c r="G250" s="11">
        <v>3748</v>
      </c>
      <c r="H250" s="12">
        <v>3748</v>
      </c>
      <c r="I250" s="13"/>
      <c r="J250" s="14"/>
      <c r="K250" s="15"/>
      <c r="L250" s="16">
        <v>3748</v>
      </c>
      <c r="M250" s="15"/>
      <c r="N250" s="14"/>
      <c r="O250" s="17"/>
      <c r="P250" s="17"/>
      <c r="Q250" s="17"/>
      <c r="R250" s="17"/>
      <c r="S250" s="17"/>
      <c r="T250" s="17"/>
      <c r="U250" s="17"/>
      <c r="V250" s="17"/>
      <c r="W250" s="11">
        <v>3748</v>
      </c>
      <c r="X250" s="17"/>
    </row>
    <row r="251" spans="1:24" ht="25.5" x14ac:dyDescent="0.25">
      <c r="A251" s="7" t="s">
        <v>16</v>
      </c>
      <c r="B251" s="8">
        <v>8470530</v>
      </c>
      <c r="C251" s="9" t="s">
        <v>311</v>
      </c>
      <c r="D251" s="10">
        <v>432320</v>
      </c>
      <c r="E251" s="9" t="s">
        <v>339</v>
      </c>
      <c r="F251" s="9" t="s">
        <v>341</v>
      </c>
      <c r="G251" s="17"/>
      <c r="H251" s="15"/>
      <c r="I251" s="18">
        <v>-9.0949470177292804E-13</v>
      </c>
      <c r="J251" s="14"/>
      <c r="K251" s="15"/>
      <c r="L251" s="16">
        <v>9.0949470177292804E-13</v>
      </c>
      <c r="M251" s="15"/>
      <c r="N251" s="14"/>
      <c r="O251" s="17"/>
      <c r="P251" s="17"/>
      <c r="Q251" s="17"/>
      <c r="R251" s="17"/>
      <c r="S251" s="17"/>
      <c r="T251" s="17"/>
      <c r="U251" s="17"/>
      <c r="V251" s="17"/>
      <c r="W251" s="11">
        <v>9.0949470177292804E-13</v>
      </c>
      <c r="X251" s="17"/>
    </row>
    <row r="252" spans="1:24" ht="25.5" x14ac:dyDescent="0.25">
      <c r="A252" s="7" t="s">
        <v>16</v>
      </c>
      <c r="B252" s="8">
        <v>8470530</v>
      </c>
      <c r="C252" s="9" t="s">
        <v>311</v>
      </c>
      <c r="D252" s="10">
        <v>432540</v>
      </c>
      <c r="E252" s="9" t="s">
        <v>342</v>
      </c>
      <c r="F252" s="9" t="s">
        <v>343</v>
      </c>
      <c r="G252" s="11">
        <v>89602</v>
      </c>
      <c r="H252" s="12">
        <v>10000</v>
      </c>
      <c r="I252" s="18">
        <v>10000</v>
      </c>
      <c r="J252" s="14"/>
      <c r="K252" s="15"/>
      <c r="L252" s="16">
        <v>0</v>
      </c>
      <c r="M252" s="15"/>
      <c r="N252" s="14"/>
      <c r="O252" s="17"/>
      <c r="P252" s="17"/>
      <c r="Q252" s="17"/>
      <c r="R252" s="17"/>
      <c r="S252" s="17"/>
      <c r="T252" s="17"/>
      <c r="U252" s="17"/>
      <c r="V252" s="17"/>
      <c r="W252" s="11">
        <v>0</v>
      </c>
      <c r="X252" s="17"/>
    </row>
    <row r="253" spans="1:24" ht="25.5" x14ac:dyDescent="0.25">
      <c r="A253" s="7" t="s">
        <v>16</v>
      </c>
      <c r="B253" s="8">
        <v>8470530</v>
      </c>
      <c r="C253" s="9" t="s">
        <v>311</v>
      </c>
      <c r="D253" s="10">
        <v>435410</v>
      </c>
      <c r="E253" s="9" t="s">
        <v>344</v>
      </c>
      <c r="F253" s="9" t="s">
        <v>345</v>
      </c>
      <c r="G253" s="11">
        <v>641386</v>
      </c>
      <c r="H253" s="12">
        <v>43914</v>
      </c>
      <c r="I253" s="13"/>
      <c r="J253" s="19">
        <v>0</v>
      </c>
      <c r="K253" s="12">
        <v>43913.55</v>
      </c>
      <c r="L253" s="16">
        <v>0.44999999999709001</v>
      </c>
      <c r="M253" s="15"/>
      <c r="N253" s="14"/>
      <c r="O253" s="17"/>
      <c r="P253" s="17"/>
      <c r="Q253" s="17"/>
      <c r="R253" s="17"/>
      <c r="S253" s="17"/>
      <c r="T253" s="17"/>
      <c r="U253" s="17"/>
      <c r="V253" s="17"/>
      <c r="W253" s="11">
        <v>0.44999999999709001</v>
      </c>
      <c r="X253" s="17"/>
    </row>
    <row r="254" spans="1:24" ht="25.5" x14ac:dyDescent="0.25">
      <c r="A254" s="7" t="s">
        <v>16</v>
      </c>
      <c r="B254" s="8">
        <v>8470540</v>
      </c>
      <c r="C254" s="9" t="s">
        <v>346</v>
      </c>
      <c r="D254" s="10">
        <v>421100</v>
      </c>
      <c r="E254" s="9" t="s">
        <v>347</v>
      </c>
      <c r="F254" s="9" t="s">
        <v>348</v>
      </c>
      <c r="G254" s="11">
        <v>29417</v>
      </c>
      <c r="H254" s="12">
        <v>26417</v>
      </c>
      <c r="I254" s="13"/>
      <c r="J254" s="14"/>
      <c r="K254" s="15"/>
      <c r="L254" s="16">
        <v>26417</v>
      </c>
      <c r="M254" s="15"/>
      <c r="N254" s="14"/>
      <c r="O254" s="17"/>
      <c r="P254" s="17"/>
      <c r="Q254" s="17"/>
      <c r="R254" s="17"/>
      <c r="S254" s="17"/>
      <c r="T254" s="17"/>
      <c r="U254" s="17"/>
      <c r="V254" s="17"/>
      <c r="W254" s="11">
        <v>26417</v>
      </c>
      <c r="X254" s="17"/>
    </row>
    <row r="255" spans="1:24" ht="25.5" x14ac:dyDescent="0.25">
      <c r="A255" s="7" t="s">
        <v>16</v>
      </c>
      <c r="B255" s="8">
        <v>8470540</v>
      </c>
      <c r="C255" s="9" t="s">
        <v>346</v>
      </c>
      <c r="D255" s="10">
        <v>426800</v>
      </c>
      <c r="E255" s="9" t="s">
        <v>349</v>
      </c>
      <c r="F255" s="9" t="s">
        <v>350</v>
      </c>
      <c r="G255" s="11">
        <v>848</v>
      </c>
      <c r="H255" s="12">
        <v>848</v>
      </c>
      <c r="I255" s="13"/>
      <c r="J255" s="14"/>
      <c r="K255" s="15"/>
      <c r="L255" s="16">
        <v>848</v>
      </c>
      <c r="M255" s="15"/>
      <c r="N255" s="14"/>
      <c r="O255" s="17"/>
      <c r="P255" s="17"/>
      <c r="Q255" s="17"/>
      <c r="R255" s="17"/>
      <c r="S255" s="17"/>
      <c r="T255" s="17"/>
      <c r="U255" s="17"/>
      <c r="V255" s="17"/>
      <c r="W255" s="11">
        <v>848</v>
      </c>
      <c r="X255" s="17"/>
    </row>
    <row r="256" spans="1:24" ht="25.5" x14ac:dyDescent="0.25">
      <c r="A256" s="7" t="s">
        <v>16</v>
      </c>
      <c r="B256" s="8">
        <v>8470540</v>
      </c>
      <c r="C256" s="9" t="s">
        <v>346</v>
      </c>
      <c r="D256" s="10">
        <v>427710</v>
      </c>
      <c r="E256" s="9" t="s">
        <v>45</v>
      </c>
      <c r="F256" s="9" t="s">
        <v>351</v>
      </c>
      <c r="G256" s="11">
        <v>4000</v>
      </c>
      <c r="H256" s="12">
        <v>4000</v>
      </c>
      <c r="I256" s="13"/>
      <c r="J256" s="14"/>
      <c r="K256" s="15"/>
      <c r="L256" s="16">
        <v>4000</v>
      </c>
      <c r="M256" s="15"/>
      <c r="N256" s="14"/>
      <c r="O256" s="17"/>
      <c r="P256" s="17"/>
      <c r="Q256" s="17"/>
      <c r="R256" s="17"/>
      <c r="S256" s="17"/>
      <c r="T256" s="17"/>
      <c r="U256" s="17"/>
      <c r="V256" s="17"/>
      <c r="W256" s="11">
        <v>4000</v>
      </c>
      <c r="X256" s="17"/>
    </row>
    <row r="257" spans="1:24" ht="25.5" x14ac:dyDescent="0.25">
      <c r="A257" s="7" t="s">
        <v>16</v>
      </c>
      <c r="B257" s="8">
        <v>8470540</v>
      </c>
      <c r="C257" s="9" t="s">
        <v>346</v>
      </c>
      <c r="D257" s="10">
        <v>428111</v>
      </c>
      <c r="E257" s="9" t="s">
        <v>352</v>
      </c>
      <c r="F257" s="9" t="s">
        <v>353</v>
      </c>
      <c r="G257" s="11">
        <v>11609542</v>
      </c>
      <c r="H257" s="12">
        <v>11609542</v>
      </c>
      <c r="I257" s="18">
        <v>1099803.3</v>
      </c>
      <c r="J257" s="14"/>
      <c r="K257" s="15"/>
      <c r="L257" s="16">
        <v>10509738.699999999</v>
      </c>
      <c r="M257" s="15"/>
      <c r="N257" s="14"/>
      <c r="O257" s="17"/>
      <c r="P257" s="17"/>
      <c r="Q257" s="17"/>
      <c r="R257" s="17"/>
      <c r="S257" s="17"/>
      <c r="T257" s="17"/>
      <c r="U257" s="17"/>
      <c r="V257" s="17"/>
      <c r="W257" s="11">
        <v>10509738.699999999</v>
      </c>
      <c r="X257" s="17"/>
    </row>
    <row r="258" spans="1:24" ht="25.5" x14ac:dyDescent="0.25">
      <c r="A258" s="7" t="s">
        <v>16</v>
      </c>
      <c r="B258" s="8">
        <v>8470540</v>
      </c>
      <c r="C258" s="9" t="s">
        <v>346</v>
      </c>
      <c r="D258" s="10">
        <v>428111</v>
      </c>
      <c r="E258" s="9" t="s">
        <v>352</v>
      </c>
      <c r="F258" s="9" t="s">
        <v>354</v>
      </c>
      <c r="G258" s="11">
        <v>4835641</v>
      </c>
      <c r="H258" s="12">
        <v>4835641</v>
      </c>
      <c r="I258" s="18">
        <v>608430.43000000005</v>
      </c>
      <c r="J258" s="14"/>
      <c r="K258" s="15"/>
      <c r="L258" s="16">
        <v>4227210.57</v>
      </c>
      <c r="M258" s="15"/>
      <c r="N258" s="14"/>
      <c r="O258" s="17"/>
      <c r="P258" s="17"/>
      <c r="Q258" s="17"/>
      <c r="R258" s="17"/>
      <c r="S258" s="17"/>
      <c r="T258" s="17"/>
      <c r="U258" s="17"/>
      <c r="V258" s="17"/>
      <c r="W258" s="11">
        <v>4227210.57</v>
      </c>
      <c r="X258" s="17"/>
    </row>
    <row r="259" spans="1:24" ht="25.5" x14ac:dyDescent="0.25">
      <c r="A259" s="7" t="s">
        <v>16</v>
      </c>
      <c r="B259" s="8">
        <v>8470540</v>
      </c>
      <c r="C259" s="9" t="s">
        <v>346</v>
      </c>
      <c r="D259" s="10">
        <v>428111</v>
      </c>
      <c r="E259" s="9" t="s">
        <v>352</v>
      </c>
      <c r="F259" s="9" t="s">
        <v>355</v>
      </c>
      <c r="G259" s="11">
        <v>5255311</v>
      </c>
      <c r="H259" s="12">
        <v>5255311</v>
      </c>
      <c r="I259" s="18">
        <v>572161.4</v>
      </c>
      <c r="J259" s="14"/>
      <c r="K259" s="15"/>
      <c r="L259" s="16">
        <v>4683149.5999999996</v>
      </c>
      <c r="M259" s="15"/>
      <c r="N259" s="14"/>
      <c r="O259" s="17"/>
      <c r="P259" s="17"/>
      <c r="Q259" s="17"/>
      <c r="R259" s="17"/>
      <c r="S259" s="17"/>
      <c r="T259" s="17"/>
      <c r="U259" s="17"/>
      <c r="V259" s="17"/>
      <c r="W259" s="11">
        <v>4683149.5999999996</v>
      </c>
      <c r="X259" s="17"/>
    </row>
    <row r="260" spans="1:24" ht="25.5" x14ac:dyDescent="0.25">
      <c r="A260" s="7" t="s">
        <v>16</v>
      </c>
      <c r="B260" s="8">
        <v>8470540</v>
      </c>
      <c r="C260" s="9" t="s">
        <v>346</v>
      </c>
      <c r="D260" s="10">
        <v>428112</v>
      </c>
      <c r="E260" s="9" t="s">
        <v>356</v>
      </c>
      <c r="F260" s="9" t="s">
        <v>357</v>
      </c>
      <c r="G260" s="11">
        <v>1687672</v>
      </c>
      <c r="H260" s="12">
        <v>1687672</v>
      </c>
      <c r="I260" s="18">
        <v>153166.48000000001</v>
      </c>
      <c r="J260" s="14"/>
      <c r="K260" s="15"/>
      <c r="L260" s="16">
        <v>1534505.52</v>
      </c>
      <c r="M260" s="15"/>
      <c r="N260" s="14"/>
      <c r="O260" s="17"/>
      <c r="P260" s="17"/>
      <c r="Q260" s="17"/>
      <c r="R260" s="17"/>
      <c r="S260" s="17"/>
      <c r="T260" s="17"/>
      <c r="U260" s="17"/>
      <c r="V260" s="17"/>
      <c r="W260" s="11">
        <v>1534505.52</v>
      </c>
      <c r="X260" s="17"/>
    </row>
    <row r="261" spans="1:24" ht="25.5" x14ac:dyDescent="0.25">
      <c r="A261" s="7" t="s">
        <v>16</v>
      </c>
      <c r="B261" s="8">
        <v>8470540</v>
      </c>
      <c r="C261" s="9" t="s">
        <v>346</v>
      </c>
      <c r="D261" s="10">
        <v>428112</v>
      </c>
      <c r="E261" s="9" t="s">
        <v>356</v>
      </c>
      <c r="F261" s="9" t="s">
        <v>358</v>
      </c>
      <c r="G261" s="11">
        <v>1479473</v>
      </c>
      <c r="H261" s="12">
        <v>1479473</v>
      </c>
      <c r="I261" s="18">
        <v>196434.49</v>
      </c>
      <c r="J261" s="14"/>
      <c r="K261" s="15"/>
      <c r="L261" s="16">
        <v>1283038.51</v>
      </c>
      <c r="M261" s="15"/>
      <c r="N261" s="14"/>
      <c r="O261" s="17"/>
      <c r="P261" s="17"/>
      <c r="Q261" s="17"/>
      <c r="R261" s="17"/>
      <c r="S261" s="17"/>
      <c r="T261" s="17"/>
      <c r="U261" s="17"/>
      <c r="V261" s="17"/>
      <c r="W261" s="11">
        <v>1283038.51</v>
      </c>
      <c r="X261" s="17"/>
    </row>
    <row r="262" spans="1:24" ht="25.5" x14ac:dyDescent="0.25">
      <c r="A262" s="7" t="s">
        <v>16</v>
      </c>
      <c r="B262" s="8">
        <v>8470540</v>
      </c>
      <c r="C262" s="9" t="s">
        <v>346</v>
      </c>
      <c r="D262" s="10">
        <v>428112</v>
      </c>
      <c r="E262" s="9" t="s">
        <v>356</v>
      </c>
      <c r="F262" s="9" t="s">
        <v>359</v>
      </c>
      <c r="G262" s="11">
        <v>1523249</v>
      </c>
      <c r="H262" s="12">
        <v>1523249</v>
      </c>
      <c r="I262" s="18">
        <v>186662.55</v>
      </c>
      <c r="J262" s="14"/>
      <c r="K262" s="15"/>
      <c r="L262" s="16">
        <v>1336586.45</v>
      </c>
      <c r="M262" s="15"/>
      <c r="N262" s="14"/>
      <c r="O262" s="17"/>
      <c r="P262" s="17"/>
      <c r="Q262" s="17"/>
      <c r="R262" s="17"/>
      <c r="S262" s="17"/>
      <c r="T262" s="17"/>
      <c r="U262" s="17"/>
      <c r="V262" s="17"/>
      <c r="W262" s="11">
        <v>1336586.45</v>
      </c>
      <c r="X262" s="17"/>
    </row>
    <row r="263" spans="1:24" ht="25.5" x14ac:dyDescent="0.25">
      <c r="A263" s="7" t="s">
        <v>16</v>
      </c>
      <c r="B263" s="8">
        <v>8470540</v>
      </c>
      <c r="C263" s="9" t="s">
        <v>346</v>
      </c>
      <c r="D263" s="10">
        <v>430330</v>
      </c>
      <c r="E263" s="9" t="s">
        <v>360</v>
      </c>
      <c r="F263" s="9" t="s">
        <v>361</v>
      </c>
      <c r="G263" s="11">
        <v>989463</v>
      </c>
      <c r="H263" s="12">
        <v>989463</v>
      </c>
      <c r="I263" s="18">
        <v>10730</v>
      </c>
      <c r="J263" s="19">
        <v>384152</v>
      </c>
      <c r="K263" s="12">
        <v>10730</v>
      </c>
      <c r="L263" s="16">
        <v>583851</v>
      </c>
      <c r="M263" s="15"/>
      <c r="N263" s="14"/>
      <c r="O263" s="17"/>
      <c r="P263" s="17"/>
      <c r="Q263" s="17"/>
      <c r="R263" s="17"/>
      <c r="S263" s="17"/>
      <c r="T263" s="17"/>
      <c r="U263" s="17"/>
      <c r="V263" s="17"/>
      <c r="W263" s="11">
        <v>583851</v>
      </c>
      <c r="X263" s="17"/>
    </row>
    <row r="264" spans="1:24" ht="25.5" x14ac:dyDescent="0.25">
      <c r="A264" s="7" t="s">
        <v>16</v>
      </c>
      <c r="B264" s="8">
        <v>8470540</v>
      </c>
      <c r="C264" s="9" t="s">
        <v>346</v>
      </c>
      <c r="D264" s="10">
        <v>432540</v>
      </c>
      <c r="E264" s="9" t="s">
        <v>342</v>
      </c>
      <c r="F264" s="9" t="s">
        <v>362</v>
      </c>
      <c r="G264" s="11">
        <v>0</v>
      </c>
      <c r="H264" s="12">
        <v>79602</v>
      </c>
      <c r="I264" s="13"/>
      <c r="J264" s="14"/>
      <c r="K264" s="15"/>
      <c r="L264" s="16">
        <v>79602</v>
      </c>
      <c r="M264" s="15"/>
      <c r="N264" s="14"/>
      <c r="O264" s="17"/>
      <c r="P264" s="17"/>
      <c r="Q264" s="17"/>
      <c r="R264" s="17"/>
      <c r="S264" s="17"/>
      <c r="T264" s="17"/>
      <c r="U264" s="17"/>
      <c r="V264" s="17"/>
      <c r="W264" s="11">
        <v>79602</v>
      </c>
      <c r="X264" s="17"/>
    </row>
    <row r="265" spans="1:24" ht="25.5" x14ac:dyDescent="0.25">
      <c r="A265" s="7" t="s">
        <v>16</v>
      </c>
      <c r="B265" s="8">
        <v>8470540</v>
      </c>
      <c r="C265" s="9" t="s">
        <v>346</v>
      </c>
      <c r="D265" s="10">
        <v>435410</v>
      </c>
      <c r="E265" s="9" t="s">
        <v>344</v>
      </c>
      <c r="F265" s="9" t="s">
        <v>363</v>
      </c>
      <c r="G265" s="11">
        <v>0</v>
      </c>
      <c r="H265" s="12">
        <v>597472</v>
      </c>
      <c r="I265" s="18">
        <v>19573.580000000002</v>
      </c>
      <c r="J265" s="19">
        <v>-11386.08</v>
      </c>
      <c r="K265" s="12">
        <v>11386.08</v>
      </c>
      <c r="L265" s="16">
        <v>577898.42000000004</v>
      </c>
      <c r="M265" s="15"/>
      <c r="N265" s="14"/>
      <c r="O265" s="17"/>
      <c r="P265" s="17"/>
      <c r="Q265" s="17"/>
      <c r="R265" s="17"/>
      <c r="S265" s="17"/>
      <c r="T265" s="17"/>
      <c r="U265" s="17"/>
      <c r="V265" s="17"/>
      <c r="W265" s="11">
        <v>577898.42000000004</v>
      </c>
      <c r="X265" s="17"/>
    </row>
    <row r="266" spans="1:24" ht="25.5" x14ac:dyDescent="0.25">
      <c r="A266" s="7" t="s">
        <v>16</v>
      </c>
      <c r="B266" s="8">
        <v>8470540</v>
      </c>
      <c r="C266" s="9" t="s">
        <v>346</v>
      </c>
      <c r="D266" s="10">
        <v>435740</v>
      </c>
      <c r="E266" s="9" t="s">
        <v>364</v>
      </c>
      <c r="F266" s="9" t="s">
        <v>365</v>
      </c>
      <c r="G266" s="11">
        <v>252000</v>
      </c>
      <c r="H266" s="12">
        <v>252000</v>
      </c>
      <c r="I266" s="13"/>
      <c r="J266" s="14"/>
      <c r="K266" s="15"/>
      <c r="L266" s="16">
        <v>252000</v>
      </c>
      <c r="M266" s="15"/>
      <c r="N266" s="14"/>
      <c r="O266" s="17"/>
      <c r="P266" s="17"/>
      <c r="Q266" s="17"/>
      <c r="R266" s="17"/>
      <c r="S266" s="17"/>
      <c r="T266" s="17"/>
      <c r="U266" s="17"/>
      <c r="V266" s="17"/>
      <c r="W266" s="11">
        <v>252000</v>
      </c>
      <c r="X266" s="17"/>
    </row>
    <row r="267" spans="1:24" ht="25.5" x14ac:dyDescent="0.25">
      <c r="A267" s="7" t="s">
        <v>16</v>
      </c>
      <c r="B267" s="8">
        <v>8470540</v>
      </c>
      <c r="C267" s="9" t="s">
        <v>346</v>
      </c>
      <c r="D267" s="10">
        <v>436110</v>
      </c>
      <c r="E267" s="9" t="s">
        <v>158</v>
      </c>
      <c r="F267" s="9" t="s">
        <v>366</v>
      </c>
      <c r="G267" s="11">
        <v>53134</v>
      </c>
      <c r="H267" s="12">
        <v>53134</v>
      </c>
      <c r="I267" s="18">
        <v>11100</v>
      </c>
      <c r="J267" s="14"/>
      <c r="K267" s="15"/>
      <c r="L267" s="16">
        <v>42034</v>
      </c>
      <c r="M267" s="15"/>
      <c r="N267" s="14"/>
      <c r="O267" s="17"/>
      <c r="P267" s="17"/>
      <c r="Q267" s="17"/>
      <c r="R267" s="17"/>
      <c r="S267" s="17"/>
      <c r="T267" s="17"/>
      <c r="U267" s="17"/>
      <c r="V267" s="17"/>
      <c r="W267" s="11">
        <v>42034</v>
      </c>
      <c r="X267" s="17"/>
    </row>
    <row r="268" spans="1:24" ht="25.5" x14ac:dyDescent="0.25">
      <c r="A268" s="7" t="s">
        <v>16</v>
      </c>
      <c r="B268" s="8">
        <v>8470605</v>
      </c>
      <c r="C268" s="9" t="s">
        <v>367</v>
      </c>
      <c r="D268" s="10">
        <v>421000</v>
      </c>
      <c r="E268" s="9" t="s">
        <v>34</v>
      </c>
      <c r="F268" s="9" t="s">
        <v>368</v>
      </c>
      <c r="G268" s="11">
        <v>860913</v>
      </c>
      <c r="H268" s="12">
        <v>860913</v>
      </c>
      <c r="I268" s="18">
        <v>54444.44</v>
      </c>
      <c r="J268" s="19">
        <v>0</v>
      </c>
      <c r="K268" s="12">
        <v>190555.56</v>
      </c>
      <c r="L268" s="16">
        <v>615913</v>
      </c>
      <c r="M268" s="15"/>
      <c r="N268" s="14"/>
      <c r="O268" s="17"/>
      <c r="P268" s="17"/>
      <c r="Q268" s="17"/>
      <c r="R268" s="17"/>
      <c r="S268" s="17"/>
      <c r="T268" s="17"/>
      <c r="U268" s="17"/>
      <c r="V268" s="17"/>
      <c r="W268" s="11">
        <v>615913</v>
      </c>
      <c r="X268" s="17"/>
    </row>
    <row r="269" spans="1:24" ht="25.5" x14ac:dyDescent="0.25">
      <c r="A269" s="7" t="s">
        <v>16</v>
      </c>
      <c r="B269" s="8">
        <v>8470605</v>
      </c>
      <c r="C269" s="9" t="s">
        <v>367</v>
      </c>
      <c r="D269" s="10">
        <v>425720</v>
      </c>
      <c r="E269" s="9" t="s">
        <v>185</v>
      </c>
      <c r="F269" s="9" t="s">
        <v>369</v>
      </c>
      <c r="G269" s="11">
        <v>500000</v>
      </c>
      <c r="H269" s="12">
        <v>500000</v>
      </c>
      <c r="I269" s="13"/>
      <c r="J269" s="14"/>
      <c r="K269" s="15"/>
      <c r="L269" s="16">
        <v>500000</v>
      </c>
      <c r="M269" s="15"/>
      <c r="N269" s="14"/>
      <c r="O269" s="17"/>
      <c r="P269" s="17"/>
      <c r="Q269" s="17"/>
      <c r="R269" s="17"/>
      <c r="S269" s="17"/>
      <c r="T269" s="17"/>
      <c r="U269" s="17"/>
      <c r="V269" s="17"/>
      <c r="W269" s="11">
        <v>500000</v>
      </c>
      <c r="X269" s="17"/>
    </row>
    <row r="270" spans="1:24" ht="25.5" x14ac:dyDescent="0.25">
      <c r="A270" s="7" t="s">
        <v>16</v>
      </c>
      <c r="B270" s="8">
        <v>8470605</v>
      </c>
      <c r="C270" s="9" t="s">
        <v>367</v>
      </c>
      <c r="D270" s="10">
        <v>425900</v>
      </c>
      <c r="E270" s="9" t="s">
        <v>24</v>
      </c>
      <c r="F270" s="9" t="s">
        <v>370</v>
      </c>
      <c r="G270" s="11">
        <v>780442</v>
      </c>
      <c r="H270" s="12">
        <v>780442</v>
      </c>
      <c r="I270" s="13"/>
      <c r="J270" s="14"/>
      <c r="K270" s="15"/>
      <c r="L270" s="16">
        <v>780442</v>
      </c>
      <c r="M270" s="15"/>
      <c r="N270" s="14"/>
      <c r="O270" s="17"/>
      <c r="P270" s="17"/>
      <c r="Q270" s="17"/>
      <c r="R270" s="17"/>
      <c r="S270" s="17"/>
      <c r="T270" s="17"/>
      <c r="U270" s="17"/>
      <c r="V270" s="17"/>
      <c r="W270" s="11">
        <v>780442</v>
      </c>
      <c r="X270" s="17"/>
    </row>
    <row r="271" spans="1:24" ht="25.5" x14ac:dyDescent="0.25">
      <c r="A271" s="7" t="s">
        <v>16</v>
      </c>
      <c r="B271" s="8">
        <v>8470605</v>
      </c>
      <c r="C271" s="9" t="s">
        <v>367</v>
      </c>
      <c r="D271" s="10">
        <v>428090</v>
      </c>
      <c r="E271" s="9" t="s">
        <v>26</v>
      </c>
      <c r="F271" s="9" t="s">
        <v>371</v>
      </c>
      <c r="G271" s="11">
        <v>962922</v>
      </c>
      <c r="H271" s="12">
        <v>962922</v>
      </c>
      <c r="I271" s="18">
        <v>1650</v>
      </c>
      <c r="J271" s="14"/>
      <c r="K271" s="15"/>
      <c r="L271" s="16">
        <v>961272</v>
      </c>
      <c r="M271" s="15"/>
      <c r="N271" s="14"/>
      <c r="O271" s="17"/>
      <c r="P271" s="17"/>
      <c r="Q271" s="17"/>
      <c r="R271" s="17"/>
      <c r="S271" s="17"/>
      <c r="T271" s="17"/>
      <c r="U271" s="17"/>
      <c r="V271" s="17"/>
      <c r="W271" s="11">
        <v>961272</v>
      </c>
      <c r="X271" s="17"/>
    </row>
    <row r="272" spans="1:24" ht="25.5" x14ac:dyDescent="0.25">
      <c r="A272" s="7" t="s">
        <v>16</v>
      </c>
      <c r="B272" s="8">
        <v>8470605</v>
      </c>
      <c r="C272" s="9" t="s">
        <v>367</v>
      </c>
      <c r="D272" s="10">
        <v>429900</v>
      </c>
      <c r="E272" s="9" t="s">
        <v>270</v>
      </c>
      <c r="F272" s="9" t="s">
        <v>372</v>
      </c>
      <c r="G272" s="11">
        <v>500000</v>
      </c>
      <c r="H272" s="12">
        <v>500000</v>
      </c>
      <c r="I272" s="13"/>
      <c r="J272" s="14"/>
      <c r="K272" s="15"/>
      <c r="L272" s="16">
        <v>500000</v>
      </c>
      <c r="M272" s="15"/>
      <c r="N272" s="14"/>
      <c r="O272" s="17"/>
      <c r="P272" s="17"/>
      <c r="Q272" s="17"/>
      <c r="R272" s="17"/>
      <c r="S272" s="17"/>
      <c r="T272" s="17"/>
      <c r="U272" s="17"/>
      <c r="V272" s="17"/>
      <c r="W272" s="11">
        <v>500000</v>
      </c>
      <c r="X272" s="17"/>
    </row>
    <row r="273" spans="1:24" ht="25.5" x14ac:dyDescent="0.25">
      <c r="A273" s="7" t="s">
        <v>16</v>
      </c>
      <c r="B273" s="8">
        <v>8470620</v>
      </c>
      <c r="C273" s="9" t="s">
        <v>373</v>
      </c>
      <c r="D273" s="10">
        <v>420130</v>
      </c>
      <c r="E273" s="9" t="s">
        <v>374</v>
      </c>
      <c r="F273" s="9" t="s">
        <v>375</v>
      </c>
      <c r="G273" s="11">
        <v>383200</v>
      </c>
      <c r="H273" s="12">
        <v>383200</v>
      </c>
      <c r="I273" s="18">
        <v>0</v>
      </c>
      <c r="J273" s="14"/>
      <c r="K273" s="15"/>
      <c r="L273" s="16">
        <v>383200</v>
      </c>
      <c r="M273" s="15"/>
      <c r="N273" s="14"/>
      <c r="O273" s="17"/>
      <c r="P273" s="17"/>
      <c r="Q273" s="17"/>
      <c r="R273" s="17"/>
      <c r="S273" s="17"/>
      <c r="T273" s="17"/>
      <c r="U273" s="17"/>
      <c r="V273" s="17"/>
      <c r="W273" s="11">
        <v>383200</v>
      </c>
      <c r="X273" s="17"/>
    </row>
    <row r="274" spans="1:24" ht="25.5" x14ac:dyDescent="0.25">
      <c r="A274" s="7" t="s">
        <v>16</v>
      </c>
      <c r="B274" s="8">
        <v>8470620</v>
      </c>
      <c r="C274" s="9" t="s">
        <v>373</v>
      </c>
      <c r="D274" s="10">
        <v>422900</v>
      </c>
      <c r="E274" s="9" t="s">
        <v>376</v>
      </c>
      <c r="F274" s="9" t="s">
        <v>377</v>
      </c>
      <c r="G274" s="11">
        <v>1119270</v>
      </c>
      <c r="H274" s="12">
        <v>1119270</v>
      </c>
      <c r="I274" s="18">
        <v>306860</v>
      </c>
      <c r="J274" s="19">
        <v>-132860</v>
      </c>
      <c r="K274" s="12">
        <v>248860</v>
      </c>
      <c r="L274" s="16">
        <v>696410</v>
      </c>
      <c r="M274" s="15"/>
      <c r="N274" s="14"/>
      <c r="O274" s="17"/>
      <c r="P274" s="17"/>
      <c r="Q274" s="17"/>
      <c r="R274" s="17"/>
      <c r="S274" s="17"/>
      <c r="T274" s="17"/>
      <c r="U274" s="17"/>
      <c r="V274" s="17"/>
      <c r="W274" s="11">
        <v>696410</v>
      </c>
      <c r="X274" s="17"/>
    </row>
    <row r="275" spans="1:24" ht="25.5" x14ac:dyDescent="0.25">
      <c r="A275" s="7" t="s">
        <v>16</v>
      </c>
      <c r="B275" s="8">
        <v>8470620</v>
      </c>
      <c r="C275" s="9" t="s">
        <v>373</v>
      </c>
      <c r="D275" s="10">
        <v>425300</v>
      </c>
      <c r="E275" s="9" t="s">
        <v>378</v>
      </c>
      <c r="F275" s="9" t="s">
        <v>379</v>
      </c>
      <c r="G275" s="11">
        <v>537</v>
      </c>
      <c r="H275" s="12">
        <v>537</v>
      </c>
      <c r="I275" s="18">
        <v>54.08</v>
      </c>
      <c r="J275" s="14"/>
      <c r="K275" s="15"/>
      <c r="L275" s="16">
        <v>482.92</v>
      </c>
      <c r="M275" s="15"/>
      <c r="N275" s="14"/>
      <c r="O275" s="17"/>
      <c r="P275" s="17"/>
      <c r="Q275" s="17"/>
      <c r="R275" s="17"/>
      <c r="S275" s="17"/>
      <c r="T275" s="17"/>
      <c r="U275" s="17"/>
      <c r="V275" s="17"/>
      <c r="W275" s="11">
        <v>482.92</v>
      </c>
      <c r="X275" s="17"/>
    </row>
    <row r="276" spans="1:24" ht="25.5" x14ac:dyDescent="0.25">
      <c r="A276" s="7" t="s">
        <v>16</v>
      </c>
      <c r="B276" s="8">
        <v>8470620</v>
      </c>
      <c r="C276" s="9" t="s">
        <v>373</v>
      </c>
      <c r="D276" s="10">
        <v>425350</v>
      </c>
      <c r="E276" s="9" t="s">
        <v>380</v>
      </c>
      <c r="F276" s="9" t="s">
        <v>381</v>
      </c>
      <c r="G276" s="11">
        <v>99124</v>
      </c>
      <c r="H276" s="12">
        <v>96524</v>
      </c>
      <c r="I276" s="18">
        <v>34822.46</v>
      </c>
      <c r="J276" s="14"/>
      <c r="K276" s="15"/>
      <c r="L276" s="16">
        <v>61701.54</v>
      </c>
      <c r="M276" s="15"/>
      <c r="N276" s="14"/>
      <c r="O276" s="17"/>
      <c r="P276" s="17"/>
      <c r="Q276" s="17"/>
      <c r="R276" s="17"/>
      <c r="S276" s="17"/>
      <c r="T276" s="17"/>
      <c r="U276" s="17"/>
      <c r="V276" s="17"/>
      <c r="W276" s="11">
        <v>61701.54</v>
      </c>
      <c r="X276" s="17"/>
    </row>
    <row r="277" spans="1:24" ht="25.5" x14ac:dyDescent="0.25">
      <c r="A277" s="7" t="s">
        <v>16</v>
      </c>
      <c r="B277" s="8">
        <v>8470620</v>
      </c>
      <c r="C277" s="9" t="s">
        <v>373</v>
      </c>
      <c r="D277" s="10">
        <v>425900</v>
      </c>
      <c r="E277" s="9" t="s">
        <v>24</v>
      </c>
      <c r="F277" s="9" t="s">
        <v>382</v>
      </c>
      <c r="G277" s="11">
        <v>2176</v>
      </c>
      <c r="H277" s="12">
        <v>2176</v>
      </c>
      <c r="I277" s="13"/>
      <c r="J277" s="14"/>
      <c r="K277" s="15"/>
      <c r="L277" s="16">
        <v>2176</v>
      </c>
      <c r="M277" s="15"/>
      <c r="N277" s="14"/>
      <c r="O277" s="17"/>
      <c r="P277" s="17"/>
      <c r="Q277" s="17"/>
      <c r="R277" s="17"/>
      <c r="S277" s="17"/>
      <c r="T277" s="17"/>
      <c r="U277" s="17"/>
      <c r="V277" s="17"/>
      <c r="W277" s="11">
        <v>2176</v>
      </c>
      <c r="X277" s="17"/>
    </row>
    <row r="278" spans="1:24" ht="25.5" x14ac:dyDescent="0.25">
      <c r="A278" s="7" t="s">
        <v>16</v>
      </c>
      <c r="B278" s="8">
        <v>8470620</v>
      </c>
      <c r="C278" s="9" t="s">
        <v>373</v>
      </c>
      <c r="D278" s="10">
        <v>426610</v>
      </c>
      <c r="E278" s="9" t="s">
        <v>39</v>
      </c>
      <c r="F278" s="9" t="s">
        <v>383</v>
      </c>
      <c r="G278" s="11">
        <v>31680</v>
      </c>
      <c r="H278" s="12">
        <v>34280</v>
      </c>
      <c r="I278" s="13"/>
      <c r="J278" s="19">
        <v>0</v>
      </c>
      <c r="K278" s="12">
        <v>31680</v>
      </c>
      <c r="L278" s="16">
        <v>2600</v>
      </c>
      <c r="M278" s="15"/>
      <c r="N278" s="14"/>
      <c r="O278" s="17"/>
      <c r="P278" s="17"/>
      <c r="Q278" s="17"/>
      <c r="R278" s="17"/>
      <c r="S278" s="17"/>
      <c r="T278" s="17"/>
      <c r="U278" s="17"/>
      <c r="V278" s="17"/>
      <c r="W278" s="11">
        <v>2600</v>
      </c>
      <c r="X278" s="17"/>
    </row>
    <row r="279" spans="1:24" ht="25.5" x14ac:dyDescent="0.25">
      <c r="A279" s="7" t="s">
        <v>16</v>
      </c>
      <c r="B279" s="8">
        <v>8470720</v>
      </c>
      <c r="C279" s="9" t="s">
        <v>384</v>
      </c>
      <c r="D279" s="10">
        <v>421000</v>
      </c>
      <c r="E279" s="9" t="s">
        <v>34</v>
      </c>
      <c r="F279" s="9" t="s">
        <v>385</v>
      </c>
      <c r="G279" s="11">
        <v>225000</v>
      </c>
      <c r="H279" s="12">
        <v>300000</v>
      </c>
      <c r="I279" s="13"/>
      <c r="J279" s="19">
        <v>300000</v>
      </c>
      <c r="K279" s="15"/>
      <c r="L279" s="16">
        <v>0</v>
      </c>
      <c r="M279" s="15"/>
      <c r="N279" s="14"/>
      <c r="O279" s="17"/>
      <c r="P279" s="17"/>
      <c r="Q279" s="17"/>
      <c r="R279" s="17"/>
      <c r="S279" s="17"/>
      <c r="T279" s="17"/>
      <c r="U279" s="17"/>
      <c r="V279" s="17"/>
      <c r="W279" s="11">
        <v>0</v>
      </c>
      <c r="X279" s="17"/>
    </row>
    <row r="280" spans="1:24" ht="25.5" x14ac:dyDescent="0.25">
      <c r="A280" s="7" t="s">
        <v>16</v>
      </c>
      <c r="B280" s="8">
        <v>8470720</v>
      </c>
      <c r="C280" s="9" t="s">
        <v>384</v>
      </c>
      <c r="D280" s="10">
        <v>421700</v>
      </c>
      <c r="E280" s="9" t="s">
        <v>36</v>
      </c>
      <c r="F280" s="9" t="s">
        <v>386</v>
      </c>
      <c r="G280" s="11">
        <v>10000</v>
      </c>
      <c r="H280" s="12">
        <v>10000</v>
      </c>
      <c r="I280" s="13"/>
      <c r="J280" s="14"/>
      <c r="K280" s="15"/>
      <c r="L280" s="16">
        <v>10000</v>
      </c>
      <c r="M280" s="15"/>
      <c r="N280" s="14"/>
      <c r="O280" s="17"/>
      <c r="P280" s="17"/>
      <c r="Q280" s="17"/>
      <c r="R280" s="17"/>
      <c r="S280" s="17"/>
      <c r="T280" s="17"/>
      <c r="U280" s="17"/>
      <c r="V280" s="17"/>
      <c r="W280" s="11">
        <v>10000</v>
      </c>
      <c r="X280" s="17"/>
    </row>
    <row r="281" spans="1:24" ht="25.5" x14ac:dyDescent="0.25">
      <c r="A281" s="7" t="s">
        <v>16</v>
      </c>
      <c r="B281" s="8">
        <v>8470720</v>
      </c>
      <c r="C281" s="9" t="s">
        <v>384</v>
      </c>
      <c r="D281" s="10">
        <v>422900</v>
      </c>
      <c r="E281" s="9" t="s">
        <v>376</v>
      </c>
      <c r="F281" s="9" t="s">
        <v>387</v>
      </c>
      <c r="G281" s="11">
        <v>75000</v>
      </c>
      <c r="H281" s="12">
        <v>0</v>
      </c>
      <c r="I281" s="13"/>
      <c r="J281" s="14"/>
      <c r="K281" s="15"/>
      <c r="L281" s="16">
        <v>0</v>
      </c>
      <c r="M281" s="15"/>
      <c r="N281" s="14"/>
      <c r="O281" s="17"/>
      <c r="P281" s="17"/>
      <c r="Q281" s="17"/>
      <c r="R281" s="17"/>
      <c r="S281" s="17"/>
      <c r="T281" s="17"/>
      <c r="U281" s="17"/>
      <c r="V281" s="17"/>
      <c r="W281" s="11">
        <v>0</v>
      </c>
      <c r="X281" s="17"/>
    </row>
    <row r="282" spans="1:24" ht="25.5" x14ac:dyDescent="0.25">
      <c r="A282" s="7" t="s">
        <v>16</v>
      </c>
      <c r="B282" s="8">
        <v>8470720</v>
      </c>
      <c r="C282" s="9" t="s">
        <v>384</v>
      </c>
      <c r="D282" s="10">
        <v>425900</v>
      </c>
      <c r="E282" s="9" t="s">
        <v>24</v>
      </c>
      <c r="F282" s="9" t="s">
        <v>388</v>
      </c>
      <c r="G282" s="11">
        <v>0</v>
      </c>
      <c r="H282" s="12">
        <v>20000</v>
      </c>
      <c r="I282" s="18">
        <v>13125</v>
      </c>
      <c r="J282" s="14"/>
      <c r="K282" s="15"/>
      <c r="L282" s="16">
        <v>6875</v>
      </c>
      <c r="M282" s="15"/>
      <c r="N282" s="14"/>
      <c r="O282" s="17"/>
      <c r="P282" s="17"/>
      <c r="Q282" s="17"/>
      <c r="R282" s="17"/>
      <c r="S282" s="17"/>
      <c r="T282" s="17"/>
      <c r="U282" s="17"/>
      <c r="V282" s="17"/>
      <c r="W282" s="11">
        <v>6875</v>
      </c>
      <c r="X282" s="17"/>
    </row>
    <row r="283" spans="1:24" ht="25.5" x14ac:dyDescent="0.25">
      <c r="A283" s="7" t="s">
        <v>16</v>
      </c>
      <c r="B283" s="8">
        <v>8470720</v>
      </c>
      <c r="C283" s="9" t="s">
        <v>384</v>
      </c>
      <c r="D283" s="10">
        <v>426610</v>
      </c>
      <c r="E283" s="9" t="s">
        <v>39</v>
      </c>
      <c r="F283" s="9" t="s">
        <v>389</v>
      </c>
      <c r="G283" s="11">
        <v>5000</v>
      </c>
      <c r="H283" s="12">
        <v>5000</v>
      </c>
      <c r="I283" s="13"/>
      <c r="J283" s="14"/>
      <c r="K283" s="15"/>
      <c r="L283" s="16">
        <v>5000</v>
      </c>
      <c r="M283" s="15"/>
      <c r="N283" s="14"/>
      <c r="O283" s="17"/>
      <c r="P283" s="17"/>
      <c r="Q283" s="17"/>
      <c r="R283" s="17"/>
      <c r="S283" s="17"/>
      <c r="T283" s="17"/>
      <c r="U283" s="17"/>
      <c r="V283" s="17"/>
      <c r="W283" s="11">
        <v>5000</v>
      </c>
      <c r="X283" s="17"/>
    </row>
    <row r="284" spans="1:24" ht="25.5" x14ac:dyDescent="0.25">
      <c r="A284" s="7" t="s">
        <v>16</v>
      </c>
      <c r="B284" s="8">
        <v>8470720</v>
      </c>
      <c r="C284" s="9" t="s">
        <v>384</v>
      </c>
      <c r="D284" s="10">
        <v>426900</v>
      </c>
      <c r="E284" s="9" t="s">
        <v>328</v>
      </c>
      <c r="F284" s="9" t="s">
        <v>390</v>
      </c>
      <c r="G284" s="11">
        <v>10000</v>
      </c>
      <c r="H284" s="12">
        <v>10000</v>
      </c>
      <c r="I284" s="18">
        <v>1855.53</v>
      </c>
      <c r="J284" s="14"/>
      <c r="K284" s="15"/>
      <c r="L284" s="16">
        <v>8160.47</v>
      </c>
      <c r="M284" s="15"/>
      <c r="N284" s="14"/>
      <c r="O284" s="17"/>
      <c r="P284" s="17"/>
      <c r="Q284" s="17"/>
      <c r="R284" s="17"/>
      <c r="S284" s="17"/>
      <c r="T284" s="17"/>
      <c r="U284" s="17"/>
      <c r="V284" s="17"/>
      <c r="W284" s="11">
        <v>8160.47</v>
      </c>
      <c r="X284" s="17"/>
    </row>
    <row r="285" spans="1:24" ht="25.5" x14ac:dyDescent="0.25">
      <c r="A285" s="7" t="s">
        <v>16</v>
      </c>
      <c r="B285" s="8">
        <v>8470720</v>
      </c>
      <c r="C285" s="9" t="s">
        <v>384</v>
      </c>
      <c r="D285" s="10">
        <v>428090</v>
      </c>
      <c r="E285" s="9" t="s">
        <v>26</v>
      </c>
      <c r="F285" s="9" t="s">
        <v>391</v>
      </c>
      <c r="G285" s="11">
        <v>0</v>
      </c>
      <c r="H285" s="12">
        <v>100000</v>
      </c>
      <c r="I285" s="13"/>
      <c r="J285" s="14"/>
      <c r="K285" s="15"/>
      <c r="L285" s="16">
        <v>100000</v>
      </c>
      <c r="M285" s="15"/>
      <c r="N285" s="14"/>
      <c r="O285" s="17"/>
      <c r="P285" s="17"/>
      <c r="Q285" s="17"/>
      <c r="R285" s="17"/>
      <c r="S285" s="17"/>
      <c r="T285" s="17"/>
      <c r="U285" s="17"/>
      <c r="V285" s="17"/>
      <c r="W285" s="11">
        <v>100000</v>
      </c>
      <c r="X285" s="17"/>
    </row>
    <row r="286" spans="1:24" ht="25.5" x14ac:dyDescent="0.25">
      <c r="A286" s="7" t="s">
        <v>16</v>
      </c>
      <c r="B286" s="8">
        <v>8470720</v>
      </c>
      <c r="C286" s="9" t="s">
        <v>384</v>
      </c>
      <c r="D286" s="10">
        <v>428200</v>
      </c>
      <c r="E286" s="9" t="s">
        <v>309</v>
      </c>
      <c r="F286" s="9" t="s">
        <v>392</v>
      </c>
      <c r="G286" s="11">
        <v>300000</v>
      </c>
      <c r="H286" s="12">
        <v>300000</v>
      </c>
      <c r="I286" s="18">
        <v>95642</v>
      </c>
      <c r="J286" s="19">
        <v>11148.2</v>
      </c>
      <c r="K286" s="12">
        <v>0</v>
      </c>
      <c r="L286" s="16">
        <v>193209.8</v>
      </c>
      <c r="M286" s="15"/>
      <c r="N286" s="14"/>
      <c r="O286" s="17"/>
      <c r="P286" s="17"/>
      <c r="Q286" s="17"/>
      <c r="R286" s="17"/>
      <c r="S286" s="17"/>
      <c r="T286" s="17"/>
      <c r="U286" s="17"/>
      <c r="V286" s="17"/>
      <c r="W286" s="11">
        <v>193209.8</v>
      </c>
      <c r="X286" s="17"/>
    </row>
    <row r="287" spans="1:24" ht="25.5" x14ac:dyDescent="0.25">
      <c r="A287" s="7" t="s">
        <v>16</v>
      </c>
      <c r="B287" s="8">
        <v>8470720</v>
      </c>
      <c r="C287" s="9" t="s">
        <v>384</v>
      </c>
      <c r="D287" s="10">
        <v>428640</v>
      </c>
      <c r="E287" s="9" t="s">
        <v>59</v>
      </c>
      <c r="F287" s="9" t="s">
        <v>393</v>
      </c>
      <c r="G287" s="17"/>
      <c r="H287" s="15"/>
      <c r="I287" s="18">
        <v>0</v>
      </c>
      <c r="J287" s="14"/>
      <c r="K287" s="15"/>
      <c r="L287" s="16">
        <v>0</v>
      </c>
      <c r="M287" s="15"/>
      <c r="N287" s="14"/>
      <c r="O287" s="17"/>
      <c r="P287" s="17"/>
      <c r="Q287" s="17"/>
      <c r="R287" s="17"/>
      <c r="S287" s="17"/>
      <c r="T287" s="17"/>
      <c r="U287" s="17"/>
      <c r="V287" s="17"/>
      <c r="W287" s="11">
        <v>0</v>
      </c>
      <c r="X287" s="17"/>
    </row>
    <row r="288" spans="1:24" ht="25.5" x14ac:dyDescent="0.25">
      <c r="A288" s="7" t="s">
        <v>16</v>
      </c>
      <c r="B288" s="8">
        <v>8470720</v>
      </c>
      <c r="C288" s="9" t="s">
        <v>384</v>
      </c>
      <c r="D288" s="10">
        <v>435410</v>
      </c>
      <c r="E288" s="9" t="s">
        <v>344</v>
      </c>
      <c r="F288" s="9" t="s">
        <v>394</v>
      </c>
      <c r="G288" s="11">
        <v>450</v>
      </c>
      <c r="H288" s="12">
        <v>450</v>
      </c>
      <c r="I288" s="13"/>
      <c r="J288" s="14"/>
      <c r="K288" s="15"/>
      <c r="L288" s="16">
        <v>450</v>
      </c>
      <c r="M288" s="15"/>
      <c r="N288" s="14"/>
      <c r="O288" s="17"/>
      <c r="P288" s="17"/>
      <c r="Q288" s="17"/>
      <c r="R288" s="17"/>
      <c r="S288" s="17"/>
      <c r="T288" s="17"/>
      <c r="U288" s="17"/>
      <c r="V288" s="17"/>
      <c r="W288" s="11">
        <v>450</v>
      </c>
      <c r="X288" s="17"/>
    </row>
    <row r="289" spans="1:24" ht="25.5" x14ac:dyDescent="0.25">
      <c r="A289" s="7" t="s">
        <v>16</v>
      </c>
      <c r="B289" s="8">
        <v>8470720</v>
      </c>
      <c r="C289" s="9" t="s">
        <v>384</v>
      </c>
      <c r="D289" s="10">
        <v>436110</v>
      </c>
      <c r="E289" s="9" t="s">
        <v>158</v>
      </c>
      <c r="F289" s="9" t="s">
        <v>395</v>
      </c>
      <c r="G289" s="11">
        <v>25000</v>
      </c>
      <c r="H289" s="12">
        <v>25000</v>
      </c>
      <c r="I289" s="13"/>
      <c r="J289" s="14"/>
      <c r="K289" s="15"/>
      <c r="L289" s="16">
        <v>25000</v>
      </c>
      <c r="M289" s="15"/>
      <c r="N289" s="14"/>
      <c r="O289" s="17"/>
      <c r="P289" s="17"/>
      <c r="Q289" s="17"/>
      <c r="R289" s="17"/>
      <c r="S289" s="17"/>
      <c r="T289" s="17"/>
      <c r="U289" s="17"/>
      <c r="V289" s="17"/>
      <c r="W289" s="11">
        <v>25000</v>
      </c>
      <c r="X289" s="17"/>
    </row>
    <row r="290" spans="1:24" ht="25.5" x14ac:dyDescent="0.25">
      <c r="A290" s="7" t="s">
        <v>16</v>
      </c>
      <c r="B290" s="8">
        <v>8470720</v>
      </c>
      <c r="C290" s="9" t="s">
        <v>384</v>
      </c>
      <c r="D290" s="10">
        <v>436120</v>
      </c>
      <c r="E290" s="9" t="s">
        <v>396</v>
      </c>
      <c r="F290" s="9" t="s">
        <v>397</v>
      </c>
      <c r="G290" s="11">
        <v>168681</v>
      </c>
      <c r="H290" s="12">
        <v>168681</v>
      </c>
      <c r="I290" s="18">
        <v>13850</v>
      </c>
      <c r="J290" s="19">
        <v>0</v>
      </c>
      <c r="K290" s="12">
        <v>17604.599999999999</v>
      </c>
      <c r="L290" s="16">
        <v>137226.4</v>
      </c>
      <c r="M290" s="15"/>
      <c r="N290" s="14"/>
      <c r="O290" s="17"/>
      <c r="P290" s="17"/>
      <c r="Q290" s="17"/>
      <c r="R290" s="17"/>
      <c r="S290" s="17"/>
      <c r="T290" s="17"/>
      <c r="U290" s="17"/>
      <c r="V290" s="17"/>
      <c r="W290" s="11">
        <v>137226.4</v>
      </c>
      <c r="X290" s="17"/>
    </row>
    <row r="291" spans="1:24" ht="25.5" x14ac:dyDescent="0.25">
      <c r="A291" s="7" t="s">
        <v>16</v>
      </c>
      <c r="B291" s="8">
        <v>8470730</v>
      </c>
      <c r="C291" s="9" t="s">
        <v>398</v>
      </c>
      <c r="D291" s="10">
        <v>421000</v>
      </c>
      <c r="E291" s="9" t="s">
        <v>34</v>
      </c>
      <c r="F291" s="9" t="s">
        <v>399</v>
      </c>
      <c r="G291" s="11">
        <v>132578</v>
      </c>
      <c r="H291" s="12">
        <v>132579</v>
      </c>
      <c r="I291" s="18">
        <v>175272.73</v>
      </c>
      <c r="J291" s="19">
        <v>-132578.07</v>
      </c>
      <c r="K291" s="12">
        <v>89883.41</v>
      </c>
      <c r="L291" s="16">
        <v>0.92999999999301497</v>
      </c>
      <c r="M291" s="15"/>
      <c r="N291" s="14"/>
      <c r="O291" s="17"/>
      <c r="P291" s="17"/>
      <c r="Q291" s="17"/>
      <c r="R291" s="17"/>
      <c r="S291" s="17"/>
      <c r="T291" s="17"/>
      <c r="U291" s="17"/>
      <c r="V291" s="17"/>
      <c r="W291" s="11">
        <v>0.92999999999301497</v>
      </c>
      <c r="X291" s="17"/>
    </row>
    <row r="292" spans="1:24" ht="25.5" x14ac:dyDescent="0.25">
      <c r="A292" s="7" t="s">
        <v>16</v>
      </c>
      <c r="B292" s="8">
        <v>8470730</v>
      </c>
      <c r="C292" s="9" t="s">
        <v>398</v>
      </c>
      <c r="D292" s="10">
        <v>425900</v>
      </c>
      <c r="E292" s="9" t="s">
        <v>24</v>
      </c>
      <c r="F292" s="9" t="s">
        <v>400</v>
      </c>
      <c r="G292" s="11">
        <v>7140</v>
      </c>
      <c r="H292" s="12">
        <v>12770</v>
      </c>
      <c r="I292" s="18">
        <v>7140</v>
      </c>
      <c r="J292" s="19">
        <v>-7140</v>
      </c>
      <c r="K292" s="12">
        <v>7140</v>
      </c>
      <c r="L292" s="16">
        <v>5630</v>
      </c>
      <c r="M292" s="15"/>
      <c r="N292" s="14"/>
      <c r="O292" s="17"/>
      <c r="P292" s="17"/>
      <c r="Q292" s="17"/>
      <c r="R292" s="17"/>
      <c r="S292" s="17"/>
      <c r="T292" s="17"/>
      <c r="U292" s="17"/>
      <c r="V292" s="17"/>
      <c r="W292" s="11">
        <v>5630</v>
      </c>
      <c r="X292" s="17"/>
    </row>
    <row r="293" spans="1:24" ht="25.5" x14ac:dyDescent="0.25">
      <c r="A293" s="7" t="s">
        <v>16</v>
      </c>
      <c r="B293" s="8">
        <v>8470730</v>
      </c>
      <c r="C293" s="9" t="s">
        <v>398</v>
      </c>
      <c r="D293" s="10">
        <v>426610</v>
      </c>
      <c r="E293" s="9" t="s">
        <v>39</v>
      </c>
      <c r="F293" s="9" t="s">
        <v>401</v>
      </c>
      <c r="G293" s="11">
        <v>183285</v>
      </c>
      <c r="H293" s="12">
        <v>80274</v>
      </c>
      <c r="I293" s="18">
        <v>17850</v>
      </c>
      <c r="J293" s="19">
        <v>-17850</v>
      </c>
      <c r="K293" s="12">
        <v>18000</v>
      </c>
      <c r="L293" s="16">
        <v>62274</v>
      </c>
      <c r="M293" s="15"/>
      <c r="N293" s="14"/>
      <c r="O293" s="17"/>
      <c r="P293" s="17"/>
      <c r="Q293" s="17"/>
      <c r="R293" s="17"/>
      <c r="S293" s="17"/>
      <c r="T293" s="17"/>
      <c r="U293" s="17"/>
      <c r="V293" s="17"/>
      <c r="W293" s="11">
        <v>62274</v>
      </c>
      <c r="X293" s="17"/>
    </row>
    <row r="294" spans="1:24" ht="25.5" x14ac:dyDescent="0.25">
      <c r="A294" s="7" t="s">
        <v>16</v>
      </c>
      <c r="B294" s="8">
        <v>8470730</v>
      </c>
      <c r="C294" s="9" t="s">
        <v>398</v>
      </c>
      <c r="D294" s="10">
        <v>428090</v>
      </c>
      <c r="E294" s="9" t="s">
        <v>26</v>
      </c>
      <c r="F294" s="9" t="s">
        <v>402</v>
      </c>
      <c r="G294" s="11">
        <v>0</v>
      </c>
      <c r="H294" s="12">
        <v>0</v>
      </c>
      <c r="I294" s="13"/>
      <c r="J294" s="14"/>
      <c r="K294" s="15"/>
      <c r="L294" s="16">
        <v>0</v>
      </c>
      <c r="M294" s="15"/>
      <c r="N294" s="14"/>
      <c r="O294" s="17"/>
      <c r="P294" s="17"/>
      <c r="Q294" s="17"/>
      <c r="R294" s="17"/>
      <c r="S294" s="17"/>
      <c r="T294" s="17"/>
      <c r="U294" s="17"/>
      <c r="V294" s="17"/>
      <c r="W294" s="11">
        <v>0</v>
      </c>
      <c r="X294" s="17"/>
    </row>
    <row r="295" spans="1:24" ht="25.5" x14ac:dyDescent="0.25">
      <c r="A295" s="7" t="s">
        <v>16</v>
      </c>
      <c r="B295" s="8">
        <v>8470730</v>
      </c>
      <c r="C295" s="9" t="s">
        <v>398</v>
      </c>
      <c r="D295" s="10">
        <v>428640</v>
      </c>
      <c r="E295" s="9" t="s">
        <v>59</v>
      </c>
      <c r="F295" s="9" t="s">
        <v>403</v>
      </c>
      <c r="G295" s="11">
        <v>205048</v>
      </c>
      <c r="H295" s="12">
        <v>415288</v>
      </c>
      <c r="I295" s="18">
        <v>431157.5</v>
      </c>
      <c r="J295" s="19">
        <v>-23100</v>
      </c>
      <c r="K295" s="12">
        <v>0</v>
      </c>
      <c r="L295" s="16">
        <v>7230.5</v>
      </c>
      <c r="M295" s="15"/>
      <c r="N295" s="14"/>
      <c r="O295" s="17"/>
      <c r="P295" s="17"/>
      <c r="Q295" s="17"/>
      <c r="R295" s="17"/>
      <c r="S295" s="17"/>
      <c r="T295" s="17"/>
      <c r="U295" s="17"/>
      <c r="V295" s="17"/>
      <c r="W295" s="11">
        <v>7230.5</v>
      </c>
      <c r="X295" s="17"/>
    </row>
    <row r="296" spans="1:24" ht="25.5" x14ac:dyDescent="0.25">
      <c r="A296" s="7" t="s">
        <v>16</v>
      </c>
      <c r="B296" s="8">
        <v>8470730</v>
      </c>
      <c r="C296" s="9" t="s">
        <v>398</v>
      </c>
      <c r="D296" s="10">
        <v>436110</v>
      </c>
      <c r="E296" s="9" t="s">
        <v>158</v>
      </c>
      <c r="F296" s="9" t="s">
        <v>404</v>
      </c>
      <c r="G296" s="11">
        <v>51945</v>
      </c>
      <c r="H296" s="12">
        <v>51945</v>
      </c>
      <c r="I296" s="18">
        <v>41189</v>
      </c>
      <c r="J296" s="19">
        <v>-32875</v>
      </c>
      <c r="K296" s="12">
        <v>29600</v>
      </c>
      <c r="L296" s="16">
        <v>14031</v>
      </c>
      <c r="M296" s="15"/>
      <c r="N296" s="14"/>
      <c r="O296" s="17"/>
      <c r="P296" s="17"/>
      <c r="Q296" s="17"/>
      <c r="R296" s="17"/>
      <c r="S296" s="17"/>
      <c r="T296" s="17"/>
      <c r="U296" s="17"/>
      <c r="V296" s="17"/>
      <c r="W296" s="11">
        <v>14031</v>
      </c>
      <c r="X296" s="17"/>
    </row>
    <row r="297" spans="1:24" ht="25.5" x14ac:dyDescent="0.25">
      <c r="A297" s="7" t="s">
        <v>16</v>
      </c>
      <c r="B297" s="8">
        <v>8470810</v>
      </c>
      <c r="C297" s="9" t="s">
        <v>405</v>
      </c>
      <c r="D297" s="10">
        <v>420811</v>
      </c>
      <c r="E297" s="9" t="s">
        <v>77</v>
      </c>
      <c r="F297" s="9" t="s">
        <v>406</v>
      </c>
      <c r="G297" s="11">
        <v>8100000</v>
      </c>
      <c r="H297" s="12">
        <v>8100000</v>
      </c>
      <c r="I297" s="18">
        <v>7162262.5</v>
      </c>
      <c r="J297" s="14"/>
      <c r="K297" s="15"/>
      <c r="L297" s="16">
        <v>937737.5</v>
      </c>
      <c r="M297" s="15"/>
      <c r="N297" s="14"/>
      <c r="O297" s="17"/>
      <c r="P297" s="17"/>
      <c r="Q297" s="17"/>
      <c r="R297" s="17"/>
      <c r="S297" s="17"/>
      <c r="T297" s="17"/>
      <c r="U297" s="17"/>
      <c r="V297" s="17"/>
      <c r="W297" s="11">
        <v>937737.5</v>
      </c>
      <c r="X297" s="17"/>
    </row>
    <row r="298" spans="1:24" ht="25.5" x14ac:dyDescent="0.25">
      <c r="A298" s="7" t="s">
        <v>16</v>
      </c>
      <c r="B298" s="8">
        <v>8470810</v>
      </c>
      <c r="C298" s="9" t="s">
        <v>405</v>
      </c>
      <c r="D298" s="10">
        <v>421100</v>
      </c>
      <c r="E298" s="9" t="s">
        <v>347</v>
      </c>
      <c r="F298" s="9" t="s">
        <v>407</v>
      </c>
      <c r="G298" s="11">
        <v>563543</v>
      </c>
      <c r="H298" s="12">
        <v>563543</v>
      </c>
      <c r="I298" s="13"/>
      <c r="J298" s="14"/>
      <c r="K298" s="15"/>
      <c r="L298" s="16">
        <v>563543</v>
      </c>
      <c r="M298" s="15"/>
      <c r="N298" s="14"/>
      <c r="O298" s="17"/>
      <c r="P298" s="17"/>
      <c r="Q298" s="17"/>
      <c r="R298" s="17"/>
      <c r="S298" s="17"/>
      <c r="T298" s="17"/>
      <c r="U298" s="17"/>
      <c r="V298" s="17"/>
      <c r="W298" s="11">
        <v>563543</v>
      </c>
      <c r="X298" s="17"/>
    </row>
    <row r="299" spans="1:24" ht="25.5" x14ac:dyDescent="0.25">
      <c r="A299" s="7" t="s">
        <v>16</v>
      </c>
      <c r="B299" s="8">
        <v>8470810</v>
      </c>
      <c r="C299" s="9" t="s">
        <v>405</v>
      </c>
      <c r="D299" s="10">
        <v>425900</v>
      </c>
      <c r="E299" s="9" t="s">
        <v>24</v>
      </c>
      <c r="F299" s="9" t="s">
        <v>408</v>
      </c>
      <c r="G299" s="11">
        <v>0</v>
      </c>
      <c r="H299" s="12">
        <v>20000</v>
      </c>
      <c r="I299" s="13"/>
      <c r="J299" s="14"/>
      <c r="K299" s="15"/>
      <c r="L299" s="16">
        <v>20000</v>
      </c>
      <c r="M299" s="15"/>
      <c r="N299" s="14"/>
      <c r="O299" s="17"/>
      <c r="P299" s="17"/>
      <c r="Q299" s="17"/>
      <c r="R299" s="17"/>
      <c r="S299" s="17"/>
      <c r="T299" s="17"/>
      <c r="U299" s="17"/>
      <c r="V299" s="17"/>
      <c r="W299" s="11">
        <v>20000</v>
      </c>
      <c r="X299" s="17"/>
    </row>
    <row r="300" spans="1:24" ht="25.5" x14ac:dyDescent="0.25">
      <c r="A300" s="7" t="s">
        <v>16</v>
      </c>
      <c r="B300" s="8">
        <v>8470810</v>
      </c>
      <c r="C300" s="9" t="s">
        <v>405</v>
      </c>
      <c r="D300" s="10">
        <v>426610</v>
      </c>
      <c r="E300" s="9" t="s">
        <v>39</v>
      </c>
      <c r="F300" s="9" t="s">
        <v>409</v>
      </c>
      <c r="G300" s="11">
        <v>8959671</v>
      </c>
      <c r="H300" s="12">
        <v>8959670</v>
      </c>
      <c r="I300" s="18">
        <v>228736.83</v>
      </c>
      <c r="J300" s="19">
        <v>4072384.16</v>
      </c>
      <c r="K300" s="12">
        <v>491049.06</v>
      </c>
      <c r="L300" s="16">
        <v>4167499.95</v>
      </c>
      <c r="M300" s="15"/>
      <c r="N300" s="14"/>
      <c r="O300" s="17"/>
      <c r="P300" s="17"/>
      <c r="Q300" s="17"/>
      <c r="R300" s="17"/>
      <c r="S300" s="17"/>
      <c r="T300" s="17"/>
      <c r="U300" s="17"/>
      <c r="V300" s="17"/>
      <c r="W300" s="11">
        <v>4167499.95</v>
      </c>
      <c r="X300" s="17"/>
    </row>
    <row r="301" spans="1:24" ht="25.5" x14ac:dyDescent="0.25">
      <c r="A301" s="7" t="s">
        <v>16</v>
      </c>
      <c r="B301" s="8">
        <v>8470810</v>
      </c>
      <c r="C301" s="9" t="s">
        <v>405</v>
      </c>
      <c r="D301" s="10">
        <v>427810</v>
      </c>
      <c r="E301" s="9" t="s">
        <v>410</v>
      </c>
      <c r="F301" s="9" t="s">
        <v>411</v>
      </c>
      <c r="G301" s="11">
        <v>2640700</v>
      </c>
      <c r="H301" s="12">
        <v>1552207</v>
      </c>
      <c r="I301" s="18">
        <v>131877.38</v>
      </c>
      <c r="J301" s="14"/>
      <c r="K301" s="15"/>
      <c r="L301" s="16">
        <v>1420329.62</v>
      </c>
      <c r="M301" s="15"/>
      <c r="N301" s="14"/>
      <c r="O301" s="17"/>
      <c r="P301" s="17"/>
      <c r="Q301" s="17"/>
      <c r="R301" s="17"/>
      <c r="S301" s="17"/>
      <c r="T301" s="17"/>
      <c r="U301" s="17"/>
      <c r="V301" s="17"/>
      <c r="W301" s="11">
        <v>1420329.62</v>
      </c>
      <c r="X301" s="17"/>
    </row>
    <row r="302" spans="1:24" ht="25.5" x14ac:dyDescent="0.25">
      <c r="A302" s="7" t="s">
        <v>16</v>
      </c>
      <c r="B302" s="8">
        <v>8470810</v>
      </c>
      <c r="C302" s="9" t="s">
        <v>405</v>
      </c>
      <c r="D302" s="10">
        <v>427850</v>
      </c>
      <c r="E302" s="9" t="s">
        <v>412</v>
      </c>
      <c r="F302" s="9" t="s">
        <v>413</v>
      </c>
      <c r="G302" s="11">
        <v>2078611</v>
      </c>
      <c r="H302" s="12">
        <v>2078611</v>
      </c>
      <c r="I302" s="18">
        <v>521325.6</v>
      </c>
      <c r="J302" s="14"/>
      <c r="K302" s="15"/>
      <c r="L302" s="16">
        <v>1557285.4</v>
      </c>
      <c r="M302" s="15"/>
      <c r="N302" s="14"/>
      <c r="O302" s="17"/>
      <c r="P302" s="17"/>
      <c r="Q302" s="17"/>
      <c r="R302" s="17"/>
      <c r="S302" s="17"/>
      <c r="T302" s="17"/>
      <c r="U302" s="17"/>
      <c r="V302" s="17"/>
      <c r="W302" s="11">
        <v>1557285.4</v>
      </c>
      <c r="X302" s="17"/>
    </row>
    <row r="303" spans="1:24" ht="25.5" x14ac:dyDescent="0.25">
      <c r="A303" s="7" t="s">
        <v>16</v>
      </c>
      <c r="B303" s="8">
        <v>8470810</v>
      </c>
      <c r="C303" s="9" t="s">
        <v>405</v>
      </c>
      <c r="D303" s="10">
        <v>428090</v>
      </c>
      <c r="E303" s="9" t="s">
        <v>26</v>
      </c>
      <c r="F303" s="9" t="s">
        <v>414</v>
      </c>
      <c r="G303" s="11">
        <v>4400</v>
      </c>
      <c r="H303" s="12">
        <v>141460</v>
      </c>
      <c r="I303" s="18">
        <v>14650</v>
      </c>
      <c r="J303" s="14"/>
      <c r="K303" s="15"/>
      <c r="L303" s="16">
        <v>126810</v>
      </c>
      <c r="M303" s="15"/>
      <c r="N303" s="14"/>
      <c r="O303" s="17"/>
      <c r="P303" s="17"/>
      <c r="Q303" s="17"/>
      <c r="R303" s="17"/>
      <c r="S303" s="17"/>
      <c r="T303" s="17"/>
      <c r="U303" s="17"/>
      <c r="V303" s="17"/>
      <c r="W303" s="11">
        <v>126810</v>
      </c>
      <c r="X303" s="17"/>
    </row>
    <row r="304" spans="1:24" ht="25.5" x14ac:dyDescent="0.25">
      <c r="A304" s="7" t="s">
        <v>16</v>
      </c>
      <c r="B304" s="8">
        <v>8470810</v>
      </c>
      <c r="C304" s="9" t="s">
        <v>405</v>
      </c>
      <c r="D304" s="10">
        <v>430230</v>
      </c>
      <c r="E304" s="9" t="s">
        <v>415</v>
      </c>
      <c r="F304" s="9" t="s">
        <v>416</v>
      </c>
      <c r="G304" s="17"/>
      <c r="H304" s="15"/>
      <c r="I304" s="18">
        <v>0</v>
      </c>
      <c r="J304" s="14"/>
      <c r="K304" s="15"/>
      <c r="L304" s="16">
        <v>0</v>
      </c>
      <c r="M304" s="15"/>
      <c r="N304" s="14"/>
      <c r="O304" s="17"/>
      <c r="P304" s="17"/>
      <c r="Q304" s="17"/>
      <c r="R304" s="17"/>
      <c r="S304" s="17"/>
      <c r="T304" s="17"/>
      <c r="U304" s="17"/>
      <c r="V304" s="17"/>
      <c r="W304" s="11">
        <v>0</v>
      </c>
      <c r="X304" s="17"/>
    </row>
    <row r="305" spans="1:24" ht="38.25" x14ac:dyDescent="0.25">
      <c r="A305" s="7" t="s">
        <v>16</v>
      </c>
      <c r="B305" s="8">
        <v>8470810</v>
      </c>
      <c r="C305" s="9" t="s">
        <v>405</v>
      </c>
      <c r="D305" s="10">
        <v>430250</v>
      </c>
      <c r="E305" s="9" t="s">
        <v>417</v>
      </c>
      <c r="F305" s="9" t="s">
        <v>418</v>
      </c>
      <c r="G305" s="11">
        <v>1020766</v>
      </c>
      <c r="H305" s="12">
        <v>2018541</v>
      </c>
      <c r="I305" s="18">
        <v>505312.79</v>
      </c>
      <c r="J305" s="19">
        <v>1173021.4099999999</v>
      </c>
      <c r="K305" s="12">
        <v>340000</v>
      </c>
      <c r="L305" s="16">
        <v>206.80000000004699</v>
      </c>
      <c r="M305" s="15"/>
      <c r="N305" s="14"/>
      <c r="O305" s="17"/>
      <c r="P305" s="17"/>
      <c r="Q305" s="17"/>
      <c r="R305" s="17"/>
      <c r="S305" s="17"/>
      <c r="T305" s="17"/>
      <c r="U305" s="17"/>
      <c r="V305" s="17"/>
      <c r="W305" s="11">
        <v>206.80000000004699</v>
      </c>
      <c r="X305" s="17"/>
    </row>
    <row r="306" spans="1:24" ht="51" x14ac:dyDescent="0.25">
      <c r="A306" s="7" t="s">
        <v>16</v>
      </c>
      <c r="B306" s="8">
        <v>8470810</v>
      </c>
      <c r="C306" s="9" t="s">
        <v>405</v>
      </c>
      <c r="D306" s="10">
        <v>432205</v>
      </c>
      <c r="E306" s="9" t="s">
        <v>96</v>
      </c>
      <c r="F306" s="9" t="s">
        <v>419</v>
      </c>
      <c r="G306" s="11">
        <v>3655434</v>
      </c>
      <c r="H306" s="12">
        <v>3655434</v>
      </c>
      <c r="I306" s="18">
        <v>2</v>
      </c>
      <c r="J306" s="19">
        <v>78485.759999999995</v>
      </c>
      <c r="K306" s="12">
        <v>2</v>
      </c>
      <c r="L306" s="16">
        <v>3576944.24</v>
      </c>
      <c r="M306" s="15"/>
      <c r="N306" s="14"/>
      <c r="O306" s="17"/>
      <c r="P306" s="17"/>
      <c r="Q306" s="17"/>
      <c r="R306" s="17"/>
      <c r="S306" s="17"/>
      <c r="T306" s="17"/>
      <c r="U306" s="17"/>
      <c r="V306" s="17"/>
      <c r="W306" s="11">
        <v>3576944.24</v>
      </c>
      <c r="X306" s="17"/>
    </row>
    <row r="307" spans="1:24" ht="25.5" x14ac:dyDescent="0.25">
      <c r="A307" s="7" t="s">
        <v>16</v>
      </c>
      <c r="B307" s="8">
        <v>8470810</v>
      </c>
      <c r="C307" s="9" t="s">
        <v>405</v>
      </c>
      <c r="D307" s="10">
        <v>432226</v>
      </c>
      <c r="E307" s="9" t="s">
        <v>420</v>
      </c>
      <c r="F307" s="9" t="s">
        <v>421</v>
      </c>
      <c r="G307" s="11">
        <v>362742</v>
      </c>
      <c r="H307" s="12">
        <v>412000</v>
      </c>
      <c r="I307" s="18">
        <v>60900.77</v>
      </c>
      <c r="J307" s="19">
        <v>0</v>
      </c>
      <c r="K307" s="12">
        <v>325000</v>
      </c>
      <c r="L307" s="16">
        <v>26099.23</v>
      </c>
      <c r="M307" s="15"/>
      <c r="N307" s="14"/>
      <c r="O307" s="17"/>
      <c r="P307" s="17"/>
      <c r="Q307" s="17"/>
      <c r="R307" s="17"/>
      <c r="S307" s="17"/>
      <c r="T307" s="17"/>
      <c r="U307" s="17"/>
      <c r="V307" s="17"/>
      <c r="W307" s="11">
        <v>26099.23</v>
      </c>
      <c r="X307" s="17"/>
    </row>
    <row r="308" spans="1:24" ht="25.5" x14ac:dyDescent="0.25">
      <c r="A308" s="7" t="s">
        <v>16</v>
      </c>
      <c r="B308" s="8">
        <v>8470910</v>
      </c>
      <c r="C308" s="9" t="s">
        <v>422</v>
      </c>
      <c r="D308" s="10">
        <v>425900</v>
      </c>
      <c r="E308" s="9" t="s">
        <v>24</v>
      </c>
      <c r="F308" s="9" t="s">
        <v>423</v>
      </c>
      <c r="G308" s="11">
        <v>0</v>
      </c>
      <c r="H308" s="12">
        <v>30000</v>
      </c>
      <c r="I308" s="13"/>
      <c r="J308" s="14"/>
      <c r="K308" s="15"/>
      <c r="L308" s="16">
        <v>30000</v>
      </c>
      <c r="M308" s="15"/>
      <c r="N308" s="14"/>
      <c r="O308" s="17"/>
      <c r="P308" s="17"/>
      <c r="Q308" s="17"/>
      <c r="R308" s="17"/>
      <c r="S308" s="17"/>
      <c r="T308" s="17"/>
      <c r="U308" s="17"/>
      <c r="V308" s="17"/>
      <c r="W308" s="11">
        <v>30000</v>
      </c>
      <c r="X308" s="17"/>
    </row>
    <row r="309" spans="1:24" ht="25.5" x14ac:dyDescent="0.25">
      <c r="A309" s="7" t="s">
        <v>16</v>
      </c>
      <c r="B309" s="8">
        <v>8470910</v>
      </c>
      <c r="C309" s="9" t="s">
        <v>422</v>
      </c>
      <c r="D309" s="10">
        <v>428090</v>
      </c>
      <c r="E309" s="9" t="s">
        <v>26</v>
      </c>
      <c r="F309" s="9" t="s">
        <v>424</v>
      </c>
      <c r="G309" s="11">
        <v>0</v>
      </c>
      <c r="H309" s="12">
        <v>100000</v>
      </c>
      <c r="I309" s="13"/>
      <c r="J309" s="14"/>
      <c r="K309" s="15"/>
      <c r="L309" s="16">
        <v>100000</v>
      </c>
      <c r="M309" s="15"/>
      <c r="N309" s="14"/>
      <c r="O309" s="17"/>
      <c r="P309" s="17"/>
      <c r="Q309" s="17"/>
      <c r="R309" s="17"/>
      <c r="S309" s="17"/>
      <c r="T309" s="17"/>
      <c r="U309" s="17"/>
      <c r="V309" s="17"/>
      <c r="W309" s="11">
        <v>100000</v>
      </c>
      <c r="X309" s="17"/>
    </row>
    <row r="310" spans="1:24" ht="25.5" x14ac:dyDescent="0.25">
      <c r="A310" s="7" t="s">
        <v>16</v>
      </c>
      <c r="B310" s="8">
        <v>8471010</v>
      </c>
      <c r="C310" s="9" t="s">
        <v>425</v>
      </c>
      <c r="D310" s="10">
        <v>425100</v>
      </c>
      <c r="E310" s="9" t="s">
        <v>49</v>
      </c>
      <c r="F310" s="9" t="s">
        <v>426</v>
      </c>
      <c r="G310" s="11">
        <v>90000</v>
      </c>
      <c r="H310" s="12">
        <v>0</v>
      </c>
      <c r="I310" s="13"/>
      <c r="J310" s="14"/>
      <c r="K310" s="15"/>
      <c r="L310" s="16">
        <v>0</v>
      </c>
      <c r="M310" s="15"/>
      <c r="N310" s="14"/>
      <c r="O310" s="17"/>
      <c r="P310" s="17"/>
      <c r="Q310" s="17"/>
      <c r="R310" s="17"/>
      <c r="S310" s="17"/>
      <c r="T310" s="17"/>
      <c r="U310" s="17"/>
      <c r="V310" s="17"/>
      <c r="W310" s="11">
        <v>0</v>
      </c>
      <c r="X310" s="17"/>
    </row>
    <row r="311" spans="1:24" ht="25.5" x14ac:dyDescent="0.25">
      <c r="A311" s="7" t="s">
        <v>16</v>
      </c>
      <c r="B311" s="8">
        <v>8471010</v>
      </c>
      <c r="C311" s="9" t="s">
        <v>425</v>
      </c>
      <c r="D311" s="10">
        <v>425510</v>
      </c>
      <c r="E311" s="9" t="s">
        <v>20</v>
      </c>
      <c r="F311" s="9" t="s">
        <v>427</v>
      </c>
      <c r="G311" s="11">
        <v>5877</v>
      </c>
      <c r="H311" s="12">
        <v>0</v>
      </c>
      <c r="I311" s="13"/>
      <c r="J311" s="14"/>
      <c r="K311" s="15"/>
      <c r="L311" s="16">
        <v>0</v>
      </c>
      <c r="M311" s="15"/>
      <c r="N311" s="14"/>
      <c r="O311" s="17"/>
      <c r="P311" s="17"/>
      <c r="Q311" s="17"/>
      <c r="R311" s="17"/>
      <c r="S311" s="17"/>
      <c r="T311" s="17"/>
      <c r="U311" s="17"/>
      <c r="V311" s="17"/>
      <c r="W311" s="11">
        <v>0</v>
      </c>
      <c r="X311" s="17"/>
    </row>
    <row r="312" spans="1:24" ht="25.5" x14ac:dyDescent="0.25">
      <c r="A312" s="7" t="s">
        <v>16</v>
      </c>
      <c r="B312" s="8">
        <v>8471010</v>
      </c>
      <c r="C312" s="9" t="s">
        <v>425</v>
      </c>
      <c r="D312" s="10">
        <v>425720</v>
      </c>
      <c r="E312" s="9" t="s">
        <v>185</v>
      </c>
      <c r="F312" s="9" t="s">
        <v>428</v>
      </c>
      <c r="G312" s="11">
        <v>35396</v>
      </c>
      <c r="H312" s="12">
        <v>2768</v>
      </c>
      <c r="I312" s="18">
        <v>2768</v>
      </c>
      <c r="J312" s="14"/>
      <c r="K312" s="15"/>
      <c r="L312" s="16">
        <v>0</v>
      </c>
      <c r="M312" s="15"/>
      <c r="N312" s="14"/>
      <c r="O312" s="17"/>
      <c r="P312" s="17"/>
      <c r="Q312" s="17"/>
      <c r="R312" s="17"/>
      <c r="S312" s="17"/>
      <c r="T312" s="17"/>
      <c r="U312" s="17"/>
      <c r="V312" s="17"/>
      <c r="W312" s="11">
        <v>0</v>
      </c>
      <c r="X312" s="17"/>
    </row>
    <row r="313" spans="1:24" ht="25.5" x14ac:dyDescent="0.25">
      <c r="A313" s="7" t="s">
        <v>16</v>
      </c>
      <c r="B313" s="8">
        <v>8471010</v>
      </c>
      <c r="C313" s="9" t="s">
        <v>425</v>
      </c>
      <c r="D313" s="10">
        <v>425900</v>
      </c>
      <c r="E313" s="9" t="s">
        <v>24</v>
      </c>
      <c r="F313" s="9" t="s">
        <v>429</v>
      </c>
      <c r="G313" s="11">
        <v>14586</v>
      </c>
      <c r="H313" s="12">
        <v>46227</v>
      </c>
      <c r="I313" s="18">
        <v>46226.25</v>
      </c>
      <c r="J313" s="14"/>
      <c r="K313" s="15"/>
      <c r="L313" s="16">
        <v>0.75</v>
      </c>
      <c r="M313" s="15"/>
      <c r="N313" s="14"/>
      <c r="O313" s="17"/>
      <c r="P313" s="17"/>
      <c r="Q313" s="17"/>
      <c r="R313" s="17"/>
      <c r="S313" s="17"/>
      <c r="T313" s="17"/>
      <c r="U313" s="17"/>
      <c r="V313" s="17"/>
      <c r="W313" s="11">
        <v>0.75</v>
      </c>
      <c r="X313" s="17"/>
    </row>
    <row r="314" spans="1:24" ht="25.5" x14ac:dyDescent="0.25">
      <c r="A314" s="7" t="s">
        <v>16</v>
      </c>
      <c r="B314" s="8">
        <v>8471010</v>
      </c>
      <c r="C314" s="9" t="s">
        <v>425</v>
      </c>
      <c r="D314" s="10">
        <v>436110</v>
      </c>
      <c r="E314" s="9" t="s">
        <v>158</v>
      </c>
      <c r="F314" s="9" t="s">
        <v>430</v>
      </c>
      <c r="G314" s="11">
        <v>6200</v>
      </c>
      <c r="H314" s="12">
        <v>0</v>
      </c>
      <c r="I314" s="13"/>
      <c r="J314" s="14"/>
      <c r="K314" s="15"/>
      <c r="L314" s="16">
        <v>0</v>
      </c>
      <c r="M314" s="15"/>
      <c r="N314" s="14"/>
      <c r="O314" s="17"/>
      <c r="P314" s="17"/>
      <c r="Q314" s="17"/>
      <c r="R314" s="17"/>
      <c r="S314" s="17"/>
      <c r="T314" s="17"/>
      <c r="U314" s="17"/>
      <c r="V314" s="17"/>
      <c r="W314" s="11">
        <v>0</v>
      </c>
      <c r="X314" s="17"/>
    </row>
    <row r="315" spans="1:24" ht="25.5" x14ac:dyDescent="0.25">
      <c r="A315" s="7" t="s">
        <v>16</v>
      </c>
      <c r="B315" s="8">
        <v>8471110</v>
      </c>
      <c r="C315" s="9" t="s">
        <v>431</v>
      </c>
      <c r="D315" s="10">
        <v>425900</v>
      </c>
      <c r="E315" s="9" t="s">
        <v>24</v>
      </c>
      <c r="F315" s="9" t="s">
        <v>432</v>
      </c>
      <c r="G315" s="11">
        <v>3045</v>
      </c>
      <c r="H315" s="12">
        <v>30000</v>
      </c>
      <c r="I315" s="13"/>
      <c r="J315" s="14"/>
      <c r="K315" s="15"/>
      <c r="L315" s="16">
        <v>30000</v>
      </c>
      <c r="M315" s="15"/>
      <c r="N315" s="14"/>
      <c r="O315" s="17"/>
      <c r="P315" s="17"/>
      <c r="Q315" s="17"/>
      <c r="R315" s="17"/>
      <c r="S315" s="17"/>
      <c r="T315" s="17"/>
      <c r="U315" s="17"/>
      <c r="V315" s="17"/>
      <c r="W315" s="11">
        <v>30000</v>
      </c>
      <c r="X315" s="17"/>
    </row>
    <row r="316" spans="1:24" ht="25.5" x14ac:dyDescent="0.25">
      <c r="A316" s="7" t="s">
        <v>16</v>
      </c>
      <c r="B316" s="8">
        <v>8471110</v>
      </c>
      <c r="C316" s="9" t="s">
        <v>431</v>
      </c>
      <c r="D316" s="10">
        <v>427710</v>
      </c>
      <c r="E316" s="9" t="s">
        <v>45</v>
      </c>
      <c r="F316" s="9" t="s">
        <v>433</v>
      </c>
      <c r="G316" s="11">
        <v>30707</v>
      </c>
      <c r="H316" s="12">
        <v>350707</v>
      </c>
      <c r="I316" s="13"/>
      <c r="J316" s="19">
        <v>332272.18</v>
      </c>
      <c r="K316" s="12">
        <v>15426.6</v>
      </c>
      <c r="L316" s="16">
        <v>3008.2199999999698</v>
      </c>
      <c r="M316" s="15"/>
      <c r="N316" s="14"/>
      <c r="O316" s="17"/>
      <c r="P316" s="17"/>
      <c r="Q316" s="17"/>
      <c r="R316" s="17"/>
      <c r="S316" s="17"/>
      <c r="T316" s="17"/>
      <c r="U316" s="17"/>
      <c r="V316" s="17"/>
      <c r="W316" s="11">
        <v>3008.2199999999698</v>
      </c>
      <c r="X316" s="17"/>
    </row>
    <row r="317" spans="1:24" ht="25.5" x14ac:dyDescent="0.25">
      <c r="A317" s="7" t="s">
        <v>16</v>
      </c>
      <c r="B317" s="8">
        <v>8471110</v>
      </c>
      <c r="C317" s="9" t="s">
        <v>431</v>
      </c>
      <c r="D317" s="10">
        <v>428090</v>
      </c>
      <c r="E317" s="9" t="s">
        <v>26</v>
      </c>
      <c r="F317" s="9" t="s">
        <v>434</v>
      </c>
      <c r="G317" s="11">
        <v>48418</v>
      </c>
      <c r="H317" s="12">
        <v>100000</v>
      </c>
      <c r="I317" s="13"/>
      <c r="J317" s="14"/>
      <c r="K317" s="15"/>
      <c r="L317" s="16">
        <v>100000</v>
      </c>
      <c r="M317" s="15"/>
      <c r="N317" s="14"/>
      <c r="O317" s="17"/>
      <c r="P317" s="17"/>
      <c r="Q317" s="17"/>
      <c r="R317" s="17"/>
      <c r="S317" s="17"/>
      <c r="T317" s="17"/>
      <c r="U317" s="17"/>
      <c r="V317" s="17"/>
      <c r="W317" s="11">
        <v>100000</v>
      </c>
      <c r="X317" s="17"/>
    </row>
    <row r="318" spans="1:24" ht="25.5" x14ac:dyDescent="0.25">
      <c r="A318" s="7" t="s">
        <v>16</v>
      </c>
      <c r="B318" s="8">
        <v>8471130</v>
      </c>
      <c r="C318" s="9" t="s">
        <v>435</v>
      </c>
      <c r="D318" s="10">
        <v>420811</v>
      </c>
      <c r="E318" s="9" t="s">
        <v>77</v>
      </c>
      <c r="F318" s="9" t="s">
        <v>436</v>
      </c>
      <c r="G318" s="11">
        <v>0</v>
      </c>
      <c r="H318" s="12">
        <v>310000</v>
      </c>
      <c r="I318" s="13"/>
      <c r="J318" s="19">
        <v>306328.2</v>
      </c>
      <c r="K318" s="15"/>
      <c r="L318" s="16">
        <v>3671.7999999999902</v>
      </c>
      <c r="M318" s="15"/>
      <c r="N318" s="14"/>
      <c r="O318" s="17"/>
      <c r="P318" s="17"/>
      <c r="Q318" s="17"/>
      <c r="R318" s="17"/>
      <c r="S318" s="17"/>
      <c r="T318" s="17"/>
      <c r="U318" s="17"/>
      <c r="V318" s="17"/>
      <c r="W318" s="11">
        <v>3671.7999999999902</v>
      </c>
      <c r="X318" s="17"/>
    </row>
    <row r="319" spans="1:24" ht="25.5" x14ac:dyDescent="0.25">
      <c r="A319" s="7" t="s">
        <v>16</v>
      </c>
      <c r="B319" s="8">
        <v>8471130</v>
      </c>
      <c r="C319" s="9" t="s">
        <v>435</v>
      </c>
      <c r="D319" s="10">
        <v>426610</v>
      </c>
      <c r="E319" s="9" t="s">
        <v>39</v>
      </c>
      <c r="F319" s="9" t="s">
        <v>437</v>
      </c>
      <c r="G319" s="11">
        <v>171713</v>
      </c>
      <c r="H319" s="12">
        <v>171713</v>
      </c>
      <c r="I319" s="13"/>
      <c r="J319" s="19">
        <v>1505</v>
      </c>
      <c r="K319" s="15"/>
      <c r="L319" s="16">
        <v>170208</v>
      </c>
      <c r="M319" s="15"/>
      <c r="N319" s="14"/>
      <c r="O319" s="17"/>
      <c r="P319" s="17"/>
      <c r="Q319" s="17"/>
      <c r="R319" s="17"/>
      <c r="S319" s="17"/>
      <c r="T319" s="17"/>
      <c r="U319" s="17"/>
      <c r="V319" s="17"/>
      <c r="W319" s="11">
        <v>170208</v>
      </c>
      <c r="X319" s="17"/>
    </row>
    <row r="320" spans="1:24" ht="25.5" x14ac:dyDescent="0.25">
      <c r="A320" s="7" t="s">
        <v>16</v>
      </c>
      <c r="B320" s="8">
        <v>8471130</v>
      </c>
      <c r="C320" s="9" t="s">
        <v>435</v>
      </c>
      <c r="D320" s="10">
        <v>428090</v>
      </c>
      <c r="E320" s="9" t="s">
        <v>26</v>
      </c>
      <c r="F320" s="9" t="s">
        <v>438</v>
      </c>
      <c r="G320" s="11">
        <v>23760</v>
      </c>
      <c r="H320" s="12">
        <v>23760</v>
      </c>
      <c r="I320" s="13"/>
      <c r="J320" s="14"/>
      <c r="K320" s="15"/>
      <c r="L320" s="16">
        <v>23760</v>
      </c>
      <c r="M320" s="15"/>
      <c r="N320" s="14"/>
      <c r="O320" s="17"/>
      <c r="P320" s="17"/>
      <c r="Q320" s="17"/>
      <c r="R320" s="17"/>
      <c r="S320" s="17"/>
      <c r="T320" s="17"/>
      <c r="U320" s="17"/>
      <c r="V320" s="17"/>
      <c r="W320" s="11">
        <v>23760</v>
      </c>
      <c r="X320" s="17"/>
    </row>
    <row r="321" spans="1:24" ht="25.5" x14ac:dyDescent="0.25">
      <c r="A321" s="7" t="s">
        <v>16</v>
      </c>
      <c r="B321" s="8">
        <v>8471130</v>
      </c>
      <c r="C321" s="9" t="s">
        <v>435</v>
      </c>
      <c r="D321" s="10">
        <v>435523</v>
      </c>
      <c r="E321" s="9" t="s">
        <v>74</v>
      </c>
      <c r="F321" s="9" t="s">
        <v>439</v>
      </c>
      <c r="G321" s="11">
        <v>157190</v>
      </c>
      <c r="H321" s="12">
        <v>157190</v>
      </c>
      <c r="I321" s="18">
        <v>20242.95</v>
      </c>
      <c r="J321" s="14"/>
      <c r="K321" s="15"/>
      <c r="L321" s="16">
        <v>136947.04999999999</v>
      </c>
      <c r="M321" s="15"/>
      <c r="N321" s="14"/>
      <c r="O321" s="17"/>
      <c r="P321" s="17"/>
      <c r="Q321" s="17"/>
      <c r="R321" s="17"/>
      <c r="S321" s="17"/>
      <c r="T321" s="17"/>
      <c r="U321" s="17"/>
      <c r="V321" s="17"/>
      <c r="W321" s="11">
        <v>136947.04999999999</v>
      </c>
      <c r="X321" s="17"/>
    </row>
    <row r="322" spans="1:24" ht="25.5" x14ac:dyDescent="0.25">
      <c r="A322" s="7" t="s">
        <v>16</v>
      </c>
      <c r="B322" s="8">
        <v>8471140</v>
      </c>
      <c r="C322" s="9" t="s">
        <v>440</v>
      </c>
      <c r="D322" s="10">
        <v>420570</v>
      </c>
      <c r="E322" s="9" t="s">
        <v>87</v>
      </c>
      <c r="F322" s="9" t="s">
        <v>441</v>
      </c>
      <c r="G322" s="11">
        <v>4818360</v>
      </c>
      <c r="H322" s="12">
        <v>4818360</v>
      </c>
      <c r="I322" s="18">
        <v>918250</v>
      </c>
      <c r="J322" s="14"/>
      <c r="K322" s="15"/>
      <c r="L322" s="16">
        <v>3900110</v>
      </c>
      <c r="M322" s="15"/>
      <c r="N322" s="14"/>
      <c r="O322" s="17"/>
      <c r="P322" s="17"/>
      <c r="Q322" s="17"/>
      <c r="R322" s="17"/>
      <c r="S322" s="17"/>
      <c r="T322" s="17"/>
      <c r="U322" s="17"/>
      <c r="V322" s="17"/>
      <c r="W322" s="11">
        <v>3900110</v>
      </c>
      <c r="X322" s="17"/>
    </row>
    <row r="323" spans="1:24" ht="25.5" x14ac:dyDescent="0.25">
      <c r="A323" s="7" t="s">
        <v>16</v>
      </c>
      <c r="B323" s="8">
        <v>8471140</v>
      </c>
      <c r="C323" s="9" t="s">
        <v>440</v>
      </c>
      <c r="D323" s="10">
        <v>420570</v>
      </c>
      <c r="E323" s="9" t="s">
        <v>87</v>
      </c>
      <c r="F323" s="9" t="s">
        <v>442</v>
      </c>
      <c r="G323" s="11">
        <v>290123</v>
      </c>
      <c r="H323" s="12">
        <v>290123</v>
      </c>
      <c r="I323" s="13"/>
      <c r="J323" s="14"/>
      <c r="K323" s="15"/>
      <c r="L323" s="16">
        <v>290123</v>
      </c>
      <c r="M323" s="15"/>
      <c r="N323" s="14"/>
      <c r="O323" s="17"/>
      <c r="P323" s="17"/>
      <c r="Q323" s="17"/>
      <c r="R323" s="17"/>
      <c r="S323" s="17"/>
      <c r="T323" s="17"/>
      <c r="U323" s="17"/>
      <c r="V323" s="17"/>
      <c r="W323" s="11">
        <v>290123</v>
      </c>
      <c r="X323" s="17"/>
    </row>
    <row r="324" spans="1:24" ht="25.5" x14ac:dyDescent="0.25">
      <c r="A324" s="7" t="s">
        <v>16</v>
      </c>
      <c r="B324" s="8">
        <v>8471140</v>
      </c>
      <c r="C324" s="9" t="s">
        <v>440</v>
      </c>
      <c r="D324" s="10">
        <v>421000</v>
      </c>
      <c r="E324" s="9" t="s">
        <v>34</v>
      </c>
      <c r="F324" s="9" t="s">
        <v>443</v>
      </c>
      <c r="G324" s="11">
        <v>551250</v>
      </c>
      <c r="H324" s="12">
        <v>551250</v>
      </c>
      <c r="I324" s="13"/>
      <c r="J324" s="19">
        <v>205688</v>
      </c>
      <c r="K324" s="15"/>
      <c r="L324" s="16">
        <v>345562</v>
      </c>
      <c r="M324" s="15"/>
      <c r="N324" s="14"/>
      <c r="O324" s="17"/>
      <c r="P324" s="17"/>
      <c r="Q324" s="17"/>
      <c r="R324" s="17"/>
      <c r="S324" s="17"/>
      <c r="T324" s="17"/>
      <c r="U324" s="17"/>
      <c r="V324" s="17"/>
      <c r="W324" s="11">
        <v>345562</v>
      </c>
      <c r="X324" s="17"/>
    </row>
    <row r="325" spans="1:24" ht="25.5" x14ac:dyDescent="0.25">
      <c r="A325" s="7" t="s">
        <v>16</v>
      </c>
      <c r="B325" s="8">
        <v>8471140</v>
      </c>
      <c r="C325" s="9" t="s">
        <v>440</v>
      </c>
      <c r="D325" s="10">
        <v>428090</v>
      </c>
      <c r="E325" s="9" t="s">
        <v>26</v>
      </c>
      <c r="F325" s="9" t="s">
        <v>444</v>
      </c>
      <c r="G325" s="11">
        <v>37500</v>
      </c>
      <c r="H325" s="12">
        <v>100000</v>
      </c>
      <c r="I325" s="13"/>
      <c r="J325" s="14"/>
      <c r="K325" s="15"/>
      <c r="L325" s="16">
        <v>100000</v>
      </c>
      <c r="M325" s="15"/>
      <c r="N325" s="14"/>
      <c r="O325" s="17"/>
      <c r="P325" s="17"/>
      <c r="Q325" s="17"/>
      <c r="R325" s="17"/>
      <c r="S325" s="17"/>
      <c r="T325" s="17"/>
      <c r="U325" s="17"/>
      <c r="V325" s="17"/>
      <c r="W325" s="11">
        <v>100000</v>
      </c>
      <c r="X325" s="17"/>
    </row>
    <row r="326" spans="1:24" ht="25.5" x14ac:dyDescent="0.25">
      <c r="A326" s="7" t="s">
        <v>16</v>
      </c>
      <c r="B326" s="8">
        <v>8471140</v>
      </c>
      <c r="C326" s="9" t="s">
        <v>440</v>
      </c>
      <c r="D326" s="10">
        <v>435523</v>
      </c>
      <c r="E326" s="9" t="s">
        <v>74</v>
      </c>
      <c r="F326" s="9" t="s">
        <v>445</v>
      </c>
      <c r="G326" s="11">
        <v>37853390</v>
      </c>
      <c r="H326" s="12">
        <v>37853390</v>
      </c>
      <c r="I326" s="18">
        <v>6132778</v>
      </c>
      <c r="J326" s="19">
        <v>601502.93999999994</v>
      </c>
      <c r="K326" s="12">
        <v>246298.13</v>
      </c>
      <c r="L326" s="16">
        <v>30872810.93</v>
      </c>
      <c r="M326" s="15"/>
      <c r="N326" s="14"/>
      <c r="O326" s="17"/>
      <c r="P326" s="17"/>
      <c r="Q326" s="17"/>
      <c r="R326" s="17"/>
      <c r="S326" s="17"/>
      <c r="T326" s="17"/>
      <c r="U326" s="17"/>
      <c r="V326" s="17"/>
      <c r="W326" s="11">
        <v>30872810.93</v>
      </c>
      <c r="X326" s="17"/>
    </row>
    <row r="327" spans="1:24" ht="25.5" x14ac:dyDescent="0.25">
      <c r="A327" s="7" t="s">
        <v>16</v>
      </c>
      <c r="B327" s="8">
        <v>8471140</v>
      </c>
      <c r="C327" s="9" t="s">
        <v>440</v>
      </c>
      <c r="D327" s="10">
        <v>435523</v>
      </c>
      <c r="E327" s="9" t="s">
        <v>74</v>
      </c>
      <c r="F327" s="9" t="s">
        <v>446</v>
      </c>
      <c r="G327" s="11">
        <v>43229013</v>
      </c>
      <c r="H327" s="12">
        <v>42856513</v>
      </c>
      <c r="I327" s="18">
        <v>11344571.25</v>
      </c>
      <c r="J327" s="19">
        <v>-790740.86000000103</v>
      </c>
      <c r="K327" s="12">
        <v>1046846.09</v>
      </c>
      <c r="L327" s="16">
        <v>31256352.449999999</v>
      </c>
      <c r="M327" s="15"/>
      <c r="N327" s="14"/>
      <c r="O327" s="17"/>
      <c r="P327" s="17"/>
      <c r="Q327" s="17"/>
      <c r="R327" s="17"/>
      <c r="S327" s="17"/>
      <c r="T327" s="17"/>
      <c r="U327" s="17"/>
      <c r="V327" s="17"/>
      <c r="W327" s="11">
        <v>31256352.449999999</v>
      </c>
      <c r="X327" s="17"/>
    </row>
    <row r="328" spans="1:24" ht="25.5" x14ac:dyDescent="0.25">
      <c r="A328" s="7" t="s">
        <v>16</v>
      </c>
      <c r="B328" s="8">
        <v>8471150</v>
      </c>
      <c r="C328" s="9" t="s">
        <v>447</v>
      </c>
      <c r="D328" s="10">
        <v>420900</v>
      </c>
      <c r="E328" s="9" t="s">
        <v>64</v>
      </c>
      <c r="F328" s="9" t="s">
        <v>448</v>
      </c>
      <c r="G328" s="11">
        <v>4979000</v>
      </c>
      <c r="H328" s="12">
        <v>4979000</v>
      </c>
      <c r="I328" s="18">
        <v>33644.239999999998</v>
      </c>
      <c r="J328" s="19">
        <v>4578876</v>
      </c>
      <c r="K328" s="15"/>
      <c r="L328" s="16">
        <v>366479.76</v>
      </c>
      <c r="M328" s="15"/>
      <c r="N328" s="14"/>
      <c r="O328" s="17"/>
      <c r="P328" s="17"/>
      <c r="Q328" s="17"/>
      <c r="R328" s="17"/>
      <c r="S328" s="17"/>
      <c r="T328" s="17"/>
      <c r="U328" s="17"/>
      <c r="V328" s="17"/>
      <c r="W328" s="11">
        <v>366479.76</v>
      </c>
      <c r="X328" s="17"/>
    </row>
    <row r="329" spans="1:24" ht="25.5" x14ac:dyDescent="0.25">
      <c r="A329" s="7" t="s">
        <v>16</v>
      </c>
      <c r="B329" s="8">
        <v>8471150</v>
      </c>
      <c r="C329" s="9" t="s">
        <v>447</v>
      </c>
      <c r="D329" s="10">
        <v>420900</v>
      </c>
      <c r="E329" s="9" t="s">
        <v>64</v>
      </c>
      <c r="F329" s="9" t="s">
        <v>449</v>
      </c>
      <c r="G329" s="17"/>
      <c r="H329" s="15"/>
      <c r="I329" s="18">
        <v>-1216.43</v>
      </c>
      <c r="J329" s="14"/>
      <c r="K329" s="12">
        <v>1216.43</v>
      </c>
      <c r="L329" s="16">
        <v>0</v>
      </c>
      <c r="M329" s="15"/>
      <c r="N329" s="14"/>
      <c r="O329" s="17"/>
      <c r="P329" s="17"/>
      <c r="Q329" s="17"/>
      <c r="R329" s="17"/>
      <c r="S329" s="17"/>
      <c r="T329" s="17"/>
      <c r="U329" s="17"/>
      <c r="V329" s="17"/>
      <c r="W329" s="11">
        <v>0</v>
      </c>
      <c r="X329" s="17"/>
    </row>
    <row r="330" spans="1:24" ht="25.5" x14ac:dyDescent="0.25">
      <c r="A330" s="7" t="s">
        <v>16</v>
      </c>
      <c r="B330" s="8">
        <v>8471150</v>
      </c>
      <c r="C330" s="9" t="s">
        <v>447</v>
      </c>
      <c r="D330" s="10">
        <v>425510</v>
      </c>
      <c r="E330" s="9" t="s">
        <v>20</v>
      </c>
      <c r="F330" s="9" t="s">
        <v>450</v>
      </c>
      <c r="G330" s="11">
        <v>2000</v>
      </c>
      <c r="H330" s="12">
        <v>2000</v>
      </c>
      <c r="I330" s="18">
        <v>918.75</v>
      </c>
      <c r="J330" s="14"/>
      <c r="K330" s="15"/>
      <c r="L330" s="16">
        <v>1081.25</v>
      </c>
      <c r="M330" s="15"/>
      <c r="N330" s="14"/>
      <c r="O330" s="17"/>
      <c r="P330" s="17"/>
      <c r="Q330" s="17"/>
      <c r="R330" s="17"/>
      <c r="S330" s="17"/>
      <c r="T330" s="17"/>
      <c r="U330" s="17"/>
      <c r="V330" s="17"/>
      <c r="W330" s="11">
        <v>1081.25</v>
      </c>
      <c r="X330" s="17"/>
    </row>
    <row r="331" spans="1:24" ht="25.5" x14ac:dyDescent="0.25">
      <c r="A331" s="7" t="s">
        <v>16</v>
      </c>
      <c r="B331" s="8">
        <v>8471150</v>
      </c>
      <c r="C331" s="9" t="s">
        <v>447</v>
      </c>
      <c r="D331" s="10">
        <v>425550</v>
      </c>
      <c r="E331" s="9" t="s">
        <v>22</v>
      </c>
      <c r="F331" s="9" t="s">
        <v>451</v>
      </c>
      <c r="G331" s="11">
        <v>26095</v>
      </c>
      <c r="H331" s="12">
        <v>26095</v>
      </c>
      <c r="I331" s="18">
        <v>12109.5</v>
      </c>
      <c r="J331" s="14"/>
      <c r="K331" s="15"/>
      <c r="L331" s="16">
        <v>13985.5</v>
      </c>
      <c r="M331" s="15"/>
      <c r="N331" s="14"/>
      <c r="O331" s="17"/>
      <c r="P331" s="17"/>
      <c r="Q331" s="17"/>
      <c r="R331" s="17"/>
      <c r="S331" s="17"/>
      <c r="T331" s="17"/>
      <c r="U331" s="17"/>
      <c r="V331" s="17"/>
      <c r="W331" s="11">
        <v>13985.5</v>
      </c>
      <c r="X331" s="17"/>
    </row>
    <row r="332" spans="1:24" ht="25.5" x14ac:dyDescent="0.25">
      <c r="A332" s="7" t="s">
        <v>16</v>
      </c>
      <c r="B332" s="8">
        <v>8471150</v>
      </c>
      <c r="C332" s="9" t="s">
        <v>447</v>
      </c>
      <c r="D332" s="10">
        <v>426610</v>
      </c>
      <c r="E332" s="9" t="s">
        <v>39</v>
      </c>
      <c r="F332" s="9" t="s">
        <v>452</v>
      </c>
      <c r="G332" s="11">
        <v>3881</v>
      </c>
      <c r="H332" s="12">
        <v>3881</v>
      </c>
      <c r="I332" s="13"/>
      <c r="J332" s="14"/>
      <c r="K332" s="15"/>
      <c r="L332" s="16">
        <v>3881</v>
      </c>
      <c r="M332" s="15"/>
      <c r="N332" s="14"/>
      <c r="O332" s="17"/>
      <c r="P332" s="17"/>
      <c r="Q332" s="17"/>
      <c r="R332" s="17"/>
      <c r="S332" s="17"/>
      <c r="T332" s="17"/>
      <c r="U332" s="17"/>
      <c r="V332" s="17"/>
      <c r="W332" s="11">
        <v>3881</v>
      </c>
      <c r="X332" s="17"/>
    </row>
    <row r="333" spans="1:24" ht="25.5" x14ac:dyDescent="0.25">
      <c r="A333" s="7" t="s">
        <v>16</v>
      </c>
      <c r="B333" s="8">
        <v>8471160</v>
      </c>
      <c r="C333" s="9" t="s">
        <v>453</v>
      </c>
      <c r="D333" s="10">
        <v>425900</v>
      </c>
      <c r="E333" s="9" t="s">
        <v>24</v>
      </c>
      <c r="F333" s="9" t="s">
        <v>454</v>
      </c>
      <c r="G333" s="11">
        <v>0</v>
      </c>
      <c r="H333" s="12">
        <v>12000</v>
      </c>
      <c r="I333" s="18">
        <v>3780</v>
      </c>
      <c r="J333" s="14"/>
      <c r="K333" s="15"/>
      <c r="L333" s="16">
        <v>8220</v>
      </c>
      <c r="M333" s="15"/>
      <c r="N333" s="14"/>
      <c r="O333" s="17"/>
      <c r="P333" s="17"/>
      <c r="Q333" s="17"/>
      <c r="R333" s="17"/>
      <c r="S333" s="17"/>
      <c r="T333" s="17"/>
      <c r="U333" s="17"/>
      <c r="V333" s="17"/>
      <c r="W333" s="11">
        <v>8220</v>
      </c>
      <c r="X333" s="17"/>
    </row>
    <row r="334" spans="1:24" ht="25.5" x14ac:dyDescent="0.25">
      <c r="A334" s="7" t="s">
        <v>16</v>
      </c>
      <c r="B334" s="8">
        <v>8471160</v>
      </c>
      <c r="C334" s="9" t="s">
        <v>453</v>
      </c>
      <c r="D334" s="10">
        <v>426610</v>
      </c>
      <c r="E334" s="9" t="s">
        <v>39</v>
      </c>
      <c r="F334" s="9" t="s">
        <v>455</v>
      </c>
      <c r="G334" s="11">
        <v>440763</v>
      </c>
      <c r="H334" s="12">
        <v>140763</v>
      </c>
      <c r="I334" s="18">
        <v>194669</v>
      </c>
      <c r="J334" s="19">
        <v>24000</v>
      </c>
      <c r="K334" s="12">
        <v>-108169</v>
      </c>
      <c r="L334" s="16">
        <v>30263</v>
      </c>
      <c r="M334" s="15"/>
      <c r="N334" s="14"/>
      <c r="O334" s="17"/>
      <c r="P334" s="17"/>
      <c r="Q334" s="17"/>
      <c r="R334" s="17"/>
      <c r="S334" s="17"/>
      <c r="T334" s="17"/>
      <c r="U334" s="17"/>
      <c r="V334" s="17"/>
      <c r="W334" s="11">
        <v>30263</v>
      </c>
      <c r="X334" s="17"/>
    </row>
    <row r="335" spans="1:24" ht="25.5" x14ac:dyDescent="0.25">
      <c r="A335" s="7" t="s">
        <v>16</v>
      </c>
      <c r="B335" s="8">
        <v>8471160</v>
      </c>
      <c r="C335" s="9" t="s">
        <v>453</v>
      </c>
      <c r="D335" s="10">
        <v>428090</v>
      </c>
      <c r="E335" s="9" t="s">
        <v>26</v>
      </c>
      <c r="F335" s="9" t="s">
        <v>456</v>
      </c>
      <c r="G335" s="11">
        <v>0</v>
      </c>
      <c r="H335" s="12">
        <v>300000</v>
      </c>
      <c r="I335" s="13"/>
      <c r="J335" s="14"/>
      <c r="K335" s="15"/>
      <c r="L335" s="16">
        <v>300000</v>
      </c>
      <c r="M335" s="15"/>
      <c r="N335" s="14"/>
      <c r="O335" s="17"/>
      <c r="P335" s="17"/>
      <c r="Q335" s="17"/>
      <c r="R335" s="17"/>
      <c r="S335" s="17"/>
      <c r="T335" s="17"/>
      <c r="U335" s="17"/>
      <c r="V335" s="17"/>
      <c r="W335" s="11">
        <v>300000</v>
      </c>
      <c r="X335" s="17"/>
    </row>
    <row r="336" spans="1:24" ht="25.5" x14ac:dyDescent="0.25">
      <c r="A336" s="7" t="s">
        <v>16</v>
      </c>
      <c r="B336" s="8">
        <v>8471160</v>
      </c>
      <c r="C336" s="9" t="s">
        <v>453</v>
      </c>
      <c r="D336" s="10">
        <v>432209</v>
      </c>
      <c r="E336" s="9" t="s">
        <v>124</v>
      </c>
      <c r="F336" s="9" t="s">
        <v>457</v>
      </c>
      <c r="G336" s="11">
        <v>11611153</v>
      </c>
      <c r="H336" s="12">
        <v>9057075</v>
      </c>
      <c r="I336" s="18">
        <v>2643232.59</v>
      </c>
      <c r="J336" s="19">
        <v>3020864.97</v>
      </c>
      <c r="K336" s="12">
        <v>3216586.02</v>
      </c>
      <c r="L336" s="16">
        <v>176391.42</v>
      </c>
      <c r="M336" s="15"/>
      <c r="N336" s="14"/>
      <c r="O336" s="17"/>
      <c r="P336" s="17"/>
      <c r="Q336" s="17"/>
      <c r="R336" s="17"/>
      <c r="S336" s="17"/>
      <c r="T336" s="17"/>
      <c r="U336" s="17"/>
      <c r="V336" s="17"/>
      <c r="W336" s="11">
        <v>176391.42</v>
      </c>
      <c r="X336" s="17"/>
    </row>
    <row r="337" spans="1:24" ht="25.5" x14ac:dyDescent="0.25">
      <c r="A337" s="7" t="s">
        <v>16</v>
      </c>
      <c r="B337" s="8">
        <v>8471160</v>
      </c>
      <c r="C337" s="9" t="s">
        <v>453</v>
      </c>
      <c r="D337" s="10">
        <v>435508</v>
      </c>
      <c r="E337" s="9" t="s">
        <v>100</v>
      </c>
      <c r="F337" s="9" t="s">
        <v>458</v>
      </c>
      <c r="G337" s="11">
        <v>2823455</v>
      </c>
      <c r="H337" s="12">
        <v>5364533</v>
      </c>
      <c r="I337" s="18">
        <v>1330112.71</v>
      </c>
      <c r="J337" s="19">
        <v>1170780.5</v>
      </c>
      <c r="K337" s="12">
        <v>1372684.65</v>
      </c>
      <c r="L337" s="16">
        <v>1490955.14</v>
      </c>
      <c r="M337" s="15"/>
      <c r="N337" s="14"/>
      <c r="O337" s="17"/>
      <c r="P337" s="17"/>
      <c r="Q337" s="17"/>
      <c r="R337" s="17"/>
      <c r="S337" s="17"/>
      <c r="T337" s="17"/>
      <c r="U337" s="17"/>
      <c r="V337" s="17"/>
      <c r="W337" s="11">
        <v>1490955.14</v>
      </c>
      <c r="X337" s="17"/>
    </row>
    <row r="338" spans="1:24" ht="25.5" x14ac:dyDescent="0.25">
      <c r="A338" s="7" t="s">
        <v>16</v>
      </c>
      <c r="B338" s="8">
        <v>8471160</v>
      </c>
      <c r="C338" s="9" t="s">
        <v>453</v>
      </c>
      <c r="D338" s="10">
        <v>436600</v>
      </c>
      <c r="E338" s="9" t="s">
        <v>160</v>
      </c>
      <c r="F338" s="9" t="s">
        <v>459</v>
      </c>
      <c r="G338" s="11">
        <v>0</v>
      </c>
      <c r="H338" s="12">
        <v>1000</v>
      </c>
      <c r="I338" s="13"/>
      <c r="J338" s="14"/>
      <c r="K338" s="15"/>
      <c r="L338" s="16">
        <v>1000</v>
      </c>
      <c r="M338" s="15"/>
      <c r="N338" s="14"/>
      <c r="O338" s="17"/>
      <c r="P338" s="17"/>
      <c r="Q338" s="17"/>
      <c r="R338" s="17"/>
      <c r="S338" s="17"/>
      <c r="T338" s="17"/>
      <c r="U338" s="17"/>
      <c r="V338" s="17"/>
      <c r="W338" s="11">
        <v>1000</v>
      </c>
      <c r="X338" s="17"/>
    </row>
    <row r="339" spans="1:24" ht="25.5" x14ac:dyDescent="0.25">
      <c r="A339" s="7" t="s">
        <v>16</v>
      </c>
      <c r="B339" s="8">
        <v>8471170</v>
      </c>
      <c r="C339" s="9" t="s">
        <v>460</v>
      </c>
      <c r="D339" s="10">
        <v>420811</v>
      </c>
      <c r="E339" s="9" t="s">
        <v>77</v>
      </c>
      <c r="F339" s="9" t="s">
        <v>461</v>
      </c>
      <c r="G339" s="11">
        <v>551000</v>
      </c>
      <c r="H339" s="12">
        <v>871940</v>
      </c>
      <c r="I339" s="18">
        <v>551000</v>
      </c>
      <c r="J339" s="19">
        <v>-551000</v>
      </c>
      <c r="K339" s="12">
        <v>871932.8</v>
      </c>
      <c r="L339" s="16">
        <v>7.2000000000116398</v>
      </c>
      <c r="M339" s="15"/>
      <c r="N339" s="14"/>
      <c r="O339" s="17"/>
      <c r="P339" s="17"/>
      <c r="Q339" s="17"/>
      <c r="R339" s="17"/>
      <c r="S339" s="17"/>
      <c r="T339" s="17"/>
      <c r="U339" s="17"/>
      <c r="V339" s="17"/>
      <c r="W339" s="11">
        <v>7.2000000000116398</v>
      </c>
      <c r="X339" s="17"/>
    </row>
    <row r="340" spans="1:24" ht="25.5" x14ac:dyDescent="0.25">
      <c r="A340" s="7" t="s">
        <v>16</v>
      </c>
      <c r="B340" s="8">
        <v>8471170</v>
      </c>
      <c r="C340" s="9" t="s">
        <v>460</v>
      </c>
      <c r="D340" s="10">
        <v>426610</v>
      </c>
      <c r="E340" s="9" t="s">
        <v>39</v>
      </c>
      <c r="F340" s="9" t="s">
        <v>462</v>
      </c>
      <c r="G340" s="11">
        <v>1654849</v>
      </c>
      <c r="H340" s="12">
        <v>1960909</v>
      </c>
      <c r="I340" s="18">
        <v>58915.86</v>
      </c>
      <c r="J340" s="19">
        <v>1157515.81</v>
      </c>
      <c r="K340" s="12">
        <v>95467.54</v>
      </c>
      <c r="L340" s="16">
        <v>649009.79</v>
      </c>
      <c r="M340" s="15"/>
      <c r="N340" s="14"/>
      <c r="O340" s="17"/>
      <c r="P340" s="17"/>
      <c r="Q340" s="17"/>
      <c r="R340" s="17"/>
      <c r="S340" s="17"/>
      <c r="T340" s="17"/>
      <c r="U340" s="17"/>
      <c r="V340" s="17"/>
      <c r="W340" s="11">
        <v>649009.79</v>
      </c>
      <c r="X340" s="17"/>
    </row>
    <row r="341" spans="1:24" ht="25.5" x14ac:dyDescent="0.25">
      <c r="A341" s="7" t="s">
        <v>16</v>
      </c>
      <c r="B341" s="8">
        <v>8471170</v>
      </c>
      <c r="C341" s="9" t="s">
        <v>460</v>
      </c>
      <c r="D341" s="10">
        <v>428090</v>
      </c>
      <c r="E341" s="9" t="s">
        <v>26</v>
      </c>
      <c r="F341" s="9" t="s">
        <v>463</v>
      </c>
      <c r="G341" s="11">
        <v>42585</v>
      </c>
      <c r="H341" s="12">
        <v>42585</v>
      </c>
      <c r="I341" s="13"/>
      <c r="J341" s="14"/>
      <c r="K341" s="15"/>
      <c r="L341" s="16">
        <v>42585</v>
      </c>
      <c r="M341" s="15"/>
      <c r="N341" s="14"/>
      <c r="O341" s="17"/>
      <c r="P341" s="17"/>
      <c r="Q341" s="17"/>
      <c r="R341" s="17"/>
      <c r="S341" s="17"/>
      <c r="T341" s="17"/>
      <c r="U341" s="17"/>
      <c r="V341" s="17"/>
      <c r="W341" s="11">
        <v>42585</v>
      </c>
      <c r="X341" s="17"/>
    </row>
    <row r="342" spans="1:24" ht="25.5" x14ac:dyDescent="0.25">
      <c r="A342" s="7" t="s">
        <v>16</v>
      </c>
      <c r="B342" s="8">
        <v>8471210</v>
      </c>
      <c r="C342" s="9" t="s">
        <v>464</v>
      </c>
      <c r="D342" s="10">
        <v>425900</v>
      </c>
      <c r="E342" s="9" t="s">
        <v>24</v>
      </c>
      <c r="F342" s="9" t="s">
        <v>465</v>
      </c>
      <c r="G342" s="11">
        <v>2400</v>
      </c>
      <c r="H342" s="12">
        <v>30000</v>
      </c>
      <c r="I342" s="18">
        <v>525</v>
      </c>
      <c r="J342" s="14"/>
      <c r="K342" s="15"/>
      <c r="L342" s="16">
        <v>29475</v>
      </c>
      <c r="M342" s="15"/>
      <c r="N342" s="14"/>
      <c r="O342" s="17"/>
      <c r="P342" s="17"/>
      <c r="Q342" s="17"/>
      <c r="R342" s="17"/>
      <c r="S342" s="17"/>
      <c r="T342" s="17"/>
      <c r="U342" s="17"/>
      <c r="V342" s="17"/>
      <c r="W342" s="11">
        <v>29475</v>
      </c>
      <c r="X342" s="17"/>
    </row>
    <row r="343" spans="1:24" ht="25.5" x14ac:dyDescent="0.25">
      <c r="A343" s="7" t="s">
        <v>16</v>
      </c>
      <c r="B343" s="8">
        <v>8471210</v>
      </c>
      <c r="C343" s="9" t="s">
        <v>464</v>
      </c>
      <c r="D343" s="10">
        <v>428090</v>
      </c>
      <c r="E343" s="9" t="s">
        <v>26</v>
      </c>
      <c r="F343" s="9" t="s">
        <v>466</v>
      </c>
      <c r="G343" s="11">
        <v>60000</v>
      </c>
      <c r="H343" s="12">
        <v>200000</v>
      </c>
      <c r="I343" s="18">
        <v>1650</v>
      </c>
      <c r="J343" s="14"/>
      <c r="K343" s="15"/>
      <c r="L343" s="16">
        <v>198350</v>
      </c>
      <c r="M343" s="15"/>
      <c r="N343" s="14"/>
      <c r="O343" s="17"/>
      <c r="P343" s="17"/>
      <c r="Q343" s="17"/>
      <c r="R343" s="17"/>
      <c r="S343" s="17"/>
      <c r="T343" s="17"/>
      <c r="U343" s="17"/>
      <c r="V343" s="17"/>
      <c r="W343" s="11">
        <v>198350</v>
      </c>
      <c r="X343" s="17"/>
    </row>
    <row r="344" spans="1:24" ht="25.5" x14ac:dyDescent="0.25">
      <c r="A344" s="7" t="s">
        <v>16</v>
      </c>
      <c r="B344" s="8">
        <v>8471220</v>
      </c>
      <c r="C344" s="9" t="s">
        <v>467</v>
      </c>
      <c r="D344" s="10">
        <v>425510</v>
      </c>
      <c r="E344" s="9" t="s">
        <v>20</v>
      </c>
      <c r="F344" s="9" t="s">
        <v>468</v>
      </c>
      <c r="G344" s="11">
        <v>1820</v>
      </c>
      <c r="H344" s="12">
        <v>1820</v>
      </c>
      <c r="I344" s="13"/>
      <c r="J344" s="14"/>
      <c r="K344" s="15"/>
      <c r="L344" s="16">
        <v>1820</v>
      </c>
      <c r="M344" s="15"/>
      <c r="N344" s="14"/>
      <c r="O344" s="17"/>
      <c r="P344" s="17"/>
      <c r="Q344" s="17"/>
      <c r="R344" s="17"/>
      <c r="S344" s="17"/>
      <c r="T344" s="17"/>
      <c r="U344" s="17"/>
      <c r="V344" s="17"/>
      <c r="W344" s="11">
        <v>1820</v>
      </c>
      <c r="X344" s="17"/>
    </row>
    <row r="345" spans="1:24" ht="25.5" x14ac:dyDescent="0.25">
      <c r="A345" s="7" t="s">
        <v>16</v>
      </c>
      <c r="B345" s="8">
        <v>8471220</v>
      </c>
      <c r="C345" s="9" t="s">
        <v>467</v>
      </c>
      <c r="D345" s="10">
        <v>425741</v>
      </c>
      <c r="E345" s="9" t="s">
        <v>469</v>
      </c>
      <c r="F345" s="9" t="s">
        <v>470</v>
      </c>
      <c r="G345" s="11">
        <v>89952604</v>
      </c>
      <c r="H345" s="12">
        <v>89952604</v>
      </c>
      <c r="I345" s="18">
        <v>25849282</v>
      </c>
      <c r="J345" s="14"/>
      <c r="K345" s="15"/>
      <c r="L345" s="16">
        <v>64103322</v>
      </c>
      <c r="M345" s="15"/>
      <c r="N345" s="14"/>
      <c r="O345" s="17"/>
      <c r="P345" s="17"/>
      <c r="Q345" s="17"/>
      <c r="R345" s="17"/>
      <c r="S345" s="17"/>
      <c r="T345" s="17"/>
      <c r="U345" s="17"/>
      <c r="V345" s="17"/>
      <c r="W345" s="11">
        <v>64103322</v>
      </c>
      <c r="X345" s="17"/>
    </row>
    <row r="346" spans="1:24" ht="25.5" x14ac:dyDescent="0.25">
      <c r="A346" s="7" t="s">
        <v>16</v>
      </c>
      <c r="B346" s="8">
        <v>8471220</v>
      </c>
      <c r="C346" s="9" t="s">
        <v>467</v>
      </c>
      <c r="D346" s="10">
        <v>425745</v>
      </c>
      <c r="E346" s="9" t="s">
        <v>108</v>
      </c>
      <c r="F346" s="9" t="s">
        <v>471</v>
      </c>
      <c r="G346" s="17"/>
      <c r="H346" s="15"/>
      <c r="I346" s="18">
        <v>-14210.95</v>
      </c>
      <c r="J346" s="14"/>
      <c r="K346" s="15"/>
      <c r="L346" s="16">
        <v>14210.95</v>
      </c>
      <c r="M346" s="15"/>
      <c r="N346" s="14"/>
      <c r="O346" s="17"/>
      <c r="P346" s="17"/>
      <c r="Q346" s="17"/>
      <c r="R346" s="17"/>
      <c r="S346" s="17"/>
      <c r="T346" s="17"/>
      <c r="U346" s="17"/>
      <c r="V346" s="17"/>
      <c r="W346" s="11">
        <v>14210.95</v>
      </c>
      <c r="X346" s="17"/>
    </row>
    <row r="347" spans="1:24" ht="25.5" x14ac:dyDescent="0.25">
      <c r="A347" s="7" t="s">
        <v>16</v>
      </c>
      <c r="B347" s="8">
        <v>8471220</v>
      </c>
      <c r="C347" s="9" t="s">
        <v>467</v>
      </c>
      <c r="D347" s="10">
        <v>435340</v>
      </c>
      <c r="E347" s="9" t="s">
        <v>472</v>
      </c>
      <c r="F347" s="9" t="s">
        <v>473</v>
      </c>
      <c r="G347" s="11">
        <v>11232706</v>
      </c>
      <c r="H347" s="12">
        <v>10982706</v>
      </c>
      <c r="I347" s="18">
        <v>0</v>
      </c>
      <c r="J347" s="19">
        <v>0</v>
      </c>
      <c r="K347" s="12">
        <v>5442872.8099999996</v>
      </c>
      <c r="L347" s="16">
        <v>5539833.1900000004</v>
      </c>
      <c r="M347" s="15"/>
      <c r="N347" s="14"/>
      <c r="O347" s="17"/>
      <c r="P347" s="17"/>
      <c r="Q347" s="17"/>
      <c r="R347" s="17"/>
      <c r="S347" s="17"/>
      <c r="T347" s="17"/>
      <c r="U347" s="17"/>
      <c r="V347" s="17"/>
      <c r="W347" s="11">
        <v>5539833.1900000004</v>
      </c>
      <c r="X347" s="17"/>
    </row>
    <row r="348" spans="1:24" ht="25.5" x14ac:dyDescent="0.25">
      <c r="A348" s="7" t="s">
        <v>16</v>
      </c>
      <c r="B348" s="8">
        <v>8471220</v>
      </c>
      <c r="C348" s="9" t="s">
        <v>467</v>
      </c>
      <c r="D348" s="10">
        <v>436110</v>
      </c>
      <c r="E348" s="9" t="s">
        <v>158</v>
      </c>
      <c r="F348" s="9" t="s">
        <v>474</v>
      </c>
      <c r="G348" s="11">
        <v>131300</v>
      </c>
      <c r="H348" s="12">
        <v>131300</v>
      </c>
      <c r="I348" s="13"/>
      <c r="J348" s="14"/>
      <c r="K348" s="15"/>
      <c r="L348" s="16">
        <v>131300</v>
      </c>
      <c r="M348" s="15"/>
      <c r="N348" s="14"/>
      <c r="O348" s="17"/>
      <c r="P348" s="17"/>
      <c r="Q348" s="17"/>
      <c r="R348" s="17"/>
      <c r="S348" s="17"/>
      <c r="T348" s="17"/>
      <c r="U348" s="17"/>
      <c r="V348" s="17"/>
      <c r="W348" s="11">
        <v>131300</v>
      </c>
      <c r="X348" s="17"/>
    </row>
    <row r="349" spans="1:24" ht="25.5" x14ac:dyDescent="0.25">
      <c r="A349" s="7" t="s">
        <v>16</v>
      </c>
      <c r="B349" s="8">
        <v>8471230</v>
      </c>
      <c r="C349" s="9" t="s">
        <v>475</v>
      </c>
      <c r="D349" s="10">
        <v>425742</v>
      </c>
      <c r="E349" s="9" t="s">
        <v>476</v>
      </c>
      <c r="F349" s="9" t="s">
        <v>477</v>
      </c>
      <c r="G349" s="11">
        <v>1286117</v>
      </c>
      <c r="H349" s="12">
        <v>1286117</v>
      </c>
      <c r="I349" s="18">
        <v>165671.23000000001</v>
      </c>
      <c r="J349" s="19">
        <v>-48572.43</v>
      </c>
      <c r="K349" s="12">
        <v>159251.43</v>
      </c>
      <c r="L349" s="16">
        <v>1009766.77</v>
      </c>
      <c r="M349" s="15"/>
      <c r="N349" s="14"/>
      <c r="O349" s="17"/>
      <c r="P349" s="17"/>
      <c r="Q349" s="17"/>
      <c r="R349" s="17"/>
      <c r="S349" s="17"/>
      <c r="T349" s="17"/>
      <c r="U349" s="17"/>
      <c r="V349" s="17"/>
      <c r="W349" s="11">
        <v>1009766.77</v>
      </c>
      <c r="X349" s="17"/>
    </row>
    <row r="350" spans="1:24" ht="25.5" x14ac:dyDescent="0.25">
      <c r="A350" s="7" t="s">
        <v>16</v>
      </c>
      <c r="B350" s="8">
        <v>8471230</v>
      </c>
      <c r="C350" s="9" t="s">
        <v>475</v>
      </c>
      <c r="D350" s="10">
        <v>426610</v>
      </c>
      <c r="E350" s="9" t="s">
        <v>39</v>
      </c>
      <c r="F350" s="9" t="s">
        <v>478</v>
      </c>
      <c r="G350" s="11">
        <v>14480</v>
      </c>
      <c r="H350" s="12">
        <v>14480</v>
      </c>
      <c r="I350" s="13"/>
      <c r="J350" s="14"/>
      <c r="K350" s="15"/>
      <c r="L350" s="16">
        <v>14480</v>
      </c>
      <c r="M350" s="15"/>
      <c r="N350" s="14"/>
      <c r="O350" s="17"/>
      <c r="P350" s="17"/>
      <c r="Q350" s="17"/>
      <c r="R350" s="17"/>
      <c r="S350" s="17"/>
      <c r="T350" s="17"/>
      <c r="U350" s="17"/>
      <c r="V350" s="17"/>
      <c r="W350" s="11">
        <v>14480</v>
      </c>
      <c r="X350" s="17"/>
    </row>
    <row r="351" spans="1:24" ht="25.5" x14ac:dyDescent="0.25">
      <c r="A351" s="7" t="s">
        <v>16</v>
      </c>
      <c r="B351" s="8">
        <v>8471240</v>
      </c>
      <c r="C351" s="9" t="s">
        <v>479</v>
      </c>
      <c r="D351" s="10">
        <v>425510</v>
      </c>
      <c r="E351" s="9" t="s">
        <v>20</v>
      </c>
      <c r="F351" s="9" t="s">
        <v>480</v>
      </c>
      <c r="G351" s="11">
        <v>72587</v>
      </c>
      <c r="H351" s="12">
        <v>72587</v>
      </c>
      <c r="I351" s="18">
        <v>8756.25</v>
      </c>
      <c r="J351" s="19">
        <v>0</v>
      </c>
      <c r="K351" s="12">
        <v>44020</v>
      </c>
      <c r="L351" s="16">
        <v>19810.75</v>
      </c>
      <c r="M351" s="15"/>
      <c r="N351" s="14"/>
      <c r="O351" s="17"/>
      <c r="P351" s="17"/>
      <c r="Q351" s="17"/>
      <c r="R351" s="17"/>
      <c r="S351" s="17"/>
      <c r="T351" s="17"/>
      <c r="U351" s="17"/>
      <c r="V351" s="17"/>
      <c r="W351" s="11">
        <v>19810.75</v>
      </c>
      <c r="X351" s="17"/>
    </row>
    <row r="352" spans="1:24" ht="25.5" x14ac:dyDescent="0.25">
      <c r="A352" s="7" t="s">
        <v>16</v>
      </c>
      <c r="B352" s="8">
        <v>8471240</v>
      </c>
      <c r="C352" s="9" t="s">
        <v>479</v>
      </c>
      <c r="D352" s="10">
        <v>425720</v>
      </c>
      <c r="E352" s="9" t="s">
        <v>185</v>
      </c>
      <c r="F352" s="9" t="s">
        <v>481</v>
      </c>
      <c r="G352" s="11">
        <v>59520</v>
      </c>
      <c r="H352" s="12">
        <v>59520</v>
      </c>
      <c r="I352" s="13"/>
      <c r="J352" s="14"/>
      <c r="K352" s="15"/>
      <c r="L352" s="16">
        <v>59520</v>
      </c>
      <c r="M352" s="15"/>
      <c r="N352" s="14"/>
      <c r="O352" s="17"/>
      <c r="P352" s="17"/>
      <c r="Q352" s="17"/>
      <c r="R352" s="17"/>
      <c r="S352" s="17"/>
      <c r="T352" s="17"/>
      <c r="U352" s="17"/>
      <c r="V352" s="17"/>
      <c r="W352" s="11">
        <v>59520</v>
      </c>
      <c r="X352" s="17"/>
    </row>
    <row r="353" spans="1:24" ht="25.5" x14ac:dyDescent="0.25">
      <c r="A353" s="7" t="s">
        <v>16</v>
      </c>
      <c r="B353" s="8">
        <v>8471240</v>
      </c>
      <c r="C353" s="9" t="s">
        <v>479</v>
      </c>
      <c r="D353" s="10">
        <v>425761</v>
      </c>
      <c r="E353" s="9" t="s">
        <v>212</v>
      </c>
      <c r="F353" s="9" t="s">
        <v>482</v>
      </c>
      <c r="G353" s="11">
        <v>700000</v>
      </c>
      <c r="H353" s="12">
        <v>700000</v>
      </c>
      <c r="I353" s="13"/>
      <c r="J353" s="14"/>
      <c r="K353" s="15"/>
      <c r="L353" s="16">
        <v>700000</v>
      </c>
      <c r="M353" s="15"/>
      <c r="N353" s="14"/>
      <c r="O353" s="17"/>
      <c r="P353" s="17"/>
      <c r="Q353" s="17"/>
      <c r="R353" s="17"/>
      <c r="S353" s="17"/>
      <c r="T353" s="17"/>
      <c r="U353" s="17"/>
      <c r="V353" s="17"/>
      <c r="W353" s="11">
        <v>700000</v>
      </c>
      <c r="X353" s="17"/>
    </row>
    <row r="354" spans="1:24" ht="25.5" x14ac:dyDescent="0.25">
      <c r="A354" s="7" t="s">
        <v>16</v>
      </c>
      <c r="B354" s="8">
        <v>8471240</v>
      </c>
      <c r="C354" s="9" t="s">
        <v>479</v>
      </c>
      <c r="D354" s="10">
        <v>425761</v>
      </c>
      <c r="E354" s="9" t="s">
        <v>212</v>
      </c>
      <c r="F354" s="9" t="s">
        <v>483</v>
      </c>
      <c r="G354" s="11">
        <v>1177351</v>
      </c>
      <c r="H354" s="12">
        <v>610000</v>
      </c>
      <c r="I354" s="18">
        <v>13930</v>
      </c>
      <c r="J354" s="14"/>
      <c r="K354" s="15"/>
      <c r="L354" s="16">
        <v>596070</v>
      </c>
      <c r="M354" s="15"/>
      <c r="N354" s="14"/>
      <c r="O354" s="17"/>
      <c r="P354" s="17"/>
      <c r="Q354" s="17"/>
      <c r="R354" s="17"/>
      <c r="S354" s="17"/>
      <c r="T354" s="17"/>
      <c r="U354" s="17"/>
      <c r="V354" s="17"/>
      <c r="W354" s="11">
        <v>596070</v>
      </c>
      <c r="X354" s="17"/>
    </row>
    <row r="355" spans="1:24" ht="25.5" x14ac:dyDescent="0.25">
      <c r="A355" s="7" t="s">
        <v>16</v>
      </c>
      <c r="B355" s="8">
        <v>8471240</v>
      </c>
      <c r="C355" s="9" t="s">
        <v>479</v>
      </c>
      <c r="D355" s="10">
        <v>425762</v>
      </c>
      <c r="E355" s="9" t="s">
        <v>111</v>
      </c>
      <c r="F355" s="9" t="s">
        <v>484</v>
      </c>
      <c r="G355" s="11">
        <v>0</v>
      </c>
      <c r="H355" s="12">
        <v>567351</v>
      </c>
      <c r="I355" s="18">
        <v>41019</v>
      </c>
      <c r="J355" s="14"/>
      <c r="K355" s="15"/>
      <c r="L355" s="16">
        <v>526332</v>
      </c>
      <c r="M355" s="15"/>
      <c r="N355" s="14"/>
      <c r="O355" s="17"/>
      <c r="P355" s="17"/>
      <c r="Q355" s="17"/>
      <c r="R355" s="17"/>
      <c r="S355" s="17"/>
      <c r="T355" s="17"/>
      <c r="U355" s="17"/>
      <c r="V355" s="17"/>
      <c r="W355" s="11">
        <v>526332</v>
      </c>
      <c r="X355" s="17"/>
    </row>
    <row r="356" spans="1:24" ht="25.5" x14ac:dyDescent="0.25">
      <c r="A356" s="7" t="s">
        <v>16</v>
      </c>
      <c r="B356" s="8">
        <v>8471240</v>
      </c>
      <c r="C356" s="9" t="s">
        <v>479</v>
      </c>
      <c r="D356" s="10">
        <v>425900</v>
      </c>
      <c r="E356" s="9" t="s">
        <v>24</v>
      </c>
      <c r="F356" s="9" t="s">
        <v>485</v>
      </c>
      <c r="G356" s="11">
        <v>3840</v>
      </c>
      <c r="H356" s="12">
        <v>3840</v>
      </c>
      <c r="I356" s="18">
        <v>3280.2</v>
      </c>
      <c r="J356" s="14"/>
      <c r="K356" s="15"/>
      <c r="L356" s="16">
        <v>559.79999999999995</v>
      </c>
      <c r="M356" s="15"/>
      <c r="N356" s="14"/>
      <c r="O356" s="17"/>
      <c r="P356" s="17"/>
      <c r="Q356" s="17"/>
      <c r="R356" s="17"/>
      <c r="S356" s="17"/>
      <c r="T356" s="17"/>
      <c r="U356" s="17"/>
      <c r="V356" s="17"/>
      <c r="W356" s="11">
        <v>559.79999999999995</v>
      </c>
      <c r="X356" s="17"/>
    </row>
    <row r="357" spans="1:24" ht="25.5" x14ac:dyDescent="0.25">
      <c r="A357" s="7" t="s">
        <v>16</v>
      </c>
      <c r="B357" s="8">
        <v>8471240</v>
      </c>
      <c r="C357" s="9" t="s">
        <v>479</v>
      </c>
      <c r="D357" s="10">
        <v>426610</v>
      </c>
      <c r="E357" s="9" t="s">
        <v>39</v>
      </c>
      <c r="F357" s="9" t="s">
        <v>486</v>
      </c>
      <c r="G357" s="11">
        <v>362782</v>
      </c>
      <c r="H357" s="12">
        <v>362782</v>
      </c>
      <c r="I357" s="18">
        <v>362782.21</v>
      </c>
      <c r="J357" s="19">
        <v>-217669.33</v>
      </c>
      <c r="K357" s="12">
        <v>72556.45</v>
      </c>
      <c r="L357" s="16">
        <v>145112.67000000001</v>
      </c>
      <c r="M357" s="15"/>
      <c r="N357" s="14"/>
      <c r="O357" s="17"/>
      <c r="P357" s="17"/>
      <c r="Q357" s="17"/>
      <c r="R357" s="17"/>
      <c r="S357" s="17"/>
      <c r="T357" s="17"/>
      <c r="U357" s="17"/>
      <c r="V357" s="17"/>
      <c r="W357" s="11">
        <v>145112.67000000001</v>
      </c>
      <c r="X357" s="17"/>
    </row>
    <row r="358" spans="1:24" ht="25.5" x14ac:dyDescent="0.25">
      <c r="A358" s="7" t="s">
        <v>16</v>
      </c>
      <c r="B358" s="8">
        <v>8471240</v>
      </c>
      <c r="C358" s="9" t="s">
        <v>479</v>
      </c>
      <c r="D358" s="10">
        <v>427710</v>
      </c>
      <c r="E358" s="9" t="s">
        <v>45</v>
      </c>
      <c r="F358" s="9" t="s">
        <v>487</v>
      </c>
      <c r="G358" s="11">
        <v>11019</v>
      </c>
      <c r="H358" s="12">
        <v>11019</v>
      </c>
      <c r="I358" s="13"/>
      <c r="J358" s="14"/>
      <c r="K358" s="15"/>
      <c r="L358" s="16">
        <v>11019</v>
      </c>
      <c r="M358" s="15"/>
      <c r="N358" s="14"/>
      <c r="O358" s="17"/>
      <c r="P358" s="17"/>
      <c r="Q358" s="17"/>
      <c r="R358" s="17"/>
      <c r="S358" s="17"/>
      <c r="T358" s="17"/>
      <c r="U358" s="17"/>
      <c r="V358" s="17"/>
      <c r="W358" s="11">
        <v>11019</v>
      </c>
      <c r="X358" s="17"/>
    </row>
    <row r="359" spans="1:24" ht="25.5" x14ac:dyDescent="0.25">
      <c r="A359" s="7" t="s">
        <v>16</v>
      </c>
      <c r="B359" s="8">
        <v>8471240</v>
      </c>
      <c r="C359" s="9" t="s">
        <v>479</v>
      </c>
      <c r="D359" s="10">
        <v>428090</v>
      </c>
      <c r="E359" s="9" t="s">
        <v>26</v>
      </c>
      <c r="F359" s="9" t="s">
        <v>488</v>
      </c>
      <c r="G359" s="11">
        <v>20092</v>
      </c>
      <c r="H359" s="12">
        <v>20092</v>
      </c>
      <c r="I359" s="18">
        <v>8069.2</v>
      </c>
      <c r="J359" s="14"/>
      <c r="K359" s="15"/>
      <c r="L359" s="16">
        <v>12022.8</v>
      </c>
      <c r="M359" s="15"/>
      <c r="N359" s="14"/>
      <c r="O359" s="17"/>
      <c r="P359" s="17"/>
      <c r="Q359" s="17"/>
      <c r="R359" s="17"/>
      <c r="S359" s="17"/>
      <c r="T359" s="17"/>
      <c r="U359" s="17"/>
      <c r="V359" s="17"/>
      <c r="W359" s="11">
        <v>12022.8</v>
      </c>
      <c r="X359" s="17"/>
    </row>
    <row r="360" spans="1:24" ht="25.5" x14ac:dyDescent="0.25">
      <c r="A360" s="7" t="s">
        <v>16</v>
      </c>
      <c r="B360" s="8">
        <v>8471250</v>
      </c>
      <c r="C360" s="9" t="s">
        <v>489</v>
      </c>
      <c r="D360" s="10">
        <v>425510</v>
      </c>
      <c r="E360" s="9" t="s">
        <v>20</v>
      </c>
      <c r="F360" s="9" t="s">
        <v>490</v>
      </c>
      <c r="G360" s="11">
        <v>300000</v>
      </c>
      <c r="H360" s="12">
        <v>300000</v>
      </c>
      <c r="I360" s="13"/>
      <c r="J360" s="14"/>
      <c r="K360" s="15"/>
      <c r="L360" s="16">
        <v>300000</v>
      </c>
      <c r="M360" s="15"/>
      <c r="N360" s="14"/>
      <c r="O360" s="17"/>
      <c r="P360" s="17"/>
      <c r="Q360" s="17"/>
      <c r="R360" s="17"/>
      <c r="S360" s="17"/>
      <c r="T360" s="17"/>
      <c r="U360" s="17"/>
      <c r="V360" s="17"/>
      <c r="W360" s="11">
        <v>300000</v>
      </c>
      <c r="X360" s="17"/>
    </row>
    <row r="361" spans="1:24" ht="25.5" x14ac:dyDescent="0.25">
      <c r="A361" s="7" t="s">
        <v>16</v>
      </c>
      <c r="B361" s="8">
        <v>8471250</v>
      </c>
      <c r="C361" s="9" t="s">
        <v>489</v>
      </c>
      <c r="D361" s="10">
        <v>425510</v>
      </c>
      <c r="E361" s="9" t="s">
        <v>20</v>
      </c>
      <c r="F361" s="9" t="s">
        <v>491</v>
      </c>
      <c r="G361" s="11">
        <v>350000</v>
      </c>
      <c r="H361" s="12">
        <v>350000</v>
      </c>
      <c r="I361" s="13"/>
      <c r="J361" s="14"/>
      <c r="K361" s="15"/>
      <c r="L361" s="16">
        <v>350000</v>
      </c>
      <c r="M361" s="15"/>
      <c r="N361" s="14"/>
      <c r="O361" s="17"/>
      <c r="P361" s="17"/>
      <c r="Q361" s="17"/>
      <c r="R361" s="17"/>
      <c r="S361" s="17"/>
      <c r="T361" s="17"/>
      <c r="U361" s="17"/>
      <c r="V361" s="17"/>
      <c r="W361" s="11">
        <v>350000</v>
      </c>
      <c r="X361" s="17"/>
    </row>
    <row r="362" spans="1:24" ht="25.5" x14ac:dyDescent="0.25">
      <c r="A362" s="7" t="s">
        <v>16</v>
      </c>
      <c r="B362" s="8">
        <v>8471250</v>
      </c>
      <c r="C362" s="9" t="s">
        <v>489</v>
      </c>
      <c r="D362" s="10">
        <v>425510</v>
      </c>
      <c r="E362" s="9" t="s">
        <v>20</v>
      </c>
      <c r="F362" s="9" t="s">
        <v>492</v>
      </c>
      <c r="G362" s="11">
        <v>1277041</v>
      </c>
      <c r="H362" s="12">
        <v>1277041</v>
      </c>
      <c r="I362" s="18">
        <v>3349.5</v>
      </c>
      <c r="J362" s="19">
        <v>0</v>
      </c>
      <c r="K362" s="12">
        <v>86000</v>
      </c>
      <c r="L362" s="16">
        <v>1187691.5</v>
      </c>
      <c r="M362" s="15"/>
      <c r="N362" s="14"/>
      <c r="O362" s="17"/>
      <c r="P362" s="17"/>
      <c r="Q362" s="17"/>
      <c r="R362" s="17"/>
      <c r="S362" s="17"/>
      <c r="T362" s="17"/>
      <c r="U362" s="17"/>
      <c r="V362" s="17"/>
      <c r="W362" s="11">
        <v>1187691.5</v>
      </c>
      <c r="X362" s="17"/>
    </row>
    <row r="363" spans="1:24" ht="25.5" x14ac:dyDescent="0.25">
      <c r="A363" s="7" t="s">
        <v>16</v>
      </c>
      <c r="B363" s="8">
        <v>8471250</v>
      </c>
      <c r="C363" s="9" t="s">
        <v>489</v>
      </c>
      <c r="D363" s="10">
        <v>425762</v>
      </c>
      <c r="E363" s="9" t="s">
        <v>111</v>
      </c>
      <c r="F363" s="9" t="s">
        <v>493</v>
      </c>
      <c r="G363" s="11">
        <v>750000</v>
      </c>
      <c r="H363" s="12">
        <v>750000</v>
      </c>
      <c r="I363" s="13"/>
      <c r="J363" s="14"/>
      <c r="K363" s="15"/>
      <c r="L363" s="16">
        <v>750000</v>
      </c>
      <c r="M363" s="15"/>
      <c r="N363" s="14"/>
      <c r="O363" s="17"/>
      <c r="P363" s="17"/>
      <c r="Q363" s="17"/>
      <c r="R363" s="17"/>
      <c r="S363" s="17"/>
      <c r="T363" s="17"/>
      <c r="U363" s="17"/>
      <c r="V363" s="17"/>
      <c r="W363" s="11">
        <v>750000</v>
      </c>
      <c r="X363" s="17"/>
    </row>
    <row r="364" spans="1:24" ht="25.5" x14ac:dyDescent="0.25">
      <c r="A364" s="7" t="s">
        <v>16</v>
      </c>
      <c r="B364" s="8">
        <v>8471250</v>
      </c>
      <c r="C364" s="9" t="s">
        <v>489</v>
      </c>
      <c r="D364" s="10">
        <v>425762</v>
      </c>
      <c r="E364" s="9" t="s">
        <v>111</v>
      </c>
      <c r="F364" s="9" t="s">
        <v>494</v>
      </c>
      <c r="G364" s="11">
        <v>1233338</v>
      </c>
      <c r="H364" s="12">
        <v>1233338</v>
      </c>
      <c r="I364" s="13"/>
      <c r="J364" s="14"/>
      <c r="K364" s="15"/>
      <c r="L364" s="16">
        <v>1233338</v>
      </c>
      <c r="M364" s="15"/>
      <c r="N364" s="14"/>
      <c r="O364" s="17"/>
      <c r="P364" s="17"/>
      <c r="Q364" s="17"/>
      <c r="R364" s="17"/>
      <c r="S364" s="17"/>
      <c r="T364" s="17"/>
      <c r="U364" s="17"/>
      <c r="V364" s="17"/>
      <c r="W364" s="11">
        <v>1233338</v>
      </c>
      <c r="X364" s="17"/>
    </row>
    <row r="365" spans="1:24" ht="25.5" x14ac:dyDescent="0.25">
      <c r="A365" s="7" t="s">
        <v>16</v>
      </c>
      <c r="B365" s="8">
        <v>8471250</v>
      </c>
      <c r="C365" s="9" t="s">
        <v>489</v>
      </c>
      <c r="D365" s="10">
        <v>425900</v>
      </c>
      <c r="E365" s="9" t="s">
        <v>24</v>
      </c>
      <c r="F365" s="9" t="s">
        <v>495</v>
      </c>
      <c r="G365" s="11">
        <v>12375</v>
      </c>
      <c r="H365" s="12">
        <v>0</v>
      </c>
      <c r="I365" s="13"/>
      <c r="J365" s="14"/>
      <c r="K365" s="15"/>
      <c r="L365" s="16">
        <v>0</v>
      </c>
      <c r="M365" s="15"/>
      <c r="N365" s="14"/>
      <c r="O365" s="17"/>
      <c r="P365" s="17"/>
      <c r="Q365" s="17"/>
      <c r="R365" s="17"/>
      <c r="S365" s="17"/>
      <c r="T365" s="17"/>
      <c r="U365" s="17"/>
      <c r="V365" s="17"/>
      <c r="W365" s="11">
        <v>0</v>
      </c>
      <c r="X365" s="17"/>
    </row>
    <row r="366" spans="1:24" ht="25.5" x14ac:dyDescent="0.25">
      <c r="A366" s="7" t="s">
        <v>16</v>
      </c>
      <c r="B366" s="8">
        <v>8471250</v>
      </c>
      <c r="C366" s="9" t="s">
        <v>489</v>
      </c>
      <c r="D366" s="10">
        <v>426610</v>
      </c>
      <c r="E366" s="9" t="s">
        <v>39</v>
      </c>
      <c r="F366" s="9" t="s">
        <v>496</v>
      </c>
      <c r="G366" s="11">
        <v>300000</v>
      </c>
      <c r="H366" s="12">
        <v>300000</v>
      </c>
      <c r="I366" s="13"/>
      <c r="J366" s="14"/>
      <c r="K366" s="15"/>
      <c r="L366" s="16">
        <v>300000</v>
      </c>
      <c r="M366" s="15"/>
      <c r="N366" s="14"/>
      <c r="O366" s="17"/>
      <c r="P366" s="17"/>
      <c r="Q366" s="17"/>
      <c r="R366" s="17"/>
      <c r="S366" s="17"/>
      <c r="T366" s="17"/>
      <c r="U366" s="17"/>
      <c r="V366" s="17"/>
      <c r="W366" s="11">
        <v>300000</v>
      </c>
      <c r="X366" s="17"/>
    </row>
    <row r="367" spans="1:24" ht="25.5" x14ac:dyDescent="0.25">
      <c r="A367" s="7" t="s">
        <v>16</v>
      </c>
      <c r="B367" s="8">
        <v>8471250</v>
      </c>
      <c r="C367" s="9" t="s">
        <v>489</v>
      </c>
      <c r="D367" s="10">
        <v>426610</v>
      </c>
      <c r="E367" s="9" t="s">
        <v>39</v>
      </c>
      <c r="F367" s="9" t="s">
        <v>497</v>
      </c>
      <c r="G367" s="11">
        <v>360605</v>
      </c>
      <c r="H367" s="12">
        <v>340605</v>
      </c>
      <c r="I367" s="13"/>
      <c r="J367" s="14"/>
      <c r="K367" s="15"/>
      <c r="L367" s="16">
        <v>340605</v>
      </c>
      <c r="M367" s="15"/>
      <c r="N367" s="14"/>
      <c r="O367" s="17"/>
      <c r="P367" s="17"/>
      <c r="Q367" s="17"/>
      <c r="R367" s="17"/>
      <c r="S367" s="17"/>
      <c r="T367" s="17"/>
      <c r="U367" s="17"/>
      <c r="V367" s="17"/>
      <c r="W367" s="11">
        <v>340605</v>
      </c>
      <c r="X367" s="17"/>
    </row>
    <row r="368" spans="1:24" ht="25.5" x14ac:dyDescent="0.25">
      <c r="A368" s="7" t="s">
        <v>16</v>
      </c>
      <c r="B368" s="8">
        <v>8471250</v>
      </c>
      <c r="C368" s="9" t="s">
        <v>489</v>
      </c>
      <c r="D368" s="10">
        <v>428090</v>
      </c>
      <c r="E368" s="9" t="s">
        <v>26</v>
      </c>
      <c r="F368" s="9" t="s">
        <v>498</v>
      </c>
      <c r="G368" s="11">
        <v>0</v>
      </c>
      <c r="H368" s="12">
        <v>20000</v>
      </c>
      <c r="I368" s="18">
        <v>10917.67</v>
      </c>
      <c r="J368" s="14"/>
      <c r="K368" s="15"/>
      <c r="L368" s="16">
        <v>9082.33</v>
      </c>
      <c r="M368" s="15"/>
      <c r="N368" s="14"/>
      <c r="O368" s="17"/>
      <c r="P368" s="17"/>
      <c r="Q368" s="17"/>
      <c r="R368" s="17"/>
      <c r="S368" s="17"/>
      <c r="T368" s="17"/>
      <c r="U368" s="17"/>
      <c r="V368" s="17"/>
      <c r="W368" s="11">
        <v>9082.33</v>
      </c>
      <c r="X368" s="17"/>
    </row>
    <row r="369" spans="1:24" ht="25.5" x14ac:dyDescent="0.25">
      <c r="A369" s="7" t="s">
        <v>16</v>
      </c>
      <c r="B369" s="8">
        <v>8471250</v>
      </c>
      <c r="C369" s="9" t="s">
        <v>489</v>
      </c>
      <c r="D369" s="10">
        <v>436110</v>
      </c>
      <c r="E369" s="9" t="s">
        <v>158</v>
      </c>
      <c r="F369" s="9" t="s">
        <v>499</v>
      </c>
      <c r="G369" s="11">
        <v>0</v>
      </c>
      <c r="H369" s="12">
        <v>12375</v>
      </c>
      <c r="I369" s="13"/>
      <c r="J369" s="19">
        <v>12167.5</v>
      </c>
      <c r="K369" s="15"/>
      <c r="L369" s="16">
        <v>207.5</v>
      </c>
      <c r="M369" s="15"/>
      <c r="N369" s="14"/>
      <c r="O369" s="17"/>
      <c r="P369" s="17"/>
      <c r="Q369" s="17"/>
      <c r="R369" s="17"/>
      <c r="S369" s="17"/>
      <c r="T369" s="17"/>
      <c r="U369" s="17"/>
      <c r="V369" s="17"/>
      <c r="W369" s="11">
        <v>207.5</v>
      </c>
      <c r="X369" s="17"/>
    </row>
    <row r="370" spans="1:24" ht="25.5" x14ac:dyDescent="0.25">
      <c r="A370" s="7" t="s">
        <v>16</v>
      </c>
      <c r="B370" s="8">
        <v>8471260</v>
      </c>
      <c r="C370" s="9" t="s">
        <v>500</v>
      </c>
      <c r="D370" s="10">
        <v>425510</v>
      </c>
      <c r="E370" s="9" t="s">
        <v>20</v>
      </c>
      <c r="F370" s="9" t="s">
        <v>501</v>
      </c>
      <c r="G370" s="11">
        <v>83642</v>
      </c>
      <c r="H370" s="12">
        <v>83642</v>
      </c>
      <c r="I370" s="18">
        <v>787.5</v>
      </c>
      <c r="J370" s="14"/>
      <c r="K370" s="15"/>
      <c r="L370" s="16">
        <v>82854.5</v>
      </c>
      <c r="M370" s="15"/>
      <c r="N370" s="14"/>
      <c r="O370" s="17"/>
      <c r="P370" s="17"/>
      <c r="Q370" s="17"/>
      <c r="R370" s="17"/>
      <c r="S370" s="17"/>
      <c r="T370" s="17"/>
      <c r="U370" s="17"/>
      <c r="V370" s="17"/>
      <c r="W370" s="11">
        <v>82854.5</v>
      </c>
      <c r="X370" s="17"/>
    </row>
    <row r="371" spans="1:24" ht="25.5" x14ac:dyDescent="0.25">
      <c r="A371" s="7" t="s">
        <v>16</v>
      </c>
      <c r="B371" s="8">
        <v>8471260</v>
      </c>
      <c r="C371" s="9" t="s">
        <v>500</v>
      </c>
      <c r="D371" s="10">
        <v>425746</v>
      </c>
      <c r="E371" s="9" t="s">
        <v>502</v>
      </c>
      <c r="F371" s="9" t="s">
        <v>503</v>
      </c>
      <c r="G371" s="11">
        <v>13916828</v>
      </c>
      <c r="H371" s="12">
        <v>13916828</v>
      </c>
      <c r="I371" s="18">
        <v>29290.86</v>
      </c>
      <c r="J371" s="19">
        <v>0</v>
      </c>
      <c r="K371" s="12">
        <v>13000000</v>
      </c>
      <c r="L371" s="16">
        <v>887537.14000000095</v>
      </c>
      <c r="M371" s="15"/>
      <c r="N371" s="14"/>
      <c r="O371" s="17"/>
      <c r="P371" s="17"/>
      <c r="Q371" s="17"/>
      <c r="R371" s="17"/>
      <c r="S371" s="17"/>
      <c r="T371" s="17"/>
      <c r="U371" s="17"/>
      <c r="V371" s="17"/>
      <c r="W371" s="11">
        <v>887537.14000000095</v>
      </c>
      <c r="X371" s="17"/>
    </row>
    <row r="372" spans="1:24" ht="25.5" x14ac:dyDescent="0.25">
      <c r="A372" s="7" t="s">
        <v>16</v>
      </c>
      <c r="B372" s="8">
        <v>8471260</v>
      </c>
      <c r="C372" s="9" t="s">
        <v>500</v>
      </c>
      <c r="D372" s="10">
        <v>425747</v>
      </c>
      <c r="E372" s="9" t="s">
        <v>80</v>
      </c>
      <c r="F372" s="9" t="s">
        <v>504</v>
      </c>
      <c r="G372" s="11">
        <v>580994</v>
      </c>
      <c r="H372" s="12">
        <v>540994</v>
      </c>
      <c r="I372" s="13"/>
      <c r="J372" s="19">
        <v>0</v>
      </c>
      <c r="K372" s="15"/>
      <c r="L372" s="16">
        <v>540994</v>
      </c>
      <c r="M372" s="15"/>
      <c r="N372" s="14"/>
      <c r="O372" s="17"/>
      <c r="P372" s="17"/>
      <c r="Q372" s="17"/>
      <c r="R372" s="17"/>
      <c r="S372" s="17"/>
      <c r="T372" s="17"/>
      <c r="U372" s="17"/>
      <c r="V372" s="17"/>
      <c r="W372" s="11">
        <v>540994</v>
      </c>
      <c r="X372" s="17"/>
    </row>
    <row r="373" spans="1:24" ht="25.5" x14ac:dyDescent="0.25">
      <c r="A373" s="7" t="s">
        <v>16</v>
      </c>
      <c r="B373" s="8">
        <v>8471260</v>
      </c>
      <c r="C373" s="9" t="s">
        <v>500</v>
      </c>
      <c r="D373" s="10">
        <v>425760</v>
      </c>
      <c r="E373" s="9" t="s">
        <v>116</v>
      </c>
      <c r="F373" s="9" t="s">
        <v>505</v>
      </c>
      <c r="G373" s="11">
        <v>508333</v>
      </c>
      <c r="H373" s="12">
        <v>508333</v>
      </c>
      <c r="I373" s="18">
        <v>100904.95</v>
      </c>
      <c r="J373" s="19">
        <v>-12000</v>
      </c>
      <c r="K373" s="12">
        <v>94600</v>
      </c>
      <c r="L373" s="16">
        <v>324828.05</v>
      </c>
      <c r="M373" s="15"/>
      <c r="N373" s="14"/>
      <c r="O373" s="17"/>
      <c r="P373" s="17"/>
      <c r="Q373" s="17"/>
      <c r="R373" s="17"/>
      <c r="S373" s="17"/>
      <c r="T373" s="17"/>
      <c r="U373" s="17"/>
      <c r="V373" s="17"/>
      <c r="W373" s="11">
        <v>324828.05</v>
      </c>
      <c r="X373" s="17"/>
    </row>
    <row r="374" spans="1:24" ht="25.5" x14ac:dyDescent="0.25">
      <c r="A374" s="7" t="s">
        <v>16</v>
      </c>
      <c r="B374" s="8">
        <v>8471260</v>
      </c>
      <c r="C374" s="9" t="s">
        <v>500</v>
      </c>
      <c r="D374" s="10">
        <v>425900</v>
      </c>
      <c r="E374" s="9" t="s">
        <v>24</v>
      </c>
      <c r="F374" s="9" t="s">
        <v>506</v>
      </c>
      <c r="G374" s="11">
        <v>27460</v>
      </c>
      <c r="H374" s="12">
        <v>67460</v>
      </c>
      <c r="I374" s="18">
        <v>37774.65</v>
      </c>
      <c r="J374" s="14"/>
      <c r="K374" s="15"/>
      <c r="L374" s="16">
        <v>29685.35</v>
      </c>
      <c r="M374" s="15"/>
      <c r="N374" s="14"/>
      <c r="O374" s="17"/>
      <c r="P374" s="17"/>
      <c r="Q374" s="17"/>
      <c r="R374" s="17"/>
      <c r="S374" s="17"/>
      <c r="T374" s="17"/>
      <c r="U374" s="17"/>
      <c r="V374" s="17"/>
      <c r="W374" s="11">
        <v>29685.35</v>
      </c>
      <c r="X374" s="17"/>
    </row>
    <row r="375" spans="1:24" ht="25.5" x14ac:dyDescent="0.25">
      <c r="A375" s="7" t="s">
        <v>16</v>
      </c>
      <c r="B375" s="8">
        <v>8471260</v>
      </c>
      <c r="C375" s="9" t="s">
        <v>500</v>
      </c>
      <c r="D375" s="10">
        <v>428640</v>
      </c>
      <c r="E375" s="9" t="s">
        <v>59</v>
      </c>
      <c r="F375" s="9" t="s">
        <v>507</v>
      </c>
      <c r="G375" s="11">
        <v>12800</v>
      </c>
      <c r="H375" s="12">
        <v>12800</v>
      </c>
      <c r="I375" s="18">
        <v>857.14</v>
      </c>
      <c r="J375" s="14"/>
      <c r="K375" s="15"/>
      <c r="L375" s="16">
        <v>11942.86</v>
      </c>
      <c r="M375" s="15"/>
      <c r="N375" s="14"/>
      <c r="O375" s="17"/>
      <c r="P375" s="17"/>
      <c r="Q375" s="17"/>
      <c r="R375" s="17"/>
      <c r="S375" s="17"/>
      <c r="T375" s="17"/>
      <c r="U375" s="17"/>
      <c r="V375" s="17"/>
      <c r="W375" s="11">
        <v>11942.86</v>
      </c>
      <c r="X375" s="17"/>
    </row>
    <row r="376" spans="1:24" ht="25.5" x14ac:dyDescent="0.25">
      <c r="A376" s="7" t="s">
        <v>16</v>
      </c>
      <c r="B376" s="8">
        <v>8471260</v>
      </c>
      <c r="C376" s="9" t="s">
        <v>500</v>
      </c>
      <c r="D376" s="10">
        <v>429900</v>
      </c>
      <c r="E376" s="9" t="s">
        <v>270</v>
      </c>
      <c r="F376" s="9" t="s">
        <v>508</v>
      </c>
      <c r="G376" s="11">
        <v>0</v>
      </c>
      <c r="H376" s="12">
        <v>250000</v>
      </c>
      <c r="I376" s="18">
        <v>27782.5</v>
      </c>
      <c r="J376" s="14"/>
      <c r="K376" s="15"/>
      <c r="L376" s="16">
        <v>222217.5</v>
      </c>
      <c r="M376" s="15"/>
      <c r="N376" s="14"/>
      <c r="O376" s="17"/>
      <c r="P376" s="17"/>
      <c r="Q376" s="17"/>
      <c r="R376" s="17"/>
      <c r="S376" s="17"/>
      <c r="T376" s="17"/>
      <c r="U376" s="17"/>
      <c r="V376" s="17"/>
      <c r="W376" s="11">
        <v>222217.5</v>
      </c>
      <c r="X376" s="17"/>
    </row>
    <row r="377" spans="1:24" ht="25.5" x14ac:dyDescent="0.25">
      <c r="A377" s="7" t="s">
        <v>16</v>
      </c>
      <c r="B377" s="8">
        <v>8471260</v>
      </c>
      <c r="C377" s="9" t="s">
        <v>500</v>
      </c>
      <c r="D377" s="10">
        <v>435530</v>
      </c>
      <c r="E377" s="9" t="s">
        <v>509</v>
      </c>
      <c r="F377" s="9" t="s">
        <v>510</v>
      </c>
      <c r="G377" s="11">
        <v>8518</v>
      </c>
      <c r="H377" s="12">
        <v>8518</v>
      </c>
      <c r="I377" s="18">
        <v>1022.86</v>
      </c>
      <c r="J377" s="19">
        <v>0</v>
      </c>
      <c r="K377" s="12">
        <v>0</v>
      </c>
      <c r="L377" s="16">
        <v>7495.14</v>
      </c>
      <c r="M377" s="15"/>
      <c r="N377" s="14"/>
      <c r="O377" s="17"/>
      <c r="P377" s="17"/>
      <c r="Q377" s="17"/>
      <c r="R377" s="17"/>
      <c r="S377" s="17"/>
      <c r="T377" s="17"/>
      <c r="U377" s="17"/>
      <c r="V377" s="17"/>
      <c r="W377" s="11">
        <v>7495.14</v>
      </c>
      <c r="X377" s="17"/>
    </row>
    <row r="378" spans="1:24" ht="25.5" x14ac:dyDescent="0.25">
      <c r="A378" s="7" t="s">
        <v>16</v>
      </c>
      <c r="B378" s="8">
        <v>8471260</v>
      </c>
      <c r="C378" s="9" t="s">
        <v>500</v>
      </c>
      <c r="D378" s="10">
        <v>436110</v>
      </c>
      <c r="E378" s="9" t="s">
        <v>158</v>
      </c>
      <c r="F378" s="9" t="s">
        <v>511</v>
      </c>
      <c r="G378" s="11">
        <v>5952</v>
      </c>
      <c r="H378" s="12">
        <v>5952</v>
      </c>
      <c r="I378" s="18">
        <v>1014.91</v>
      </c>
      <c r="J378" s="14"/>
      <c r="K378" s="15"/>
      <c r="L378" s="16">
        <v>4937.09</v>
      </c>
      <c r="M378" s="15"/>
      <c r="N378" s="14"/>
      <c r="O378" s="17"/>
      <c r="P378" s="17"/>
      <c r="Q378" s="17"/>
      <c r="R378" s="17"/>
      <c r="S378" s="17"/>
      <c r="T378" s="17"/>
      <c r="U378" s="17"/>
      <c r="V378" s="17"/>
      <c r="W378" s="11">
        <v>4937.09</v>
      </c>
      <c r="X378" s="17"/>
    </row>
    <row r="379" spans="1:24" ht="25.5" x14ac:dyDescent="0.25">
      <c r="A379" s="7" t="s">
        <v>16</v>
      </c>
      <c r="B379" s="8">
        <v>8471270</v>
      </c>
      <c r="C379" s="9" t="s">
        <v>512</v>
      </c>
      <c r="D379" s="10">
        <v>425900</v>
      </c>
      <c r="E379" s="9" t="s">
        <v>24</v>
      </c>
      <c r="F379" s="9" t="s">
        <v>513</v>
      </c>
      <c r="G379" s="11">
        <v>2961</v>
      </c>
      <c r="H379" s="12">
        <v>2961</v>
      </c>
      <c r="I379" s="13"/>
      <c r="J379" s="14"/>
      <c r="K379" s="15"/>
      <c r="L379" s="16">
        <v>2961</v>
      </c>
      <c r="M379" s="15"/>
      <c r="N379" s="14"/>
      <c r="O379" s="17"/>
      <c r="P379" s="17"/>
      <c r="Q379" s="17"/>
      <c r="R379" s="17"/>
      <c r="S379" s="17"/>
      <c r="T379" s="17"/>
      <c r="U379" s="17"/>
      <c r="V379" s="17"/>
      <c r="W379" s="11">
        <v>2961</v>
      </c>
      <c r="X379" s="17"/>
    </row>
    <row r="380" spans="1:24" ht="25.5" x14ac:dyDescent="0.25">
      <c r="A380" s="7" t="s">
        <v>16</v>
      </c>
      <c r="B380" s="8">
        <v>8471270</v>
      </c>
      <c r="C380" s="9" t="s">
        <v>512</v>
      </c>
      <c r="D380" s="10">
        <v>435330</v>
      </c>
      <c r="E380" s="9" t="s">
        <v>514</v>
      </c>
      <c r="F380" s="9" t="s">
        <v>515</v>
      </c>
      <c r="G380" s="11">
        <v>14472062</v>
      </c>
      <c r="H380" s="12">
        <v>14472062</v>
      </c>
      <c r="I380" s="18">
        <v>300353.99</v>
      </c>
      <c r="J380" s="19">
        <v>8503417.5700000003</v>
      </c>
      <c r="K380" s="12">
        <v>4315397.12</v>
      </c>
      <c r="L380" s="16">
        <v>1352893.32</v>
      </c>
      <c r="M380" s="15"/>
      <c r="N380" s="14"/>
      <c r="O380" s="17"/>
      <c r="P380" s="17"/>
      <c r="Q380" s="17"/>
      <c r="R380" s="17"/>
      <c r="S380" s="17"/>
      <c r="T380" s="17"/>
      <c r="U380" s="17"/>
      <c r="V380" s="17"/>
      <c r="W380" s="11">
        <v>1352893.32</v>
      </c>
      <c r="X380" s="17"/>
    </row>
    <row r="381" spans="1:24" ht="25.5" x14ac:dyDescent="0.25">
      <c r="A381" s="7" t="s">
        <v>16</v>
      </c>
      <c r="B381" s="8">
        <v>8471280</v>
      </c>
      <c r="C381" s="9" t="s">
        <v>516</v>
      </c>
      <c r="D381" s="10">
        <v>425100</v>
      </c>
      <c r="E381" s="9" t="s">
        <v>49</v>
      </c>
      <c r="F381" s="9" t="s">
        <v>517</v>
      </c>
      <c r="G381" s="11">
        <v>0</v>
      </c>
      <c r="H381" s="12">
        <v>10000</v>
      </c>
      <c r="I381" s="13"/>
      <c r="J381" s="14"/>
      <c r="K381" s="15"/>
      <c r="L381" s="16">
        <v>10000</v>
      </c>
      <c r="M381" s="15"/>
      <c r="N381" s="14"/>
      <c r="O381" s="17"/>
      <c r="P381" s="17"/>
      <c r="Q381" s="17"/>
      <c r="R381" s="17"/>
      <c r="S381" s="17"/>
      <c r="T381" s="17"/>
      <c r="U381" s="17"/>
      <c r="V381" s="17"/>
      <c r="W381" s="11">
        <v>10000</v>
      </c>
      <c r="X381" s="17"/>
    </row>
    <row r="382" spans="1:24" ht="25.5" x14ac:dyDescent="0.25">
      <c r="A382" s="7" t="s">
        <v>16</v>
      </c>
      <c r="B382" s="8">
        <v>8471280</v>
      </c>
      <c r="C382" s="9" t="s">
        <v>516</v>
      </c>
      <c r="D382" s="10">
        <v>425510</v>
      </c>
      <c r="E382" s="9" t="s">
        <v>20</v>
      </c>
      <c r="F382" s="9" t="s">
        <v>518</v>
      </c>
      <c r="G382" s="11">
        <v>32760</v>
      </c>
      <c r="H382" s="12">
        <v>104637</v>
      </c>
      <c r="I382" s="18">
        <v>38551.25</v>
      </c>
      <c r="J382" s="14"/>
      <c r="K382" s="15"/>
      <c r="L382" s="16">
        <v>66085.75</v>
      </c>
      <c r="M382" s="15"/>
      <c r="N382" s="14"/>
      <c r="O382" s="17"/>
      <c r="P382" s="17"/>
      <c r="Q382" s="17"/>
      <c r="R382" s="17"/>
      <c r="S382" s="17"/>
      <c r="T382" s="17"/>
      <c r="U382" s="17"/>
      <c r="V382" s="17"/>
      <c r="W382" s="11">
        <v>66085.75</v>
      </c>
      <c r="X382" s="17"/>
    </row>
    <row r="383" spans="1:24" ht="25.5" x14ac:dyDescent="0.25">
      <c r="A383" s="7" t="s">
        <v>16</v>
      </c>
      <c r="B383" s="8">
        <v>8471280</v>
      </c>
      <c r="C383" s="9" t="s">
        <v>516</v>
      </c>
      <c r="D383" s="10">
        <v>425550</v>
      </c>
      <c r="E383" s="9" t="s">
        <v>22</v>
      </c>
      <c r="F383" s="9" t="s">
        <v>519</v>
      </c>
      <c r="G383" s="11">
        <v>28417</v>
      </c>
      <c r="H383" s="12">
        <v>28417</v>
      </c>
      <c r="I383" s="13"/>
      <c r="J383" s="14"/>
      <c r="K383" s="15"/>
      <c r="L383" s="16">
        <v>28417</v>
      </c>
      <c r="M383" s="15"/>
      <c r="N383" s="14"/>
      <c r="O383" s="17"/>
      <c r="P383" s="17"/>
      <c r="Q383" s="17"/>
      <c r="R383" s="17"/>
      <c r="S383" s="17"/>
      <c r="T383" s="17"/>
      <c r="U383" s="17"/>
      <c r="V383" s="17"/>
      <c r="W383" s="11">
        <v>28417</v>
      </c>
      <c r="X383" s="17"/>
    </row>
    <row r="384" spans="1:24" ht="25.5" x14ac:dyDescent="0.25">
      <c r="A384" s="7" t="s">
        <v>16</v>
      </c>
      <c r="B384" s="8">
        <v>8471280</v>
      </c>
      <c r="C384" s="9" t="s">
        <v>516</v>
      </c>
      <c r="D384" s="10">
        <v>425710</v>
      </c>
      <c r="E384" s="9" t="s">
        <v>520</v>
      </c>
      <c r="F384" s="9" t="s">
        <v>521</v>
      </c>
      <c r="G384" s="11">
        <v>112500</v>
      </c>
      <c r="H384" s="12">
        <v>112500</v>
      </c>
      <c r="I384" s="13"/>
      <c r="J384" s="14"/>
      <c r="K384" s="15"/>
      <c r="L384" s="16">
        <v>112500</v>
      </c>
      <c r="M384" s="15"/>
      <c r="N384" s="14"/>
      <c r="O384" s="17"/>
      <c r="P384" s="17"/>
      <c r="Q384" s="17"/>
      <c r="R384" s="17"/>
      <c r="S384" s="17"/>
      <c r="T384" s="17"/>
      <c r="U384" s="17"/>
      <c r="V384" s="17"/>
      <c r="W384" s="11">
        <v>112500</v>
      </c>
      <c r="X384" s="17"/>
    </row>
    <row r="385" spans="1:24" ht="25.5" x14ac:dyDescent="0.25">
      <c r="A385" s="7" t="s">
        <v>16</v>
      </c>
      <c r="B385" s="8">
        <v>8471280</v>
      </c>
      <c r="C385" s="9" t="s">
        <v>516</v>
      </c>
      <c r="D385" s="10">
        <v>425720</v>
      </c>
      <c r="E385" s="9" t="s">
        <v>185</v>
      </c>
      <c r="F385" s="9" t="s">
        <v>522</v>
      </c>
      <c r="G385" s="11">
        <v>0</v>
      </c>
      <c r="H385" s="12">
        <v>12628</v>
      </c>
      <c r="I385" s="13"/>
      <c r="J385" s="14"/>
      <c r="K385" s="15"/>
      <c r="L385" s="16">
        <v>12628</v>
      </c>
      <c r="M385" s="15"/>
      <c r="N385" s="14"/>
      <c r="O385" s="17"/>
      <c r="P385" s="17"/>
      <c r="Q385" s="17"/>
      <c r="R385" s="17"/>
      <c r="S385" s="17"/>
      <c r="T385" s="17"/>
      <c r="U385" s="17"/>
      <c r="V385" s="17"/>
      <c r="W385" s="11">
        <v>12628</v>
      </c>
      <c r="X385" s="17"/>
    </row>
    <row r="386" spans="1:24" ht="25.5" x14ac:dyDescent="0.25">
      <c r="A386" s="7" t="s">
        <v>16</v>
      </c>
      <c r="B386" s="8">
        <v>8471280</v>
      </c>
      <c r="C386" s="9" t="s">
        <v>516</v>
      </c>
      <c r="D386" s="10">
        <v>425760</v>
      </c>
      <c r="E386" s="9" t="s">
        <v>116</v>
      </c>
      <c r="F386" s="9" t="s">
        <v>523</v>
      </c>
      <c r="G386" s="11">
        <v>13140</v>
      </c>
      <c r="H386" s="12">
        <v>13140</v>
      </c>
      <c r="I386" s="13"/>
      <c r="J386" s="14"/>
      <c r="K386" s="15"/>
      <c r="L386" s="16">
        <v>13140</v>
      </c>
      <c r="M386" s="15"/>
      <c r="N386" s="14"/>
      <c r="O386" s="17"/>
      <c r="P386" s="17"/>
      <c r="Q386" s="17"/>
      <c r="R386" s="17"/>
      <c r="S386" s="17"/>
      <c r="T386" s="17"/>
      <c r="U386" s="17"/>
      <c r="V386" s="17"/>
      <c r="W386" s="11">
        <v>13140</v>
      </c>
      <c r="X386" s="17"/>
    </row>
    <row r="387" spans="1:24" ht="25.5" x14ac:dyDescent="0.25">
      <c r="A387" s="7" t="s">
        <v>16</v>
      </c>
      <c r="B387" s="8">
        <v>8471280</v>
      </c>
      <c r="C387" s="9" t="s">
        <v>516</v>
      </c>
      <c r="D387" s="10">
        <v>425770</v>
      </c>
      <c r="E387" s="9" t="s">
        <v>119</v>
      </c>
      <c r="F387" s="9" t="s">
        <v>524</v>
      </c>
      <c r="G387" s="11">
        <v>66000</v>
      </c>
      <c r="H387" s="12">
        <v>0</v>
      </c>
      <c r="I387" s="13"/>
      <c r="J387" s="14"/>
      <c r="K387" s="15"/>
      <c r="L387" s="16">
        <v>0</v>
      </c>
      <c r="M387" s="15"/>
      <c r="N387" s="14"/>
      <c r="O387" s="17"/>
      <c r="P387" s="17"/>
      <c r="Q387" s="17"/>
      <c r="R387" s="17"/>
      <c r="S387" s="17"/>
      <c r="T387" s="17"/>
      <c r="U387" s="17"/>
      <c r="V387" s="17"/>
      <c r="W387" s="11">
        <v>0</v>
      </c>
      <c r="X387" s="17"/>
    </row>
    <row r="388" spans="1:24" ht="25.5" x14ac:dyDescent="0.25">
      <c r="A388" s="7" t="s">
        <v>16</v>
      </c>
      <c r="B388" s="8">
        <v>8471280</v>
      </c>
      <c r="C388" s="9" t="s">
        <v>516</v>
      </c>
      <c r="D388" s="10">
        <v>425900</v>
      </c>
      <c r="E388" s="9" t="s">
        <v>24</v>
      </c>
      <c r="F388" s="9" t="s">
        <v>525</v>
      </c>
      <c r="G388" s="11">
        <v>0</v>
      </c>
      <c r="H388" s="12">
        <v>38359</v>
      </c>
      <c r="I388" s="18">
        <v>35059.5</v>
      </c>
      <c r="J388" s="14"/>
      <c r="K388" s="15"/>
      <c r="L388" s="16">
        <v>3299.5</v>
      </c>
      <c r="M388" s="15"/>
      <c r="N388" s="14"/>
      <c r="O388" s="17"/>
      <c r="P388" s="17"/>
      <c r="Q388" s="17"/>
      <c r="R388" s="17"/>
      <c r="S388" s="17"/>
      <c r="T388" s="17"/>
      <c r="U388" s="17"/>
      <c r="V388" s="17"/>
      <c r="W388" s="11">
        <v>3299.5</v>
      </c>
      <c r="X388" s="17"/>
    </row>
    <row r="389" spans="1:24" ht="25.5" x14ac:dyDescent="0.25">
      <c r="A389" s="7" t="s">
        <v>16</v>
      </c>
      <c r="B389" s="8">
        <v>8471280</v>
      </c>
      <c r="C389" s="9" t="s">
        <v>516</v>
      </c>
      <c r="D389" s="10">
        <v>426610</v>
      </c>
      <c r="E389" s="9" t="s">
        <v>39</v>
      </c>
      <c r="F389" s="9" t="s">
        <v>526</v>
      </c>
      <c r="G389" s="11">
        <v>282200</v>
      </c>
      <c r="H389" s="12">
        <v>282200</v>
      </c>
      <c r="I389" s="18">
        <v>1387.18</v>
      </c>
      <c r="J389" s="19">
        <v>17068.93</v>
      </c>
      <c r="K389" s="12">
        <v>4559.29</v>
      </c>
      <c r="L389" s="16">
        <v>259184.6</v>
      </c>
      <c r="M389" s="15"/>
      <c r="N389" s="14"/>
      <c r="O389" s="17"/>
      <c r="P389" s="17"/>
      <c r="Q389" s="17"/>
      <c r="R389" s="17"/>
      <c r="S389" s="17"/>
      <c r="T389" s="17"/>
      <c r="U389" s="17"/>
      <c r="V389" s="17"/>
      <c r="W389" s="11">
        <v>259184.6</v>
      </c>
      <c r="X389" s="17"/>
    </row>
    <row r="390" spans="1:24" ht="25.5" x14ac:dyDescent="0.25">
      <c r="A390" s="7" t="s">
        <v>16</v>
      </c>
      <c r="B390" s="8">
        <v>8471280</v>
      </c>
      <c r="C390" s="9" t="s">
        <v>516</v>
      </c>
      <c r="D390" s="10">
        <v>428640</v>
      </c>
      <c r="E390" s="9" t="s">
        <v>59</v>
      </c>
      <c r="F390" s="9" t="s">
        <v>527</v>
      </c>
      <c r="G390" s="11">
        <v>0</v>
      </c>
      <c r="H390" s="12">
        <v>30000</v>
      </c>
      <c r="I390" s="13"/>
      <c r="J390" s="14"/>
      <c r="K390" s="15"/>
      <c r="L390" s="16">
        <v>30000</v>
      </c>
      <c r="M390" s="15"/>
      <c r="N390" s="14"/>
      <c r="O390" s="17"/>
      <c r="P390" s="17"/>
      <c r="Q390" s="17"/>
      <c r="R390" s="17"/>
      <c r="S390" s="17"/>
      <c r="T390" s="17"/>
      <c r="U390" s="17"/>
      <c r="V390" s="17"/>
      <c r="W390" s="11">
        <v>30000</v>
      </c>
      <c r="X390" s="17"/>
    </row>
    <row r="391" spans="1:24" ht="25.5" x14ac:dyDescent="0.25">
      <c r="A391" s="7" t="s">
        <v>16</v>
      </c>
      <c r="B391" s="8">
        <v>8471280</v>
      </c>
      <c r="C391" s="9" t="s">
        <v>516</v>
      </c>
      <c r="D391" s="10">
        <v>435530</v>
      </c>
      <c r="E391" s="9" t="s">
        <v>509</v>
      </c>
      <c r="F391" s="9" t="s">
        <v>528</v>
      </c>
      <c r="G391" s="11">
        <v>763</v>
      </c>
      <c r="H391" s="12">
        <v>763</v>
      </c>
      <c r="I391" s="13"/>
      <c r="J391" s="14"/>
      <c r="K391" s="15"/>
      <c r="L391" s="16">
        <v>763</v>
      </c>
      <c r="M391" s="15"/>
      <c r="N391" s="14"/>
      <c r="O391" s="17"/>
      <c r="P391" s="17"/>
      <c r="Q391" s="17"/>
      <c r="R391" s="17"/>
      <c r="S391" s="17"/>
      <c r="T391" s="17"/>
      <c r="U391" s="17"/>
      <c r="V391" s="17"/>
      <c r="W391" s="11">
        <v>763</v>
      </c>
      <c r="X391" s="17"/>
    </row>
    <row r="392" spans="1:24" ht="25.5" x14ac:dyDescent="0.25">
      <c r="A392" s="7" t="s">
        <v>16</v>
      </c>
      <c r="B392" s="8">
        <v>8471280</v>
      </c>
      <c r="C392" s="9" t="s">
        <v>516</v>
      </c>
      <c r="D392" s="10">
        <v>436110</v>
      </c>
      <c r="E392" s="9" t="s">
        <v>158</v>
      </c>
      <c r="F392" s="9" t="s">
        <v>529</v>
      </c>
      <c r="G392" s="11">
        <v>0</v>
      </c>
      <c r="H392" s="12">
        <v>6200</v>
      </c>
      <c r="I392" s="13"/>
      <c r="J392" s="14"/>
      <c r="K392" s="15"/>
      <c r="L392" s="16">
        <v>6200</v>
      </c>
      <c r="M392" s="15"/>
      <c r="N392" s="14"/>
      <c r="O392" s="17"/>
      <c r="P392" s="17"/>
      <c r="Q392" s="17"/>
      <c r="R392" s="17"/>
      <c r="S392" s="17"/>
      <c r="T392" s="17"/>
      <c r="U392" s="17"/>
      <c r="V392" s="17"/>
      <c r="W392" s="11">
        <v>6200</v>
      </c>
      <c r="X392" s="17"/>
    </row>
    <row r="393" spans="1:24" ht="25.5" x14ac:dyDescent="0.25">
      <c r="A393" s="7" t="s">
        <v>16</v>
      </c>
      <c r="B393" s="8">
        <v>8471305</v>
      </c>
      <c r="C393" s="9" t="s">
        <v>530</v>
      </c>
      <c r="D393" s="10">
        <v>420570</v>
      </c>
      <c r="E393" s="9" t="s">
        <v>87</v>
      </c>
      <c r="F393" s="9" t="s">
        <v>531</v>
      </c>
      <c r="G393" s="11">
        <v>35155240</v>
      </c>
      <c r="H393" s="12">
        <v>35155240</v>
      </c>
      <c r="I393" s="13"/>
      <c r="J393" s="14"/>
      <c r="K393" s="15"/>
      <c r="L393" s="16">
        <v>35155240</v>
      </c>
      <c r="M393" s="15"/>
      <c r="N393" s="14"/>
      <c r="O393" s="17"/>
      <c r="P393" s="17"/>
      <c r="Q393" s="17"/>
      <c r="R393" s="17"/>
      <c r="S393" s="17"/>
      <c r="T393" s="17"/>
      <c r="U393" s="17"/>
      <c r="V393" s="17"/>
      <c r="W393" s="11">
        <v>35155240</v>
      </c>
      <c r="X393" s="17"/>
    </row>
    <row r="394" spans="1:24" ht="25.5" x14ac:dyDescent="0.25">
      <c r="A394" s="7" t="s">
        <v>16</v>
      </c>
      <c r="B394" s="8">
        <v>8471305</v>
      </c>
      <c r="C394" s="9" t="s">
        <v>530</v>
      </c>
      <c r="D394" s="10">
        <v>421000</v>
      </c>
      <c r="E394" s="9" t="s">
        <v>34</v>
      </c>
      <c r="F394" s="9" t="s">
        <v>532</v>
      </c>
      <c r="G394" s="11">
        <v>147834</v>
      </c>
      <c r="H394" s="12">
        <v>147834</v>
      </c>
      <c r="I394" s="13"/>
      <c r="J394" s="14"/>
      <c r="K394" s="15"/>
      <c r="L394" s="16">
        <v>147834</v>
      </c>
      <c r="M394" s="15"/>
      <c r="N394" s="14"/>
      <c r="O394" s="17"/>
      <c r="P394" s="17"/>
      <c r="Q394" s="17"/>
      <c r="R394" s="17"/>
      <c r="S394" s="17"/>
      <c r="T394" s="17"/>
      <c r="U394" s="17"/>
      <c r="V394" s="17"/>
      <c r="W394" s="11">
        <v>147834</v>
      </c>
      <c r="X394" s="17"/>
    </row>
    <row r="395" spans="1:24" ht="25.5" x14ac:dyDescent="0.25">
      <c r="A395" s="7" t="s">
        <v>16</v>
      </c>
      <c r="B395" s="8">
        <v>8471305</v>
      </c>
      <c r="C395" s="9" t="s">
        <v>530</v>
      </c>
      <c r="D395" s="10">
        <v>421700</v>
      </c>
      <c r="E395" s="9" t="s">
        <v>36</v>
      </c>
      <c r="F395" s="9" t="s">
        <v>533</v>
      </c>
      <c r="G395" s="11">
        <v>73837</v>
      </c>
      <c r="H395" s="12">
        <v>73837</v>
      </c>
      <c r="I395" s="13"/>
      <c r="J395" s="14"/>
      <c r="K395" s="15"/>
      <c r="L395" s="16">
        <v>73837</v>
      </c>
      <c r="M395" s="15"/>
      <c r="N395" s="14"/>
      <c r="O395" s="17"/>
      <c r="P395" s="17"/>
      <c r="Q395" s="17"/>
      <c r="R395" s="17"/>
      <c r="S395" s="17"/>
      <c r="T395" s="17"/>
      <c r="U395" s="17"/>
      <c r="V395" s="17"/>
      <c r="W395" s="11">
        <v>73837</v>
      </c>
      <c r="X395" s="17"/>
    </row>
    <row r="396" spans="1:24" ht="25.5" x14ac:dyDescent="0.25">
      <c r="A396" s="7" t="s">
        <v>16</v>
      </c>
      <c r="B396" s="8">
        <v>8471305</v>
      </c>
      <c r="C396" s="9" t="s">
        <v>530</v>
      </c>
      <c r="D396" s="10">
        <v>425510</v>
      </c>
      <c r="E396" s="9" t="s">
        <v>20</v>
      </c>
      <c r="F396" s="9" t="s">
        <v>534</v>
      </c>
      <c r="G396" s="11">
        <v>343341</v>
      </c>
      <c r="H396" s="12">
        <v>343341</v>
      </c>
      <c r="I396" s="18">
        <v>113860.73</v>
      </c>
      <c r="J396" s="14"/>
      <c r="K396" s="15"/>
      <c r="L396" s="16">
        <v>229480.27</v>
      </c>
      <c r="M396" s="15"/>
      <c r="N396" s="14"/>
      <c r="O396" s="17"/>
      <c r="P396" s="17"/>
      <c r="Q396" s="17"/>
      <c r="R396" s="17"/>
      <c r="S396" s="17"/>
      <c r="T396" s="17"/>
      <c r="U396" s="17"/>
      <c r="V396" s="17"/>
      <c r="W396" s="11">
        <v>229480.27</v>
      </c>
      <c r="X396" s="17"/>
    </row>
    <row r="397" spans="1:24" ht="25.5" x14ac:dyDescent="0.25">
      <c r="A397" s="7" t="s">
        <v>16</v>
      </c>
      <c r="B397" s="8">
        <v>8471305</v>
      </c>
      <c r="C397" s="9" t="s">
        <v>530</v>
      </c>
      <c r="D397" s="10">
        <v>425550</v>
      </c>
      <c r="E397" s="9" t="s">
        <v>22</v>
      </c>
      <c r="F397" s="9" t="s">
        <v>535</v>
      </c>
      <c r="G397" s="11">
        <v>388107</v>
      </c>
      <c r="H397" s="12">
        <v>388107</v>
      </c>
      <c r="I397" s="18">
        <v>93300.74</v>
      </c>
      <c r="J397" s="14"/>
      <c r="K397" s="15"/>
      <c r="L397" s="16">
        <v>294806.26</v>
      </c>
      <c r="M397" s="15"/>
      <c r="N397" s="14"/>
      <c r="O397" s="17"/>
      <c r="P397" s="17"/>
      <c r="Q397" s="17"/>
      <c r="R397" s="17"/>
      <c r="S397" s="17"/>
      <c r="T397" s="17"/>
      <c r="U397" s="17"/>
      <c r="V397" s="17"/>
      <c r="W397" s="11">
        <v>294806.26</v>
      </c>
      <c r="X397" s="17"/>
    </row>
    <row r="398" spans="1:24" ht="25.5" x14ac:dyDescent="0.25">
      <c r="A398" s="7" t="s">
        <v>16</v>
      </c>
      <c r="B398" s="8">
        <v>8471305</v>
      </c>
      <c r="C398" s="9" t="s">
        <v>530</v>
      </c>
      <c r="D398" s="10">
        <v>425720</v>
      </c>
      <c r="E398" s="9" t="s">
        <v>185</v>
      </c>
      <c r="F398" s="9" t="s">
        <v>536</v>
      </c>
      <c r="G398" s="11">
        <v>1840471</v>
      </c>
      <c r="H398" s="12">
        <v>1356965</v>
      </c>
      <c r="I398" s="18">
        <v>843071.51</v>
      </c>
      <c r="J398" s="19">
        <v>-400579.26</v>
      </c>
      <c r="K398" s="12">
        <v>375686.24</v>
      </c>
      <c r="L398" s="16">
        <v>538786.51</v>
      </c>
      <c r="M398" s="15"/>
      <c r="N398" s="14"/>
      <c r="O398" s="17"/>
      <c r="P398" s="17"/>
      <c r="Q398" s="17"/>
      <c r="R398" s="17"/>
      <c r="S398" s="17"/>
      <c r="T398" s="17"/>
      <c r="U398" s="17"/>
      <c r="V398" s="17"/>
      <c r="W398" s="11">
        <v>538786.51</v>
      </c>
      <c r="X398" s="17"/>
    </row>
    <row r="399" spans="1:24" ht="25.5" x14ac:dyDescent="0.25">
      <c r="A399" s="7" t="s">
        <v>16</v>
      </c>
      <c r="B399" s="8">
        <v>8471305</v>
      </c>
      <c r="C399" s="9" t="s">
        <v>530</v>
      </c>
      <c r="D399" s="10">
        <v>425742</v>
      </c>
      <c r="E399" s="9" t="s">
        <v>476</v>
      </c>
      <c r="F399" s="9" t="s">
        <v>537</v>
      </c>
      <c r="G399" s="11">
        <v>178785</v>
      </c>
      <c r="H399" s="12">
        <v>178785</v>
      </c>
      <c r="I399" s="18">
        <v>3253.52</v>
      </c>
      <c r="J399" s="14"/>
      <c r="K399" s="15"/>
      <c r="L399" s="16">
        <v>175531.48</v>
      </c>
      <c r="M399" s="15"/>
      <c r="N399" s="14"/>
      <c r="O399" s="17"/>
      <c r="P399" s="17"/>
      <c r="Q399" s="17"/>
      <c r="R399" s="17"/>
      <c r="S399" s="17"/>
      <c r="T399" s="17"/>
      <c r="U399" s="17"/>
      <c r="V399" s="17"/>
      <c r="W399" s="11">
        <v>175531.48</v>
      </c>
      <c r="X399" s="17"/>
    </row>
    <row r="400" spans="1:24" ht="25.5" x14ac:dyDescent="0.25">
      <c r="A400" s="7" t="s">
        <v>16</v>
      </c>
      <c r="B400" s="8">
        <v>8471305</v>
      </c>
      <c r="C400" s="9" t="s">
        <v>530</v>
      </c>
      <c r="D400" s="10">
        <v>425744</v>
      </c>
      <c r="E400" s="9" t="s">
        <v>106</v>
      </c>
      <c r="F400" s="9" t="s">
        <v>538</v>
      </c>
      <c r="G400" s="11">
        <v>100002</v>
      </c>
      <c r="H400" s="12">
        <v>100002</v>
      </c>
      <c r="I400" s="13"/>
      <c r="J400" s="14"/>
      <c r="K400" s="15"/>
      <c r="L400" s="16">
        <v>100002</v>
      </c>
      <c r="M400" s="15"/>
      <c r="N400" s="14"/>
      <c r="O400" s="17"/>
      <c r="P400" s="17"/>
      <c r="Q400" s="17"/>
      <c r="R400" s="17"/>
      <c r="S400" s="17"/>
      <c r="T400" s="17"/>
      <c r="U400" s="17"/>
      <c r="V400" s="17"/>
      <c r="W400" s="11">
        <v>100002</v>
      </c>
      <c r="X400" s="17"/>
    </row>
    <row r="401" spans="1:24" ht="25.5" x14ac:dyDescent="0.25">
      <c r="A401" s="7" t="s">
        <v>16</v>
      </c>
      <c r="B401" s="8">
        <v>8471305</v>
      </c>
      <c r="C401" s="9" t="s">
        <v>530</v>
      </c>
      <c r="D401" s="10">
        <v>425745</v>
      </c>
      <c r="E401" s="9" t="s">
        <v>108</v>
      </c>
      <c r="F401" s="9" t="s">
        <v>539</v>
      </c>
      <c r="G401" s="11">
        <v>54543</v>
      </c>
      <c r="H401" s="12">
        <v>54543</v>
      </c>
      <c r="I401" s="13"/>
      <c r="J401" s="14"/>
      <c r="K401" s="15"/>
      <c r="L401" s="16">
        <v>54543</v>
      </c>
      <c r="M401" s="15"/>
      <c r="N401" s="14"/>
      <c r="O401" s="17"/>
      <c r="P401" s="17"/>
      <c r="Q401" s="17"/>
      <c r="R401" s="17"/>
      <c r="S401" s="17"/>
      <c r="T401" s="17"/>
      <c r="U401" s="17"/>
      <c r="V401" s="17"/>
      <c r="W401" s="11">
        <v>54543</v>
      </c>
      <c r="X401" s="17"/>
    </row>
    <row r="402" spans="1:24" ht="25.5" x14ac:dyDescent="0.25">
      <c r="A402" s="7" t="s">
        <v>16</v>
      </c>
      <c r="B402" s="8">
        <v>8471305</v>
      </c>
      <c r="C402" s="9" t="s">
        <v>530</v>
      </c>
      <c r="D402" s="10">
        <v>425749</v>
      </c>
      <c r="E402" s="9" t="s">
        <v>82</v>
      </c>
      <c r="F402" s="9" t="s">
        <v>540</v>
      </c>
      <c r="G402" s="11">
        <v>40876000</v>
      </c>
      <c r="H402" s="12">
        <v>32876000</v>
      </c>
      <c r="I402" s="18">
        <v>8263466.6699999999</v>
      </c>
      <c r="J402" s="14"/>
      <c r="K402" s="15"/>
      <c r="L402" s="16">
        <v>24612533.329999998</v>
      </c>
      <c r="M402" s="15"/>
      <c r="N402" s="14"/>
      <c r="O402" s="17"/>
      <c r="P402" s="17"/>
      <c r="Q402" s="17"/>
      <c r="R402" s="17"/>
      <c r="S402" s="17"/>
      <c r="T402" s="17"/>
      <c r="U402" s="17"/>
      <c r="V402" s="17"/>
      <c r="W402" s="11">
        <v>24612533.329999998</v>
      </c>
      <c r="X402" s="17"/>
    </row>
    <row r="403" spans="1:24" ht="25.5" x14ac:dyDescent="0.25">
      <c r="A403" s="7" t="s">
        <v>16</v>
      </c>
      <c r="B403" s="8">
        <v>8471305</v>
      </c>
      <c r="C403" s="9" t="s">
        <v>530</v>
      </c>
      <c r="D403" s="10">
        <v>425750</v>
      </c>
      <c r="E403" s="9" t="s">
        <v>541</v>
      </c>
      <c r="F403" s="9" t="s">
        <v>542</v>
      </c>
      <c r="G403" s="11">
        <v>179593</v>
      </c>
      <c r="H403" s="12">
        <v>179593</v>
      </c>
      <c r="I403" s="18">
        <v>13039.35</v>
      </c>
      <c r="J403" s="14"/>
      <c r="K403" s="15"/>
      <c r="L403" s="16">
        <v>166553.65</v>
      </c>
      <c r="M403" s="15"/>
      <c r="N403" s="14"/>
      <c r="O403" s="17"/>
      <c r="P403" s="17"/>
      <c r="Q403" s="17"/>
      <c r="R403" s="17"/>
      <c r="S403" s="17"/>
      <c r="T403" s="17"/>
      <c r="U403" s="17"/>
      <c r="V403" s="17"/>
      <c r="W403" s="11">
        <v>166553.65</v>
      </c>
      <c r="X403" s="17"/>
    </row>
    <row r="404" spans="1:24" ht="25.5" x14ac:dyDescent="0.25">
      <c r="A404" s="7" t="s">
        <v>16</v>
      </c>
      <c r="B404" s="8">
        <v>8471305</v>
      </c>
      <c r="C404" s="9" t="s">
        <v>530</v>
      </c>
      <c r="D404" s="10">
        <v>425762</v>
      </c>
      <c r="E404" s="9" t="s">
        <v>111</v>
      </c>
      <c r="F404" s="9" t="s">
        <v>543</v>
      </c>
      <c r="G404" s="11">
        <v>500000</v>
      </c>
      <c r="H404" s="12">
        <v>500000</v>
      </c>
      <c r="I404" s="18">
        <v>166392.82999999999</v>
      </c>
      <c r="J404" s="14"/>
      <c r="K404" s="15"/>
      <c r="L404" s="16">
        <v>333607.17</v>
      </c>
      <c r="M404" s="15"/>
      <c r="N404" s="14"/>
      <c r="O404" s="17"/>
      <c r="P404" s="17"/>
      <c r="Q404" s="17"/>
      <c r="R404" s="17"/>
      <c r="S404" s="17"/>
      <c r="T404" s="17"/>
      <c r="U404" s="17"/>
      <c r="V404" s="17"/>
      <c r="W404" s="11">
        <v>333607.17</v>
      </c>
      <c r="X404" s="17"/>
    </row>
    <row r="405" spans="1:24" ht="25.5" x14ac:dyDescent="0.25">
      <c r="A405" s="7" t="s">
        <v>16</v>
      </c>
      <c r="B405" s="8">
        <v>8471305</v>
      </c>
      <c r="C405" s="9" t="s">
        <v>530</v>
      </c>
      <c r="D405" s="10">
        <v>425763</v>
      </c>
      <c r="E405" s="9" t="s">
        <v>53</v>
      </c>
      <c r="F405" s="9" t="s">
        <v>544</v>
      </c>
      <c r="G405" s="11">
        <v>2940</v>
      </c>
      <c r="H405" s="12">
        <v>2940</v>
      </c>
      <c r="I405" s="13"/>
      <c r="J405" s="14"/>
      <c r="K405" s="15"/>
      <c r="L405" s="16">
        <v>2940</v>
      </c>
      <c r="M405" s="15"/>
      <c r="N405" s="14"/>
      <c r="O405" s="17"/>
      <c r="P405" s="17"/>
      <c r="Q405" s="17"/>
      <c r="R405" s="17"/>
      <c r="S405" s="17"/>
      <c r="T405" s="17"/>
      <c r="U405" s="17"/>
      <c r="V405" s="17"/>
      <c r="W405" s="11">
        <v>2940</v>
      </c>
      <c r="X405" s="17"/>
    </row>
    <row r="406" spans="1:24" ht="25.5" x14ac:dyDescent="0.25">
      <c r="A406" s="7" t="s">
        <v>16</v>
      </c>
      <c r="B406" s="8">
        <v>8471305</v>
      </c>
      <c r="C406" s="9" t="s">
        <v>530</v>
      </c>
      <c r="D406" s="10">
        <v>425770</v>
      </c>
      <c r="E406" s="9" t="s">
        <v>119</v>
      </c>
      <c r="F406" s="9" t="s">
        <v>545</v>
      </c>
      <c r="G406" s="11">
        <v>0</v>
      </c>
      <c r="H406" s="12">
        <v>350000</v>
      </c>
      <c r="I406" s="13"/>
      <c r="J406" s="14"/>
      <c r="K406" s="15"/>
      <c r="L406" s="16">
        <v>350000</v>
      </c>
      <c r="M406" s="15"/>
      <c r="N406" s="14"/>
      <c r="O406" s="17"/>
      <c r="P406" s="17"/>
      <c r="Q406" s="17"/>
      <c r="R406" s="17"/>
      <c r="S406" s="17"/>
      <c r="T406" s="17"/>
      <c r="U406" s="17"/>
      <c r="V406" s="17"/>
      <c r="W406" s="11">
        <v>350000</v>
      </c>
      <c r="X406" s="17"/>
    </row>
    <row r="407" spans="1:24" ht="25.5" x14ac:dyDescent="0.25">
      <c r="A407" s="7" t="s">
        <v>16</v>
      </c>
      <c r="B407" s="8">
        <v>8471305</v>
      </c>
      <c r="C407" s="9" t="s">
        <v>530</v>
      </c>
      <c r="D407" s="10">
        <v>425900</v>
      </c>
      <c r="E407" s="9" t="s">
        <v>24</v>
      </c>
      <c r="F407" s="9" t="s">
        <v>546</v>
      </c>
      <c r="G407" s="11">
        <v>58984</v>
      </c>
      <c r="H407" s="12">
        <v>58984</v>
      </c>
      <c r="I407" s="18">
        <v>23972.23</v>
      </c>
      <c r="J407" s="14"/>
      <c r="K407" s="15"/>
      <c r="L407" s="16">
        <v>35011.769999999997</v>
      </c>
      <c r="M407" s="15"/>
      <c r="N407" s="14"/>
      <c r="O407" s="17"/>
      <c r="P407" s="17"/>
      <c r="Q407" s="17"/>
      <c r="R407" s="17"/>
      <c r="S407" s="17"/>
      <c r="T407" s="17"/>
      <c r="U407" s="17"/>
      <c r="V407" s="17"/>
      <c r="W407" s="11">
        <v>35011.769999999997</v>
      </c>
      <c r="X407" s="17"/>
    </row>
    <row r="408" spans="1:24" ht="25.5" x14ac:dyDescent="0.25">
      <c r="A408" s="7" t="s">
        <v>16</v>
      </c>
      <c r="B408" s="8">
        <v>8471305</v>
      </c>
      <c r="C408" s="9" t="s">
        <v>530</v>
      </c>
      <c r="D408" s="10">
        <v>426610</v>
      </c>
      <c r="E408" s="9" t="s">
        <v>39</v>
      </c>
      <c r="F408" s="9" t="s">
        <v>547</v>
      </c>
      <c r="G408" s="11">
        <v>2862530</v>
      </c>
      <c r="H408" s="12">
        <v>977363</v>
      </c>
      <c r="I408" s="18">
        <v>364.45</v>
      </c>
      <c r="J408" s="19">
        <v>52675</v>
      </c>
      <c r="K408" s="15"/>
      <c r="L408" s="16">
        <v>924323.55</v>
      </c>
      <c r="M408" s="15"/>
      <c r="N408" s="14"/>
      <c r="O408" s="17"/>
      <c r="P408" s="17"/>
      <c r="Q408" s="17"/>
      <c r="R408" s="17"/>
      <c r="S408" s="17"/>
      <c r="T408" s="17"/>
      <c r="U408" s="17"/>
      <c r="V408" s="17"/>
      <c r="W408" s="11">
        <v>924323.55</v>
      </c>
      <c r="X408" s="17"/>
    </row>
    <row r="409" spans="1:24" ht="25.5" x14ac:dyDescent="0.25">
      <c r="A409" s="7" t="s">
        <v>16</v>
      </c>
      <c r="B409" s="8">
        <v>8471305</v>
      </c>
      <c r="C409" s="9" t="s">
        <v>530</v>
      </c>
      <c r="D409" s="10">
        <v>426900</v>
      </c>
      <c r="E409" s="9" t="s">
        <v>328</v>
      </c>
      <c r="F409" s="9" t="s">
        <v>548</v>
      </c>
      <c r="G409" s="11">
        <v>5000</v>
      </c>
      <c r="H409" s="12">
        <v>5000</v>
      </c>
      <c r="I409" s="13"/>
      <c r="J409" s="14"/>
      <c r="K409" s="15"/>
      <c r="L409" s="16">
        <v>5000</v>
      </c>
      <c r="M409" s="15"/>
      <c r="N409" s="14"/>
      <c r="O409" s="17"/>
      <c r="P409" s="17"/>
      <c r="Q409" s="17"/>
      <c r="R409" s="17"/>
      <c r="S409" s="17"/>
      <c r="T409" s="17"/>
      <c r="U409" s="17"/>
      <c r="V409" s="17"/>
      <c r="W409" s="11">
        <v>5000</v>
      </c>
      <c r="X409" s="17"/>
    </row>
    <row r="410" spans="1:24" ht="25.5" x14ac:dyDescent="0.25">
      <c r="A410" s="7" t="s">
        <v>16</v>
      </c>
      <c r="B410" s="8">
        <v>8471305</v>
      </c>
      <c r="C410" s="9" t="s">
        <v>530</v>
      </c>
      <c r="D410" s="10">
        <v>427710</v>
      </c>
      <c r="E410" s="9" t="s">
        <v>45</v>
      </c>
      <c r="F410" s="9" t="s">
        <v>549</v>
      </c>
      <c r="G410" s="11">
        <v>50517</v>
      </c>
      <c r="H410" s="12">
        <v>50517</v>
      </c>
      <c r="I410" s="18">
        <v>-11042.58</v>
      </c>
      <c r="J410" s="19">
        <v>8640</v>
      </c>
      <c r="K410" s="15"/>
      <c r="L410" s="16">
        <v>52919.58</v>
      </c>
      <c r="M410" s="15"/>
      <c r="N410" s="14"/>
      <c r="O410" s="17"/>
      <c r="P410" s="17"/>
      <c r="Q410" s="17"/>
      <c r="R410" s="17"/>
      <c r="S410" s="17"/>
      <c r="T410" s="17"/>
      <c r="U410" s="17"/>
      <c r="V410" s="17"/>
      <c r="W410" s="11">
        <v>52919.58</v>
      </c>
      <c r="X410" s="17"/>
    </row>
    <row r="411" spans="1:24" ht="25.5" x14ac:dyDescent="0.25">
      <c r="A411" s="7" t="s">
        <v>16</v>
      </c>
      <c r="B411" s="8">
        <v>8471305</v>
      </c>
      <c r="C411" s="9" t="s">
        <v>530</v>
      </c>
      <c r="D411" s="10">
        <v>428090</v>
      </c>
      <c r="E411" s="9" t="s">
        <v>26</v>
      </c>
      <c r="F411" s="9" t="s">
        <v>550</v>
      </c>
      <c r="G411" s="11">
        <v>43038</v>
      </c>
      <c r="H411" s="12">
        <v>100000</v>
      </c>
      <c r="I411" s="13"/>
      <c r="J411" s="14"/>
      <c r="K411" s="15"/>
      <c r="L411" s="16">
        <v>100000</v>
      </c>
      <c r="M411" s="15"/>
      <c r="N411" s="14"/>
      <c r="O411" s="17"/>
      <c r="P411" s="17"/>
      <c r="Q411" s="17"/>
      <c r="R411" s="17"/>
      <c r="S411" s="17"/>
      <c r="T411" s="17"/>
      <c r="U411" s="17"/>
      <c r="V411" s="17"/>
      <c r="W411" s="11">
        <v>100000</v>
      </c>
      <c r="X411" s="17"/>
    </row>
    <row r="412" spans="1:24" ht="25.5" x14ac:dyDescent="0.25">
      <c r="A412" s="7" t="s">
        <v>16</v>
      </c>
      <c r="B412" s="8">
        <v>8471305</v>
      </c>
      <c r="C412" s="9" t="s">
        <v>530</v>
      </c>
      <c r="D412" s="10">
        <v>428640</v>
      </c>
      <c r="E412" s="9" t="s">
        <v>59</v>
      </c>
      <c r="F412" s="9" t="s">
        <v>551</v>
      </c>
      <c r="G412" s="11">
        <v>2820</v>
      </c>
      <c r="H412" s="12">
        <v>2820</v>
      </c>
      <c r="I412" s="18">
        <v>1040</v>
      </c>
      <c r="J412" s="14"/>
      <c r="K412" s="15"/>
      <c r="L412" s="16">
        <v>1780</v>
      </c>
      <c r="M412" s="15"/>
      <c r="N412" s="14"/>
      <c r="O412" s="17"/>
      <c r="P412" s="17"/>
      <c r="Q412" s="17"/>
      <c r="R412" s="17"/>
      <c r="S412" s="17"/>
      <c r="T412" s="17"/>
      <c r="U412" s="17"/>
      <c r="V412" s="17"/>
      <c r="W412" s="11">
        <v>1780</v>
      </c>
      <c r="X412" s="17"/>
    </row>
    <row r="413" spans="1:24" ht="51" x14ac:dyDescent="0.25">
      <c r="A413" s="7" t="s">
        <v>16</v>
      </c>
      <c r="B413" s="8">
        <v>8471305</v>
      </c>
      <c r="C413" s="9" t="s">
        <v>530</v>
      </c>
      <c r="D413" s="10">
        <v>432205</v>
      </c>
      <c r="E413" s="9" t="s">
        <v>96</v>
      </c>
      <c r="F413" s="9" t="s">
        <v>552</v>
      </c>
      <c r="G413" s="11">
        <v>522981</v>
      </c>
      <c r="H413" s="12">
        <v>522981</v>
      </c>
      <c r="I413" s="13"/>
      <c r="J413" s="14"/>
      <c r="K413" s="15"/>
      <c r="L413" s="16">
        <v>522981</v>
      </c>
      <c r="M413" s="15"/>
      <c r="N413" s="14"/>
      <c r="O413" s="17"/>
      <c r="P413" s="17"/>
      <c r="Q413" s="17"/>
      <c r="R413" s="17"/>
      <c r="S413" s="17"/>
      <c r="T413" s="17"/>
      <c r="U413" s="17"/>
      <c r="V413" s="17"/>
      <c r="W413" s="11">
        <v>522981</v>
      </c>
      <c r="X413" s="17"/>
    </row>
    <row r="414" spans="1:24" ht="25.5" x14ac:dyDescent="0.25">
      <c r="A414" s="7" t="s">
        <v>16</v>
      </c>
      <c r="B414" s="8">
        <v>8471305</v>
      </c>
      <c r="C414" s="9" t="s">
        <v>530</v>
      </c>
      <c r="D414" s="10">
        <v>432209</v>
      </c>
      <c r="E414" s="9" t="s">
        <v>124</v>
      </c>
      <c r="F414" s="9" t="s">
        <v>553</v>
      </c>
      <c r="G414" s="11">
        <v>570373</v>
      </c>
      <c r="H414" s="12">
        <v>570373</v>
      </c>
      <c r="I414" s="18">
        <v>7014.5</v>
      </c>
      <c r="J414" s="19">
        <v>-4021</v>
      </c>
      <c r="K414" s="12">
        <v>0</v>
      </c>
      <c r="L414" s="16">
        <v>567379.5</v>
      </c>
      <c r="M414" s="15"/>
      <c r="N414" s="14"/>
      <c r="O414" s="17"/>
      <c r="P414" s="17"/>
      <c r="Q414" s="17"/>
      <c r="R414" s="17"/>
      <c r="S414" s="17"/>
      <c r="T414" s="17"/>
      <c r="U414" s="17"/>
      <c r="V414" s="17"/>
      <c r="W414" s="11">
        <v>567379.5</v>
      </c>
      <c r="X414" s="17"/>
    </row>
    <row r="415" spans="1:24" ht="25.5" x14ac:dyDescent="0.25">
      <c r="A415" s="7" t="s">
        <v>16</v>
      </c>
      <c r="B415" s="8">
        <v>8471305</v>
      </c>
      <c r="C415" s="9" t="s">
        <v>530</v>
      </c>
      <c r="D415" s="10">
        <v>435330</v>
      </c>
      <c r="E415" s="9" t="s">
        <v>514</v>
      </c>
      <c r="F415" s="9" t="s">
        <v>554</v>
      </c>
      <c r="G415" s="11">
        <v>731845</v>
      </c>
      <c r="H415" s="12">
        <v>641904</v>
      </c>
      <c r="I415" s="18">
        <v>161432.14000000001</v>
      </c>
      <c r="J415" s="19">
        <v>-181335</v>
      </c>
      <c r="K415" s="12">
        <v>0</v>
      </c>
      <c r="L415" s="16">
        <v>661806.86</v>
      </c>
      <c r="M415" s="15"/>
      <c r="N415" s="14"/>
      <c r="O415" s="17"/>
      <c r="P415" s="17"/>
      <c r="Q415" s="17"/>
      <c r="R415" s="17"/>
      <c r="S415" s="17"/>
      <c r="T415" s="17"/>
      <c r="U415" s="17"/>
      <c r="V415" s="17"/>
      <c r="W415" s="11">
        <v>661806.86</v>
      </c>
      <c r="X415" s="17"/>
    </row>
    <row r="416" spans="1:24" ht="25.5" x14ac:dyDescent="0.25">
      <c r="A416" s="7" t="s">
        <v>16</v>
      </c>
      <c r="B416" s="8">
        <v>8471305</v>
      </c>
      <c r="C416" s="9" t="s">
        <v>530</v>
      </c>
      <c r="D416" s="10">
        <v>435340</v>
      </c>
      <c r="E416" s="9" t="s">
        <v>472</v>
      </c>
      <c r="F416" s="9" t="s">
        <v>555</v>
      </c>
      <c r="G416" s="11">
        <v>306</v>
      </c>
      <c r="H416" s="12">
        <v>306</v>
      </c>
      <c r="I416" s="13"/>
      <c r="J416" s="14"/>
      <c r="K416" s="15"/>
      <c r="L416" s="16">
        <v>306</v>
      </c>
      <c r="M416" s="15"/>
      <c r="N416" s="14"/>
      <c r="O416" s="17"/>
      <c r="P416" s="17"/>
      <c r="Q416" s="17"/>
      <c r="R416" s="17"/>
      <c r="S416" s="17"/>
      <c r="T416" s="17"/>
      <c r="U416" s="17"/>
      <c r="V416" s="17"/>
      <c r="W416" s="11">
        <v>306</v>
      </c>
      <c r="X416" s="17"/>
    </row>
    <row r="417" spans="1:24" ht="25.5" x14ac:dyDescent="0.25">
      <c r="A417" s="7" t="s">
        <v>16</v>
      </c>
      <c r="B417" s="8">
        <v>8471305</v>
      </c>
      <c r="C417" s="9" t="s">
        <v>530</v>
      </c>
      <c r="D417" s="10">
        <v>435350</v>
      </c>
      <c r="E417" s="9" t="s">
        <v>98</v>
      </c>
      <c r="F417" s="9" t="s">
        <v>556</v>
      </c>
      <c r="G417" s="11">
        <v>304395</v>
      </c>
      <c r="H417" s="12">
        <v>357401</v>
      </c>
      <c r="I417" s="18">
        <v>107630.78</v>
      </c>
      <c r="J417" s="14"/>
      <c r="K417" s="15"/>
      <c r="L417" s="16">
        <v>249770.22</v>
      </c>
      <c r="M417" s="15"/>
      <c r="N417" s="14"/>
      <c r="O417" s="17"/>
      <c r="P417" s="17"/>
      <c r="Q417" s="17"/>
      <c r="R417" s="17"/>
      <c r="S417" s="17"/>
      <c r="T417" s="17"/>
      <c r="U417" s="17"/>
      <c r="V417" s="17"/>
      <c r="W417" s="11">
        <v>249770.22</v>
      </c>
      <c r="X417" s="17"/>
    </row>
    <row r="418" spans="1:24" ht="25.5" x14ac:dyDescent="0.25">
      <c r="A418" s="7" t="s">
        <v>16</v>
      </c>
      <c r="B418" s="8">
        <v>8471305</v>
      </c>
      <c r="C418" s="9" t="s">
        <v>530</v>
      </c>
      <c r="D418" s="10">
        <v>435508</v>
      </c>
      <c r="E418" s="9" t="s">
        <v>100</v>
      </c>
      <c r="F418" s="9" t="s">
        <v>557</v>
      </c>
      <c r="G418" s="11">
        <v>2000000</v>
      </c>
      <c r="H418" s="12">
        <v>2000000</v>
      </c>
      <c r="I418" s="18">
        <v>108823.5</v>
      </c>
      <c r="J418" s="19">
        <v>620296</v>
      </c>
      <c r="K418" s="12">
        <v>182039.31</v>
      </c>
      <c r="L418" s="16">
        <v>1088841.19</v>
      </c>
      <c r="M418" s="15"/>
      <c r="N418" s="14"/>
      <c r="O418" s="17"/>
      <c r="P418" s="17"/>
      <c r="Q418" s="17"/>
      <c r="R418" s="17"/>
      <c r="S418" s="17"/>
      <c r="T418" s="17"/>
      <c r="U418" s="17"/>
      <c r="V418" s="17"/>
      <c r="W418" s="11">
        <v>1088841.19</v>
      </c>
      <c r="X418" s="17"/>
    </row>
    <row r="419" spans="1:24" ht="25.5" x14ac:dyDescent="0.25">
      <c r="A419" s="7" t="s">
        <v>16</v>
      </c>
      <c r="B419" s="8">
        <v>8471305</v>
      </c>
      <c r="C419" s="9" t="s">
        <v>530</v>
      </c>
      <c r="D419" s="10">
        <v>435530</v>
      </c>
      <c r="E419" s="9" t="s">
        <v>509</v>
      </c>
      <c r="F419" s="9" t="s">
        <v>558</v>
      </c>
      <c r="G419" s="11">
        <v>5000</v>
      </c>
      <c r="H419" s="12">
        <v>5000</v>
      </c>
      <c r="I419" s="13"/>
      <c r="J419" s="14"/>
      <c r="K419" s="15"/>
      <c r="L419" s="16">
        <v>5000</v>
      </c>
      <c r="M419" s="15"/>
      <c r="N419" s="14"/>
      <c r="O419" s="17"/>
      <c r="P419" s="17"/>
      <c r="Q419" s="17"/>
      <c r="R419" s="17"/>
      <c r="S419" s="17"/>
      <c r="T419" s="17"/>
      <c r="U419" s="17"/>
      <c r="V419" s="17"/>
      <c r="W419" s="11">
        <v>5000</v>
      </c>
      <c r="X419" s="17"/>
    </row>
    <row r="420" spans="1:24" ht="25.5" x14ac:dyDescent="0.25">
      <c r="A420" s="7" t="s">
        <v>16</v>
      </c>
      <c r="B420" s="8">
        <v>8471305</v>
      </c>
      <c r="C420" s="9" t="s">
        <v>530</v>
      </c>
      <c r="D420" s="10">
        <v>436120</v>
      </c>
      <c r="E420" s="9" t="s">
        <v>396</v>
      </c>
      <c r="F420" s="9" t="s">
        <v>559</v>
      </c>
      <c r="G420" s="11">
        <v>3166</v>
      </c>
      <c r="H420" s="12">
        <v>3166</v>
      </c>
      <c r="I420" s="18">
        <v>535.9</v>
      </c>
      <c r="J420" s="14"/>
      <c r="K420" s="15"/>
      <c r="L420" s="16">
        <v>2630.1</v>
      </c>
      <c r="M420" s="15"/>
      <c r="N420" s="14"/>
      <c r="O420" s="17"/>
      <c r="P420" s="17"/>
      <c r="Q420" s="17"/>
      <c r="R420" s="17"/>
      <c r="S420" s="17"/>
      <c r="T420" s="17"/>
      <c r="U420" s="17"/>
      <c r="V420" s="17"/>
      <c r="W420" s="11">
        <v>2630.1</v>
      </c>
      <c r="X420" s="17"/>
    </row>
    <row r="421" spans="1:24" x14ac:dyDescent="0.25">
      <c r="A421" s="20" t="s">
        <v>560</v>
      </c>
      <c r="B421" s="21"/>
      <c r="C421" s="22"/>
      <c r="D421" s="22"/>
      <c r="E421" s="22"/>
      <c r="F421" s="22"/>
      <c r="G421" s="23">
        <v>712000000</v>
      </c>
      <c r="H421" s="24">
        <v>712000000</v>
      </c>
      <c r="I421" s="25">
        <v>124551445.780001</v>
      </c>
      <c r="J421" s="38">
        <v>30642315.710000001</v>
      </c>
      <c r="K421" s="24">
        <v>52468580.310000002</v>
      </c>
      <c r="L421" s="27">
        <v>504338190.12999898</v>
      </c>
      <c r="M421" s="28"/>
      <c r="N421" s="29"/>
      <c r="O421" s="30"/>
      <c r="P421" s="30"/>
      <c r="Q421" s="30"/>
      <c r="R421" s="30"/>
      <c r="S421" s="30"/>
      <c r="T421" s="30"/>
      <c r="U421" s="30"/>
      <c r="V421" s="30"/>
      <c r="W421" s="23">
        <v>504338190.12999898</v>
      </c>
      <c r="X421" s="30"/>
    </row>
    <row r="422" spans="1:24" ht="25.5" x14ac:dyDescent="0.25">
      <c r="A422" s="7" t="s">
        <v>561</v>
      </c>
      <c r="B422" s="8">
        <v>8470110</v>
      </c>
      <c r="C422" s="9" t="s">
        <v>17</v>
      </c>
      <c r="D422" s="10">
        <v>492316</v>
      </c>
      <c r="E422" s="9" t="s">
        <v>124</v>
      </c>
      <c r="F422" s="9" t="s">
        <v>562</v>
      </c>
      <c r="G422" s="11">
        <v>1220302</v>
      </c>
      <c r="H422" s="12">
        <v>1220302</v>
      </c>
      <c r="I422" s="13"/>
      <c r="J422" s="14"/>
      <c r="K422" s="15"/>
      <c r="L422" s="16">
        <v>1220302</v>
      </c>
      <c r="M422" s="15"/>
      <c r="N422" s="14"/>
      <c r="O422" s="17"/>
      <c r="P422" s="17"/>
      <c r="Q422" s="17"/>
      <c r="R422" s="17"/>
      <c r="S422" s="17"/>
      <c r="T422" s="17"/>
      <c r="U422" s="17"/>
      <c r="V422" s="17"/>
      <c r="W422" s="11">
        <v>1220302</v>
      </c>
      <c r="X422" s="17"/>
    </row>
    <row r="423" spans="1:24" ht="25.5" x14ac:dyDescent="0.25">
      <c r="A423" s="7" t="s">
        <v>561</v>
      </c>
      <c r="B423" s="8">
        <v>8470120</v>
      </c>
      <c r="C423" s="9" t="s">
        <v>28</v>
      </c>
      <c r="D423" s="10">
        <v>492316</v>
      </c>
      <c r="E423" s="9" t="s">
        <v>124</v>
      </c>
      <c r="F423" s="9" t="s">
        <v>563</v>
      </c>
      <c r="G423" s="11">
        <v>44351</v>
      </c>
      <c r="H423" s="12">
        <v>44351</v>
      </c>
      <c r="I423" s="13"/>
      <c r="J423" s="14"/>
      <c r="K423" s="15"/>
      <c r="L423" s="16">
        <v>44351</v>
      </c>
      <c r="M423" s="15"/>
      <c r="N423" s="14"/>
      <c r="O423" s="17"/>
      <c r="P423" s="17"/>
      <c r="Q423" s="17"/>
      <c r="R423" s="17"/>
      <c r="S423" s="17"/>
      <c r="T423" s="17"/>
      <c r="U423" s="17"/>
      <c r="V423" s="17"/>
      <c r="W423" s="11">
        <v>44351</v>
      </c>
      <c r="X423" s="17"/>
    </row>
    <row r="424" spans="1:24" ht="25.5" x14ac:dyDescent="0.25">
      <c r="A424" s="7" t="s">
        <v>561</v>
      </c>
      <c r="B424" s="8">
        <v>8470220</v>
      </c>
      <c r="C424" s="9" t="s">
        <v>85</v>
      </c>
      <c r="D424" s="10">
        <v>492310</v>
      </c>
      <c r="E424" s="9" t="s">
        <v>564</v>
      </c>
      <c r="F424" s="9" t="s">
        <v>565</v>
      </c>
      <c r="G424" s="11">
        <v>5050303</v>
      </c>
      <c r="H424" s="12">
        <v>244323</v>
      </c>
      <c r="I424" s="13"/>
      <c r="J424" s="19">
        <v>150000</v>
      </c>
      <c r="K424" s="15"/>
      <c r="L424" s="16">
        <v>94323</v>
      </c>
      <c r="M424" s="15"/>
      <c r="N424" s="14"/>
      <c r="O424" s="17"/>
      <c r="P424" s="17"/>
      <c r="Q424" s="17"/>
      <c r="R424" s="17"/>
      <c r="S424" s="17"/>
      <c r="T424" s="17"/>
      <c r="U424" s="17"/>
      <c r="V424" s="17"/>
      <c r="W424" s="11">
        <v>94323</v>
      </c>
      <c r="X424" s="17"/>
    </row>
    <row r="425" spans="1:24" ht="25.5" x14ac:dyDescent="0.25">
      <c r="A425" s="7" t="s">
        <v>561</v>
      </c>
      <c r="B425" s="8">
        <v>8470220</v>
      </c>
      <c r="C425" s="9" t="s">
        <v>85</v>
      </c>
      <c r="D425" s="10">
        <v>492316</v>
      </c>
      <c r="E425" s="9" t="s">
        <v>124</v>
      </c>
      <c r="F425" s="9" t="s">
        <v>566</v>
      </c>
      <c r="G425" s="11">
        <v>189697</v>
      </c>
      <c r="H425" s="12">
        <v>697</v>
      </c>
      <c r="I425" s="13"/>
      <c r="J425" s="14"/>
      <c r="K425" s="15"/>
      <c r="L425" s="16">
        <v>697</v>
      </c>
      <c r="M425" s="15"/>
      <c r="N425" s="14"/>
      <c r="O425" s="17"/>
      <c r="P425" s="17"/>
      <c r="Q425" s="17"/>
      <c r="R425" s="17"/>
      <c r="S425" s="17"/>
      <c r="T425" s="17"/>
      <c r="U425" s="17"/>
      <c r="V425" s="17"/>
      <c r="W425" s="11">
        <v>697</v>
      </c>
      <c r="X425" s="17"/>
    </row>
    <row r="426" spans="1:24" ht="25.5" x14ac:dyDescent="0.25">
      <c r="A426" s="7" t="s">
        <v>561</v>
      </c>
      <c r="B426" s="8">
        <v>8470220</v>
      </c>
      <c r="C426" s="9" t="s">
        <v>85</v>
      </c>
      <c r="D426" s="10">
        <v>492316</v>
      </c>
      <c r="E426" s="9" t="s">
        <v>124</v>
      </c>
      <c r="F426" s="9" t="s">
        <v>567</v>
      </c>
      <c r="G426" s="11">
        <v>15000000</v>
      </c>
      <c r="H426" s="12">
        <v>15000000</v>
      </c>
      <c r="I426" s="13"/>
      <c r="J426" s="19">
        <v>16730</v>
      </c>
      <c r="K426" s="15"/>
      <c r="L426" s="16">
        <v>14983270</v>
      </c>
      <c r="M426" s="15"/>
      <c r="N426" s="14"/>
      <c r="O426" s="17"/>
      <c r="P426" s="17"/>
      <c r="Q426" s="17"/>
      <c r="R426" s="17"/>
      <c r="S426" s="17"/>
      <c r="T426" s="17"/>
      <c r="U426" s="17"/>
      <c r="V426" s="17"/>
      <c r="W426" s="11">
        <v>14983270</v>
      </c>
      <c r="X426" s="17"/>
    </row>
    <row r="427" spans="1:24" ht="25.5" x14ac:dyDescent="0.25">
      <c r="A427" s="7" t="s">
        <v>561</v>
      </c>
      <c r="B427" s="8">
        <v>8470230</v>
      </c>
      <c r="C427" s="9" t="s">
        <v>102</v>
      </c>
      <c r="D427" s="10">
        <v>492310</v>
      </c>
      <c r="E427" s="9" t="s">
        <v>564</v>
      </c>
      <c r="F427" s="9" t="s">
        <v>568</v>
      </c>
      <c r="G427" s="11">
        <v>1333260</v>
      </c>
      <c r="H427" s="12">
        <v>1333260</v>
      </c>
      <c r="I427" s="13"/>
      <c r="J427" s="19">
        <v>1302264.76</v>
      </c>
      <c r="K427" s="15"/>
      <c r="L427" s="16">
        <v>30995.24</v>
      </c>
      <c r="M427" s="15"/>
      <c r="N427" s="14"/>
      <c r="O427" s="17"/>
      <c r="P427" s="17"/>
      <c r="Q427" s="17"/>
      <c r="R427" s="17"/>
      <c r="S427" s="17"/>
      <c r="T427" s="17"/>
      <c r="U427" s="17"/>
      <c r="V427" s="17"/>
      <c r="W427" s="11">
        <v>30995.24</v>
      </c>
      <c r="X427" s="17"/>
    </row>
    <row r="428" spans="1:24" ht="25.5" x14ac:dyDescent="0.25">
      <c r="A428" s="7" t="s">
        <v>561</v>
      </c>
      <c r="B428" s="8">
        <v>8470305</v>
      </c>
      <c r="C428" s="9" t="s">
        <v>114</v>
      </c>
      <c r="D428" s="10">
        <v>492316</v>
      </c>
      <c r="E428" s="9" t="s">
        <v>124</v>
      </c>
      <c r="F428" s="9" t="s">
        <v>569</v>
      </c>
      <c r="G428" s="11">
        <v>0</v>
      </c>
      <c r="H428" s="12">
        <v>1000000</v>
      </c>
      <c r="I428" s="13"/>
      <c r="J428" s="14"/>
      <c r="K428" s="15"/>
      <c r="L428" s="16">
        <v>1000000</v>
      </c>
      <c r="M428" s="15"/>
      <c r="N428" s="14"/>
      <c r="O428" s="17"/>
      <c r="P428" s="17"/>
      <c r="Q428" s="17"/>
      <c r="R428" s="17"/>
      <c r="S428" s="17"/>
      <c r="T428" s="17"/>
      <c r="U428" s="17"/>
      <c r="V428" s="17"/>
      <c r="W428" s="11">
        <v>1000000</v>
      </c>
      <c r="X428" s="17"/>
    </row>
    <row r="429" spans="1:24" ht="25.5" x14ac:dyDescent="0.25">
      <c r="A429" s="7" t="s">
        <v>561</v>
      </c>
      <c r="B429" s="8">
        <v>8470310</v>
      </c>
      <c r="C429" s="9" t="s">
        <v>128</v>
      </c>
      <c r="D429" s="10">
        <v>492316</v>
      </c>
      <c r="E429" s="9" t="s">
        <v>124</v>
      </c>
      <c r="F429" s="9" t="s">
        <v>570</v>
      </c>
      <c r="G429" s="11">
        <v>805100</v>
      </c>
      <c r="H429" s="12">
        <v>805100</v>
      </c>
      <c r="I429" s="18">
        <v>800481</v>
      </c>
      <c r="J429" s="19">
        <v>-805100</v>
      </c>
      <c r="K429" s="12">
        <v>805100</v>
      </c>
      <c r="L429" s="16">
        <v>4619</v>
      </c>
      <c r="M429" s="15"/>
      <c r="N429" s="14"/>
      <c r="O429" s="17"/>
      <c r="P429" s="17"/>
      <c r="Q429" s="17"/>
      <c r="R429" s="17"/>
      <c r="S429" s="17"/>
      <c r="T429" s="17"/>
      <c r="U429" s="17"/>
      <c r="V429" s="17"/>
      <c r="W429" s="11">
        <v>4619</v>
      </c>
      <c r="X429" s="17"/>
    </row>
    <row r="430" spans="1:24" ht="25.5" x14ac:dyDescent="0.25">
      <c r="A430" s="7" t="s">
        <v>561</v>
      </c>
      <c r="B430" s="8">
        <v>8470320</v>
      </c>
      <c r="C430" s="9" t="s">
        <v>149</v>
      </c>
      <c r="D430" s="10">
        <v>492316</v>
      </c>
      <c r="E430" s="9" t="s">
        <v>124</v>
      </c>
      <c r="F430" s="9" t="s">
        <v>571</v>
      </c>
      <c r="G430" s="11">
        <v>433322</v>
      </c>
      <c r="H430" s="12">
        <v>433322</v>
      </c>
      <c r="I430" s="18">
        <v>380756</v>
      </c>
      <c r="J430" s="19">
        <v>-380756</v>
      </c>
      <c r="K430" s="12">
        <v>430000</v>
      </c>
      <c r="L430" s="16">
        <v>3322</v>
      </c>
      <c r="M430" s="15"/>
      <c r="N430" s="14"/>
      <c r="O430" s="17"/>
      <c r="P430" s="17"/>
      <c r="Q430" s="17"/>
      <c r="R430" s="17"/>
      <c r="S430" s="17"/>
      <c r="T430" s="17"/>
      <c r="U430" s="17"/>
      <c r="V430" s="17"/>
      <c r="W430" s="11">
        <v>3322</v>
      </c>
      <c r="X430" s="17"/>
    </row>
    <row r="431" spans="1:24" ht="25.5" x14ac:dyDescent="0.25">
      <c r="A431" s="7" t="s">
        <v>561</v>
      </c>
      <c r="B431" s="8">
        <v>8470325</v>
      </c>
      <c r="C431" s="9" t="s">
        <v>162</v>
      </c>
      <c r="D431" s="10">
        <v>492316</v>
      </c>
      <c r="E431" s="9" t="s">
        <v>124</v>
      </c>
      <c r="F431" s="9" t="s">
        <v>572</v>
      </c>
      <c r="G431" s="11">
        <v>13410</v>
      </c>
      <c r="H431" s="12">
        <v>13410</v>
      </c>
      <c r="I431" s="13"/>
      <c r="J431" s="14"/>
      <c r="K431" s="15"/>
      <c r="L431" s="16">
        <v>13410</v>
      </c>
      <c r="M431" s="15"/>
      <c r="N431" s="14"/>
      <c r="O431" s="17"/>
      <c r="P431" s="17"/>
      <c r="Q431" s="17"/>
      <c r="R431" s="17"/>
      <c r="S431" s="17"/>
      <c r="T431" s="17"/>
      <c r="U431" s="17"/>
      <c r="V431" s="17"/>
      <c r="W431" s="11">
        <v>13410</v>
      </c>
      <c r="X431" s="17"/>
    </row>
    <row r="432" spans="1:24" ht="25.5" x14ac:dyDescent="0.25">
      <c r="A432" s="7" t="s">
        <v>561</v>
      </c>
      <c r="B432" s="8">
        <v>8470335</v>
      </c>
      <c r="C432" s="9" t="s">
        <v>183</v>
      </c>
      <c r="D432" s="10">
        <v>492316</v>
      </c>
      <c r="E432" s="9" t="s">
        <v>124</v>
      </c>
      <c r="F432" s="9" t="s">
        <v>573</v>
      </c>
      <c r="G432" s="11">
        <v>223066</v>
      </c>
      <c r="H432" s="12">
        <v>223066</v>
      </c>
      <c r="I432" s="18">
        <v>35669.660000000003</v>
      </c>
      <c r="J432" s="19">
        <v>184446</v>
      </c>
      <c r="K432" s="12">
        <v>0</v>
      </c>
      <c r="L432" s="16">
        <v>2950.34</v>
      </c>
      <c r="M432" s="15"/>
      <c r="N432" s="14"/>
      <c r="O432" s="17"/>
      <c r="P432" s="17"/>
      <c r="Q432" s="17"/>
      <c r="R432" s="17"/>
      <c r="S432" s="17"/>
      <c r="T432" s="17"/>
      <c r="U432" s="17"/>
      <c r="V432" s="17"/>
      <c r="W432" s="11">
        <v>2950.34</v>
      </c>
      <c r="X432" s="17"/>
    </row>
    <row r="433" spans="1:24" ht="25.5" x14ac:dyDescent="0.25">
      <c r="A433" s="7" t="s">
        <v>561</v>
      </c>
      <c r="B433" s="8">
        <v>8470345</v>
      </c>
      <c r="C433" s="9" t="s">
        <v>209</v>
      </c>
      <c r="D433" s="10">
        <v>492316</v>
      </c>
      <c r="E433" s="9" t="s">
        <v>124</v>
      </c>
      <c r="F433" s="9" t="s">
        <v>574</v>
      </c>
      <c r="G433" s="11">
        <v>142219</v>
      </c>
      <c r="H433" s="12">
        <v>192399</v>
      </c>
      <c r="I433" s="18">
        <v>202482.54</v>
      </c>
      <c r="J433" s="19">
        <v>-139309.26999999999</v>
      </c>
      <c r="K433" s="12">
        <v>127888.25</v>
      </c>
      <c r="L433" s="16">
        <v>1337.48000000002</v>
      </c>
      <c r="M433" s="15"/>
      <c r="N433" s="14"/>
      <c r="O433" s="17"/>
      <c r="P433" s="17"/>
      <c r="Q433" s="17"/>
      <c r="R433" s="17"/>
      <c r="S433" s="17"/>
      <c r="T433" s="17"/>
      <c r="U433" s="17"/>
      <c r="V433" s="17"/>
      <c r="W433" s="11">
        <v>1337.48000000002</v>
      </c>
      <c r="X433" s="17"/>
    </row>
    <row r="434" spans="1:24" ht="25.5" x14ac:dyDescent="0.25">
      <c r="A434" s="7" t="s">
        <v>561</v>
      </c>
      <c r="B434" s="8">
        <v>8470405</v>
      </c>
      <c r="C434" s="9" t="s">
        <v>230</v>
      </c>
      <c r="D434" s="10">
        <v>492316</v>
      </c>
      <c r="E434" s="9" t="s">
        <v>124</v>
      </c>
      <c r="F434" s="9" t="s">
        <v>575</v>
      </c>
      <c r="G434" s="11">
        <v>0</v>
      </c>
      <c r="H434" s="12">
        <v>2200000</v>
      </c>
      <c r="I434" s="13"/>
      <c r="J434" s="14"/>
      <c r="K434" s="15"/>
      <c r="L434" s="16">
        <v>2200000</v>
      </c>
      <c r="M434" s="15"/>
      <c r="N434" s="14"/>
      <c r="O434" s="17"/>
      <c r="P434" s="17"/>
      <c r="Q434" s="17"/>
      <c r="R434" s="17"/>
      <c r="S434" s="17"/>
      <c r="T434" s="17"/>
      <c r="U434" s="17"/>
      <c r="V434" s="17"/>
      <c r="W434" s="11">
        <v>2200000</v>
      </c>
      <c r="X434" s="17"/>
    </row>
    <row r="435" spans="1:24" ht="25.5" x14ac:dyDescent="0.25">
      <c r="A435" s="7" t="s">
        <v>561</v>
      </c>
      <c r="B435" s="8">
        <v>8470415</v>
      </c>
      <c r="C435" s="9" t="s">
        <v>246</v>
      </c>
      <c r="D435" s="10">
        <v>492316</v>
      </c>
      <c r="E435" s="9" t="s">
        <v>124</v>
      </c>
      <c r="F435" s="9" t="s">
        <v>576</v>
      </c>
      <c r="G435" s="11">
        <v>57654</v>
      </c>
      <c r="H435" s="12">
        <v>488654</v>
      </c>
      <c r="I435" s="18">
        <v>41859.1</v>
      </c>
      <c r="J435" s="19">
        <v>-41859.1</v>
      </c>
      <c r="K435" s="12">
        <v>349866</v>
      </c>
      <c r="L435" s="16">
        <v>138788</v>
      </c>
      <c r="M435" s="15"/>
      <c r="N435" s="14"/>
      <c r="O435" s="17"/>
      <c r="P435" s="17"/>
      <c r="Q435" s="17"/>
      <c r="R435" s="17"/>
      <c r="S435" s="17"/>
      <c r="T435" s="17"/>
      <c r="U435" s="17"/>
      <c r="V435" s="17"/>
      <c r="W435" s="11">
        <v>138788</v>
      </c>
      <c r="X435" s="17"/>
    </row>
    <row r="436" spans="1:24" ht="25.5" x14ac:dyDescent="0.25">
      <c r="A436" s="7" t="s">
        <v>561</v>
      </c>
      <c r="B436" s="8">
        <v>8470425</v>
      </c>
      <c r="C436" s="9" t="s">
        <v>254</v>
      </c>
      <c r="D436" s="10">
        <v>492316</v>
      </c>
      <c r="E436" s="9" t="s">
        <v>124</v>
      </c>
      <c r="F436" s="9" t="s">
        <v>577</v>
      </c>
      <c r="G436" s="11">
        <v>224882</v>
      </c>
      <c r="H436" s="12">
        <v>224882</v>
      </c>
      <c r="I436" s="18">
        <v>131146.73000000001</v>
      </c>
      <c r="J436" s="19">
        <v>-143081.73000000001</v>
      </c>
      <c r="K436" s="12">
        <v>7.2759576141834308E-12</v>
      </c>
      <c r="L436" s="16">
        <v>236817</v>
      </c>
      <c r="M436" s="15"/>
      <c r="N436" s="14"/>
      <c r="O436" s="17"/>
      <c r="P436" s="17"/>
      <c r="Q436" s="17"/>
      <c r="R436" s="17"/>
      <c r="S436" s="17"/>
      <c r="T436" s="17"/>
      <c r="U436" s="17"/>
      <c r="V436" s="17"/>
      <c r="W436" s="11">
        <v>236817</v>
      </c>
      <c r="X436" s="17"/>
    </row>
    <row r="437" spans="1:24" ht="25.5" x14ac:dyDescent="0.25">
      <c r="A437" s="7" t="s">
        <v>561</v>
      </c>
      <c r="B437" s="8">
        <v>8470450</v>
      </c>
      <c r="C437" s="9" t="s">
        <v>289</v>
      </c>
      <c r="D437" s="10">
        <v>492316</v>
      </c>
      <c r="E437" s="9" t="s">
        <v>124</v>
      </c>
      <c r="F437" s="9" t="s">
        <v>578</v>
      </c>
      <c r="G437" s="11">
        <v>25100</v>
      </c>
      <c r="H437" s="12">
        <v>25100</v>
      </c>
      <c r="I437" s="18">
        <v>47150</v>
      </c>
      <c r="J437" s="19">
        <v>-22050</v>
      </c>
      <c r="K437" s="12">
        <v>0</v>
      </c>
      <c r="L437" s="16">
        <v>0</v>
      </c>
      <c r="M437" s="15"/>
      <c r="N437" s="14"/>
      <c r="O437" s="17"/>
      <c r="P437" s="17"/>
      <c r="Q437" s="17"/>
      <c r="R437" s="17"/>
      <c r="S437" s="17"/>
      <c r="T437" s="17"/>
      <c r="U437" s="17"/>
      <c r="V437" s="17"/>
      <c r="W437" s="11">
        <v>0</v>
      </c>
      <c r="X437" s="17"/>
    </row>
    <row r="438" spans="1:24" ht="25.5" x14ac:dyDescent="0.25">
      <c r="A438" s="7" t="s">
        <v>561</v>
      </c>
      <c r="B438" s="8">
        <v>8470455</v>
      </c>
      <c r="C438" s="9" t="s">
        <v>299</v>
      </c>
      <c r="D438" s="10">
        <v>492316</v>
      </c>
      <c r="E438" s="9" t="s">
        <v>124</v>
      </c>
      <c r="F438" s="9" t="s">
        <v>579</v>
      </c>
      <c r="G438" s="11">
        <v>12968</v>
      </c>
      <c r="H438" s="12">
        <v>12968</v>
      </c>
      <c r="I438" s="18">
        <v>2808.8</v>
      </c>
      <c r="J438" s="14"/>
      <c r="K438" s="15"/>
      <c r="L438" s="16">
        <v>10159.200000000001</v>
      </c>
      <c r="M438" s="15"/>
      <c r="N438" s="14"/>
      <c r="O438" s="17"/>
      <c r="P438" s="17"/>
      <c r="Q438" s="17"/>
      <c r="R438" s="17"/>
      <c r="S438" s="17"/>
      <c r="T438" s="17"/>
      <c r="U438" s="17"/>
      <c r="V438" s="17"/>
      <c r="W438" s="11">
        <v>10159.200000000001</v>
      </c>
      <c r="X438" s="17"/>
    </row>
    <row r="439" spans="1:24" ht="25.5" x14ac:dyDescent="0.25">
      <c r="A439" s="7" t="s">
        <v>561</v>
      </c>
      <c r="B439" s="8">
        <v>8470530</v>
      </c>
      <c r="C439" s="9" t="s">
        <v>311</v>
      </c>
      <c r="D439" s="10">
        <v>492200</v>
      </c>
      <c r="E439" s="9" t="s">
        <v>580</v>
      </c>
      <c r="F439" s="9" t="s">
        <v>581</v>
      </c>
      <c r="G439" s="11">
        <v>1624208</v>
      </c>
      <c r="H439" s="12">
        <v>1624208</v>
      </c>
      <c r="I439" s="13"/>
      <c r="J439" s="14"/>
      <c r="K439" s="15"/>
      <c r="L439" s="16">
        <v>1624208</v>
      </c>
      <c r="M439" s="15"/>
      <c r="N439" s="14"/>
      <c r="O439" s="17"/>
      <c r="P439" s="17"/>
      <c r="Q439" s="17"/>
      <c r="R439" s="17"/>
      <c r="S439" s="17"/>
      <c r="T439" s="17"/>
      <c r="U439" s="17"/>
      <c r="V439" s="17"/>
      <c r="W439" s="11">
        <v>1624208</v>
      </c>
      <c r="X439" s="17"/>
    </row>
    <row r="440" spans="1:24" ht="25.5" x14ac:dyDescent="0.25">
      <c r="A440" s="7" t="s">
        <v>561</v>
      </c>
      <c r="B440" s="8">
        <v>8470530</v>
      </c>
      <c r="C440" s="9" t="s">
        <v>311</v>
      </c>
      <c r="D440" s="10">
        <v>492200</v>
      </c>
      <c r="E440" s="9" t="s">
        <v>580</v>
      </c>
      <c r="F440" s="9" t="s">
        <v>582</v>
      </c>
      <c r="G440" s="11">
        <v>29208099</v>
      </c>
      <c r="H440" s="12">
        <v>29208099</v>
      </c>
      <c r="I440" s="18">
        <v>989346.6</v>
      </c>
      <c r="J440" s="19">
        <v>6150000</v>
      </c>
      <c r="K440" s="12">
        <v>0</v>
      </c>
      <c r="L440" s="16">
        <v>22068752.399999999</v>
      </c>
      <c r="M440" s="15"/>
      <c r="N440" s="14"/>
      <c r="O440" s="17"/>
      <c r="P440" s="17"/>
      <c r="Q440" s="17"/>
      <c r="R440" s="17"/>
      <c r="S440" s="17"/>
      <c r="T440" s="17"/>
      <c r="U440" s="17"/>
      <c r="V440" s="17"/>
      <c r="W440" s="11">
        <v>22068752.399999999</v>
      </c>
      <c r="X440" s="17"/>
    </row>
    <row r="441" spans="1:24" ht="25.5" x14ac:dyDescent="0.25">
      <c r="A441" s="7" t="s">
        <v>561</v>
      </c>
      <c r="B441" s="8">
        <v>8470530</v>
      </c>
      <c r="C441" s="9" t="s">
        <v>311</v>
      </c>
      <c r="D441" s="10">
        <v>492200</v>
      </c>
      <c r="E441" s="9" t="s">
        <v>580</v>
      </c>
      <c r="F441" s="9" t="s">
        <v>583</v>
      </c>
      <c r="G441" s="11">
        <v>21619046</v>
      </c>
      <c r="H441" s="12">
        <v>21619046</v>
      </c>
      <c r="I441" s="18">
        <v>149865.25</v>
      </c>
      <c r="J441" s="19">
        <v>4779350</v>
      </c>
      <c r="K441" s="12">
        <v>0</v>
      </c>
      <c r="L441" s="16">
        <v>16689830.75</v>
      </c>
      <c r="M441" s="15"/>
      <c r="N441" s="14"/>
      <c r="O441" s="17"/>
      <c r="P441" s="17"/>
      <c r="Q441" s="17"/>
      <c r="R441" s="17"/>
      <c r="S441" s="17"/>
      <c r="T441" s="17"/>
      <c r="U441" s="17"/>
      <c r="V441" s="17"/>
      <c r="W441" s="11">
        <v>16689830.75</v>
      </c>
      <c r="X441" s="17"/>
    </row>
    <row r="442" spans="1:24" ht="25.5" x14ac:dyDescent="0.25">
      <c r="A442" s="7" t="s">
        <v>561</v>
      </c>
      <c r="B442" s="8">
        <v>8470530</v>
      </c>
      <c r="C442" s="9" t="s">
        <v>311</v>
      </c>
      <c r="D442" s="10">
        <v>492610</v>
      </c>
      <c r="E442" s="9" t="s">
        <v>584</v>
      </c>
      <c r="F442" s="9" t="s">
        <v>585</v>
      </c>
      <c r="G442" s="11">
        <v>0</v>
      </c>
      <c r="H442" s="12">
        <v>1000000</v>
      </c>
      <c r="I442" s="13"/>
      <c r="J442" s="14"/>
      <c r="K442" s="15"/>
      <c r="L442" s="16">
        <v>1000000</v>
      </c>
      <c r="M442" s="15"/>
      <c r="N442" s="14"/>
      <c r="O442" s="17"/>
      <c r="P442" s="17"/>
      <c r="Q442" s="17"/>
      <c r="R442" s="17"/>
      <c r="S442" s="17"/>
      <c r="T442" s="17"/>
      <c r="U442" s="17"/>
      <c r="V442" s="17"/>
      <c r="W442" s="11">
        <v>1000000</v>
      </c>
      <c r="X442" s="17"/>
    </row>
    <row r="443" spans="1:24" ht="25.5" x14ac:dyDescent="0.25">
      <c r="A443" s="7" t="s">
        <v>561</v>
      </c>
      <c r="B443" s="8">
        <v>8470530</v>
      </c>
      <c r="C443" s="9" t="s">
        <v>311</v>
      </c>
      <c r="D443" s="10">
        <v>492610</v>
      </c>
      <c r="E443" s="9" t="s">
        <v>584</v>
      </c>
      <c r="F443" s="9" t="s">
        <v>586</v>
      </c>
      <c r="G443" s="11">
        <v>289920</v>
      </c>
      <c r="H443" s="12">
        <v>289920</v>
      </c>
      <c r="I443" s="13"/>
      <c r="J443" s="19">
        <v>289920</v>
      </c>
      <c r="K443" s="15"/>
      <c r="L443" s="16">
        <v>0</v>
      </c>
      <c r="M443" s="15"/>
      <c r="N443" s="14"/>
      <c r="O443" s="17"/>
      <c r="P443" s="17"/>
      <c r="Q443" s="17"/>
      <c r="R443" s="17"/>
      <c r="S443" s="17"/>
      <c r="T443" s="17"/>
      <c r="U443" s="17"/>
      <c r="V443" s="17"/>
      <c r="W443" s="11">
        <v>0</v>
      </c>
      <c r="X443" s="17"/>
    </row>
    <row r="444" spans="1:24" ht="25.5" x14ac:dyDescent="0.25">
      <c r="A444" s="7" t="s">
        <v>561</v>
      </c>
      <c r="B444" s="8">
        <v>8470530</v>
      </c>
      <c r="C444" s="9" t="s">
        <v>311</v>
      </c>
      <c r="D444" s="10">
        <v>492610</v>
      </c>
      <c r="E444" s="9" t="s">
        <v>584</v>
      </c>
      <c r="F444" s="9" t="s">
        <v>587</v>
      </c>
      <c r="G444" s="11">
        <v>31488</v>
      </c>
      <c r="H444" s="12">
        <v>31488</v>
      </c>
      <c r="I444" s="13"/>
      <c r="J444" s="14"/>
      <c r="K444" s="15"/>
      <c r="L444" s="16">
        <v>31488</v>
      </c>
      <c r="M444" s="15"/>
      <c r="N444" s="14"/>
      <c r="O444" s="17"/>
      <c r="P444" s="17"/>
      <c r="Q444" s="17"/>
      <c r="R444" s="17"/>
      <c r="S444" s="17"/>
      <c r="T444" s="17"/>
      <c r="U444" s="17"/>
      <c r="V444" s="17"/>
      <c r="W444" s="11">
        <v>31488</v>
      </c>
      <c r="X444" s="17"/>
    </row>
    <row r="445" spans="1:24" ht="25.5" x14ac:dyDescent="0.25">
      <c r="A445" s="7" t="s">
        <v>561</v>
      </c>
      <c r="B445" s="8">
        <v>8470530</v>
      </c>
      <c r="C445" s="9" t="s">
        <v>311</v>
      </c>
      <c r="D445" s="10">
        <v>492610</v>
      </c>
      <c r="E445" s="9" t="s">
        <v>584</v>
      </c>
      <c r="F445" s="9" t="s">
        <v>588</v>
      </c>
      <c r="G445" s="11">
        <v>6000000</v>
      </c>
      <c r="H445" s="12">
        <v>5000000</v>
      </c>
      <c r="I445" s="13"/>
      <c r="J445" s="14"/>
      <c r="K445" s="15"/>
      <c r="L445" s="16">
        <v>5000000</v>
      </c>
      <c r="M445" s="15"/>
      <c r="N445" s="14"/>
      <c r="O445" s="17"/>
      <c r="P445" s="17"/>
      <c r="Q445" s="17"/>
      <c r="R445" s="17"/>
      <c r="S445" s="17"/>
      <c r="T445" s="17"/>
      <c r="U445" s="17"/>
      <c r="V445" s="17"/>
      <c r="W445" s="11">
        <v>5000000</v>
      </c>
      <c r="X445" s="17"/>
    </row>
    <row r="446" spans="1:24" ht="25.5" x14ac:dyDescent="0.25">
      <c r="A446" s="7" t="s">
        <v>561</v>
      </c>
      <c r="B446" s="8">
        <v>8470530</v>
      </c>
      <c r="C446" s="9" t="s">
        <v>311</v>
      </c>
      <c r="D446" s="10">
        <v>492610</v>
      </c>
      <c r="E446" s="9" t="s">
        <v>584</v>
      </c>
      <c r="F446" s="9" t="s">
        <v>589</v>
      </c>
      <c r="G446" s="11">
        <v>41141</v>
      </c>
      <c r="H446" s="12">
        <v>41141</v>
      </c>
      <c r="I446" s="13"/>
      <c r="J446" s="14"/>
      <c r="K446" s="15"/>
      <c r="L446" s="16">
        <v>41141</v>
      </c>
      <c r="M446" s="15"/>
      <c r="N446" s="14"/>
      <c r="O446" s="17"/>
      <c r="P446" s="17"/>
      <c r="Q446" s="17"/>
      <c r="R446" s="17"/>
      <c r="S446" s="17"/>
      <c r="T446" s="17"/>
      <c r="U446" s="17"/>
      <c r="V446" s="17"/>
      <c r="W446" s="11">
        <v>41141</v>
      </c>
      <c r="X446" s="17"/>
    </row>
    <row r="447" spans="1:24" ht="25.5" x14ac:dyDescent="0.25">
      <c r="A447" s="7" t="s">
        <v>561</v>
      </c>
      <c r="B447" s="8">
        <v>8470810</v>
      </c>
      <c r="C447" s="9" t="s">
        <v>405</v>
      </c>
      <c r="D447" s="10">
        <v>492310</v>
      </c>
      <c r="E447" s="9" t="s">
        <v>564</v>
      </c>
      <c r="F447" s="9" t="s">
        <v>590</v>
      </c>
      <c r="G447" s="11">
        <v>181050</v>
      </c>
      <c r="H447" s="12">
        <v>181050</v>
      </c>
      <c r="I447" s="18">
        <v>10775</v>
      </c>
      <c r="J447" s="19">
        <v>169008</v>
      </c>
      <c r="K447" s="12">
        <v>0</v>
      </c>
      <c r="L447" s="16">
        <v>1267</v>
      </c>
      <c r="M447" s="15"/>
      <c r="N447" s="14"/>
      <c r="O447" s="17"/>
      <c r="P447" s="17"/>
      <c r="Q447" s="17"/>
      <c r="R447" s="17"/>
      <c r="S447" s="17"/>
      <c r="T447" s="17"/>
      <c r="U447" s="17"/>
      <c r="V447" s="17"/>
      <c r="W447" s="11">
        <v>1267</v>
      </c>
      <c r="X447" s="17"/>
    </row>
    <row r="448" spans="1:24" ht="25.5" x14ac:dyDescent="0.25">
      <c r="A448" s="7" t="s">
        <v>561</v>
      </c>
      <c r="B448" s="8">
        <v>8470810</v>
      </c>
      <c r="C448" s="9" t="s">
        <v>405</v>
      </c>
      <c r="D448" s="10">
        <v>492352</v>
      </c>
      <c r="E448" s="9" t="s">
        <v>591</v>
      </c>
      <c r="F448" s="9" t="s">
        <v>592</v>
      </c>
      <c r="G448" s="11">
        <v>1999373</v>
      </c>
      <c r="H448" s="12">
        <v>1999373</v>
      </c>
      <c r="I448" s="13"/>
      <c r="J448" s="14"/>
      <c r="K448" s="15"/>
      <c r="L448" s="16">
        <v>1999373</v>
      </c>
      <c r="M448" s="15"/>
      <c r="N448" s="14"/>
      <c r="O448" s="17"/>
      <c r="P448" s="17"/>
      <c r="Q448" s="17"/>
      <c r="R448" s="17"/>
      <c r="S448" s="17"/>
      <c r="T448" s="17"/>
      <c r="U448" s="17"/>
      <c r="V448" s="17"/>
      <c r="W448" s="11">
        <v>1999373</v>
      </c>
      <c r="X448" s="17"/>
    </row>
    <row r="449" spans="1:24" ht="25.5" x14ac:dyDescent="0.25">
      <c r="A449" s="7" t="s">
        <v>561</v>
      </c>
      <c r="B449" s="8">
        <v>8470810</v>
      </c>
      <c r="C449" s="9" t="s">
        <v>405</v>
      </c>
      <c r="D449" s="10">
        <v>492354</v>
      </c>
      <c r="E449" s="9" t="s">
        <v>593</v>
      </c>
      <c r="F449" s="9" t="s">
        <v>594</v>
      </c>
      <c r="G449" s="11">
        <v>321320</v>
      </c>
      <c r="H449" s="12">
        <v>321320</v>
      </c>
      <c r="I449" s="13"/>
      <c r="J449" s="14"/>
      <c r="K449" s="15"/>
      <c r="L449" s="16">
        <v>321320</v>
      </c>
      <c r="M449" s="15"/>
      <c r="N449" s="14"/>
      <c r="O449" s="17"/>
      <c r="P449" s="17"/>
      <c r="Q449" s="17"/>
      <c r="R449" s="17"/>
      <c r="S449" s="17"/>
      <c r="T449" s="17"/>
      <c r="U449" s="17"/>
      <c r="V449" s="17"/>
      <c r="W449" s="11">
        <v>321320</v>
      </c>
      <c r="X449" s="17"/>
    </row>
    <row r="450" spans="1:24" ht="25.5" x14ac:dyDescent="0.25">
      <c r="A450" s="7" t="s">
        <v>561</v>
      </c>
      <c r="B450" s="8">
        <v>8470810</v>
      </c>
      <c r="C450" s="9" t="s">
        <v>405</v>
      </c>
      <c r="D450" s="10">
        <v>492356</v>
      </c>
      <c r="E450" s="9" t="s">
        <v>595</v>
      </c>
      <c r="F450" s="9" t="s">
        <v>596</v>
      </c>
      <c r="G450" s="11">
        <v>566743</v>
      </c>
      <c r="H450" s="12">
        <v>566743</v>
      </c>
      <c r="I450" s="18">
        <v>2</v>
      </c>
      <c r="J450" s="19">
        <v>-2</v>
      </c>
      <c r="K450" s="12">
        <v>2</v>
      </c>
      <c r="L450" s="16">
        <v>566741</v>
      </c>
      <c r="M450" s="15"/>
      <c r="N450" s="14"/>
      <c r="O450" s="17"/>
      <c r="P450" s="17"/>
      <c r="Q450" s="17"/>
      <c r="R450" s="17"/>
      <c r="S450" s="17"/>
      <c r="T450" s="17"/>
      <c r="U450" s="17"/>
      <c r="V450" s="17"/>
      <c r="W450" s="11">
        <v>566741</v>
      </c>
      <c r="X450" s="17"/>
    </row>
    <row r="451" spans="1:24" ht="25.5" x14ac:dyDescent="0.25">
      <c r="A451" s="7" t="s">
        <v>561</v>
      </c>
      <c r="B451" s="8">
        <v>8470810</v>
      </c>
      <c r="C451" s="9" t="s">
        <v>405</v>
      </c>
      <c r="D451" s="10">
        <v>495113</v>
      </c>
      <c r="E451" s="9" t="s">
        <v>597</v>
      </c>
      <c r="F451" s="9" t="s">
        <v>598</v>
      </c>
      <c r="G451" s="11">
        <v>23965</v>
      </c>
      <c r="H451" s="12">
        <v>23965</v>
      </c>
      <c r="I451" s="13"/>
      <c r="J451" s="14"/>
      <c r="K451" s="15"/>
      <c r="L451" s="16">
        <v>23965</v>
      </c>
      <c r="M451" s="15"/>
      <c r="N451" s="14"/>
      <c r="O451" s="17"/>
      <c r="P451" s="17"/>
      <c r="Q451" s="17"/>
      <c r="R451" s="17"/>
      <c r="S451" s="17"/>
      <c r="T451" s="17"/>
      <c r="U451" s="17"/>
      <c r="V451" s="17"/>
      <c r="W451" s="11">
        <v>23965</v>
      </c>
      <c r="X451" s="17"/>
    </row>
    <row r="452" spans="1:24" ht="25.5" x14ac:dyDescent="0.25">
      <c r="A452" s="7" t="s">
        <v>561</v>
      </c>
      <c r="B452" s="8">
        <v>8471160</v>
      </c>
      <c r="C452" s="9" t="s">
        <v>453</v>
      </c>
      <c r="D452" s="10">
        <v>492200</v>
      </c>
      <c r="E452" s="9" t="s">
        <v>580</v>
      </c>
      <c r="F452" s="9" t="s">
        <v>599</v>
      </c>
      <c r="G452" s="11">
        <v>724500</v>
      </c>
      <c r="H452" s="12">
        <v>724500</v>
      </c>
      <c r="I452" s="18">
        <v>64500</v>
      </c>
      <c r="J452" s="19">
        <v>-32000</v>
      </c>
      <c r="K452" s="12">
        <v>0</v>
      </c>
      <c r="L452" s="16">
        <v>692000</v>
      </c>
      <c r="M452" s="15"/>
      <c r="N452" s="14"/>
      <c r="O452" s="17"/>
      <c r="P452" s="17"/>
      <c r="Q452" s="17"/>
      <c r="R452" s="17"/>
      <c r="S452" s="17"/>
      <c r="T452" s="17"/>
      <c r="U452" s="17"/>
      <c r="V452" s="17"/>
      <c r="W452" s="11">
        <v>692000</v>
      </c>
      <c r="X452" s="17"/>
    </row>
    <row r="453" spans="1:24" ht="25.5" x14ac:dyDescent="0.25">
      <c r="A453" s="7" t="s">
        <v>561</v>
      </c>
      <c r="B453" s="8">
        <v>8471160</v>
      </c>
      <c r="C453" s="9" t="s">
        <v>453</v>
      </c>
      <c r="D453" s="10">
        <v>492316</v>
      </c>
      <c r="E453" s="9" t="s">
        <v>124</v>
      </c>
      <c r="F453" s="9" t="s">
        <v>600</v>
      </c>
      <c r="G453" s="11">
        <v>67100050</v>
      </c>
      <c r="H453" s="12">
        <v>67100050</v>
      </c>
      <c r="I453" s="18">
        <v>547715.42000000004</v>
      </c>
      <c r="J453" s="19">
        <v>-266760.96000000002</v>
      </c>
      <c r="K453" s="12">
        <v>631926</v>
      </c>
      <c r="L453" s="16">
        <v>66187169.539999999</v>
      </c>
      <c r="M453" s="15"/>
      <c r="N453" s="14"/>
      <c r="O453" s="17"/>
      <c r="P453" s="17"/>
      <c r="Q453" s="17"/>
      <c r="R453" s="17"/>
      <c r="S453" s="17"/>
      <c r="T453" s="17"/>
      <c r="U453" s="17"/>
      <c r="V453" s="17"/>
      <c r="W453" s="11">
        <v>66187169.539999999</v>
      </c>
      <c r="X453" s="17"/>
    </row>
    <row r="454" spans="1:24" ht="25.5" x14ac:dyDescent="0.25">
      <c r="A454" s="7" t="s">
        <v>561</v>
      </c>
      <c r="B454" s="8">
        <v>8471170</v>
      </c>
      <c r="C454" s="9" t="s">
        <v>460</v>
      </c>
      <c r="D454" s="10">
        <v>492316</v>
      </c>
      <c r="E454" s="9" t="s">
        <v>124</v>
      </c>
      <c r="F454" s="9" t="s">
        <v>601</v>
      </c>
      <c r="G454" s="11">
        <v>5000000</v>
      </c>
      <c r="H454" s="12">
        <v>5000000</v>
      </c>
      <c r="I454" s="13"/>
      <c r="J454" s="14"/>
      <c r="K454" s="15"/>
      <c r="L454" s="16">
        <v>5000000</v>
      </c>
      <c r="M454" s="15"/>
      <c r="N454" s="14"/>
      <c r="O454" s="17"/>
      <c r="P454" s="17"/>
      <c r="Q454" s="17"/>
      <c r="R454" s="17"/>
      <c r="S454" s="17"/>
      <c r="T454" s="17"/>
      <c r="U454" s="17"/>
      <c r="V454" s="17"/>
      <c r="W454" s="11">
        <v>5000000</v>
      </c>
      <c r="X454" s="17"/>
    </row>
    <row r="455" spans="1:24" ht="25.5" x14ac:dyDescent="0.25">
      <c r="A455" s="7" t="s">
        <v>561</v>
      </c>
      <c r="B455" s="8">
        <v>8471170</v>
      </c>
      <c r="C455" s="9" t="s">
        <v>460</v>
      </c>
      <c r="D455" s="10">
        <v>495113</v>
      </c>
      <c r="E455" s="9" t="s">
        <v>597</v>
      </c>
      <c r="F455" s="9" t="s">
        <v>602</v>
      </c>
      <c r="G455" s="11">
        <v>240000</v>
      </c>
      <c r="H455" s="12">
        <v>240000</v>
      </c>
      <c r="I455" s="13"/>
      <c r="J455" s="14"/>
      <c r="K455" s="15"/>
      <c r="L455" s="16">
        <v>240000</v>
      </c>
      <c r="M455" s="15"/>
      <c r="N455" s="14"/>
      <c r="O455" s="17"/>
      <c r="P455" s="17"/>
      <c r="Q455" s="17"/>
      <c r="R455" s="17"/>
      <c r="S455" s="17"/>
      <c r="T455" s="17"/>
      <c r="U455" s="17"/>
      <c r="V455" s="17"/>
      <c r="W455" s="11">
        <v>240000</v>
      </c>
      <c r="X455" s="17"/>
    </row>
    <row r="456" spans="1:24" ht="25.5" x14ac:dyDescent="0.25">
      <c r="A456" s="7" t="s">
        <v>561</v>
      </c>
      <c r="B456" s="8">
        <v>8471305</v>
      </c>
      <c r="C456" s="9" t="s">
        <v>530</v>
      </c>
      <c r="D456" s="10">
        <v>492310</v>
      </c>
      <c r="E456" s="9" t="s">
        <v>564</v>
      </c>
      <c r="F456" s="9" t="s">
        <v>603</v>
      </c>
      <c r="G456" s="17"/>
      <c r="H456" s="15"/>
      <c r="I456" s="18">
        <v>-1341.2</v>
      </c>
      <c r="J456" s="14"/>
      <c r="K456" s="15"/>
      <c r="L456" s="16">
        <v>1341.2</v>
      </c>
      <c r="M456" s="15"/>
      <c r="N456" s="14"/>
      <c r="O456" s="17"/>
      <c r="P456" s="17"/>
      <c r="Q456" s="17"/>
      <c r="R456" s="17"/>
      <c r="S456" s="17"/>
      <c r="T456" s="17"/>
      <c r="U456" s="17"/>
      <c r="V456" s="17"/>
      <c r="W456" s="11">
        <v>1341.2</v>
      </c>
      <c r="X456" s="17"/>
    </row>
    <row r="457" spans="1:24" ht="25.5" x14ac:dyDescent="0.25">
      <c r="A457" s="7" t="s">
        <v>561</v>
      </c>
      <c r="B457" s="8">
        <v>8471305</v>
      </c>
      <c r="C457" s="9" t="s">
        <v>530</v>
      </c>
      <c r="D457" s="10">
        <v>492316</v>
      </c>
      <c r="E457" s="9" t="s">
        <v>124</v>
      </c>
      <c r="F457" s="9" t="s">
        <v>604</v>
      </c>
      <c r="G457" s="11">
        <v>1053463</v>
      </c>
      <c r="H457" s="12">
        <v>2367263</v>
      </c>
      <c r="I457" s="18">
        <v>1119684.3</v>
      </c>
      <c r="J457" s="19">
        <v>70955.100000000006</v>
      </c>
      <c r="K457" s="12">
        <v>1005869</v>
      </c>
      <c r="L457" s="16">
        <v>170754.6</v>
      </c>
      <c r="M457" s="15"/>
      <c r="N457" s="14"/>
      <c r="O457" s="17"/>
      <c r="P457" s="17"/>
      <c r="Q457" s="17"/>
      <c r="R457" s="17"/>
      <c r="S457" s="17"/>
      <c r="T457" s="17"/>
      <c r="U457" s="17"/>
      <c r="V457" s="17"/>
      <c r="W457" s="11">
        <v>170754.6</v>
      </c>
      <c r="X457" s="17"/>
    </row>
    <row r="458" spans="1:24" x14ac:dyDescent="0.25">
      <c r="A458" s="20" t="s">
        <v>605</v>
      </c>
      <c r="B458" s="21"/>
      <c r="C458" s="22"/>
      <c r="D458" s="22"/>
      <c r="E458" s="22"/>
      <c r="F458" s="22"/>
      <c r="G458" s="23">
        <v>160800000</v>
      </c>
      <c r="H458" s="24">
        <v>160800000</v>
      </c>
      <c r="I458" s="25">
        <v>4522901.2</v>
      </c>
      <c r="J458" s="38">
        <v>11281754.800000001</v>
      </c>
      <c r="K458" s="24">
        <v>3350651.25</v>
      </c>
      <c r="L458" s="27">
        <v>141644692.75</v>
      </c>
      <c r="M458" s="28"/>
      <c r="N458" s="29"/>
      <c r="O458" s="30"/>
      <c r="P458" s="30"/>
      <c r="Q458" s="30"/>
      <c r="R458" s="30"/>
      <c r="S458" s="30"/>
      <c r="T458" s="30"/>
      <c r="U458" s="30"/>
      <c r="V458" s="30"/>
      <c r="W458" s="23">
        <v>141644692.75</v>
      </c>
      <c r="X458" s="30"/>
    </row>
    <row r="459" spans="1:24" x14ac:dyDescent="0.25">
      <c r="A459" s="31" t="s">
        <v>606</v>
      </c>
      <c r="B459" s="32"/>
      <c r="C459" s="32"/>
      <c r="D459" s="32"/>
      <c r="E459" s="32"/>
      <c r="F459" s="32"/>
      <c r="G459" s="23">
        <v>872800000</v>
      </c>
      <c r="H459" s="24">
        <v>872800000</v>
      </c>
      <c r="I459" s="25">
        <v>129074346.980001</v>
      </c>
      <c r="J459" s="26">
        <v>41924070.509999998</v>
      </c>
      <c r="K459" s="24">
        <v>55819231.560000002</v>
      </c>
      <c r="L459" s="27">
        <v>645982882.87999904</v>
      </c>
      <c r="M459" s="28"/>
      <c r="N459" s="29"/>
      <c r="O459" s="30"/>
      <c r="P459" s="30"/>
      <c r="Q459" s="30"/>
      <c r="R459" s="30"/>
      <c r="S459" s="30"/>
      <c r="T459" s="30"/>
      <c r="U459" s="30"/>
      <c r="V459" s="30"/>
      <c r="W459" s="23">
        <v>645982882.87999904</v>
      </c>
      <c r="X459" s="30"/>
    </row>
    <row r="460" spans="1:24" x14ac:dyDescent="0.25">
      <c r="A460" s="2" t="s">
        <v>607</v>
      </c>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25">
      <c r="A461" s="1" t="s">
        <v>0</v>
      </c>
    </row>
  </sheetData>
  <autoFilter ref="A3:X3"/>
  <conditionalFormatting sqref="A4:X457">
    <cfRule type="expression" dxfId="285" priority="3" stopIfTrue="1">
      <formula>MOD(ROW(),2)=0</formula>
    </cfRule>
  </conditionalFormatting>
  <conditionalFormatting sqref="A3">
    <cfRule type="expression" dxfId="284" priority="1" stopIfTrue="1">
      <formula>MOD(ROW(),2)=0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467"/>
  <sheetViews>
    <sheetView showGridLines="0" tabSelected="1" topLeftCell="B1" zoomScale="110" zoomScaleNormal="110" workbookViewId="0">
      <pane ySplit="3" topLeftCell="A387" activePane="bottomLeft" state="frozen"/>
      <selection activeCell="D1" sqref="D1"/>
      <selection pane="bottomLeft" activeCell="B398" sqref="B398"/>
    </sheetView>
  </sheetViews>
  <sheetFormatPr defaultColWidth="8.7109375" defaultRowHeight="15" x14ac:dyDescent="0.25"/>
  <cols>
    <col min="1" max="1" width="24.7109375" style="6" bestFit="1" customWidth="1"/>
    <col min="2" max="2" width="30.140625" style="6" bestFit="1" customWidth="1"/>
    <col min="3" max="3" width="48.5703125" style="6" bestFit="1" customWidth="1"/>
    <col min="4" max="4" width="9.7109375" style="6" customWidth="1"/>
    <col min="5" max="5" width="32.140625" style="6" customWidth="1"/>
    <col min="6" max="6" width="39.140625" style="6" customWidth="1"/>
    <col min="7" max="7" width="16.42578125" style="6" hidden="1" customWidth="1"/>
    <col min="8" max="8" width="10.85546875" style="6" hidden="1" customWidth="1"/>
    <col min="9" max="9" width="13.28515625" style="6" hidden="1" customWidth="1"/>
    <col min="10" max="10" width="9.85546875" style="6" hidden="1" customWidth="1"/>
    <col min="11" max="11" width="10.85546875" style="6" bestFit="1" customWidth="1"/>
    <col min="12" max="12" width="21.140625" style="6" bestFit="1" customWidth="1"/>
    <col min="13" max="13" width="51.28515625" style="6" bestFit="1" customWidth="1"/>
    <col min="14" max="14" width="22.7109375" style="6" bestFit="1" customWidth="1"/>
    <col min="15" max="15" width="18.5703125" style="6" customWidth="1"/>
    <col min="16" max="16" width="19.5703125" style="6" customWidth="1"/>
    <col min="17" max="17" width="18.42578125" style="6" customWidth="1"/>
    <col min="18" max="18" width="19.5703125" style="6" customWidth="1"/>
    <col min="19" max="19" width="18.7109375" style="6" customWidth="1"/>
    <col min="20" max="20" width="19.28515625" style="6" customWidth="1"/>
    <col min="21" max="21" width="28.140625" style="6" customWidth="1"/>
    <col min="22" max="22" width="16.5703125" style="6" customWidth="1"/>
    <col min="23" max="23" width="52.28515625" style="6" bestFit="1" customWidth="1"/>
    <col min="24" max="24" width="31.42578125" style="6" customWidth="1"/>
    <col min="25" max="16384" width="8.7109375" style="6"/>
  </cols>
  <sheetData>
    <row r="1" spans="1:24" ht="31.5" x14ac:dyDescent="0.25">
      <c r="A1" s="4" t="s">
        <v>608</v>
      </c>
      <c r="C1" s="5"/>
    </row>
    <row r="2" spans="1:24" x14ac:dyDescent="0.25">
      <c r="A2" s="1" t="s">
        <v>0</v>
      </c>
    </row>
    <row r="3" spans="1:24" ht="45" x14ac:dyDescent="0.25">
      <c r="A3" s="33" t="s">
        <v>1</v>
      </c>
      <c r="B3" s="34" t="s">
        <v>2</v>
      </c>
      <c r="C3" s="35" t="s">
        <v>3</v>
      </c>
      <c r="D3" s="36" t="s">
        <v>4</v>
      </c>
      <c r="E3" s="34" t="s">
        <v>5</v>
      </c>
      <c r="F3" s="37" t="s">
        <v>6</v>
      </c>
      <c r="G3" s="37" t="s">
        <v>618</v>
      </c>
      <c r="H3" s="37" t="s">
        <v>9</v>
      </c>
      <c r="I3" s="37" t="s">
        <v>10</v>
      </c>
      <c r="J3" s="37" t="s">
        <v>11</v>
      </c>
      <c r="K3" s="35" t="s">
        <v>12</v>
      </c>
      <c r="L3" s="36" t="s">
        <v>619</v>
      </c>
      <c r="M3" s="36" t="s">
        <v>620</v>
      </c>
      <c r="N3" s="36" t="s">
        <v>621</v>
      </c>
      <c r="O3" s="36" t="s">
        <v>622</v>
      </c>
      <c r="P3" s="36" t="s">
        <v>623</v>
      </c>
      <c r="Q3" s="36" t="s">
        <v>624</v>
      </c>
      <c r="R3" s="36" t="s">
        <v>625</v>
      </c>
      <c r="S3" s="36" t="s">
        <v>626</v>
      </c>
      <c r="T3" s="36" t="s">
        <v>627</v>
      </c>
      <c r="U3" s="36" t="s">
        <v>13</v>
      </c>
      <c r="V3" s="36" t="s">
        <v>14</v>
      </c>
      <c r="W3" s="36" t="s">
        <v>15</v>
      </c>
      <c r="X3" s="36" t="s">
        <v>920</v>
      </c>
    </row>
    <row r="4" spans="1:24" ht="25.5" x14ac:dyDescent="0.25">
      <c r="A4" s="7" t="s">
        <v>16</v>
      </c>
      <c r="B4" s="8">
        <v>8470110</v>
      </c>
      <c r="C4" s="9" t="s">
        <v>17</v>
      </c>
      <c r="D4" s="10">
        <v>420550</v>
      </c>
      <c r="E4" s="9" t="s">
        <v>18</v>
      </c>
      <c r="F4" s="9" t="s">
        <v>19</v>
      </c>
      <c r="G4" s="12">
        <v>500000</v>
      </c>
      <c r="H4" s="13"/>
      <c r="I4" s="14"/>
      <c r="J4" s="15"/>
      <c r="K4" s="16">
        <v>500000</v>
      </c>
      <c r="L4" s="15"/>
      <c r="M4" s="14"/>
      <c r="N4" s="17"/>
      <c r="O4" s="17"/>
      <c r="P4" s="17"/>
      <c r="Q4" s="17"/>
      <c r="R4" s="17"/>
      <c r="S4" s="17"/>
      <c r="T4" s="17"/>
      <c r="U4" s="17"/>
      <c r="V4" s="11">
        <f>K4-L4-M4-N4-O4-P4-Q4-R4-S4-T4</f>
        <v>500000</v>
      </c>
      <c r="W4" s="17"/>
      <c r="X4" s="9" t="s">
        <v>921</v>
      </c>
    </row>
    <row r="5" spans="1:24" ht="25.5" x14ac:dyDescent="0.25">
      <c r="A5" s="7" t="s">
        <v>16</v>
      </c>
      <c r="B5" s="8">
        <v>8470110</v>
      </c>
      <c r="C5" s="9" t="s">
        <v>17</v>
      </c>
      <c r="D5" s="10">
        <v>425510</v>
      </c>
      <c r="E5" s="9" t="s">
        <v>20</v>
      </c>
      <c r="F5" s="9" t="s">
        <v>21</v>
      </c>
      <c r="G5" s="12">
        <v>52920</v>
      </c>
      <c r="H5" s="18">
        <v>6100</v>
      </c>
      <c r="I5" s="14"/>
      <c r="J5" s="15"/>
      <c r="K5" s="16">
        <v>46820</v>
      </c>
      <c r="L5" s="15"/>
      <c r="M5" s="14"/>
      <c r="N5" s="17"/>
      <c r="O5" s="17"/>
      <c r="P5" s="17"/>
      <c r="Q5" s="17"/>
      <c r="R5" s="17"/>
      <c r="S5" s="17"/>
      <c r="T5" s="17"/>
      <c r="U5" s="17"/>
      <c r="V5" s="11">
        <f t="shared" ref="V5:V68" si="0">K5-L5-M5-N5-O5-P5-Q5-R5-S5-T5</f>
        <v>46820</v>
      </c>
      <c r="W5" s="17"/>
      <c r="X5" s="9" t="s">
        <v>921</v>
      </c>
    </row>
    <row r="6" spans="1:24" ht="25.5" x14ac:dyDescent="0.25">
      <c r="A6" s="7" t="s">
        <v>16</v>
      </c>
      <c r="B6" s="8">
        <v>8470110</v>
      </c>
      <c r="C6" s="9" t="s">
        <v>17</v>
      </c>
      <c r="D6" s="10">
        <v>425550</v>
      </c>
      <c r="E6" s="9" t="s">
        <v>22</v>
      </c>
      <c r="F6" s="9" t="s">
        <v>23</v>
      </c>
      <c r="G6" s="12">
        <v>22225</v>
      </c>
      <c r="H6" s="18">
        <v>3300</v>
      </c>
      <c r="I6" s="14"/>
      <c r="J6" s="15"/>
      <c r="K6" s="16">
        <v>18925</v>
      </c>
      <c r="L6" s="15"/>
      <c r="M6" s="14"/>
      <c r="N6" s="17"/>
      <c r="O6" s="17"/>
      <c r="P6" s="17"/>
      <c r="Q6" s="17"/>
      <c r="R6" s="17"/>
      <c r="S6" s="17"/>
      <c r="T6" s="17"/>
      <c r="U6" s="17"/>
      <c r="V6" s="11">
        <f t="shared" si="0"/>
        <v>18925</v>
      </c>
      <c r="W6" s="17"/>
      <c r="X6" s="9" t="s">
        <v>921</v>
      </c>
    </row>
    <row r="7" spans="1:24" ht="25.5" x14ac:dyDescent="0.25">
      <c r="A7" s="7" t="s">
        <v>16</v>
      </c>
      <c r="B7" s="8">
        <v>8470110</v>
      </c>
      <c r="C7" s="9" t="s">
        <v>17</v>
      </c>
      <c r="D7" s="10">
        <v>425900</v>
      </c>
      <c r="E7" s="9" t="s">
        <v>24</v>
      </c>
      <c r="F7" s="9" t="s">
        <v>25</v>
      </c>
      <c r="G7" s="12">
        <v>320000</v>
      </c>
      <c r="H7" s="18">
        <v>5827.5</v>
      </c>
      <c r="I7" s="14"/>
      <c r="J7" s="15"/>
      <c r="K7" s="16">
        <v>314172.5</v>
      </c>
      <c r="L7" s="15"/>
      <c r="M7" s="14"/>
      <c r="N7" s="17"/>
      <c r="O7" s="17"/>
      <c r="P7" s="17"/>
      <c r="Q7" s="17"/>
      <c r="R7" s="17"/>
      <c r="S7" s="17"/>
      <c r="T7" s="17"/>
      <c r="U7" s="17"/>
      <c r="V7" s="11">
        <f t="shared" si="0"/>
        <v>314172.5</v>
      </c>
      <c r="W7" s="17"/>
      <c r="X7" s="9" t="s">
        <v>921</v>
      </c>
    </row>
    <row r="8" spans="1:24" ht="25.5" x14ac:dyDescent="0.25">
      <c r="A8" s="7" t="s">
        <v>16</v>
      </c>
      <c r="B8" s="8">
        <v>8470110</v>
      </c>
      <c r="C8" s="9" t="s">
        <v>17</v>
      </c>
      <c r="D8" s="10">
        <v>428090</v>
      </c>
      <c r="E8" s="9" t="s">
        <v>26</v>
      </c>
      <c r="F8" s="9" t="s">
        <v>27</v>
      </c>
      <c r="G8" s="12">
        <v>1079941</v>
      </c>
      <c r="H8" s="18">
        <v>117410</v>
      </c>
      <c r="I8" s="14"/>
      <c r="J8" s="15"/>
      <c r="K8" s="16">
        <v>962531</v>
      </c>
      <c r="L8" s="15"/>
      <c r="M8" s="14"/>
      <c r="N8" s="17"/>
      <c r="O8" s="17"/>
      <c r="P8" s="17"/>
      <c r="Q8" s="17"/>
      <c r="R8" s="17"/>
      <c r="S8" s="17"/>
      <c r="T8" s="17"/>
      <c r="U8" s="17"/>
      <c r="V8" s="11">
        <f t="shared" si="0"/>
        <v>962531</v>
      </c>
      <c r="W8" s="17"/>
      <c r="X8" s="9" t="s">
        <v>921</v>
      </c>
    </row>
    <row r="9" spans="1:24" ht="25.5" x14ac:dyDescent="0.25">
      <c r="A9" s="7" t="s">
        <v>16</v>
      </c>
      <c r="B9" s="8">
        <v>8470120</v>
      </c>
      <c r="C9" s="9" t="s">
        <v>28</v>
      </c>
      <c r="D9" s="10">
        <v>420120</v>
      </c>
      <c r="E9" s="9" t="s">
        <v>29</v>
      </c>
      <c r="F9" s="9" t="s">
        <v>30</v>
      </c>
      <c r="G9" s="12">
        <v>550028</v>
      </c>
      <c r="H9" s="18">
        <v>425925.92</v>
      </c>
      <c r="I9" s="19">
        <v>-242128.46</v>
      </c>
      <c r="J9" s="12">
        <v>58331</v>
      </c>
      <c r="K9" s="16">
        <v>307899.53999999998</v>
      </c>
      <c r="L9" s="15"/>
      <c r="M9" s="14"/>
      <c r="N9" s="17"/>
      <c r="O9" s="17"/>
      <c r="P9" s="17"/>
      <c r="Q9" s="17"/>
      <c r="R9" s="17"/>
      <c r="S9" s="17"/>
      <c r="T9" s="17"/>
      <c r="U9" s="17"/>
      <c r="V9" s="11">
        <f t="shared" si="0"/>
        <v>307899.53999999998</v>
      </c>
      <c r="W9" s="17"/>
      <c r="X9" s="9" t="s">
        <v>921</v>
      </c>
    </row>
    <row r="10" spans="1:24" ht="25.5" x14ac:dyDescent="0.25">
      <c r="A10" s="7" t="s">
        <v>16</v>
      </c>
      <c r="B10" s="8">
        <v>8470120</v>
      </c>
      <c r="C10" s="9" t="s">
        <v>28</v>
      </c>
      <c r="D10" s="10">
        <v>425900</v>
      </c>
      <c r="E10" s="9" t="s">
        <v>24</v>
      </c>
      <c r="F10" s="9" t="s">
        <v>31</v>
      </c>
      <c r="G10" s="12">
        <v>20000</v>
      </c>
      <c r="H10" s="13"/>
      <c r="I10" s="14"/>
      <c r="J10" s="15"/>
      <c r="K10" s="16">
        <v>20000</v>
      </c>
      <c r="L10" s="15"/>
      <c r="M10" s="14"/>
      <c r="N10" s="17"/>
      <c r="O10" s="17"/>
      <c r="P10" s="17"/>
      <c r="Q10" s="17"/>
      <c r="R10" s="17"/>
      <c r="S10" s="17"/>
      <c r="T10" s="17"/>
      <c r="U10" s="17"/>
      <c r="V10" s="11">
        <f t="shared" si="0"/>
        <v>20000</v>
      </c>
      <c r="W10" s="17"/>
      <c r="X10" s="9" t="s">
        <v>921</v>
      </c>
    </row>
    <row r="11" spans="1:24" ht="25.5" x14ac:dyDescent="0.25">
      <c r="A11" s="7" t="s">
        <v>16</v>
      </c>
      <c r="B11" s="8">
        <v>8470120</v>
      </c>
      <c r="C11" s="9" t="s">
        <v>28</v>
      </c>
      <c r="D11" s="10">
        <v>428090</v>
      </c>
      <c r="E11" s="9" t="s">
        <v>26</v>
      </c>
      <c r="F11" s="9" t="s">
        <v>32</v>
      </c>
      <c r="G11" s="12">
        <v>100000</v>
      </c>
      <c r="H11" s="13"/>
      <c r="I11" s="14"/>
      <c r="J11" s="15"/>
      <c r="K11" s="16">
        <v>100000</v>
      </c>
      <c r="L11" s="15"/>
      <c r="M11" s="14"/>
      <c r="N11" s="17"/>
      <c r="O11" s="17"/>
      <c r="P11" s="17"/>
      <c r="Q11" s="17"/>
      <c r="R11" s="17"/>
      <c r="S11" s="17"/>
      <c r="T11" s="17"/>
      <c r="U11" s="17"/>
      <c r="V11" s="11">
        <f t="shared" si="0"/>
        <v>100000</v>
      </c>
      <c r="W11" s="17"/>
      <c r="X11" s="9" t="s">
        <v>921</v>
      </c>
    </row>
    <row r="12" spans="1:24" ht="25.5" x14ac:dyDescent="0.25">
      <c r="A12" s="7" t="s">
        <v>16</v>
      </c>
      <c r="B12" s="8">
        <v>8470121</v>
      </c>
      <c r="C12" s="9" t="s">
        <v>33</v>
      </c>
      <c r="D12" s="10">
        <v>421000</v>
      </c>
      <c r="E12" s="9" t="s">
        <v>34</v>
      </c>
      <c r="F12" s="9" t="s">
        <v>35</v>
      </c>
      <c r="G12" s="12">
        <v>650000</v>
      </c>
      <c r="H12" s="13"/>
      <c r="I12" s="14"/>
      <c r="J12" s="15"/>
      <c r="K12" s="16">
        <v>650000</v>
      </c>
      <c r="L12" s="15"/>
      <c r="M12" s="14"/>
      <c r="N12" s="17"/>
      <c r="O12" s="17"/>
      <c r="P12" s="17"/>
      <c r="Q12" s="17"/>
      <c r="R12" s="17"/>
      <c r="S12" s="17"/>
      <c r="T12" s="17"/>
      <c r="U12" s="17"/>
      <c r="V12" s="11">
        <f t="shared" si="0"/>
        <v>650000</v>
      </c>
      <c r="W12" s="17"/>
      <c r="X12" s="9" t="s">
        <v>921</v>
      </c>
    </row>
    <row r="13" spans="1:24" ht="25.5" x14ac:dyDescent="0.25">
      <c r="A13" s="7" t="s">
        <v>16</v>
      </c>
      <c r="B13" s="8">
        <v>8470121</v>
      </c>
      <c r="C13" s="9" t="s">
        <v>33</v>
      </c>
      <c r="D13" s="10">
        <v>421700</v>
      </c>
      <c r="E13" s="9" t="s">
        <v>36</v>
      </c>
      <c r="F13" s="9" t="s">
        <v>37</v>
      </c>
      <c r="G13" s="12">
        <v>0</v>
      </c>
      <c r="H13" s="13"/>
      <c r="I13" s="14"/>
      <c r="J13" s="15"/>
      <c r="K13" s="16">
        <v>0</v>
      </c>
      <c r="L13" s="15"/>
      <c r="M13" s="14"/>
      <c r="N13" s="17"/>
      <c r="O13" s="17"/>
      <c r="P13" s="17"/>
      <c r="Q13" s="17"/>
      <c r="R13" s="17"/>
      <c r="S13" s="17"/>
      <c r="T13" s="17"/>
      <c r="U13" s="17"/>
      <c r="V13" s="11">
        <f t="shared" si="0"/>
        <v>0</v>
      </c>
      <c r="W13" s="17"/>
      <c r="X13" s="9" t="s">
        <v>921</v>
      </c>
    </row>
    <row r="14" spans="1:24" ht="25.5" x14ac:dyDescent="0.25">
      <c r="A14" s="7" t="s">
        <v>16</v>
      </c>
      <c r="B14" s="8">
        <v>8470121</v>
      </c>
      <c r="C14" s="9" t="s">
        <v>33</v>
      </c>
      <c r="D14" s="10">
        <v>425900</v>
      </c>
      <c r="E14" s="9" t="s">
        <v>24</v>
      </c>
      <c r="F14" s="9" t="s">
        <v>38</v>
      </c>
      <c r="G14" s="12">
        <v>32000</v>
      </c>
      <c r="H14" s="13"/>
      <c r="I14" s="14"/>
      <c r="J14" s="15"/>
      <c r="K14" s="16">
        <v>32000</v>
      </c>
      <c r="L14" s="15"/>
      <c r="M14" s="14"/>
      <c r="N14" s="17"/>
      <c r="O14" s="17"/>
      <c r="P14" s="17"/>
      <c r="Q14" s="17"/>
      <c r="R14" s="17"/>
      <c r="S14" s="17"/>
      <c r="T14" s="17"/>
      <c r="U14" s="17"/>
      <c r="V14" s="11">
        <f t="shared" si="0"/>
        <v>32000</v>
      </c>
      <c r="W14" s="17"/>
      <c r="X14" s="9" t="s">
        <v>921</v>
      </c>
    </row>
    <row r="15" spans="1:24" ht="25.5" x14ac:dyDescent="0.25">
      <c r="A15" s="7" t="s">
        <v>16</v>
      </c>
      <c r="B15" s="8">
        <v>8470121</v>
      </c>
      <c r="C15" s="9" t="s">
        <v>33</v>
      </c>
      <c r="D15" s="10">
        <v>426610</v>
      </c>
      <c r="E15" s="9" t="s">
        <v>39</v>
      </c>
      <c r="F15" s="9" t="s">
        <v>40</v>
      </c>
      <c r="G15" s="12">
        <v>173000</v>
      </c>
      <c r="H15" s="13"/>
      <c r="I15" s="14"/>
      <c r="J15" s="15"/>
      <c r="K15" s="16">
        <v>173000</v>
      </c>
      <c r="L15" s="15"/>
      <c r="M15" s="14"/>
      <c r="N15" s="17"/>
      <c r="O15" s="17"/>
      <c r="P15" s="17"/>
      <c r="Q15" s="17"/>
      <c r="R15" s="17"/>
      <c r="S15" s="17"/>
      <c r="T15" s="17"/>
      <c r="U15" s="17"/>
      <c r="V15" s="11">
        <f t="shared" si="0"/>
        <v>173000</v>
      </c>
      <c r="W15" s="17"/>
      <c r="X15" s="9" t="s">
        <v>921</v>
      </c>
    </row>
    <row r="16" spans="1:24" ht="25.5" x14ac:dyDescent="0.25">
      <c r="A16" s="7" t="s">
        <v>16</v>
      </c>
      <c r="B16" s="8">
        <v>8470121</v>
      </c>
      <c r="C16" s="9" t="s">
        <v>33</v>
      </c>
      <c r="D16" s="10">
        <v>428090</v>
      </c>
      <c r="E16" s="9" t="s">
        <v>26</v>
      </c>
      <c r="F16" s="9" t="s">
        <v>41</v>
      </c>
      <c r="G16" s="12">
        <v>100000</v>
      </c>
      <c r="H16" s="13"/>
      <c r="I16" s="14"/>
      <c r="J16" s="15"/>
      <c r="K16" s="16">
        <v>100000</v>
      </c>
      <c r="L16" s="15"/>
      <c r="M16" s="14"/>
      <c r="N16" s="17"/>
      <c r="O16" s="17"/>
      <c r="P16" s="17"/>
      <c r="Q16" s="17"/>
      <c r="R16" s="17"/>
      <c r="S16" s="17"/>
      <c r="T16" s="17"/>
      <c r="U16" s="17"/>
      <c r="V16" s="11">
        <f t="shared" si="0"/>
        <v>100000</v>
      </c>
      <c r="W16" s="17"/>
      <c r="X16" s="9" t="s">
        <v>921</v>
      </c>
    </row>
    <row r="17" spans="1:24" ht="25.5" x14ac:dyDescent="0.25">
      <c r="A17" s="7" t="s">
        <v>16</v>
      </c>
      <c r="B17" s="8">
        <v>8470130</v>
      </c>
      <c r="C17" s="9" t="s">
        <v>42</v>
      </c>
      <c r="D17" s="10">
        <v>421000</v>
      </c>
      <c r="E17" s="9" t="s">
        <v>34</v>
      </c>
      <c r="F17" s="9" t="s">
        <v>43</v>
      </c>
      <c r="G17" s="12">
        <v>202500</v>
      </c>
      <c r="H17" s="13"/>
      <c r="I17" s="14"/>
      <c r="J17" s="15"/>
      <c r="K17" s="16">
        <v>202500</v>
      </c>
      <c r="L17" s="15"/>
      <c r="M17" s="14"/>
      <c r="N17" s="17"/>
      <c r="O17" s="17"/>
      <c r="P17" s="17"/>
      <c r="Q17" s="17"/>
      <c r="R17" s="17"/>
      <c r="S17" s="17"/>
      <c r="T17" s="17"/>
      <c r="U17" s="17"/>
      <c r="V17" s="11">
        <f t="shared" si="0"/>
        <v>202500</v>
      </c>
      <c r="W17" s="17"/>
      <c r="X17" s="9" t="s">
        <v>921</v>
      </c>
    </row>
    <row r="18" spans="1:24" ht="25.5" x14ac:dyDescent="0.25">
      <c r="A18" s="7" t="s">
        <v>16</v>
      </c>
      <c r="B18" s="8">
        <v>8470130</v>
      </c>
      <c r="C18" s="9" t="s">
        <v>42</v>
      </c>
      <c r="D18" s="10">
        <v>426610</v>
      </c>
      <c r="E18" s="9" t="s">
        <v>39</v>
      </c>
      <c r="F18" s="9" t="s">
        <v>44</v>
      </c>
      <c r="G18" s="12">
        <v>647100</v>
      </c>
      <c r="H18" s="13"/>
      <c r="I18" s="14"/>
      <c r="J18" s="15"/>
      <c r="K18" s="16">
        <v>647100</v>
      </c>
      <c r="L18" s="15"/>
      <c r="M18" s="14"/>
      <c r="N18" s="17"/>
      <c r="O18" s="17"/>
      <c r="P18" s="17"/>
      <c r="Q18" s="17"/>
      <c r="R18" s="17"/>
      <c r="S18" s="17"/>
      <c r="T18" s="17"/>
      <c r="U18" s="17"/>
      <c r="V18" s="11">
        <f t="shared" si="0"/>
        <v>647100</v>
      </c>
      <c r="W18" s="17"/>
      <c r="X18" s="9" t="s">
        <v>921</v>
      </c>
    </row>
    <row r="19" spans="1:24" ht="25.5" x14ac:dyDescent="0.25">
      <c r="A19" s="7" t="s">
        <v>16</v>
      </c>
      <c r="B19" s="8">
        <v>8470130</v>
      </c>
      <c r="C19" s="9" t="s">
        <v>42</v>
      </c>
      <c r="D19" s="10">
        <v>427710</v>
      </c>
      <c r="E19" s="9" t="s">
        <v>45</v>
      </c>
      <c r="F19" s="9" t="s">
        <v>46</v>
      </c>
      <c r="G19" s="12">
        <v>114759</v>
      </c>
      <c r="H19" s="13"/>
      <c r="I19" s="14"/>
      <c r="J19" s="15"/>
      <c r="K19" s="16">
        <v>114759</v>
      </c>
      <c r="L19" s="15"/>
      <c r="M19" s="14"/>
      <c r="N19" s="17"/>
      <c r="O19" s="17"/>
      <c r="P19" s="17"/>
      <c r="Q19" s="17"/>
      <c r="R19" s="17"/>
      <c r="S19" s="17"/>
      <c r="T19" s="17"/>
      <c r="U19" s="17"/>
      <c r="V19" s="11">
        <f t="shared" si="0"/>
        <v>114759</v>
      </c>
      <c r="W19" s="17"/>
      <c r="X19" s="9" t="s">
        <v>921</v>
      </c>
    </row>
    <row r="20" spans="1:24" ht="25.5" x14ac:dyDescent="0.25">
      <c r="A20" s="7" t="s">
        <v>16</v>
      </c>
      <c r="B20" s="8">
        <v>8470130</v>
      </c>
      <c r="C20" s="9" t="s">
        <v>42</v>
      </c>
      <c r="D20" s="10">
        <v>428090</v>
      </c>
      <c r="E20" s="9" t="s">
        <v>26</v>
      </c>
      <c r="F20" s="9" t="s">
        <v>47</v>
      </c>
      <c r="G20" s="12">
        <v>20000</v>
      </c>
      <c r="H20" s="13"/>
      <c r="I20" s="14"/>
      <c r="J20" s="15"/>
      <c r="K20" s="16">
        <v>20000</v>
      </c>
      <c r="L20" s="15"/>
      <c r="M20" s="14"/>
      <c r="N20" s="17"/>
      <c r="O20" s="17"/>
      <c r="P20" s="17"/>
      <c r="Q20" s="17"/>
      <c r="R20" s="17"/>
      <c r="S20" s="17"/>
      <c r="T20" s="17"/>
      <c r="U20" s="17"/>
      <c r="V20" s="11">
        <f t="shared" si="0"/>
        <v>20000</v>
      </c>
      <c r="W20" s="17"/>
      <c r="X20" s="9" t="s">
        <v>921</v>
      </c>
    </row>
    <row r="21" spans="1:24" ht="25.5" x14ac:dyDescent="0.25">
      <c r="A21" s="7" t="s">
        <v>16</v>
      </c>
      <c r="B21" s="8">
        <v>8470140</v>
      </c>
      <c r="C21" s="9" t="s">
        <v>48</v>
      </c>
      <c r="D21" s="10">
        <v>425100</v>
      </c>
      <c r="E21" s="9" t="s">
        <v>49</v>
      </c>
      <c r="F21" s="9" t="s">
        <v>50</v>
      </c>
      <c r="G21" s="12">
        <v>5978531</v>
      </c>
      <c r="H21" s="18">
        <v>710565.94</v>
      </c>
      <c r="I21" s="19">
        <v>2806066.37</v>
      </c>
      <c r="J21" s="12">
        <v>547384.5</v>
      </c>
      <c r="K21" s="16">
        <v>1914514.19</v>
      </c>
      <c r="L21" s="202">
        <v>460191</v>
      </c>
      <c r="M21" s="203">
        <v>115050</v>
      </c>
      <c r="N21" s="203">
        <v>115050</v>
      </c>
      <c r="O21" s="203">
        <v>115050</v>
      </c>
      <c r="P21" s="203">
        <v>115050</v>
      </c>
      <c r="Q21" s="203">
        <v>248530</v>
      </c>
      <c r="R21" s="203">
        <v>248530</v>
      </c>
      <c r="S21" s="203">
        <v>248530</v>
      </c>
      <c r="T21" s="203">
        <v>248530</v>
      </c>
      <c r="U21" s="203"/>
      <c r="V21" s="11">
        <f t="shared" si="0"/>
        <v>3.1899999999441206</v>
      </c>
      <c r="W21" s="17"/>
      <c r="X21" s="9" t="s">
        <v>922</v>
      </c>
    </row>
    <row r="22" spans="1:24" ht="25.5" x14ac:dyDescent="0.25">
      <c r="A22" s="7" t="s">
        <v>16</v>
      </c>
      <c r="B22" s="8">
        <v>8470140</v>
      </c>
      <c r="C22" s="9" t="s">
        <v>48</v>
      </c>
      <c r="D22" s="10">
        <v>425510</v>
      </c>
      <c r="E22" s="9" t="s">
        <v>20</v>
      </c>
      <c r="F22" s="9" t="s">
        <v>51</v>
      </c>
      <c r="G22" s="12">
        <v>7769802</v>
      </c>
      <c r="H22" s="18">
        <v>2654531.7599999998</v>
      </c>
      <c r="I22" s="19">
        <v>1647405.9</v>
      </c>
      <c r="J22" s="12">
        <v>785041</v>
      </c>
      <c r="K22" s="16">
        <v>2682823.34</v>
      </c>
      <c r="L22" s="199"/>
      <c r="M22" s="200"/>
      <c r="N22" s="201">
        <v>2500000</v>
      </c>
      <c r="O22" s="201"/>
      <c r="P22" s="201">
        <v>46323</v>
      </c>
      <c r="Q22" s="201">
        <v>33000</v>
      </c>
      <c r="R22" s="201">
        <v>36000</v>
      </c>
      <c r="S22" s="201">
        <v>31000</v>
      </c>
      <c r="T22" s="201">
        <v>36500</v>
      </c>
      <c r="U22" s="201"/>
      <c r="V22" s="11">
        <f t="shared" si="0"/>
        <v>0.33999999985098839</v>
      </c>
      <c r="W22" s="17"/>
      <c r="X22" s="9" t="s">
        <v>922</v>
      </c>
    </row>
    <row r="23" spans="1:24" ht="25.5" x14ac:dyDescent="0.25">
      <c r="A23" s="7" t="s">
        <v>16</v>
      </c>
      <c r="B23" s="8">
        <v>8470140</v>
      </c>
      <c r="C23" s="9" t="s">
        <v>48</v>
      </c>
      <c r="D23" s="10">
        <v>425550</v>
      </c>
      <c r="E23" s="9" t="s">
        <v>22</v>
      </c>
      <c r="F23" s="9" t="s">
        <v>52</v>
      </c>
      <c r="G23" s="12">
        <v>64327</v>
      </c>
      <c r="H23" s="18">
        <v>-5201.42</v>
      </c>
      <c r="I23" s="14"/>
      <c r="J23" s="15"/>
      <c r="K23" s="16">
        <v>69528.42</v>
      </c>
      <c r="L23" s="202"/>
      <c r="M23" s="203"/>
      <c r="N23" s="204"/>
      <c r="O23" s="204"/>
      <c r="P23" s="204"/>
      <c r="Q23" s="204">
        <v>10528</v>
      </c>
      <c r="R23" s="204">
        <v>18000</v>
      </c>
      <c r="S23" s="204">
        <v>20000</v>
      </c>
      <c r="T23" s="204">
        <v>21000</v>
      </c>
      <c r="U23" s="204"/>
      <c r="V23" s="11">
        <f t="shared" si="0"/>
        <v>0.41999999999825377</v>
      </c>
      <c r="W23" s="17"/>
      <c r="X23" s="9" t="s">
        <v>922</v>
      </c>
    </row>
    <row r="24" spans="1:24" ht="25.5" x14ac:dyDescent="0.25">
      <c r="A24" s="7" t="s">
        <v>16</v>
      </c>
      <c r="B24" s="8">
        <v>8470140</v>
      </c>
      <c r="C24" s="9" t="s">
        <v>48</v>
      </c>
      <c r="D24" s="10">
        <v>425763</v>
      </c>
      <c r="E24" s="9" t="s">
        <v>53</v>
      </c>
      <c r="F24" s="9" t="s">
        <v>54</v>
      </c>
      <c r="G24" s="12">
        <v>154663</v>
      </c>
      <c r="H24" s="13"/>
      <c r="I24" s="14"/>
      <c r="J24" s="15"/>
      <c r="K24" s="16">
        <v>154663</v>
      </c>
      <c r="L24" s="199"/>
      <c r="M24" s="200"/>
      <c r="N24" s="201"/>
      <c r="O24" s="201"/>
      <c r="P24" s="201"/>
      <c r="Q24" s="201"/>
      <c r="R24" s="201">
        <v>154600</v>
      </c>
      <c r="S24" s="201"/>
      <c r="T24" s="201"/>
      <c r="U24" s="201"/>
      <c r="V24" s="11">
        <f t="shared" si="0"/>
        <v>63</v>
      </c>
      <c r="W24" s="17"/>
      <c r="X24" s="9" t="s">
        <v>922</v>
      </c>
    </row>
    <row r="25" spans="1:24" ht="25.5" x14ac:dyDescent="0.25">
      <c r="A25" s="7" t="s">
        <v>16</v>
      </c>
      <c r="B25" s="8">
        <v>8470140</v>
      </c>
      <c r="C25" s="9" t="s">
        <v>48</v>
      </c>
      <c r="D25" s="10">
        <v>427100</v>
      </c>
      <c r="E25" s="9" t="s">
        <v>55</v>
      </c>
      <c r="F25" s="9" t="s">
        <v>56</v>
      </c>
      <c r="G25" s="12">
        <v>1578026</v>
      </c>
      <c r="H25" s="18">
        <v>712427.38</v>
      </c>
      <c r="I25" s="19">
        <v>-432001.91</v>
      </c>
      <c r="J25" s="12">
        <v>151576.44</v>
      </c>
      <c r="K25" s="16">
        <v>1146024.0900000001</v>
      </c>
      <c r="L25" s="202">
        <v>74000</v>
      </c>
      <c r="M25" s="203">
        <v>19000</v>
      </c>
      <c r="N25" s="203">
        <v>19000</v>
      </c>
      <c r="O25" s="203">
        <v>19000</v>
      </c>
      <c r="P25" s="203">
        <v>19000</v>
      </c>
      <c r="Q25" s="203">
        <v>249000</v>
      </c>
      <c r="R25" s="203">
        <v>249000</v>
      </c>
      <c r="S25" s="203">
        <v>249000</v>
      </c>
      <c r="T25" s="203">
        <v>249000</v>
      </c>
      <c r="U25" s="203"/>
      <c r="V25" s="11">
        <f t="shared" si="0"/>
        <v>24.090000000083819</v>
      </c>
      <c r="W25" s="17"/>
      <c r="X25" s="9" t="s">
        <v>922</v>
      </c>
    </row>
    <row r="26" spans="1:24" ht="25.5" x14ac:dyDescent="0.25">
      <c r="A26" s="7" t="s">
        <v>16</v>
      </c>
      <c r="B26" s="8">
        <v>8470140</v>
      </c>
      <c r="C26" s="9" t="s">
        <v>48</v>
      </c>
      <c r="D26" s="10">
        <v>427200</v>
      </c>
      <c r="E26" s="9" t="s">
        <v>57</v>
      </c>
      <c r="F26" s="9" t="s">
        <v>58</v>
      </c>
      <c r="G26" s="12">
        <v>23653</v>
      </c>
      <c r="H26" s="13"/>
      <c r="I26" s="14"/>
      <c r="J26" s="15"/>
      <c r="K26" s="16">
        <v>23653</v>
      </c>
      <c r="L26" s="199"/>
      <c r="M26" s="200"/>
      <c r="N26" s="201"/>
      <c r="O26" s="201"/>
      <c r="P26" s="201"/>
      <c r="Q26" s="201"/>
      <c r="R26" s="201">
        <v>11000</v>
      </c>
      <c r="S26" s="201">
        <v>12500</v>
      </c>
      <c r="T26" s="201"/>
      <c r="U26" s="201"/>
      <c r="V26" s="11">
        <f t="shared" si="0"/>
        <v>153</v>
      </c>
      <c r="W26" s="17"/>
      <c r="X26" s="9" t="s">
        <v>922</v>
      </c>
    </row>
    <row r="27" spans="1:24" ht="25.5" x14ac:dyDescent="0.25">
      <c r="A27" s="7" t="s">
        <v>16</v>
      </c>
      <c r="B27" s="8">
        <v>8470140</v>
      </c>
      <c r="C27" s="9" t="s">
        <v>48</v>
      </c>
      <c r="D27" s="10">
        <v>428640</v>
      </c>
      <c r="E27" s="9" t="s">
        <v>59</v>
      </c>
      <c r="F27" s="9" t="s">
        <v>60</v>
      </c>
      <c r="G27" s="12">
        <v>45999</v>
      </c>
      <c r="H27" s="18">
        <v>2205</v>
      </c>
      <c r="I27" s="14"/>
      <c r="J27" s="15"/>
      <c r="K27" s="16">
        <v>43794</v>
      </c>
      <c r="L27" s="202"/>
      <c r="M27" s="203"/>
      <c r="N27" s="204"/>
      <c r="O27" s="204"/>
      <c r="P27" s="204"/>
      <c r="Q27" s="204">
        <v>43000</v>
      </c>
      <c r="R27" s="204">
        <v>4</v>
      </c>
      <c r="S27" s="204"/>
      <c r="T27" s="204"/>
      <c r="U27" s="204"/>
      <c r="V27" s="11">
        <f t="shared" si="0"/>
        <v>790</v>
      </c>
      <c r="W27" s="17"/>
      <c r="X27" s="9" t="s">
        <v>922</v>
      </c>
    </row>
    <row r="28" spans="1:24" ht="25.5" x14ac:dyDescent="0.25">
      <c r="A28" s="7" t="s">
        <v>16</v>
      </c>
      <c r="B28" s="8">
        <v>8470140</v>
      </c>
      <c r="C28" s="9" t="s">
        <v>48</v>
      </c>
      <c r="D28" s="10">
        <v>435519</v>
      </c>
      <c r="E28" s="9" t="s">
        <v>61</v>
      </c>
      <c r="F28" s="9" t="s">
        <v>62</v>
      </c>
      <c r="G28" s="12">
        <v>58125</v>
      </c>
      <c r="H28" s="13"/>
      <c r="I28" s="14"/>
      <c r="J28" s="15"/>
      <c r="K28" s="16">
        <v>58125</v>
      </c>
      <c r="L28" s="199"/>
      <c r="M28" s="200"/>
      <c r="N28" s="201"/>
      <c r="O28" s="201"/>
      <c r="P28" s="201">
        <v>18000</v>
      </c>
      <c r="Q28" s="201">
        <v>25000</v>
      </c>
      <c r="R28" s="201">
        <v>15000</v>
      </c>
      <c r="S28" s="201"/>
      <c r="T28" s="201"/>
      <c r="U28" s="201"/>
      <c r="V28" s="11">
        <f t="shared" si="0"/>
        <v>125</v>
      </c>
      <c r="W28" s="17"/>
      <c r="X28" s="9" t="s">
        <v>922</v>
      </c>
    </row>
    <row r="29" spans="1:24" ht="25.5" x14ac:dyDescent="0.25">
      <c r="A29" s="7" t="s">
        <v>16</v>
      </c>
      <c r="B29" s="8">
        <v>8470150</v>
      </c>
      <c r="C29" s="9" t="s">
        <v>63</v>
      </c>
      <c r="D29" s="10">
        <v>420900</v>
      </c>
      <c r="E29" s="9" t="s">
        <v>64</v>
      </c>
      <c r="F29" s="9" t="s">
        <v>65</v>
      </c>
      <c r="G29" s="12">
        <v>353692</v>
      </c>
      <c r="H29" s="18">
        <v>4145.71</v>
      </c>
      <c r="I29" s="19">
        <v>300000</v>
      </c>
      <c r="J29" s="15"/>
      <c r="K29" s="16">
        <v>49546.29</v>
      </c>
      <c r="L29" s="15"/>
      <c r="M29" s="14"/>
      <c r="N29" s="17"/>
      <c r="O29" s="17"/>
      <c r="P29" s="17"/>
      <c r="Q29" s="17"/>
      <c r="R29" s="17"/>
      <c r="S29" s="17"/>
      <c r="T29" s="17"/>
      <c r="U29" s="17"/>
      <c r="V29" s="11">
        <f t="shared" si="0"/>
        <v>49546.29</v>
      </c>
      <c r="W29" s="17"/>
      <c r="X29" s="9" t="s">
        <v>921</v>
      </c>
    </row>
    <row r="30" spans="1:24" ht="25.5" x14ac:dyDescent="0.25">
      <c r="A30" s="7" t="s">
        <v>16</v>
      </c>
      <c r="B30" s="8">
        <v>8470150</v>
      </c>
      <c r="C30" s="9" t="s">
        <v>63</v>
      </c>
      <c r="D30" s="10">
        <v>426610</v>
      </c>
      <c r="E30" s="9" t="s">
        <v>39</v>
      </c>
      <c r="F30" s="9" t="s">
        <v>66</v>
      </c>
      <c r="G30" s="12">
        <v>25000</v>
      </c>
      <c r="H30" s="18">
        <v>15000</v>
      </c>
      <c r="I30" s="14"/>
      <c r="J30" s="15"/>
      <c r="K30" s="16">
        <v>10000</v>
      </c>
      <c r="L30" s="15"/>
      <c r="M30" s="14"/>
      <c r="N30" s="17"/>
      <c r="O30" s="17"/>
      <c r="P30" s="17"/>
      <c r="Q30" s="17"/>
      <c r="R30" s="17"/>
      <c r="S30" s="17"/>
      <c r="T30" s="17"/>
      <c r="U30" s="17"/>
      <c r="V30" s="11">
        <f t="shared" si="0"/>
        <v>10000</v>
      </c>
      <c r="W30" s="17"/>
      <c r="X30" s="9" t="s">
        <v>921</v>
      </c>
    </row>
    <row r="31" spans="1:24" ht="25.5" x14ac:dyDescent="0.25">
      <c r="A31" s="7" t="s">
        <v>16</v>
      </c>
      <c r="B31" s="8">
        <v>8470160</v>
      </c>
      <c r="C31" s="9" t="s">
        <v>67</v>
      </c>
      <c r="D31" s="10">
        <v>420900</v>
      </c>
      <c r="E31" s="9" t="s">
        <v>64</v>
      </c>
      <c r="F31" s="9" t="s">
        <v>68</v>
      </c>
      <c r="G31" s="12">
        <v>0</v>
      </c>
      <c r="H31" s="13"/>
      <c r="I31" s="14"/>
      <c r="J31" s="15"/>
      <c r="K31" s="16">
        <v>0</v>
      </c>
      <c r="L31" s="165">
        <v>0</v>
      </c>
      <c r="M31" s="54">
        <v>0</v>
      </c>
      <c r="N31" s="57">
        <v>0</v>
      </c>
      <c r="O31" s="57">
        <v>0</v>
      </c>
      <c r="P31" s="57">
        <v>0</v>
      </c>
      <c r="Q31" s="57">
        <v>0</v>
      </c>
      <c r="R31" s="57">
        <v>0</v>
      </c>
      <c r="S31" s="57">
        <v>0</v>
      </c>
      <c r="T31" s="57">
        <v>0</v>
      </c>
      <c r="U31" s="57"/>
      <c r="V31" s="11">
        <f t="shared" si="0"/>
        <v>0</v>
      </c>
      <c r="W31" s="17"/>
      <c r="X31" s="9" t="s">
        <v>922</v>
      </c>
    </row>
    <row r="32" spans="1:24" ht="25.5" x14ac:dyDescent="0.25">
      <c r="A32" s="7" t="s">
        <v>16</v>
      </c>
      <c r="B32" s="8">
        <v>8470160</v>
      </c>
      <c r="C32" s="9" t="s">
        <v>67</v>
      </c>
      <c r="D32" s="10">
        <v>425550</v>
      </c>
      <c r="E32" s="9" t="s">
        <v>22</v>
      </c>
      <c r="F32" s="9" t="s">
        <v>69</v>
      </c>
      <c r="G32" s="12">
        <v>37000</v>
      </c>
      <c r="H32" s="13"/>
      <c r="I32" s="14"/>
      <c r="J32" s="15"/>
      <c r="K32" s="16">
        <v>37000</v>
      </c>
      <c r="L32" s="55">
        <v>0</v>
      </c>
      <c r="M32" s="54">
        <v>0</v>
      </c>
      <c r="N32" s="57">
        <v>10000</v>
      </c>
      <c r="O32" s="57"/>
      <c r="P32" s="57">
        <v>15000</v>
      </c>
      <c r="Q32" s="57">
        <v>12000</v>
      </c>
      <c r="R32" s="57">
        <v>0</v>
      </c>
      <c r="S32" s="57">
        <v>0</v>
      </c>
      <c r="T32" s="57">
        <v>0</v>
      </c>
      <c r="U32" s="57"/>
      <c r="V32" s="11">
        <f t="shared" si="0"/>
        <v>0</v>
      </c>
      <c r="W32" s="17"/>
      <c r="X32" s="9" t="s">
        <v>922</v>
      </c>
    </row>
    <row r="33" spans="1:24" ht="38.25" x14ac:dyDescent="0.25">
      <c r="A33" s="7" t="s">
        <v>16</v>
      </c>
      <c r="B33" s="8">
        <v>8470160</v>
      </c>
      <c r="C33" s="9" t="s">
        <v>67</v>
      </c>
      <c r="D33" s="10">
        <v>425900</v>
      </c>
      <c r="E33" s="9" t="s">
        <v>24</v>
      </c>
      <c r="F33" s="9" t="s">
        <v>70</v>
      </c>
      <c r="G33" s="12">
        <v>195000</v>
      </c>
      <c r="H33" s="18">
        <v>551.25</v>
      </c>
      <c r="I33" s="14"/>
      <c r="J33" s="15"/>
      <c r="K33" s="16">
        <v>194448.75</v>
      </c>
      <c r="L33" s="55">
        <v>30000</v>
      </c>
      <c r="M33" s="54"/>
      <c r="N33" s="57">
        <v>30000</v>
      </c>
      <c r="O33" s="57"/>
      <c r="P33" s="57"/>
      <c r="Q33" s="57"/>
      <c r="R33" s="57"/>
      <c r="S33" s="57">
        <v>134449</v>
      </c>
      <c r="T33" s="57"/>
      <c r="U33" s="17" t="s">
        <v>806</v>
      </c>
      <c r="V33" s="11">
        <f t="shared" si="0"/>
        <v>-0.25</v>
      </c>
      <c r="W33" s="17"/>
      <c r="X33" s="9" t="s">
        <v>922</v>
      </c>
    </row>
    <row r="34" spans="1:24" ht="25.5" x14ac:dyDescent="0.25">
      <c r="A34" s="7" t="s">
        <v>16</v>
      </c>
      <c r="B34" s="8">
        <v>8470160</v>
      </c>
      <c r="C34" s="9" t="s">
        <v>67</v>
      </c>
      <c r="D34" s="10">
        <v>426610</v>
      </c>
      <c r="E34" s="9" t="s">
        <v>39</v>
      </c>
      <c r="F34" s="9" t="s">
        <v>71</v>
      </c>
      <c r="G34" s="12">
        <v>1</v>
      </c>
      <c r="H34" s="13"/>
      <c r="I34" s="19">
        <v>1</v>
      </c>
      <c r="J34" s="15"/>
      <c r="K34" s="16">
        <v>0</v>
      </c>
      <c r="L34" s="55">
        <v>0</v>
      </c>
      <c r="M34" s="54">
        <v>0</v>
      </c>
      <c r="N34" s="57">
        <v>0</v>
      </c>
      <c r="O34" s="57">
        <v>0</v>
      </c>
      <c r="P34" s="57">
        <v>0</v>
      </c>
      <c r="Q34" s="57">
        <v>0</v>
      </c>
      <c r="R34" s="57">
        <v>0</v>
      </c>
      <c r="S34" s="57">
        <v>0</v>
      </c>
      <c r="T34" s="57">
        <v>0</v>
      </c>
      <c r="U34" s="57">
        <v>0</v>
      </c>
      <c r="V34" s="11">
        <f t="shared" si="0"/>
        <v>0</v>
      </c>
      <c r="W34" s="17"/>
      <c r="X34" s="9" t="s">
        <v>922</v>
      </c>
    </row>
    <row r="35" spans="1:24" ht="25.5" x14ac:dyDescent="0.25">
      <c r="A35" s="7" t="s">
        <v>16</v>
      </c>
      <c r="B35" s="8">
        <v>8470160</v>
      </c>
      <c r="C35" s="9" t="s">
        <v>67</v>
      </c>
      <c r="D35" s="10">
        <v>428090</v>
      </c>
      <c r="E35" s="9" t="s">
        <v>26</v>
      </c>
      <c r="F35" s="9" t="s">
        <v>72</v>
      </c>
      <c r="G35" s="12">
        <v>100000</v>
      </c>
      <c r="H35" s="18">
        <v>1650</v>
      </c>
      <c r="I35" s="14"/>
      <c r="J35" s="15"/>
      <c r="K35" s="16">
        <v>98350</v>
      </c>
      <c r="L35" s="55"/>
      <c r="M35" s="54">
        <v>15000</v>
      </c>
      <c r="N35" s="57">
        <v>15000</v>
      </c>
      <c r="O35" s="57"/>
      <c r="P35" s="57">
        <v>10350</v>
      </c>
      <c r="Q35" s="57">
        <v>28000</v>
      </c>
      <c r="R35" s="57">
        <v>15000</v>
      </c>
      <c r="S35" s="57"/>
      <c r="T35" s="57">
        <v>15000</v>
      </c>
      <c r="U35" s="17" t="s">
        <v>807</v>
      </c>
      <c r="V35" s="11">
        <f t="shared" si="0"/>
        <v>0</v>
      </c>
      <c r="W35" s="17"/>
      <c r="X35" s="9" t="s">
        <v>922</v>
      </c>
    </row>
    <row r="36" spans="1:24" ht="25.5" x14ac:dyDescent="0.25">
      <c r="A36" s="7" t="s">
        <v>16</v>
      </c>
      <c r="B36" s="8">
        <v>8470160</v>
      </c>
      <c r="C36" s="9" t="s">
        <v>67</v>
      </c>
      <c r="D36" s="10">
        <v>428640</v>
      </c>
      <c r="E36" s="9" t="s">
        <v>59</v>
      </c>
      <c r="F36" s="9" t="s">
        <v>73</v>
      </c>
      <c r="G36" s="12">
        <v>20000</v>
      </c>
      <c r="H36" s="13"/>
      <c r="I36" s="14"/>
      <c r="J36" s="15"/>
      <c r="K36" s="16">
        <v>20000</v>
      </c>
      <c r="L36" s="55"/>
      <c r="M36" s="54"/>
      <c r="N36" s="57"/>
      <c r="O36" s="57"/>
      <c r="P36" s="57"/>
      <c r="Q36" s="57"/>
      <c r="R36" s="57">
        <v>20000</v>
      </c>
      <c r="S36" s="57"/>
      <c r="T36" s="57"/>
      <c r="U36" s="57" t="s">
        <v>808</v>
      </c>
      <c r="V36" s="11">
        <f t="shared" si="0"/>
        <v>0</v>
      </c>
      <c r="W36" s="17"/>
      <c r="X36" s="9" t="s">
        <v>922</v>
      </c>
    </row>
    <row r="37" spans="1:24" ht="25.5" x14ac:dyDescent="0.25">
      <c r="A37" s="7" t="s">
        <v>16</v>
      </c>
      <c r="B37" s="8">
        <v>8470160</v>
      </c>
      <c r="C37" s="9" t="s">
        <v>67</v>
      </c>
      <c r="D37" s="10">
        <v>435523</v>
      </c>
      <c r="E37" s="9" t="s">
        <v>74</v>
      </c>
      <c r="F37" s="9" t="s">
        <v>75</v>
      </c>
      <c r="G37" s="12">
        <v>650000</v>
      </c>
      <c r="H37" s="13"/>
      <c r="I37" s="14"/>
      <c r="J37" s="15"/>
      <c r="K37" s="16">
        <v>650000</v>
      </c>
      <c r="L37" s="55"/>
      <c r="M37" s="54"/>
      <c r="N37" s="57"/>
      <c r="O37" s="57"/>
      <c r="P37" s="57"/>
      <c r="Q37" s="57"/>
      <c r="R37" s="57"/>
      <c r="S37" s="57"/>
      <c r="T37" s="57"/>
      <c r="U37" s="57"/>
      <c r="V37" s="11">
        <f t="shared" si="0"/>
        <v>650000</v>
      </c>
      <c r="W37" s="17"/>
      <c r="X37" s="9" t="s">
        <v>922</v>
      </c>
    </row>
    <row r="38" spans="1:24" ht="25.5" x14ac:dyDescent="0.25">
      <c r="A38" s="7" t="s">
        <v>16</v>
      </c>
      <c r="B38" s="8">
        <v>8470210</v>
      </c>
      <c r="C38" s="9" t="s">
        <v>76</v>
      </c>
      <c r="D38" s="10">
        <v>420811</v>
      </c>
      <c r="E38" s="9" t="s">
        <v>77</v>
      </c>
      <c r="F38" s="9" t="s">
        <v>78</v>
      </c>
      <c r="G38" s="12">
        <v>10905900</v>
      </c>
      <c r="H38" s="13"/>
      <c r="I38" s="14"/>
      <c r="J38" s="15"/>
      <c r="K38" s="16">
        <v>10905900</v>
      </c>
      <c r="L38" s="15"/>
      <c r="M38" s="14"/>
      <c r="N38" s="17"/>
      <c r="O38" s="17"/>
      <c r="P38" s="17"/>
      <c r="Q38" s="17"/>
      <c r="R38" s="17"/>
      <c r="S38" s="17"/>
      <c r="T38" s="17"/>
      <c r="U38" s="17"/>
      <c r="V38" s="11">
        <f t="shared" si="0"/>
        <v>10905900</v>
      </c>
      <c r="W38" s="17"/>
      <c r="X38" s="9" t="s">
        <v>921</v>
      </c>
    </row>
    <row r="39" spans="1:24" ht="25.5" x14ac:dyDescent="0.25">
      <c r="A39" s="7" t="s">
        <v>16</v>
      </c>
      <c r="B39" s="8">
        <v>8470210</v>
      </c>
      <c r="C39" s="9" t="s">
        <v>76</v>
      </c>
      <c r="D39" s="10">
        <v>420900</v>
      </c>
      <c r="E39" s="9" t="s">
        <v>64</v>
      </c>
      <c r="F39" s="9" t="s">
        <v>79</v>
      </c>
      <c r="G39" s="12">
        <v>1000000</v>
      </c>
      <c r="H39" s="13"/>
      <c r="I39" s="14"/>
      <c r="J39" s="15"/>
      <c r="K39" s="16">
        <v>1000000</v>
      </c>
      <c r="L39" s="15"/>
      <c r="M39" s="14"/>
      <c r="N39" s="17"/>
      <c r="O39" s="17"/>
      <c r="P39" s="17"/>
      <c r="Q39" s="17"/>
      <c r="R39" s="17"/>
      <c r="S39" s="17"/>
      <c r="T39" s="17"/>
      <c r="U39" s="17"/>
      <c r="V39" s="11">
        <f t="shared" si="0"/>
        <v>1000000</v>
      </c>
      <c r="W39" s="17"/>
      <c r="X39" s="9" t="s">
        <v>921</v>
      </c>
    </row>
    <row r="40" spans="1:24" ht="25.5" x14ac:dyDescent="0.25">
      <c r="A40" s="7" t="s">
        <v>16</v>
      </c>
      <c r="B40" s="8">
        <v>8470210</v>
      </c>
      <c r="C40" s="9" t="s">
        <v>76</v>
      </c>
      <c r="D40" s="10">
        <v>425747</v>
      </c>
      <c r="E40" s="9" t="s">
        <v>80</v>
      </c>
      <c r="F40" s="9" t="s">
        <v>81</v>
      </c>
      <c r="G40" s="12">
        <v>12350000</v>
      </c>
      <c r="H40" s="13"/>
      <c r="I40" s="14"/>
      <c r="J40" s="15"/>
      <c r="K40" s="16">
        <v>12350000</v>
      </c>
      <c r="L40" s="15"/>
      <c r="M40" s="14"/>
      <c r="N40" s="17"/>
      <c r="O40" s="17"/>
      <c r="P40" s="17"/>
      <c r="Q40" s="17"/>
      <c r="R40" s="17"/>
      <c r="S40" s="17"/>
      <c r="T40" s="17"/>
      <c r="U40" s="17"/>
      <c r="V40" s="11">
        <f t="shared" si="0"/>
        <v>12350000</v>
      </c>
      <c r="W40" s="17"/>
      <c r="X40" s="9" t="s">
        <v>921</v>
      </c>
    </row>
    <row r="41" spans="1:24" ht="25.5" x14ac:dyDescent="0.25">
      <c r="A41" s="7" t="s">
        <v>16</v>
      </c>
      <c r="B41" s="8">
        <v>8470210</v>
      </c>
      <c r="C41" s="9" t="s">
        <v>76</v>
      </c>
      <c r="D41" s="10">
        <v>425749</v>
      </c>
      <c r="E41" s="9" t="s">
        <v>82</v>
      </c>
      <c r="F41" s="9" t="s">
        <v>83</v>
      </c>
      <c r="G41" s="12">
        <v>18990890</v>
      </c>
      <c r="H41" s="13"/>
      <c r="I41" s="14"/>
      <c r="J41" s="15"/>
      <c r="K41" s="16">
        <v>18990890</v>
      </c>
      <c r="L41" s="15"/>
      <c r="M41" s="14"/>
      <c r="N41" s="17"/>
      <c r="O41" s="17"/>
      <c r="P41" s="17"/>
      <c r="Q41" s="17"/>
      <c r="R41" s="17"/>
      <c r="S41" s="17"/>
      <c r="T41" s="17"/>
      <c r="U41" s="17"/>
      <c r="V41" s="11">
        <f t="shared" si="0"/>
        <v>18990890</v>
      </c>
      <c r="W41" s="17"/>
      <c r="X41" s="9" t="s">
        <v>921</v>
      </c>
    </row>
    <row r="42" spans="1:24" ht="25.5" x14ac:dyDescent="0.25">
      <c r="A42" s="7" t="s">
        <v>16</v>
      </c>
      <c r="B42" s="8">
        <v>8470210</v>
      </c>
      <c r="C42" s="9" t="s">
        <v>76</v>
      </c>
      <c r="D42" s="10">
        <v>435523</v>
      </c>
      <c r="E42" s="9" t="s">
        <v>74</v>
      </c>
      <c r="F42" s="9" t="s">
        <v>84</v>
      </c>
      <c r="G42" s="12">
        <v>9000000</v>
      </c>
      <c r="H42" s="13"/>
      <c r="I42" s="14"/>
      <c r="J42" s="15"/>
      <c r="K42" s="16">
        <v>9000000</v>
      </c>
      <c r="L42" s="15"/>
      <c r="M42" s="14"/>
      <c r="N42" s="17"/>
      <c r="O42" s="17"/>
      <c r="P42" s="17"/>
      <c r="Q42" s="17"/>
      <c r="R42" s="17"/>
      <c r="S42" s="17"/>
      <c r="T42" s="17"/>
      <c r="U42" s="17"/>
      <c r="V42" s="11">
        <f t="shared" si="0"/>
        <v>9000000</v>
      </c>
      <c r="W42" s="17"/>
      <c r="X42" s="9" t="s">
        <v>921</v>
      </c>
    </row>
    <row r="43" spans="1:24" ht="38.25" x14ac:dyDescent="0.25">
      <c r="A43" s="7" t="s">
        <v>16</v>
      </c>
      <c r="B43" s="8">
        <v>8470220</v>
      </c>
      <c r="C43" s="9" t="s">
        <v>85</v>
      </c>
      <c r="D43" s="10">
        <v>420550</v>
      </c>
      <c r="E43" s="9" t="s">
        <v>18</v>
      </c>
      <c r="F43" s="9" t="s">
        <v>86</v>
      </c>
      <c r="G43" s="12">
        <v>26159</v>
      </c>
      <c r="H43" s="13"/>
      <c r="I43" s="14"/>
      <c r="J43" s="15"/>
      <c r="K43" s="16">
        <v>26159</v>
      </c>
      <c r="L43" s="55"/>
      <c r="M43" s="54">
        <v>1800</v>
      </c>
      <c r="N43" s="57"/>
      <c r="O43" s="57"/>
      <c r="P43" s="57"/>
      <c r="Q43" s="57"/>
      <c r="R43" s="57"/>
      <c r="S43" s="57"/>
      <c r="T43" s="57"/>
      <c r="U43" s="17" t="s">
        <v>795</v>
      </c>
      <c r="V43" s="11">
        <f t="shared" si="0"/>
        <v>24359</v>
      </c>
      <c r="W43" s="9" t="s">
        <v>803</v>
      </c>
      <c r="X43" s="9" t="s">
        <v>922</v>
      </c>
    </row>
    <row r="44" spans="1:24" ht="25.5" x14ac:dyDescent="0.25">
      <c r="A44" s="7" t="s">
        <v>16</v>
      </c>
      <c r="B44" s="8">
        <v>8470220</v>
      </c>
      <c r="C44" s="9" t="s">
        <v>85</v>
      </c>
      <c r="D44" s="10">
        <v>420570</v>
      </c>
      <c r="E44" s="9" t="s">
        <v>87</v>
      </c>
      <c r="F44" s="9" t="s">
        <v>88</v>
      </c>
      <c r="G44" s="12">
        <v>185000</v>
      </c>
      <c r="H44" s="18">
        <v>174841.45</v>
      </c>
      <c r="I44" s="14"/>
      <c r="J44" s="15"/>
      <c r="K44" s="16">
        <v>10158.549999999999</v>
      </c>
      <c r="L44" s="55">
        <v>5200</v>
      </c>
      <c r="M44" s="54"/>
      <c r="N44" s="57"/>
      <c r="O44" s="57"/>
      <c r="P44" s="57"/>
      <c r="Q44" s="57"/>
      <c r="R44" s="57"/>
      <c r="S44" s="57"/>
      <c r="T44" s="57"/>
      <c r="U44" s="57"/>
      <c r="V44" s="11">
        <f t="shared" si="0"/>
        <v>4958.5499999999993</v>
      </c>
      <c r="W44" s="9" t="s">
        <v>803</v>
      </c>
      <c r="X44" s="9" t="s">
        <v>922</v>
      </c>
    </row>
    <row r="45" spans="1:24" ht="89.25" x14ac:dyDescent="0.25">
      <c r="A45" s="7" t="s">
        <v>16</v>
      </c>
      <c r="B45" s="8">
        <v>8470220</v>
      </c>
      <c r="C45" s="9" t="s">
        <v>85</v>
      </c>
      <c r="D45" s="10">
        <v>421700</v>
      </c>
      <c r="E45" s="9" t="s">
        <v>36</v>
      </c>
      <c r="F45" s="9" t="s">
        <v>89</v>
      </c>
      <c r="G45" s="12">
        <v>1617497</v>
      </c>
      <c r="H45" s="18">
        <v>25003</v>
      </c>
      <c r="I45" s="14"/>
      <c r="J45" s="15"/>
      <c r="K45" s="16">
        <v>1592494</v>
      </c>
      <c r="L45" s="55">
        <v>350000</v>
      </c>
      <c r="M45" s="54"/>
      <c r="N45" s="57"/>
      <c r="O45" s="57"/>
      <c r="P45" s="57">
        <v>2100000</v>
      </c>
      <c r="Q45" s="57"/>
      <c r="R45" s="57"/>
      <c r="S45" s="57">
        <v>2100000</v>
      </c>
      <c r="T45" s="57"/>
      <c r="U45" s="9" t="s">
        <v>796</v>
      </c>
      <c r="V45" s="11">
        <f t="shared" si="0"/>
        <v>-2957506</v>
      </c>
      <c r="W45" s="9"/>
      <c r="X45" s="9" t="s">
        <v>922</v>
      </c>
    </row>
    <row r="46" spans="1:24" ht="25.5" x14ac:dyDescent="0.25">
      <c r="A46" s="7" t="s">
        <v>16</v>
      </c>
      <c r="B46" s="8">
        <v>8470220</v>
      </c>
      <c r="C46" s="9" t="s">
        <v>85</v>
      </c>
      <c r="D46" s="10">
        <v>425510</v>
      </c>
      <c r="E46" s="9" t="s">
        <v>20</v>
      </c>
      <c r="F46" s="9" t="s">
        <v>90</v>
      </c>
      <c r="G46" s="12">
        <v>1389058</v>
      </c>
      <c r="H46" s="18">
        <v>3300</v>
      </c>
      <c r="I46" s="14"/>
      <c r="J46" s="15"/>
      <c r="K46" s="16">
        <v>1385758</v>
      </c>
      <c r="L46" s="55">
        <v>22500</v>
      </c>
      <c r="M46" s="54"/>
      <c r="N46" s="57"/>
      <c r="O46" s="57"/>
      <c r="P46" s="57"/>
      <c r="Q46" s="57"/>
      <c r="R46" s="57">
        <v>120000</v>
      </c>
      <c r="S46" s="57"/>
      <c r="T46" s="57"/>
      <c r="U46" s="57"/>
      <c r="V46" s="11">
        <f t="shared" si="0"/>
        <v>1243258</v>
      </c>
      <c r="W46" s="9" t="s">
        <v>803</v>
      </c>
      <c r="X46" s="9" t="s">
        <v>922</v>
      </c>
    </row>
    <row r="47" spans="1:24" ht="25.5" x14ac:dyDescent="0.25">
      <c r="A47" s="7" t="s">
        <v>16</v>
      </c>
      <c r="B47" s="8">
        <v>8470220</v>
      </c>
      <c r="C47" s="9" t="s">
        <v>85</v>
      </c>
      <c r="D47" s="10">
        <v>425550</v>
      </c>
      <c r="E47" s="9" t="s">
        <v>22</v>
      </c>
      <c r="F47" s="9" t="s">
        <v>91</v>
      </c>
      <c r="G47" s="12">
        <v>13790</v>
      </c>
      <c r="H47" s="13"/>
      <c r="I47" s="14"/>
      <c r="J47" s="15"/>
      <c r="K47" s="16">
        <v>13790</v>
      </c>
      <c r="L47" s="55"/>
      <c r="M47" s="54"/>
      <c r="N47" s="57"/>
      <c r="O47" s="57"/>
      <c r="P47" s="57"/>
      <c r="Q47" s="57"/>
      <c r="R47" s="57"/>
      <c r="S47" s="57"/>
      <c r="T47" s="57"/>
      <c r="U47" s="57"/>
      <c r="V47" s="11">
        <f t="shared" si="0"/>
        <v>13790</v>
      </c>
      <c r="W47" s="9" t="s">
        <v>803</v>
      </c>
      <c r="X47" s="9" t="s">
        <v>922</v>
      </c>
    </row>
    <row r="48" spans="1:24" ht="102" x14ac:dyDescent="0.25">
      <c r="A48" s="7" t="s">
        <v>16</v>
      </c>
      <c r="B48" s="8">
        <v>8470220</v>
      </c>
      <c r="C48" s="9" t="s">
        <v>85</v>
      </c>
      <c r="D48" s="10">
        <v>425900</v>
      </c>
      <c r="E48" s="9" t="s">
        <v>24</v>
      </c>
      <c r="F48" s="9" t="s">
        <v>92</v>
      </c>
      <c r="G48" s="12">
        <v>21378</v>
      </c>
      <c r="H48" s="18">
        <v>5716.61</v>
      </c>
      <c r="I48" s="14"/>
      <c r="J48" s="15"/>
      <c r="K48" s="16">
        <v>15661.39</v>
      </c>
      <c r="L48" s="55"/>
      <c r="M48" s="54">
        <v>7706</v>
      </c>
      <c r="N48" s="57"/>
      <c r="O48" s="57"/>
      <c r="P48" s="57">
        <v>2000</v>
      </c>
      <c r="Q48" s="57">
        <v>2000</v>
      </c>
      <c r="R48" s="57">
        <v>2000</v>
      </c>
      <c r="S48" s="57">
        <v>2000</v>
      </c>
      <c r="T48" s="57">
        <v>2000</v>
      </c>
      <c r="U48" s="17" t="s">
        <v>797</v>
      </c>
      <c r="V48" s="11">
        <f t="shared" si="0"/>
        <v>-2044.6100000000006</v>
      </c>
      <c r="W48" s="9"/>
      <c r="X48" s="9" t="s">
        <v>922</v>
      </c>
    </row>
    <row r="49" spans="1:24" ht="51" x14ac:dyDescent="0.25">
      <c r="A49" s="7" t="s">
        <v>16</v>
      </c>
      <c r="B49" s="8">
        <v>8470220</v>
      </c>
      <c r="C49" s="9" t="s">
        <v>85</v>
      </c>
      <c r="D49" s="10">
        <v>428090</v>
      </c>
      <c r="E49" s="9" t="s">
        <v>26</v>
      </c>
      <c r="F49" s="9" t="s">
        <v>93</v>
      </c>
      <c r="G49" s="12">
        <v>551900</v>
      </c>
      <c r="H49" s="18">
        <v>7269.52</v>
      </c>
      <c r="I49" s="14"/>
      <c r="J49" s="15"/>
      <c r="K49" s="16">
        <v>544630.48</v>
      </c>
      <c r="L49" s="55"/>
      <c r="M49" s="54">
        <v>45000</v>
      </c>
      <c r="N49" s="57"/>
      <c r="O49" s="57"/>
      <c r="P49" s="57"/>
      <c r="Q49" s="57">
        <v>150000</v>
      </c>
      <c r="R49" s="57"/>
      <c r="S49" s="57">
        <v>100000</v>
      </c>
      <c r="T49" s="57">
        <v>90000</v>
      </c>
      <c r="U49" s="17" t="s">
        <v>798</v>
      </c>
      <c r="V49" s="11">
        <f t="shared" si="0"/>
        <v>159630.47999999998</v>
      </c>
      <c r="W49" s="9" t="s">
        <v>803</v>
      </c>
      <c r="X49" s="9" t="s">
        <v>922</v>
      </c>
    </row>
    <row r="50" spans="1:24" ht="38.25" x14ac:dyDescent="0.25">
      <c r="A50" s="7" t="s">
        <v>16</v>
      </c>
      <c r="B50" s="8">
        <v>8470220</v>
      </c>
      <c r="C50" s="9" t="s">
        <v>85</v>
      </c>
      <c r="D50" s="10">
        <v>428640</v>
      </c>
      <c r="E50" s="9" t="s">
        <v>59</v>
      </c>
      <c r="F50" s="9" t="s">
        <v>94</v>
      </c>
      <c r="G50" s="12">
        <v>261820</v>
      </c>
      <c r="H50" s="18">
        <v>316</v>
      </c>
      <c r="I50" s="14"/>
      <c r="J50" s="15"/>
      <c r="K50" s="16">
        <v>261504</v>
      </c>
      <c r="L50" s="55"/>
      <c r="M50" s="14">
        <v>33200</v>
      </c>
      <c r="N50" s="57"/>
      <c r="O50" s="57"/>
      <c r="P50" s="57"/>
      <c r="Q50" s="57"/>
      <c r="R50" s="57"/>
      <c r="S50" s="57"/>
      <c r="T50" s="57"/>
      <c r="U50" s="17" t="s">
        <v>799</v>
      </c>
      <c r="V50" s="11">
        <f t="shared" si="0"/>
        <v>228304</v>
      </c>
      <c r="W50" s="9" t="s">
        <v>803</v>
      </c>
      <c r="X50" s="9" t="s">
        <v>922</v>
      </c>
    </row>
    <row r="51" spans="1:24" ht="38.25" x14ac:dyDescent="0.25">
      <c r="A51" s="7" t="s">
        <v>16</v>
      </c>
      <c r="B51" s="8">
        <v>8470220</v>
      </c>
      <c r="C51" s="9" t="s">
        <v>85</v>
      </c>
      <c r="D51" s="10">
        <v>428640</v>
      </c>
      <c r="E51" s="9" t="s">
        <v>59</v>
      </c>
      <c r="F51" s="9" t="s">
        <v>95</v>
      </c>
      <c r="G51" s="12">
        <v>2000000</v>
      </c>
      <c r="H51" s="13"/>
      <c r="I51" s="14"/>
      <c r="J51" s="15"/>
      <c r="K51" s="16">
        <v>2000000</v>
      </c>
      <c r="L51" s="55"/>
      <c r="M51" s="54"/>
      <c r="N51" s="57"/>
      <c r="O51" s="57">
        <v>1000000</v>
      </c>
      <c r="P51" s="57"/>
      <c r="Q51" s="57"/>
      <c r="R51" s="57"/>
      <c r="S51" s="57"/>
      <c r="T51" s="57">
        <v>1000000</v>
      </c>
      <c r="U51" s="17" t="s">
        <v>800</v>
      </c>
      <c r="V51" s="11">
        <f t="shared" si="0"/>
        <v>0</v>
      </c>
      <c r="W51" s="9"/>
      <c r="X51" s="9" t="s">
        <v>922</v>
      </c>
    </row>
    <row r="52" spans="1:24" ht="51" x14ac:dyDescent="0.25">
      <c r="A52" s="7" t="s">
        <v>16</v>
      </c>
      <c r="B52" s="8">
        <v>8470220</v>
      </c>
      <c r="C52" s="9" t="s">
        <v>85</v>
      </c>
      <c r="D52" s="10">
        <v>432205</v>
      </c>
      <c r="E52" s="9" t="s">
        <v>96</v>
      </c>
      <c r="F52" s="9" t="s">
        <v>97</v>
      </c>
      <c r="G52" s="12">
        <v>4648</v>
      </c>
      <c r="H52" s="13"/>
      <c r="I52" s="14"/>
      <c r="J52" s="15"/>
      <c r="K52" s="16">
        <v>4648</v>
      </c>
      <c r="L52" s="55"/>
      <c r="M52" s="54"/>
      <c r="N52" s="57"/>
      <c r="O52" s="57"/>
      <c r="P52" s="57"/>
      <c r="Q52" s="57"/>
      <c r="R52" s="57"/>
      <c r="S52" s="57"/>
      <c r="T52" s="57"/>
      <c r="U52" s="57"/>
      <c r="V52" s="11">
        <f t="shared" si="0"/>
        <v>4648</v>
      </c>
      <c r="W52" s="9" t="s">
        <v>803</v>
      </c>
      <c r="X52" s="9" t="s">
        <v>922</v>
      </c>
    </row>
    <row r="53" spans="1:24" ht="51" x14ac:dyDescent="0.25">
      <c r="A53" s="7" t="s">
        <v>16</v>
      </c>
      <c r="B53" s="8">
        <v>8470220</v>
      </c>
      <c r="C53" s="9" t="s">
        <v>85</v>
      </c>
      <c r="D53" s="10">
        <v>435350</v>
      </c>
      <c r="E53" s="9" t="s">
        <v>98</v>
      </c>
      <c r="F53" s="9" t="s">
        <v>99</v>
      </c>
      <c r="G53" s="12">
        <v>3500000</v>
      </c>
      <c r="H53" s="18">
        <v>3856.65</v>
      </c>
      <c r="I53" s="14"/>
      <c r="J53" s="15"/>
      <c r="K53" s="16">
        <v>3496143.35</v>
      </c>
      <c r="L53" s="55">
        <v>1000500</v>
      </c>
      <c r="M53" s="54">
        <v>250000</v>
      </c>
      <c r="N53" s="57">
        <v>250000</v>
      </c>
      <c r="O53" s="57">
        <v>250000</v>
      </c>
      <c r="P53" s="57">
        <v>250000</v>
      </c>
      <c r="Q53" s="57">
        <v>250000</v>
      </c>
      <c r="R53" s="57">
        <v>500000</v>
      </c>
      <c r="S53" s="57">
        <v>500000</v>
      </c>
      <c r="T53" s="57">
        <v>500000</v>
      </c>
      <c r="U53" s="17" t="s">
        <v>801</v>
      </c>
      <c r="V53" s="11">
        <f t="shared" si="0"/>
        <v>-254356.64999999991</v>
      </c>
      <c r="W53" s="9"/>
      <c r="X53" s="9" t="s">
        <v>922</v>
      </c>
    </row>
    <row r="54" spans="1:24" ht="38.25" x14ac:dyDescent="0.25">
      <c r="A54" s="7" t="s">
        <v>16</v>
      </c>
      <c r="B54" s="8">
        <v>8470220</v>
      </c>
      <c r="C54" s="9" t="s">
        <v>85</v>
      </c>
      <c r="D54" s="10">
        <v>435508</v>
      </c>
      <c r="E54" s="9" t="s">
        <v>100</v>
      </c>
      <c r="F54" s="9" t="s">
        <v>101</v>
      </c>
      <c r="G54" s="12">
        <v>300000</v>
      </c>
      <c r="H54" s="13"/>
      <c r="I54" s="14"/>
      <c r="J54" s="15"/>
      <c r="K54" s="16">
        <v>300000</v>
      </c>
      <c r="L54" s="55"/>
      <c r="M54" s="54">
        <v>500000</v>
      </c>
      <c r="N54" s="57"/>
      <c r="O54" s="57"/>
      <c r="P54" s="57"/>
      <c r="Q54" s="57"/>
      <c r="R54" s="57"/>
      <c r="S54" s="57"/>
      <c r="T54" s="57"/>
      <c r="U54" s="17" t="s">
        <v>802</v>
      </c>
      <c r="V54" s="11">
        <f t="shared" si="0"/>
        <v>-200000</v>
      </c>
      <c r="W54" s="9"/>
      <c r="X54" s="9" t="s">
        <v>922</v>
      </c>
    </row>
    <row r="55" spans="1:24" ht="63.75" x14ac:dyDescent="0.25">
      <c r="A55" s="7" t="s">
        <v>16</v>
      </c>
      <c r="B55" s="8">
        <v>8470230</v>
      </c>
      <c r="C55" s="9" t="s">
        <v>102</v>
      </c>
      <c r="D55" s="10">
        <v>420550</v>
      </c>
      <c r="E55" s="9" t="s">
        <v>18</v>
      </c>
      <c r="F55" s="9" t="s">
        <v>103</v>
      </c>
      <c r="G55" s="12">
        <v>93666</v>
      </c>
      <c r="H55" s="18">
        <v>59022.98</v>
      </c>
      <c r="I55" s="14"/>
      <c r="J55" s="15"/>
      <c r="K55" s="16">
        <v>34643.019999999997</v>
      </c>
      <c r="L55" s="151"/>
      <c r="M55" s="152">
        <v>691240</v>
      </c>
      <c r="N55" s="153"/>
      <c r="O55" s="153">
        <v>408460</v>
      </c>
      <c r="P55" s="153"/>
      <c r="Q55" s="153"/>
      <c r="R55" s="153"/>
      <c r="S55" s="153"/>
      <c r="T55" s="153">
        <v>1382480</v>
      </c>
      <c r="U55" s="156" t="s">
        <v>785</v>
      </c>
      <c r="V55" s="11">
        <f t="shared" si="0"/>
        <v>-2447536.98</v>
      </c>
      <c r="W55" s="155" t="s">
        <v>792</v>
      </c>
      <c r="X55" s="9" t="s">
        <v>922</v>
      </c>
    </row>
    <row r="56" spans="1:24" ht="51" x14ac:dyDescent="0.25">
      <c r="A56" s="7" t="s">
        <v>16</v>
      </c>
      <c r="B56" s="8">
        <v>8470230</v>
      </c>
      <c r="C56" s="9" t="s">
        <v>102</v>
      </c>
      <c r="D56" s="10">
        <v>425510</v>
      </c>
      <c r="E56" s="9" t="s">
        <v>20</v>
      </c>
      <c r="F56" s="9" t="s">
        <v>104</v>
      </c>
      <c r="G56" s="12">
        <v>9463</v>
      </c>
      <c r="H56" s="18">
        <v>4980</v>
      </c>
      <c r="I56" s="14"/>
      <c r="J56" s="15"/>
      <c r="K56" s="16">
        <v>4483</v>
      </c>
      <c r="L56" s="151">
        <v>450</v>
      </c>
      <c r="M56" s="152">
        <v>500</v>
      </c>
      <c r="N56" s="153">
        <v>500</v>
      </c>
      <c r="O56" s="153">
        <v>500</v>
      </c>
      <c r="P56" s="153">
        <v>500</v>
      </c>
      <c r="Q56" s="153">
        <v>500</v>
      </c>
      <c r="R56" s="153">
        <v>500</v>
      </c>
      <c r="S56" s="153">
        <v>500</v>
      </c>
      <c r="T56" s="153">
        <v>500</v>
      </c>
      <c r="U56" s="156" t="s">
        <v>786</v>
      </c>
      <c r="V56" s="11">
        <f t="shared" si="0"/>
        <v>33</v>
      </c>
      <c r="W56" s="155"/>
      <c r="X56" s="9" t="s">
        <v>922</v>
      </c>
    </row>
    <row r="57" spans="1:24" ht="51" x14ac:dyDescent="0.25">
      <c r="A57" s="7" t="s">
        <v>16</v>
      </c>
      <c r="B57" s="8">
        <v>8470230</v>
      </c>
      <c r="C57" s="9" t="s">
        <v>102</v>
      </c>
      <c r="D57" s="10">
        <v>425550</v>
      </c>
      <c r="E57" s="9" t="s">
        <v>22</v>
      </c>
      <c r="F57" s="9" t="s">
        <v>105</v>
      </c>
      <c r="G57" s="12">
        <v>133200</v>
      </c>
      <c r="H57" s="18">
        <v>37712.85</v>
      </c>
      <c r="I57" s="14"/>
      <c r="J57" s="15"/>
      <c r="K57" s="16">
        <v>95487.15</v>
      </c>
      <c r="L57" s="151">
        <v>10609</v>
      </c>
      <c r="M57" s="152">
        <v>10609</v>
      </c>
      <c r="N57" s="153">
        <v>10609</v>
      </c>
      <c r="O57" s="153">
        <v>10609</v>
      </c>
      <c r="P57" s="153">
        <v>10609</v>
      </c>
      <c r="Q57" s="153">
        <v>10609</v>
      </c>
      <c r="R57" s="153">
        <v>10609</v>
      </c>
      <c r="S57" s="153">
        <v>10609</v>
      </c>
      <c r="T57" s="153">
        <v>10609</v>
      </c>
      <c r="U57" s="156" t="s">
        <v>786</v>
      </c>
      <c r="V57" s="11">
        <f t="shared" si="0"/>
        <v>6.1499999999941792</v>
      </c>
      <c r="W57" s="155"/>
      <c r="X57" s="9" t="s">
        <v>922</v>
      </c>
    </row>
    <row r="58" spans="1:24" ht="114.75" x14ac:dyDescent="0.25">
      <c r="A58" s="7" t="s">
        <v>16</v>
      </c>
      <c r="B58" s="8">
        <v>8470230</v>
      </c>
      <c r="C58" s="9" t="s">
        <v>102</v>
      </c>
      <c r="D58" s="10">
        <v>425744</v>
      </c>
      <c r="E58" s="9" t="s">
        <v>106</v>
      </c>
      <c r="F58" s="9" t="s">
        <v>107</v>
      </c>
      <c r="G58" s="12">
        <v>3512600</v>
      </c>
      <c r="H58" s="18">
        <v>-100</v>
      </c>
      <c r="I58" s="14"/>
      <c r="J58" s="15"/>
      <c r="K58" s="16">
        <v>3512700</v>
      </c>
      <c r="L58" s="151"/>
      <c r="M58" s="152"/>
      <c r="N58" s="153"/>
      <c r="O58" s="153"/>
      <c r="P58" s="153"/>
      <c r="Q58" s="153">
        <v>644000</v>
      </c>
      <c r="R58" s="153"/>
      <c r="S58" s="153"/>
      <c r="T58" s="153"/>
      <c r="U58" s="156" t="s">
        <v>787</v>
      </c>
      <c r="V58" s="11">
        <f t="shared" si="0"/>
        <v>2868700</v>
      </c>
      <c r="W58" s="155" t="s">
        <v>793</v>
      </c>
      <c r="X58" s="9" t="s">
        <v>922</v>
      </c>
    </row>
    <row r="59" spans="1:24" ht="89.25" x14ac:dyDescent="0.25">
      <c r="A59" s="7" t="s">
        <v>16</v>
      </c>
      <c r="B59" s="8">
        <v>8470230</v>
      </c>
      <c r="C59" s="9" t="s">
        <v>102</v>
      </c>
      <c r="D59" s="10">
        <v>425745</v>
      </c>
      <c r="E59" s="9" t="s">
        <v>108</v>
      </c>
      <c r="F59" s="9" t="s">
        <v>109</v>
      </c>
      <c r="G59" s="12">
        <v>1183248</v>
      </c>
      <c r="H59" s="18">
        <v>160141.4</v>
      </c>
      <c r="I59" s="14"/>
      <c r="J59" s="15"/>
      <c r="K59" s="16">
        <v>1023106.6</v>
      </c>
      <c r="L59" s="151">
        <v>1062015</v>
      </c>
      <c r="M59" s="152">
        <v>142500</v>
      </c>
      <c r="N59" s="153">
        <v>2500</v>
      </c>
      <c r="O59" s="153">
        <v>2500</v>
      </c>
      <c r="P59" s="153">
        <f>2500+141250+54353</f>
        <v>198103</v>
      </c>
      <c r="Q59" s="153">
        <f>139303+141250+54353</f>
        <v>334906</v>
      </c>
      <c r="R59" s="153">
        <v>2500</v>
      </c>
      <c r="S59" s="153">
        <v>684654</v>
      </c>
      <c r="T59" s="153">
        <v>125000</v>
      </c>
      <c r="U59" s="156" t="s">
        <v>788</v>
      </c>
      <c r="V59" s="11">
        <f t="shared" si="0"/>
        <v>-1531571.4</v>
      </c>
      <c r="W59" s="155"/>
      <c r="X59" s="9" t="s">
        <v>922</v>
      </c>
    </row>
    <row r="60" spans="1:24" ht="76.5" x14ac:dyDescent="0.25">
      <c r="A60" s="7" t="s">
        <v>16</v>
      </c>
      <c r="B60" s="8">
        <v>8470230</v>
      </c>
      <c r="C60" s="9" t="s">
        <v>102</v>
      </c>
      <c r="D60" s="10">
        <v>425749</v>
      </c>
      <c r="E60" s="9" t="s">
        <v>82</v>
      </c>
      <c r="F60" s="9" t="s">
        <v>110</v>
      </c>
      <c r="G60" s="12">
        <v>159750000</v>
      </c>
      <c r="H60" s="18">
        <v>34938992.899999999</v>
      </c>
      <c r="I60" s="14"/>
      <c r="J60" s="15"/>
      <c r="K60" s="16">
        <v>124811007.09999999</v>
      </c>
      <c r="L60" s="151">
        <v>12129360</v>
      </c>
      <c r="M60" s="152">
        <v>12129360</v>
      </c>
      <c r="N60" s="153">
        <v>11319860</v>
      </c>
      <c r="O60" s="153">
        <v>11319860</v>
      </c>
      <c r="P60" s="153">
        <v>10481360</v>
      </c>
      <c r="Q60" s="153">
        <v>10481360</v>
      </c>
      <c r="R60" s="153">
        <v>10481360</v>
      </c>
      <c r="S60" s="153">
        <v>10442360</v>
      </c>
      <c r="T60" s="153">
        <v>10442360</v>
      </c>
      <c r="U60" s="156" t="s">
        <v>789</v>
      </c>
      <c r="V60" s="11">
        <f t="shared" si="0"/>
        <v>25583767.099999994</v>
      </c>
      <c r="W60" s="155" t="s">
        <v>794</v>
      </c>
      <c r="X60" s="9" t="s">
        <v>922</v>
      </c>
    </row>
    <row r="61" spans="1:24" ht="38.25" x14ac:dyDescent="0.25">
      <c r="A61" s="7" t="s">
        <v>16</v>
      </c>
      <c r="B61" s="8">
        <v>8470230</v>
      </c>
      <c r="C61" s="9" t="s">
        <v>102</v>
      </c>
      <c r="D61" s="10">
        <v>425762</v>
      </c>
      <c r="E61" s="9" t="s">
        <v>111</v>
      </c>
      <c r="F61" s="9" t="s">
        <v>112</v>
      </c>
      <c r="G61" s="12">
        <v>197200</v>
      </c>
      <c r="H61" s="18">
        <v>28580</v>
      </c>
      <c r="I61" s="14"/>
      <c r="J61" s="15"/>
      <c r="K61" s="16">
        <v>168620</v>
      </c>
      <c r="L61" s="151">
        <v>18735</v>
      </c>
      <c r="M61" s="152">
        <v>18735</v>
      </c>
      <c r="N61" s="153">
        <v>18735</v>
      </c>
      <c r="O61" s="153">
        <v>18735</v>
      </c>
      <c r="P61" s="153">
        <v>18735</v>
      </c>
      <c r="Q61" s="153">
        <v>18735</v>
      </c>
      <c r="R61" s="153">
        <v>18735</v>
      </c>
      <c r="S61" s="153">
        <v>18735</v>
      </c>
      <c r="T61" s="153">
        <v>18735</v>
      </c>
      <c r="U61" s="156" t="s">
        <v>790</v>
      </c>
      <c r="V61" s="11">
        <f t="shared" si="0"/>
        <v>5</v>
      </c>
      <c r="W61" s="155"/>
      <c r="X61" s="9" t="s">
        <v>922</v>
      </c>
    </row>
    <row r="62" spans="1:24" ht="25.5" x14ac:dyDescent="0.25">
      <c r="A62" s="7" t="s">
        <v>16</v>
      </c>
      <c r="B62" s="8">
        <v>8470230</v>
      </c>
      <c r="C62" s="9" t="s">
        <v>102</v>
      </c>
      <c r="D62" s="10">
        <v>425900</v>
      </c>
      <c r="E62" s="9" t="s">
        <v>24</v>
      </c>
      <c r="F62" s="9" t="s">
        <v>113</v>
      </c>
      <c r="G62" s="12">
        <v>20000</v>
      </c>
      <c r="H62" s="13"/>
      <c r="I62" s="157"/>
      <c r="J62" s="158"/>
      <c r="K62" s="159">
        <v>20000</v>
      </c>
      <c r="L62" s="160"/>
      <c r="M62" s="161"/>
      <c r="N62" s="162"/>
      <c r="O62" s="162"/>
      <c r="P62" s="162"/>
      <c r="Q62" s="162"/>
      <c r="R62" s="162"/>
      <c r="S62" s="162">
        <v>20000</v>
      </c>
      <c r="T62" s="162"/>
      <c r="U62" s="163" t="s">
        <v>791</v>
      </c>
      <c r="V62" s="11">
        <f t="shared" si="0"/>
        <v>0</v>
      </c>
      <c r="W62" s="17"/>
      <c r="X62" s="9" t="s">
        <v>922</v>
      </c>
    </row>
    <row r="63" spans="1:24" ht="25.5" x14ac:dyDescent="0.25">
      <c r="A63" s="7" t="s">
        <v>16</v>
      </c>
      <c r="B63" s="8">
        <v>8470305</v>
      </c>
      <c r="C63" s="9" t="s">
        <v>114</v>
      </c>
      <c r="D63" s="10">
        <v>425510</v>
      </c>
      <c r="E63" s="9" t="s">
        <v>20</v>
      </c>
      <c r="F63" s="9" t="s">
        <v>115</v>
      </c>
      <c r="G63" s="12">
        <v>9100</v>
      </c>
      <c r="H63" s="18">
        <v>8807.6</v>
      </c>
      <c r="I63" s="14"/>
      <c r="J63" s="15"/>
      <c r="K63" s="16">
        <v>292.39999999999998</v>
      </c>
      <c r="L63" s="15"/>
      <c r="M63" s="14"/>
      <c r="N63" s="17"/>
      <c r="O63" s="17"/>
      <c r="P63" s="17"/>
      <c r="Q63" s="17"/>
      <c r="R63" s="17"/>
      <c r="S63" s="17"/>
      <c r="T63" s="17"/>
      <c r="U63" s="17"/>
      <c r="V63" s="11">
        <f t="shared" si="0"/>
        <v>292.39999999999998</v>
      </c>
      <c r="W63" s="17"/>
      <c r="X63" s="9" t="s">
        <v>922</v>
      </c>
    </row>
    <row r="64" spans="1:24" ht="25.5" x14ac:dyDescent="0.25">
      <c r="A64" s="7" t="s">
        <v>16</v>
      </c>
      <c r="B64" s="8">
        <v>8470305</v>
      </c>
      <c r="C64" s="9" t="s">
        <v>114</v>
      </c>
      <c r="D64" s="10">
        <v>425760</v>
      </c>
      <c r="E64" s="9" t="s">
        <v>116</v>
      </c>
      <c r="F64" s="9" t="s">
        <v>117</v>
      </c>
      <c r="G64" s="12">
        <v>0</v>
      </c>
      <c r="H64" s="13"/>
      <c r="I64" s="14"/>
      <c r="J64" s="15"/>
      <c r="K64" s="16">
        <v>0</v>
      </c>
      <c r="L64" s="15"/>
      <c r="M64" s="14"/>
      <c r="N64" s="17"/>
      <c r="O64" s="17"/>
      <c r="P64" s="17"/>
      <c r="Q64" s="17"/>
      <c r="R64" s="17"/>
      <c r="S64" s="17"/>
      <c r="T64" s="17"/>
      <c r="U64" s="17"/>
      <c r="V64" s="11">
        <f t="shared" si="0"/>
        <v>0</v>
      </c>
      <c r="W64" s="17"/>
      <c r="X64" s="9" t="s">
        <v>922</v>
      </c>
    </row>
    <row r="65" spans="1:24" ht="25.5" x14ac:dyDescent="0.25">
      <c r="A65" s="7" t="s">
        <v>16</v>
      </c>
      <c r="B65" s="8">
        <v>8470305</v>
      </c>
      <c r="C65" s="9" t="s">
        <v>114</v>
      </c>
      <c r="D65" s="10">
        <v>425763</v>
      </c>
      <c r="E65" s="9" t="s">
        <v>53</v>
      </c>
      <c r="F65" s="9" t="s">
        <v>118</v>
      </c>
      <c r="G65" s="12">
        <v>190000</v>
      </c>
      <c r="H65" s="18">
        <v>50000</v>
      </c>
      <c r="I65" s="14"/>
      <c r="J65" s="15"/>
      <c r="K65" s="16">
        <v>140000</v>
      </c>
      <c r="L65" s="15"/>
      <c r="M65" s="14"/>
      <c r="N65" s="17"/>
      <c r="O65" s="17"/>
      <c r="P65" s="17"/>
      <c r="Q65" s="76">
        <v>70000</v>
      </c>
      <c r="R65" s="76">
        <v>70000</v>
      </c>
      <c r="S65" s="17"/>
      <c r="T65" s="17"/>
      <c r="U65" s="17"/>
      <c r="V65" s="11">
        <f t="shared" si="0"/>
        <v>0</v>
      </c>
      <c r="W65" s="17"/>
      <c r="X65" s="9" t="s">
        <v>922</v>
      </c>
    </row>
    <row r="66" spans="1:24" ht="25.5" x14ac:dyDescent="0.25">
      <c r="A66" s="7" t="s">
        <v>16</v>
      </c>
      <c r="B66" s="8">
        <v>8470305</v>
      </c>
      <c r="C66" s="9" t="s">
        <v>114</v>
      </c>
      <c r="D66" s="10">
        <v>425770</v>
      </c>
      <c r="E66" s="9" t="s">
        <v>119</v>
      </c>
      <c r="F66" s="9" t="s">
        <v>120</v>
      </c>
      <c r="G66" s="12">
        <v>144895</v>
      </c>
      <c r="H66" s="13"/>
      <c r="I66" s="14"/>
      <c r="J66" s="15"/>
      <c r="K66" s="16">
        <v>144895</v>
      </c>
      <c r="L66" s="15"/>
      <c r="M66" s="16">
        <v>20000</v>
      </c>
      <c r="N66" s="17"/>
      <c r="O66" s="11">
        <v>20000</v>
      </c>
      <c r="P66" s="11"/>
      <c r="Q66" s="11">
        <v>20000</v>
      </c>
      <c r="R66" s="11">
        <v>40000</v>
      </c>
      <c r="S66" s="11">
        <v>20000</v>
      </c>
      <c r="T66" s="11">
        <v>25000</v>
      </c>
      <c r="U66" s="17" t="s">
        <v>639</v>
      </c>
      <c r="V66" s="11">
        <f t="shared" si="0"/>
        <v>-105</v>
      </c>
      <c r="W66" s="17"/>
      <c r="X66" s="9" t="s">
        <v>922</v>
      </c>
    </row>
    <row r="67" spans="1:24" ht="25.5" x14ac:dyDescent="0.25">
      <c r="A67" s="7" t="s">
        <v>16</v>
      </c>
      <c r="B67" s="8">
        <v>8470305</v>
      </c>
      <c r="C67" s="9" t="s">
        <v>114</v>
      </c>
      <c r="D67" s="10">
        <v>425900</v>
      </c>
      <c r="E67" s="9" t="s">
        <v>24</v>
      </c>
      <c r="F67" s="9" t="s">
        <v>121</v>
      </c>
      <c r="G67" s="12">
        <v>20000</v>
      </c>
      <c r="H67" s="18">
        <v>11571</v>
      </c>
      <c r="I67" s="14"/>
      <c r="J67" s="15"/>
      <c r="K67" s="16">
        <v>8429</v>
      </c>
      <c r="L67" s="15"/>
      <c r="M67" s="14"/>
      <c r="N67" s="17">
        <v>4000</v>
      </c>
      <c r="O67" s="17"/>
      <c r="P67" s="17"/>
      <c r="Q67" s="17"/>
      <c r="R67" s="17"/>
      <c r="S67" s="17"/>
      <c r="T67" s="17">
        <v>4500</v>
      </c>
      <c r="U67" s="17" t="s">
        <v>640</v>
      </c>
      <c r="V67" s="11">
        <f t="shared" si="0"/>
        <v>-71</v>
      </c>
      <c r="W67" s="17"/>
      <c r="X67" s="9" t="s">
        <v>922</v>
      </c>
    </row>
    <row r="68" spans="1:24" ht="25.5" x14ac:dyDescent="0.25">
      <c r="A68" s="7" t="s">
        <v>16</v>
      </c>
      <c r="B68" s="8">
        <v>8470305</v>
      </c>
      <c r="C68" s="9" t="s">
        <v>114</v>
      </c>
      <c r="D68" s="10">
        <v>426610</v>
      </c>
      <c r="E68" s="9" t="s">
        <v>39</v>
      </c>
      <c r="F68" s="9" t="s">
        <v>122</v>
      </c>
      <c r="G68" s="12">
        <v>46943</v>
      </c>
      <c r="H68" s="13"/>
      <c r="I68" s="14"/>
      <c r="J68" s="15"/>
      <c r="K68" s="16">
        <v>46943</v>
      </c>
      <c r="L68" s="15"/>
      <c r="M68" s="14"/>
      <c r="N68" s="17">
        <v>15000</v>
      </c>
      <c r="O68" s="17"/>
      <c r="P68" s="17"/>
      <c r="Q68" s="17">
        <v>15000</v>
      </c>
      <c r="R68" s="17"/>
      <c r="S68" s="17">
        <v>17000</v>
      </c>
      <c r="T68" s="17"/>
      <c r="U68" s="17" t="s">
        <v>641</v>
      </c>
      <c r="V68" s="11">
        <f t="shared" si="0"/>
        <v>-57</v>
      </c>
      <c r="W68" s="17"/>
      <c r="X68" s="9" t="s">
        <v>922</v>
      </c>
    </row>
    <row r="69" spans="1:24" ht="25.5" x14ac:dyDescent="0.25">
      <c r="A69" s="7" t="s">
        <v>16</v>
      </c>
      <c r="B69" s="8">
        <v>8470305</v>
      </c>
      <c r="C69" s="9" t="s">
        <v>114</v>
      </c>
      <c r="D69" s="10">
        <v>428090</v>
      </c>
      <c r="E69" s="9" t="s">
        <v>26</v>
      </c>
      <c r="F69" s="9" t="s">
        <v>123</v>
      </c>
      <c r="G69" s="12">
        <v>100000</v>
      </c>
      <c r="H69" s="13"/>
      <c r="I69" s="14"/>
      <c r="J69" s="15"/>
      <c r="K69" s="16">
        <v>100000</v>
      </c>
      <c r="L69" s="15"/>
      <c r="M69" s="14"/>
      <c r="N69" s="17"/>
      <c r="O69" s="17">
        <v>20000</v>
      </c>
      <c r="P69" s="17">
        <v>20000</v>
      </c>
      <c r="Q69" s="17">
        <v>20000</v>
      </c>
      <c r="R69" s="17">
        <v>20000</v>
      </c>
      <c r="S69" s="17">
        <v>20000</v>
      </c>
      <c r="T69" s="17"/>
      <c r="U69" s="17" t="s">
        <v>642</v>
      </c>
      <c r="V69" s="11">
        <f t="shared" ref="V69:V132" si="1">K69-L69-M69-N69-O69-P69-Q69-R69-S69-T69</f>
        <v>0</v>
      </c>
      <c r="W69" s="17"/>
      <c r="X69" s="9" t="s">
        <v>922</v>
      </c>
    </row>
    <row r="70" spans="1:24" ht="25.5" x14ac:dyDescent="0.25">
      <c r="A70" s="7" t="s">
        <v>16</v>
      </c>
      <c r="B70" s="8">
        <v>8470305</v>
      </c>
      <c r="C70" s="9" t="s">
        <v>114</v>
      </c>
      <c r="D70" s="10">
        <v>432209</v>
      </c>
      <c r="E70" s="9" t="s">
        <v>124</v>
      </c>
      <c r="F70" s="9" t="s">
        <v>125</v>
      </c>
      <c r="G70" s="12">
        <v>43796</v>
      </c>
      <c r="H70" s="13"/>
      <c r="I70" s="19">
        <v>0</v>
      </c>
      <c r="J70" s="12">
        <v>3550</v>
      </c>
      <c r="K70" s="16">
        <v>40246</v>
      </c>
      <c r="L70" s="15"/>
      <c r="M70" s="14">
        <v>10000</v>
      </c>
      <c r="N70" s="17">
        <v>10000</v>
      </c>
      <c r="O70" s="17"/>
      <c r="P70" s="17"/>
      <c r="Q70" s="17">
        <v>20000</v>
      </c>
      <c r="R70" s="17"/>
      <c r="S70" s="17"/>
      <c r="T70" s="17"/>
      <c r="U70" s="17" t="s">
        <v>643</v>
      </c>
      <c r="V70" s="11">
        <f t="shared" si="1"/>
        <v>246</v>
      </c>
      <c r="W70" s="17"/>
      <c r="X70" s="9" t="s">
        <v>922</v>
      </c>
    </row>
    <row r="71" spans="1:24" ht="25.5" x14ac:dyDescent="0.25">
      <c r="A71" s="7" t="s">
        <v>16</v>
      </c>
      <c r="B71" s="8">
        <v>8470305</v>
      </c>
      <c r="C71" s="9" t="s">
        <v>114</v>
      </c>
      <c r="D71" s="10">
        <v>435350</v>
      </c>
      <c r="E71" s="9" t="s">
        <v>98</v>
      </c>
      <c r="F71" s="9" t="s">
        <v>126</v>
      </c>
      <c r="G71" s="12">
        <v>83040</v>
      </c>
      <c r="H71" s="13"/>
      <c r="I71" s="14"/>
      <c r="J71" s="15"/>
      <c r="K71" s="16">
        <v>83040</v>
      </c>
      <c r="L71" s="15">
        <v>8000</v>
      </c>
      <c r="M71" s="14">
        <v>10000</v>
      </c>
      <c r="N71" s="17">
        <v>10000</v>
      </c>
      <c r="O71" s="17">
        <v>10000</v>
      </c>
      <c r="P71" s="17">
        <v>10000</v>
      </c>
      <c r="Q71" s="17">
        <v>5000</v>
      </c>
      <c r="R71" s="17">
        <v>10000</v>
      </c>
      <c r="S71" s="17">
        <v>10000</v>
      </c>
      <c r="T71" s="17">
        <v>10000</v>
      </c>
      <c r="U71" s="17" t="s">
        <v>644</v>
      </c>
      <c r="V71" s="11">
        <f t="shared" si="1"/>
        <v>40</v>
      </c>
      <c r="W71" s="17"/>
      <c r="X71" s="9" t="s">
        <v>922</v>
      </c>
    </row>
    <row r="72" spans="1:24" ht="25.5" x14ac:dyDescent="0.25">
      <c r="A72" s="7" t="s">
        <v>16</v>
      </c>
      <c r="B72" s="8">
        <v>8470305</v>
      </c>
      <c r="C72" s="9" t="s">
        <v>114</v>
      </c>
      <c r="D72" s="10">
        <v>435508</v>
      </c>
      <c r="E72" s="9" t="s">
        <v>100</v>
      </c>
      <c r="F72" s="9" t="s">
        <v>127</v>
      </c>
      <c r="G72" s="12">
        <v>19087</v>
      </c>
      <c r="H72" s="18">
        <v>0</v>
      </c>
      <c r="I72" s="14"/>
      <c r="J72" s="15"/>
      <c r="K72" s="16">
        <v>19087</v>
      </c>
      <c r="L72" s="15"/>
      <c r="M72" s="14"/>
      <c r="N72" s="17"/>
      <c r="O72" s="17"/>
      <c r="P72" s="17"/>
      <c r="Q72" s="17">
        <v>10000</v>
      </c>
      <c r="R72" s="17"/>
      <c r="S72" s="17">
        <v>9000</v>
      </c>
      <c r="T72" s="17"/>
      <c r="U72" s="17" t="s">
        <v>645</v>
      </c>
      <c r="V72" s="11">
        <f t="shared" si="1"/>
        <v>87</v>
      </c>
      <c r="W72" s="17"/>
      <c r="X72" s="9" t="s">
        <v>922</v>
      </c>
    </row>
    <row r="73" spans="1:24" ht="25.5" x14ac:dyDescent="0.25">
      <c r="A73" s="7" t="s">
        <v>16</v>
      </c>
      <c r="B73" s="8">
        <v>8470310</v>
      </c>
      <c r="C73" s="9" t="s">
        <v>128</v>
      </c>
      <c r="D73" s="10">
        <v>420550</v>
      </c>
      <c r="E73" s="9" t="s">
        <v>18</v>
      </c>
      <c r="F73" s="9" t="s">
        <v>129</v>
      </c>
      <c r="G73" s="12">
        <v>1610</v>
      </c>
      <c r="H73" s="13"/>
      <c r="I73" s="14"/>
      <c r="J73" s="15"/>
      <c r="K73" s="16">
        <v>1610</v>
      </c>
      <c r="L73" s="15"/>
      <c r="M73" s="14"/>
      <c r="N73" s="17"/>
      <c r="O73" s="17"/>
      <c r="P73" s="17"/>
      <c r="Q73" s="17"/>
      <c r="R73" s="17"/>
      <c r="S73" s="17">
        <v>1500</v>
      </c>
      <c r="T73" s="17"/>
      <c r="U73" s="17"/>
      <c r="V73" s="11">
        <f t="shared" si="1"/>
        <v>110</v>
      </c>
      <c r="W73" s="17"/>
      <c r="X73" s="9" t="s">
        <v>922</v>
      </c>
    </row>
    <row r="74" spans="1:24" ht="25.5" x14ac:dyDescent="0.25">
      <c r="A74" s="7" t="s">
        <v>16</v>
      </c>
      <c r="B74" s="8">
        <v>8470310</v>
      </c>
      <c r="C74" s="9" t="s">
        <v>128</v>
      </c>
      <c r="D74" s="10">
        <v>425510</v>
      </c>
      <c r="E74" s="9" t="s">
        <v>20</v>
      </c>
      <c r="F74" s="9" t="s">
        <v>130</v>
      </c>
      <c r="G74" s="12">
        <v>5918</v>
      </c>
      <c r="H74" s="13"/>
      <c r="I74" s="14"/>
      <c r="J74" s="15"/>
      <c r="K74" s="16">
        <v>5918</v>
      </c>
      <c r="L74" s="15"/>
      <c r="M74" s="14"/>
      <c r="N74" s="17"/>
      <c r="O74" s="17"/>
      <c r="P74" s="17"/>
      <c r="Q74" s="17"/>
      <c r="R74" s="17"/>
      <c r="S74" s="17">
        <v>5900</v>
      </c>
      <c r="T74" s="17"/>
      <c r="U74" s="17"/>
      <c r="V74" s="11">
        <f t="shared" si="1"/>
        <v>18</v>
      </c>
      <c r="W74" s="17"/>
      <c r="X74" s="9" t="s">
        <v>922</v>
      </c>
    </row>
    <row r="75" spans="1:24" ht="25.5" x14ac:dyDescent="0.25">
      <c r="A75" s="7" t="s">
        <v>16</v>
      </c>
      <c r="B75" s="8">
        <v>8470310</v>
      </c>
      <c r="C75" s="9" t="s">
        <v>128</v>
      </c>
      <c r="D75" s="10">
        <v>425760</v>
      </c>
      <c r="E75" s="9" t="s">
        <v>116</v>
      </c>
      <c r="F75" s="9" t="s">
        <v>131</v>
      </c>
      <c r="G75" s="12">
        <v>103514</v>
      </c>
      <c r="H75" s="13"/>
      <c r="I75" s="14"/>
      <c r="J75" s="15"/>
      <c r="K75" s="16">
        <v>103514</v>
      </c>
      <c r="L75" s="15">
        <v>7000</v>
      </c>
      <c r="M75" s="14">
        <v>50000</v>
      </c>
      <c r="N75" s="17">
        <v>30000</v>
      </c>
      <c r="O75" s="17"/>
      <c r="P75" s="17"/>
      <c r="Q75" s="17"/>
      <c r="R75" s="17">
        <v>16500</v>
      </c>
      <c r="S75" s="17"/>
      <c r="T75" s="17"/>
      <c r="U75" s="17"/>
      <c r="V75" s="11">
        <f t="shared" si="1"/>
        <v>14</v>
      </c>
      <c r="W75" s="17"/>
      <c r="X75" s="9" t="s">
        <v>922</v>
      </c>
    </row>
    <row r="76" spans="1:24" ht="25.5" x14ac:dyDescent="0.25">
      <c r="A76" s="7" t="s">
        <v>16</v>
      </c>
      <c r="B76" s="8">
        <v>8470310</v>
      </c>
      <c r="C76" s="9" t="s">
        <v>128</v>
      </c>
      <c r="D76" s="10">
        <v>425763</v>
      </c>
      <c r="E76" s="9" t="s">
        <v>53</v>
      </c>
      <c r="F76" s="9" t="s">
        <v>132</v>
      </c>
      <c r="G76" s="12">
        <v>268594</v>
      </c>
      <c r="H76" s="18">
        <v>50000</v>
      </c>
      <c r="I76" s="14"/>
      <c r="J76" s="15"/>
      <c r="K76" s="16">
        <v>218594</v>
      </c>
      <c r="L76" s="15">
        <v>50000</v>
      </c>
      <c r="M76" s="14">
        <v>50000</v>
      </c>
      <c r="N76" s="17">
        <v>50000</v>
      </c>
      <c r="O76" s="17"/>
      <c r="P76" s="17"/>
      <c r="Q76" s="17">
        <v>35000</v>
      </c>
      <c r="R76" s="17">
        <v>33500</v>
      </c>
      <c r="S76" s="17"/>
      <c r="T76" s="17"/>
      <c r="U76" s="17"/>
      <c r="V76" s="11">
        <f t="shared" si="1"/>
        <v>94</v>
      </c>
      <c r="W76" s="17"/>
      <c r="X76" s="9" t="s">
        <v>922</v>
      </c>
    </row>
    <row r="77" spans="1:24" ht="25.5" x14ac:dyDescent="0.25">
      <c r="A77" s="7" t="s">
        <v>16</v>
      </c>
      <c r="B77" s="8">
        <v>8470310</v>
      </c>
      <c r="C77" s="9" t="s">
        <v>128</v>
      </c>
      <c r="D77" s="10">
        <v>425770</v>
      </c>
      <c r="E77" s="9" t="s">
        <v>119</v>
      </c>
      <c r="F77" s="9" t="s">
        <v>133</v>
      </c>
      <c r="G77" s="12">
        <v>130689</v>
      </c>
      <c r="H77" s="18">
        <v>1442</v>
      </c>
      <c r="I77" s="14"/>
      <c r="J77" s="15"/>
      <c r="K77" s="16">
        <v>129247</v>
      </c>
      <c r="L77" s="15">
        <v>10000</v>
      </c>
      <c r="M77" s="14">
        <v>20000</v>
      </c>
      <c r="N77" s="17">
        <v>30000</v>
      </c>
      <c r="O77" s="17">
        <v>30000</v>
      </c>
      <c r="P77" s="17">
        <v>30000</v>
      </c>
      <c r="Q77" s="17"/>
      <c r="R77" s="17"/>
      <c r="S77" s="17"/>
      <c r="T77" s="17">
        <v>9000</v>
      </c>
      <c r="U77" s="17"/>
      <c r="V77" s="11">
        <f t="shared" si="1"/>
        <v>247</v>
      </c>
      <c r="W77" s="17"/>
      <c r="X77" s="9" t="s">
        <v>922</v>
      </c>
    </row>
    <row r="78" spans="1:24" ht="25.5" x14ac:dyDescent="0.25">
      <c r="A78" s="7" t="s">
        <v>16</v>
      </c>
      <c r="B78" s="8">
        <v>8470310</v>
      </c>
      <c r="C78" s="9" t="s">
        <v>128</v>
      </c>
      <c r="D78" s="10">
        <v>425900</v>
      </c>
      <c r="E78" s="9" t="s">
        <v>24</v>
      </c>
      <c r="F78" s="9" t="s">
        <v>134</v>
      </c>
      <c r="G78" s="12">
        <v>1360</v>
      </c>
      <c r="H78" s="13"/>
      <c r="I78" s="14"/>
      <c r="J78" s="15"/>
      <c r="K78" s="16">
        <v>1360</v>
      </c>
      <c r="L78" s="15"/>
      <c r="M78" s="14"/>
      <c r="N78" s="17"/>
      <c r="O78" s="17"/>
      <c r="P78" s="17"/>
      <c r="Q78" s="17"/>
      <c r="R78" s="17"/>
      <c r="S78" s="17">
        <v>1300</v>
      </c>
      <c r="T78" s="17"/>
      <c r="U78" s="17"/>
      <c r="V78" s="11">
        <f t="shared" si="1"/>
        <v>60</v>
      </c>
      <c r="W78" s="17"/>
      <c r="X78" s="9" t="s">
        <v>922</v>
      </c>
    </row>
    <row r="79" spans="1:24" ht="25.5" x14ac:dyDescent="0.25">
      <c r="A79" s="7" t="s">
        <v>16</v>
      </c>
      <c r="B79" s="8">
        <v>8470310</v>
      </c>
      <c r="C79" s="9" t="s">
        <v>128</v>
      </c>
      <c r="D79" s="10">
        <v>426610</v>
      </c>
      <c r="E79" s="9" t="s">
        <v>39</v>
      </c>
      <c r="F79" s="9" t="s">
        <v>135</v>
      </c>
      <c r="G79" s="12">
        <v>8896</v>
      </c>
      <c r="H79" s="13"/>
      <c r="I79" s="19">
        <v>0</v>
      </c>
      <c r="J79" s="12">
        <v>5436.04</v>
      </c>
      <c r="K79" s="16">
        <v>3459.96</v>
      </c>
      <c r="L79" s="15"/>
      <c r="M79" s="14"/>
      <c r="N79" s="17">
        <v>3000</v>
      </c>
      <c r="O79" s="17"/>
      <c r="P79" s="17"/>
      <c r="Q79" s="17"/>
      <c r="R79" s="17"/>
      <c r="S79" s="17"/>
      <c r="T79" s="17"/>
      <c r="U79" s="17"/>
      <c r="V79" s="11">
        <f t="shared" si="1"/>
        <v>459.96000000000004</v>
      </c>
      <c r="W79" s="17"/>
      <c r="X79" s="9" t="s">
        <v>922</v>
      </c>
    </row>
    <row r="80" spans="1:24" ht="25.5" x14ac:dyDescent="0.25">
      <c r="A80" s="7" t="s">
        <v>16</v>
      </c>
      <c r="B80" s="8">
        <v>8470310</v>
      </c>
      <c r="C80" s="9" t="s">
        <v>128</v>
      </c>
      <c r="D80" s="10">
        <v>435350</v>
      </c>
      <c r="E80" s="9" t="s">
        <v>98</v>
      </c>
      <c r="F80" s="9" t="s">
        <v>136</v>
      </c>
      <c r="G80" s="12">
        <v>78000</v>
      </c>
      <c r="H80" s="18">
        <v>10440.31</v>
      </c>
      <c r="I80" s="14"/>
      <c r="J80" s="15"/>
      <c r="K80" s="16">
        <v>67559.69</v>
      </c>
      <c r="L80" s="15"/>
      <c r="M80" s="14"/>
      <c r="N80" s="17">
        <v>20000</v>
      </c>
      <c r="O80" s="17">
        <v>20000</v>
      </c>
      <c r="P80" s="17">
        <v>12000</v>
      </c>
      <c r="Q80" s="17"/>
      <c r="R80" s="17"/>
      <c r="S80" s="17"/>
      <c r="T80" s="17">
        <v>15500</v>
      </c>
      <c r="U80" s="17"/>
      <c r="V80" s="11">
        <f t="shared" si="1"/>
        <v>59.690000000002328</v>
      </c>
      <c r="W80" s="17"/>
      <c r="X80" s="9" t="s">
        <v>922</v>
      </c>
    </row>
    <row r="81" spans="1:24" ht="25.5" x14ac:dyDescent="0.25">
      <c r="A81" s="7" t="s">
        <v>16</v>
      </c>
      <c r="B81" s="8">
        <v>8470310</v>
      </c>
      <c r="C81" s="9" t="s">
        <v>128</v>
      </c>
      <c r="D81" s="10">
        <v>435508</v>
      </c>
      <c r="E81" s="9" t="s">
        <v>100</v>
      </c>
      <c r="F81" s="9" t="s">
        <v>137</v>
      </c>
      <c r="G81" s="12">
        <v>38173</v>
      </c>
      <c r="H81" s="18">
        <v>2518.35</v>
      </c>
      <c r="I81" s="14"/>
      <c r="J81" s="15"/>
      <c r="K81" s="16">
        <v>35654.65</v>
      </c>
      <c r="L81" s="15"/>
      <c r="M81" s="14"/>
      <c r="N81" s="17"/>
      <c r="O81" s="17"/>
      <c r="P81" s="17"/>
      <c r="Q81" s="17"/>
      <c r="R81" s="17"/>
      <c r="S81" s="17"/>
      <c r="T81" s="17"/>
      <c r="U81" s="17"/>
      <c r="V81" s="11">
        <f t="shared" si="1"/>
        <v>35654.65</v>
      </c>
      <c r="W81" s="17"/>
      <c r="X81" s="9" t="s">
        <v>922</v>
      </c>
    </row>
    <row r="82" spans="1:24" ht="25.5" x14ac:dyDescent="0.25">
      <c r="A82" s="7" t="s">
        <v>16</v>
      </c>
      <c r="B82" s="8">
        <v>8470315</v>
      </c>
      <c r="C82" s="9" t="s">
        <v>138</v>
      </c>
      <c r="D82" s="10">
        <v>420550</v>
      </c>
      <c r="E82" s="9" t="s">
        <v>18</v>
      </c>
      <c r="F82" s="9" t="s">
        <v>139</v>
      </c>
      <c r="G82" s="12">
        <v>2363</v>
      </c>
      <c r="H82" s="13"/>
      <c r="I82" s="14"/>
      <c r="J82" s="15"/>
      <c r="K82" s="16">
        <v>2363</v>
      </c>
      <c r="L82" s="15"/>
      <c r="M82" s="14"/>
      <c r="N82" s="17"/>
      <c r="O82" s="17"/>
      <c r="P82" s="17"/>
      <c r="Q82" s="17"/>
      <c r="R82" s="17"/>
      <c r="S82" s="17">
        <v>2363</v>
      </c>
      <c r="T82" s="17"/>
      <c r="U82" s="17"/>
      <c r="V82" s="11">
        <f t="shared" si="1"/>
        <v>0</v>
      </c>
      <c r="W82" s="17"/>
      <c r="X82" s="9" t="s">
        <v>922</v>
      </c>
    </row>
    <row r="83" spans="1:24" ht="25.5" x14ac:dyDescent="0.25">
      <c r="A83" s="7" t="s">
        <v>16</v>
      </c>
      <c r="B83" s="8">
        <v>8470315</v>
      </c>
      <c r="C83" s="9" t="s">
        <v>138</v>
      </c>
      <c r="D83" s="10">
        <v>425510</v>
      </c>
      <c r="E83" s="9" t="s">
        <v>20</v>
      </c>
      <c r="F83" s="9" t="s">
        <v>140</v>
      </c>
      <c r="G83" s="12">
        <v>6712</v>
      </c>
      <c r="H83" s="18">
        <v>6712</v>
      </c>
      <c r="I83" s="14"/>
      <c r="J83" s="15"/>
      <c r="K83" s="16">
        <v>-7.2759576141834308E-12</v>
      </c>
      <c r="L83" s="15"/>
      <c r="M83" s="14"/>
      <c r="N83" s="17"/>
      <c r="O83" s="17"/>
      <c r="P83" s="17"/>
      <c r="Q83" s="17"/>
      <c r="R83" s="17"/>
      <c r="S83" s="17"/>
      <c r="T83" s="17"/>
      <c r="U83" s="17"/>
      <c r="V83" s="11">
        <f t="shared" si="1"/>
        <v>-7.2759576141834308E-12</v>
      </c>
      <c r="W83" s="17"/>
      <c r="X83" s="9" t="s">
        <v>922</v>
      </c>
    </row>
    <row r="84" spans="1:24" ht="25.5" x14ac:dyDescent="0.25">
      <c r="A84" s="7" t="s">
        <v>16</v>
      </c>
      <c r="B84" s="8">
        <v>8470315</v>
      </c>
      <c r="C84" s="9" t="s">
        <v>138</v>
      </c>
      <c r="D84" s="10">
        <v>425763</v>
      </c>
      <c r="E84" s="9" t="s">
        <v>53</v>
      </c>
      <c r="F84" s="9" t="s">
        <v>141</v>
      </c>
      <c r="G84" s="12">
        <v>107045</v>
      </c>
      <c r="H84" s="13"/>
      <c r="I84" s="14"/>
      <c r="J84" s="15"/>
      <c r="K84" s="16">
        <v>107045</v>
      </c>
      <c r="L84" s="15"/>
      <c r="M84" s="14">
        <v>41000</v>
      </c>
      <c r="N84" s="17"/>
      <c r="O84" s="17"/>
      <c r="P84" s="17"/>
      <c r="Q84" s="17">
        <v>52049</v>
      </c>
      <c r="R84" s="17"/>
      <c r="S84" s="17"/>
      <c r="T84" s="17"/>
      <c r="U84" s="17"/>
      <c r="V84" s="11">
        <f t="shared" si="1"/>
        <v>13996</v>
      </c>
      <c r="W84" s="78" t="s">
        <v>646</v>
      </c>
      <c r="X84" s="9" t="s">
        <v>922</v>
      </c>
    </row>
    <row r="85" spans="1:24" ht="25.5" x14ac:dyDescent="0.25">
      <c r="A85" s="7" t="s">
        <v>16</v>
      </c>
      <c r="B85" s="8">
        <v>8470315</v>
      </c>
      <c r="C85" s="9" t="s">
        <v>138</v>
      </c>
      <c r="D85" s="10">
        <v>425770</v>
      </c>
      <c r="E85" s="9" t="s">
        <v>119</v>
      </c>
      <c r="F85" s="9" t="s">
        <v>142</v>
      </c>
      <c r="G85" s="12">
        <v>198383</v>
      </c>
      <c r="H85" s="18">
        <v>25742.22</v>
      </c>
      <c r="I85" s="14"/>
      <c r="J85" s="15"/>
      <c r="K85" s="16">
        <v>172640.78</v>
      </c>
      <c r="L85" s="15"/>
      <c r="M85" s="14"/>
      <c r="N85" s="17">
        <v>50000</v>
      </c>
      <c r="O85" s="17">
        <v>30000</v>
      </c>
      <c r="P85" s="17">
        <v>50000</v>
      </c>
      <c r="Q85" s="17"/>
      <c r="R85" s="17">
        <v>20000</v>
      </c>
      <c r="S85" s="17">
        <v>22641</v>
      </c>
      <c r="T85" s="17"/>
      <c r="U85" s="17"/>
      <c r="V85" s="11">
        <f t="shared" si="1"/>
        <v>-0.22000000000116415</v>
      </c>
      <c r="W85" s="17"/>
      <c r="X85" s="9" t="s">
        <v>922</v>
      </c>
    </row>
    <row r="86" spans="1:24" ht="25.5" x14ac:dyDescent="0.25">
      <c r="A86" s="7" t="s">
        <v>16</v>
      </c>
      <c r="B86" s="8">
        <v>8470315</v>
      </c>
      <c r="C86" s="9" t="s">
        <v>138</v>
      </c>
      <c r="D86" s="10">
        <v>425900</v>
      </c>
      <c r="E86" s="9" t="s">
        <v>24</v>
      </c>
      <c r="F86" s="9" t="s">
        <v>143</v>
      </c>
      <c r="G86" s="12">
        <v>3072</v>
      </c>
      <c r="H86" s="13"/>
      <c r="I86" s="14"/>
      <c r="J86" s="15"/>
      <c r="K86" s="16">
        <v>3072</v>
      </c>
      <c r="L86" s="15"/>
      <c r="M86" s="14">
        <v>1500</v>
      </c>
      <c r="N86" s="17"/>
      <c r="O86" s="17"/>
      <c r="P86" s="17"/>
      <c r="Q86" s="17">
        <v>1572</v>
      </c>
      <c r="R86" s="17"/>
      <c r="S86" s="17"/>
      <c r="T86" s="17"/>
      <c r="U86" s="17"/>
      <c r="V86" s="11">
        <f t="shared" si="1"/>
        <v>0</v>
      </c>
      <c r="W86" s="17"/>
      <c r="X86" s="9" t="s">
        <v>922</v>
      </c>
    </row>
    <row r="87" spans="1:24" ht="25.5" x14ac:dyDescent="0.25">
      <c r="A87" s="7" t="s">
        <v>16</v>
      </c>
      <c r="B87" s="8">
        <v>8470315</v>
      </c>
      <c r="C87" s="9" t="s">
        <v>138</v>
      </c>
      <c r="D87" s="10">
        <v>426610</v>
      </c>
      <c r="E87" s="9" t="s">
        <v>39</v>
      </c>
      <c r="F87" s="9" t="s">
        <v>144</v>
      </c>
      <c r="G87" s="12">
        <v>7412</v>
      </c>
      <c r="H87" s="13"/>
      <c r="I87" s="14"/>
      <c r="J87" s="15"/>
      <c r="K87" s="16">
        <v>7412</v>
      </c>
      <c r="L87" s="15"/>
      <c r="M87" s="14">
        <v>7412</v>
      </c>
      <c r="N87" s="17"/>
      <c r="O87" s="17"/>
      <c r="P87" s="17"/>
      <c r="Q87" s="17"/>
      <c r="R87" s="17"/>
      <c r="S87" s="17"/>
      <c r="T87" s="17"/>
      <c r="U87" s="17"/>
      <c r="V87" s="11">
        <f t="shared" si="1"/>
        <v>0</v>
      </c>
      <c r="W87" s="17"/>
      <c r="X87" s="9" t="s">
        <v>922</v>
      </c>
    </row>
    <row r="88" spans="1:24" ht="25.5" x14ac:dyDescent="0.25">
      <c r="A88" s="7" t="s">
        <v>16</v>
      </c>
      <c r="B88" s="8">
        <v>8470315</v>
      </c>
      <c r="C88" s="9" t="s">
        <v>138</v>
      </c>
      <c r="D88" s="10">
        <v>428090</v>
      </c>
      <c r="E88" s="9" t="s">
        <v>26</v>
      </c>
      <c r="F88" s="9" t="s">
        <v>145</v>
      </c>
      <c r="G88" s="12">
        <v>10400</v>
      </c>
      <c r="H88" s="13"/>
      <c r="I88" s="14"/>
      <c r="J88" s="15"/>
      <c r="K88" s="16">
        <v>10400</v>
      </c>
      <c r="L88" s="15"/>
      <c r="M88" s="14"/>
      <c r="N88" s="17"/>
      <c r="O88" s="17"/>
      <c r="P88" s="17"/>
      <c r="Q88" s="17"/>
      <c r="R88" s="17"/>
      <c r="S88" s="17">
        <v>10400</v>
      </c>
      <c r="T88" s="17"/>
      <c r="U88" s="17"/>
      <c r="V88" s="11">
        <f t="shared" si="1"/>
        <v>0</v>
      </c>
      <c r="W88" s="17"/>
      <c r="X88" s="9" t="s">
        <v>922</v>
      </c>
    </row>
    <row r="89" spans="1:24" ht="25.5" x14ac:dyDescent="0.25">
      <c r="A89" s="7" t="s">
        <v>16</v>
      </c>
      <c r="B89" s="8">
        <v>8470315</v>
      </c>
      <c r="C89" s="9" t="s">
        <v>138</v>
      </c>
      <c r="D89" s="10">
        <v>432209</v>
      </c>
      <c r="E89" s="9" t="s">
        <v>124</v>
      </c>
      <c r="F89" s="9" t="s">
        <v>146</v>
      </c>
      <c r="G89" s="12">
        <v>88394</v>
      </c>
      <c r="H89" s="18">
        <v>16000</v>
      </c>
      <c r="I89" s="19">
        <v>44872.2</v>
      </c>
      <c r="J89" s="12">
        <v>26517.8</v>
      </c>
      <c r="K89" s="16">
        <v>1004</v>
      </c>
      <c r="L89" s="79">
        <v>15000</v>
      </c>
      <c r="M89" s="14"/>
      <c r="N89" s="17"/>
      <c r="O89" s="17"/>
      <c r="P89" s="17"/>
      <c r="Q89" s="17"/>
      <c r="R89" s="17"/>
      <c r="S89" s="17"/>
      <c r="T89" s="17"/>
      <c r="U89" s="17"/>
      <c r="V89" s="11">
        <f t="shared" si="1"/>
        <v>-13996</v>
      </c>
      <c r="W89" s="78" t="s">
        <v>647</v>
      </c>
      <c r="X89" s="9" t="s">
        <v>922</v>
      </c>
    </row>
    <row r="90" spans="1:24" ht="25.5" x14ac:dyDescent="0.25">
      <c r="A90" s="7" t="s">
        <v>16</v>
      </c>
      <c r="B90" s="8">
        <v>8470315</v>
      </c>
      <c r="C90" s="9" t="s">
        <v>138</v>
      </c>
      <c r="D90" s="10">
        <v>435350</v>
      </c>
      <c r="E90" s="9" t="s">
        <v>98</v>
      </c>
      <c r="F90" s="9" t="s">
        <v>147</v>
      </c>
      <c r="G90" s="12">
        <v>42246</v>
      </c>
      <c r="H90" s="18">
        <v>16669.650000000001</v>
      </c>
      <c r="I90" s="14"/>
      <c r="J90" s="15"/>
      <c r="K90" s="16">
        <v>25576.35</v>
      </c>
      <c r="L90" s="15"/>
      <c r="M90" s="14"/>
      <c r="N90" s="17">
        <v>10000</v>
      </c>
      <c r="O90" s="17"/>
      <c r="P90" s="17">
        <v>7500</v>
      </c>
      <c r="Q90" s="17"/>
      <c r="R90" s="17">
        <v>8076</v>
      </c>
      <c r="S90" s="17"/>
      <c r="T90" s="17"/>
      <c r="U90" s="17"/>
      <c r="V90" s="11">
        <f t="shared" si="1"/>
        <v>0.34999999999854481</v>
      </c>
      <c r="W90" s="17"/>
      <c r="X90" s="9" t="s">
        <v>922</v>
      </c>
    </row>
    <row r="91" spans="1:24" ht="25.5" x14ac:dyDescent="0.25">
      <c r="A91" s="7" t="s">
        <v>16</v>
      </c>
      <c r="B91" s="8">
        <v>8470315</v>
      </c>
      <c r="C91" s="9" t="s">
        <v>138</v>
      </c>
      <c r="D91" s="10">
        <v>435508</v>
      </c>
      <c r="E91" s="9" t="s">
        <v>100</v>
      </c>
      <c r="F91" s="9" t="s">
        <v>148</v>
      </c>
      <c r="G91" s="12">
        <v>113080</v>
      </c>
      <c r="H91" s="18">
        <v>6108.9</v>
      </c>
      <c r="I91" s="19">
        <v>21952.560000000001</v>
      </c>
      <c r="J91" s="12">
        <v>1191.78</v>
      </c>
      <c r="K91" s="16">
        <v>83826.759999999995</v>
      </c>
      <c r="L91" s="15">
        <v>45000</v>
      </c>
      <c r="M91" s="14">
        <v>20000</v>
      </c>
      <c r="N91" s="17">
        <v>10000</v>
      </c>
      <c r="O91" s="17">
        <v>4000</v>
      </c>
      <c r="P91" s="17">
        <v>1000</v>
      </c>
      <c r="Q91" s="17">
        <v>1827</v>
      </c>
      <c r="R91" s="17">
        <v>2000</v>
      </c>
      <c r="S91" s="17"/>
      <c r="T91" s="17"/>
      <c r="U91" s="17"/>
      <c r="V91" s="11">
        <f t="shared" si="1"/>
        <v>-0.24000000000523869</v>
      </c>
      <c r="W91" s="17"/>
      <c r="X91" s="9" t="s">
        <v>922</v>
      </c>
    </row>
    <row r="92" spans="1:24" ht="25.5" x14ac:dyDescent="0.25">
      <c r="A92" s="7" t="s">
        <v>16</v>
      </c>
      <c r="B92" s="8">
        <v>8470320</v>
      </c>
      <c r="C92" s="9" t="s">
        <v>149</v>
      </c>
      <c r="D92" s="10">
        <v>425510</v>
      </c>
      <c r="E92" s="9" t="s">
        <v>20</v>
      </c>
      <c r="F92" s="9" t="s">
        <v>150</v>
      </c>
      <c r="G92" s="12">
        <v>13650</v>
      </c>
      <c r="H92" s="18">
        <v>11094.75</v>
      </c>
      <c r="I92" s="14"/>
      <c r="J92" s="15"/>
      <c r="K92" s="16">
        <v>2555.25</v>
      </c>
      <c r="L92" s="15"/>
      <c r="M92" s="14">
        <v>2555</v>
      </c>
      <c r="N92" s="17"/>
      <c r="O92" s="17"/>
      <c r="P92" s="17"/>
      <c r="Q92" s="17"/>
      <c r="R92" s="17"/>
      <c r="S92" s="17"/>
      <c r="T92" s="17"/>
      <c r="U92" s="78" t="s">
        <v>648</v>
      </c>
      <c r="V92" s="11">
        <f t="shared" si="1"/>
        <v>0.25</v>
      </c>
      <c r="W92" s="17"/>
      <c r="X92" s="9" t="s">
        <v>922</v>
      </c>
    </row>
    <row r="93" spans="1:24" ht="25.5" x14ac:dyDescent="0.25">
      <c r="A93" s="7" t="s">
        <v>16</v>
      </c>
      <c r="B93" s="8">
        <v>8470320</v>
      </c>
      <c r="C93" s="9" t="s">
        <v>149</v>
      </c>
      <c r="D93" s="10">
        <v>425760</v>
      </c>
      <c r="E93" s="9" t="s">
        <v>116</v>
      </c>
      <c r="F93" s="9" t="s">
        <v>151</v>
      </c>
      <c r="G93" s="12">
        <v>5390</v>
      </c>
      <c r="H93" s="13"/>
      <c r="I93" s="14"/>
      <c r="J93" s="15"/>
      <c r="K93" s="16">
        <v>5390</v>
      </c>
      <c r="L93" s="15"/>
      <c r="M93" s="14"/>
      <c r="N93" s="17"/>
      <c r="O93" s="17"/>
      <c r="P93" s="17"/>
      <c r="Q93" s="17">
        <v>5390</v>
      </c>
      <c r="R93" s="17"/>
      <c r="S93" s="17"/>
      <c r="T93" s="17"/>
      <c r="U93" s="78" t="s">
        <v>649</v>
      </c>
      <c r="V93" s="11">
        <f t="shared" si="1"/>
        <v>0</v>
      </c>
      <c r="W93" s="17"/>
      <c r="X93" s="9" t="s">
        <v>922</v>
      </c>
    </row>
    <row r="94" spans="1:24" ht="25.5" x14ac:dyDescent="0.25">
      <c r="A94" s="7" t="s">
        <v>16</v>
      </c>
      <c r="B94" s="8">
        <v>8470320</v>
      </c>
      <c r="C94" s="9" t="s">
        <v>149</v>
      </c>
      <c r="D94" s="10">
        <v>425763</v>
      </c>
      <c r="E94" s="9" t="s">
        <v>53</v>
      </c>
      <c r="F94" s="9" t="s">
        <v>152</v>
      </c>
      <c r="G94" s="12">
        <v>45000</v>
      </c>
      <c r="H94" s="18">
        <v>0</v>
      </c>
      <c r="I94" s="14"/>
      <c r="J94" s="15"/>
      <c r="K94" s="16">
        <v>45000</v>
      </c>
      <c r="L94" s="15">
        <v>30000</v>
      </c>
      <c r="M94" s="14"/>
      <c r="N94" s="17"/>
      <c r="O94" s="17">
        <v>15000</v>
      </c>
      <c r="P94" s="17"/>
      <c r="Q94" s="17"/>
      <c r="R94" s="17"/>
      <c r="S94" s="17"/>
      <c r="T94" s="17"/>
      <c r="U94" s="78" t="s">
        <v>650</v>
      </c>
      <c r="V94" s="11">
        <f t="shared" si="1"/>
        <v>0</v>
      </c>
      <c r="W94" s="17"/>
      <c r="X94" s="9" t="s">
        <v>922</v>
      </c>
    </row>
    <row r="95" spans="1:24" ht="25.5" x14ac:dyDescent="0.25">
      <c r="A95" s="7" t="s">
        <v>16</v>
      </c>
      <c r="B95" s="8">
        <v>8470320</v>
      </c>
      <c r="C95" s="9" t="s">
        <v>149</v>
      </c>
      <c r="D95" s="10">
        <v>425770</v>
      </c>
      <c r="E95" s="9" t="s">
        <v>119</v>
      </c>
      <c r="F95" s="9" t="s">
        <v>153</v>
      </c>
      <c r="G95" s="12">
        <v>236600</v>
      </c>
      <c r="H95" s="18">
        <v>13803.27</v>
      </c>
      <c r="I95" s="14"/>
      <c r="J95" s="15"/>
      <c r="K95" s="16">
        <v>222796.73</v>
      </c>
      <c r="L95" s="15"/>
      <c r="M95" s="14"/>
      <c r="N95" s="17">
        <v>25000</v>
      </c>
      <c r="O95" s="17">
        <v>25000</v>
      </c>
      <c r="P95" s="17">
        <v>25000</v>
      </c>
      <c r="Q95" s="17">
        <v>25000</v>
      </c>
      <c r="R95" s="17">
        <v>100000</v>
      </c>
      <c r="S95" s="17">
        <v>23000</v>
      </c>
      <c r="T95" s="17"/>
      <c r="U95" s="78" t="s">
        <v>651</v>
      </c>
      <c r="V95" s="11">
        <f t="shared" si="1"/>
        <v>-203.26999999998952</v>
      </c>
      <c r="W95" s="17"/>
      <c r="X95" s="9" t="s">
        <v>922</v>
      </c>
    </row>
    <row r="96" spans="1:24" ht="25.5" x14ac:dyDescent="0.25">
      <c r="A96" s="7" t="s">
        <v>16</v>
      </c>
      <c r="B96" s="8">
        <v>8470320</v>
      </c>
      <c r="C96" s="9" t="s">
        <v>149</v>
      </c>
      <c r="D96" s="10">
        <v>425900</v>
      </c>
      <c r="E96" s="9" t="s">
        <v>24</v>
      </c>
      <c r="F96" s="9" t="s">
        <v>154</v>
      </c>
      <c r="G96" s="12">
        <v>4750</v>
      </c>
      <c r="H96" s="18">
        <v>2415</v>
      </c>
      <c r="I96" s="14"/>
      <c r="J96" s="15"/>
      <c r="K96" s="16">
        <v>2335</v>
      </c>
      <c r="L96" s="15"/>
      <c r="M96" s="14">
        <v>2335</v>
      </c>
      <c r="N96" s="17"/>
      <c r="O96" s="17"/>
      <c r="P96" s="17"/>
      <c r="Q96" s="17"/>
      <c r="R96" s="17"/>
      <c r="S96" s="17"/>
      <c r="T96" s="17"/>
      <c r="U96" s="78" t="s">
        <v>652</v>
      </c>
      <c r="V96" s="11">
        <f t="shared" si="1"/>
        <v>0</v>
      </c>
      <c r="W96" s="17"/>
      <c r="X96" s="9" t="s">
        <v>922</v>
      </c>
    </row>
    <row r="97" spans="1:24" ht="63.75" x14ac:dyDescent="0.25">
      <c r="A97" s="7" t="s">
        <v>16</v>
      </c>
      <c r="B97" s="8">
        <v>8470320</v>
      </c>
      <c r="C97" s="9" t="s">
        <v>149</v>
      </c>
      <c r="D97" s="10">
        <v>426610</v>
      </c>
      <c r="E97" s="9" t="s">
        <v>39</v>
      </c>
      <c r="F97" s="9" t="s">
        <v>155</v>
      </c>
      <c r="G97" s="12">
        <v>60384</v>
      </c>
      <c r="H97" s="13"/>
      <c r="I97" s="19">
        <v>33802.620000000003</v>
      </c>
      <c r="J97" s="15"/>
      <c r="K97" s="16">
        <v>26581.38</v>
      </c>
      <c r="L97" s="15">
        <v>23000</v>
      </c>
      <c r="M97" s="14"/>
      <c r="N97" s="17"/>
      <c r="O97" s="17">
        <v>3600</v>
      </c>
      <c r="P97" s="17"/>
      <c r="Q97" s="17"/>
      <c r="R97" s="17"/>
      <c r="S97" s="17"/>
      <c r="T97" s="17"/>
      <c r="U97" s="78" t="s">
        <v>653</v>
      </c>
      <c r="V97" s="11">
        <f t="shared" si="1"/>
        <v>-18.619999999998981</v>
      </c>
      <c r="W97" s="17"/>
      <c r="X97" s="9" t="s">
        <v>922</v>
      </c>
    </row>
    <row r="98" spans="1:24" ht="25.5" x14ac:dyDescent="0.25">
      <c r="A98" s="7" t="s">
        <v>16</v>
      </c>
      <c r="B98" s="8">
        <v>8470320</v>
      </c>
      <c r="C98" s="9" t="s">
        <v>149</v>
      </c>
      <c r="D98" s="10">
        <v>435350</v>
      </c>
      <c r="E98" s="9" t="s">
        <v>98</v>
      </c>
      <c r="F98" s="9" t="s">
        <v>156</v>
      </c>
      <c r="G98" s="12">
        <v>35857</v>
      </c>
      <c r="H98" s="13"/>
      <c r="I98" s="14"/>
      <c r="J98" s="15"/>
      <c r="K98" s="16">
        <v>35857</v>
      </c>
      <c r="L98" s="15"/>
      <c r="M98" s="14">
        <v>10000</v>
      </c>
      <c r="N98" s="14">
        <v>10000</v>
      </c>
      <c r="O98" s="14">
        <v>10000</v>
      </c>
      <c r="P98" s="14">
        <v>5000</v>
      </c>
      <c r="Q98" s="14"/>
      <c r="R98" s="17"/>
      <c r="S98" s="17"/>
      <c r="T98" s="17"/>
      <c r="U98" s="78" t="s">
        <v>654</v>
      </c>
      <c r="V98" s="11">
        <f t="shared" si="1"/>
        <v>857</v>
      </c>
      <c r="W98" s="17"/>
      <c r="X98" s="9" t="s">
        <v>922</v>
      </c>
    </row>
    <row r="99" spans="1:24" ht="25.5" x14ac:dyDescent="0.25">
      <c r="A99" s="7" t="s">
        <v>16</v>
      </c>
      <c r="B99" s="8">
        <v>8470320</v>
      </c>
      <c r="C99" s="9" t="s">
        <v>149</v>
      </c>
      <c r="D99" s="10">
        <v>435508</v>
      </c>
      <c r="E99" s="9" t="s">
        <v>100</v>
      </c>
      <c r="F99" s="9" t="s">
        <v>157</v>
      </c>
      <c r="G99" s="12">
        <v>43050</v>
      </c>
      <c r="H99" s="18">
        <v>1883.28</v>
      </c>
      <c r="I99" s="19">
        <v>-1613.7</v>
      </c>
      <c r="J99" s="12">
        <v>6851.84</v>
      </c>
      <c r="K99" s="16">
        <v>35928.58</v>
      </c>
      <c r="L99" s="15">
        <v>10000</v>
      </c>
      <c r="M99" s="14">
        <v>20000</v>
      </c>
      <c r="N99" s="17"/>
      <c r="O99" s="17">
        <v>6000</v>
      </c>
      <c r="P99" s="17"/>
      <c r="Q99" s="17"/>
      <c r="R99" s="17"/>
      <c r="S99" s="17"/>
      <c r="T99" s="17"/>
      <c r="U99" s="17" t="s">
        <v>655</v>
      </c>
      <c r="V99" s="11">
        <f t="shared" si="1"/>
        <v>-71.419999999998254</v>
      </c>
      <c r="W99" s="17"/>
      <c r="X99" s="9" t="s">
        <v>922</v>
      </c>
    </row>
    <row r="100" spans="1:24" ht="25.5" x14ac:dyDescent="0.25">
      <c r="A100" s="7" t="s">
        <v>16</v>
      </c>
      <c r="B100" s="8">
        <v>8470320</v>
      </c>
      <c r="C100" s="9" t="s">
        <v>149</v>
      </c>
      <c r="D100" s="10">
        <v>436110</v>
      </c>
      <c r="E100" s="9" t="s">
        <v>158</v>
      </c>
      <c r="F100" s="9" t="s">
        <v>159</v>
      </c>
      <c r="G100" s="12">
        <v>10850</v>
      </c>
      <c r="H100" s="13"/>
      <c r="I100" s="14"/>
      <c r="J100" s="15"/>
      <c r="K100" s="16">
        <v>10850</v>
      </c>
      <c r="L100" s="15"/>
      <c r="M100" s="14"/>
      <c r="N100" s="17"/>
      <c r="O100" s="17"/>
      <c r="P100" s="17">
        <v>10500</v>
      </c>
      <c r="Q100" s="17"/>
      <c r="R100" s="17"/>
      <c r="S100" s="17"/>
      <c r="T100" s="17"/>
      <c r="U100" s="78" t="s">
        <v>656</v>
      </c>
      <c r="V100" s="11">
        <f t="shared" si="1"/>
        <v>350</v>
      </c>
      <c r="W100" s="17"/>
      <c r="X100" s="9" t="s">
        <v>922</v>
      </c>
    </row>
    <row r="101" spans="1:24" ht="25.5" x14ac:dyDescent="0.25">
      <c r="A101" s="7" t="s">
        <v>16</v>
      </c>
      <c r="B101" s="8">
        <v>8470320</v>
      </c>
      <c r="C101" s="9" t="s">
        <v>149</v>
      </c>
      <c r="D101" s="10">
        <v>436600</v>
      </c>
      <c r="E101" s="9" t="s">
        <v>160</v>
      </c>
      <c r="F101" s="9" t="s">
        <v>161</v>
      </c>
      <c r="G101" s="12">
        <v>5175</v>
      </c>
      <c r="H101" s="13"/>
      <c r="I101" s="14"/>
      <c r="J101" s="15"/>
      <c r="K101" s="16">
        <v>5175</v>
      </c>
      <c r="L101" s="15"/>
      <c r="M101" s="14"/>
      <c r="N101" s="17"/>
      <c r="O101" s="17">
        <v>5175</v>
      </c>
      <c r="P101" s="17"/>
      <c r="Q101" s="17"/>
      <c r="R101" s="17"/>
      <c r="S101" s="17"/>
      <c r="T101" s="17"/>
      <c r="U101" s="78" t="s">
        <v>657</v>
      </c>
      <c r="V101" s="11">
        <f t="shared" si="1"/>
        <v>0</v>
      </c>
      <c r="W101" s="17"/>
      <c r="X101" s="9" t="s">
        <v>922</v>
      </c>
    </row>
    <row r="102" spans="1:24" ht="25.5" x14ac:dyDescent="0.25">
      <c r="A102" s="7" t="s">
        <v>16</v>
      </c>
      <c r="B102" s="8">
        <v>8470325</v>
      </c>
      <c r="C102" s="9" t="s">
        <v>162</v>
      </c>
      <c r="D102" s="10">
        <v>425510</v>
      </c>
      <c r="E102" s="9" t="s">
        <v>20</v>
      </c>
      <c r="F102" s="9" t="s">
        <v>163</v>
      </c>
      <c r="G102" s="12">
        <v>3003</v>
      </c>
      <c r="H102" s="18">
        <v>1218.3599999999999</v>
      </c>
      <c r="I102" s="14"/>
      <c r="J102" s="15"/>
      <c r="K102" s="16">
        <v>1784.64</v>
      </c>
      <c r="L102" s="15"/>
      <c r="M102" s="80">
        <v>400</v>
      </c>
      <c r="N102" s="77">
        <v>400</v>
      </c>
      <c r="O102" s="77"/>
      <c r="P102" s="77"/>
      <c r="Q102" s="77">
        <v>400</v>
      </c>
      <c r="R102" s="77"/>
      <c r="S102" s="77">
        <v>580</v>
      </c>
      <c r="T102" s="77"/>
      <c r="U102" s="77" t="s">
        <v>690</v>
      </c>
      <c r="V102" s="11">
        <f t="shared" si="1"/>
        <v>4.6400000000001</v>
      </c>
      <c r="W102" s="17"/>
      <c r="X102" s="9" t="s">
        <v>922</v>
      </c>
    </row>
    <row r="103" spans="1:24" ht="25.5" x14ac:dyDescent="0.25">
      <c r="A103" s="7" t="s">
        <v>16</v>
      </c>
      <c r="B103" s="8">
        <v>8470325</v>
      </c>
      <c r="C103" s="9" t="s">
        <v>162</v>
      </c>
      <c r="D103" s="10">
        <v>425763</v>
      </c>
      <c r="E103" s="9" t="s">
        <v>53</v>
      </c>
      <c r="F103" s="9" t="s">
        <v>164</v>
      </c>
      <c r="G103" s="12">
        <v>45000</v>
      </c>
      <c r="H103" s="18">
        <v>3597.7</v>
      </c>
      <c r="I103" s="14"/>
      <c r="J103" s="15"/>
      <c r="K103" s="16">
        <v>41402.300000000003</v>
      </c>
      <c r="L103" s="15"/>
      <c r="M103" s="80">
        <v>8000</v>
      </c>
      <c r="N103" s="77">
        <v>8000</v>
      </c>
      <c r="O103" s="77"/>
      <c r="P103" s="77"/>
      <c r="Q103" s="77">
        <v>8000</v>
      </c>
      <c r="R103" s="77">
        <v>8000</v>
      </c>
      <c r="S103" s="77">
        <v>8000</v>
      </c>
      <c r="T103" s="77">
        <v>1400</v>
      </c>
      <c r="U103" s="77" t="s">
        <v>691</v>
      </c>
      <c r="V103" s="11">
        <f t="shared" si="1"/>
        <v>2.3000000000029104</v>
      </c>
      <c r="W103" s="17"/>
      <c r="X103" s="9" t="s">
        <v>922</v>
      </c>
    </row>
    <row r="104" spans="1:24" ht="25.5" x14ac:dyDescent="0.25">
      <c r="A104" s="7" t="s">
        <v>16</v>
      </c>
      <c r="B104" s="8">
        <v>8470325</v>
      </c>
      <c r="C104" s="9" t="s">
        <v>162</v>
      </c>
      <c r="D104" s="10">
        <v>425770</v>
      </c>
      <c r="E104" s="9" t="s">
        <v>119</v>
      </c>
      <c r="F104" s="9" t="s">
        <v>165</v>
      </c>
      <c r="G104" s="12">
        <v>264435</v>
      </c>
      <c r="H104" s="18">
        <v>138539</v>
      </c>
      <c r="I104" s="19">
        <v>0</v>
      </c>
      <c r="J104" s="15"/>
      <c r="K104" s="16">
        <v>125896</v>
      </c>
      <c r="L104" s="15"/>
      <c r="M104" s="14"/>
      <c r="N104" s="77">
        <v>60000</v>
      </c>
      <c r="O104" s="77"/>
      <c r="P104" s="77"/>
      <c r="Q104" s="77">
        <v>22000</v>
      </c>
      <c r="R104" s="77">
        <v>22000</v>
      </c>
      <c r="S104" s="77">
        <v>21890</v>
      </c>
      <c r="T104" s="17"/>
      <c r="U104" s="77" t="s">
        <v>692</v>
      </c>
      <c r="V104" s="11">
        <f t="shared" si="1"/>
        <v>6</v>
      </c>
      <c r="W104" s="17"/>
      <c r="X104" s="9" t="s">
        <v>922</v>
      </c>
    </row>
    <row r="105" spans="1:24" ht="25.5" x14ac:dyDescent="0.25">
      <c r="A105" s="7" t="s">
        <v>16</v>
      </c>
      <c r="B105" s="8">
        <v>8470325</v>
      </c>
      <c r="C105" s="9" t="s">
        <v>162</v>
      </c>
      <c r="D105" s="10">
        <v>425900</v>
      </c>
      <c r="E105" s="9" t="s">
        <v>24</v>
      </c>
      <c r="F105" s="9" t="s">
        <v>166</v>
      </c>
      <c r="G105" s="12">
        <v>9600</v>
      </c>
      <c r="H105" s="13"/>
      <c r="I105" s="14"/>
      <c r="J105" s="15"/>
      <c r="K105" s="16">
        <v>9600</v>
      </c>
      <c r="L105" s="15"/>
      <c r="M105" s="14"/>
      <c r="N105" s="77">
        <v>4000</v>
      </c>
      <c r="O105" s="77"/>
      <c r="P105" s="77"/>
      <c r="Q105" s="77">
        <v>1000</v>
      </c>
      <c r="R105" s="77"/>
      <c r="S105" s="77"/>
      <c r="T105" s="77">
        <v>4600</v>
      </c>
      <c r="U105" s="77" t="s">
        <v>693</v>
      </c>
      <c r="V105" s="11">
        <f t="shared" si="1"/>
        <v>0</v>
      </c>
      <c r="W105" s="17"/>
      <c r="X105" s="9" t="s">
        <v>922</v>
      </c>
    </row>
    <row r="106" spans="1:24" ht="25.5" x14ac:dyDescent="0.25">
      <c r="A106" s="7" t="s">
        <v>16</v>
      </c>
      <c r="B106" s="8">
        <v>8470325</v>
      </c>
      <c r="C106" s="9" t="s">
        <v>162</v>
      </c>
      <c r="D106" s="10">
        <v>426610</v>
      </c>
      <c r="E106" s="9" t="s">
        <v>39</v>
      </c>
      <c r="F106" s="9" t="s">
        <v>167</v>
      </c>
      <c r="G106" s="12">
        <v>24683</v>
      </c>
      <c r="H106" s="18">
        <v>359.26</v>
      </c>
      <c r="I106" s="19">
        <v>12040</v>
      </c>
      <c r="J106" s="15"/>
      <c r="K106" s="16">
        <v>12283.74</v>
      </c>
      <c r="L106" s="15"/>
      <c r="M106" s="14"/>
      <c r="N106" s="77">
        <v>12280</v>
      </c>
      <c r="O106" s="17"/>
      <c r="P106" s="17"/>
      <c r="Q106" s="17"/>
      <c r="R106" s="17"/>
      <c r="S106" s="17"/>
      <c r="T106" s="17"/>
      <c r="U106" s="77" t="s">
        <v>664</v>
      </c>
      <c r="V106" s="11">
        <f t="shared" si="1"/>
        <v>3.7399999999997817</v>
      </c>
      <c r="W106" s="17"/>
      <c r="X106" s="9" t="s">
        <v>922</v>
      </c>
    </row>
    <row r="107" spans="1:24" ht="25.5" x14ac:dyDescent="0.25">
      <c r="A107" s="7" t="s">
        <v>16</v>
      </c>
      <c r="B107" s="8">
        <v>8470325</v>
      </c>
      <c r="C107" s="9" t="s">
        <v>162</v>
      </c>
      <c r="D107" s="10">
        <v>432209</v>
      </c>
      <c r="E107" s="9" t="s">
        <v>124</v>
      </c>
      <c r="F107" s="9" t="s">
        <v>168</v>
      </c>
      <c r="G107" s="12">
        <v>177182</v>
      </c>
      <c r="H107" s="18">
        <v>7755</v>
      </c>
      <c r="I107" s="19">
        <v>-7755</v>
      </c>
      <c r="J107" s="12">
        <v>8800</v>
      </c>
      <c r="K107" s="16">
        <v>168382</v>
      </c>
      <c r="L107" s="79">
        <v>10000</v>
      </c>
      <c r="M107" s="80">
        <v>10000</v>
      </c>
      <c r="N107" s="77">
        <v>60000</v>
      </c>
      <c r="O107" s="17"/>
      <c r="P107" s="17"/>
      <c r="Q107" s="77">
        <v>40000</v>
      </c>
      <c r="R107" s="77">
        <v>48382</v>
      </c>
      <c r="S107" s="17"/>
      <c r="T107" s="17"/>
      <c r="U107" s="77" t="s">
        <v>694</v>
      </c>
      <c r="V107" s="11">
        <f t="shared" si="1"/>
        <v>0</v>
      </c>
      <c r="W107" s="17"/>
      <c r="X107" s="9" t="s">
        <v>922</v>
      </c>
    </row>
    <row r="108" spans="1:24" ht="25.5" x14ac:dyDescent="0.25">
      <c r="A108" s="7" t="s">
        <v>16</v>
      </c>
      <c r="B108" s="8">
        <v>8470325</v>
      </c>
      <c r="C108" s="9" t="s">
        <v>162</v>
      </c>
      <c r="D108" s="10">
        <v>435350</v>
      </c>
      <c r="E108" s="9" t="s">
        <v>98</v>
      </c>
      <c r="F108" s="9" t="s">
        <v>169</v>
      </c>
      <c r="G108" s="12">
        <v>38400</v>
      </c>
      <c r="H108" s="18">
        <v>7377.22</v>
      </c>
      <c r="I108" s="14"/>
      <c r="J108" s="15"/>
      <c r="K108" s="16">
        <v>31022.78</v>
      </c>
      <c r="L108" s="15"/>
      <c r="M108" s="14"/>
      <c r="N108" s="17"/>
      <c r="O108" s="17"/>
      <c r="P108" s="17"/>
      <c r="Q108" s="77">
        <v>8000</v>
      </c>
      <c r="R108" s="77">
        <v>8000</v>
      </c>
      <c r="S108" s="77">
        <v>8000</v>
      </c>
      <c r="T108" s="77">
        <v>7000</v>
      </c>
      <c r="U108" s="77" t="s">
        <v>695</v>
      </c>
      <c r="V108" s="11">
        <f t="shared" si="1"/>
        <v>22.779999999998836</v>
      </c>
      <c r="W108" s="17"/>
      <c r="X108" s="9" t="s">
        <v>922</v>
      </c>
    </row>
    <row r="109" spans="1:24" ht="25.5" x14ac:dyDescent="0.25">
      <c r="A109" s="7" t="s">
        <v>16</v>
      </c>
      <c r="B109" s="8">
        <v>8470325</v>
      </c>
      <c r="C109" s="9" t="s">
        <v>162</v>
      </c>
      <c r="D109" s="10">
        <v>435508</v>
      </c>
      <c r="E109" s="9" t="s">
        <v>100</v>
      </c>
      <c r="F109" s="9" t="s">
        <v>170</v>
      </c>
      <c r="G109" s="12">
        <v>65766</v>
      </c>
      <c r="H109" s="18">
        <v>14023.8</v>
      </c>
      <c r="I109" s="19">
        <v>-13455</v>
      </c>
      <c r="J109" s="12">
        <v>33229.800000000003</v>
      </c>
      <c r="K109" s="16">
        <v>31967.4</v>
      </c>
      <c r="L109" s="15"/>
      <c r="M109" s="14"/>
      <c r="N109" s="17"/>
      <c r="O109" s="17"/>
      <c r="P109" s="17"/>
      <c r="Q109" s="77">
        <v>8000</v>
      </c>
      <c r="R109" s="77">
        <v>8000</v>
      </c>
      <c r="S109" s="77">
        <v>15950</v>
      </c>
      <c r="T109" s="17"/>
      <c r="U109" s="77" t="s">
        <v>696</v>
      </c>
      <c r="V109" s="11">
        <f t="shared" si="1"/>
        <v>17.400000000001455</v>
      </c>
      <c r="W109" s="17"/>
      <c r="X109" s="9" t="s">
        <v>922</v>
      </c>
    </row>
    <row r="110" spans="1:24" ht="25.5" x14ac:dyDescent="0.25">
      <c r="A110" s="7" t="s">
        <v>16</v>
      </c>
      <c r="B110" s="8">
        <v>8470325</v>
      </c>
      <c r="C110" s="9" t="s">
        <v>162</v>
      </c>
      <c r="D110" s="10">
        <v>436600</v>
      </c>
      <c r="E110" s="9" t="s">
        <v>160</v>
      </c>
      <c r="F110" s="9" t="s">
        <v>171</v>
      </c>
      <c r="G110" s="12">
        <v>0</v>
      </c>
      <c r="H110" s="13"/>
      <c r="I110" s="14"/>
      <c r="J110" s="15"/>
      <c r="K110" s="16">
        <v>0</v>
      </c>
      <c r="L110" s="15"/>
      <c r="M110" s="14"/>
      <c r="N110" s="17"/>
      <c r="O110" s="17"/>
      <c r="P110" s="17"/>
      <c r="Q110" s="17"/>
      <c r="R110" s="17"/>
      <c r="S110" s="17"/>
      <c r="T110" s="17"/>
      <c r="U110" s="17"/>
      <c r="V110" s="11">
        <f t="shared" si="1"/>
        <v>0</v>
      </c>
      <c r="W110" s="17"/>
      <c r="X110" s="9" t="s">
        <v>922</v>
      </c>
    </row>
    <row r="111" spans="1:24" ht="25.5" x14ac:dyDescent="0.25">
      <c r="A111" s="7" t="s">
        <v>16</v>
      </c>
      <c r="B111" s="8">
        <v>8470330</v>
      </c>
      <c r="C111" s="9" t="s">
        <v>172</v>
      </c>
      <c r="D111" s="10">
        <v>420550</v>
      </c>
      <c r="E111" s="9" t="s">
        <v>18</v>
      </c>
      <c r="F111" s="9" t="s">
        <v>173</v>
      </c>
      <c r="G111" s="12">
        <v>5520</v>
      </c>
      <c r="H111" s="13"/>
      <c r="I111" s="14"/>
      <c r="J111" s="15"/>
      <c r="K111" s="16">
        <v>5520</v>
      </c>
      <c r="L111" s="15"/>
      <c r="M111" s="14"/>
      <c r="N111" s="17"/>
      <c r="O111" s="17"/>
      <c r="P111" s="17"/>
      <c r="Q111" s="17"/>
      <c r="R111" s="17">
        <v>5520</v>
      </c>
      <c r="S111" s="17"/>
      <c r="T111" s="17"/>
      <c r="U111" s="78" t="s">
        <v>658</v>
      </c>
      <c r="V111" s="11">
        <f t="shared" si="1"/>
        <v>0</v>
      </c>
      <c r="W111" s="17"/>
      <c r="X111" s="9" t="s">
        <v>922</v>
      </c>
    </row>
    <row r="112" spans="1:24" ht="25.5" x14ac:dyDescent="0.25">
      <c r="A112" s="7" t="s">
        <v>16</v>
      </c>
      <c r="B112" s="8">
        <v>8470330</v>
      </c>
      <c r="C112" s="9" t="s">
        <v>172</v>
      </c>
      <c r="D112" s="10">
        <v>425510</v>
      </c>
      <c r="E112" s="9" t="s">
        <v>20</v>
      </c>
      <c r="F112" s="9" t="s">
        <v>174</v>
      </c>
      <c r="G112" s="12">
        <v>4550</v>
      </c>
      <c r="H112" s="18">
        <v>4520.25</v>
      </c>
      <c r="I112" s="14"/>
      <c r="J112" s="15"/>
      <c r="K112" s="16">
        <v>29.75</v>
      </c>
      <c r="L112" s="15"/>
      <c r="M112" s="14"/>
      <c r="N112" s="17"/>
      <c r="O112" s="17"/>
      <c r="P112" s="17"/>
      <c r="Q112" s="17">
        <v>2000</v>
      </c>
      <c r="R112" s="17"/>
      <c r="S112" s="17">
        <v>2000</v>
      </c>
      <c r="T112" s="17"/>
      <c r="U112" s="17"/>
      <c r="V112" s="11">
        <f t="shared" si="1"/>
        <v>-3970.25</v>
      </c>
      <c r="W112" s="78" t="s">
        <v>659</v>
      </c>
      <c r="X112" s="9" t="s">
        <v>922</v>
      </c>
    </row>
    <row r="113" spans="1:24" ht="25.5" x14ac:dyDescent="0.25">
      <c r="A113" s="7" t="s">
        <v>16</v>
      </c>
      <c r="B113" s="8">
        <v>8470330</v>
      </c>
      <c r="C113" s="9" t="s">
        <v>172</v>
      </c>
      <c r="D113" s="10">
        <v>425760</v>
      </c>
      <c r="E113" s="9" t="s">
        <v>116</v>
      </c>
      <c r="F113" s="9" t="s">
        <v>175</v>
      </c>
      <c r="G113" s="12">
        <v>5434</v>
      </c>
      <c r="H113" s="13"/>
      <c r="I113" s="14"/>
      <c r="J113" s="15"/>
      <c r="K113" s="16">
        <v>5434</v>
      </c>
      <c r="L113" s="15">
        <v>2500</v>
      </c>
      <c r="M113" s="14"/>
      <c r="N113" s="17"/>
      <c r="O113" s="17"/>
      <c r="P113" s="17"/>
      <c r="Q113" s="17"/>
      <c r="R113" s="17"/>
      <c r="S113" s="17">
        <v>2934</v>
      </c>
      <c r="T113" s="17"/>
      <c r="U113" s="78" t="s">
        <v>660</v>
      </c>
      <c r="V113" s="11">
        <f t="shared" si="1"/>
        <v>0</v>
      </c>
      <c r="W113" s="17"/>
      <c r="X113" s="9" t="s">
        <v>922</v>
      </c>
    </row>
    <row r="114" spans="1:24" ht="25.5" x14ac:dyDescent="0.25">
      <c r="A114" s="7" t="s">
        <v>16</v>
      </c>
      <c r="B114" s="8">
        <v>8470330</v>
      </c>
      <c r="C114" s="9" t="s">
        <v>172</v>
      </c>
      <c r="D114" s="10">
        <v>425763</v>
      </c>
      <c r="E114" s="9" t="s">
        <v>53</v>
      </c>
      <c r="F114" s="9" t="s">
        <v>176</v>
      </c>
      <c r="G114" s="12">
        <v>175809</v>
      </c>
      <c r="H114" s="18">
        <v>50000</v>
      </c>
      <c r="I114" s="14"/>
      <c r="J114" s="15"/>
      <c r="K114" s="16">
        <v>125809</v>
      </c>
      <c r="L114" s="15">
        <v>52000</v>
      </c>
      <c r="M114" s="14"/>
      <c r="N114" s="17"/>
      <c r="O114" s="17"/>
      <c r="P114" s="17"/>
      <c r="Q114" s="17"/>
      <c r="R114" s="17">
        <v>73809</v>
      </c>
      <c r="S114" s="17"/>
      <c r="T114" s="17"/>
      <c r="U114" s="78" t="s">
        <v>661</v>
      </c>
      <c r="V114" s="11">
        <f t="shared" si="1"/>
        <v>0</v>
      </c>
      <c r="W114" s="17"/>
      <c r="X114" s="9" t="s">
        <v>922</v>
      </c>
    </row>
    <row r="115" spans="1:24" ht="25.5" x14ac:dyDescent="0.25">
      <c r="A115" s="7" t="s">
        <v>16</v>
      </c>
      <c r="B115" s="8">
        <v>8470330</v>
      </c>
      <c r="C115" s="9" t="s">
        <v>172</v>
      </c>
      <c r="D115" s="10">
        <v>425770</v>
      </c>
      <c r="E115" s="9" t="s">
        <v>119</v>
      </c>
      <c r="F115" s="9" t="s">
        <v>177</v>
      </c>
      <c r="G115" s="12">
        <v>356489</v>
      </c>
      <c r="H115" s="18">
        <v>95672.34</v>
      </c>
      <c r="I115" s="14"/>
      <c r="J115" s="15"/>
      <c r="K115" s="16">
        <v>260816.66</v>
      </c>
      <c r="L115" s="15"/>
      <c r="M115" s="14"/>
      <c r="N115" s="17"/>
      <c r="O115" s="77">
        <v>130000</v>
      </c>
      <c r="P115" s="77"/>
      <c r="Q115" s="77"/>
      <c r="R115" s="77"/>
      <c r="S115" s="77">
        <v>130817</v>
      </c>
      <c r="T115" s="17"/>
      <c r="U115" s="78" t="s">
        <v>639</v>
      </c>
      <c r="V115" s="11">
        <f t="shared" si="1"/>
        <v>-0.33999999999650754</v>
      </c>
      <c r="W115" s="17"/>
      <c r="X115" s="9" t="s">
        <v>922</v>
      </c>
    </row>
    <row r="116" spans="1:24" ht="25.5" x14ac:dyDescent="0.25">
      <c r="A116" s="7" t="s">
        <v>16</v>
      </c>
      <c r="B116" s="8">
        <v>8470330</v>
      </c>
      <c r="C116" s="9" t="s">
        <v>172</v>
      </c>
      <c r="D116" s="10">
        <v>425900</v>
      </c>
      <c r="E116" s="9" t="s">
        <v>24</v>
      </c>
      <c r="F116" s="9" t="s">
        <v>178</v>
      </c>
      <c r="G116" s="12">
        <v>9600</v>
      </c>
      <c r="H116" s="18">
        <v>4284</v>
      </c>
      <c r="I116" s="14"/>
      <c r="J116" s="15"/>
      <c r="K116" s="16">
        <v>5316</v>
      </c>
      <c r="L116" s="15"/>
      <c r="M116" s="80">
        <v>2000</v>
      </c>
      <c r="N116" s="77">
        <v>2000</v>
      </c>
      <c r="O116" s="77"/>
      <c r="P116" s="77"/>
      <c r="Q116" s="77">
        <v>2000</v>
      </c>
      <c r="R116" s="77">
        <v>2000</v>
      </c>
      <c r="S116" s="77">
        <v>2000</v>
      </c>
      <c r="T116" s="77">
        <v>2000</v>
      </c>
      <c r="U116" s="78" t="s">
        <v>663</v>
      </c>
      <c r="V116" s="11">
        <f t="shared" si="1"/>
        <v>-6684</v>
      </c>
      <c r="W116" s="78" t="s">
        <v>662</v>
      </c>
      <c r="X116" s="9" t="s">
        <v>922</v>
      </c>
    </row>
    <row r="117" spans="1:24" ht="25.5" x14ac:dyDescent="0.25">
      <c r="A117" s="7" t="s">
        <v>16</v>
      </c>
      <c r="B117" s="8">
        <v>8470330</v>
      </c>
      <c r="C117" s="9" t="s">
        <v>172</v>
      </c>
      <c r="D117" s="10">
        <v>426610</v>
      </c>
      <c r="E117" s="9" t="s">
        <v>39</v>
      </c>
      <c r="F117" s="9" t="s">
        <v>179</v>
      </c>
      <c r="G117" s="12">
        <v>414733</v>
      </c>
      <c r="H117" s="18">
        <v>47010</v>
      </c>
      <c r="I117" s="19">
        <v>-23310</v>
      </c>
      <c r="J117" s="12">
        <v>14845.24</v>
      </c>
      <c r="K117" s="16">
        <v>376187.76</v>
      </c>
      <c r="L117" s="15"/>
      <c r="M117" s="14"/>
      <c r="N117" s="17"/>
      <c r="O117" s="17"/>
      <c r="P117" s="77">
        <v>150070</v>
      </c>
      <c r="Q117" s="77"/>
      <c r="R117" s="77"/>
      <c r="S117" s="77">
        <v>226118</v>
      </c>
      <c r="T117" s="17"/>
      <c r="U117" s="78" t="s">
        <v>664</v>
      </c>
      <c r="V117" s="11">
        <f t="shared" si="1"/>
        <v>-0.23999999999068677</v>
      </c>
      <c r="W117" s="17"/>
      <c r="X117" s="9" t="s">
        <v>922</v>
      </c>
    </row>
    <row r="118" spans="1:24" ht="25.5" x14ac:dyDescent="0.25">
      <c r="A118" s="7" t="s">
        <v>16</v>
      </c>
      <c r="B118" s="8">
        <v>8470330</v>
      </c>
      <c r="C118" s="9" t="s">
        <v>172</v>
      </c>
      <c r="D118" s="10">
        <v>432209</v>
      </c>
      <c r="E118" s="9" t="s">
        <v>124</v>
      </c>
      <c r="F118" s="9" t="s">
        <v>180</v>
      </c>
      <c r="G118" s="12">
        <v>18994</v>
      </c>
      <c r="H118" s="13"/>
      <c r="I118" s="14"/>
      <c r="J118" s="15"/>
      <c r="K118" s="16">
        <v>18994</v>
      </c>
      <c r="L118" s="15"/>
      <c r="M118" s="80">
        <v>15000</v>
      </c>
      <c r="N118" s="77"/>
      <c r="O118" s="77"/>
      <c r="P118" s="77"/>
      <c r="Q118" s="77"/>
      <c r="R118" s="77">
        <v>3994</v>
      </c>
      <c r="S118" s="17"/>
      <c r="T118" s="17"/>
      <c r="U118" s="77" t="s">
        <v>665</v>
      </c>
      <c r="V118" s="11">
        <f t="shared" si="1"/>
        <v>0</v>
      </c>
      <c r="W118" s="17"/>
      <c r="X118" s="9" t="s">
        <v>922</v>
      </c>
    </row>
    <row r="119" spans="1:24" ht="25.5" x14ac:dyDescent="0.25">
      <c r="A119" s="7" t="s">
        <v>16</v>
      </c>
      <c r="B119" s="8">
        <v>8470330</v>
      </c>
      <c r="C119" s="9" t="s">
        <v>172</v>
      </c>
      <c r="D119" s="10">
        <v>435350</v>
      </c>
      <c r="E119" s="9" t="s">
        <v>98</v>
      </c>
      <c r="F119" s="9" t="s">
        <v>181</v>
      </c>
      <c r="G119" s="12">
        <v>123640</v>
      </c>
      <c r="H119" s="18">
        <v>19662.13</v>
      </c>
      <c r="I119" s="14"/>
      <c r="J119" s="15"/>
      <c r="K119" s="16">
        <v>103977.87</v>
      </c>
      <c r="L119" s="15"/>
      <c r="M119" s="14"/>
      <c r="N119" s="17"/>
      <c r="O119" s="77">
        <v>50000</v>
      </c>
      <c r="P119" s="17"/>
      <c r="Q119" s="17"/>
      <c r="R119" s="17"/>
      <c r="S119" s="77">
        <v>53978</v>
      </c>
      <c r="T119" s="17"/>
      <c r="U119" s="78" t="s">
        <v>666</v>
      </c>
      <c r="V119" s="11">
        <f t="shared" si="1"/>
        <v>-0.13000000000465661</v>
      </c>
      <c r="W119" s="17"/>
      <c r="X119" s="9" t="s">
        <v>922</v>
      </c>
    </row>
    <row r="120" spans="1:24" ht="25.5" x14ac:dyDescent="0.25">
      <c r="A120" s="7" t="s">
        <v>16</v>
      </c>
      <c r="B120" s="8">
        <v>8470330</v>
      </c>
      <c r="C120" s="9" t="s">
        <v>172</v>
      </c>
      <c r="D120" s="10">
        <v>435508</v>
      </c>
      <c r="E120" s="9" t="s">
        <v>100</v>
      </c>
      <c r="F120" s="9" t="s">
        <v>182</v>
      </c>
      <c r="G120" s="12">
        <v>22960</v>
      </c>
      <c r="H120" s="18">
        <v>814</v>
      </c>
      <c r="I120" s="14"/>
      <c r="J120" s="15"/>
      <c r="K120" s="16">
        <v>22146</v>
      </c>
      <c r="L120" s="81">
        <v>11000</v>
      </c>
      <c r="M120" s="14"/>
      <c r="N120" s="17"/>
      <c r="O120" s="17"/>
      <c r="P120" s="17"/>
      <c r="Q120" s="17"/>
      <c r="R120" s="77">
        <v>11000</v>
      </c>
      <c r="S120" s="17"/>
      <c r="T120" s="17"/>
      <c r="U120" s="77" t="s">
        <v>667</v>
      </c>
      <c r="V120" s="11">
        <f t="shared" si="1"/>
        <v>146</v>
      </c>
      <c r="W120" s="17"/>
      <c r="X120" s="9" t="s">
        <v>922</v>
      </c>
    </row>
    <row r="121" spans="1:24" ht="25.5" x14ac:dyDescent="0.25">
      <c r="A121" s="7" t="s">
        <v>16</v>
      </c>
      <c r="B121" s="8">
        <v>8470335</v>
      </c>
      <c r="C121" s="9" t="s">
        <v>183</v>
      </c>
      <c r="D121" s="10">
        <v>425510</v>
      </c>
      <c r="E121" s="9" t="s">
        <v>20</v>
      </c>
      <c r="F121" s="9" t="s">
        <v>184</v>
      </c>
      <c r="G121" s="12">
        <v>3750</v>
      </c>
      <c r="H121" s="13"/>
      <c r="I121" s="14"/>
      <c r="J121" s="15"/>
      <c r="K121" s="16">
        <v>3750</v>
      </c>
      <c r="L121" s="15"/>
      <c r="M121" s="14"/>
      <c r="N121" s="17"/>
      <c r="O121" s="17"/>
      <c r="P121" s="17"/>
      <c r="Q121" s="77">
        <v>1875</v>
      </c>
      <c r="R121" s="77"/>
      <c r="S121" s="77">
        <v>1875</v>
      </c>
      <c r="T121" s="17"/>
      <c r="U121" s="78" t="s">
        <v>668</v>
      </c>
      <c r="V121" s="11">
        <f t="shared" si="1"/>
        <v>0</v>
      </c>
      <c r="W121" s="17"/>
      <c r="X121" s="9" t="s">
        <v>922</v>
      </c>
    </row>
    <row r="122" spans="1:24" ht="25.5" x14ac:dyDescent="0.25">
      <c r="A122" s="7" t="s">
        <v>16</v>
      </c>
      <c r="B122" s="8">
        <v>8470335</v>
      </c>
      <c r="C122" s="9" t="s">
        <v>183</v>
      </c>
      <c r="D122" s="10">
        <v>425720</v>
      </c>
      <c r="E122" s="9" t="s">
        <v>185</v>
      </c>
      <c r="F122" s="9" t="s">
        <v>186</v>
      </c>
      <c r="G122" s="12">
        <v>14000</v>
      </c>
      <c r="H122" s="13"/>
      <c r="I122" s="14"/>
      <c r="J122" s="15"/>
      <c r="K122" s="16">
        <v>14000</v>
      </c>
      <c r="L122" s="15"/>
      <c r="M122" s="14"/>
      <c r="N122" s="17"/>
      <c r="O122" s="17"/>
      <c r="P122" s="17"/>
      <c r="Q122" s="77">
        <v>14000</v>
      </c>
      <c r="R122" s="17"/>
      <c r="S122" s="17"/>
      <c r="T122" s="17"/>
      <c r="U122" s="78" t="s">
        <v>669</v>
      </c>
      <c r="V122" s="11">
        <f t="shared" si="1"/>
        <v>0</v>
      </c>
      <c r="W122" s="17"/>
      <c r="X122" s="9" t="s">
        <v>922</v>
      </c>
    </row>
    <row r="123" spans="1:24" ht="25.5" x14ac:dyDescent="0.25">
      <c r="A123" s="7" t="s">
        <v>16</v>
      </c>
      <c r="B123" s="8">
        <v>8470335</v>
      </c>
      <c r="C123" s="9" t="s">
        <v>183</v>
      </c>
      <c r="D123" s="10">
        <v>425760</v>
      </c>
      <c r="E123" s="9" t="s">
        <v>116</v>
      </c>
      <c r="F123" s="9" t="s">
        <v>187</v>
      </c>
      <c r="G123" s="12">
        <v>4380</v>
      </c>
      <c r="H123" s="18">
        <v>2520</v>
      </c>
      <c r="I123" s="14"/>
      <c r="J123" s="15"/>
      <c r="K123" s="16">
        <v>1860</v>
      </c>
      <c r="L123" s="15"/>
      <c r="M123" s="14"/>
      <c r="N123" s="17"/>
      <c r="O123" s="17"/>
      <c r="P123" s="17"/>
      <c r="Q123" s="77">
        <v>930</v>
      </c>
      <c r="R123" s="77">
        <v>930</v>
      </c>
      <c r="S123" s="17"/>
      <c r="T123" s="17"/>
      <c r="U123" s="78" t="s">
        <v>670</v>
      </c>
      <c r="V123" s="11">
        <f t="shared" si="1"/>
        <v>0</v>
      </c>
      <c r="W123" s="17"/>
      <c r="X123" s="9" t="s">
        <v>922</v>
      </c>
    </row>
    <row r="124" spans="1:24" ht="25.5" x14ac:dyDescent="0.25">
      <c r="A124" s="7" t="s">
        <v>16</v>
      </c>
      <c r="B124" s="8">
        <v>8470335</v>
      </c>
      <c r="C124" s="9" t="s">
        <v>183</v>
      </c>
      <c r="D124" s="10">
        <v>425763</v>
      </c>
      <c r="E124" s="9" t="s">
        <v>53</v>
      </c>
      <c r="F124" s="9" t="s">
        <v>188</v>
      </c>
      <c r="G124" s="12">
        <v>60000</v>
      </c>
      <c r="H124" s="18">
        <v>8948</v>
      </c>
      <c r="I124" s="14"/>
      <c r="J124" s="15"/>
      <c r="K124" s="16">
        <v>51052</v>
      </c>
      <c r="L124" s="15"/>
      <c r="M124" s="80">
        <v>17000</v>
      </c>
      <c r="N124" s="17"/>
      <c r="O124" s="17"/>
      <c r="P124" s="17"/>
      <c r="Q124" s="77">
        <v>34000</v>
      </c>
      <c r="R124" s="17"/>
      <c r="S124" s="17"/>
      <c r="T124" s="17"/>
      <c r="U124" s="78" t="s">
        <v>671</v>
      </c>
      <c r="V124" s="11">
        <f t="shared" si="1"/>
        <v>52</v>
      </c>
      <c r="W124" s="17"/>
      <c r="X124" s="9" t="s">
        <v>922</v>
      </c>
    </row>
    <row r="125" spans="1:24" ht="25.5" x14ac:dyDescent="0.25">
      <c r="A125" s="7" t="s">
        <v>16</v>
      </c>
      <c r="B125" s="8">
        <v>8470335</v>
      </c>
      <c r="C125" s="9" t="s">
        <v>183</v>
      </c>
      <c r="D125" s="10">
        <v>425770</v>
      </c>
      <c r="E125" s="9" t="s">
        <v>119</v>
      </c>
      <c r="F125" s="9" t="s">
        <v>189</v>
      </c>
      <c r="G125" s="12">
        <v>252500</v>
      </c>
      <c r="H125" s="18">
        <v>33969.54</v>
      </c>
      <c r="I125" s="14"/>
      <c r="J125" s="15"/>
      <c r="K125" s="16">
        <v>218530.46</v>
      </c>
      <c r="L125" s="15"/>
      <c r="M125" s="80">
        <v>40000</v>
      </c>
      <c r="N125" s="17"/>
      <c r="O125" s="77">
        <v>60000</v>
      </c>
      <c r="P125" s="17"/>
      <c r="Q125" s="17"/>
      <c r="R125" s="77">
        <v>60000</v>
      </c>
      <c r="S125" s="77">
        <v>40000</v>
      </c>
      <c r="T125" s="77">
        <v>18500</v>
      </c>
      <c r="U125" s="78" t="s">
        <v>672</v>
      </c>
      <c r="V125" s="11">
        <f t="shared" si="1"/>
        <v>30.459999999991851</v>
      </c>
      <c r="W125" s="17"/>
      <c r="X125" s="9" t="s">
        <v>922</v>
      </c>
    </row>
    <row r="126" spans="1:24" ht="25.5" x14ac:dyDescent="0.25">
      <c r="A126" s="7" t="s">
        <v>16</v>
      </c>
      <c r="B126" s="8">
        <v>8470335</v>
      </c>
      <c r="C126" s="9" t="s">
        <v>183</v>
      </c>
      <c r="D126" s="10">
        <v>425900</v>
      </c>
      <c r="E126" s="9" t="s">
        <v>24</v>
      </c>
      <c r="F126" s="9" t="s">
        <v>190</v>
      </c>
      <c r="G126" s="12">
        <v>4095</v>
      </c>
      <c r="H126" s="18">
        <v>1811.25</v>
      </c>
      <c r="I126" s="14"/>
      <c r="J126" s="15"/>
      <c r="K126" s="16">
        <v>2283.75</v>
      </c>
      <c r="L126" s="15"/>
      <c r="M126" s="14"/>
      <c r="N126" s="17"/>
      <c r="O126" s="17"/>
      <c r="P126" s="17"/>
      <c r="Q126" s="77">
        <v>1150</v>
      </c>
      <c r="R126" s="77"/>
      <c r="S126" s="77">
        <v>1100</v>
      </c>
      <c r="T126" s="17"/>
      <c r="U126" s="78" t="s">
        <v>673</v>
      </c>
      <c r="V126" s="11">
        <f t="shared" si="1"/>
        <v>33.75</v>
      </c>
      <c r="W126" s="17"/>
      <c r="X126" s="9" t="s">
        <v>922</v>
      </c>
    </row>
    <row r="127" spans="1:24" ht="25.5" x14ac:dyDescent="0.25">
      <c r="A127" s="7" t="s">
        <v>16</v>
      </c>
      <c r="B127" s="8">
        <v>8470335</v>
      </c>
      <c r="C127" s="9" t="s">
        <v>183</v>
      </c>
      <c r="D127" s="10">
        <v>426610</v>
      </c>
      <c r="E127" s="9" t="s">
        <v>39</v>
      </c>
      <c r="F127" s="9" t="s">
        <v>191</v>
      </c>
      <c r="G127" s="12">
        <v>154616</v>
      </c>
      <c r="H127" s="18">
        <v>1824.21</v>
      </c>
      <c r="I127" s="19">
        <v>8255.0400000000009</v>
      </c>
      <c r="J127" s="12">
        <v>73034.320000000007</v>
      </c>
      <c r="K127" s="16">
        <v>71502.429999999993</v>
      </c>
      <c r="L127" s="15"/>
      <c r="M127" s="14"/>
      <c r="N127" s="17"/>
      <c r="O127" s="17"/>
      <c r="P127" s="17"/>
      <c r="Q127" s="77">
        <v>71500</v>
      </c>
      <c r="R127" s="17"/>
      <c r="S127" s="17"/>
      <c r="T127" s="17"/>
      <c r="U127" s="78" t="s">
        <v>674</v>
      </c>
      <c r="V127" s="11">
        <f t="shared" si="1"/>
        <v>2.4299999999930151</v>
      </c>
      <c r="W127" s="17"/>
      <c r="X127" s="9" t="s">
        <v>922</v>
      </c>
    </row>
    <row r="128" spans="1:24" ht="25.5" x14ac:dyDescent="0.25">
      <c r="A128" s="7" t="s">
        <v>16</v>
      </c>
      <c r="B128" s="8">
        <v>8470335</v>
      </c>
      <c r="C128" s="9" t="s">
        <v>183</v>
      </c>
      <c r="D128" s="10">
        <v>435350</v>
      </c>
      <c r="E128" s="9" t="s">
        <v>98</v>
      </c>
      <c r="F128" s="9" t="s">
        <v>192</v>
      </c>
      <c r="G128" s="12">
        <v>70000</v>
      </c>
      <c r="H128" s="18">
        <v>28599.33</v>
      </c>
      <c r="I128" s="14"/>
      <c r="J128" s="15"/>
      <c r="K128" s="16">
        <v>41400.67</v>
      </c>
      <c r="L128" s="15"/>
      <c r="M128" s="80">
        <v>11000</v>
      </c>
      <c r="N128" s="77"/>
      <c r="O128" s="77"/>
      <c r="P128" s="77"/>
      <c r="Q128" s="77"/>
      <c r="R128" s="77">
        <v>21000</v>
      </c>
      <c r="S128" s="77">
        <v>9300</v>
      </c>
      <c r="T128" s="17"/>
      <c r="U128" s="78" t="s">
        <v>675</v>
      </c>
      <c r="V128" s="11">
        <f t="shared" si="1"/>
        <v>100.66999999999825</v>
      </c>
      <c r="W128" s="17"/>
      <c r="X128" s="9" t="s">
        <v>922</v>
      </c>
    </row>
    <row r="129" spans="1:24" ht="25.5" x14ac:dyDescent="0.25">
      <c r="A129" s="7" t="s">
        <v>16</v>
      </c>
      <c r="B129" s="8">
        <v>8470335</v>
      </c>
      <c r="C129" s="9" t="s">
        <v>183</v>
      </c>
      <c r="D129" s="10">
        <v>435508</v>
      </c>
      <c r="E129" s="9" t="s">
        <v>100</v>
      </c>
      <c r="F129" s="9" t="s">
        <v>193</v>
      </c>
      <c r="G129" s="12">
        <v>70880</v>
      </c>
      <c r="H129" s="18">
        <v>9834.4599999999991</v>
      </c>
      <c r="I129" s="19">
        <v>-9834.4599999999991</v>
      </c>
      <c r="J129" s="12">
        <v>46338.38</v>
      </c>
      <c r="K129" s="16">
        <v>24541.62</v>
      </c>
      <c r="L129" s="15"/>
      <c r="M129" s="14"/>
      <c r="N129" s="77">
        <v>24540</v>
      </c>
      <c r="O129" s="17"/>
      <c r="P129" s="17"/>
      <c r="Q129" s="17"/>
      <c r="R129" s="17"/>
      <c r="S129" s="17"/>
      <c r="T129" s="17"/>
      <c r="U129" s="78" t="s">
        <v>676</v>
      </c>
      <c r="V129" s="11">
        <f t="shared" si="1"/>
        <v>1.6199999999989814</v>
      </c>
      <c r="W129" s="17"/>
      <c r="X129" s="9" t="s">
        <v>922</v>
      </c>
    </row>
    <row r="130" spans="1:24" ht="25.5" x14ac:dyDescent="0.25">
      <c r="A130" s="7" t="s">
        <v>16</v>
      </c>
      <c r="B130" s="8">
        <v>8470335</v>
      </c>
      <c r="C130" s="9" t="s">
        <v>183</v>
      </c>
      <c r="D130" s="10">
        <v>436600</v>
      </c>
      <c r="E130" s="9" t="s">
        <v>160</v>
      </c>
      <c r="F130" s="9" t="s">
        <v>194</v>
      </c>
      <c r="G130" s="12">
        <v>2760</v>
      </c>
      <c r="H130" s="13"/>
      <c r="I130" s="14"/>
      <c r="J130" s="15"/>
      <c r="K130" s="16">
        <v>2760</v>
      </c>
      <c r="L130" s="15"/>
      <c r="M130" s="14"/>
      <c r="N130" s="17"/>
      <c r="O130" s="17"/>
      <c r="P130" s="17"/>
      <c r="Q130" s="77">
        <v>2700</v>
      </c>
      <c r="R130" s="17"/>
      <c r="S130" s="17"/>
      <c r="T130" s="17"/>
      <c r="U130" s="78" t="s">
        <v>677</v>
      </c>
      <c r="V130" s="11">
        <f t="shared" si="1"/>
        <v>60</v>
      </c>
      <c r="W130" s="17"/>
      <c r="X130" s="9" t="s">
        <v>922</v>
      </c>
    </row>
    <row r="131" spans="1:24" ht="25.5" x14ac:dyDescent="0.25">
      <c r="A131" s="7" t="s">
        <v>16</v>
      </c>
      <c r="B131" s="8">
        <v>8470340</v>
      </c>
      <c r="C131" s="9" t="s">
        <v>195</v>
      </c>
      <c r="D131" s="10">
        <v>425510</v>
      </c>
      <c r="E131" s="9" t="s">
        <v>20</v>
      </c>
      <c r="F131" s="9" t="s">
        <v>196</v>
      </c>
      <c r="G131" s="12">
        <v>10500</v>
      </c>
      <c r="H131" s="18">
        <v>10462.700000000001</v>
      </c>
      <c r="I131" s="14"/>
      <c r="J131" s="15"/>
      <c r="K131" s="16">
        <v>37.299999999999301</v>
      </c>
      <c r="L131" s="15"/>
      <c r="M131" s="14"/>
      <c r="N131" s="17"/>
      <c r="O131" s="17"/>
      <c r="P131" s="17"/>
      <c r="Q131" s="77">
        <v>37</v>
      </c>
      <c r="R131" s="17"/>
      <c r="S131" s="17"/>
      <c r="T131" s="17"/>
      <c r="U131" s="17"/>
      <c r="V131" s="11">
        <f t="shared" si="1"/>
        <v>0.29999999999930083</v>
      </c>
      <c r="W131" s="17"/>
      <c r="X131" s="9" t="s">
        <v>922</v>
      </c>
    </row>
    <row r="132" spans="1:24" ht="25.5" x14ac:dyDescent="0.25">
      <c r="A132" s="7" t="s">
        <v>16</v>
      </c>
      <c r="B132" s="8">
        <v>8470340</v>
      </c>
      <c r="C132" s="9" t="s">
        <v>195</v>
      </c>
      <c r="D132" s="10">
        <v>425720</v>
      </c>
      <c r="E132" s="9" t="s">
        <v>185</v>
      </c>
      <c r="F132" s="9" t="s">
        <v>197</v>
      </c>
      <c r="G132" s="12">
        <v>30000</v>
      </c>
      <c r="H132" s="18">
        <v>37112.769999999997</v>
      </c>
      <c r="I132" s="19">
        <v>-29766.77</v>
      </c>
      <c r="J132" s="12">
        <v>22420.77</v>
      </c>
      <c r="K132" s="16">
        <v>233.22999999999601</v>
      </c>
      <c r="L132" s="15"/>
      <c r="M132" s="14"/>
      <c r="N132" s="17"/>
      <c r="O132" s="17"/>
      <c r="P132" s="17"/>
      <c r="Q132" s="77">
        <v>233</v>
      </c>
      <c r="R132" s="17"/>
      <c r="S132" s="17"/>
      <c r="T132" s="17"/>
      <c r="U132" s="17"/>
      <c r="V132" s="11">
        <f t="shared" si="1"/>
        <v>0.22999999999601073</v>
      </c>
      <c r="W132" s="17"/>
      <c r="X132" s="9" t="s">
        <v>922</v>
      </c>
    </row>
    <row r="133" spans="1:24" ht="25.5" x14ac:dyDescent="0.25">
      <c r="A133" s="7" t="s">
        <v>16</v>
      </c>
      <c r="B133" s="8">
        <v>8470340</v>
      </c>
      <c r="C133" s="9" t="s">
        <v>195</v>
      </c>
      <c r="D133" s="10">
        <v>425760</v>
      </c>
      <c r="E133" s="9" t="s">
        <v>116</v>
      </c>
      <c r="F133" s="9" t="s">
        <v>198</v>
      </c>
      <c r="G133" s="12">
        <v>3400</v>
      </c>
      <c r="H133" s="18">
        <v>1181.25</v>
      </c>
      <c r="I133" s="14"/>
      <c r="J133" s="15"/>
      <c r="K133" s="16">
        <v>2218.75</v>
      </c>
      <c r="L133" s="15"/>
      <c r="M133" s="14"/>
      <c r="N133" s="17"/>
      <c r="O133" s="17"/>
      <c r="P133" s="17"/>
      <c r="Q133" s="17"/>
      <c r="R133" s="17"/>
      <c r="S133" s="17"/>
      <c r="T133" s="17"/>
      <c r="U133" s="17"/>
      <c r="V133" s="11">
        <f t="shared" ref="V133:V196" si="2">K133-L133-M133-N133-O133-P133-Q133-R133-S133-T133</f>
        <v>2218.75</v>
      </c>
      <c r="W133" s="17"/>
      <c r="X133" s="9" t="s">
        <v>922</v>
      </c>
    </row>
    <row r="134" spans="1:24" ht="114.75" x14ac:dyDescent="0.25">
      <c r="A134" s="7" t="s">
        <v>16</v>
      </c>
      <c r="B134" s="8">
        <v>8470340</v>
      </c>
      <c r="C134" s="9" t="s">
        <v>195</v>
      </c>
      <c r="D134" s="10">
        <v>425763</v>
      </c>
      <c r="E134" s="9" t="s">
        <v>53</v>
      </c>
      <c r="F134" s="9" t="s">
        <v>199</v>
      </c>
      <c r="G134" s="12">
        <v>225000</v>
      </c>
      <c r="H134" s="13"/>
      <c r="I134" s="14"/>
      <c r="J134" s="15"/>
      <c r="K134" s="16">
        <v>225000</v>
      </c>
      <c r="L134" s="15"/>
      <c r="M134" s="14"/>
      <c r="N134" s="17"/>
      <c r="O134" s="77">
        <v>75000</v>
      </c>
      <c r="P134" s="77"/>
      <c r="Q134" s="77">
        <v>75000</v>
      </c>
      <c r="R134" s="77"/>
      <c r="S134" s="77">
        <v>75000</v>
      </c>
      <c r="T134" s="17"/>
      <c r="U134" s="78" t="s">
        <v>678</v>
      </c>
      <c r="V134" s="11">
        <f t="shared" si="2"/>
        <v>0</v>
      </c>
      <c r="W134" s="17"/>
      <c r="X134" s="9" t="s">
        <v>922</v>
      </c>
    </row>
    <row r="135" spans="1:24" ht="25.5" x14ac:dyDescent="0.25">
      <c r="A135" s="7" t="s">
        <v>16</v>
      </c>
      <c r="B135" s="8">
        <v>8470340</v>
      </c>
      <c r="C135" s="9" t="s">
        <v>195</v>
      </c>
      <c r="D135" s="10">
        <v>425770</v>
      </c>
      <c r="E135" s="9" t="s">
        <v>119</v>
      </c>
      <c r="F135" s="9" t="s">
        <v>200</v>
      </c>
      <c r="G135" s="12">
        <v>202500</v>
      </c>
      <c r="H135" s="18">
        <v>24496.62</v>
      </c>
      <c r="I135" s="14"/>
      <c r="J135" s="15"/>
      <c r="K135" s="16">
        <v>178003.38</v>
      </c>
      <c r="L135" s="15"/>
      <c r="M135" s="14"/>
      <c r="N135" s="77">
        <v>25428</v>
      </c>
      <c r="O135" s="77">
        <v>25428</v>
      </c>
      <c r="P135" s="77">
        <v>25428</v>
      </c>
      <c r="Q135" s="77">
        <v>25428</v>
      </c>
      <c r="R135" s="77">
        <v>25428</v>
      </c>
      <c r="S135" s="77">
        <v>25428</v>
      </c>
      <c r="T135" s="77">
        <v>25435</v>
      </c>
      <c r="U135" s="78" t="s">
        <v>679</v>
      </c>
      <c r="V135" s="11">
        <f t="shared" si="2"/>
        <v>0.38000000000465661</v>
      </c>
      <c r="W135" s="17"/>
      <c r="X135" s="9" t="s">
        <v>922</v>
      </c>
    </row>
    <row r="136" spans="1:24" ht="25.5" x14ac:dyDescent="0.25">
      <c r="A136" s="7" t="s">
        <v>16</v>
      </c>
      <c r="B136" s="8">
        <v>8470340</v>
      </c>
      <c r="C136" s="9" t="s">
        <v>195</v>
      </c>
      <c r="D136" s="10">
        <v>425900</v>
      </c>
      <c r="E136" s="9" t="s">
        <v>24</v>
      </c>
      <c r="F136" s="9" t="s">
        <v>201</v>
      </c>
      <c r="G136" s="12">
        <v>19700</v>
      </c>
      <c r="H136" s="18">
        <v>11250</v>
      </c>
      <c r="I136" s="19">
        <v>0</v>
      </c>
      <c r="J136" s="12">
        <v>0</v>
      </c>
      <c r="K136" s="16">
        <v>8450</v>
      </c>
      <c r="L136" s="79">
        <v>8300</v>
      </c>
      <c r="M136" s="80"/>
      <c r="N136" s="77"/>
      <c r="O136" s="77"/>
      <c r="P136" s="77"/>
      <c r="Q136" s="77"/>
      <c r="R136" s="77">
        <v>150</v>
      </c>
      <c r="S136" s="17"/>
      <c r="T136" s="17"/>
      <c r="U136" s="17"/>
      <c r="V136" s="11">
        <f t="shared" si="2"/>
        <v>0</v>
      </c>
      <c r="W136" s="17"/>
      <c r="X136" s="9" t="s">
        <v>922</v>
      </c>
    </row>
    <row r="137" spans="1:24" ht="25.5" x14ac:dyDescent="0.25">
      <c r="A137" s="7" t="s">
        <v>16</v>
      </c>
      <c r="B137" s="8">
        <v>8470340</v>
      </c>
      <c r="C137" s="9" t="s">
        <v>195</v>
      </c>
      <c r="D137" s="10">
        <v>426610</v>
      </c>
      <c r="E137" s="9" t="s">
        <v>39</v>
      </c>
      <c r="F137" s="9" t="s">
        <v>202</v>
      </c>
      <c r="G137" s="12">
        <v>164090</v>
      </c>
      <c r="H137" s="18">
        <v>1836.5</v>
      </c>
      <c r="I137" s="19">
        <v>79345.73</v>
      </c>
      <c r="J137" s="12">
        <v>59145.43</v>
      </c>
      <c r="K137" s="16">
        <v>23762.34</v>
      </c>
      <c r="L137" s="15"/>
      <c r="M137" s="80">
        <v>23762</v>
      </c>
      <c r="N137" s="17"/>
      <c r="O137" s="17"/>
      <c r="P137" s="17"/>
      <c r="Q137" s="17"/>
      <c r="R137" s="17"/>
      <c r="S137" s="17"/>
      <c r="T137" s="17"/>
      <c r="U137" s="17"/>
      <c r="V137" s="11">
        <f t="shared" si="2"/>
        <v>0.34000000000014552</v>
      </c>
      <c r="W137" s="17"/>
      <c r="X137" s="9" t="s">
        <v>922</v>
      </c>
    </row>
    <row r="138" spans="1:24" ht="25.5" x14ac:dyDescent="0.25">
      <c r="A138" s="7" t="s">
        <v>16</v>
      </c>
      <c r="B138" s="8">
        <v>8470340</v>
      </c>
      <c r="C138" s="9" t="s">
        <v>195</v>
      </c>
      <c r="D138" s="10">
        <v>428090</v>
      </c>
      <c r="E138" s="9" t="s">
        <v>26</v>
      </c>
      <c r="F138" s="9" t="s">
        <v>203</v>
      </c>
      <c r="G138" s="12">
        <v>543</v>
      </c>
      <c r="H138" s="13"/>
      <c r="I138" s="14"/>
      <c r="J138" s="15"/>
      <c r="K138" s="16">
        <v>543</v>
      </c>
      <c r="L138" s="15"/>
      <c r="M138" s="14"/>
      <c r="N138" s="17"/>
      <c r="O138" s="17"/>
      <c r="P138" s="17"/>
      <c r="Q138" s="77">
        <v>543</v>
      </c>
      <c r="R138" s="17"/>
      <c r="S138" s="17"/>
      <c r="T138" s="17"/>
      <c r="U138" s="17"/>
      <c r="V138" s="11">
        <f t="shared" si="2"/>
        <v>0</v>
      </c>
      <c r="W138" s="17"/>
      <c r="X138" s="9" t="s">
        <v>922</v>
      </c>
    </row>
    <row r="139" spans="1:24" ht="25.5" x14ac:dyDescent="0.25">
      <c r="A139" s="7" t="s">
        <v>16</v>
      </c>
      <c r="B139" s="8">
        <v>8470340</v>
      </c>
      <c r="C139" s="9" t="s">
        <v>195</v>
      </c>
      <c r="D139" s="10">
        <v>432209</v>
      </c>
      <c r="E139" s="9" t="s">
        <v>124</v>
      </c>
      <c r="F139" s="9" t="s">
        <v>204</v>
      </c>
      <c r="G139" s="12">
        <v>75500</v>
      </c>
      <c r="H139" s="13"/>
      <c r="I139" s="19">
        <v>0</v>
      </c>
      <c r="J139" s="12">
        <v>74500</v>
      </c>
      <c r="K139" s="16">
        <v>1000</v>
      </c>
      <c r="L139" s="15"/>
      <c r="M139" s="14"/>
      <c r="N139" s="77">
        <v>1000</v>
      </c>
      <c r="O139" s="17"/>
      <c r="P139" s="17"/>
      <c r="Q139" s="17"/>
      <c r="R139" s="17"/>
      <c r="S139" s="17"/>
      <c r="T139" s="17"/>
      <c r="U139" s="17"/>
      <c r="V139" s="11">
        <f t="shared" si="2"/>
        <v>0</v>
      </c>
      <c r="W139" s="17"/>
      <c r="X139" s="9" t="s">
        <v>922</v>
      </c>
    </row>
    <row r="140" spans="1:24" ht="63.75" x14ac:dyDescent="0.25">
      <c r="A140" s="7" t="s">
        <v>16</v>
      </c>
      <c r="B140" s="8">
        <v>8470340</v>
      </c>
      <c r="C140" s="9" t="s">
        <v>195</v>
      </c>
      <c r="D140" s="10">
        <v>435350</v>
      </c>
      <c r="E140" s="9" t="s">
        <v>98</v>
      </c>
      <c r="F140" s="9" t="s">
        <v>205</v>
      </c>
      <c r="G140" s="12">
        <v>152403</v>
      </c>
      <c r="H140" s="18">
        <v>15873.9</v>
      </c>
      <c r="I140" s="14"/>
      <c r="J140" s="15"/>
      <c r="K140" s="16">
        <v>136529.1</v>
      </c>
      <c r="L140" s="15"/>
      <c r="M140" s="14"/>
      <c r="N140" s="77">
        <v>19504</v>
      </c>
      <c r="O140" s="77">
        <v>19504</v>
      </c>
      <c r="P140" s="77">
        <v>19504</v>
      </c>
      <c r="Q140" s="77">
        <v>19504</v>
      </c>
      <c r="R140" s="77">
        <v>19504</v>
      </c>
      <c r="S140" s="77">
        <v>19505</v>
      </c>
      <c r="T140" s="77">
        <v>19504</v>
      </c>
      <c r="U140" s="78" t="s">
        <v>680</v>
      </c>
      <c r="V140" s="11">
        <f t="shared" si="2"/>
        <v>0.10000000000582077</v>
      </c>
      <c r="W140" s="17"/>
      <c r="X140" s="9" t="s">
        <v>922</v>
      </c>
    </row>
    <row r="141" spans="1:24" ht="25.5" x14ac:dyDescent="0.25">
      <c r="A141" s="7" t="s">
        <v>16</v>
      </c>
      <c r="B141" s="8">
        <v>8470340</v>
      </c>
      <c r="C141" s="9" t="s">
        <v>195</v>
      </c>
      <c r="D141" s="10">
        <v>435508</v>
      </c>
      <c r="E141" s="9" t="s">
        <v>100</v>
      </c>
      <c r="F141" s="9" t="s">
        <v>206</v>
      </c>
      <c r="G141" s="12">
        <v>72954</v>
      </c>
      <c r="H141" s="18">
        <v>21458.09</v>
      </c>
      <c r="I141" s="19">
        <v>-2800</v>
      </c>
      <c r="J141" s="12">
        <v>21000</v>
      </c>
      <c r="K141" s="16">
        <v>33295.910000000003</v>
      </c>
      <c r="L141" s="79">
        <v>22000</v>
      </c>
      <c r="M141" s="80">
        <v>11296</v>
      </c>
      <c r="N141" s="17"/>
      <c r="O141" s="17"/>
      <c r="P141" s="17"/>
      <c r="Q141" s="17"/>
      <c r="R141" s="17"/>
      <c r="S141" s="17"/>
      <c r="T141" s="17"/>
      <c r="U141" s="17"/>
      <c r="V141" s="11">
        <f t="shared" si="2"/>
        <v>-8.999999999650754E-2</v>
      </c>
      <c r="W141" s="17"/>
      <c r="X141" s="9" t="s">
        <v>922</v>
      </c>
    </row>
    <row r="142" spans="1:24" ht="25.5" x14ac:dyDescent="0.25">
      <c r="A142" s="7" t="s">
        <v>16</v>
      </c>
      <c r="B142" s="8">
        <v>8470340</v>
      </c>
      <c r="C142" s="9" t="s">
        <v>195</v>
      </c>
      <c r="D142" s="10">
        <v>436110</v>
      </c>
      <c r="E142" s="9" t="s">
        <v>158</v>
      </c>
      <c r="F142" s="9" t="s">
        <v>207</v>
      </c>
      <c r="G142" s="12">
        <v>1860</v>
      </c>
      <c r="H142" s="13"/>
      <c r="I142" s="14"/>
      <c r="J142" s="15"/>
      <c r="K142" s="16">
        <v>1860</v>
      </c>
      <c r="L142" s="15"/>
      <c r="M142" s="14"/>
      <c r="N142" s="17"/>
      <c r="O142" s="77">
        <v>1860</v>
      </c>
      <c r="P142" s="17"/>
      <c r="Q142" s="17"/>
      <c r="R142" s="17"/>
      <c r="S142" s="17"/>
      <c r="T142" s="17"/>
      <c r="U142" s="17"/>
      <c r="V142" s="11">
        <f t="shared" si="2"/>
        <v>0</v>
      </c>
      <c r="W142" s="17"/>
      <c r="X142" s="9" t="s">
        <v>922</v>
      </c>
    </row>
    <row r="143" spans="1:24" ht="25.5" x14ac:dyDescent="0.25">
      <c r="A143" s="7" t="s">
        <v>16</v>
      </c>
      <c r="B143" s="8">
        <v>8470340</v>
      </c>
      <c r="C143" s="9" t="s">
        <v>195</v>
      </c>
      <c r="D143" s="10">
        <v>436600</v>
      </c>
      <c r="E143" s="9" t="s">
        <v>160</v>
      </c>
      <c r="F143" s="9" t="s">
        <v>208</v>
      </c>
      <c r="G143" s="12">
        <v>7998</v>
      </c>
      <c r="H143" s="13"/>
      <c r="I143" s="14"/>
      <c r="J143" s="15"/>
      <c r="K143" s="16">
        <v>7998</v>
      </c>
      <c r="L143" s="15"/>
      <c r="M143" s="14"/>
      <c r="N143" s="77">
        <v>7998</v>
      </c>
      <c r="O143" s="17"/>
      <c r="P143" s="17"/>
      <c r="Q143" s="17"/>
      <c r="R143" s="17"/>
      <c r="S143" s="17"/>
      <c r="T143" s="17"/>
      <c r="U143" s="17"/>
      <c r="V143" s="11">
        <f t="shared" si="2"/>
        <v>0</v>
      </c>
      <c r="W143" s="17"/>
      <c r="X143" s="9" t="s">
        <v>922</v>
      </c>
    </row>
    <row r="144" spans="1:24" ht="25.5" x14ac:dyDescent="0.25">
      <c r="A144" s="7" t="s">
        <v>16</v>
      </c>
      <c r="B144" s="8">
        <v>8470345</v>
      </c>
      <c r="C144" s="9" t="s">
        <v>209</v>
      </c>
      <c r="D144" s="10">
        <v>425510</v>
      </c>
      <c r="E144" s="9" t="s">
        <v>20</v>
      </c>
      <c r="F144" s="9" t="s">
        <v>210</v>
      </c>
      <c r="G144" s="12">
        <v>5832</v>
      </c>
      <c r="H144" s="13"/>
      <c r="I144" s="14"/>
      <c r="J144" s="15"/>
      <c r="K144" s="16">
        <v>5832</v>
      </c>
      <c r="L144" s="15"/>
      <c r="M144" s="14"/>
      <c r="N144" s="17"/>
      <c r="O144" s="17"/>
      <c r="P144" s="17"/>
      <c r="Q144" s="17"/>
      <c r="R144" s="17"/>
      <c r="S144" s="17"/>
      <c r="T144" s="17"/>
      <c r="U144" s="78" t="s">
        <v>681</v>
      </c>
      <c r="V144" s="82">
        <f t="shared" si="2"/>
        <v>5832</v>
      </c>
      <c r="W144" s="17"/>
      <c r="X144" s="9" t="s">
        <v>922</v>
      </c>
    </row>
    <row r="145" spans="1:24" ht="25.5" x14ac:dyDescent="0.25">
      <c r="A145" s="7" t="s">
        <v>16</v>
      </c>
      <c r="B145" s="8">
        <v>8470345</v>
      </c>
      <c r="C145" s="9" t="s">
        <v>209</v>
      </c>
      <c r="D145" s="10">
        <v>425760</v>
      </c>
      <c r="E145" s="9" t="s">
        <v>116</v>
      </c>
      <c r="F145" s="9" t="s">
        <v>211</v>
      </c>
      <c r="G145" s="12">
        <v>11393</v>
      </c>
      <c r="H145" s="13"/>
      <c r="I145" s="14"/>
      <c r="J145" s="15"/>
      <c r="K145" s="16">
        <v>11393</v>
      </c>
      <c r="L145" s="15"/>
      <c r="M145" s="14"/>
      <c r="N145" s="17"/>
      <c r="O145" s="17"/>
      <c r="P145" s="17"/>
      <c r="Q145" s="17"/>
      <c r="R145" s="17"/>
      <c r="S145" s="17"/>
      <c r="T145" s="17"/>
      <c r="U145" s="78" t="s">
        <v>682</v>
      </c>
      <c r="V145" s="82">
        <f t="shared" si="2"/>
        <v>11393</v>
      </c>
      <c r="W145" s="17"/>
      <c r="X145" s="9" t="s">
        <v>922</v>
      </c>
    </row>
    <row r="146" spans="1:24" ht="25.5" x14ac:dyDescent="0.25">
      <c r="A146" s="7" t="s">
        <v>16</v>
      </c>
      <c r="B146" s="8">
        <v>8470345</v>
      </c>
      <c r="C146" s="9" t="s">
        <v>209</v>
      </c>
      <c r="D146" s="10">
        <v>425761</v>
      </c>
      <c r="E146" s="9" t="s">
        <v>212</v>
      </c>
      <c r="F146" s="9" t="s">
        <v>213</v>
      </c>
      <c r="G146" s="12">
        <v>0</v>
      </c>
      <c r="H146" s="13"/>
      <c r="I146" s="14"/>
      <c r="J146" s="15"/>
      <c r="K146" s="16">
        <v>0</v>
      </c>
      <c r="L146" s="15"/>
      <c r="M146" s="14"/>
      <c r="N146" s="17"/>
      <c r="O146" s="17"/>
      <c r="P146" s="17"/>
      <c r="Q146" s="17"/>
      <c r="R146" s="17"/>
      <c r="S146" s="17"/>
      <c r="T146" s="17"/>
      <c r="U146" s="17"/>
      <c r="V146" s="11">
        <f t="shared" si="2"/>
        <v>0</v>
      </c>
      <c r="W146" s="17"/>
      <c r="X146" s="9" t="s">
        <v>922</v>
      </c>
    </row>
    <row r="147" spans="1:24" ht="25.5" x14ac:dyDescent="0.25">
      <c r="A147" s="7" t="s">
        <v>16</v>
      </c>
      <c r="B147" s="8">
        <v>8470345</v>
      </c>
      <c r="C147" s="9" t="s">
        <v>209</v>
      </c>
      <c r="D147" s="10">
        <v>425770</v>
      </c>
      <c r="E147" s="9" t="s">
        <v>119</v>
      </c>
      <c r="F147" s="9" t="s">
        <v>214</v>
      </c>
      <c r="G147" s="12">
        <v>44108</v>
      </c>
      <c r="H147" s="18">
        <v>16850</v>
      </c>
      <c r="I147" s="14"/>
      <c r="J147" s="15"/>
      <c r="K147" s="16">
        <v>27258</v>
      </c>
      <c r="L147" s="79">
        <v>21000</v>
      </c>
      <c r="M147" s="80">
        <v>19836</v>
      </c>
      <c r="N147" s="17"/>
      <c r="O147" s="17"/>
      <c r="P147" s="17"/>
      <c r="Q147" s="17"/>
      <c r="R147" s="17"/>
      <c r="S147" s="17"/>
      <c r="T147" s="17"/>
      <c r="U147" s="78" t="s">
        <v>683</v>
      </c>
      <c r="V147" s="82">
        <f t="shared" si="2"/>
        <v>-13578</v>
      </c>
      <c r="W147" s="17"/>
      <c r="X147" s="9" t="s">
        <v>922</v>
      </c>
    </row>
    <row r="148" spans="1:24" ht="25.5" x14ac:dyDescent="0.25">
      <c r="A148" s="7" t="s">
        <v>16</v>
      </c>
      <c r="B148" s="8">
        <v>8470345</v>
      </c>
      <c r="C148" s="9" t="s">
        <v>209</v>
      </c>
      <c r="D148" s="10">
        <v>425900</v>
      </c>
      <c r="E148" s="9" t="s">
        <v>24</v>
      </c>
      <c r="F148" s="9" t="s">
        <v>215</v>
      </c>
      <c r="G148" s="12">
        <v>960</v>
      </c>
      <c r="H148" s="13"/>
      <c r="I148" s="14"/>
      <c r="J148" s="15"/>
      <c r="K148" s="16">
        <v>960</v>
      </c>
      <c r="L148" s="15"/>
      <c r="M148" s="14"/>
      <c r="N148" s="17"/>
      <c r="O148" s="17"/>
      <c r="P148" s="17"/>
      <c r="Q148" s="17"/>
      <c r="R148" s="17"/>
      <c r="S148" s="17"/>
      <c r="T148" s="17"/>
      <c r="U148" s="77" t="s">
        <v>681</v>
      </c>
      <c r="V148" s="11">
        <f t="shared" si="2"/>
        <v>960</v>
      </c>
      <c r="W148" s="17"/>
      <c r="X148" s="9" t="s">
        <v>922</v>
      </c>
    </row>
    <row r="149" spans="1:24" ht="38.25" x14ac:dyDescent="0.25">
      <c r="A149" s="7" t="s">
        <v>16</v>
      </c>
      <c r="B149" s="8">
        <v>8470345</v>
      </c>
      <c r="C149" s="9" t="s">
        <v>209</v>
      </c>
      <c r="D149" s="10">
        <v>426610</v>
      </c>
      <c r="E149" s="9" t="s">
        <v>39</v>
      </c>
      <c r="F149" s="9" t="s">
        <v>216</v>
      </c>
      <c r="G149" s="12">
        <v>86955</v>
      </c>
      <c r="H149" s="18">
        <v>99171</v>
      </c>
      <c r="I149" s="19">
        <v>-12230.31</v>
      </c>
      <c r="J149" s="12">
        <v>0</v>
      </c>
      <c r="K149" s="16">
        <v>14.3099999999995</v>
      </c>
      <c r="L149" s="79">
        <v>20208</v>
      </c>
      <c r="M149" s="14"/>
      <c r="N149" s="17"/>
      <c r="O149" s="17"/>
      <c r="P149" s="17"/>
      <c r="Q149" s="17"/>
      <c r="R149" s="17"/>
      <c r="S149" s="17"/>
      <c r="T149" s="17"/>
      <c r="U149" s="78" t="s">
        <v>684</v>
      </c>
      <c r="V149" s="11">
        <f t="shared" si="2"/>
        <v>-20193.689999999999</v>
      </c>
      <c r="W149" s="17"/>
      <c r="X149" s="9" t="s">
        <v>922</v>
      </c>
    </row>
    <row r="150" spans="1:24" ht="63.75" x14ac:dyDescent="0.25">
      <c r="A150" s="7" t="s">
        <v>16</v>
      </c>
      <c r="B150" s="8">
        <v>8470345</v>
      </c>
      <c r="C150" s="9" t="s">
        <v>209</v>
      </c>
      <c r="D150" s="10">
        <v>435350</v>
      </c>
      <c r="E150" s="9" t="s">
        <v>98</v>
      </c>
      <c r="F150" s="9" t="s">
        <v>217</v>
      </c>
      <c r="G150" s="12">
        <v>56148</v>
      </c>
      <c r="H150" s="13"/>
      <c r="I150" s="14"/>
      <c r="J150" s="15"/>
      <c r="K150" s="16">
        <v>56148</v>
      </c>
      <c r="L150" s="79">
        <v>6057</v>
      </c>
      <c r="M150" s="80">
        <v>10000</v>
      </c>
      <c r="N150" s="77">
        <v>10000</v>
      </c>
      <c r="O150" s="77">
        <v>10000</v>
      </c>
      <c r="P150" s="77">
        <v>10000</v>
      </c>
      <c r="Q150" s="77">
        <v>10000</v>
      </c>
      <c r="R150" s="17"/>
      <c r="S150" s="17"/>
      <c r="T150" s="17"/>
      <c r="U150" s="78" t="s">
        <v>685</v>
      </c>
      <c r="V150" s="11">
        <f t="shared" si="2"/>
        <v>91</v>
      </c>
      <c r="W150" s="17"/>
      <c r="X150" s="9" t="s">
        <v>922</v>
      </c>
    </row>
    <row r="151" spans="1:24" ht="25.5" x14ac:dyDescent="0.25">
      <c r="A151" s="7" t="s">
        <v>16</v>
      </c>
      <c r="B151" s="8">
        <v>8470345</v>
      </c>
      <c r="C151" s="9" t="s">
        <v>209</v>
      </c>
      <c r="D151" s="10">
        <v>435508</v>
      </c>
      <c r="E151" s="9" t="s">
        <v>100</v>
      </c>
      <c r="F151" s="9" t="s">
        <v>218</v>
      </c>
      <c r="G151" s="12">
        <v>48614</v>
      </c>
      <c r="H151" s="18">
        <v>46954.11</v>
      </c>
      <c r="I151" s="19">
        <v>-47590.95</v>
      </c>
      <c r="J151" s="12">
        <v>47895</v>
      </c>
      <c r="K151" s="16">
        <v>1355.8399999999899</v>
      </c>
      <c r="L151" s="15"/>
      <c r="M151" s="80">
        <v>500</v>
      </c>
      <c r="N151" s="77">
        <v>500</v>
      </c>
      <c r="O151" s="77">
        <v>356</v>
      </c>
      <c r="P151" s="17"/>
      <c r="Q151" s="17"/>
      <c r="R151" s="17"/>
      <c r="S151" s="17"/>
      <c r="T151" s="17"/>
      <c r="U151" s="78" t="s">
        <v>686</v>
      </c>
      <c r="V151" s="11">
        <f t="shared" si="2"/>
        <v>-0.1600000000100863</v>
      </c>
      <c r="W151" s="17"/>
      <c r="X151" s="9" t="s">
        <v>922</v>
      </c>
    </row>
    <row r="152" spans="1:24" ht="76.5" x14ac:dyDescent="0.25">
      <c r="A152" s="7" t="s">
        <v>16</v>
      </c>
      <c r="B152" s="8">
        <v>8470345</v>
      </c>
      <c r="C152" s="9" t="s">
        <v>209</v>
      </c>
      <c r="D152" s="10">
        <v>436600</v>
      </c>
      <c r="E152" s="9" t="s">
        <v>160</v>
      </c>
      <c r="F152" s="9" t="s">
        <v>219</v>
      </c>
      <c r="G152" s="12">
        <v>25416</v>
      </c>
      <c r="H152" s="13"/>
      <c r="I152" s="14"/>
      <c r="J152" s="15"/>
      <c r="K152" s="16">
        <v>25416</v>
      </c>
      <c r="L152" s="79">
        <v>25400</v>
      </c>
      <c r="M152" s="14"/>
      <c r="N152" s="17"/>
      <c r="O152" s="17"/>
      <c r="P152" s="17"/>
      <c r="Q152" s="17"/>
      <c r="R152" s="17"/>
      <c r="S152" s="17"/>
      <c r="T152" s="17"/>
      <c r="U152" s="78" t="s">
        <v>687</v>
      </c>
      <c r="V152" s="11">
        <f t="shared" si="2"/>
        <v>16</v>
      </c>
      <c r="W152" s="17"/>
      <c r="X152" s="9" t="s">
        <v>922</v>
      </c>
    </row>
    <row r="153" spans="1:24" ht="51" x14ac:dyDescent="0.25">
      <c r="A153" s="7" t="s">
        <v>16</v>
      </c>
      <c r="B153" s="8">
        <v>8470350</v>
      </c>
      <c r="C153" s="9" t="s">
        <v>220</v>
      </c>
      <c r="D153" s="10">
        <v>425510</v>
      </c>
      <c r="E153" s="9" t="s">
        <v>20</v>
      </c>
      <c r="F153" s="9" t="s">
        <v>221</v>
      </c>
      <c r="G153" s="12">
        <v>8764</v>
      </c>
      <c r="H153" s="18">
        <v>6318.1</v>
      </c>
      <c r="I153" s="14"/>
      <c r="J153" s="15"/>
      <c r="K153" s="16">
        <v>2445.9</v>
      </c>
      <c r="L153" s="15"/>
      <c r="M153" s="80">
        <v>2446</v>
      </c>
      <c r="N153" s="17"/>
      <c r="O153" s="17"/>
      <c r="P153" s="17"/>
      <c r="Q153" s="17"/>
      <c r="R153" s="17"/>
      <c r="S153" s="17"/>
      <c r="T153" s="17"/>
      <c r="U153" s="78" t="s">
        <v>697</v>
      </c>
      <c r="V153" s="11">
        <f t="shared" si="2"/>
        <v>-9.9999999999909051E-2</v>
      </c>
      <c r="W153" s="17"/>
      <c r="X153" s="9" t="s">
        <v>922</v>
      </c>
    </row>
    <row r="154" spans="1:24" ht="38.25" x14ac:dyDescent="0.25">
      <c r="A154" s="7" t="s">
        <v>16</v>
      </c>
      <c r="B154" s="8">
        <v>8470350</v>
      </c>
      <c r="C154" s="9" t="s">
        <v>220</v>
      </c>
      <c r="D154" s="10">
        <v>425763</v>
      </c>
      <c r="E154" s="9" t="s">
        <v>53</v>
      </c>
      <c r="F154" s="9" t="s">
        <v>222</v>
      </c>
      <c r="G154" s="12">
        <v>3618</v>
      </c>
      <c r="H154" s="13"/>
      <c r="I154" s="14"/>
      <c r="J154" s="15"/>
      <c r="K154" s="16">
        <v>3618</v>
      </c>
      <c r="L154" s="15"/>
      <c r="M154" s="14"/>
      <c r="N154" s="17"/>
      <c r="O154" s="17"/>
      <c r="P154" s="17"/>
      <c r="Q154" s="17"/>
      <c r="R154" s="77">
        <v>3618</v>
      </c>
      <c r="S154" s="17"/>
      <c r="T154" s="17"/>
      <c r="U154" s="78" t="s">
        <v>698</v>
      </c>
      <c r="V154" s="11">
        <f t="shared" si="2"/>
        <v>0</v>
      </c>
      <c r="W154" s="17"/>
      <c r="X154" s="9" t="s">
        <v>922</v>
      </c>
    </row>
    <row r="155" spans="1:24" ht="38.25" x14ac:dyDescent="0.25">
      <c r="A155" s="7" t="s">
        <v>16</v>
      </c>
      <c r="B155" s="8">
        <v>8470350</v>
      </c>
      <c r="C155" s="9" t="s">
        <v>220</v>
      </c>
      <c r="D155" s="10">
        <v>425770</v>
      </c>
      <c r="E155" s="9" t="s">
        <v>119</v>
      </c>
      <c r="F155" s="9" t="s">
        <v>223</v>
      </c>
      <c r="G155" s="12">
        <v>120199</v>
      </c>
      <c r="H155" s="18">
        <v>16780.22</v>
      </c>
      <c r="I155" s="14"/>
      <c r="J155" s="15"/>
      <c r="K155" s="16">
        <v>103418.78</v>
      </c>
      <c r="L155" s="79"/>
      <c r="M155" s="80">
        <v>20000</v>
      </c>
      <c r="N155" s="77"/>
      <c r="O155" s="77"/>
      <c r="P155" s="77"/>
      <c r="Q155" s="77">
        <v>20000</v>
      </c>
      <c r="R155" s="77">
        <v>45000</v>
      </c>
      <c r="S155" s="77">
        <v>18419</v>
      </c>
      <c r="T155" s="17"/>
      <c r="U155" s="78" t="s">
        <v>699</v>
      </c>
      <c r="V155" s="11">
        <f t="shared" si="2"/>
        <v>-0.22000000000116415</v>
      </c>
      <c r="W155" s="17"/>
      <c r="X155" s="9" t="s">
        <v>922</v>
      </c>
    </row>
    <row r="156" spans="1:24" ht="25.5" x14ac:dyDescent="0.25">
      <c r="A156" s="7" t="s">
        <v>16</v>
      </c>
      <c r="B156" s="8">
        <v>8470350</v>
      </c>
      <c r="C156" s="9" t="s">
        <v>220</v>
      </c>
      <c r="D156" s="10">
        <v>425900</v>
      </c>
      <c r="E156" s="9" t="s">
        <v>24</v>
      </c>
      <c r="F156" s="9" t="s">
        <v>224</v>
      </c>
      <c r="G156" s="12">
        <v>4578</v>
      </c>
      <c r="H156" s="13"/>
      <c r="I156" s="14"/>
      <c r="J156" s="15"/>
      <c r="K156" s="16">
        <v>4578</v>
      </c>
      <c r="L156" s="15"/>
      <c r="M156" s="80">
        <v>4578</v>
      </c>
      <c r="N156" s="77"/>
      <c r="O156" s="77"/>
      <c r="P156" s="77"/>
      <c r="Q156" s="77"/>
      <c r="R156" s="77"/>
      <c r="S156" s="77"/>
      <c r="T156" s="17"/>
      <c r="U156" s="78" t="s">
        <v>700</v>
      </c>
      <c r="V156" s="11">
        <f t="shared" si="2"/>
        <v>0</v>
      </c>
      <c r="W156" s="17"/>
      <c r="X156" s="9" t="s">
        <v>922</v>
      </c>
    </row>
    <row r="157" spans="1:24" ht="38.25" x14ac:dyDescent="0.25">
      <c r="A157" s="7" t="s">
        <v>16</v>
      </c>
      <c r="B157" s="8">
        <v>8470350</v>
      </c>
      <c r="C157" s="9" t="s">
        <v>220</v>
      </c>
      <c r="D157" s="10">
        <v>426610</v>
      </c>
      <c r="E157" s="9" t="s">
        <v>39</v>
      </c>
      <c r="F157" s="9" t="s">
        <v>225</v>
      </c>
      <c r="G157" s="12">
        <v>201762</v>
      </c>
      <c r="H157" s="13"/>
      <c r="I157" s="19">
        <v>7193.2</v>
      </c>
      <c r="J157" s="12">
        <v>8393.2000000000007</v>
      </c>
      <c r="K157" s="16">
        <v>186175.6</v>
      </c>
      <c r="L157" s="15"/>
      <c r="M157" s="80">
        <v>100000</v>
      </c>
      <c r="N157" s="77">
        <v>86176</v>
      </c>
      <c r="O157" s="77"/>
      <c r="P157" s="77"/>
      <c r="Q157" s="77"/>
      <c r="R157" s="77"/>
      <c r="S157" s="77"/>
      <c r="T157" s="17"/>
      <c r="U157" s="78" t="s">
        <v>701</v>
      </c>
      <c r="V157" s="11">
        <f t="shared" si="2"/>
        <v>-0.39999999999417923</v>
      </c>
      <c r="W157" s="17"/>
      <c r="X157" s="9" t="s">
        <v>922</v>
      </c>
    </row>
    <row r="158" spans="1:24" ht="63.75" x14ac:dyDescent="0.25">
      <c r="A158" s="7" t="s">
        <v>16</v>
      </c>
      <c r="B158" s="8">
        <v>8470350</v>
      </c>
      <c r="C158" s="9" t="s">
        <v>220</v>
      </c>
      <c r="D158" s="10">
        <v>432209</v>
      </c>
      <c r="E158" s="9" t="s">
        <v>124</v>
      </c>
      <c r="F158" s="9" t="s">
        <v>226</v>
      </c>
      <c r="G158" s="12">
        <v>957910</v>
      </c>
      <c r="H158" s="18">
        <v>102434</v>
      </c>
      <c r="I158" s="19">
        <v>306425.18</v>
      </c>
      <c r="J158" s="12">
        <v>56566</v>
      </c>
      <c r="K158" s="16">
        <v>492484.82</v>
      </c>
      <c r="L158" s="15"/>
      <c r="M158" s="80">
        <v>300000</v>
      </c>
      <c r="N158" s="77">
        <v>192485</v>
      </c>
      <c r="O158" s="77"/>
      <c r="P158" s="77"/>
      <c r="Q158" s="77"/>
      <c r="R158" s="77"/>
      <c r="S158" s="77"/>
      <c r="T158" s="17"/>
      <c r="U158" s="78" t="s">
        <v>702</v>
      </c>
      <c r="V158" s="11">
        <f t="shared" si="2"/>
        <v>-0.17999999999301508</v>
      </c>
      <c r="W158" s="17"/>
      <c r="X158" s="9" t="s">
        <v>922</v>
      </c>
    </row>
    <row r="159" spans="1:24" ht="63.75" x14ac:dyDescent="0.25">
      <c r="A159" s="7" t="s">
        <v>16</v>
      </c>
      <c r="B159" s="8">
        <v>8470350</v>
      </c>
      <c r="C159" s="9" t="s">
        <v>220</v>
      </c>
      <c r="D159" s="10">
        <v>435350</v>
      </c>
      <c r="E159" s="9" t="s">
        <v>98</v>
      </c>
      <c r="F159" s="9" t="s">
        <v>227</v>
      </c>
      <c r="G159" s="12">
        <v>65176</v>
      </c>
      <c r="H159" s="18">
        <v>7603.11</v>
      </c>
      <c r="I159" s="14"/>
      <c r="J159" s="15"/>
      <c r="K159" s="16">
        <v>57572.89</v>
      </c>
      <c r="L159" s="15"/>
      <c r="M159" s="80">
        <v>17573</v>
      </c>
      <c r="N159" s="77">
        <v>10000</v>
      </c>
      <c r="O159" s="77"/>
      <c r="P159" s="77"/>
      <c r="Q159" s="77">
        <v>10000</v>
      </c>
      <c r="R159" s="77">
        <v>10000</v>
      </c>
      <c r="S159" s="77">
        <v>10000</v>
      </c>
      <c r="T159" s="17"/>
      <c r="U159" s="78" t="s">
        <v>680</v>
      </c>
      <c r="V159" s="11">
        <f t="shared" si="2"/>
        <v>-0.11000000000058208</v>
      </c>
      <c r="W159" s="17"/>
      <c r="X159" s="9" t="s">
        <v>922</v>
      </c>
    </row>
    <row r="160" spans="1:24" ht="63.75" x14ac:dyDescent="0.25">
      <c r="A160" s="7" t="s">
        <v>16</v>
      </c>
      <c r="B160" s="8">
        <v>8470350</v>
      </c>
      <c r="C160" s="9" t="s">
        <v>220</v>
      </c>
      <c r="D160" s="10">
        <v>435508</v>
      </c>
      <c r="E160" s="9" t="s">
        <v>100</v>
      </c>
      <c r="F160" s="9" t="s">
        <v>228</v>
      </c>
      <c r="G160" s="12">
        <v>31570</v>
      </c>
      <c r="H160" s="18">
        <v>350</v>
      </c>
      <c r="I160" s="19">
        <v>-3976.22</v>
      </c>
      <c r="J160" s="12">
        <v>3976.22</v>
      </c>
      <c r="K160" s="16">
        <v>31220</v>
      </c>
      <c r="L160" s="15"/>
      <c r="M160" s="80">
        <v>15000</v>
      </c>
      <c r="N160" s="77">
        <v>10000</v>
      </c>
      <c r="O160" s="77"/>
      <c r="P160" s="77"/>
      <c r="Q160" s="77"/>
      <c r="R160" s="77">
        <v>6220</v>
      </c>
      <c r="S160" s="77"/>
      <c r="T160" s="17"/>
      <c r="U160" s="78" t="s">
        <v>703</v>
      </c>
      <c r="V160" s="11">
        <f t="shared" si="2"/>
        <v>0</v>
      </c>
      <c r="W160" s="17"/>
      <c r="X160" s="9" t="s">
        <v>922</v>
      </c>
    </row>
    <row r="161" spans="1:24" ht="25.5" x14ac:dyDescent="0.25">
      <c r="A161" s="7" t="s">
        <v>16</v>
      </c>
      <c r="B161" s="8">
        <v>8470350</v>
      </c>
      <c r="C161" s="9" t="s">
        <v>220</v>
      </c>
      <c r="D161" s="10">
        <v>436600</v>
      </c>
      <c r="E161" s="9" t="s">
        <v>160</v>
      </c>
      <c r="F161" s="9" t="s">
        <v>229</v>
      </c>
      <c r="G161" s="12">
        <v>18220</v>
      </c>
      <c r="H161" s="18">
        <v>18216</v>
      </c>
      <c r="I161" s="19">
        <v>-18216</v>
      </c>
      <c r="J161" s="12">
        <v>18216</v>
      </c>
      <c r="K161" s="16">
        <v>4</v>
      </c>
      <c r="L161" s="15"/>
      <c r="M161" s="14"/>
      <c r="N161" s="17"/>
      <c r="O161" s="17"/>
      <c r="P161" s="17"/>
      <c r="Q161" s="17"/>
      <c r="R161" s="17"/>
      <c r="S161" s="17"/>
      <c r="T161" s="17"/>
      <c r="U161" s="17"/>
      <c r="V161" s="11">
        <f t="shared" si="2"/>
        <v>4</v>
      </c>
      <c r="W161" s="17"/>
      <c r="X161" s="9" t="s">
        <v>922</v>
      </c>
    </row>
    <row r="162" spans="1:24" ht="25.5" x14ac:dyDescent="0.25">
      <c r="A162" s="7" t="s">
        <v>16</v>
      </c>
      <c r="B162" s="8">
        <v>8470405</v>
      </c>
      <c r="C162" s="9" t="s">
        <v>230</v>
      </c>
      <c r="D162" s="10">
        <v>420550</v>
      </c>
      <c r="E162" s="9" t="s">
        <v>18</v>
      </c>
      <c r="F162" s="9" t="s">
        <v>231</v>
      </c>
      <c r="G162" s="12">
        <v>12906</v>
      </c>
      <c r="H162" s="18">
        <v>4407.63</v>
      </c>
      <c r="I162" s="14"/>
      <c r="J162" s="15"/>
      <c r="K162" s="16">
        <v>8498.3700000000008</v>
      </c>
      <c r="L162" s="55"/>
      <c r="M162" s="54" t="s">
        <v>858</v>
      </c>
      <c r="N162" s="57"/>
      <c r="O162" s="57"/>
      <c r="P162" s="57"/>
      <c r="Q162" s="57"/>
      <c r="R162" s="57"/>
      <c r="S162" s="57"/>
      <c r="T162" s="57"/>
      <c r="U162" s="57"/>
      <c r="V162" s="11" t="e">
        <f t="shared" si="2"/>
        <v>#VALUE!</v>
      </c>
      <c r="W162" s="17"/>
      <c r="X162" s="9" t="s">
        <v>922</v>
      </c>
    </row>
    <row r="163" spans="1:24" ht="25.5" x14ac:dyDescent="0.25">
      <c r="A163" s="7" t="s">
        <v>16</v>
      </c>
      <c r="B163" s="8">
        <v>8470405</v>
      </c>
      <c r="C163" s="9" t="s">
        <v>230</v>
      </c>
      <c r="D163" s="10">
        <v>421700</v>
      </c>
      <c r="E163" s="9" t="s">
        <v>36</v>
      </c>
      <c r="F163" s="9" t="s">
        <v>232</v>
      </c>
      <c r="G163" s="12">
        <v>97500</v>
      </c>
      <c r="H163" s="13"/>
      <c r="I163" s="14"/>
      <c r="J163" s="15"/>
      <c r="K163" s="16">
        <v>97500</v>
      </c>
      <c r="L163" s="186" t="s">
        <v>859</v>
      </c>
      <c r="M163" s="54"/>
      <c r="N163" s="57"/>
      <c r="O163" s="57"/>
      <c r="P163" s="57"/>
      <c r="Q163" s="57"/>
      <c r="R163" s="57"/>
      <c r="S163" s="57"/>
      <c r="T163" s="57"/>
      <c r="U163" s="57"/>
      <c r="V163" s="11" t="e">
        <f t="shared" si="2"/>
        <v>#VALUE!</v>
      </c>
      <c r="W163" s="17"/>
      <c r="X163" s="9" t="s">
        <v>922</v>
      </c>
    </row>
    <row r="164" spans="1:24" ht="25.5" x14ac:dyDescent="0.25">
      <c r="A164" s="7" t="s">
        <v>16</v>
      </c>
      <c r="B164" s="8">
        <v>8470405</v>
      </c>
      <c r="C164" s="9" t="s">
        <v>230</v>
      </c>
      <c r="D164" s="10">
        <v>425510</v>
      </c>
      <c r="E164" s="9" t="s">
        <v>20</v>
      </c>
      <c r="F164" s="9" t="s">
        <v>233</v>
      </c>
      <c r="G164" s="12">
        <v>6825</v>
      </c>
      <c r="H164" s="13"/>
      <c r="I164" s="14"/>
      <c r="J164" s="15"/>
      <c r="K164" s="16">
        <v>6825</v>
      </c>
      <c r="L164" s="186"/>
      <c r="M164" s="54"/>
      <c r="N164" s="57" t="s">
        <v>860</v>
      </c>
      <c r="O164" s="57"/>
      <c r="P164" s="57"/>
      <c r="Q164" s="57"/>
      <c r="R164" s="57"/>
      <c r="S164" s="57"/>
      <c r="T164" s="57"/>
      <c r="U164" s="57"/>
      <c r="V164" s="11" t="e">
        <f t="shared" si="2"/>
        <v>#VALUE!</v>
      </c>
      <c r="W164" s="17"/>
      <c r="X164" s="9" t="s">
        <v>922</v>
      </c>
    </row>
    <row r="165" spans="1:24" ht="25.5" x14ac:dyDescent="0.25">
      <c r="A165" s="7" t="s">
        <v>16</v>
      </c>
      <c r="B165" s="8">
        <v>8470405</v>
      </c>
      <c r="C165" s="9" t="s">
        <v>230</v>
      </c>
      <c r="D165" s="10">
        <v>425550</v>
      </c>
      <c r="E165" s="9" t="s">
        <v>22</v>
      </c>
      <c r="F165" s="9" t="s">
        <v>234</v>
      </c>
      <c r="G165" s="12">
        <v>5625</v>
      </c>
      <c r="H165" s="13"/>
      <c r="I165" s="14"/>
      <c r="J165" s="15"/>
      <c r="K165" s="16">
        <v>5625</v>
      </c>
      <c r="L165" s="186"/>
      <c r="M165" s="54" t="s">
        <v>861</v>
      </c>
      <c r="N165" s="57"/>
      <c r="O165" s="57"/>
      <c r="P165" s="57"/>
      <c r="Q165" s="57"/>
      <c r="R165" s="57"/>
      <c r="S165" s="57"/>
      <c r="T165" s="57"/>
      <c r="U165" s="57"/>
      <c r="V165" s="11" t="e">
        <f t="shared" si="2"/>
        <v>#VALUE!</v>
      </c>
      <c r="W165" s="17"/>
      <c r="X165" s="9" t="s">
        <v>922</v>
      </c>
    </row>
    <row r="166" spans="1:24" ht="25.5" x14ac:dyDescent="0.25">
      <c r="A166" s="7" t="s">
        <v>16</v>
      </c>
      <c r="B166" s="8">
        <v>8470405</v>
      </c>
      <c r="C166" s="9" t="s">
        <v>230</v>
      </c>
      <c r="D166" s="10">
        <v>425770</v>
      </c>
      <c r="E166" s="9" t="s">
        <v>119</v>
      </c>
      <c r="F166" s="9" t="s">
        <v>235</v>
      </c>
      <c r="G166" s="12">
        <v>78625</v>
      </c>
      <c r="H166" s="13"/>
      <c r="I166" s="14"/>
      <c r="J166" s="15"/>
      <c r="K166" s="16">
        <v>78625</v>
      </c>
      <c r="L166" s="52">
        <v>18000</v>
      </c>
      <c r="M166" s="56">
        <v>20000</v>
      </c>
      <c r="N166" s="58">
        <v>40000</v>
      </c>
      <c r="O166" s="57"/>
      <c r="P166" s="57"/>
      <c r="Q166" s="57"/>
      <c r="R166" s="57"/>
      <c r="S166" s="57"/>
      <c r="T166" s="57"/>
      <c r="U166" s="57"/>
      <c r="V166" s="11">
        <f t="shared" si="2"/>
        <v>625</v>
      </c>
      <c r="W166" s="17"/>
      <c r="X166" s="9" t="s">
        <v>922</v>
      </c>
    </row>
    <row r="167" spans="1:24" ht="25.5" x14ac:dyDescent="0.25">
      <c r="A167" s="7" t="s">
        <v>16</v>
      </c>
      <c r="B167" s="8">
        <v>8470405</v>
      </c>
      <c r="C167" s="9" t="s">
        <v>230</v>
      </c>
      <c r="D167" s="10">
        <v>425900</v>
      </c>
      <c r="E167" s="9" t="s">
        <v>24</v>
      </c>
      <c r="F167" s="9" t="s">
        <v>236</v>
      </c>
      <c r="G167" s="12">
        <v>20000</v>
      </c>
      <c r="H167" s="13"/>
      <c r="I167" s="14"/>
      <c r="J167" s="15"/>
      <c r="K167" s="16">
        <v>20000</v>
      </c>
      <c r="L167" s="55"/>
      <c r="M167" s="54"/>
      <c r="N167" s="58">
        <v>5000</v>
      </c>
      <c r="O167" s="57"/>
      <c r="P167" s="58">
        <v>10000</v>
      </c>
      <c r="Q167" s="58">
        <v>5000</v>
      </c>
      <c r="R167" s="58"/>
      <c r="S167" s="57"/>
      <c r="T167" s="57"/>
      <c r="U167" s="57"/>
      <c r="V167" s="11">
        <f t="shared" si="2"/>
        <v>0</v>
      </c>
      <c r="W167" s="17"/>
      <c r="X167" s="9" t="s">
        <v>922</v>
      </c>
    </row>
    <row r="168" spans="1:24" ht="25.5" x14ac:dyDescent="0.25">
      <c r="A168" s="7" t="s">
        <v>16</v>
      </c>
      <c r="B168" s="8">
        <v>8470405</v>
      </c>
      <c r="C168" s="9" t="s">
        <v>230</v>
      </c>
      <c r="D168" s="10">
        <v>427710</v>
      </c>
      <c r="E168" s="9" t="s">
        <v>45</v>
      </c>
      <c r="F168" s="9" t="s">
        <v>237</v>
      </c>
      <c r="G168" s="12">
        <v>20175</v>
      </c>
      <c r="H168" s="13"/>
      <c r="I168" s="14"/>
      <c r="J168" s="15"/>
      <c r="K168" s="16">
        <v>20175</v>
      </c>
      <c r="L168" s="55"/>
      <c r="M168" s="54"/>
      <c r="N168" s="58">
        <v>10000</v>
      </c>
      <c r="O168" s="57"/>
      <c r="P168" s="58">
        <v>5000</v>
      </c>
      <c r="Q168" s="58">
        <v>5000</v>
      </c>
      <c r="R168" s="57"/>
      <c r="S168" s="57"/>
      <c r="T168" s="57"/>
      <c r="U168" s="57"/>
      <c r="V168" s="11">
        <f t="shared" si="2"/>
        <v>175</v>
      </c>
      <c r="W168" s="17"/>
      <c r="X168" s="9" t="s">
        <v>922</v>
      </c>
    </row>
    <row r="169" spans="1:24" ht="25.5" x14ac:dyDescent="0.25">
      <c r="A169" s="7" t="s">
        <v>16</v>
      </c>
      <c r="B169" s="8">
        <v>8470405</v>
      </c>
      <c r="C169" s="9" t="s">
        <v>230</v>
      </c>
      <c r="D169" s="10">
        <v>428090</v>
      </c>
      <c r="E169" s="9" t="s">
        <v>26</v>
      </c>
      <c r="F169" s="9" t="s">
        <v>238</v>
      </c>
      <c r="G169" s="12">
        <v>100000</v>
      </c>
      <c r="H169" s="13"/>
      <c r="I169" s="14"/>
      <c r="J169" s="15"/>
      <c r="K169" s="16">
        <v>100000</v>
      </c>
      <c r="L169" s="55"/>
      <c r="M169" s="54"/>
      <c r="N169" s="58">
        <v>30000</v>
      </c>
      <c r="O169" s="57"/>
      <c r="P169" s="58">
        <v>30000</v>
      </c>
      <c r="Q169" s="58">
        <v>20000</v>
      </c>
      <c r="R169" s="57"/>
      <c r="S169" s="58">
        <v>20000</v>
      </c>
      <c r="T169" s="57"/>
      <c r="U169" s="57"/>
      <c r="V169" s="11">
        <f t="shared" si="2"/>
        <v>0</v>
      </c>
      <c r="W169" s="17"/>
      <c r="X169" s="9" t="s">
        <v>922</v>
      </c>
    </row>
    <row r="170" spans="1:24" ht="25.5" x14ac:dyDescent="0.25">
      <c r="A170" s="7" t="s">
        <v>16</v>
      </c>
      <c r="B170" s="8">
        <v>8470405</v>
      </c>
      <c r="C170" s="9" t="s">
        <v>230</v>
      </c>
      <c r="D170" s="10">
        <v>435350</v>
      </c>
      <c r="E170" s="9" t="s">
        <v>98</v>
      </c>
      <c r="F170" s="9" t="s">
        <v>239</v>
      </c>
      <c r="G170" s="12">
        <v>14400</v>
      </c>
      <c r="H170" s="13"/>
      <c r="I170" s="14"/>
      <c r="J170" s="15"/>
      <c r="K170" s="16">
        <v>14400</v>
      </c>
      <c r="L170" s="55"/>
      <c r="M170" s="54" t="s">
        <v>862</v>
      </c>
      <c r="N170" s="57"/>
      <c r="O170" s="57"/>
      <c r="P170" s="57"/>
      <c r="Q170" s="57"/>
      <c r="R170" s="57"/>
      <c r="S170" s="57"/>
      <c r="T170" s="57"/>
      <c r="U170" s="57"/>
      <c r="V170" s="11" t="e">
        <f t="shared" si="2"/>
        <v>#VALUE!</v>
      </c>
      <c r="W170" s="17"/>
      <c r="X170" s="9" t="s">
        <v>922</v>
      </c>
    </row>
    <row r="171" spans="1:24" ht="25.5" x14ac:dyDescent="0.25">
      <c r="A171" s="7" t="s">
        <v>16</v>
      </c>
      <c r="B171" s="8">
        <v>8470410</v>
      </c>
      <c r="C171" s="9" t="s">
        <v>240</v>
      </c>
      <c r="D171" s="10">
        <v>425770</v>
      </c>
      <c r="E171" s="9" t="s">
        <v>119</v>
      </c>
      <c r="F171" s="9" t="s">
        <v>241</v>
      </c>
      <c r="G171" s="12">
        <v>84600</v>
      </c>
      <c r="H171" s="18">
        <v>9864.2199999999993</v>
      </c>
      <c r="I171" s="14"/>
      <c r="J171" s="15"/>
      <c r="K171" s="16">
        <v>74735.78</v>
      </c>
      <c r="L171" s="115">
        <v>0</v>
      </c>
      <c r="M171" s="116">
        <v>9342</v>
      </c>
      <c r="N171" s="86">
        <v>9342</v>
      </c>
      <c r="O171" s="86">
        <v>9342</v>
      </c>
      <c r="P171" s="86">
        <v>9342</v>
      </c>
      <c r="Q171" s="86">
        <v>9342</v>
      </c>
      <c r="R171" s="86">
        <v>9342</v>
      </c>
      <c r="S171" s="86">
        <v>9342</v>
      </c>
      <c r="T171" s="86">
        <v>9342</v>
      </c>
      <c r="U171" s="50" t="s">
        <v>863</v>
      </c>
      <c r="V171" s="11">
        <f t="shared" si="2"/>
        <v>-0.22000000000116415</v>
      </c>
      <c r="W171" s="17"/>
      <c r="X171" s="9" t="s">
        <v>922</v>
      </c>
    </row>
    <row r="172" spans="1:24" ht="25.5" x14ac:dyDescent="0.25">
      <c r="A172" s="7" t="s">
        <v>16</v>
      </c>
      <c r="B172" s="8">
        <v>8470410</v>
      </c>
      <c r="C172" s="9" t="s">
        <v>240</v>
      </c>
      <c r="D172" s="10">
        <v>426610</v>
      </c>
      <c r="E172" s="9" t="s">
        <v>39</v>
      </c>
      <c r="F172" s="9" t="s">
        <v>242</v>
      </c>
      <c r="G172" s="12">
        <v>5579</v>
      </c>
      <c r="H172" s="13"/>
      <c r="I172" s="19">
        <v>1505</v>
      </c>
      <c r="J172" s="15"/>
      <c r="K172" s="16">
        <v>4074</v>
      </c>
      <c r="L172" s="115">
        <v>0</v>
      </c>
      <c r="M172" s="116">
        <v>509</v>
      </c>
      <c r="N172" s="86">
        <v>509</v>
      </c>
      <c r="O172" s="86">
        <v>509</v>
      </c>
      <c r="P172" s="86">
        <v>509</v>
      </c>
      <c r="Q172" s="86">
        <v>509</v>
      </c>
      <c r="R172" s="86">
        <v>509</v>
      </c>
      <c r="S172" s="86">
        <v>509</v>
      </c>
      <c r="T172" s="86">
        <v>511</v>
      </c>
      <c r="U172" s="50" t="s">
        <v>863</v>
      </c>
      <c r="V172" s="11">
        <f t="shared" si="2"/>
        <v>0</v>
      </c>
      <c r="W172" s="17"/>
      <c r="X172" s="9" t="s">
        <v>922</v>
      </c>
    </row>
    <row r="173" spans="1:24" ht="25.5" x14ac:dyDescent="0.25">
      <c r="A173" s="7" t="s">
        <v>16</v>
      </c>
      <c r="B173" s="8">
        <v>8470410</v>
      </c>
      <c r="C173" s="9" t="s">
        <v>240</v>
      </c>
      <c r="D173" s="10">
        <v>435310</v>
      </c>
      <c r="E173" s="9" t="s">
        <v>243</v>
      </c>
      <c r="F173" s="9" t="s">
        <v>244</v>
      </c>
      <c r="G173" s="12">
        <v>13288</v>
      </c>
      <c r="H173" s="13"/>
      <c r="I173" s="19">
        <v>13288</v>
      </c>
      <c r="J173" s="15"/>
      <c r="K173" s="16">
        <v>0</v>
      </c>
      <c r="L173" s="115">
        <v>0</v>
      </c>
      <c r="M173" s="116">
        <v>0</v>
      </c>
      <c r="N173" s="86">
        <v>0</v>
      </c>
      <c r="O173" s="86">
        <v>0</v>
      </c>
      <c r="P173" s="86">
        <v>0</v>
      </c>
      <c r="Q173" s="86">
        <v>0</v>
      </c>
      <c r="R173" s="86">
        <v>0</v>
      </c>
      <c r="S173" s="86">
        <v>0</v>
      </c>
      <c r="T173" s="86">
        <v>0</v>
      </c>
      <c r="U173" s="50"/>
      <c r="V173" s="11">
        <f t="shared" si="2"/>
        <v>0</v>
      </c>
      <c r="W173" s="17"/>
      <c r="X173" s="9" t="s">
        <v>922</v>
      </c>
    </row>
    <row r="174" spans="1:24" ht="25.5" x14ac:dyDescent="0.25">
      <c r="A174" s="7" t="s">
        <v>16</v>
      </c>
      <c r="B174" s="8">
        <v>8470410</v>
      </c>
      <c r="C174" s="9" t="s">
        <v>240</v>
      </c>
      <c r="D174" s="10">
        <v>435350</v>
      </c>
      <c r="E174" s="9" t="s">
        <v>98</v>
      </c>
      <c r="F174" s="9" t="s">
        <v>245</v>
      </c>
      <c r="G174" s="12">
        <v>21666</v>
      </c>
      <c r="H174" s="13"/>
      <c r="I174" s="14"/>
      <c r="J174" s="15"/>
      <c r="K174" s="16">
        <v>21666</v>
      </c>
      <c r="L174" s="115">
        <v>0</v>
      </c>
      <c r="M174" s="116">
        <v>2708</v>
      </c>
      <c r="N174" s="86">
        <v>2708</v>
      </c>
      <c r="O174" s="86">
        <v>2708</v>
      </c>
      <c r="P174" s="86">
        <v>2708</v>
      </c>
      <c r="Q174" s="86">
        <v>2708</v>
      </c>
      <c r="R174" s="86">
        <v>2708</v>
      </c>
      <c r="S174" s="86">
        <v>2708</v>
      </c>
      <c r="T174" s="86">
        <v>2710</v>
      </c>
      <c r="U174" s="50" t="s">
        <v>863</v>
      </c>
      <c r="V174" s="11">
        <f t="shared" si="2"/>
        <v>0</v>
      </c>
      <c r="W174" s="17"/>
      <c r="X174" s="9" t="s">
        <v>922</v>
      </c>
    </row>
    <row r="175" spans="1:24" ht="25.5" x14ac:dyDescent="0.25">
      <c r="A175" s="7" t="s">
        <v>16</v>
      </c>
      <c r="B175" s="8">
        <v>8470415</v>
      </c>
      <c r="C175" s="9" t="s">
        <v>246</v>
      </c>
      <c r="D175" s="10">
        <v>425763</v>
      </c>
      <c r="E175" s="9" t="s">
        <v>53</v>
      </c>
      <c r="F175" s="9" t="s">
        <v>247</v>
      </c>
      <c r="G175" s="12">
        <v>48844</v>
      </c>
      <c r="H175" s="18">
        <v>4631.5</v>
      </c>
      <c r="I175" s="19">
        <v>2745.75</v>
      </c>
      <c r="J175" s="12">
        <v>-795</v>
      </c>
      <c r="K175" s="16">
        <v>42261.75</v>
      </c>
      <c r="L175" s="186"/>
      <c r="M175" s="54"/>
      <c r="N175" s="57"/>
      <c r="O175" s="57"/>
      <c r="P175" s="57"/>
      <c r="Q175" s="57"/>
      <c r="R175" s="57"/>
      <c r="S175" s="57"/>
      <c r="T175" s="57"/>
      <c r="U175" s="57"/>
      <c r="V175" s="11">
        <f t="shared" si="2"/>
        <v>42261.75</v>
      </c>
      <c r="W175" s="164" t="s">
        <v>864</v>
      </c>
      <c r="X175" s="9" t="s">
        <v>922</v>
      </c>
    </row>
    <row r="176" spans="1:24" ht="25.5" x14ac:dyDescent="0.25">
      <c r="A176" s="7" t="s">
        <v>16</v>
      </c>
      <c r="B176" s="8">
        <v>8470415</v>
      </c>
      <c r="C176" s="9" t="s">
        <v>246</v>
      </c>
      <c r="D176" s="10">
        <v>425770</v>
      </c>
      <c r="E176" s="9" t="s">
        <v>119</v>
      </c>
      <c r="F176" s="9" t="s">
        <v>248</v>
      </c>
      <c r="G176" s="12">
        <v>254625</v>
      </c>
      <c r="H176" s="18">
        <v>13682</v>
      </c>
      <c r="I176" s="14"/>
      <c r="J176" s="15"/>
      <c r="K176" s="16">
        <v>240943</v>
      </c>
      <c r="L176" s="187"/>
      <c r="M176" s="54"/>
      <c r="N176" s="57"/>
      <c r="O176" s="57"/>
      <c r="P176" s="57"/>
      <c r="Q176" s="57"/>
      <c r="R176" s="57"/>
      <c r="S176" s="57"/>
      <c r="T176" s="57"/>
      <c r="U176" s="57"/>
      <c r="V176" s="11">
        <f t="shared" si="2"/>
        <v>240943</v>
      </c>
      <c r="W176" s="212" t="s">
        <v>865</v>
      </c>
      <c r="X176" s="9" t="s">
        <v>922</v>
      </c>
    </row>
    <row r="177" spans="1:24" ht="25.5" x14ac:dyDescent="0.25">
      <c r="A177" s="7" t="s">
        <v>16</v>
      </c>
      <c r="B177" s="8">
        <v>8470415</v>
      </c>
      <c r="C177" s="9" t="s">
        <v>246</v>
      </c>
      <c r="D177" s="10">
        <v>425900</v>
      </c>
      <c r="E177" s="9" t="s">
        <v>24</v>
      </c>
      <c r="F177" s="9" t="s">
        <v>249</v>
      </c>
      <c r="G177" s="12">
        <v>9340</v>
      </c>
      <c r="H177" s="13"/>
      <c r="I177" s="14"/>
      <c r="J177" s="15"/>
      <c r="K177" s="16">
        <v>9340</v>
      </c>
      <c r="L177" s="186"/>
      <c r="M177" s="54"/>
      <c r="N177" s="57"/>
      <c r="O177" s="57"/>
      <c r="P177" s="57"/>
      <c r="Q177" s="57"/>
      <c r="R177" s="57"/>
      <c r="S177" s="57"/>
      <c r="T177" s="57"/>
      <c r="U177" s="57"/>
      <c r="V177" s="11">
        <f t="shared" si="2"/>
        <v>9340</v>
      </c>
      <c r="W177" s="164" t="s">
        <v>866</v>
      </c>
      <c r="X177" s="9" t="s">
        <v>922</v>
      </c>
    </row>
    <row r="178" spans="1:24" ht="25.5" x14ac:dyDescent="0.25">
      <c r="A178" s="7" t="s">
        <v>16</v>
      </c>
      <c r="B178" s="8">
        <v>8470415</v>
      </c>
      <c r="C178" s="9" t="s">
        <v>246</v>
      </c>
      <c r="D178" s="10">
        <v>426610</v>
      </c>
      <c r="E178" s="9" t="s">
        <v>39</v>
      </c>
      <c r="F178" s="9" t="s">
        <v>250</v>
      </c>
      <c r="G178" s="12">
        <v>130504</v>
      </c>
      <c r="H178" s="18">
        <v>37806.980000000003</v>
      </c>
      <c r="I178" s="19">
        <v>-37806.980000000003</v>
      </c>
      <c r="J178" s="12">
        <v>37806.980000000003</v>
      </c>
      <c r="K178" s="16">
        <v>92697.02</v>
      </c>
      <c r="L178" s="186"/>
      <c r="M178" s="54"/>
      <c r="N178" s="57"/>
      <c r="O178" s="57"/>
      <c r="P178" s="57"/>
      <c r="Q178" s="57"/>
      <c r="R178" s="57"/>
      <c r="S178" s="57"/>
      <c r="T178" s="57"/>
      <c r="U178" s="57"/>
      <c r="V178" s="11">
        <f t="shared" si="2"/>
        <v>92697.02</v>
      </c>
      <c r="W178" s="164" t="s">
        <v>867</v>
      </c>
      <c r="X178" s="9" t="s">
        <v>922</v>
      </c>
    </row>
    <row r="179" spans="1:24" ht="25.5" x14ac:dyDescent="0.25">
      <c r="A179" s="7" t="s">
        <v>16</v>
      </c>
      <c r="B179" s="8">
        <v>8470415</v>
      </c>
      <c r="C179" s="9" t="s">
        <v>246</v>
      </c>
      <c r="D179" s="10">
        <v>432209</v>
      </c>
      <c r="E179" s="9" t="s">
        <v>124</v>
      </c>
      <c r="F179" s="9" t="s">
        <v>251</v>
      </c>
      <c r="G179" s="12">
        <v>965300</v>
      </c>
      <c r="H179" s="18">
        <v>3300</v>
      </c>
      <c r="I179" s="19">
        <v>39325</v>
      </c>
      <c r="J179" s="12">
        <v>0</v>
      </c>
      <c r="K179" s="16">
        <v>922675</v>
      </c>
      <c r="L179" s="186"/>
      <c r="M179" s="54"/>
      <c r="N179" s="57"/>
      <c r="O179" s="57"/>
      <c r="P179" s="57"/>
      <c r="Q179" s="57"/>
      <c r="R179" s="57"/>
      <c r="S179" s="57"/>
      <c r="T179" s="57"/>
      <c r="U179" s="57"/>
      <c r="V179" s="11">
        <f t="shared" si="2"/>
        <v>922675</v>
      </c>
      <c r="W179" s="164" t="s">
        <v>868</v>
      </c>
      <c r="X179" s="9" t="s">
        <v>922</v>
      </c>
    </row>
    <row r="180" spans="1:24" ht="25.5" x14ac:dyDescent="0.25">
      <c r="A180" s="7" t="s">
        <v>16</v>
      </c>
      <c r="B180" s="8">
        <v>8470415</v>
      </c>
      <c r="C180" s="9" t="s">
        <v>246</v>
      </c>
      <c r="D180" s="10">
        <v>435350</v>
      </c>
      <c r="E180" s="9" t="s">
        <v>98</v>
      </c>
      <c r="F180" s="9" t="s">
        <v>252</v>
      </c>
      <c r="G180" s="12">
        <v>35138</v>
      </c>
      <c r="H180" s="13"/>
      <c r="I180" s="14"/>
      <c r="J180" s="15"/>
      <c r="K180" s="16">
        <v>35138</v>
      </c>
      <c r="L180" s="187"/>
      <c r="M180" s="54"/>
      <c r="N180" s="57"/>
      <c r="O180" s="57"/>
      <c r="P180" s="57"/>
      <c r="Q180" s="57"/>
      <c r="R180" s="57"/>
      <c r="S180" s="57"/>
      <c r="T180" s="57"/>
      <c r="U180" s="57"/>
      <c r="V180" s="11">
        <f t="shared" si="2"/>
        <v>35138</v>
      </c>
      <c r="W180" s="212" t="s">
        <v>869</v>
      </c>
      <c r="X180" s="9" t="s">
        <v>922</v>
      </c>
    </row>
    <row r="181" spans="1:24" ht="38.25" x14ac:dyDescent="0.25">
      <c r="A181" s="7" t="s">
        <v>16</v>
      </c>
      <c r="B181" s="8">
        <v>8470415</v>
      </c>
      <c r="C181" s="9" t="s">
        <v>246</v>
      </c>
      <c r="D181" s="10">
        <v>435508</v>
      </c>
      <c r="E181" s="9" t="s">
        <v>100</v>
      </c>
      <c r="F181" s="9" t="s">
        <v>253</v>
      </c>
      <c r="G181" s="12">
        <v>344400</v>
      </c>
      <c r="H181" s="18">
        <v>243237.12</v>
      </c>
      <c r="I181" s="19">
        <v>35309.440000000002</v>
      </c>
      <c r="J181" s="12">
        <v>64783.87</v>
      </c>
      <c r="K181" s="16">
        <v>1069.5699999999899</v>
      </c>
      <c r="L181" s="186"/>
      <c r="M181" s="54"/>
      <c r="N181" s="57"/>
      <c r="O181" s="57"/>
      <c r="P181" s="57"/>
      <c r="Q181" s="57"/>
      <c r="R181" s="57"/>
      <c r="S181" s="57"/>
      <c r="T181" s="57"/>
      <c r="U181" s="57"/>
      <c r="V181" s="11">
        <f t="shared" si="2"/>
        <v>1069.5699999999899</v>
      </c>
      <c r="W181" s="164" t="s">
        <v>870</v>
      </c>
      <c r="X181" s="9" t="s">
        <v>922</v>
      </c>
    </row>
    <row r="182" spans="1:24" ht="38.25" x14ac:dyDescent="0.25">
      <c r="A182" s="7" t="s">
        <v>16</v>
      </c>
      <c r="B182" s="8">
        <v>8470425</v>
      </c>
      <c r="C182" s="9" t="s">
        <v>254</v>
      </c>
      <c r="D182" s="10">
        <v>425510</v>
      </c>
      <c r="E182" s="9" t="s">
        <v>20</v>
      </c>
      <c r="F182" s="9" t="s">
        <v>255</v>
      </c>
      <c r="G182" s="12">
        <v>21259</v>
      </c>
      <c r="H182" s="18">
        <v>27828.81</v>
      </c>
      <c r="I182" s="19">
        <v>-11600</v>
      </c>
      <c r="J182" s="12">
        <v>0</v>
      </c>
      <c r="K182" s="16">
        <v>5030.1899999999996</v>
      </c>
      <c r="L182" s="115"/>
      <c r="M182" s="116"/>
      <c r="N182" s="86"/>
      <c r="O182" s="86"/>
      <c r="P182" s="86">
        <v>3300</v>
      </c>
      <c r="Q182" s="86"/>
      <c r="R182" s="86"/>
      <c r="S182" s="86">
        <v>1730</v>
      </c>
      <c r="T182" s="86"/>
      <c r="U182" s="50"/>
      <c r="V182" s="11">
        <f t="shared" si="2"/>
        <v>0.18999999999959982</v>
      </c>
      <c r="W182" s="213" t="s">
        <v>889</v>
      </c>
      <c r="X182" s="9" t="s">
        <v>922</v>
      </c>
    </row>
    <row r="183" spans="1:24" ht="25.5" x14ac:dyDescent="0.25">
      <c r="A183" s="7" t="s">
        <v>16</v>
      </c>
      <c r="B183" s="8">
        <v>8470425</v>
      </c>
      <c r="C183" s="9" t="s">
        <v>254</v>
      </c>
      <c r="D183" s="10">
        <v>425550</v>
      </c>
      <c r="E183" s="9" t="s">
        <v>22</v>
      </c>
      <c r="F183" s="9" t="s">
        <v>256</v>
      </c>
      <c r="G183" s="12">
        <v>54661</v>
      </c>
      <c r="H183" s="18">
        <v>2727.37</v>
      </c>
      <c r="I183" s="14"/>
      <c r="J183" s="15"/>
      <c r="K183" s="16">
        <v>51933.63</v>
      </c>
      <c r="L183" s="115"/>
      <c r="M183" s="116"/>
      <c r="N183" s="86">
        <v>1000</v>
      </c>
      <c r="O183" s="86"/>
      <c r="P183" s="86">
        <v>10000</v>
      </c>
      <c r="Q183" s="86">
        <v>9000</v>
      </c>
      <c r="R183" s="86"/>
      <c r="S183" s="86">
        <v>18000</v>
      </c>
      <c r="T183" s="188">
        <v>13934</v>
      </c>
      <c r="U183" s="50"/>
      <c r="V183" s="11">
        <f t="shared" si="2"/>
        <v>-0.37000000000261934</v>
      </c>
      <c r="W183" s="17"/>
      <c r="X183" s="9" t="s">
        <v>922</v>
      </c>
    </row>
    <row r="184" spans="1:24" ht="25.5" x14ac:dyDescent="0.25">
      <c r="A184" s="7" t="s">
        <v>16</v>
      </c>
      <c r="B184" s="8">
        <v>8470425</v>
      </c>
      <c r="C184" s="9" t="s">
        <v>254</v>
      </c>
      <c r="D184" s="10">
        <v>425770</v>
      </c>
      <c r="E184" s="9" t="s">
        <v>119</v>
      </c>
      <c r="F184" s="9" t="s">
        <v>257</v>
      </c>
      <c r="G184" s="12">
        <v>159895</v>
      </c>
      <c r="H184" s="13"/>
      <c r="I184" s="14"/>
      <c r="J184" s="15"/>
      <c r="K184" s="16">
        <v>159895</v>
      </c>
      <c r="L184" s="115"/>
      <c r="M184" s="116"/>
      <c r="N184" s="86"/>
      <c r="O184" s="86">
        <v>30000</v>
      </c>
      <c r="P184" s="86">
        <v>30000</v>
      </c>
      <c r="Q184" s="86"/>
      <c r="R184" s="86">
        <v>60000</v>
      </c>
      <c r="S184" s="86">
        <v>39895</v>
      </c>
      <c r="T184" s="86"/>
      <c r="U184" s="50"/>
      <c r="V184" s="11">
        <f t="shared" si="2"/>
        <v>0</v>
      </c>
      <c r="W184" s="17"/>
      <c r="X184" s="9" t="s">
        <v>922</v>
      </c>
    </row>
    <row r="185" spans="1:24" ht="25.5" x14ac:dyDescent="0.25">
      <c r="A185" s="7" t="s">
        <v>16</v>
      </c>
      <c r="B185" s="8">
        <v>8470425</v>
      </c>
      <c r="C185" s="9" t="s">
        <v>254</v>
      </c>
      <c r="D185" s="10">
        <v>425900</v>
      </c>
      <c r="E185" s="9" t="s">
        <v>24</v>
      </c>
      <c r="F185" s="9" t="s">
        <v>258</v>
      </c>
      <c r="G185" s="12">
        <v>2973</v>
      </c>
      <c r="H185" s="13"/>
      <c r="I185" s="14"/>
      <c r="J185" s="15"/>
      <c r="K185" s="16">
        <v>2973</v>
      </c>
      <c r="L185" s="115"/>
      <c r="M185" s="116"/>
      <c r="N185" s="86"/>
      <c r="O185" s="86"/>
      <c r="P185" s="86">
        <v>2973</v>
      </c>
      <c r="Q185" s="86"/>
      <c r="R185" s="86"/>
      <c r="S185" s="86"/>
      <c r="T185" s="86"/>
      <c r="U185" s="50"/>
      <c r="V185" s="11">
        <f t="shared" si="2"/>
        <v>0</v>
      </c>
      <c r="W185" s="17"/>
      <c r="X185" s="9" t="s">
        <v>922</v>
      </c>
    </row>
    <row r="186" spans="1:24" ht="25.5" x14ac:dyDescent="0.25">
      <c r="A186" s="7" t="s">
        <v>16</v>
      </c>
      <c r="B186" s="8">
        <v>8470425</v>
      </c>
      <c r="C186" s="9" t="s">
        <v>254</v>
      </c>
      <c r="D186" s="10">
        <v>426610</v>
      </c>
      <c r="E186" s="9" t="s">
        <v>39</v>
      </c>
      <c r="F186" s="9" t="s">
        <v>259</v>
      </c>
      <c r="G186" s="12">
        <v>22498</v>
      </c>
      <c r="H186" s="13"/>
      <c r="I186" s="14"/>
      <c r="J186" s="15"/>
      <c r="K186" s="16">
        <v>22498</v>
      </c>
      <c r="L186" s="115"/>
      <c r="M186" s="116"/>
      <c r="N186" s="86"/>
      <c r="O186" s="86"/>
      <c r="P186" s="86">
        <v>12498</v>
      </c>
      <c r="Q186" s="86">
        <v>10000</v>
      </c>
      <c r="R186" s="86"/>
      <c r="S186" s="86"/>
      <c r="T186" s="86"/>
      <c r="U186" s="50"/>
      <c r="V186" s="11">
        <f t="shared" si="2"/>
        <v>0</v>
      </c>
      <c r="W186" s="17"/>
      <c r="X186" s="9" t="s">
        <v>922</v>
      </c>
    </row>
    <row r="187" spans="1:24" ht="25.5" x14ac:dyDescent="0.25">
      <c r="A187" s="7" t="s">
        <v>16</v>
      </c>
      <c r="B187" s="8">
        <v>8470425</v>
      </c>
      <c r="C187" s="9" t="s">
        <v>254</v>
      </c>
      <c r="D187" s="10">
        <v>428090</v>
      </c>
      <c r="E187" s="9" t="s">
        <v>26</v>
      </c>
      <c r="F187" s="9" t="s">
        <v>260</v>
      </c>
      <c r="G187" s="12">
        <v>6445</v>
      </c>
      <c r="H187" s="13"/>
      <c r="I187" s="14"/>
      <c r="J187" s="15"/>
      <c r="K187" s="16">
        <v>6445</v>
      </c>
      <c r="L187" s="115"/>
      <c r="M187" s="116"/>
      <c r="N187" s="86"/>
      <c r="O187" s="86">
        <v>6445</v>
      </c>
      <c r="P187" s="86"/>
      <c r="Q187" s="86"/>
      <c r="R187" s="86"/>
      <c r="S187" s="86"/>
      <c r="T187" s="86"/>
      <c r="U187" s="50"/>
      <c r="V187" s="11">
        <f t="shared" si="2"/>
        <v>0</v>
      </c>
      <c r="W187" s="17"/>
      <c r="X187" s="9" t="s">
        <v>922</v>
      </c>
    </row>
    <row r="188" spans="1:24" ht="25.5" x14ac:dyDescent="0.25">
      <c r="A188" s="7" t="s">
        <v>16</v>
      </c>
      <c r="B188" s="8">
        <v>8470425</v>
      </c>
      <c r="C188" s="9" t="s">
        <v>254</v>
      </c>
      <c r="D188" s="10">
        <v>435350</v>
      </c>
      <c r="E188" s="9" t="s">
        <v>98</v>
      </c>
      <c r="F188" s="9" t="s">
        <v>261</v>
      </c>
      <c r="G188" s="12">
        <v>76000</v>
      </c>
      <c r="H188" s="13"/>
      <c r="I188" s="14"/>
      <c r="J188" s="15"/>
      <c r="K188" s="16">
        <v>76000</v>
      </c>
      <c r="L188" s="115"/>
      <c r="M188" s="116">
        <v>7500</v>
      </c>
      <c r="N188" s="86">
        <v>15000</v>
      </c>
      <c r="O188" s="86"/>
      <c r="P188" s="86">
        <v>7500</v>
      </c>
      <c r="Q188" s="86">
        <v>15000</v>
      </c>
      <c r="R188" s="86">
        <v>15000</v>
      </c>
      <c r="S188" s="86">
        <v>7500</v>
      </c>
      <c r="T188" s="86">
        <v>8500</v>
      </c>
      <c r="U188" s="50"/>
      <c r="V188" s="11">
        <f t="shared" si="2"/>
        <v>0</v>
      </c>
      <c r="W188" s="17"/>
      <c r="X188" s="9" t="s">
        <v>922</v>
      </c>
    </row>
    <row r="189" spans="1:24" ht="25.5" x14ac:dyDescent="0.25">
      <c r="A189" s="7" t="s">
        <v>16</v>
      </c>
      <c r="B189" s="8">
        <v>8470425</v>
      </c>
      <c r="C189" s="9" t="s">
        <v>254</v>
      </c>
      <c r="D189" s="10">
        <v>435508</v>
      </c>
      <c r="E189" s="9" t="s">
        <v>100</v>
      </c>
      <c r="F189" s="9" t="s">
        <v>262</v>
      </c>
      <c r="G189" s="12">
        <v>169693</v>
      </c>
      <c r="H189" s="13"/>
      <c r="I189" s="19">
        <v>1500</v>
      </c>
      <c r="J189" s="12">
        <v>5500</v>
      </c>
      <c r="K189" s="16">
        <v>162693</v>
      </c>
      <c r="L189" s="115"/>
      <c r="M189" s="116"/>
      <c r="N189" s="86">
        <v>50000</v>
      </c>
      <c r="O189" s="86">
        <v>30000</v>
      </c>
      <c r="P189" s="86">
        <v>50000</v>
      </c>
      <c r="Q189" s="86">
        <v>32693</v>
      </c>
      <c r="R189" s="86"/>
      <c r="S189" s="86"/>
      <c r="T189" s="86"/>
      <c r="U189" s="50"/>
      <c r="V189" s="11">
        <f t="shared" si="2"/>
        <v>0</v>
      </c>
      <c r="W189" s="17"/>
      <c r="X189" s="9" t="s">
        <v>922</v>
      </c>
    </row>
    <row r="190" spans="1:24" ht="25.5" x14ac:dyDescent="0.25">
      <c r="A190" s="7" t="s">
        <v>16</v>
      </c>
      <c r="B190" s="8">
        <v>8470430</v>
      </c>
      <c r="C190" s="9" t="s">
        <v>263</v>
      </c>
      <c r="D190" s="10">
        <v>425763</v>
      </c>
      <c r="E190" s="9" t="s">
        <v>53</v>
      </c>
      <c r="F190" s="9" t="s">
        <v>264</v>
      </c>
      <c r="G190" s="12">
        <v>25238</v>
      </c>
      <c r="H190" s="13"/>
      <c r="I190" s="14"/>
      <c r="J190" s="15"/>
      <c r="K190" s="16">
        <v>25238</v>
      </c>
      <c r="L190" s="115">
        <v>18000</v>
      </c>
      <c r="M190" s="116"/>
      <c r="N190" s="86"/>
      <c r="O190" s="86"/>
      <c r="P190" s="86">
        <v>7238</v>
      </c>
      <c r="Q190" s="86"/>
      <c r="R190" s="86"/>
      <c r="S190" s="86"/>
      <c r="T190" s="86"/>
      <c r="U190" s="50"/>
      <c r="V190" s="11">
        <f t="shared" si="2"/>
        <v>0</v>
      </c>
      <c r="W190" s="17"/>
      <c r="X190" s="9" t="s">
        <v>922</v>
      </c>
    </row>
    <row r="191" spans="1:24" ht="25.5" x14ac:dyDescent="0.25">
      <c r="A191" s="7" t="s">
        <v>16</v>
      </c>
      <c r="B191" s="8">
        <v>8470430</v>
      </c>
      <c r="C191" s="9" t="s">
        <v>263</v>
      </c>
      <c r="D191" s="10">
        <v>425770</v>
      </c>
      <c r="E191" s="9" t="s">
        <v>119</v>
      </c>
      <c r="F191" s="9" t="s">
        <v>265</v>
      </c>
      <c r="G191" s="12">
        <v>19486</v>
      </c>
      <c r="H191" s="18">
        <v>19485.36</v>
      </c>
      <c r="I191" s="14"/>
      <c r="J191" s="15"/>
      <c r="K191" s="16">
        <v>0.63999999999941803</v>
      </c>
      <c r="L191" s="115"/>
      <c r="M191" s="116"/>
      <c r="N191" s="86"/>
      <c r="O191" s="86"/>
      <c r="P191" s="86"/>
      <c r="Q191" s="86"/>
      <c r="R191" s="86"/>
      <c r="S191" s="86"/>
      <c r="T191" s="86"/>
      <c r="U191" s="50"/>
      <c r="V191" s="11">
        <f t="shared" si="2"/>
        <v>0.63999999999941803</v>
      </c>
      <c r="W191" s="9" t="s">
        <v>871</v>
      </c>
      <c r="X191" s="9" t="s">
        <v>922</v>
      </c>
    </row>
    <row r="192" spans="1:24" ht="25.5" x14ac:dyDescent="0.25">
      <c r="A192" s="7" t="s">
        <v>16</v>
      </c>
      <c r="B192" s="8">
        <v>8470430</v>
      </c>
      <c r="C192" s="9" t="s">
        <v>263</v>
      </c>
      <c r="D192" s="10">
        <v>426610</v>
      </c>
      <c r="E192" s="9" t="s">
        <v>39</v>
      </c>
      <c r="F192" s="9" t="s">
        <v>266</v>
      </c>
      <c r="G192" s="12">
        <v>22981</v>
      </c>
      <c r="H192" s="13"/>
      <c r="I192" s="19">
        <v>0</v>
      </c>
      <c r="J192" s="12">
        <v>6482.85</v>
      </c>
      <c r="K192" s="16">
        <v>16498.150000000001</v>
      </c>
      <c r="L192" s="115"/>
      <c r="M192" s="189">
        <v>16498.150000000001</v>
      </c>
      <c r="N192" s="86"/>
      <c r="O192" s="86"/>
      <c r="P192" s="86"/>
      <c r="Q192" s="86"/>
      <c r="R192" s="86"/>
      <c r="S192" s="86"/>
      <c r="T192" s="86"/>
      <c r="U192" s="50"/>
      <c r="V192" s="11">
        <f t="shared" si="2"/>
        <v>0</v>
      </c>
      <c r="W192" s="9"/>
      <c r="X192" s="9" t="s">
        <v>922</v>
      </c>
    </row>
    <row r="193" spans="1:24" ht="25.5" x14ac:dyDescent="0.25">
      <c r="A193" s="7" t="s">
        <v>16</v>
      </c>
      <c r="B193" s="8">
        <v>8470430</v>
      </c>
      <c r="C193" s="9" t="s">
        <v>263</v>
      </c>
      <c r="D193" s="10">
        <v>432209</v>
      </c>
      <c r="E193" s="9" t="s">
        <v>124</v>
      </c>
      <c r="F193" s="9" t="s">
        <v>267</v>
      </c>
      <c r="G193" s="12">
        <v>1500</v>
      </c>
      <c r="H193" s="18">
        <v>878.9</v>
      </c>
      <c r="I193" s="14"/>
      <c r="J193" s="15"/>
      <c r="K193" s="16">
        <v>621.1</v>
      </c>
      <c r="L193" s="115"/>
      <c r="M193" s="116"/>
      <c r="N193" s="86"/>
      <c r="O193" s="86"/>
      <c r="P193" s="86"/>
      <c r="Q193" s="86"/>
      <c r="R193" s="86"/>
      <c r="S193" s="86"/>
      <c r="T193" s="86"/>
      <c r="U193" s="50"/>
      <c r="V193" s="11">
        <f t="shared" si="2"/>
        <v>621.1</v>
      </c>
      <c r="W193" s="9" t="s">
        <v>872</v>
      </c>
      <c r="X193" s="9" t="s">
        <v>922</v>
      </c>
    </row>
    <row r="194" spans="1:24" ht="25.5" x14ac:dyDescent="0.25">
      <c r="A194" s="7" t="s">
        <v>16</v>
      </c>
      <c r="B194" s="8">
        <v>8470430</v>
      </c>
      <c r="C194" s="9" t="s">
        <v>263</v>
      </c>
      <c r="D194" s="10">
        <v>435508</v>
      </c>
      <c r="E194" s="9" t="s">
        <v>100</v>
      </c>
      <c r="F194" s="9" t="s">
        <v>268</v>
      </c>
      <c r="G194" s="12">
        <v>9790</v>
      </c>
      <c r="H194" s="13"/>
      <c r="I194" s="14"/>
      <c r="J194" s="15"/>
      <c r="K194" s="16">
        <v>9790</v>
      </c>
      <c r="L194" s="115"/>
      <c r="M194" s="116"/>
      <c r="N194" s="86"/>
      <c r="O194" s="86"/>
      <c r="P194" s="86">
        <v>9790</v>
      </c>
      <c r="Q194" s="86"/>
      <c r="R194" s="86"/>
      <c r="S194" s="86"/>
      <c r="T194" s="86"/>
      <c r="U194" s="50"/>
      <c r="V194" s="11">
        <f t="shared" si="2"/>
        <v>0</v>
      </c>
      <c r="W194" s="9"/>
      <c r="X194" s="9" t="s">
        <v>922</v>
      </c>
    </row>
    <row r="195" spans="1:24" ht="25.5" x14ac:dyDescent="0.25">
      <c r="A195" s="7" t="s">
        <v>16</v>
      </c>
      <c r="B195" s="8">
        <v>8470435</v>
      </c>
      <c r="C195" s="9" t="s">
        <v>269</v>
      </c>
      <c r="D195" s="10">
        <v>429900</v>
      </c>
      <c r="E195" s="9" t="s">
        <v>270</v>
      </c>
      <c r="F195" s="9" t="s">
        <v>271</v>
      </c>
      <c r="G195" s="12">
        <v>2000</v>
      </c>
      <c r="H195" s="13"/>
      <c r="I195" s="14"/>
      <c r="J195" s="15"/>
      <c r="K195" s="16">
        <v>2000</v>
      </c>
      <c r="L195" s="15"/>
      <c r="M195" s="14"/>
      <c r="N195" s="17"/>
      <c r="O195" s="17"/>
      <c r="P195" s="17"/>
      <c r="Q195" s="17"/>
      <c r="R195" s="17"/>
      <c r="S195" s="17"/>
      <c r="T195" s="17"/>
      <c r="U195" s="17"/>
      <c r="V195" s="11">
        <f t="shared" si="2"/>
        <v>2000</v>
      </c>
      <c r="W195" s="9" t="s">
        <v>871</v>
      </c>
      <c r="X195" s="9" t="s">
        <v>922</v>
      </c>
    </row>
    <row r="196" spans="1:24" ht="25.5" x14ac:dyDescent="0.25">
      <c r="A196" s="7" t="s">
        <v>16</v>
      </c>
      <c r="B196" s="8">
        <v>8470440</v>
      </c>
      <c r="C196" s="9" t="s">
        <v>272</v>
      </c>
      <c r="D196" s="10">
        <v>420550</v>
      </c>
      <c r="E196" s="9" t="s">
        <v>18</v>
      </c>
      <c r="F196" s="9" t="s">
        <v>273</v>
      </c>
      <c r="G196" s="12">
        <v>20593</v>
      </c>
      <c r="H196" s="13"/>
      <c r="I196" s="19">
        <v>20593</v>
      </c>
      <c r="J196" s="15"/>
      <c r="K196" s="16">
        <v>0</v>
      </c>
      <c r="L196" s="115"/>
      <c r="M196" s="116"/>
      <c r="N196" s="86"/>
      <c r="O196" s="86"/>
      <c r="P196" s="86"/>
      <c r="Q196" s="86"/>
      <c r="R196" s="86"/>
      <c r="S196" s="86"/>
      <c r="T196" s="86"/>
      <c r="U196" s="50" t="s">
        <v>873</v>
      </c>
      <c r="V196" s="11">
        <f t="shared" si="2"/>
        <v>0</v>
      </c>
      <c r="W196" s="17"/>
      <c r="X196" s="9" t="s">
        <v>922</v>
      </c>
    </row>
    <row r="197" spans="1:24" ht="25.5" x14ac:dyDescent="0.25">
      <c r="A197" s="7" t="s">
        <v>16</v>
      </c>
      <c r="B197" s="8">
        <v>8470440</v>
      </c>
      <c r="C197" s="9" t="s">
        <v>272</v>
      </c>
      <c r="D197" s="10">
        <v>425510</v>
      </c>
      <c r="E197" s="9" t="s">
        <v>20</v>
      </c>
      <c r="F197" s="9" t="s">
        <v>274</v>
      </c>
      <c r="G197" s="12">
        <v>11270</v>
      </c>
      <c r="H197" s="13"/>
      <c r="I197" s="19">
        <v>11270</v>
      </c>
      <c r="J197" s="15"/>
      <c r="K197" s="16">
        <v>0</v>
      </c>
      <c r="L197" s="115"/>
      <c r="M197" s="116"/>
      <c r="N197" s="86"/>
      <c r="O197" s="86"/>
      <c r="P197" s="86"/>
      <c r="Q197" s="86"/>
      <c r="R197" s="86"/>
      <c r="S197" s="86"/>
      <c r="T197" s="86"/>
      <c r="U197" s="50" t="s">
        <v>874</v>
      </c>
      <c r="V197" s="11">
        <f t="shared" ref="V197:V261" si="3">K197-L197-M197-N197-O197-P197-Q197-R197-S197-T197</f>
        <v>0</v>
      </c>
      <c r="W197" s="17"/>
      <c r="X197" s="9" t="s">
        <v>922</v>
      </c>
    </row>
    <row r="198" spans="1:24" ht="25.5" x14ac:dyDescent="0.25">
      <c r="A198" s="7" t="s">
        <v>16</v>
      </c>
      <c r="B198" s="8">
        <v>8470440</v>
      </c>
      <c r="C198" s="9" t="s">
        <v>272</v>
      </c>
      <c r="D198" s="10">
        <v>425550</v>
      </c>
      <c r="E198" s="9" t="s">
        <v>22</v>
      </c>
      <c r="F198" s="9" t="s">
        <v>275</v>
      </c>
      <c r="G198" s="12">
        <v>25688</v>
      </c>
      <c r="H198" s="18">
        <v>7049.25</v>
      </c>
      <c r="I198" s="14"/>
      <c r="J198" s="15"/>
      <c r="K198" s="16">
        <v>18638.75</v>
      </c>
      <c r="L198" s="115"/>
      <c r="M198" s="189">
        <v>6213</v>
      </c>
      <c r="N198" s="188">
        <v>6213</v>
      </c>
      <c r="O198" s="188">
        <v>6213</v>
      </c>
      <c r="P198" s="86"/>
      <c r="Q198" s="86"/>
      <c r="R198" s="86"/>
      <c r="S198" s="86"/>
      <c r="T198" s="86"/>
      <c r="U198" s="50" t="s">
        <v>875</v>
      </c>
      <c r="V198" s="11">
        <f t="shared" si="3"/>
        <v>-0.25</v>
      </c>
      <c r="W198" s="17"/>
      <c r="X198" s="9" t="s">
        <v>922</v>
      </c>
    </row>
    <row r="199" spans="1:24" ht="25.5" x14ac:dyDescent="0.25">
      <c r="A199" s="7" t="s">
        <v>16</v>
      </c>
      <c r="B199" s="8">
        <v>8470440</v>
      </c>
      <c r="C199" s="9" t="s">
        <v>272</v>
      </c>
      <c r="D199" s="10">
        <v>425770</v>
      </c>
      <c r="E199" s="9" t="s">
        <v>119</v>
      </c>
      <c r="F199" s="9" t="s">
        <v>276</v>
      </c>
      <c r="G199" s="12">
        <v>82500</v>
      </c>
      <c r="H199" s="18">
        <v>11956.31</v>
      </c>
      <c r="I199" s="14"/>
      <c r="J199" s="15"/>
      <c r="K199" s="16">
        <v>70543.69</v>
      </c>
      <c r="L199" s="115"/>
      <c r="M199" s="189">
        <v>8818</v>
      </c>
      <c r="N199" s="189">
        <v>8818</v>
      </c>
      <c r="O199" s="189">
        <v>8818</v>
      </c>
      <c r="P199" s="189">
        <v>8818</v>
      </c>
      <c r="Q199" s="189">
        <v>8818</v>
      </c>
      <c r="R199" s="189">
        <v>8818</v>
      </c>
      <c r="S199" s="189">
        <v>8818</v>
      </c>
      <c r="T199" s="189">
        <v>8818</v>
      </c>
      <c r="U199" s="50" t="s">
        <v>876</v>
      </c>
      <c r="V199" s="11">
        <f t="shared" si="3"/>
        <v>-0.30999999999767169</v>
      </c>
      <c r="W199" s="17"/>
      <c r="X199" s="9" t="s">
        <v>922</v>
      </c>
    </row>
    <row r="200" spans="1:24" ht="25.5" x14ac:dyDescent="0.25">
      <c r="A200" s="7" t="s">
        <v>16</v>
      </c>
      <c r="B200" s="8">
        <v>8470440</v>
      </c>
      <c r="C200" s="9" t="s">
        <v>272</v>
      </c>
      <c r="D200" s="10">
        <v>426610</v>
      </c>
      <c r="E200" s="9" t="s">
        <v>39</v>
      </c>
      <c r="F200" s="9" t="s">
        <v>277</v>
      </c>
      <c r="G200" s="12">
        <v>22589</v>
      </c>
      <c r="H200" s="18">
        <v>27190.1</v>
      </c>
      <c r="I200" s="19">
        <v>-13590.1</v>
      </c>
      <c r="J200" s="12">
        <v>0</v>
      </c>
      <c r="K200" s="16">
        <v>8989</v>
      </c>
      <c r="L200" s="115"/>
      <c r="M200" s="116"/>
      <c r="N200" s="86"/>
      <c r="O200" s="86"/>
      <c r="P200" s="86"/>
      <c r="Q200" s="86"/>
      <c r="R200" s="86"/>
      <c r="S200" s="188">
        <v>8989</v>
      </c>
      <c r="T200" s="86"/>
      <c r="U200" s="50" t="s">
        <v>877</v>
      </c>
      <c r="V200" s="11">
        <f t="shared" si="3"/>
        <v>0</v>
      </c>
      <c r="W200" s="17"/>
      <c r="X200" s="9" t="s">
        <v>922</v>
      </c>
    </row>
    <row r="201" spans="1:24" ht="25.5" x14ac:dyDescent="0.25">
      <c r="A201" s="7" t="s">
        <v>16</v>
      </c>
      <c r="B201" s="8">
        <v>8470440</v>
      </c>
      <c r="C201" s="9" t="s">
        <v>272</v>
      </c>
      <c r="D201" s="10">
        <v>427710</v>
      </c>
      <c r="E201" s="9" t="s">
        <v>45</v>
      </c>
      <c r="F201" s="9" t="s">
        <v>278</v>
      </c>
      <c r="G201" s="12">
        <v>1942</v>
      </c>
      <c r="H201" s="13"/>
      <c r="I201" s="19">
        <v>0</v>
      </c>
      <c r="J201" s="15"/>
      <c r="K201" s="16">
        <v>1942</v>
      </c>
      <c r="L201" s="115"/>
      <c r="M201" s="116"/>
      <c r="N201" s="86"/>
      <c r="O201" s="86">
        <v>647</v>
      </c>
      <c r="P201" s="86"/>
      <c r="Q201" s="86">
        <v>647</v>
      </c>
      <c r="R201" s="86"/>
      <c r="S201" s="188">
        <v>648</v>
      </c>
      <c r="T201" s="86"/>
      <c r="U201" s="50" t="s">
        <v>878</v>
      </c>
      <c r="V201" s="11">
        <f t="shared" si="3"/>
        <v>0</v>
      </c>
      <c r="W201" s="17"/>
      <c r="X201" s="9" t="s">
        <v>922</v>
      </c>
    </row>
    <row r="202" spans="1:24" ht="25.5" x14ac:dyDescent="0.25">
      <c r="A202" s="7" t="s">
        <v>16</v>
      </c>
      <c r="B202" s="8">
        <v>8470440</v>
      </c>
      <c r="C202" s="9" t="s">
        <v>272</v>
      </c>
      <c r="D202" s="10">
        <v>428090</v>
      </c>
      <c r="E202" s="9" t="s">
        <v>26</v>
      </c>
      <c r="F202" s="9" t="s">
        <v>279</v>
      </c>
      <c r="G202" s="12">
        <v>4219</v>
      </c>
      <c r="H202" s="13"/>
      <c r="I202" s="19">
        <v>4219</v>
      </c>
      <c r="J202" s="15"/>
      <c r="K202" s="16">
        <v>0</v>
      </c>
      <c r="L202" s="115"/>
      <c r="M202" s="116"/>
      <c r="N202" s="86"/>
      <c r="O202" s="86"/>
      <c r="P202" s="86"/>
      <c r="Q202" s="86"/>
      <c r="R202" s="86"/>
      <c r="S202" s="86"/>
      <c r="T202" s="86"/>
      <c r="U202" s="50" t="s">
        <v>879</v>
      </c>
      <c r="V202" s="11">
        <f t="shared" si="3"/>
        <v>0</v>
      </c>
      <c r="W202" s="17"/>
      <c r="X202" s="9" t="s">
        <v>922</v>
      </c>
    </row>
    <row r="203" spans="1:24" ht="25.5" x14ac:dyDescent="0.25">
      <c r="A203" s="7" t="s">
        <v>16</v>
      </c>
      <c r="B203" s="8">
        <v>8470440</v>
      </c>
      <c r="C203" s="9" t="s">
        <v>272</v>
      </c>
      <c r="D203" s="10">
        <v>428640</v>
      </c>
      <c r="E203" s="9" t="s">
        <v>59</v>
      </c>
      <c r="F203" s="9" t="s">
        <v>280</v>
      </c>
      <c r="G203" s="12">
        <v>2174</v>
      </c>
      <c r="H203" s="13"/>
      <c r="I203" s="19">
        <v>2174</v>
      </c>
      <c r="J203" s="15"/>
      <c r="K203" s="16">
        <v>0</v>
      </c>
      <c r="L203" s="115"/>
      <c r="M203" s="116"/>
      <c r="N203" s="86"/>
      <c r="O203" s="86"/>
      <c r="P203" s="86"/>
      <c r="Q203" s="86"/>
      <c r="R203" s="86"/>
      <c r="S203" s="86"/>
      <c r="T203" s="86"/>
      <c r="U203" s="50" t="s">
        <v>880</v>
      </c>
      <c r="V203" s="11">
        <f t="shared" si="3"/>
        <v>0</v>
      </c>
      <c r="W203" s="17"/>
      <c r="X203" s="9" t="s">
        <v>922</v>
      </c>
    </row>
    <row r="204" spans="1:24" ht="25.5" x14ac:dyDescent="0.25">
      <c r="A204" s="7" t="s">
        <v>16</v>
      </c>
      <c r="B204" s="8">
        <v>8470440</v>
      </c>
      <c r="C204" s="9" t="s">
        <v>272</v>
      </c>
      <c r="D204" s="10">
        <v>435350</v>
      </c>
      <c r="E204" s="9" t="s">
        <v>98</v>
      </c>
      <c r="F204" s="9" t="s">
        <v>281</v>
      </c>
      <c r="G204" s="12">
        <v>29600</v>
      </c>
      <c r="H204" s="13"/>
      <c r="I204" s="19">
        <v>29600</v>
      </c>
      <c r="J204" s="15"/>
      <c r="K204" s="16">
        <v>0</v>
      </c>
      <c r="L204" s="115"/>
      <c r="M204" s="116"/>
      <c r="N204" s="86"/>
      <c r="O204" s="86"/>
      <c r="P204" s="86"/>
      <c r="Q204" s="86"/>
      <c r="R204" s="86"/>
      <c r="S204" s="86"/>
      <c r="T204" s="86"/>
      <c r="U204" s="50" t="s">
        <v>881</v>
      </c>
      <c r="V204" s="11">
        <f t="shared" si="3"/>
        <v>0</v>
      </c>
      <c r="W204" s="17"/>
      <c r="X204" s="9" t="s">
        <v>922</v>
      </c>
    </row>
    <row r="205" spans="1:24" ht="25.5" x14ac:dyDescent="0.25">
      <c r="A205" s="7" t="s">
        <v>16</v>
      </c>
      <c r="B205" s="8">
        <v>8470440</v>
      </c>
      <c r="C205" s="9" t="s">
        <v>272</v>
      </c>
      <c r="D205" s="10">
        <v>436600</v>
      </c>
      <c r="E205" s="9" t="s">
        <v>160</v>
      </c>
      <c r="F205" s="9" t="s">
        <v>282</v>
      </c>
      <c r="G205" s="12">
        <v>4195</v>
      </c>
      <c r="H205" s="13"/>
      <c r="I205" s="19">
        <v>4195</v>
      </c>
      <c r="J205" s="15"/>
      <c r="K205" s="16">
        <v>0</v>
      </c>
      <c r="L205" s="115"/>
      <c r="M205" s="116"/>
      <c r="N205" s="86"/>
      <c r="O205" s="86"/>
      <c r="P205" s="86"/>
      <c r="Q205" s="86"/>
      <c r="R205" s="86"/>
      <c r="S205" s="86"/>
      <c r="T205" s="86"/>
      <c r="U205" s="50" t="s">
        <v>882</v>
      </c>
      <c r="V205" s="11">
        <f t="shared" si="3"/>
        <v>0</v>
      </c>
      <c r="W205" s="17"/>
      <c r="X205" s="9" t="s">
        <v>922</v>
      </c>
    </row>
    <row r="206" spans="1:24" ht="25.5" x14ac:dyDescent="0.25">
      <c r="A206" s="7" t="s">
        <v>16</v>
      </c>
      <c r="B206" s="8">
        <v>8470445</v>
      </c>
      <c r="C206" s="9" t="s">
        <v>283</v>
      </c>
      <c r="D206" s="10">
        <v>425510</v>
      </c>
      <c r="E206" s="9" t="s">
        <v>20</v>
      </c>
      <c r="F206" s="9" t="s">
        <v>284</v>
      </c>
      <c r="G206" s="12">
        <v>20000</v>
      </c>
      <c r="H206" s="18">
        <v>6467</v>
      </c>
      <c r="I206" s="14"/>
      <c r="J206" s="15"/>
      <c r="K206" s="16">
        <v>13533</v>
      </c>
      <c r="L206" s="190">
        <f>K206/9</f>
        <v>1503.6666666666667</v>
      </c>
      <c r="M206" s="191">
        <f>K206/9</f>
        <v>1503.6666666666667</v>
      </c>
      <c r="N206" s="192">
        <f>K206/9</f>
        <v>1503.6666666666667</v>
      </c>
      <c r="O206" s="192">
        <f>K206/9</f>
        <v>1503.6666666666667</v>
      </c>
      <c r="P206" s="192">
        <f>K206/9</f>
        <v>1503.6666666666667</v>
      </c>
      <c r="Q206" s="192">
        <f>K206/9</f>
        <v>1503.6666666666667</v>
      </c>
      <c r="R206" s="192">
        <f>K206/9</f>
        <v>1503.6666666666667</v>
      </c>
      <c r="S206" s="192">
        <f>K206/9</f>
        <v>1503.6666666666667</v>
      </c>
      <c r="T206" s="192">
        <f>K206/9</f>
        <v>1503.6666666666667</v>
      </c>
      <c r="U206" s="193" t="s">
        <v>883</v>
      </c>
      <c r="V206" s="11">
        <f t="shared" si="3"/>
        <v>0</v>
      </c>
      <c r="W206" s="17"/>
      <c r="X206" s="9" t="s">
        <v>922</v>
      </c>
    </row>
    <row r="207" spans="1:24" ht="25.5" x14ac:dyDescent="0.25">
      <c r="A207" s="7" t="s">
        <v>16</v>
      </c>
      <c r="B207" s="8">
        <v>8470445</v>
      </c>
      <c r="C207" s="9" t="s">
        <v>283</v>
      </c>
      <c r="D207" s="10">
        <v>425720</v>
      </c>
      <c r="E207" s="9" t="s">
        <v>185</v>
      </c>
      <c r="F207" s="9" t="s">
        <v>285</v>
      </c>
      <c r="G207" s="12">
        <v>19190</v>
      </c>
      <c r="H207" s="18">
        <v>36730</v>
      </c>
      <c r="I207" s="19">
        <v>-18365</v>
      </c>
      <c r="J207" s="12">
        <v>0</v>
      </c>
      <c r="K207" s="16">
        <v>825</v>
      </c>
      <c r="L207" s="190">
        <v>0</v>
      </c>
      <c r="M207" s="190">
        <v>0</v>
      </c>
      <c r="N207" s="190">
        <v>0</v>
      </c>
      <c r="O207" s="190">
        <v>0</v>
      </c>
      <c r="P207" s="190">
        <v>0</v>
      </c>
      <c r="Q207" s="190">
        <v>0</v>
      </c>
      <c r="R207" s="190">
        <v>0</v>
      </c>
      <c r="S207" s="190">
        <v>0</v>
      </c>
      <c r="T207" s="190">
        <v>0</v>
      </c>
      <c r="U207" s="193" t="s">
        <v>884</v>
      </c>
      <c r="V207" s="11">
        <f t="shared" si="3"/>
        <v>825</v>
      </c>
      <c r="W207" s="17"/>
      <c r="X207" s="9" t="s">
        <v>922</v>
      </c>
    </row>
    <row r="208" spans="1:24" ht="76.5" x14ac:dyDescent="0.25">
      <c r="A208" s="7" t="s">
        <v>16</v>
      </c>
      <c r="B208" s="8">
        <v>8470445</v>
      </c>
      <c r="C208" s="9" t="s">
        <v>283</v>
      </c>
      <c r="D208" s="10">
        <v>425770</v>
      </c>
      <c r="E208" s="9" t="s">
        <v>119</v>
      </c>
      <c r="F208" s="9" t="s">
        <v>286</v>
      </c>
      <c r="G208" s="12">
        <v>382177</v>
      </c>
      <c r="H208" s="18">
        <v>16040.64</v>
      </c>
      <c r="I208" s="14"/>
      <c r="J208" s="15"/>
      <c r="K208" s="16">
        <v>366136.36</v>
      </c>
      <c r="L208" s="190">
        <v>20000</v>
      </c>
      <c r="M208" s="191">
        <v>40000</v>
      </c>
      <c r="N208" s="192">
        <v>70000</v>
      </c>
      <c r="O208" s="192">
        <v>100000</v>
      </c>
      <c r="P208" s="192">
        <v>50000</v>
      </c>
      <c r="Q208" s="192">
        <v>25000</v>
      </c>
      <c r="R208" s="192">
        <v>20000</v>
      </c>
      <c r="S208" s="192">
        <v>20000</v>
      </c>
      <c r="T208" s="192">
        <v>21136</v>
      </c>
      <c r="U208" s="193" t="s">
        <v>885</v>
      </c>
      <c r="V208" s="11">
        <f t="shared" si="3"/>
        <v>0.35999999998603016</v>
      </c>
      <c r="W208" s="17"/>
      <c r="X208" s="9" t="s">
        <v>922</v>
      </c>
    </row>
    <row r="209" spans="1:24" ht="38.25" x14ac:dyDescent="0.25">
      <c r="A209" s="7" t="s">
        <v>16</v>
      </c>
      <c r="B209" s="8">
        <v>8470445</v>
      </c>
      <c r="C209" s="9" t="s">
        <v>283</v>
      </c>
      <c r="D209" s="10">
        <v>426610</v>
      </c>
      <c r="E209" s="9" t="s">
        <v>39</v>
      </c>
      <c r="F209" s="9" t="s">
        <v>287</v>
      </c>
      <c r="G209" s="12">
        <v>21928</v>
      </c>
      <c r="H209" s="13"/>
      <c r="I209" s="19">
        <v>12249.46</v>
      </c>
      <c r="J209" s="15"/>
      <c r="K209" s="16">
        <v>9678.5400000000009</v>
      </c>
      <c r="L209" s="190"/>
      <c r="M209" s="191"/>
      <c r="N209" s="194">
        <f>K209</f>
        <v>9678.5400000000009</v>
      </c>
      <c r="O209" s="192"/>
      <c r="P209" s="192"/>
      <c r="Q209" s="192"/>
      <c r="R209" s="192"/>
      <c r="S209" s="192"/>
      <c r="T209" s="192"/>
      <c r="U209" s="193" t="s">
        <v>886</v>
      </c>
      <c r="V209" s="11">
        <f t="shared" si="3"/>
        <v>0</v>
      </c>
      <c r="W209" s="17"/>
      <c r="X209" s="9" t="s">
        <v>922</v>
      </c>
    </row>
    <row r="210" spans="1:24" ht="63.75" x14ac:dyDescent="0.25">
      <c r="A210" s="7" t="s">
        <v>16</v>
      </c>
      <c r="B210" s="8">
        <v>8470445</v>
      </c>
      <c r="C210" s="9" t="s">
        <v>283</v>
      </c>
      <c r="D210" s="10">
        <v>435350</v>
      </c>
      <c r="E210" s="9" t="s">
        <v>98</v>
      </c>
      <c r="F210" s="9" t="s">
        <v>288</v>
      </c>
      <c r="G210" s="12">
        <v>202000</v>
      </c>
      <c r="H210" s="18">
        <v>36296.080000000002</v>
      </c>
      <c r="I210" s="14"/>
      <c r="J210" s="15"/>
      <c r="K210" s="16">
        <v>165703.92000000001</v>
      </c>
      <c r="L210" s="190">
        <f>K210/9</f>
        <v>18411.546666666669</v>
      </c>
      <c r="M210" s="191">
        <f>K210/9</f>
        <v>18411.546666666669</v>
      </c>
      <c r="N210" s="192">
        <f>K210/9</f>
        <v>18411.546666666669</v>
      </c>
      <c r="O210" s="192">
        <f>K210/9</f>
        <v>18411.546666666669</v>
      </c>
      <c r="P210" s="192">
        <f>K210/9</f>
        <v>18411.546666666669</v>
      </c>
      <c r="Q210" s="192">
        <f>K210/9</f>
        <v>18411.546666666669</v>
      </c>
      <c r="R210" s="192">
        <f>K210/9</f>
        <v>18411.546666666669</v>
      </c>
      <c r="S210" s="192">
        <f>K210/9</f>
        <v>18411.546666666669</v>
      </c>
      <c r="T210" s="192">
        <f>K210/9</f>
        <v>18411.546666666669</v>
      </c>
      <c r="U210" s="193" t="s">
        <v>887</v>
      </c>
      <c r="V210" s="11">
        <f t="shared" si="3"/>
        <v>2.9103830456733704E-11</v>
      </c>
      <c r="W210" s="17"/>
      <c r="X210" s="9" t="s">
        <v>922</v>
      </c>
    </row>
    <row r="211" spans="1:24" ht="25.5" x14ac:dyDescent="0.25">
      <c r="A211" s="7" t="s">
        <v>16</v>
      </c>
      <c r="B211" s="8">
        <v>8470450</v>
      </c>
      <c r="C211" s="9" t="s">
        <v>289</v>
      </c>
      <c r="D211" s="10">
        <v>420550</v>
      </c>
      <c r="E211" s="9" t="s">
        <v>18</v>
      </c>
      <c r="F211" s="9" t="s">
        <v>290</v>
      </c>
      <c r="G211" s="12">
        <v>0</v>
      </c>
      <c r="H211" s="13"/>
      <c r="I211" s="14"/>
      <c r="J211" s="15"/>
      <c r="K211" s="16">
        <v>0</v>
      </c>
      <c r="L211" s="55"/>
      <c r="M211" s="54"/>
      <c r="N211" s="57"/>
      <c r="O211" s="57"/>
      <c r="P211" s="57"/>
      <c r="Q211" s="57"/>
      <c r="R211" s="57"/>
      <c r="S211" s="57"/>
      <c r="T211" s="57"/>
      <c r="U211" s="57"/>
      <c r="V211" s="11">
        <f t="shared" si="3"/>
        <v>0</v>
      </c>
      <c r="W211" s="17"/>
      <c r="X211" s="9" t="s">
        <v>922</v>
      </c>
    </row>
    <row r="212" spans="1:24" ht="25.5" x14ac:dyDescent="0.25">
      <c r="A212" s="7" t="s">
        <v>16</v>
      </c>
      <c r="B212" s="8">
        <v>8470450</v>
      </c>
      <c r="C212" s="9" t="s">
        <v>289</v>
      </c>
      <c r="D212" s="10">
        <v>421700</v>
      </c>
      <c r="E212" s="9" t="s">
        <v>36</v>
      </c>
      <c r="F212" s="9" t="s">
        <v>291</v>
      </c>
      <c r="G212" s="12">
        <v>0</v>
      </c>
      <c r="H212" s="13"/>
      <c r="I212" s="14"/>
      <c r="J212" s="15"/>
      <c r="K212" s="16">
        <v>0</v>
      </c>
      <c r="L212" s="55"/>
      <c r="M212" s="54"/>
      <c r="N212" s="57"/>
      <c r="O212" s="57"/>
      <c r="P212" s="57"/>
      <c r="Q212" s="57"/>
      <c r="R212" s="57"/>
      <c r="S212" s="57"/>
      <c r="T212" s="57"/>
      <c r="U212" s="57"/>
      <c r="V212" s="11">
        <f t="shared" si="3"/>
        <v>0</v>
      </c>
      <c r="W212" s="17"/>
      <c r="X212" s="9" t="s">
        <v>922</v>
      </c>
    </row>
    <row r="213" spans="1:24" ht="25.5" x14ac:dyDescent="0.25">
      <c r="A213" s="7" t="s">
        <v>16</v>
      </c>
      <c r="B213" s="8">
        <v>8470450</v>
      </c>
      <c r="C213" s="9" t="s">
        <v>289</v>
      </c>
      <c r="D213" s="10">
        <v>425510</v>
      </c>
      <c r="E213" s="9" t="s">
        <v>20</v>
      </c>
      <c r="F213" s="9" t="s">
        <v>292</v>
      </c>
      <c r="G213" s="12">
        <v>9100</v>
      </c>
      <c r="H213" s="13"/>
      <c r="I213" s="14"/>
      <c r="J213" s="15"/>
      <c r="K213" s="16">
        <v>9100</v>
      </c>
      <c r="L213" s="55"/>
      <c r="M213" s="54"/>
      <c r="N213" s="57"/>
      <c r="O213" s="57"/>
      <c r="P213" s="57"/>
      <c r="Q213" s="57">
        <v>9100</v>
      </c>
      <c r="R213" s="57"/>
      <c r="S213" s="57"/>
      <c r="T213" s="57"/>
      <c r="U213" s="57"/>
      <c r="V213" s="11">
        <f t="shared" si="3"/>
        <v>0</v>
      </c>
      <c r="W213" s="17"/>
      <c r="X213" s="9" t="s">
        <v>922</v>
      </c>
    </row>
    <row r="214" spans="1:24" ht="25.5" x14ac:dyDescent="0.25">
      <c r="A214" s="7" t="s">
        <v>16</v>
      </c>
      <c r="B214" s="8">
        <v>8470450</v>
      </c>
      <c r="C214" s="9" t="s">
        <v>289</v>
      </c>
      <c r="D214" s="10">
        <v>425761</v>
      </c>
      <c r="E214" s="9" t="s">
        <v>212</v>
      </c>
      <c r="F214" s="9" t="s">
        <v>293</v>
      </c>
      <c r="G214" s="12">
        <v>52244</v>
      </c>
      <c r="H214" s="18">
        <v>9400</v>
      </c>
      <c r="I214" s="14"/>
      <c r="J214" s="15"/>
      <c r="K214" s="16">
        <v>42844</v>
      </c>
      <c r="L214" s="55"/>
      <c r="M214" s="54"/>
      <c r="N214" s="58">
        <v>130000</v>
      </c>
      <c r="O214" s="57"/>
      <c r="P214" s="57"/>
      <c r="Q214" s="57"/>
      <c r="R214" s="57">
        <v>11000</v>
      </c>
      <c r="S214" s="57">
        <f>119000+32000</f>
        <v>151000</v>
      </c>
      <c r="T214" s="57"/>
      <c r="U214" s="57"/>
      <c r="V214" s="11">
        <f t="shared" si="3"/>
        <v>-249156</v>
      </c>
      <c r="W214" s="17"/>
      <c r="X214" s="9" t="s">
        <v>922</v>
      </c>
    </row>
    <row r="215" spans="1:24" ht="25.5" x14ac:dyDescent="0.25">
      <c r="A215" s="7" t="s">
        <v>16</v>
      </c>
      <c r="B215" s="8">
        <v>8470450</v>
      </c>
      <c r="C215" s="9" t="s">
        <v>289</v>
      </c>
      <c r="D215" s="10">
        <v>425763</v>
      </c>
      <c r="E215" s="9" t="s">
        <v>53</v>
      </c>
      <c r="F215" s="9" t="s">
        <v>294</v>
      </c>
      <c r="G215" s="12">
        <v>0</v>
      </c>
      <c r="H215" s="13"/>
      <c r="I215" s="14"/>
      <c r="J215" s="15"/>
      <c r="K215" s="16">
        <v>0</v>
      </c>
      <c r="L215" s="55"/>
      <c r="M215" s="54"/>
      <c r="N215" s="57"/>
      <c r="O215" s="57"/>
      <c r="P215" s="57"/>
      <c r="Q215" s="57"/>
      <c r="R215" s="57"/>
      <c r="S215" s="57"/>
      <c r="T215" s="57"/>
      <c r="U215" s="57"/>
      <c r="V215" s="11">
        <f t="shared" si="3"/>
        <v>0</v>
      </c>
      <c r="W215" s="17"/>
      <c r="X215" s="9" t="s">
        <v>922</v>
      </c>
    </row>
    <row r="216" spans="1:24" ht="25.5" x14ac:dyDescent="0.25">
      <c r="A216" s="7" t="s">
        <v>16</v>
      </c>
      <c r="B216" s="8">
        <v>8470450</v>
      </c>
      <c r="C216" s="9" t="s">
        <v>289</v>
      </c>
      <c r="D216" s="10">
        <v>425770</v>
      </c>
      <c r="E216" s="9" t="s">
        <v>119</v>
      </c>
      <c r="F216" s="9" t="s">
        <v>295</v>
      </c>
      <c r="G216" s="12">
        <v>110000</v>
      </c>
      <c r="H216" s="13"/>
      <c r="I216" s="14"/>
      <c r="J216" s="15"/>
      <c r="K216" s="16">
        <v>110000</v>
      </c>
      <c r="L216" s="55"/>
      <c r="M216" s="54"/>
      <c r="N216" s="57"/>
      <c r="O216" s="57"/>
      <c r="P216" s="57"/>
      <c r="Q216" s="57">
        <v>20000</v>
      </c>
      <c r="R216" s="57">
        <v>20000</v>
      </c>
      <c r="S216" s="57">
        <v>30000</v>
      </c>
      <c r="T216" s="57">
        <v>40000</v>
      </c>
      <c r="U216" s="57"/>
      <c r="V216" s="11">
        <f t="shared" si="3"/>
        <v>0</v>
      </c>
      <c r="W216" s="17"/>
      <c r="X216" s="9" t="s">
        <v>922</v>
      </c>
    </row>
    <row r="217" spans="1:24" ht="25.5" x14ac:dyDescent="0.25">
      <c r="A217" s="7" t="s">
        <v>16</v>
      </c>
      <c r="B217" s="8">
        <v>8470450</v>
      </c>
      <c r="C217" s="9" t="s">
        <v>289</v>
      </c>
      <c r="D217" s="10">
        <v>426610</v>
      </c>
      <c r="E217" s="9" t="s">
        <v>39</v>
      </c>
      <c r="F217" s="9" t="s">
        <v>296</v>
      </c>
      <c r="G217" s="12">
        <v>35628</v>
      </c>
      <c r="H217" s="13"/>
      <c r="I217" s="14"/>
      <c r="J217" s="15"/>
      <c r="K217" s="16">
        <v>35628</v>
      </c>
      <c r="L217" s="55"/>
      <c r="M217" s="54"/>
      <c r="N217" s="57"/>
      <c r="O217" s="57"/>
      <c r="P217" s="57"/>
      <c r="Q217" s="57"/>
      <c r="R217" s="57">
        <v>35000</v>
      </c>
      <c r="S217" s="57"/>
      <c r="T217" s="57"/>
      <c r="U217" s="17" t="s">
        <v>891</v>
      </c>
      <c r="V217" s="11">
        <f t="shared" si="3"/>
        <v>628</v>
      </c>
      <c r="W217" s="17"/>
      <c r="X217" s="9" t="s">
        <v>922</v>
      </c>
    </row>
    <row r="218" spans="1:24" ht="25.5" x14ac:dyDescent="0.25">
      <c r="A218" s="7" t="s">
        <v>16</v>
      </c>
      <c r="B218" s="8">
        <v>8470450</v>
      </c>
      <c r="C218" s="9" t="s">
        <v>289</v>
      </c>
      <c r="D218" s="10">
        <v>432209</v>
      </c>
      <c r="E218" s="9" t="s">
        <v>124</v>
      </c>
      <c r="F218" s="9" t="s">
        <v>297</v>
      </c>
      <c r="G218" s="12">
        <v>34643</v>
      </c>
      <c r="H218" s="13"/>
      <c r="I218" s="14"/>
      <c r="J218" s="15"/>
      <c r="K218" s="16">
        <v>34643</v>
      </c>
      <c r="L218" s="55"/>
      <c r="M218" s="54">
        <v>20000</v>
      </c>
      <c r="N218" s="57"/>
      <c r="O218" s="57"/>
      <c r="P218" s="57"/>
      <c r="Q218" s="57">
        <v>12500</v>
      </c>
      <c r="R218" s="57"/>
      <c r="S218" s="57"/>
      <c r="T218" s="57"/>
      <c r="U218" s="17" t="s">
        <v>890</v>
      </c>
      <c r="V218" s="11">
        <f t="shared" si="3"/>
        <v>2143</v>
      </c>
      <c r="W218" s="17"/>
      <c r="X218" s="9" t="s">
        <v>922</v>
      </c>
    </row>
    <row r="219" spans="1:24" ht="25.5" x14ac:dyDescent="0.25">
      <c r="A219" s="7" t="s">
        <v>16</v>
      </c>
      <c r="B219" s="8">
        <v>8470450</v>
      </c>
      <c r="C219" s="9" t="s">
        <v>289</v>
      </c>
      <c r="D219" s="10">
        <v>435350</v>
      </c>
      <c r="E219" s="9" t="s">
        <v>98</v>
      </c>
      <c r="F219" s="9" t="s">
        <v>298</v>
      </c>
      <c r="G219" s="12">
        <v>20000</v>
      </c>
      <c r="H219" s="13"/>
      <c r="I219" s="14"/>
      <c r="J219" s="15"/>
      <c r="K219" s="16">
        <v>20000</v>
      </c>
      <c r="L219" s="55"/>
      <c r="M219" s="54"/>
      <c r="N219" s="57">
        <v>20000</v>
      </c>
      <c r="O219" s="57"/>
      <c r="P219" s="57"/>
      <c r="Q219" s="57"/>
      <c r="R219" s="57"/>
      <c r="S219" s="57"/>
      <c r="T219" s="57"/>
      <c r="U219" s="57"/>
      <c r="V219" s="11">
        <f t="shared" si="3"/>
        <v>0</v>
      </c>
      <c r="W219" s="17"/>
      <c r="X219" s="9" t="s">
        <v>922</v>
      </c>
    </row>
    <row r="220" spans="1:24" ht="25.5" x14ac:dyDescent="0.25">
      <c r="A220" s="7" t="s">
        <v>16</v>
      </c>
      <c r="B220" s="8">
        <v>8470455</v>
      </c>
      <c r="C220" s="9" t="s">
        <v>299</v>
      </c>
      <c r="D220" s="10">
        <v>425770</v>
      </c>
      <c r="E220" s="9" t="s">
        <v>119</v>
      </c>
      <c r="F220" s="9" t="s">
        <v>300</v>
      </c>
      <c r="G220" s="12">
        <v>74285</v>
      </c>
      <c r="H220" s="13"/>
      <c r="I220" s="14"/>
      <c r="J220" s="15"/>
      <c r="K220" s="16">
        <v>74285</v>
      </c>
      <c r="L220" s="115"/>
      <c r="M220" s="116"/>
      <c r="N220" s="86"/>
      <c r="O220" s="195">
        <v>50000</v>
      </c>
      <c r="P220" s="86"/>
      <c r="Q220" s="86"/>
      <c r="R220" s="196">
        <f>K220-O220</f>
        <v>24285</v>
      </c>
      <c r="S220" s="86"/>
      <c r="T220" s="86"/>
      <c r="U220" s="50"/>
      <c r="V220" s="11">
        <f t="shared" si="3"/>
        <v>0</v>
      </c>
      <c r="W220" s="17"/>
      <c r="X220" s="9" t="s">
        <v>922</v>
      </c>
    </row>
    <row r="221" spans="1:24" ht="25.5" x14ac:dyDescent="0.25">
      <c r="A221" s="7" t="s">
        <v>16</v>
      </c>
      <c r="B221" s="8">
        <v>8470455</v>
      </c>
      <c r="C221" s="9" t="s">
        <v>299</v>
      </c>
      <c r="D221" s="10">
        <v>425900</v>
      </c>
      <c r="E221" s="9" t="s">
        <v>24</v>
      </c>
      <c r="F221" s="9" t="s">
        <v>301</v>
      </c>
      <c r="G221" s="12">
        <v>5020</v>
      </c>
      <c r="H221" s="13"/>
      <c r="I221" s="14"/>
      <c r="J221" s="15"/>
      <c r="K221" s="16">
        <v>5020</v>
      </c>
      <c r="L221" s="115"/>
      <c r="M221" s="197">
        <v>3500</v>
      </c>
      <c r="N221" s="195"/>
      <c r="O221" s="195"/>
      <c r="P221" s="195"/>
      <c r="Q221" s="195"/>
      <c r="R221" s="195">
        <v>1520</v>
      </c>
      <c r="S221" s="195"/>
      <c r="T221" s="86"/>
      <c r="U221" s="50"/>
      <c r="V221" s="11">
        <f t="shared" si="3"/>
        <v>0</v>
      </c>
      <c r="W221" s="17"/>
      <c r="X221" s="9" t="s">
        <v>922</v>
      </c>
    </row>
    <row r="222" spans="1:24" ht="25.5" x14ac:dyDescent="0.25">
      <c r="A222" s="7" t="s">
        <v>16</v>
      </c>
      <c r="B222" s="8">
        <v>8470455</v>
      </c>
      <c r="C222" s="9" t="s">
        <v>299</v>
      </c>
      <c r="D222" s="10">
        <v>426610</v>
      </c>
      <c r="E222" s="9" t="s">
        <v>39</v>
      </c>
      <c r="F222" s="9" t="s">
        <v>302</v>
      </c>
      <c r="G222" s="12">
        <v>30436</v>
      </c>
      <c r="H222" s="13"/>
      <c r="I222" s="14"/>
      <c r="J222" s="15"/>
      <c r="K222" s="16">
        <v>30436</v>
      </c>
      <c r="L222" s="115"/>
      <c r="M222" s="197">
        <v>15000</v>
      </c>
      <c r="N222" s="195"/>
      <c r="O222" s="195"/>
      <c r="P222" s="195"/>
      <c r="Q222" s="195">
        <f>K222-M222</f>
        <v>15436</v>
      </c>
      <c r="R222" s="195"/>
      <c r="S222" s="195"/>
      <c r="T222" s="86"/>
      <c r="U222" s="50"/>
      <c r="V222" s="11">
        <f t="shared" si="3"/>
        <v>0</v>
      </c>
      <c r="W222" s="17"/>
      <c r="X222" s="9" t="s">
        <v>922</v>
      </c>
    </row>
    <row r="223" spans="1:24" ht="25.5" x14ac:dyDescent="0.25">
      <c r="A223" s="7" t="s">
        <v>16</v>
      </c>
      <c r="B223" s="8">
        <v>8470455</v>
      </c>
      <c r="C223" s="9" t="s">
        <v>299</v>
      </c>
      <c r="D223" s="10">
        <v>432209</v>
      </c>
      <c r="E223" s="9" t="s">
        <v>124</v>
      </c>
      <c r="F223" s="9" t="s">
        <v>303</v>
      </c>
      <c r="G223" s="12">
        <v>291800</v>
      </c>
      <c r="H223" s="13"/>
      <c r="I223" s="14"/>
      <c r="J223" s="15"/>
      <c r="K223" s="16">
        <v>291800</v>
      </c>
      <c r="L223" s="115"/>
      <c r="M223" s="197"/>
      <c r="N223" s="195">
        <v>233992</v>
      </c>
      <c r="O223" s="195"/>
      <c r="P223" s="195"/>
      <c r="Q223" s="195">
        <f>K223-N223</f>
        <v>57808</v>
      </c>
      <c r="R223" s="195"/>
      <c r="S223" s="195"/>
      <c r="T223" s="86"/>
      <c r="U223" s="50"/>
      <c r="V223" s="11">
        <f t="shared" si="3"/>
        <v>0</v>
      </c>
      <c r="W223" s="17"/>
      <c r="X223" s="9" t="s">
        <v>922</v>
      </c>
    </row>
    <row r="224" spans="1:24" ht="25.5" x14ac:dyDescent="0.25">
      <c r="A224" s="7" t="s">
        <v>16</v>
      </c>
      <c r="B224" s="8">
        <v>8470455</v>
      </c>
      <c r="C224" s="9" t="s">
        <v>299</v>
      </c>
      <c r="D224" s="10">
        <v>435350</v>
      </c>
      <c r="E224" s="9" t="s">
        <v>98</v>
      </c>
      <c r="F224" s="9" t="s">
        <v>304</v>
      </c>
      <c r="G224" s="12">
        <v>40510</v>
      </c>
      <c r="H224" s="18">
        <v>6747.11</v>
      </c>
      <c r="I224" s="14"/>
      <c r="J224" s="15"/>
      <c r="K224" s="16">
        <v>33762.89</v>
      </c>
      <c r="L224" s="115"/>
      <c r="M224" s="197"/>
      <c r="N224" s="195"/>
      <c r="O224" s="195">
        <v>11000</v>
      </c>
      <c r="P224" s="195"/>
      <c r="Q224" s="195">
        <v>11000</v>
      </c>
      <c r="R224" s="195"/>
      <c r="S224" s="195">
        <v>11000</v>
      </c>
      <c r="T224" s="86"/>
      <c r="U224" s="50"/>
      <c r="V224" s="11">
        <f t="shared" si="3"/>
        <v>762.88999999999942</v>
      </c>
      <c r="W224" s="17"/>
      <c r="X224" s="9" t="s">
        <v>922</v>
      </c>
    </row>
    <row r="225" spans="1:24" ht="25.5" x14ac:dyDescent="0.25">
      <c r="A225" s="7" t="s">
        <v>16</v>
      </c>
      <c r="B225" s="8">
        <v>8470455</v>
      </c>
      <c r="C225" s="9" t="s">
        <v>299</v>
      </c>
      <c r="D225" s="10">
        <v>435508</v>
      </c>
      <c r="E225" s="9" t="s">
        <v>100</v>
      </c>
      <c r="F225" s="9" t="s">
        <v>305</v>
      </c>
      <c r="G225" s="12">
        <v>234440</v>
      </c>
      <c r="H225" s="18">
        <v>75643.399999999994</v>
      </c>
      <c r="I225" s="19">
        <v>-64818</v>
      </c>
      <c r="J225" s="12">
        <v>38600</v>
      </c>
      <c r="K225" s="16">
        <v>185014.6</v>
      </c>
      <c r="L225" s="115"/>
      <c r="M225" s="197"/>
      <c r="N225" s="195">
        <v>185015</v>
      </c>
      <c r="O225" s="195"/>
      <c r="P225" s="195"/>
      <c r="Q225" s="195"/>
      <c r="R225" s="195"/>
      <c r="S225" s="195"/>
      <c r="T225" s="86"/>
      <c r="U225" s="50"/>
      <c r="V225" s="11">
        <f t="shared" si="3"/>
        <v>-0.39999999999417923</v>
      </c>
      <c r="W225" s="17"/>
      <c r="X225" s="9" t="s">
        <v>922</v>
      </c>
    </row>
    <row r="226" spans="1:24" ht="25.5" x14ac:dyDescent="0.25">
      <c r="A226" s="7" t="s">
        <v>16</v>
      </c>
      <c r="B226" s="8">
        <v>8470520</v>
      </c>
      <c r="C226" s="9" t="s">
        <v>306</v>
      </c>
      <c r="D226" s="10">
        <v>425510</v>
      </c>
      <c r="E226" s="9" t="s">
        <v>20</v>
      </c>
      <c r="F226" s="9" t="s">
        <v>307</v>
      </c>
      <c r="G226" s="12">
        <v>7162</v>
      </c>
      <c r="H226" s="18">
        <v>1659</v>
      </c>
      <c r="I226" s="14"/>
      <c r="J226" s="15"/>
      <c r="K226" s="16">
        <v>5503</v>
      </c>
      <c r="L226" s="55"/>
      <c r="M226" s="54"/>
      <c r="N226" s="57"/>
      <c r="O226" s="57"/>
      <c r="P226" s="57"/>
      <c r="Q226" s="56">
        <v>5503</v>
      </c>
      <c r="R226" s="57"/>
      <c r="S226" s="57"/>
      <c r="T226" s="57"/>
      <c r="U226" s="57"/>
      <c r="V226" s="11">
        <f t="shared" si="3"/>
        <v>0</v>
      </c>
      <c r="W226" s="17"/>
      <c r="X226" s="9" t="s">
        <v>922</v>
      </c>
    </row>
    <row r="227" spans="1:24" ht="25.5" x14ac:dyDescent="0.25">
      <c r="A227" s="7" t="s">
        <v>16</v>
      </c>
      <c r="B227" s="8">
        <v>8470520</v>
      </c>
      <c r="C227" s="9" t="s">
        <v>306</v>
      </c>
      <c r="D227" s="10">
        <v>427710</v>
      </c>
      <c r="E227" s="9" t="s">
        <v>45</v>
      </c>
      <c r="F227" s="9" t="s">
        <v>308</v>
      </c>
      <c r="G227" s="12">
        <v>10510</v>
      </c>
      <c r="H227" s="13"/>
      <c r="I227" s="19">
        <v>0</v>
      </c>
      <c r="J227" s="15"/>
      <c r="K227" s="16">
        <v>10510</v>
      </c>
      <c r="L227" s="55"/>
      <c r="M227" s="54"/>
      <c r="N227" s="57"/>
      <c r="O227" s="57"/>
      <c r="P227" s="56">
        <v>10510</v>
      </c>
      <c r="Q227" s="57"/>
      <c r="R227" s="57"/>
      <c r="S227" s="57"/>
      <c r="T227" s="57"/>
      <c r="U227" s="57"/>
      <c r="V227" s="11">
        <f t="shared" si="3"/>
        <v>0</v>
      </c>
      <c r="W227" s="17"/>
      <c r="X227" s="9" t="s">
        <v>922</v>
      </c>
    </row>
    <row r="228" spans="1:24" ht="25.5" x14ac:dyDescent="0.25">
      <c r="A228" s="7" t="s">
        <v>16</v>
      </c>
      <c r="B228" s="8">
        <v>8470520</v>
      </c>
      <c r="C228" s="9" t="s">
        <v>306</v>
      </c>
      <c r="D228" s="10">
        <v>428200</v>
      </c>
      <c r="E228" s="9" t="s">
        <v>309</v>
      </c>
      <c r="F228" s="9" t="s">
        <v>310</v>
      </c>
      <c r="G228" s="12">
        <v>333750</v>
      </c>
      <c r="H228" s="18">
        <v>24418.639999999999</v>
      </c>
      <c r="I228" s="19">
        <v>106885.92</v>
      </c>
      <c r="J228" s="12">
        <v>23885.01</v>
      </c>
      <c r="K228" s="16">
        <v>178560.43</v>
      </c>
      <c r="L228" s="52">
        <v>19840</v>
      </c>
      <c r="M228" s="52">
        <v>19840</v>
      </c>
      <c r="N228" s="52">
        <v>19840</v>
      </c>
      <c r="O228" s="52">
        <v>19840</v>
      </c>
      <c r="P228" s="52">
        <v>19840</v>
      </c>
      <c r="Q228" s="52">
        <v>19840</v>
      </c>
      <c r="R228" s="52">
        <v>19840</v>
      </c>
      <c r="S228" s="52">
        <v>19840</v>
      </c>
      <c r="T228" s="52">
        <v>19840</v>
      </c>
      <c r="U228" s="52" t="s">
        <v>828</v>
      </c>
      <c r="V228" s="11">
        <f t="shared" si="3"/>
        <v>0.42999999999301508</v>
      </c>
      <c r="W228" s="17"/>
      <c r="X228" s="9" t="s">
        <v>922</v>
      </c>
    </row>
    <row r="229" spans="1:24" ht="25.5" x14ac:dyDescent="0.25">
      <c r="A229" s="7" t="s">
        <v>16</v>
      </c>
      <c r="B229" s="8">
        <v>8470530</v>
      </c>
      <c r="C229" s="9" t="s">
        <v>311</v>
      </c>
      <c r="D229" s="10">
        <v>420310</v>
      </c>
      <c r="E229" s="9" t="s">
        <v>312</v>
      </c>
      <c r="F229" s="9" t="s">
        <v>313</v>
      </c>
      <c r="G229" s="12">
        <v>4200474</v>
      </c>
      <c r="H229" s="18">
        <v>5101.1400000000003</v>
      </c>
      <c r="I229" s="19">
        <v>0</v>
      </c>
      <c r="J229" s="12">
        <v>4195372.3</v>
      </c>
      <c r="K229" s="16">
        <v>0.56000000052154097</v>
      </c>
      <c r="L229" s="55"/>
      <c r="M229" s="54"/>
      <c r="N229" s="57"/>
      <c r="O229" s="57"/>
      <c r="P229" s="57"/>
      <c r="Q229" s="57"/>
      <c r="R229" s="57"/>
      <c r="S229" s="57"/>
      <c r="T229" s="57"/>
      <c r="U229" s="57"/>
      <c r="V229" s="11">
        <f t="shared" si="3"/>
        <v>0.56000000052154097</v>
      </c>
      <c r="W229" s="17"/>
      <c r="X229" s="9" t="s">
        <v>922</v>
      </c>
    </row>
    <row r="230" spans="1:24" ht="25.5" x14ac:dyDescent="0.25">
      <c r="A230" s="7" t="s">
        <v>16</v>
      </c>
      <c r="B230" s="8">
        <v>8470530</v>
      </c>
      <c r="C230" s="9" t="s">
        <v>311</v>
      </c>
      <c r="D230" s="10">
        <v>420310</v>
      </c>
      <c r="E230" s="9" t="s">
        <v>312</v>
      </c>
      <c r="F230" s="9" t="s">
        <v>314</v>
      </c>
      <c r="G230" s="12">
        <v>2486010</v>
      </c>
      <c r="H230" s="13"/>
      <c r="I230" s="19">
        <v>0</v>
      </c>
      <c r="J230" s="12">
        <v>2486010</v>
      </c>
      <c r="K230" s="16">
        <v>0</v>
      </c>
      <c r="L230" s="55"/>
      <c r="M230" s="54"/>
      <c r="N230" s="57"/>
      <c r="O230" s="57"/>
      <c r="P230" s="57"/>
      <c r="Q230" s="57"/>
      <c r="R230" s="57"/>
      <c r="S230" s="57"/>
      <c r="T230" s="57"/>
      <c r="U230" s="57"/>
      <c r="V230" s="11">
        <f t="shared" si="3"/>
        <v>0</v>
      </c>
      <c r="W230" s="17"/>
      <c r="X230" s="9" t="s">
        <v>922</v>
      </c>
    </row>
    <row r="231" spans="1:24" ht="25.5" x14ac:dyDescent="0.25">
      <c r="A231" s="7" t="s">
        <v>16</v>
      </c>
      <c r="B231" s="8">
        <v>8470530</v>
      </c>
      <c r="C231" s="9" t="s">
        <v>311</v>
      </c>
      <c r="D231" s="10">
        <v>420310</v>
      </c>
      <c r="E231" s="9" t="s">
        <v>312</v>
      </c>
      <c r="F231" s="9" t="s">
        <v>315</v>
      </c>
      <c r="G231" s="12">
        <v>2486253</v>
      </c>
      <c r="H231" s="18">
        <v>-3039.68</v>
      </c>
      <c r="I231" s="19">
        <v>0</v>
      </c>
      <c r="J231" s="12">
        <v>2394039.94</v>
      </c>
      <c r="K231" s="16">
        <v>95252.740000000194</v>
      </c>
      <c r="L231" s="55"/>
      <c r="M231" s="54"/>
      <c r="N231" s="57"/>
      <c r="O231" s="57"/>
      <c r="P231" s="57"/>
      <c r="Q231" s="57"/>
      <c r="R231" s="57"/>
      <c r="S231" s="57"/>
      <c r="T231" s="56">
        <v>95252.740000000194</v>
      </c>
      <c r="U231" s="57" t="s">
        <v>829</v>
      </c>
      <c r="V231" s="11">
        <f t="shared" si="3"/>
        <v>0</v>
      </c>
      <c r="W231" s="17"/>
      <c r="X231" s="9" t="s">
        <v>922</v>
      </c>
    </row>
    <row r="232" spans="1:24" ht="25.5" x14ac:dyDescent="0.25">
      <c r="A232" s="7" t="s">
        <v>16</v>
      </c>
      <c r="B232" s="8">
        <v>8470530</v>
      </c>
      <c r="C232" s="9" t="s">
        <v>311</v>
      </c>
      <c r="D232" s="10">
        <v>421000</v>
      </c>
      <c r="E232" s="9" t="s">
        <v>34</v>
      </c>
      <c r="F232" s="9" t="s">
        <v>316</v>
      </c>
      <c r="G232" s="12">
        <v>850000</v>
      </c>
      <c r="H232" s="13"/>
      <c r="I232" s="14"/>
      <c r="J232" s="15"/>
      <c r="K232" s="16">
        <v>850000</v>
      </c>
      <c r="L232" s="55"/>
      <c r="M232" s="54"/>
      <c r="N232" s="57"/>
      <c r="O232" s="57"/>
      <c r="P232" s="57"/>
      <c r="Q232" s="57"/>
      <c r="R232" s="57"/>
      <c r="S232" s="58">
        <v>850000</v>
      </c>
      <c r="T232" s="57"/>
      <c r="U232" s="57" t="s">
        <v>830</v>
      </c>
      <c r="V232" s="11">
        <f t="shared" si="3"/>
        <v>0</v>
      </c>
      <c r="W232" s="17"/>
      <c r="X232" s="9" t="s">
        <v>922</v>
      </c>
    </row>
    <row r="233" spans="1:24" ht="25.5" x14ac:dyDescent="0.25">
      <c r="A233" s="7" t="s">
        <v>16</v>
      </c>
      <c r="B233" s="8">
        <v>8470530</v>
      </c>
      <c r="C233" s="9" t="s">
        <v>311</v>
      </c>
      <c r="D233" s="10">
        <v>421600</v>
      </c>
      <c r="E233" s="9" t="s">
        <v>317</v>
      </c>
      <c r="F233" s="9" t="s">
        <v>318</v>
      </c>
      <c r="G233" s="12">
        <v>3615061</v>
      </c>
      <c r="H233" s="13"/>
      <c r="I233" s="19">
        <v>2070713.33</v>
      </c>
      <c r="J233" s="15"/>
      <c r="K233" s="16">
        <v>1544347.67</v>
      </c>
      <c r="L233" s="55"/>
      <c r="M233" s="54"/>
      <c r="N233" s="57"/>
      <c r="O233" s="57"/>
      <c r="P233" s="56">
        <v>1544347.67</v>
      </c>
      <c r="Q233" s="57"/>
      <c r="R233" s="57"/>
      <c r="S233" s="57"/>
      <c r="T233" s="57"/>
      <c r="U233" s="57" t="s">
        <v>831</v>
      </c>
      <c r="V233" s="11">
        <f t="shared" si="3"/>
        <v>0</v>
      </c>
      <c r="W233" s="17"/>
      <c r="X233" s="9" t="s">
        <v>922</v>
      </c>
    </row>
    <row r="234" spans="1:24" ht="25.5" x14ac:dyDescent="0.25">
      <c r="A234" s="7" t="s">
        <v>16</v>
      </c>
      <c r="B234" s="8">
        <v>8470530</v>
      </c>
      <c r="C234" s="9" t="s">
        <v>311</v>
      </c>
      <c r="D234" s="10">
        <v>421600</v>
      </c>
      <c r="E234" s="9" t="s">
        <v>317</v>
      </c>
      <c r="F234" s="9" t="s">
        <v>319</v>
      </c>
      <c r="G234" s="12">
        <v>2421018</v>
      </c>
      <c r="H234" s="18">
        <v>-205935.98</v>
      </c>
      <c r="I234" s="19">
        <v>0</v>
      </c>
      <c r="J234" s="12">
        <v>1479592.98</v>
      </c>
      <c r="K234" s="16">
        <v>1147361</v>
      </c>
      <c r="L234" s="55"/>
      <c r="M234" s="54"/>
      <c r="N234" s="57"/>
      <c r="O234" s="57"/>
      <c r="P234" s="56">
        <v>1147361</v>
      </c>
      <c r="Q234" s="57"/>
      <c r="R234" s="57"/>
      <c r="S234" s="57"/>
      <c r="T234" s="57"/>
      <c r="U234" s="57" t="s">
        <v>831</v>
      </c>
      <c r="V234" s="11">
        <f t="shared" si="3"/>
        <v>0</v>
      </c>
      <c r="W234" s="17"/>
      <c r="X234" s="9" t="s">
        <v>922</v>
      </c>
    </row>
    <row r="235" spans="1:24" ht="25.5" x14ac:dyDescent="0.25">
      <c r="A235" s="7" t="s">
        <v>16</v>
      </c>
      <c r="B235" s="8">
        <v>8470530</v>
      </c>
      <c r="C235" s="9" t="s">
        <v>311</v>
      </c>
      <c r="D235" s="10">
        <v>421600</v>
      </c>
      <c r="E235" s="9" t="s">
        <v>317</v>
      </c>
      <c r="F235" s="9" t="s">
        <v>320</v>
      </c>
      <c r="G235" s="12">
        <v>1972180</v>
      </c>
      <c r="H235" s="18">
        <v>170947.89</v>
      </c>
      <c r="I235" s="19">
        <v>-161217.89000000001</v>
      </c>
      <c r="J235" s="12">
        <v>1240924.72</v>
      </c>
      <c r="K235" s="16">
        <v>721525.28</v>
      </c>
      <c r="L235" s="55"/>
      <c r="M235" s="54"/>
      <c r="N235" s="57"/>
      <c r="O235" s="57"/>
      <c r="P235" s="56">
        <v>721525.28</v>
      </c>
      <c r="Q235" s="57"/>
      <c r="R235" s="57"/>
      <c r="S235" s="57"/>
      <c r="T235" s="57"/>
      <c r="U235" s="57" t="s">
        <v>831</v>
      </c>
      <c r="V235" s="11">
        <f t="shared" si="3"/>
        <v>0</v>
      </c>
      <c r="W235" s="17"/>
      <c r="X235" s="9" t="s">
        <v>922</v>
      </c>
    </row>
    <row r="236" spans="1:24" ht="25.5" x14ac:dyDescent="0.25">
      <c r="A236" s="7" t="s">
        <v>16</v>
      </c>
      <c r="B236" s="8">
        <v>8470530</v>
      </c>
      <c r="C236" s="9" t="s">
        <v>311</v>
      </c>
      <c r="D236" s="10">
        <v>421600</v>
      </c>
      <c r="E236" s="9" t="s">
        <v>317</v>
      </c>
      <c r="F236" s="9" t="s">
        <v>321</v>
      </c>
      <c r="G236" s="12">
        <v>592937</v>
      </c>
      <c r="H236" s="13"/>
      <c r="I236" s="19">
        <v>296685.15999999997</v>
      </c>
      <c r="J236" s="15"/>
      <c r="K236" s="16">
        <v>296251.84000000003</v>
      </c>
      <c r="L236" s="55"/>
      <c r="M236" s="54"/>
      <c r="N236" s="57"/>
      <c r="O236" s="57"/>
      <c r="P236" s="56">
        <v>296251.84000000003</v>
      </c>
      <c r="Q236" s="57"/>
      <c r="R236" s="57"/>
      <c r="S236" s="57"/>
      <c r="T236" s="57"/>
      <c r="U236" s="57" t="s">
        <v>831</v>
      </c>
      <c r="V236" s="11">
        <f t="shared" si="3"/>
        <v>0</v>
      </c>
      <c r="W236" s="17"/>
      <c r="X236" s="9" t="s">
        <v>922</v>
      </c>
    </row>
    <row r="237" spans="1:24" ht="25.5" x14ac:dyDescent="0.25">
      <c r="A237" s="7" t="s">
        <v>16</v>
      </c>
      <c r="B237" s="8">
        <v>8470530</v>
      </c>
      <c r="C237" s="9" t="s">
        <v>311</v>
      </c>
      <c r="D237" s="10">
        <v>421700</v>
      </c>
      <c r="E237" s="9" t="s">
        <v>36</v>
      </c>
      <c r="F237" s="9" t="s">
        <v>322</v>
      </c>
      <c r="G237" s="12">
        <v>187500</v>
      </c>
      <c r="H237" s="13"/>
      <c r="I237" s="14"/>
      <c r="J237" s="15"/>
      <c r="K237" s="16">
        <v>187500</v>
      </c>
      <c r="L237" s="55"/>
      <c r="M237" s="56">
        <v>62500</v>
      </c>
      <c r="N237" s="57"/>
      <c r="O237" s="57"/>
      <c r="P237" s="58">
        <v>62500</v>
      </c>
      <c r="Q237" s="57"/>
      <c r="R237" s="57"/>
      <c r="S237" s="57"/>
      <c r="T237" s="58">
        <v>62500</v>
      </c>
      <c r="U237" s="57"/>
      <c r="V237" s="11">
        <f t="shared" si="3"/>
        <v>0</v>
      </c>
      <c r="W237" s="17"/>
      <c r="X237" s="9" t="s">
        <v>922</v>
      </c>
    </row>
    <row r="238" spans="1:24" ht="25.5" x14ac:dyDescent="0.25">
      <c r="A238" s="7" t="s">
        <v>16</v>
      </c>
      <c r="B238" s="8">
        <v>8470530</v>
      </c>
      <c r="C238" s="9" t="s">
        <v>311</v>
      </c>
      <c r="D238" s="10">
        <v>425510</v>
      </c>
      <c r="E238" s="9" t="s">
        <v>20</v>
      </c>
      <c r="F238" s="9" t="s">
        <v>323</v>
      </c>
      <c r="G238" s="12">
        <v>21793</v>
      </c>
      <c r="H238" s="18">
        <v>700</v>
      </c>
      <c r="I238" s="14"/>
      <c r="J238" s="15"/>
      <c r="K238" s="16">
        <v>21093</v>
      </c>
      <c r="L238" s="55"/>
      <c r="M238" s="173">
        <v>4218.6000000000004</v>
      </c>
      <c r="N238" s="57"/>
      <c r="O238" s="173">
        <v>4218.6000000000004</v>
      </c>
      <c r="P238" s="57"/>
      <c r="Q238" s="173">
        <v>4218.6000000000004</v>
      </c>
      <c r="R238" s="173">
        <v>4218.6000000000004</v>
      </c>
      <c r="S238" s="173">
        <v>4218.6000000000004</v>
      </c>
      <c r="T238" s="57"/>
      <c r="U238" s="57"/>
      <c r="V238" s="11">
        <f t="shared" si="3"/>
        <v>0</v>
      </c>
      <c r="W238" s="17"/>
      <c r="X238" s="9" t="s">
        <v>922</v>
      </c>
    </row>
    <row r="239" spans="1:24" ht="25.5" x14ac:dyDescent="0.25">
      <c r="A239" s="7" t="s">
        <v>16</v>
      </c>
      <c r="B239" s="8">
        <v>8470530</v>
      </c>
      <c r="C239" s="9" t="s">
        <v>311</v>
      </c>
      <c r="D239" s="10">
        <v>425747</v>
      </c>
      <c r="E239" s="9" t="s">
        <v>80</v>
      </c>
      <c r="F239" s="9" t="s">
        <v>324</v>
      </c>
      <c r="G239" s="12">
        <v>8600000</v>
      </c>
      <c r="H239" s="18">
        <v>8473395</v>
      </c>
      <c r="I239" s="14"/>
      <c r="J239" s="15"/>
      <c r="K239" s="16">
        <v>126605</v>
      </c>
      <c r="L239" s="55"/>
      <c r="M239" s="54"/>
      <c r="N239" s="57"/>
      <c r="O239" s="57"/>
      <c r="P239" s="57"/>
      <c r="Q239" s="57"/>
      <c r="R239" s="57"/>
      <c r="S239" s="57"/>
      <c r="T239" s="58">
        <v>126605</v>
      </c>
      <c r="U239" s="57"/>
      <c r="V239" s="11">
        <f t="shared" si="3"/>
        <v>0</v>
      </c>
      <c r="W239" s="17"/>
      <c r="X239" s="9" t="s">
        <v>922</v>
      </c>
    </row>
    <row r="240" spans="1:24" ht="25.5" x14ac:dyDescent="0.25">
      <c r="A240" s="7" t="s">
        <v>16</v>
      </c>
      <c r="B240" s="8">
        <v>8470530</v>
      </c>
      <c r="C240" s="9" t="s">
        <v>311</v>
      </c>
      <c r="D240" s="10">
        <v>425900</v>
      </c>
      <c r="E240" s="9" t="s">
        <v>24</v>
      </c>
      <c r="F240" s="9" t="s">
        <v>325</v>
      </c>
      <c r="G240" s="12">
        <v>20000</v>
      </c>
      <c r="H240" s="18">
        <v>1218</v>
      </c>
      <c r="I240" s="14"/>
      <c r="J240" s="15"/>
      <c r="K240" s="16">
        <v>18782</v>
      </c>
      <c r="L240" s="55"/>
      <c r="M240" s="173">
        <v>3756.4</v>
      </c>
      <c r="N240" s="57"/>
      <c r="O240" s="174">
        <v>3756.4</v>
      </c>
      <c r="P240" s="57"/>
      <c r="Q240" s="174">
        <v>3756.4</v>
      </c>
      <c r="R240" s="58">
        <v>3756</v>
      </c>
      <c r="S240" s="174">
        <v>3756.4</v>
      </c>
      <c r="T240" s="57"/>
      <c r="U240" s="57"/>
      <c r="V240" s="11">
        <f t="shared" si="3"/>
        <v>0.40000000000100044</v>
      </c>
      <c r="W240" s="17"/>
      <c r="X240" s="9" t="s">
        <v>922</v>
      </c>
    </row>
    <row r="241" spans="1:24" ht="25.5" x14ac:dyDescent="0.25">
      <c r="A241" s="7" t="s">
        <v>16</v>
      </c>
      <c r="B241" s="8">
        <v>8470530</v>
      </c>
      <c r="C241" s="9" t="s">
        <v>311</v>
      </c>
      <c r="D241" s="10">
        <v>426220</v>
      </c>
      <c r="E241" s="9" t="s">
        <v>326</v>
      </c>
      <c r="F241" s="9" t="s">
        <v>327</v>
      </c>
      <c r="G241" s="12">
        <v>879708</v>
      </c>
      <c r="H241" s="13"/>
      <c r="I241" s="14"/>
      <c r="J241" s="15"/>
      <c r="K241" s="16">
        <v>879708</v>
      </c>
      <c r="L241" s="55"/>
      <c r="M241" s="54"/>
      <c r="N241" s="57"/>
      <c r="O241" s="57"/>
      <c r="P241" s="57"/>
      <c r="Q241" s="57"/>
      <c r="R241" s="57"/>
      <c r="S241" s="57"/>
      <c r="T241" s="56">
        <v>879708</v>
      </c>
      <c r="U241" s="57"/>
      <c r="V241" s="11">
        <f t="shared" si="3"/>
        <v>0</v>
      </c>
      <c r="W241" s="17"/>
      <c r="X241" s="9" t="s">
        <v>922</v>
      </c>
    </row>
    <row r="242" spans="1:24" ht="25.5" x14ac:dyDescent="0.25">
      <c r="A242" s="7" t="s">
        <v>16</v>
      </c>
      <c r="B242" s="8">
        <v>8470530</v>
      </c>
      <c r="C242" s="9" t="s">
        <v>311</v>
      </c>
      <c r="D242" s="10">
        <v>426900</v>
      </c>
      <c r="E242" s="9" t="s">
        <v>328</v>
      </c>
      <c r="F242" s="9" t="s">
        <v>329</v>
      </c>
      <c r="G242" s="12">
        <v>6000</v>
      </c>
      <c r="H242" s="18">
        <v>5800</v>
      </c>
      <c r="I242" s="14"/>
      <c r="J242" s="15"/>
      <c r="K242" s="16">
        <v>200</v>
      </c>
      <c r="L242" s="55"/>
      <c r="M242" s="54"/>
      <c r="N242" s="57"/>
      <c r="O242" s="57"/>
      <c r="P242" s="57"/>
      <c r="Q242" s="57"/>
      <c r="R242" s="57"/>
      <c r="S242" s="57"/>
      <c r="T242" s="57"/>
      <c r="U242" s="57"/>
      <c r="V242" s="11">
        <f t="shared" si="3"/>
        <v>200</v>
      </c>
      <c r="W242" s="17"/>
      <c r="X242" s="9" t="s">
        <v>922</v>
      </c>
    </row>
    <row r="243" spans="1:24" ht="25.5" x14ac:dyDescent="0.25">
      <c r="A243" s="7" t="s">
        <v>16</v>
      </c>
      <c r="B243" s="8">
        <v>8470530</v>
      </c>
      <c r="C243" s="9" t="s">
        <v>311</v>
      </c>
      <c r="D243" s="10">
        <v>428090</v>
      </c>
      <c r="E243" s="9" t="s">
        <v>26</v>
      </c>
      <c r="F243" s="9" t="s">
        <v>330</v>
      </c>
      <c r="G243" s="12">
        <v>100000</v>
      </c>
      <c r="H243" s="13"/>
      <c r="I243" s="14"/>
      <c r="J243" s="15"/>
      <c r="K243" s="16">
        <v>100000</v>
      </c>
      <c r="L243" s="55"/>
      <c r="M243" s="54"/>
      <c r="N243" s="57"/>
      <c r="O243" s="58">
        <v>50000</v>
      </c>
      <c r="P243" s="57"/>
      <c r="Q243" s="57"/>
      <c r="R243" s="57"/>
      <c r="S243" s="58">
        <v>50000</v>
      </c>
      <c r="T243" s="57"/>
      <c r="U243" s="57"/>
      <c r="V243" s="11">
        <f t="shared" si="3"/>
        <v>0</v>
      </c>
      <c r="W243" s="17"/>
      <c r="X243" s="9" t="s">
        <v>922</v>
      </c>
    </row>
    <row r="244" spans="1:24" ht="25.5" x14ac:dyDescent="0.25">
      <c r="A244" s="7" t="s">
        <v>16</v>
      </c>
      <c r="B244" s="8">
        <v>8470530</v>
      </c>
      <c r="C244" s="9" t="s">
        <v>311</v>
      </c>
      <c r="D244" s="10">
        <v>429900</v>
      </c>
      <c r="E244" s="9" t="s">
        <v>270</v>
      </c>
      <c r="F244" s="9" t="s">
        <v>331</v>
      </c>
      <c r="G244" s="12">
        <v>1776</v>
      </c>
      <c r="H244" s="13"/>
      <c r="I244" s="14"/>
      <c r="J244" s="15"/>
      <c r="K244" s="16">
        <v>1776</v>
      </c>
      <c r="L244" s="55"/>
      <c r="M244" s="54"/>
      <c r="N244" s="57"/>
      <c r="O244" s="57"/>
      <c r="P244" s="57"/>
      <c r="Q244" s="57"/>
      <c r="R244" s="57"/>
      <c r="S244" s="57"/>
      <c r="T244" s="57"/>
      <c r="U244" s="57"/>
      <c r="V244" s="11">
        <f t="shared" si="3"/>
        <v>1776</v>
      </c>
      <c r="W244" s="17"/>
      <c r="X244" s="9" t="s">
        <v>922</v>
      </c>
    </row>
    <row r="245" spans="1:24" ht="25.5" x14ac:dyDescent="0.25">
      <c r="A245" s="7" t="s">
        <v>16</v>
      </c>
      <c r="B245" s="8">
        <v>8470530</v>
      </c>
      <c r="C245" s="9" t="s">
        <v>311</v>
      </c>
      <c r="D245" s="10">
        <v>432120</v>
      </c>
      <c r="E245" s="9" t="s">
        <v>332</v>
      </c>
      <c r="F245" s="9" t="s">
        <v>333</v>
      </c>
      <c r="G245" s="12">
        <v>14249275</v>
      </c>
      <c r="H245" s="18">
        <v>531539.75</v>
      </c>
      <c r="I245" s="19">
        <v>-341464.75</v>
      </c>
      <c r="J245" s="12">
        <v>3206078.91</v>
      </c>
      <c r="K245" s="16">
        <v>10853121.09</v>
      </c>
      <c r="L245" s="175">
        <v>5426560.5</v>
      </c>
      <c r="M245" s="175">
        <v>5426560.5</v>
      </c>
      <c r="N245" s="57"/>
      <c r="O245" s="57"/>
      <c r="P245" s="57"/>
      <c r="Q245" s="57"/>
      <c r="R245" s="57"/>
      <c r="S245" s="57"/>
      <c r="T245" s="57"/>
      <c r="U245" s="57"/>
      <c r="V245" s="11">
        <f t="shared" si="3"/>
        <v>8.9999999850988388E-2</v>
      </c>
      <c r="W245" s="17"/>
      <c r="X245" s="9" t="s">
        <v>922</v>
      </c>
    </row>
    <row r="246" spans="1:24" ht="25.5" x14ac:dyDescent="0.25">
      <c r="A246" s="7" t="s">
        <v>16</v>
      </c>
      <c r="B246" s="8">
        <v>8470530</v>
      </c>
      <c r="C246" s="9" t="s">
        <v>311</v>
      </c>
      <c r="D246" s="10">
        <v>432120</v>
      </c>
      <c r="E246" s="9" t="s">
        <v>332</v>
      </c>
      <c r="F246" s="9" t="s">
        <v>334</v>
      </c>
      <c r="G246" s="12">
        <v>8106876</v>
      </c>
      <c r="H246" s="18">
        <v>355737.64</v>
      </c>
      <c r="I246" s="19">
        <v>-226424.8</v>
      </c>
      <c r="J246" s="12">
        <v>1484466.93</v>
      </c>
      <c r="K246" s="16">
        <v>6493096.2300000004</v>
      </c>
      <c r="L246" s="52">
        <v>3246548</v>
      </c>
      <c r="M246" s="52">
        <v>3246548</v>
      </c>
      <c r="N246" s="57"/>
      <c r="O246" s="57"/>
      <c r="P246" s="57"/>
      <c r="Q246" s="57"/>
      <c r="R246" s="57"/>
      <c r="S246" s="57"/>
      <c r="T246" s="57"/>
      <c r="U246" s="57"/>
      <c r="V246" s="11">
        <f t="shared" si="3"/>
        <v>0.23000000044703484</v>
      </c>
      <c r="W246" s="17"/>
      <c r="X246" s="9" t="s">
        <v>922</v>
      </c>
    </row>
    <row r="247" spans="1:24" ht="25.5" x14ac:dyDescent="0.25">
      <c r="A247" s="7" t="s">
        <v>16</v>
      </c>
      <c r="B247" s="8">
        <v>8470530</v>
      </c>
      <c r="C247" s="9" t="s">
        <v>311</v>
      </c>
      <c r="D247" s="10">
        <v>432120</v>
      </c>
      <c r="E247" s="9" t="s">
        <v>332</v>
      </c>
      <c r="F247" s="9" t="s">
        <v>335</v>
      </c>
      <c r="G247" s="12">
        <v>8486059</v>
      </c>
      <c r="H247" s="18">
        <v>289954.45</v>
      </c>
      <c r="I247" s="19">
        <v>362281.05</v>
      </c>
      <c r="J247" s="12">
        <v>1280752.58</v>
      </c>
      <c r="K247" s="16">
        <v>6553070.9199999999</v>
      </c>
      <c r="L247" s="175">
        <v>3276535.5</v>
      </c>
      <c r="M247" s="175">
        <v>3276535.5</v>
      </c>
      <c r="N247" s="57"/>
      <c r="O247" s="57"/>
      <c r="P247" s="57"/>
      <c r="Q247" s="57"/>
      <c r="R247" s="57"/>
      <c r="S247" s="57"/>
      <c r="T247" s="57"/>
      <c r="U247" s="57"/>
      <c r="V247" s="11">
        <f t="shared" si="3"/>
        <v>-8.0000000074505806E-2</v>
      </c>
      <c r="W247" s="17"/>
      <c r="X247" s="9" t="s">
        <v>922</v>
      </c>
    </row>
    <row r="248" spans="1:24" ht="25.5" x14ac:dyDescent="0.25">
      <c r="A248" s="7" t="s">
        <v>16</v>
      </c>
      <c r="B248" s="8">
        <v>8470530</v>
      </c>
      <c r="C248" s="9" t="s">
        <v>311</v>
      </c>
      <c r="D248" s="10">
        <v>432120</v>
      </c>
      <c r="E248" s="9" t="s">
        <v>332</v>
      </c>
      <c r="F248" s="9" t="s">
        <v>336</v>
      </c>
      <c r="G248" s="12">
        <v>1164983</v>
      </c>
      <c r="H248" s="18">
        <v>123458.82</v>
      </c>
      <c r="I248" s="19">
        <v>11300</v>
      </c>
      <c r="J248" s="12">
        <v>60161.31</v>
      </c>
      <c r="K248" s="16">
        <v>970062.87</v>
      </c>
      <c r="L248" s="175">
        <v>485031.5</v>
      </c>
      <c r="M248" s="175">
        <v>485031.5</v>
      </c>
      <c r="N248" s="57"/>
      <c r="O248" s="57"/>
      <c r="P248" s="57"/>
      <c r="Q248" s="57"/>
      <c r="R248" s="57"/>
      <c r="S248" s="57"/>
      <c r="T248" s="57"/>
      <c r="U248" s="57"/>
      <c r="V248" s="11">
        <f t="shared" si="3"/>
        <v>-0.13000000000465661</v>
      </c>
      <c r="W248" s="17"/>
      <c r="X248" s="9" t="s">
        <v>922</v>
      </c>
    </row>
    <row r="249" spans="1:24" ht="25.5" x14ac:dyDescent="0.25">
      <c r="A249" s="7" t="s">
        <v>16</v>
      </c>
      <c r="B249" s="8">
        <v>8470530</v>
      </c>
      <c r="C249" s="9" t="s">
        <v>311</v>
      </c>
      <c r="D249" s="10">
        <v>432170</v>
      </c>
      <c r="E249" s="9" t="s">
        <v>337</v>
      </c>
      <c r="F249" s="9" t="s">
        <v>338</v>
      </c>
      <c r="G249" s="12">
        <v>19200</v>
      </c>
      <c r="H249" s="18">
        <v>9142</v>
      </c>
      <c r="I249" s="14"/>
      <c r="J249" s="15"/>
      <c r="K249" s="16">
        <v>10058</v>
      </c>
      <c r="L249" s="55"/>
      <c r="M249" s="173">
        <v>3352.67</v>
      </c>
      <c r="N249" s="57"/>
      <c r="O249" s="174">
        <v>3352.67</v>
      </c>
      <c r="P249" s="57"/>
      <c r="Q249" s="174">
        <v>3352.67</v>
      </c>
      <c r="R249" s="57"/>
      <c r="S249" s="57"/>
      <c r="T249" s="57"/>
      <c r="U249" s="57" t="s">
        <v>832</v>
      </c>
      <c r="V249" s="11">
        <f t="shared" si="3"/>
        <v>-1.0000000000218279E-2</v>
      </c>
      <c r="W249" s="17"/>
      <c r="X249" s="9" t="s">
        <v>922</v>
      </c>
    </row>
    <row r="250" spans="1:24" ht="25.5" x14ac:dyDescent="0.25">
      <c r="A250" s="7" t="s">
        <v>16</v>
      </c>
      <c r="B250" s="8">
        <v>8470530</v>
      </c>
      <c r="C250" s="9" t="s">
        <v>311</v>
      </c>
      <c r="D250" s="10">
        <v>432320</v>
      </c>
      <c r="E250" s="9" t="s">
        <v>339</v>
      </c>
      <c r="F250" s="9" t="s">
        <v>340</v>
      </c>
      <c r="G250" s="12">
        <v>3748</v>
      </c>
      <c r="H250" s="13"/>
      <c r="I250" s="14"/>
      <c r="J250" s="15"/>
      <c r="K250" s="16">
        <v>3748</v>
      </c>
      <c r="L250" s="55"/>
      <c r="M250" s="56">
        <v>3748</v>
      </c>
      <c r="N250" s="57"/>
      <c r="O250" s="57"/>
      <c r="P250" s="57"/>
      <c r="Q250" s="57"/>
      <c r="R250" s="57"/>
      <c r="S250" s="57"/>
      <c r="T250" s="57"/>
      <c r="U250" s="57"/>
      <c r="V250" s="11">
        <f t="shared" si="3"/>
        <v>0</v>
      </c>
      <c r="W250" s="17"/>
      <c r="X250" s="9" t="s">
        <v>922</v>
      </c>
    </row>
    <row r="251" spans="1:24" ht="25.5" x14ac:dyDescent="0.25">
      <c r="A251" s="7" t="s">
        <v>16</v>
      </c>
      <c r="B251" s="8">
        <v>8470530</v>
      </c>
      <c r="C251" s="9" t="s">
        <v>311</v>
      </c>
      <c r="D251" s="10">
        <v>432320</v>
      </c>
      <c r="E251" s="9" t="s">
        <v>339</v>
      </c>
      <c r="F251" s="9" t="s">
        <v>341</v>
      </c>
      <c r="G251" s="15"/>
      <c r="H251" s="18">
        <v>-9.0949470177292804E-13</v>
      </c>
      <c r="I251" s="14"/>
      <c r="J251" s="15"/>
      <c r="K251" s="16">
        <v>9.0949470177292804E-13</v>
      </c>
      <c r="L251" s="55"/>
      <c r="M251" s="54"/>
      <c r="N251" s="57"/>
      <c r="O251" s="57"/>
      <c r="P251" s="57"/>
      <c r="Q251" s="57"/>
      <c r="R251" s="57"/>
      <c r="S251" s="57"/>
      <c r="T251" s="57"/>
      <c r="U251" s="57"/>
      <c r="V251" s="11">
        <f t="shared" si="3"/>
        <v>9.0949470177292804E-13</v>
      </c>
      <c r="W251" s="17"/>
      <c r="X251" s="9" t="s">
        <v>922</v>
      </c>
    </row>
    <row r="252" spans="1:24" ht="25.5" x14ac:dyDescent="0.25">
      <c r="A252" s="7" t="s">
        <v>16</v>
      </c>
      <c r="B252" s="8">
        <v>8470530</v>
      </c>
      <c r="C252" s="9" t="s">
        <v>311</v>
      </c>
      <c r="D252" s="10">
        <v>432540</v>
      </c>
      <c r="E252" s="9" t="s">
        <v>342</v>
      </c>
      <c r="F252" s="9" t="s">
        <v>343</v>
      </c>
      <c r="G252" s="12">
        <v>10000</v>
      </c>
      <c r="H252" s="18">
        <v>10000</v>
      </c>
      <c r="I252" s="14"/>
      <c r="J252" s="15"/>
      <c r="K252" s="16">
        <v>0</v>
      </c>
      <c r="L252" s="55"/>
      <c r="M252" s="54"/>
      <c r="N252" s="57"/>
      <c r="O252" s="57"/>
      <c r="P252" s="57"/>
      <c r="Q252" s="57"/>
      <c r="R252" s="57"/>
      <c r="S252" s="57"/>
      <c r="T252" s="57"/>
      <c r="U252" s="57"/>
      <c r="V252" s="11">
        <f t="shared" si="3"/>
        <v>0</v>
      </c>
      <c r="W252" s="17"/>
      <c r="X252" s="9" t="s">
        <v>922</v>
      </c>
    </row>
    <row r="253" spans="1:24" ht="25.5" x14ac:dyDescent="0.25">
      <c r="A253" s="7" t="s">
        <v>16</v>
      </c>
      <c r="B253" s="8">
        <v>8470530</v>
      </c>
      <c r="C253" s="9" t="s">
        <v>311</v>
      </c>
      <c r="D253" s="10">
        <v>435410</v>
      </c>
      <c r="E253" s="9" t="s">
        <v>344</v>
      </c>
      <c r="F253" s="9" t="s">
        <v>345</v>
      </c>
      <c r="G253" s="12">
        <v>43914</v>
      </c>
      <c r="H253" s="13"/>
      <c r="I253" s="19">
        <v>0</v>
      </c>
      <c r="J253" s="12">
        <v>43913.55</v>
      </c>
      <c r="K253" s="16">
        <v>0.44999999999709001</v>
      </c>
      <c r="L253" s="55"/>
      <c r="M253" s="54"/>
      <c r="N253" s="57"/>
      <c r="O253" s="57"/>
      <c r="P253" s="57"/>
      <c r="Q253" s="57"/>
      <c r="R253" s="57"/>
      <c r="S253" s="57"/>
      <c r="T253" s="57"/>
      <c r="U253" s="57"/>
      <c r="V253" s="11">
        <f t="shared" si="3"/>
        <v>0.44999999999709001</v>
      </c>
      <c r="W253" s="17"/>
      <c r="X253" s="9" t="s">
        <v>922</v>
      </c>
    </row>
    <row r="254" spans="1:24" x14ac:dyDescent="0.25">
      <c r="A254" s="48" t="s">
        <v>629</v>
      </c>
      <c r="B254" s="49">
        <v>8470540</v>
      </c>
      <c r="C254" s="50" t="s">
        <v>346</v>
      </c>
      <c r="D254" s="51">
        <v>413310</v>
      </c>
      <c r="E254" s="50" t="s">
        <v>630</v>
      </c>
      <c r="F254" s="50" t="s">
        <v>633</v>
      </c>
      <c r="G254" s="65">
        <v>2836012</v>
      </c>
      <c r="H254" s="66">
        <v>254425.55</v>
      </c>
      <c r="I254" s="67">
        <v>-69311.55</v>
      </c>
      <c r="J254" s="65">
        <v>1344879.55</v>
      </c>
      <c r="K254" s="67">
        <v>1306018.45</v>
      </c>
      <c r="L254" s="67">
        <v>1306018.45</v>
      </c>
      <c r="M254" s="14"/>
      <c r="N254" s="17"/>
      <c r="O254" s="17"/>
      <c r="P254" s="17"/>
      <c r="Q254" s="17"/>
      <c r="R254" s="17"/>
      <c r="S254" s="17"/>
      <c r="T254" s="17"/>
      <c r="U254" s="17"/>
      <c r="V254" s="11">
        <f t="shared" si="3"/>
        <v>0</v>
      </c>
      <c r="W254" s="17"/>
      <c r="X254" s="9" t="s">
        <v>922</v>
      </c>
    </row>
    <row r="255" spans="1:24" ht="25.5" x14ac:dyDescent="0.25">
      <c r="A255" s="7" t="s">
        <v>16</v>
      </c>
      <c r="B255" s="8">
        <v>8470540</v>
      </c>
      <c r="C255" s="9" t="s">
        <v>346</v>
      </c>
      <c r="D255" s="10">
        <v>421100</v>
      </c>
      <c r="E255" s="9" t="s">
        <v>347</v>
      </c>
      <c r="F255" s="9" t="s">
        <v>348</v>
      </c>
      <c r="G255" s="12">
        <v>26417</v>
      </c>
      <c r="H255" s="13"/>
      <c r="I255" s="14"/>
      <c r="J255" s="15"/>
      <c r="K255" s="16">
        <v>26417</v>
      </c>
      <c r="L255" s="55"/>
      <c r="M255" s="54"/>
      <c r="N255" s="57"/>
      <c r="O255" s="57"/>
      <c r="P255" s="57"/>
      <c r="Q255" s="57"/>
      <c r="R255" s="57"/>
      <c r="S255" s="57"/>
      <c r="T255" s="57"/>
      <c r="U255" s="57"/>
      <c r="V255" s="11">
        <f t="shared" si="3"/>
        <v>26417</v>
      </c>
      <c r="W255" s="9" t="s">
        <v>839</v>
      </c>
      <c r="X255" s="9" t="s">
        <v>922</v>
      </c>
    </row>
    <row r="256" spans="1:24" ht="25.5" x14ac:dyDescent="0.25">
      <c r="A256" s="7" t="s">
        <v>16</v>
      </c>
      <c r="B256" s="8">
        <v>8470540</v>
      </c>
      <c r="C256" s="9" t="s">
        <v>346</v>
      </c>
      <c r="D256" s="10">
        <v>426800</v>
      </c>
      <c r="E256" s="9" t="s">
        <v>349</v>
      </c>
      <c r="F256" s="9" t="s">
        <v>350</v>
      </c>
      <c r="G256" s="12">
        <v>848</v>
      </c>
      <c r="H256" s="13"/>
      <c r="I256" s="14"/>
      <c r="J256" s="15"/>
      <c r="K256" s="16">
        <v>848</v>
      </c>
      <c r="L256" s="55"/>
      <c r="M256" s="54"/>
      <c r="N256" s="57"/>
      <c r="O256" s="57"/>
      <c r="P256" s="57"/>
      <c r="Q256" s="57"/>
      <c r="R256" s="57"/>
      <c r="S256" s="57"/>
      <c r="T256" s="57"/>
      <c r="U256" s="57"/>
      <c r="V256" s="11">
        <f t="shared" si="3"/>
        <v>848</v>
      </c>
      <c r="W256" s="17"/>
      <c r="X256" s="9" t="s">
        <v>922</v>
      </c>
    </row>
    <row r="257" spans="1:24" ht="25.5" x14ac:dyDescent="0.25">
      <c r="A257" s="7" t="s">
        <v>16</v>
      </c>
      <c r="B257" s="8">
        <v>8470540</v>
      </c>
      <c r="C257" s="9" t="s">
        <v>346</v>
      </c>
      <c r="D257" s="10">
        <v>427710</v>
      </c>
      <c r="E257" s="9" t="s">
        <v>45</v>
      </c>
      <c r="F257" s="9" t="s">
        <v>351</v>
      </c>
      <c r="G257" s="12">
        <v>4000</v>
      </c>
      <c r="H257" s="13"/>
      <c r="I257" s="14"/>
      <c r="J257" s="15"/>
      <c r="K257" s="16">
        <v>4000</v>
      </c>
      <c r="L257" s="55"/>
      <c r="M257" s="54">
        <v>1500</v>
      </c>
      <c r="N257" s="57"/>
      <c r="O257" s="57">
        <v>1500</v>
      </c>
      <c r="P257" s="57"/>
      <c r="Q257" s="57">
        <v>1000</v>
      </c>
      <c r="R257" s="57"/>
      <c r="S257" s="57"/>
      <c r="T257" s="57"/>
      <c r="U257" s="50" t="s">
        <v>45</v>
      </c>
      <c r="V257" s="11">
        <f t="shared" si="3"/>
        <v>0</v>
      </c>
      <c r="W257" s="17"/>
      <c r="X257" s="9" t="s">
        <v>922</v>
      </c>
    </row>
    <row r="258" spans="1:24" ht="25.5" x14ac:dyDescent="0.25">
      <c r="A258" s="7" t="s">
        <v>16</v>
      </c>
      <c r="B258" s="8">
        <v>8470540</v>
      </c>
      <c r="C258" s="9" t="s">
        <v>346</v>
      </c>
      <c r="D258" s="10">
        <v>428111</v>
      </c>
      <c r="E258" s="9" t="s">
        <v>352</v>
      </c>
      <c r="F258" s="9" t="s">
        <v>353</v>
      </c>
      <c r="G258" s="12">
        <v>11609542</v>
      </c>
      <c r="H258" s="18">
        <v>1099803.3</v>
      </c>
      <c r="I258" s="14"/>
      <c r="J258" s="15"/>
      <c r="K258" s="16">
        <v>10509738.699999999</v>
      </c>
      <c r="L258" s="175">
        <v>1167748.78</v>
      </c>
      <c r="M258" s="175">
        <v>1167748.78</v>
      </c>
      <c r="N258" s="175">
        <v>1167748.78</v>
      </c>
      <c r="O258" s="175">
        <v>1167748.78</v>
      </c>
      <c r="P258" s="175">
        <v>1167748.78</v>
      </c>
      <c r="Q258" s="175">
        <v>1167748.78</v>
      </c>
      <c r="R258" s="175">
        <v>1167748.78</v>
      </c>
      <c r="S258" s="175">
        <v>1167748.78</v>
      </c>
      <c r="T258" s="175">
        <v>1167748.78</v>
      </c>
      <c r="U258" s="57" t="s">
        <v>833</v>
      </c>
      <c r="V258" s="11">
        <f t="shared" si="3"/>
        <v>-0.32000000169500709</v>
      </c>
      <c r="W258" s="17"/>
      <c r="X258" s="9" t="s">
        <v>922</v>
      </c>
    </row>
    <row r="259" spans="1:24" ht="25.5" x14ac:dyDescent="0.25">
      <c r="A259" s="7" t="s">
        <v>16</v>
      </c>
      <c r="B259" s="8">
        <v>8470540</v>
      </c>
      <c r="C259" s="9" t="s">
        <v>346</v>
      </c>
      <c r="D259" s="10">
        <v>428111</v>
      </c>
      <c r="E259" s="9" t="s">
        <v>352</v>
      </c>
      <c r="F259" s="9" t="s">
        <v>354</v>
      </c>
      <c r="G259" s="12">
        <v>4835641</v>
      </c>
      <c r="H259" s="18">
        <v>608430.43000000005</v>
      </c>
      <c r="I259" s="14"/>
      <c r="J259" s="15"/>
      <c r="K259" s="16">
        <v>4227210.57</v>
      </c>
      <c r="L259" s="175">
        <v>469690.12</v>
      </c>
      <c r="M259" s="175">
        <v>469690.12</v>
      </c>
      <c r="N259" s="175">
        <v>469690.12</v>
      </c>
      <c r="O259" s="175">
        <v>469690.12</v>
      </c>
      <c r="P259" s="175">
        <v>469690.12</v>
      </c>
      <c r="Q259" s="175">
        <v>469690.12</v>
      </c>
      <c r="R259" s="175">
        <v>469690.12</v>
      </c>
      <c r="S259" s="175">
        <v>469690.12</v>
      </c>
      <c r="T259" s="175">
        <v>469689.12</v>
      </c>
      <c r="U259" s="176" t="s">
        <v>833</v>
      </c>
      <c r="V259" s="11">
        <f t="shared" si="3"/>
        <v>0.48999999964144081</v>
      </c>
      <c r="W259" s="17"/>
      <c r="X259" s="9" t="s">
        <v>922</v>
      </c>
    </row>
    <row r="260" spans="1:24" ht="25.5" x14ac:dyDescent="0.25">
      <c r="A260" s="7" t="s">
        <v>16</v>
      </c>
      <c r="B260" s="8">
        <v>8470540</v>
      </c>
      <c r="C260" s="9" t="s">
        <v>346</v>
      </c>
      <c r="D260" s="10">
        <v>428111</v>
      </c>
      <c r="E260" s="9" t="s">
        <v>352</v>
      </c>
      <c r="F260" s="9" t="s">
        <v>355</v>
      </c>
      <c r="G260" s="12">
        <v>5255311</v>
      </c>
      <c r="H260" s="18">
        <v>572161.4</v>
      </c>
      <c r="I260" s="14"/>
      <c r="J260" s="15"/>
      <c r="K260" s="16">
        <v>4683149.5999999996</v>
      </c>
      <c r="L260" s="52">
        <v>520350</v>
      </c>
      <c r="M260" s="52">
        <v>520350</v>
      </c>
      <c r="N260" s="52">
        <v>520350</v>
      </c>
      <c r="O260" s="52">
        <v>520350</v>
      </c>
      <c r="P260" s="52">
        <v>520350</v>
      </c>
      <c r="Q260" s="52">
        <v>520350</v>
      </c>
      <c r="R260" s="52">
        <v>520350</v>
      </c>
      <c r="S260" s="52">
        <v>520350</v>
      </c>
      <c r="T260" s="52">
        <v>520350</v>
      </c>
      <c r="U260" s="57" t="s">
        <v>833</v>
      </c>
      <c r="V260" s="11">
        <f t="shared" si="3"/>
        <v>-0.40000000037252903</v>
      </c>
      <c r="W260" s="17"/>
      <c r="X260" s="9" t="s">
        <v>922</v>
      </c>
    </row>
    <row r="261" spans="1:24" ht="25.5" x14ac:dyDescent="0.25">
      <c r="A261" s="7" t="s">
        <v>16</v>
      </c>
      <c r="B261" s="8">
        <v>8470540</v>
      </c>
      <c r="C261" s="9" t="s">
        <v>346</v>
      </c>
      <c r="D261" s="10">
        <v>428112</v>
      </c>
      <c r="E261" s="9" t="s">
        <v>356</v>
      </c>
      <c r="F261" s="9" t="s">
        <v>357</v>
      </c>
      <c r="G261" s="12">
        <v>1687672</v>
      </c>
      <c r="H261" s="18">
        <v>153166.48000000001</v>
      </c>
      <c r="I261" s="14"/>
      <c r="J261" s="15"/>
      <c r="K261" s="16">
        <v>1534505.52</v>
      </c>
      <c r="L261" s="175">
        <v>170500.67</v>
      </c>
      <c r="M261" s="175">
        <v>170500.67</v>
      </c>
      <c r="N261" s="175">
        <v>170500.67</v>
      </c>
      <c r="O261" s="175">
        <v>170500.67</v>
      </c>
      <c r="P261" s="175">
        <v>170500.67</v>
      </c>
      <c r="Q261" s="175">
        <v>170500.67</v>
      </c>
      <c r="R261" s="175">
        <v>170500.67</v>
      </c>
      <c r="S261" s="175">
        <v>170500.67</v>
      </c>
      <c r="T261" s="175">
        <v>170499.67</v>
      </c>
      <c r="U261" s="57" t="s">
        <v>833</v>
      </c>
      <c r="V261" s="11">
        <f t="shared" si="3"/>
        <v>0.48999999993247911</v>
      </c>
      <c r="W261" s="17"/>
      <c r="X261" s="9" t="s">
        <v>922</v>
      </c>
    </row>
    <row r="262" spans="1:24" ht="25.5" x14ac:dyDescent="0.25">
      <c r="A262" s="7" t="s">
        <v>16</v>
      </c>
      <c r="B262" s="8">
        <v>8470540</v>
      </c>
      <c r="C262" s="9" t="s">
        <v>346</v>
      </c>
      <c r="D262" s="10">
        <v>428112</v>
      </c>
      <c r="E262" s="9" t="s">
        <v>356</v>
      </c>
      <c r="F262" s="9" t="s">
        <v>358</v>
      </c>
      <c r="G262" s="12">
        <v>1479473</v>
      </c>
      <c r="H262" s="18">
        <v>196434.49</v>
      </c>
      <c r="I262" s="14"/>
      <c r="J262" s="15"/>
      <c r="K262" s="16">
        <v>1283038.51</v>
      </c>
      <c r="L262" s="175">
        <v>142559.89000000001</v>
      </c>
      <c r="M262" s="175">
        <v>142559.89000000001</v>
      </c>
      <c r="N262" s="175">
        <v>142559.89000000001</v>
      </c>
      <c r="O262" s="175">
        <v>142559.89000000001</v>
      </c>
      <c r="P262" s="175">
        <v>142559.89000000001</v>
      </c>
      <c r="Q262" s="175">
        <v>142559.89000000001</v>
      </c>
      <c r="R262" s="175">
        <v>142559.89000000001</v>
      </c>
      <c r="S262" s="175">
        <v>142559.89000000001</v>
      </c>
      <c r="T262" s="175">
        <v>142558.89000000001</v>
      </c>
      <c r="U262" s="57" t="s">
        <v>833</v>
      </c>
      <c r="V262" s="11">
        <f t="shared" ref="V262:V328" si="4">K262-L262-M262-N262-O262-P262-Q262-R262-S262-T262</f>
        <v>0.5</v>
      </c>
      <c r="W262" s="17"/>
      <c r="X262" s="9" t="s">
        <v>922</v>
      </c>
    </row>
    <row r="263" spans="1:24" ht="25.5" x14ac:dyDescent="0.25">
      <c r="A263" s="7" t="s">
        <v>16</v>
      </c>
      <c r="B263" s="8">
        <v>8470540</v>
      </c>
      <c r="C263" s="9" t="s">
        <v>346</v>
      </c>
      <c r="D263" s="10">
        <v>428112</v>
      </c>
      <c r="E263" s="9" t="s">
        <v>356</v>
      </c>
      <c r="F263" s="9" t="s">
        <v>359</v>
      </c>
      <c r="G263" s="12">
        <v>1523249</v>
      </c>
      <c r="H263" s="18">
        <v>186662.55</v>
      </c>
      <c r="I263" s="14"/>
      <c r="J263" s="15"/>
      <c r="K263" s="16">
        <v>1336586.45</v>
      </c>
      <c r="L263" s="175">
        <v>148509.56</v>
      </c>
      <c r="M263" s="175">
        <v>148509.56</v>
      </c>
      <c r="N263" s="175">
        <v>148509.56</v>
      </c>
      <c r="O263" s="175">
        <v>148509.56</v>
      </c>
      <c r="P263" s="175">
        <v>148509.56</v>
      </c>
      <c r="Q263" s="175">
        <v>148509.56</v>
      </c>
      <c r="R263" s="175">
        <v>148509.56</v>
      </c>
      <c r="S263" s="175">
        <v>148509.56</v>
      </c>
      <c r="T263" s="175">
        <v>148509.56</v>
      </c>
      <c r="U263" s="57" t="s">
        <v>833</v>
      </c>
      <c r="V263" s="11">
        <f t="shared" si="4"/>
        <v>0.40999999968335032</v>
      </c>
      <c r="W263" s="17"/>
      <c r="X263" s="9" t="s">
        <v>922</v>
      </c>
    </row>
    <row r="264" spans="1:24" ht="25.5" x14ac:dyDescent="0.25">
      <c r="A264" s="7" t="s">
        <v>16</v>
      </c>
      <c r="B264" s="8">
        <v>8470540</v>
      </c>
      <c r="C264" s="9" t="s">
        <v>346</v>
      </c>
      <c r="D264" s="10">
        <v>430330</v>
      </c>
      <c r="E264" s="9" t="s">
        <v>360</v>
      </c>
      <c r="F264" s="9" t="s">
        <v>361</v>
      </c>
      <c r="G264" s="12">
        <v>989463</v>
      </c>
      <c r="H264" s="18">
        <v>10730</v>
      </c>
      <c r="I264" s="19">
        <v>384152</v>
      </c>
      <c r="J264" s="12">
        <v>10730</v>
      </c>
      <c r="K264" s="16">
        <v>583851</v>
      </c>
      <c r="L264" s="55"/>
      <c r="M264" s="56">
        <v>583851</v>
      </c>
      <c r="N264" s="57"/>
      <c r="O264" s="57"/>
      <c r="P264" s="57"/>
      <c r="Q264" s="57"/>
      <c r="R264" s="57"/>
      <c r="S264" s="57"/>
      <c r="T264" s="57"/>
      <c r="U264" s="57" t="s">
        <v>834</v>
      </c>
      <c r="V264" s="11">
        <f t="shared" si="4"/>
        <v>0</v>
      </c>
      <c r="W264" s="17"/>
      <c r="X264" s="9" t="s">
        <v>922</v>
      </c>
    </row>
    <row r="265" spans="1:24" ht="25.5" x14ac:dyDescent="0.25">
      <c r="A265" s="7" t="s">
        <v>16</v>
      </c>
      <c r="B265" s="8">
        <v>8470540</v>
      </c>
      <c r="C265" s="9" t="s">
        <v>346</v>
      </c>
      <c r="D265" s="10">
        <v>432540</v>
      </c>
      <c r="E265" s="9" t="s">
        <v>342</v>
      </c>
      <c r="F265" s="9" t="s">
        <v>362</v>
      </c>
      <c r="G265" s="12">
        <v>79602</v>
      </c>
      <c r="H265" s="13"/>
      <c r="I265" s="14"/>
      <c r="J265" s="15"/>
      <c r="K265" s="16">
        <v>79602</v>
      </c>
      <c r="L265" s="175">
        <v>8844.67</v>
      </c>
      <c r="M265" s="175">
        <v>8844.67</v>
      </c>
      <c r="N265" s="175">
        <v>8844.67</v>
      </c>
      <c r="O265" s="175">
        <v>8844.67</v>
      </c>
      <c r="P265" s="175">
        <v>8844.67</v>
      </c>
      <c r="Q265" s="175">
        <v>8844.67</v>
      </c>
      <c r="R265" s="175">
        <v>8844.67</v>
      </c>
      <c r="S265" s="175">
        <v>8844.67</v>
      </c>
      <c r="T265" s="175">
        <v>8844.67</v>
      </c>
      <c r="U265" s="57" t="s">
        <v>835</v>
      </c>
      <c r="V265" s="11">
        <f t="shared" si="4"/>
        <v>-2.999999998792191E-2</v>
      </c>
      <c r="W265" s="17"/>
      <c r="X265" s="9" t="s">
        <v>922</v>
      </c>
    </row>
    <row r="266" spans="1:24" ht="25.5" x14ac:dyDescent="0.25">
      <c r="A266" s="7" t="s">
        <v>16</v>
      </c>
      <c r="B266" s="8">
        <v>8470540</v>
      </c>
      <c r="C266" s="9" t="s">
        <v>346</v>
      </c>
      <c r="D266" s="10">
        <v>435410</v>
      </c>
      <c r="E266" s="9" t="s">
        <v>344</v>
      </c>
      <c r="F266" s="9" t="s">
        <v>363</v>
      </c>
      <c r="G266" s="12">
        <v>597472</v>
      </c>
      <c r="H266" s="18">
        <v>19573.580000000002</v>
      </c>
      <c r="I266" s="19">
        <v>-11386.08</v>
      </c>
      <c r="J266" s="12">
        <v>11386.08</v>
      </c>
      <c r="K266" s="16">
        <v>577898.42000000004</v>
      </c>
      <c r="L266" s="175">
        <v>64210.89</v>
      </c>
      <c r="M266" s="175">
        <v>64210.89</v>
      </c>
      <c r="N266" s="175">
        <v>64210.89</v>
      </c>
      <c r="O266" s="175">
        <v>64210.89</v>
      </c>
      <c r="P266" s="175">
        <v>64210.89</v>
      </c>
      <c r="Q266" s="175">
        <v>64210.89</v>
      </c>
      <c r="R266" s="175">
        <v>64210.89</v>
      </c>
      <c r="S266" s="175">
        <v>64210.89</v>
      </c>
      <c r="T266" s="175">
        <v>64210.89</v>
      </c>
      <c r="U266" s="57" t="s">
        <v>836</v>
      </c>
      <c r="V266" s="11">
        <f t="shared" si="4"/>
        <v>0.40999999995983671</v>
      </c>
      <c r="W266" s="17"/>
      <c r="X266" s="9" t="s">
        <v>922</v>
      </c>
    </row>
    <row r="267" spans="1:24" ht="25.5" x14ac:dyDescent="0.25">
      <c r="A267" s="7" t="s">
        <v>16</v>
      </c>
      <c r="B267" s="8">
        <v>8470540</v>
      </c>
      <c r="C267" s="9" t="s">
        <v>346</v>
      </c>
      <c r="D267" s="10">
        <v>435740</v>
      </c>
      <c r="E267" s="9" t="s">
        <v>364</v>
      </c>
      <c r="F267" s="9" t="s">
        <v>365</v>
      </c>
      <c r="G267" s="12">
        <v>252000</v>
      </c>
      <c r="H267" s="13"/>
      <c r="I267" s="14"/>
      <c r="J267" s="15"/>
      <c r="K267" s="16">
        <v>252000</v>
      </c>
      <c r="L267" s="52">
        <v>28000</v>
      </c>
      <c r="M267" s="52">
        <v>28000</v>
      </c>
      <c r="N267" s="52">
        <v>28000</v>
      </c>
      <c r="O267" s="52">
        <v>28000</v>
      </c>
      <c r="P267" s="52">
        <v>28000</v>
      </c>
      <c r="Q267" s="52">
        <v>28000</v>
      </c>
      <c r="R267" s="52">
        <v>28000</v>
      </c>
      <c r="S267" s="52">
        <v>28000</v>
      </c>
      <c r="T267" s="52">
        <v>28000</v>
      </c>
      <c r="U267" s="57" t="s">
        <v>837</v>
      </c>
      <c r="V267" s="11">
        <f t="shared" si="4"/>
        <v>0</v>
      </c>
      <c r="W267" s="17"/>
      <c r="X267" s="9" t="s">
        <v>922</v>
      </c>
    </row>
    <row r="268" spans="1:24" ht="25.5" x14ac:dyDescent="0.25">
      <c r="A268" s="7" t="s">
        <v>16</v>
      </c>
      <c r="B268" s="8">
        <v>8470540</v>
      </c>
      <c r="C268" s="9" t="s">
        <v>346</v>
      </c>
      <c r="D268" s="10">
        <v>436110</v>
      </c>
      <c r="E268" s="9" t="s">
        <v>158</v>
      </c>
      <c r="F268" s="9" t="s">
        <v>366</v>
      </c>
      <c r="G268" s="12">
        <v>53134</v>
      </c>
      <c r="H268" s="18">
        <v>11100</v>
      </c>
      <c r="I268" s="14"/>
      <c r="J268" s="15"/>
      <c r="K268" s="16">
        <v>42034</v>
      </c>
      <c r="L268" s="55"/>
      <c r="M268" s="173">
        <v>8406.7999999999993</v>
      </c>
      <c r="N268" s="57"/>
      <c r="O268" s="173">
        <v>8406.7999999999993</v>
      </c>
      <c r="P268" s="57"/>
      <c r="Q268" s="173">
        <v>8406.7999999999993</v>
      </c>
      <c r="R268" s="57"/>
      <c r="S268" s="173">
        <v>8406.7999999999993</v>
      </c>
      <c r="T268" s="173">
        <v>8406.7999999999993</v>
      </c>
      <c r="U268" s="57" t="s">
        <v>838</v>
      </c>
      <c r="V268" s="11">
        <f t="shared" si="4"/>
        <v>0</v>
      </c>
      <c r="W268" s="17"/>
      <c r="X268" s="9" t="s">
        <v>922</v>
      </c>
    </row>
    <row r="269" spans="1:24" ht="25.5" x14ac:dyDescent="0.25">
      <c r="A269" s="7" t="s">
        <v>16</v>
      </c>
      <c r="B269" s="8">
        <v>8470605</v>
      </c>
      <c r="C269" s="9" t="s">
        <v>367</v>
      </c>
      <c r="D269" s="10">
        <v>421000</v>
      </c>
      <c r="E269" s="9" t="s">
        <v>34</v>
      </c>
      <c r="F269" s="9" t="s">
        <v>368</v>
      </c>
      <c r="G269" s="12">
        <v>860913</v>
      </c>
      <c r="H269" s="18">
        <v>54444.44</v>
      </c>
      <c r="I269" s="19">
        <v>0</v>
      </c>
      <c r="J269" s="12">
        <v>190555.56</v>
      </c>
      <c r="K269" s="16">
        <v>615913</v>
      </c>
      <c r="L269" s="15"/>
      <c r="M269" s="14"/>
      <c r="N269" s="17"/>
      <c r="O269" s="17"/>
      <c r="P269" s="17"/>
      <c r="Q269" s="17"/>
      <c r="R269" s="17"/>
      <c r="S269" s="17"/>
      <c r="T269" s="17"/>
      <c r="U269" s="17"/>
      <c r="V269" s="11">
        <f t="shared" si="4"/>
        <v>615913</v>
      </c>
      <c r="W269" s="17"/>
      <c r="X269" s="9" t="s">
        <v>923</v>
      </c>
    </row>
    <row r="270" spans="1:24" ht="25.5" x14ac:dyDescent="0.25">
      <c r="A270" s="7" t="s">
        <v>16</v>
      </c>
      <c r="B270" s="8">
        <v>8470605</v>
      </c>
      <c r="C270" s="9" t="s">
        <v>367</v>
      </c>
      <c r="D270" s="10">
        <v>425720</v>
      </c>
      <c r="E270" s="9" t="s">
        <v>185</v>
      </c>
      <c r="F270" s="9" t="s">
        <v>369</v>
      </c>
      <c r="G270" s="12">
        <v>500000</v>
      </c>
      <c r="H270" s="13"/>
      <c r="I270" s="14"/>
      <c r="J270" s="15"/>
      <c r="K270" s="16">
        <v>500000</v>
      </c>
      <c r="L270" s="15"/>
      <c r="M270" s="14"/>
      <c r="N270" s="17"/>
      <c r="O270" s="17"/>
      <c r="P270" s="17"/>
      <c r="Q270" s="17"/>
      <c r="R270" s="17"/>
      <c r="S270" s="17"/>
      <c r="T270" s="17"/>
      <c r="U270" s="17"/>
      <c r="V270" s="11">
        <f t="shared" si="4"/>
        <v>500000</v>
      </c>
      <c r="W270" s="17"/>
      <c r="X270" s="9" t="s">
        <v>923</v>
      </c>
    </row>
    <row r="271" spans="1:24" ht="25.5" x14ac:dyDescent="0.25">
      <c r="A271" s="7" t="s">
        <v>16</v>
      </c>
      <c r="B271" s="8">
        <v>8470605</v>
      </c>
      <c r="C271" s="9" t="s">
        <v>367</v>
      </c>
      <c r="D271" s="10">
        <v>425900</v>
      </c>
      <c r="E271" s="9" t="s">
        <v>24</v>
      </c>
      <c r="F271" s="9" t="s">
        <v>370</v>
      </c>
      <c r="G271" s="12">
        <v>780442</v>
      </c>
      <c r="H271" s="13"/>
      <c r="I271" s="14"/>
      <c r="J271" s="15"/>
      <c r="K271" s="16">
        <v>780442</v>
      </c>
      <c r="L271" s="15"/>
      <c r="M271" s="14"/>
      <c r="N271" s="17"/>
      <c r="O271" s="17"/>
      <c r="P271" s="17"/>
      <c r="Q271" s="17"/>
      <c r="R271" s="17"/>
      <c r="S271" s="17"/>
      <c r="T271" s="17"/>
      <c r="U271" s="17"/>
      <c r="V271" s="11">
        <f t="shared" si="4"/>
        <v>780442</v>
      </c>
      <c r="W271" s="17"/>
      <c r="X271" s="9" t="s">
        <v>923</v>
      </c>
    </row>
    <row r="272" spans="1:24" ht="25.5" x14ac:dyDescent="0.25">
      <c r="A272" s="7" t="s">
        <v>16</v>
      </c>
      <c r="B272" s="8">
        <v>8470605</v>
      </c>
      <c r="C272" s="9" t="s">
        <v>367</v>
      </c>
      <c r="D272" s="10">
        <v>428090</v>
      </c>
      <c r="E272" s="9" t="s">
        <v>26</v>
      </c>
      <c r="F272" s="9" t="s">
        <v>371</v>
      </c>
      <c r="G272" s="12">
        <v>962922</v>
      </c>
      <c r="H272" s="18">
        <v>1650</v>
      </c>
      <c r="I272" s="14"/>
      <c r="J272" s="15"/>
      <c r="K272" s="16">
        <v>961272</v>
      </c>
      <c r="L272" s="15"/>
      <c r="M272" s="14"/>
      <c r="N272" s="17"/>
      <c r="O272" s="17"/>
      <c r="P272" s="17"/>
      <c r="Q272" s="17"/>
      <c r="R272" s="17"/>
      <c r="S272" s="17"/>
      <c r="T272" s="17"/>
      <c r="U272" s="17"/>
      <c r="V272" s="11">
        <f t="shared" si="4"/>
        <v>961272</v>
      </c>
      <c r="W272" s="17"/>
      <c r="X272" s="9" t="s">
        <v>923</v>
      </c>
    </row>
    <row r="273" spans="1:24" ht="25.5" x14ac:dyDescent="0.25">
      <c r="A273" s="7" t="s">
        <v>16</v>
      </c>
      <c r="B273" s="8">
        <v>8470605</v>
      </c>
      <c r="C273" s="9" t="s">
        <v>367</v>
      </c>
      <c r="D273" s="10">
        <v>429900</v>
      </c>
      <c r="E273" s="9" t="s">
        <v>270</v>
      </c>
      <c r="F273" s="9" t="s">
        <v>372</v>
      </c>
      <c r="G273" s="12">
        <v>500000</v>
      </c>
      <c r="H273" s="13"/>
      <c r="I273" s="14"/>
      <c r="J273" s="15"/>
      <c r="K273" s="16">
        <v>500000</v>
      </c>
      <c r="L273" s="15"/>
      <c r="M273" s="14"/>
      <c r="N273" s="17"/>
      <c r="O273" s="17"/>
      <c r="P273" s="17"/>
      <c r="Q273" s="17"/>
      <c r="R273" s="17"/>
      <c r="S273" s="17"/>
      <c r="T273" s="17"/>
      <c r="U273" s="17"/>
      <c r="V273" s="11">
        <f t="shared" si="4"/>
        <v>500000</v>
      </c>
      <c r="W273" s="17"/>
      <c r="X273" s="9" t="s">
        <v>923</v>
      </c>
    </row>
    <row r="274" spans="1:24" ht="25.5" x14ac:dyDescent="0.25">
      <c r="A274" s="7" t="s">
        <v>16</v>
      </c>
      <c r="B274" s="8">
        <v>8470620</v>
      </c>
      <c r="C274" s="9" t="s">
        <v>373</v>
      </c>
      <c r="D274" s="184">
        <v>413310</v>
      </c>
      <c r="E274" s="50" t="s">
        <v>630</v>
      </c>
      <c r="F274" s="50" t="s">
        <v>636</v>
      </c>
      <c r="G274" s="177">
        <v>341524</v>
      </c>
      <c r="H274" s="185">
        <v>46500</v>
      </c>
      <c r="I274" s="178">
        <v>46500</v>
      </c>
      <c r="J274" s="177"/>
      <c r="K274" s="178">
        <f>G274-H274-I274-J274</f>
        <v>248524</v>
      </c>
      <c r="L274" s="177">
        <v>0</v>
      </c>
      <c r="M274" s="178">
        <v>0</v>
      </c>
      <c r="N274" s="179">
        <v>0</v>
      </c>
      <c r="O274" s="179">
        <v>0</v>
      </c>
      <c r="P274" s="179">
        <v>0</v>
      </c>
      <c r="Q274" s="179">
        <v>0</v>
      </c>
      <c r="R274" s="179">
        <v>0</v>
      </c>
      <c r="S274" s="179">
        <v>0</v>
      </c>
      <c r="T274" s="179">
        <v>0</v>
      </c>
      <c r="U274" s="138"/>
      <c r="V274" s="11">
        <f t="shared" si="4"/>
        <v>248524</v>
      </c>
      <c r="W274" s="138" t="s">
        <v>853</v>
      </c>
      <c r="X274" s="9" t="s">
        <v>922</v>
      </c>
    </row>
    <row r="275" spans="1:24" ht="76.5" x14ac:dyDescent="0.25">
      <c r="A275" s="7" t="s">
        <v>16</v>
      </c>
      <c r="B275" s="8">
        <v>8470620</v>
      </c>
      <c r="C275" s="9" t="s">
        <v>373</v>
      </c>
      <c r="D275" s="10">
        <v>420130</v>
      </c>
      <c r="E275" s="9" t="s">
        <v>374</v>
      </c>
      <c r="F275" s="9" t="s">
        <v>375</v>
      </c>
      <c r="G275" s="12">
        <v>383200</v>
      </c>
      <c r="H275" s="18">
        <v>0</v>
      </c>
      <c r="I275" s="14"/>
      <c r="J275" s="15"/>
      <c r="K275" s="16">
        <v>383200</v>
      </c>
      <c r="L275" s="177"/>
      <c r="M275" s="178">
        <f>90900+50500+60600</f>
        <v>202000</v>
      </c>
      <c r="N275" s="179"/>
      <c r="O275" s="179"/>
      <c r="P275" s="179">
        <v>35350</v>
      </c>
      <c r="Q275" s="179"/>
      <c r="R275" s="179"/>
      <c r="S275" s="179"/>
      <c r="T275" s="179">
        <f>141400/2</f>
        <v>70700</v>
      </c>
      <c r="U275" s="180" t="s">
        <v>850</v>
      </c>
      <c r="V275" s="11">
        <f t="shared" si="4"/>
        <v>75150</v>
      </c>
      <c r="W275" s="138" t="s">
        <v>854</v>
      </c>
      <c r="X275" s="9" t="s">
        <v>922</v>
      </c>
    </row>
    <row r="276" spans="1:24" ht="89.25" x14ac:dyDescent="0.25">
      <c r="A276" s="7" t="s">
        <v>16</v>
      </c>
      <c r="B276" s="8">
        <v>8470620</v>
      </c>
      <c r="C276" s="9" t="s">
        <v>373</v>
      </c>
      <c r="D276" s="10">
        <v>422900</v>
      </c>
      <c r="E276" s="9" t="s">
        <v>376</v>
      </c>
      <c r="F276" s="9" t="s">
        <v>377</v>
      </c>
      <c r="G276" s="12">
        <v>1119270</v>
      </c>
      <c r="H276" s="18">
        <v>306860</v>
      </c>
      <c r="I276" s="19">
        <v>-132860</v>
      </c>
      <c r="J276" s="12">
        <v>248860</v>
      </c>
      <c r="K276" s="16">
        <v>696410</v>
      </c>
      <c r="L276" s="177"/>
      <c r="M276" s="178">
        <v>116000</v>
      </c>
      <c r="N276" s="179"/>
      <c r="O276" s="179"/>
      <c r="P276" s="179">
        <f>375000+95000</f>
        <v>470000</v>
      </c>
      <c r="Q276" s="179"/>
      <c r="R276" s="179"/>
      <c r="S276" s="179"/>
      <c r="T276" s="179"/>
      <c r="U276" s="181" t="s">
        <v>851</v>
      </c>
      <c r="V276" s="11">
        <f t="shared" si="4"/>
        <v>110410</v>
      </c>
      <c r="W276" s="138" t="s">
        <v>854</v>
      </c>
      <c r="X276" s="9" t="s">
        <v>922</v>
      </c>
    </row>
    <row r="277" spans="1:24" ht="25.5" x14ac:dyDescent="0.25">
      <c r="A277" s="7" t="s">
        <v>16</v>
      </c>
      <c r="B277" s="8">
        <v>8470620</v>
      </c>
      <c r="C277" s="9" t="s">
        <v>373</v>
      </c>
      <c r="D277" s="10">
        <v>425300</v>
      </c>
      <c r="E277" s="9" t="s">
        <v>378</v>
      </c>
      <c r="F277" s="9" t="s">
        <v>379</v>
      </c>
      <c r="G277" s="12">
        <v>537</v>
      </c>
      <c r="H277" s="18">
        <v>54.08</v>
      </c>
      <c r="I277" s="14"/>
      <c r="J277" s="15"/>
      <c r="K277" s="16">
        <v>482.92</v>
      </c>
      <c r="L277" s="182">
        <f>K277/9</f>
        <v>53.657777777777781</v>
      </c>
      <c r="M277" s="182">
        <v>53.657777777777781</v>
      </c>
      <c r="N277" s="182">
        <v>53.657777777777781</v>
      </c>
      <c r="O277" s="182">
        <v>53.657777777777781</v>
      </c>
      <c r="P277" s="182">
        <v>53.657777777777781</v>
      </c>
      <c r="Q277" s="182">
        <v>53.657777777777781</v>
      </c>
      <c r="R277" s="182">
        <v>53.657777777777781</v>
      </c>
      <c r="S277" s="182">
        <v>53.657777777777781</v>
      </c>
      <c r="T277" s="182">
        <v>53.657777777777781</v>
      </c>
      <c r="U277" s="138" t="s">
        <v>852</v>
      </c>
      <c r="V277" s="11">
        <f t="shared" si="4"/>
        <v>7.1054273576010019E-14</v>
      </c>
      <c r="W277" s="17"/>
      <c r="X277" s="9" t="s">
        <v>922</v>
      </c>
    </row>
    <row r="278" spans="1:24" ht="25.5" x14ac:dyDescent="0.25">
      <c r="A278" s="7" t="s">
        <v>16</v>
      </c>
      <c r="B278" s="8">
        <v>8470620</v>
      </c>
      <c r="C278" s="9" t="s">
        <v>373</v>
      </c>
      <c r="D278" s="10">
        <v>425350</v>
      </c>
      <c r="E278" s="9" t="s">
        <v>380</v>
      </c>
      <c r="F278" s="9" t="s">
        <v>381</v>
      </c>
      <c r="G278" s="12">
        <v>96524</v>
      </c>
      <c r="H278" s="18">
        <v>34822.46</v>
      </c>
      <c r="I278" s="14"/>
      <c r="J278" s="15"/>
      <c r="K278" s="16">
        <v>61701.54</v>
      </c>
      <c r="L278" s="182">
        <f>H278/3</f>
        <v>11607.486666666666</v>
      </c>
      <c r="M278" s="178">
        <v>11607.486666666666</v>
      </c>
      <c r="N278" s="179">
        <v>11607.486666666666</v>
      </c>
      <c r="O278" s="179">
        <v>11607.486666666666</v>
      </c>
      <c r="P278" s="179">
        <v>11607.486666666666</v>
      </c>
      <c r="Q278" s="179">
        <v>11607.486666666666</v>
      </c>
      <c r="R278" s="179">
        <v>11607.486666666666</v>
      </c>
      <c r="S278" s="179">
        <v>11607.486666666666</v>
      </c>
      <c r="T278" s="179">
        <v>11607.486666666666</v>
      </c>
      <c r="U278" s="138" t="s">
        <v>852</v>
      </c>
      <c r="V278" s="11">
        <f t="shared" si="4"/>
        <v>-42765.839999999982</v>
      </c>
      <c r="W278" s="138" t="s">
        <v>855</v>
      </c>
      <c r="X278" s="9" t="s">
        <v>922</v>
      </c>
    </row>
    <row r="279" spans="1:24" ht="25.5" x14ac:dyDescent="0.25">
      <c r="A279" s="7" t="s">
        <v>16</v>
      </c>
      <c r="B279" s="8">
        <v>8470620</v>
      </c>
      <c r="C279" s="9" t="s">
        <v>373</v>
      </c>
      <c r="D279" s="10">
        <v>425900</v>
      </c>
      <c r="E279" s="9" t="s">
        <v>24</v>
      </c>
      <c r="F279" s="9" t="s">
        <v>382</v>
      </c>
      <c r="G279" s="12">
        <v>2176</v>
      </c>
      <c r="H279" s="13"/>
      <c r="I279" s="14"/>
      <c r="J279" s="15"/>
      <c r="K279" s="16">
        <v>2176</v>
      </c>
      <c r="L279" s="182"/>
      <c r="M279" s="183"/>
      <c r="N279" s="96"/>
      <c r="O279" s="96"/>
      <c r="P279" s="96"/>
      <c r="Q279" s="96"/>
      <c r="R279" s="96"/>
      <c r="S279" s="96"/>
      <c r="T279" s="96"/>
      <c r="U279" s="138"/>
      <c r="V279" s="11">
        <f t="shared" si="4"/>
        <v>2176</v>
      </c>
      <c r="W279" s="138" t="s">
        <v>856</v>
      </c>
      <c r="X279" s="9" t="s">
        <v>922</v>
      </c>
    </row>
    <row r="280" spans="1:24" ht="25.5" x14ac:dyDescent="0.25">
      <c r="A280" s="7" t="s">
        <v>16</v>
      </c>
      <c r="B280" s="8">
        <v>8470620</v>
      </c>
      <c r="C280" s="9" t="s">
        <v>373</v>
      </c>
      <c r="D280" s="10">
        <v>426610</v>
      </c>
      <c r="E280" s="9" t="s">
        <v>39</v>
      </c>
      <c r="F280" s="9" t="s">
        <v>383</v>
      </c>
      <c r="G280" s="12">
        <v>34280</v>
      </c>
      <c r="H280" s="13"/>
      <c r="I280" s="19">
        <v>0</v>
      </c>
      <c r="J280" s="12">
        <v>31680</v>
      </c>
      <c r="K280" s="16">
        <v>2600</v>
      </c>
      <c r="L280" s="15"/>
      <c r="M280" s="14"/>
      <c r="N280" s="17"/>
      <c r="O280" s="17"/>
      <c r="P280" s="17"/>
      <c r="Q280" s="17"/>
      <c r="R280" s="17"/>
      <c r="S280" s="17"/>
      <c r="T280" s="17"/>
      <c r="U280" s="17"/>
      <c r="V280" s="11">
        <f t="shared" si="4"/>
        <v>2600</v>
      </c>
      <c r="W280" s="138" t="s">
        <v>857</v>
      </c>
      <c r="X280" s="9" t="s">
        <v>922</v>
      </c>
    </row>
    <row r="281" spans="1:24" ht="25.5" x14ac:dyDescent="0.25">
      <c r="A281" s="7" t="s">
        <v>16</v>
      </c>
      <c r="B281" s="8">
        <v>8470720</v>
      </c>
      <c r="C281" s="9" t="s">
        <v>384</v>
      </c>
      <c r="D281" s="10">
        <v>421000</v>
      </c>
      <c r="E281" s="9" t="s">
        <v>34</v>
      </c>
      <c r="F281" s="9" t="s">
        <v>385</v>
      </c>
      <c r="G281" s="12">
        <v>300000</v>
      </c>
      <c r="H281" s="13"/>
      <c r="I281" s="19">
        <v>300000</v>
      </c>
      <c r="J281" s="15"/>
      <c r="K281" s="16">
        <v>0</v>
      </c>
      <c r="L281" s="55"/>
      <c r="M281" s="54"/>
      <c r="N281" s="57"/>
      <c r="O281" s="57"/>
      <c r="P281" s="57"/>
      <c r="Q281" s="57"/>
      <c r="R281" s="57"/>
      <c r="S281" s="57"/>
      <c r="T281" s="57"/>
      <c r="U281" s="50" t="s">
        <v>841</v>
      </c>
      <c r="V281" s="11">
        <f t="shared" si="4"/>
        <v>0</v>
      </c>
      <c r="W281" s="17"/>
      <c r="X281" s="9" t="s">
        <v>922</v>
      </c>
    </row>
    <row r="282" spans="1:24" ht="25.5" x14ac:dyDescent="0.25">
      <c r="A282" s="7" t="s">
        <v>16</v>
      </c>
      <c r="B282" s="8">
        <v>8470720</v>
      </c>
      <c r="C282" s="9" t="s">
        <v>384</v>
      </c>
      <c r="D282" s="10">
        <v>421700</v>
      </c>
      <c r="E282" s="9" t="s">
        <v>36</v>
      </c>
      <c r="F282" s="9" t="s">
        <v>386</v>
      </c>
      <c r="G282" s="12">
        <v>10000</v>
      </c>
      <c r="H282" s="13"/>
      <c r="I282" s="14"/>
      <c r="J282" s="15"/>
      <c r="K282" s="16">
        <v>10000</v>
      </c>
      <c r="L282" s="55"/>
      <c r="M282" s="54"/>
      <c r="N282" s="57"/>
      <c r="O282" s="57"/>
      <c r="P282" s="57"/>
      <c r="Q282" s="57"/>
      <c r="R282" s="57"/>
      <c r="S282" s="57">
        <v>10000</v>
      </c>
      <c r="T282" s="57"/>
      <c r="U282" s="50" t="s">
        <v>842</v>
      </c>
      <c r="V282" s="11">
        <f t="shared" si="4"/>
        <v>0</v>
      </c>
      <c r="W282" s="17"/>
      <c r="X282" s="9" t="s">
        <v>922</v>
      </c>
    </row>
    <row r="283" spans="1:24" ht="25.5" x14ac:dyDescent="0.25">
      <c r="A283" s="7" t="s">
        <v>16</v>
      </c>
      <c r="B283" s="8">
        <v>8470720</v>
      </c>
      <c r="C283" s="9" t="s">
        <v>384</v>
      </c>
      <c r="D283" s="10">
        <v>422900</v>
      </c>
      <c r="E283" s="9" t="s">
        <v>376</v>
      </c>
      <c r="F283" s="9" t="s">
        <v>387</v>
      </c>
      <c r="G283" s="12">
        <v>0</v>
      </c>
      <c r="H283" s="13"/>
      <c r="I283" s="14"/>
      <c r="J283" s="15"/>
      <c r="K283" s="16">
        <v>0</v>
      </c>
      <c r="L283" s="55"/>
      <c r="M283" s="54"/>
      <c r="N283" s="57"/>
      <c r="O283" s="57"/>
      <c r="P283" s="57"/>
      <c r="Q283" s="57"/>
      <c r="R283" s="57"/>
      <c r="S283" s="57"/>
      <c r="T283" s="57"/>
      <c r="U283" s="50"/>
      <c r="V283" s="11">
        <f t="shared" si="4"/>
        <v>0</v>
      </c>
      <c r="W283" s="17"/>
      <c r="X283" s="9" t="s">
        <v>922</v>
      </c>
    </row>
    <row r="284" spans="1:24" ht="25.5" x14ac:dyDescent="0.25">
      <c r="A284" s="7" t="s">
        <v>16</v>
      </c>
      <c r="B284" s="8">
        <v>8470720</v>
      </c>
      <c r="C284" s="9" t="s">
        <v>384</v>
      </c>
      <c r="D284" s="10">
        <v>425900</v>
      </c>
      <c r="E284" s="9" t="s">
        <v>24</v>
      </c>
      <c r="F284" s="9" t="s">
        <v>388</v>
      </c>
      <c r="G284" s="12">
        <v>20000</v>
      </c>
      <c r="H284" s="18">
        <v>13125</v>
      </c>
      <c r="I284" s="14"/>
      <c r="J284" s="15"/>
      <c r="K284" s="16">
        <v>6875</v>
      </c>
      <c r="L284" s="55"/>
      <c r="M284" s="54"/>
      <c r="N284" s="57"/>
      <c r="O284" s="57">
        <v>3000</v>
      </c>
      <c r="P284" s="57"/>
      <c r="Q284" s="57"/>
      <c r="R284" s="57">
        <v>3875</v>
      </c>
      <c r="S284" s="57"/>
      <c r="T284" s="57"/>
      <c r="U284" s="50" t="s">
        <v>843</v>
      </c>
      <c r="V284" s="11">
        <f t="shared" si="4"/>
        <v>0</v>
      </c>
      <c r="W284" s="17"/>
      <c r="X284" s="9" t="s">
        <v>922</v>
      </c>
    </row>
    <row r="285" spans="1:24" ht="25.5" x14ac:dyDescent="0.25">
      <c r="A285" s="7" t="s">
        <v>16</v>
      </c>
      <c r="B285" s="8">
        <v>8470720</v>
      </c>
      <c r="C285" s="9" t="s">
        <v>384</v>
      </c>
      <c r="D285" s="10">
        <v>426610</v>
      </c>
      <c r="E285" s="9" t="s">
        <v>39</v>
      </c>
      <c r="F285" s="9" t="s">
        <v>389</v>
      </c>
      <c r="G285" s="12">
        <v>5000</v>
      </c>
      <c r="H285" s="13"/>
      <c r="I285" s="14"/>
      <c r="J285" s="15"/>
      <c r="K285" s="16">
        <v>5000</v>
      </c>
      <c r="L285" s="55"/>
      <c r="M285" s="54"/>
      <c r="N285" s="57"/>
      <c r="O285" s="57"/>
      <c r="P285" s="57">
        <v>5000</v>
      </c>
      <c r="Q285" s="57"/>
      <c r="R285" s="57"/>
      <c r="S285" s="57"/>
      <c r="T285" s="57"/>
      <c r="U285" s="50" t="s">
        <v>844</v>
      </c>
      <c r="V285" s="11">
        <f t="shared" si="4"/>
        <v>0</v>
      </c>
      <c r="W285" s="17"/>
      <c r="X285" s="9" t="s">
        <v>922</v>
      </c>
    </row>
    <row r="286" spans="1:24" ht="25.5" x14ac:dyDescent="0.25">
      <c r="A286" s="7" t="s">
        <v>16</v>
      </c>
      <c r="B286" s="8">
        <v>8470720</v>
      </c>
      <c r="C286" s="9" t="s">
        <v>384</v>
      </c>
      <c r="D286" s="10">
        <v>426900</v>
      </c>
      <c r="E286" s="9" t="s">
        <v>328</v>
      </c>
      <c r="F286" s="9" t="s">
        <v>390</v>
      </c>
      <c r="G286" s="12">
        <v>10000</v>
      </c>
      <c r="H286" s="18">
        <v>1855.53</v>
      </c>
      <c r="I286" s="14"/>
      <c r="J286" s="15"/>
      <c r="K286" s="16">
        <v>8160.47</v>
      </c>
      <c r="L286" s="55">
        <v>500</v>
      </c>
      <c r="M286" s="54">
        <v>500</v>
      </c>
      <c r="N286" s="57">
        <v>500</v>
      </c>
      <c r="O286" s="57">
        <v>500</v>
      </c>
      <c r="P286" s="57">
        <v>500</v>
      </c>
      <c r="Q286" s="57">
        <v>500</v>
      </c>
      <c r="R286" s="57">
        <v>1500</v>
      </c>
      <c r="S286" s="57">
        <v>2000</v>
      </c>
      <c r="T286" s="57">
        <v>1660</v>
      </c>
      <c r="U286" s="50" t="s">
        <v>845</v>
      </c>
      <c r="V286" s="11">
        <f t="shared" si="4"/>
        <v>0.47000000000025466</v>
      </c>
      <c r="W286" s="17"/>
      <c r="X286" s="9" t="s">
        <v>922</v>
      </c>
    </row>
    <row r="287" spans="1:24" ht="25.5" x14ac:dyDescent="0.25">
      <c r="A287" s="7" t="s">
        <v>16</v>
      </c>
      <c r="B287" s="8">
        <v>8470720</v>
      </c>
      <c r="C287" s="9" t="s">
        <v>384</v>
      </c>
      <c r="D287" s="10">
        <v>428090</v>
      </c>
      <c r="E287" s="9" t="s">
        <v>26</v>
      </c>
      <c r="F287" s="9" t="s">
        <v>391</v>
      </c>
      <c r="G287" s="12">
        <v>100000</v>
      </c>
      <c r="H287" s="13"/>
      <c r="I287" s="14"/>
      <c r="J287" s="15"/>
      <c r="K287" s="16">
        <v>100000</v>
      </c>
      <c r="L287" s="55">
        <v>100000</v>
      </c>
      <c r="M287" s="54"/>
      <c r="N287" s="57"/>
      <c r="O287" s="57"/>
      <c r="P287" s="57"/>
      <c r="Q287" s="57"/>
      <c r="R287" s="57"/>
      <c r="S287" s="57"/>
      <c r="T287" s="57"/>
      <c r="U287" s="50" t="s">
        <v>846</v>
      </c>
      <c r="V287" s="11">
        <f t="shared" si="4"/>
        <v>0</v>
      </c>
      <c r="W287" s="17"/>
      <c r="X287" s="9" t="s">
        <v>922</v>
      </c>
    </row>
    <row r="288" spans="1:24" ht="25.5" x14ac:dyDescent="0.25">
      <c r="A288" s="7" t="s">
        <v>16</v>
      </c>
      <c r="B288" s="8">
        <v>8470720</v>
      </c>
      <c r="C288" s="9" t="s">
        <v>384</v>
      </c>
      <c r="D288" s="10">
        <v>428200</v>
      </c>
      <c r="E288" s="9" t="s">
        <v>309</v>
      </c>
      <c r="F288" s="9" t="s">
        <v>392</v>
      </c>
      <c r="G288" s="12">
        <v>300000</v>
      </c>
      <c r="H288" s="18">
        <v>95642</v>
      </c>
      <c r="I288" s="19">
        <v>11148.2</v>
      </c>
      <c r="J288" s="12">
        <v>0</v>
      </c>
      <c r="K288" s="16">
        <v>193209.8</v>
      </c>
      <c r="L288" s="55"/>
      <c r="M288" s="54">
        <v>20000</v>
      </c>
      <c r="N288" s="57">
        <v>20000</v>
      </c>
      <c r="O288" s="57">
        <v>25000</v>
      </c>
      <c r="P288" s="57">
        <v>20000</v>
      </c>
      <c r="Q288" s="57">
        <v>35000</v>
      </c>
      <c r="R288" s="57">
        <v>20000</v>
      </c>
      <c r="S288" s="57">
        <v>30000</v>
      </c>
      <c r="T288" s="57">
        <v>23210</v>
      </c>
      <c r="U288" s="50" t="s">
        <v>847</v>
      </c>
      <c r="V288" s="11">
        <f t="shared" si="4"/>
        <v>-0.20000000001164153</v>
      </c>
      <c r="W288" s="17"/>
      <c r="X288" s="9" t="s">
        <v>922</v>
      </c>
    </row>
    <row r="289" spans="1:24" ht="25.5" x14ac:dyDescent="0.25">
      <c r="A289" s="7" t="s">
        <v>16</v>
      </c>
      <c r="B289" s="8">
        <v>8470720</v>
      </c>
      <c r="C289" s="9" t="s">
        <v>384</v>
      </c>
      <c r="D289" s="10">
        <v>428640</v>
      </c>
      <c r="E289" s="9" t="s">
        <v>59</v>
      </c>
      <c r="F289" s="9" t="s">
        <v>393</v>
      </c>
      <c r="G289" s="15"/>
      <c r="H289" s="18">
        <v>0</v>
      </c>
      <c r="I289" s="14"/>
      <c r="J289" s="15"/>
      <c r="K289" s="16">
        <v>0</v>
      </c>
      <c r="L289" s="55"/>
      <c r="M289" s="54"/>
      <c r="N289" s="57"/>
      <c r="O289" s="57"/>
      <c r="P289" s="57"/>
      <c r="Q289" s="57"/>
      <c r="R289" s="57"/>
      <c r="S289" s="57"/>
      <c r="T289" s="57"/>
      <c r="U289" s="50"/>
      <c r="V289" s="11">
        <f t="shared" si="4"/>
        <v>0</v>
      </c>
      <c r="W289" s="17"/>
      <c r="X289" s="9" t="s">
        <v>922</v>
      </c>
    </row>
    <row r="290" spans="1:24" ht="25.5" x14ac:dyDescent="0.25">
      <c r="A290" s="7" t="s">
        <v>16</v>
      </c>
      <c r="B290" s="8">
        <v>8470720</v>
      </c>
      <c r="C290" s="9" t="s">
        <v>384</v>
      </c>
      <c r="D290" s="10">
        <v>435410</v>
      </c>
      <c r="E290" s="9" t="s">
        <v>344</v>
      </c>
      <c r="F290" s="9" t="s">
        <v>394</v>
      </c>
      <c r="G290" s="12">
        <v>450</v>
      </c>
      <c r="H290" s="13"/>
      <c r="I290" s="14"/>
      <c r="J290" s="15"/>
      <c r="K290" s="16">
        <v>450</v>
      </c>
      <c r="L290" s="55"/>
      <c r="M290" s="54"/>
      <c r="N290" s="57"/>
      <c r="O290" s="57"/>
      <c r="P290" s="57">
        <v>450</v>
      </c>
      <c r="Q290" s="57"/>
      <c r="R290" s="57"/>
      <c r="S290" s="57"/>
      <c r="T290" s="57"/>
      <c r="U290" s="50"/>
      <c r="V290" s="11">
        <f t="shared" si="4"/>
        <v>0</v>
      </c>
      <c r="W290" s="17"/>
      <c r="X290" s="9" t="s">
        <v>922</v>
      </c>
    </row>
    <row r="291" spans="1:24" ht="25.5" x14ac:dyDescent="0.25">
      <c r="A291" s="7" t="s">
        <v>16</v>
      </c>
      <c r="B291" s="8">
        <v>8470720</v>
      </c>
      <c r="C291" s="9" t="s">
        <v>384</v>
      </c>
      <c r="D291" s="10">
        <v>436110</v>
      </c>
      <c r="E291" s="9" t="s">
        <v>158</v>
      </c>
      <c r="F291" s="9" t="s">
        <v>395</v>
      </c>
      <c r="G291" s="12">
        <v>25000</v>
      </c>
      <c r="H291" s="13"/>
      <c r="I291" s="14"/>
      <c r="J291" s="15"/>
      <c r="K291" s="16">
        <v>25000</v>
      </c>
      <c r="L291" s="55">
        <v>2000</v>
      </c>
      <c r="M291" s="54"/>
      <c r="N291" s="57">
        <v>5000</v>
      </c>
      <c r="O291" s="57"/>
      <c r="P291" s="57">
        <v>3000</v>
      </c>
      <c r="Q291" s="57">
        <v>10000</v>
      </c>
      <c r="R291" s="57"/>
      <c r="S291" s="57"/>
      <c r="T291" s="57">
        <v>5000</v>
      </c>
      <c r="U291" s="50" t="s">
        <v>848</v>
      </c>
      <c r="V291" s="11">
        <f t="shared" si="4"/>
        <v>0</v>
      </c>
      <c r="W291" s="17"/>
      <c r="X291" s="9" t="s">
        <v>922</v>
      </c>
    </row>
    <row r="292" spans="1:24" ht="25.5" x14ac:dyDescent="0.25">
      <c r="A292" s="7" t="s">
        <v>16</v>
      </c>
      <c r="B292" s="8">
        <v>8470720</v>
      </c>
      <c r="C292" s="9" t="s">
        <v>384</v>
      </c>
      <c r="D292" s="10">
        <v>436120</v>
      </c>
      <c r="E292" s="9" t="s">
        <v>396</v>
      </c>
      <c r="F292" s="9" t="s">
        <v>397</v>
      </c>
      <c r="G292" s="12">
        <v>168681</v>
      </c>
      <c r="H292" s="18">
        <v>13850</v>
      </c>
      <c r="I292" s="19">
        <v>0</v>
      </c>
      <c r="J292" s="12">
        <v>17604.599999999999</v>
      </c>
      <c r="K292" s="16">
        <v>137226.4</v>
      </c>
      <c r="L292" s="55">
        <v>5000</v>
      </c>
      <c r="M292" s="54">
        <v>30000</v>
      </c>
      <c r="N292" s="57">
        <v>5000</v>
      </c>
      <c r="O292" s="57">
        <v>20000</v>
      </c>
      <c r="P292" s="57">
        <v>5000</v>
      </c>
      <c r="Q292" s="57">
        <v>30000</v>
      </c>
      <c r="R292" s="57">
        <v>5000</v>
      </c>
      <c r="S292" s="57">
        <v>10000</v>
      </c>
      <c r="T292" s="57">
        <v>27226</v>
      </c>
      <c r="U292" s="50" t="s">
        <v>849</v>
      </c>
      <c r="V292" s="11">
        <f t="shared" si="4"/>
        <v>0.39999999999417923</v>
      </c>
      <c r="W292" s="17"/>
      <c r="X292" s="9" t="s">
        <v>922</v>
      </c>
    </row>
    <row r="293" spans="1:24" ht="25.5" x14ac:dyDescent="0.25">
      <c r="A293" s="7" t="s">
        <v>16</v>
      </c>
      <c r="B293" s="8">
        <v>8470730</v>
      </c>
      <c r="C293" s="9" t="s">
        <v>398</v>
      </c>
      <c r="D293" s="10">
        <v>421000</v>
      </c>
      <c r="E293" s="9" t="s">
        <v>34</v>
      </c>
      <c r="F293" s="9" t="s">
        <v>399</v>
      </c>
      <c r="G293" s="12">
        <v>132579</v>
      </c>
      <c r="H293" s="18">
        <v>175272.73</v>
      </c>
      <c r="I293" s="19">
        <v>-132578.07</v>
      </c>
      <c r="J293" s="12">
        <v>89883.41</v>
      </c>
      <c r="K293" s="16">
        <v>0.92999999999301497</v>
      </c>
      <c r="L293" s="92">
        <v>100000</v>
      </c>
      <c r="M293" s="92">
        <v>0</v>
      </c>
      <c r="N293" s="92"/>
      <c r="O293" s="92"/>
      <c r="P293" s="92"/>
      <c r="Q293" s="92"/>
      <c r="R293" s="92"/>
      <c r="S293" s="92"/>
      <c r="T293" s="92"/>
      <c r="U293" s="92"/>
      <c r="V293" s="11">
        <f t="shared" si="4"/>
        <v>-99999.07</v>
      </c>
      <c r="W293" s="17"/>
      <c r="X293" s="9" t="s">
        <v>922</v>
      </c>
    </row>
    <row r="294" spans="1:24" ht="25.5" x14ac:dyDescent="0.25">
      <c r="A294" s="7" t="s">
        <v>16</v>
      </c>
      <c r="B294" s="8">
        <v>8470730</v>
      </c>
      <c r="C294" s="9" t="s">
        <v>398</v>
      </c>
      <c r="D294" s="10">
        <v>425900</v>
      </c>
      <c r="E294" s="9" t="s">
        <v>24</v>
      </c>
      <c r="F294" s="9" t="s">
        <v>400</v>
      </c>
      <c r="G294" s="12">
        <v>12770</v>
      </c>
      <c r="H294" s="18">
        <v>7140</v>
      </c>
      <c r="I294" s="19">
        <v>-7140</v>
      </c>
      <c r="J294" s="12">
        <v>7140</v>
      </c>
      <c r="K294" s="16">
        <v>5630</v>
      </c>
      <c r="L294" s="92"/>
      <c r="M294" s="92">
        <v>0</v>
      </c>
      <c r="N294" s="92"/>
      <c r="O294" s="92"/>
      <c r="P294" s="92"/>
      <c r="Q294" s="92"/>
      <c r="R294" s="92"/>
      <c r="S294" s="92"/>
      <c r="T294" s="92"/>
      <c r="U294" s="92"/>
      <c r="V294" s="11">
        <f t="shared" si="4"/>
        <v>5630</v>
      </c>
      <c r="W294" s="17"/>
      <c r="X294" s="9" t="s">
        <v>922</v>
      </c>
    </row>
    <row r="295" spans="1:24" ht="25.5" x14ac:dyDescent="0.25">
      <c r="A295" s="7" t="s">
        <v>16</v>
      </c>
      <c r="B295" s="8">
        <v>8470730</v>
      </c>
      <c r="C295" s="9" t="s">
        <v>398</v>
      </c>
      <c r="D295" s="10">
        <v>426610</v>
      </c>
      <c r="E295" s="9" t="s">
        <v>39</v>
      </c>
      <c r="F295" s="9" t="s">
        <v>401</v>
      </c>
      <c r="G295" s="12">
        <v>80274</v>
      </c>
      <c r="H295" s="18">
        <v>17850</v>
      </c>
      <c r="I295" s="19">
        <v>-17850</v>
      </c>
      <c r="J295" s="12">
        <v>18000</v>
      </c>
      <c r="K295" s="16">
        <v>62274</v>
      </c>
      <c r="L295" s="92"/>
      <c r="M295" s="92">
        <v>49000</v>
      </c>
      <c r="N295" s="92"/>
      <c r="O295" s="92"/>
      <c r="P295" s="92">
        <v>50000</v>
      </c>
      <c r="Q295" s="92"/>
      <c r="R295" s="92"/>
      <c r="S295" s="92">
        <v>50000</v>
      </c>
      <c r="T295" s="92"/>
      <c r="U295" s="92" t="s">
        <v>826</v>
      </c>
      <c r="V295" s="11">
        <f t="shared" si="4"/>
        <v>-86726</v>
      </c>
      <c r="W295" s="17"/>
      <c r="X295" s="9" t="s">
        <v>922</v>
      </c>
    </row>
    <row r="296" spans="1:24" ht="25.5" x14ac:dyDescent="0.25">
      <c r="A296" s="7" t="s">
        <v>16</v>
      </c>
      <c r="B296" s="8">
        <v>8470730</v>
      </c>
      <c r="C296" s="9" t="s">
        <v>398</v>
      </c>
      <c r="D296" s="10">
        <v>428090</v>
      </c>
      <c r="E296" s="9" t="s">
        <v>26</v>
      </c>
      <c r="F296" s="9" t="s">
        <v>402</v>
      </c>
      <c r="G296" s="12">
        <v>0</v>
      </c>
      <c r="H296" s="13"/>
      <c r="I296" s="14"/>
      <c r="J296" s="15"/>
      <c r="K296" s="16">
        <v>0</v>
      </c>
      <c r="L296" s="92"/>
      <c r="M296" s="92">
        <v>0</v>
      </c>
      <c r="N296" s="92"/>
      <c r="O296" s="92"/>
      <c r="P296" s="92"/>
      <c r="Q296" s="92"/>
      <c r="R296" s="92"/>
      <c r="S296" s="92"/>
      <c r="T296" s="92"/>
      <c r="U296" s="92"/>
      <c r="V296" s="11">
        <f t="shared" si="4"/>
        <v>0</v>
      </c>
      <c r="W296" s="17"/>
      <c r="X296" s="9" t="s">
        <v>922</v>
      </c>
    </row>
    <row r="297" spans="1:24" ht="25.5" x14ac:dyDescent="0.25">
      <c r="A297" s="7" t="s">
        <v>16</v>
      </c>
      <c r="B297" s="8">
        <v>8470730</v>
      </c>
      <c r="C297" s="9" t="s">
        <v>398</v>
      </c>
      <c r="D297" s="10">
        <v>428640</v>
      </c>
      <c r="E297" s="9" t="s">
        <v>59</v>
      </c>
      <c r="F297" s="9" t="s">
        <v>403</v>
      </c>
      <c r="G297" s="12">
        <v>415288</v>
      </c>
      <c r="H297" s="18">
        <v>431157.5</v>
      </c>
      <c r="I297" s="19">
        <v>-23100</v>
      </c>
      <c r="J297" s="12">
        <v>0</v>
      </c>
      <c r="K297" s="16">
        <v>7230.5</v>
      </c>
      <c r="L297" s="92">
        <v>330000</v>
      </c>
      <c r="M297" s="92">
        <v>300000</v>
      </c>
      <c r="N297" s="92">
        <v>50000</v>
      </c>
      <c r="O297" s="92">
        <v>50000</v>
      </c>
      <c r="P297" s="92">
        <v>60000</v>
      </c>
      <c r="Q297" s="92"/>
      <c r="R297" s="92">
        <v>80000</v>
      </c>
      <c r="S297" s="92">
        <v>60000</v>
      </c>
      <c r="T297" s="92">
        <v>100000</v>
      </c>
      <c r="U297" s="92" t="s">
        <v>827</v>
      </c>
      <c r="V297" s="11">
        <f t="shared" si="4"/>
        <v>-1022769.5</v>
      </c>
      <c r="W297" s="17"/>
      <c r="X297" s="9" t="s">
        <v>922</v>
      </c>
    </row>
    <row r="298" spans="1:24" ht="25.5" x14ac:dyDescent="0.25">
      <c r="A298" s="7" t="s">
        <v>16</v>
      </c>
      <c r="B298" s="8">
        <v>8470730</v>
      </c>
      <c r="C298" s="9" t="s">
        <v>398</v>
      </c>
      <c r="D298" s="10">
        <v>436110</v>
      </c>
      <c r="E298" s="9" t="s">
        <v>158</v>
      </c>
      <c r="F298" s="9" t="s">
        <v>404</v>
      </c>
      <c r="G298" s="12">
        <v>51945</v>
      </c>
      <c r="H298" s="18">
        <v>41189</v>
      </c>
      <c r="I298" s="19">
        <v>-32875</v>
      </c>
      <c r="J298" s="12">
        <v>29600</v>
      </c>
      <c r="K298" s="16">
        <v>14031</v>
      </c>
      <c r="L298" s="92"/>
      <c r="M298" s="92">
        <v>0</v>
      </c>
      <c r="N298" s="92"/>
      <c r="O298" s="92"/>
      <c r="P298" s="92"/>
      <c r="Q298" s="92"/>
      <c r="R298" s="92"/>
      <c r="S298" s="92"/>
      <c r="T298" s="92"/>
      <c r="U298" s="92"/>
      <c r="V298" s="11">
        <f t="shared" si="4"/>
        <v>14031</v>
      </c>
      <c r="W298" s="17"/>
      <c r="X298" s="9" t="s">
        <v>922</v>
      </c>
    </row>
    <row r="299" spans="1:24" ht="25.5" x14ac:dyDescent="0.25">
      <c r="A299" s="166" t="s">
        <v>629</v>
      </c>
      <c r="B299" s="167">
        <v>8470810</v>
      </c>
      <c r="C299" s="166" t="s">
        <v>405</v>
      </c>
      <c r="D299" s="167">
        <v>413327</v>
      </c>
      <c r="E299" s="166" t="s">
        <v>631</v>
      </c>
      <c r="F299" s="166" t="s">
        <v>634</v>
      </c>
      <c r="G299" s="168">
        <v>22527124</v>
      </c>
      <c r="H299" s="168">
        <v>5435854.5899999999</v>
      </c>
      <c r="I299" s="168"/>
      <c r="J299" s="168"/>
      <c r="K299" s="168">
        <v>17091269.41</v>
      </c>
      <c r="L299" s="168">
        <f>K299/9</f>
        <v>1899029.9344444445</v>
      </c>
      <c r="M299" s="168">
        <f>L299</f>
        <v>1899029.9344444445</v>
      </c>
      <c r="N299" s="168">
        <f t="shared" ref="N299:T299" si="5">M299</f>
        <v>1899029.9344444445</v>
      </c>
      <c r="O299" s="168">
        <f t="shared" si="5"/>
        <v>1899029.9344444445</v>
      </c>
      <c r="P299" s="168">
        <f t="shared" si="5"/>
        <v>1899029.9344444445</v>
      </c>
      <c r="Q299" s="168">
        <f t="shared" si="5"/>
        <v>1899029.9344444445</v>
      </c>
      <c r="R299" s="168">
        <f t="shared" si="5"/>
        <v>1899029.9344444445</v>
      </c>
      <c r="S299" s="168">
        <f t="shared" si="5"/>
        <v>1899029.9344444445</v>
      </c>
      <c r="T299" s="168">
        <f t="shared" si="5"/>
        <v>1899029.9344444445</v>
      </c>
      <c r="U299" s="166" t="s">
        <v>809</v>
      </c>
      <c r="V299" s="11">
        <f t="shared" si="4"/>
        <v>0</v>
      </c>
      <c r="W299" s="17"/>
      <c r="X299" s="9" t="s">
        <v>922</v>
      </c>
    </row>
    <row r="300" spans="1:24" ht="25.5" x14ac:dyDescent="0.25">
      <c r="A300" s="166" t="s">
        <v>629</v>
      </c>
      <c r="B300" s="167">
        <v>8470810</v>
      </c>
      <c r="C300" s="166" t="s">
        <v>405</v>
      </c>
      <c r="D300" s="167">
        <v>413328</v>
      </c>
      <c r="E300" s="166" t="s">
        <v>632</v>
      </c>
      <c r="F300" s="166" t="s">
        <v>635</v>
      </c>
      <c r="G300" s="168">
        <v>8592473</v>
      </c>
      <c r="H300" s="168">
        <v>1447657.71</v>
      </c>
      <c r="I300" s="168">
        <v>-314467.03000000003</v>
      </c>
      <c r="J300" s="168">
        <v>5344986.34</v>
      </c>
      <c r="K300" s="168">
        <v>2114295.98</v>
      </c>
      <c r="L300" s="169">
        <f>1163000</f>
        <v>1163000</v>
      </c>
      <c r="M300" s="170">
        <f>219996</f>
        <v>219996</v>
      </c>
      <c r="N300" s="168"/>
      <c r="O300" s="168">
        <f>116300+615000</f>
        <v>731300</v>
      </c>
      <c r="P300" s="168"/>
      <c r="Q300" s="168"/>
      <c r="R300" s="168"/>
      <c r="S300" s="168"/>
      <c r="T300" s="168"/>
      <c r="U300" s="166" t="s">
        <v>810</v>
      </c>
      <c r="V300" s="11">
        <f t="shared" si="4"/>
        <v>-2.0000000018626451E-2</v>
      </c>
      <c r="W300" s="17"/>
      <c r="X300" s="9" t="s">
        <v>922</v>
      </c>
    </row>
    <row r="301" spans="1:24" ht="25.5" x14ac:dyDescent="0.25">
      <c r="A301" s="7" t="s">
        <v>16</v>
      </c>
      <c r="B301" s="8">
        <v>8470810</v>
      </c>
      <c r="C301" s="9" t="s">
        <v>405</v>
      </c>
      <c r="D301" s="10">
        <v>420811</v>
      </c>
      <c r="E301" s="9" t="s">
        <v>77</v>
      </c>
      <c r="F301" s="9" t="s">
        <v>406</v>
      </c>
      <c r="G301" s="12">
        <v>8100000</v>
      </c>
      <c r="H301" s="18">
        <v>7162262.5</v>
      </c>
      <c r="I301" s="14"/>
      <c r="J301" s="15"/>
      <c r="K301" s="16">
        <v>937737.5</v>
      </c>
      <c r="L301" s="168"/>
      <c r="M301" s="168"/>
      <c r="N301" s="168">
        <f>K301</f>
        <v>937737.5</v>
      </c>
      <c r="O301" s="168"/>
      <c r="P301" s="168"/>
      <c r="Q301" s="168"/>
      <c r="R301" s="168"/>
      <c r="S301" s="168"/>
      <c r="T301" s="168"/>
      <c r="U301" s="166" t="s">
        <v>811</v>
      </c>
      <c r="V301" s="11">
        <f t="shared" si="4"/>
        <v>0</v>
      </c>
      <c r="W301" s="17"/>
      <c r="X301" s="9" t="s">
        <v>922</v>
      </c>
    </row>
    <row r="302" spans="1:24" ht="51" x14ac:dyDescent="0.25">
      <c r="A302" s="7" t="s">
        <v>16</v>
      </c>
      <c r="B302" s="8">
        <v>8470810</v>
      </c>
      <c r="C302" s="9" t="s">
        <v>405</v>
      </c>
      <c r="D302" s="10">
        <v>421100</v>
      </c>
      <c r="E302" s="9" t="s">
        <v>347</v>
      </c>
      <c r="F302" s="9" t="s">
        <v>407</v>
      </c>
      <c r="G302" s="12">
        <v>563543</v>
      </c>
      <c r="H302" s="13"/>
      <c r="I302" s="14"/>
      <c r="J302" s="15"/>
      <c r="K302" s="16">
        <v>563543</v>
      </c>
      <c r="L302" s="168"/>
      <c r="M302" s="168"/>
      <c r="N302" s="168"/>
      <c r="O302" s="168"/>
      <c r="P302" s="168"/>
      <c r="Q302" s="168"/>
      <c r="R302" s="168"/>
      <c r="S302" s="168"/>
      <c r="T302" s="168"/>
      <c r="U302" s="171" t="s">
        <v>812</v>
      </c>
      <c r="V302" s="11">
        <f t="shared" si="4"/>
        <v>563543</v>
      </c>
      <c r="W302" s="166" t="s">
        <v>824</v>
      </c>
      <c r="X302" s="9" t="s">
        <v>922</v>
      </c>
    </row>
    <row r="303" spans="1:24" ht="25.5" x14ac:dyDescent="0.25">
      <c r="A303" s="7" t="s">
        <v>16</v>
      </c>
      <c r="B303" s="8">
        <v>8470810</v>
      </c>
      <c r="C303" s="9" t="s">
        <v>405</v>
      </c>
      <c r="D303" s="10">
        <v>425900</v>
      </c>
      <c r="E303" s="9" t="s">
        <v>24</v>
      </c>
      <c r="F303" s="9" t="s">
        <v>408</v>
      </c>
      <c r="G303" s="12">
        <v>20000</v>
      </c>
      <c r="H303" s="13"/>
      <c r="I303" s="14"/>
      <c r="J303" s="15"/>
      <c r="K303" s="16">
        <v>20000</v>
      </c>
      <c r="L303" s="168"/>
      <c r="M303" s="168"/>
      <c r="N303" s="168"/>
      <c r="O303" s="168">
        <v>10000</v>
      </c>
      <c r="P303" s="168"/>
      <c r="Q303" s="168">
        <v>10000</v>
      </c>
      <c r="R303" s="168"/>
      <c r="S303" s="168"/>
      <c r="T303" s="168"/>
      <c r="U303" s="166"/>
      <c r="V303" s="11">
        <f t="shared" si="4"/>
        <v>0</v>
      </c>
      <c r="W303" s="166"/>
      <c r="X303" s="9" t="s">
        <v>922</v>
      </c>
    </row>
    <row r="304" spans="1:24" ht="25.5" x14ac:dyDescent="0.25">
      <c r="A304" s="7" t="s">
        <v>16</v>
      </c>
      <c r="B304" s="8">
        <v>8470810</v>
      </c>
      <c r="C304" s="9" t="s">
        <v>405</v>
      </c>
      <c r="D304" s="10">
        <v>426610</v>
      </c>
      <c r="E304" s="9" t="s">
        <v>39</v>
      </c>
      <c r="F304" s="9" t="s">
        <v>409</v>
      </c>
      <c r="G304" s="12">
        <v>8959670</v>
      </c>
      <c r="H304" s="18">
        <v>228736.83</v>
      </c>
      <c r="I304" s="19">
        <v>4072384.16</v>
      </c>
      <c r="J304" s="12">
        <v>491049.06</v>
      </c>
      <c r="K304" s="16">
        <v>4167499.95</v>
      </c>
      <c r="L304" s="168">
        <v>1600000</v>
      </c>
      <c r="M304" s="168">
        <v>1800000</v>
      </c>
      <c r="N304" s="168">
        <v>600000</v>
      </c>
      <c r="O304" s="168">
        <v>167500</v>
      </c>
      <c r="P304" s="168"/>
      <c r="Q304" s="168"/>
      <c r="R304" s="168"/>
      <c r="S304" s="168"/>
      <c r="T304" s="168"/>
      <c r="U304" s="166" t="s">
        <v>813</v>
      </c>
      <c r="V304" s="11">
        <f t="shared" si="4"/>
        <v>-4.9999999813735485E-2</v>
      </c>
      <c r="W304" s="166"/>
      <c r="X304" s="9" t="s">
        <v>922</v>
      </c>
    </row>
    <row r="305" spans="1:24" ht="51" x14ac:dyDescent="0.25">
      <c r="A305" s="7" t="s">
        <v>16</v>
      </c>
      <c r="B305" s="8">
        <v>8470810</v>
      </c>
      <c r="C305" s="9" t="s">
        <v>405</v>
      </c>
      <c r="D305" s="10">
        <v>427810</v>
      </c>
      <c r="E305" s="9" t="s">
        <v>410</v>
      </c>
      <c r="F305" s="9" t="s">
        <v>411</v>
      </c>
      <c r="G305" s="12">
        <v>1552207</v>
      </c>
      <c r="H305" s="18">
        <v>131877.38</v>
      </c>
      <c r="I305" s="14"/>
      <c r="J305" s="15"/>
      <c r="K305" s="16">
        <v>1420329.62</v>
      </c>
      <c r="L305" s="168">
        <v>70000</v>
      </c>
      <c r="M305" s="168">
        <f>L305</f>
        <v>70000</v>
      </c>
      <c r="N305" s="168">
        <f t="shared" ref="N305:T306" si="6">M305</f>
        <v>70000</v>
      </c>
      <c r="O305" s="168">
        <f t="shared" si="6"/>
        <v>70000</v>
      </c>
      <c r="P305" s="168">
        <f t="shared" si="6"/>
        <v>70000</v>
      </c>
      <c r="Q305" s="168">
        <f t="shared" si="6"/>
        <v>70000</v>
      </c>
      <c r="R305" s="168">
        <f t="shared" si="6"/>
        <v>70000</v>
      </c>
      <c r="S305" s="168">
        <f t="shared" si="6"/>
        <v>70000</v>
      </c>
      <c r="T305" s="168">
        <f t="shared" si="6"/>
        <v>70000</v>
      </c>
      <c r="U305" s="166" t="s">
        <v>814</v>
      </c>
      <c r="V305" s="11">
        <f t="shared" si="4"/>
        <v>790329.62000000011</v>
      </c>
      <c r="W305" s="166" t="s">
        <v>825</v>
      </c>
      <c r="X305" s="9" t="s">
        <v>922</v>
      </c>
    </row>
    <row r="306" spans="1:24" ht="38.25" x14ac:dyDescent="0.25">
      <c r="A306" s="7" t="s">
        <v>16</v>
      </c>
      <c r="B306" s="8">
        <v>8470810</v>
      </c>
      <c r="C306" s="9" t="s">
        <v>405</v>
      </c>
      <c r="D306" s="10">
        <v>427850</v>
      </c>
      <c r="E306" s="9" t="s">
        <v>412</v>
      </c>
      <c r="F306" s="9" t="s">
        <v>413</v>
      </c>
      <c r="G306" s="12">
        <v>2078611</v>
      </c>
      <c r="H306" s="18">
        <v>521325.6</v>
      </c>
      <c r="I306" s="14"/>
      <c r="J306" s="15"/>
      <c r="K306" s="16">
        <v>1557285.4</v>
      </c>
      <c r="L306" s="168">
        <v>212000</v>
      </c>
      <c r="M306" s="168">
        <f>L306</f>
        <v>212000</v>
      </c>
      <c r="N306" s="168">
        <f t="shared" si="6"/>
        <v>212000</v>
      </c>
      <c r="O306" s="168">
        <f t="shared" si="6"/>
        <v>212000</v>
      </c>
      <c r="P306" s="168">
        <f t="shared" si="6"/>
        <v>212000</v>
      </c>
      <c r="Q306" s="168">
        <f t="shared" si="6"/>
        <v>212000</v>
      </c>
      <c r="R306" s="168">
        <f t="shared" si="6"/>
        <v>212000</v>
      </c>
      <c r="S306" s="168">
        <f t="shared" si="6"/>
        <v>212000</v>
      </c>
      <c r="T306" s="168">
        <f>S306</f>
        <v>212000</v>
      </c>
      <c r="U306" s="166" t="s">
        <v>815</v>
      </c>
      <c r="V306" s="11">
        <f t="shared" si="4"/>
        <v>-350714.60000000009</v>
      </c>
      <c r="W306" s="17"/>
      <c r="X306" s="9" t="s">
        <v>922</v>
      </c>
    </row>
    <row r="307" spans="1:24" ht="25.5" x14ac:dyDescent="0.25">
      <c r="A307" s="7" t="s">
        <v>16</v>
      </c>
      <c r="B307" s="8">
        <v>8470810</v>
      </c>
      <c r="C307" s="9" t="s">
        <v>405</v>
      </c>
      <c r="D307" s="10">
        <v>428090</v>
      </c>
      <c r="E307" s="9" t="s">
        <v>26</v>
      </c>
      <c r="F307" s="9" t="s">
        <v>414</v>
      </c>
      <c r="G307" s="12">
        <v>141460</v>
      </c>
      <c r="H307" s="18">
        <v>14650</v>
      </c>
      <c r="I307" s="14"/>
      <c r="J307" s="15"/>
      <c r="K307" s="16">
        <v>126810</v>
      </c>
      <c r="L307" s="168">
        <v>3000</v>
      </c>
      <c r="M307" s="168">
        <v>3000</v>
      </c>
      <c r="N307" s="168">
        <v>50000</v>
      </c>
      <c r="O307" s="168">
        <v>3000</v>
      </c>
      <c r="P307" s="168">
        <v>3000</v>
      </c>
      <c r="Q307" s="168">
        <v>50000</v>
      </c>
      <c r="R307" s="168">
        <v>5000</v>
      </c>
      <c r="S307" s="168">
        <v>5000</v>
      </c>
      <c r="T307" s="168">
        <v>4810</v>
      </c>
      <c r="U307" s="166" t="s">
        <v>816</v>
      </c>
      <c r="V307" s="11">
        <f t="shared" si="4"/>
        <v>0</v>
      </c>
      <c r="W307" s="17"/>
      <c r="X307" s="9" t="s">
        <v>922</v>
      </c>
    </row>
    <row r="308" spans="1:24" ht="25.5" x14ac:dyDescent="0.25">
      <c r="A308" s="7" t="s">
        <v>16</v>
      </c>
      <c r="B308" s="8">
        <v>8470810</v>
      </c>
      <c r="C308" s="9" t="s">
        <v>405</v>
      </c>
      <c r="D308" s="10">
        <v>430230</v>
      </c>
      <c r="E308" s="9" t="s">
        <v>415</v>
      </c>
      <c r="F308" s="9" t="s">
        <v>416</v>
      </c>
      <c r="G308" s="15"/>
      <c r="H308" s="18">
        <v>0</v>
      </c>
      <c r="I308" s="14"/>
      <c r="J308" s="15"/>
      <c r="K308" s="16">
        <v>0</v>
      </c>
      <c r="L308" s="168"/>
      <c r="M308" s="168"/>
      <c r="N308" s="168"/>
      <c r="O308" s="168"/>
      <c r="P308" s="168"/>
      <c r="Q308" s="168"/>
      <c r="R308" s="168"/>
      <c r="S308" s="168"/>
      <c r="T308" s="168"/>
      <c r="U308" s="166"/>
      <c r="V308" s="11">
        <f t="shared" si="4"/>
        <v>0</v>
      </c>
      <c r="W308" s="17"/>
      <c r="X308" s="9" t="s">
        <v>922</v>
      </c>
    </row>
    <row r="309" spans="1:24" ht="38.25" x14ac:dyDescent="0.25">
      <c r="A309" s="7" t="s">
        <v>16</v>
      </c>
      <c r="B309" s="8">
        <v>8470810</v>
      </c>
      <c r="C309" s="9" t="s">
        <v>405</v>
      </c>
      <c r="D309" s="10">
        <v>430250</v>
      </c>
      <c r="E309" s="9" t="s">
        <v>417</v>
      </c>
      <c r="F309" s="9" t="s">
        <v>418</v>
      </c>
      <c r="G309" s="12">
        <v>2018541</v>
      </c>
      <c r="H309" s="18">
        <v>505312.79</v>
      </c>
      <c r="I309" s="19">
        <v>1173021.4099999999</v>
      </c>
      <c r="J309" s="12">
        <v>340000</v>
      </c>
      <c r="K309" s="16">
        <v>206.80000000004699</v>
      </c>
      <c r="L309" s="168"/>
      <c r="M309" s="168"/>
      <c r="N309" s="168"/>
      <c r="O309" s="168"/>
      <c r="P309" s="168"/>
      <c r="Q309" s="168"/>
      <c r="R309" s="168"/>
      <c r="S309" s="168"/>
      <c r="T309" s="168"/>
      <c r="U309" s="166"/>
      <c r="V309" s="11">
        <f t="shared" si="4"/>
        <v>206.80000000004699</v>
      </c>
      <c r="W309" s="17"/>
      <c r="X309" s="9" t="s">
        <v>922</v>
      </c>
    </row>
    <row r="310" spans="1:24" ht="51" x14ac:dyDescent="0.25">
      <c r="A310" s="7" t="s">
        <v>16</v>
      </c>
      <c r="B310" s="8">
        <v>8470810</v>
      </c>
      <c r="C310" s="9" t="s">
        <v>405</v>
      </c>
      <c r="D310" s="10">
        <v>432205</v>
      </c>
      <c r="E310" s="9" t="s">
        <v>96</v>
      </c>
      <c r="F310" s="9" t="s">
        <v>419</v>
      </c>
      <c r="G310" s="12">
        <v>3655434</v>
      </c>
      <c r="H310" s="18">
        <v>2</v>
      </c>
      <c r="I310" s="19">
        <v>78485.759999999995</v>
      </c>
      <c r="J310" s="12">
        <v>2</v>
      </c>
      <c r="K310" s="16">
        <v>3576944.24</v>
      </c>
      <c r="L310" s="168">
        <v>2000000</v>
      </c>
      <c r="M310" s="168">
        <v>2000000</v>
      </c>
      <c r="N310" s="168">
        <v>200000</v>
      </c>
      <c r="O310" s="168">
        <v>200000</v>
      </c>
      <c r="P310" s="168">
        <v>50000</v>
      </c>
      <c r="Q310" s="168">
        <v>50000</v>
      </c>
      <c r="R310" s="168">
        <v>50000</v>
      </c>
      <c r="S310" s="168">
        <v>26944</v>
      </c>
      <c r="T310" s="168"/>
      <c r="U310" s="172" t="s">
        <v>817</v>
      </c>
      <c r="V310" s="11">
        <f t="shared" si="4"/>
        <v>-999999.75999999978</v>
      </c>
      <c r="W310" s="17"/>
      <c r="X310" s="9" t="s">
        <v>922</v>
      </c>
    </row>
    <row r="311" spans="1:24" ht="25.5" x14ac:dyDescent="0.25">
      <c r="A311" s="7" t="s">
        <v>16</v>
      </c>
      <c r="B311" s="8">
        <v>8470810</v>
      </c>
      <c r="C311" s="9" t="s">
        <v>405</v>
      </c>
      <c r="D311" s="10">
        <v>432226</v>
      </c>
      <c r="E311" s="9" t="s">
        <v>420</v>
      </c>
      <c r="F311" s="9" t="s">
        <v>421</v>
      </c>
      <c r="G311" s="12">
        <v>412000</v>
      </c>
      <c r="H311" s="18">
        <v>60900.77</v>
      </c>
      <c r="I311" s="19">
        <v>0</v>
      </c>
      <c r="J311" s="12">
        <v>325000</v>
      </c>
      <c r="K311" s="16">
        <v>26099.23</v>
      </c>
      <c r="L311" s="168">
        <v>26099</v>
      </c>
      <c r="M311" s="168"/>
      <c r="N311" s="168"/>
      <c r="O311" s="168"/>
      <c r="P311" s="168"/>
      <c r="Q311" s="168"/>
      <c r="R311" s="168"/>
      <c r="S311" s="168"/>
      <c r="T311" s="168"/>
      <c r="U311" s="166" t="s">
        <v>818</v>
      </c>
      <c r="V311" s="11">
        <f t="shared" si="4"/>
        <v>0.22999999999956344</v>
      </c>
      <c r="W311" s="17"/>
      <c r="X311" s="9" t="s">
        <v>922</v>
      </c>
    </row>
    <row r="312" spans="1:24" ht="25.5" x14ac:dyDescent="0.25">
      <c r="A312" s="7" t="s">
        <v>16</v>
      </c>
      <c r="B312" s="8">
        <v>8470910</v>
      </c>
      <c r="C312" s="9" t="s">
        <v>422</v>
      </c>
      <c r="D312" s="10">
        <v>425900</v>
      </c>
      <c r="E312" s="9" t="s">
        <v>24</v>
      </c>
      <c r="F312" s="9" t="s">
        <v>423</v>
      </c>
      <c r="G312" s="12">
        <v>30000</v>
      </c>
      <c r="H312" s="13"/>
      <c r="I312" s="14"/>
      <c r="J312" s="15"/>
      <c r="K312" s="16">
        <v>30000</v>
      </c>
      <c r="L312" s="15"/>
      <c r="M312" s="14"/>
      <c r="N312" s="17"/>
      <c r="O312" s="17"/>
      <c r="P312" s="17"/>
      <c r="Q312" s="17"/>
      <c r="R312" s="17"/>
      <c r="S312" s="17"/>
      <c r="T312" s="17"/>
      <c r="U312" s="17"/>
      <c r="V312" s="11">
        <f t="shared" si="4"/>
        <v>30000</v>
      </c>
      <c r="W312" s="17"/>
      <c r="X312" s="9" t="s">
        <v>923</v>
      </c>
    </row>
    <row r="313" spans="1:24" ht="25.5" x14ac:dyDescent="0.25">
      <c r="A313" s="7" t="s">
        <v>16</v>
      </c>
      <c r="B313" s="8">
        <v>8470910</v>
      </c>
      <c r="C313" s="9" t="s">
        <v>422</v>
      </c>
      <c r="D313" s="10">
        <v>428090</v>
      </c>
      <c r="E313" s="9" t="s">
        <v>26</v>
      </c>
      <c r="F313" s="9" t="s">
        <v>424</v>
      </c>
      <c r="G313" s="12">
        <v>100000</v>
      </c>
      <c r="H313" s="13"/>
      <c r="I313" s="14"/>
      <c r="J313" s="15"/>
      <c r="K313" s="16">
        <v>100000</v>
      </c>
      <c r="L313" s="15"/>
      <c r="M313" s="14"/>
      <c r="N313" s="17"/>
      <c r="O313" s="17"/>
      <c r="P313" s="17"/>
      <c r="Q313" s="17"/>
      <c r="R313" s="17"/>
      <c r="S313" s="17"/>
      <c r="T313" s="17"/>
      <c r="U313" s="17"/>
      <c r="V313" s="11">
        <f t="shared" si="4"/>
        <v>100000</v>
      </c>
      <c r="W313" s="17"/>
      <c r="X313" s="9" t="s">
        <v>923</v>
      </c>
    </row>
    <row r="314" spans="1:24" ht="25.5" x14ac:dyDescent="0.25">
      <c r="A314" s="7" t="s">
        <v>16</v>
      </c>
      <c r="B314" s="8">
        <v>8471010</v>
      </c>
      <c r="C314" s="9" t="s">
        <v>425</v>
      </c>
      <c r="D314" s="10">
        <v>425100</v>
      </c>
      <c r="E314" s="9" t="s">
        <v>49</v>
      </c>
      <c r="F314" s="9" t="s">
        <v>426</v>
      </c>
      <c r="G314" s="12">
        <v>0</v>
      </c>
      <c r="H314" s="13"/>
      <c r="I314" s="14"/>
      <c r="J314" s="15"/>
      <c r="K314" s="16">
        <v>0</v>
      </c>
      <c r="L314" s="15"/>
      <c r="M314" s="14"/>
      <c r="N314" s="17"/>
      <c r="O314" s="17"/>
      <c r="P314" s="17"/>
      <c r="Q314" s="17"/>
      <c r="R314" s="17"/>
      <c r="S314" s="17"/>
      <c r="T314" s="17"/>
      <c r="U314" s="17"/>
      <c r="V314" s="11">
        <f t="shared" si="4"/>
        <v>0</v>
      </c>
      <c r="W314" s="17"/>
      <c r="X314" s="9" t="s">
        <v>923</v>
      </c>
    </row>
    <row r="315" spans="1:24" ht="25.5" x14ac:dyDescent="0.25">
      <c r="A315" s="7" t="s">
        <v>16</v>
      </c>
      <c r="B315" s="8">
        <v>8471010</v>
      </c>
      <c r="C315" s="9" t="s">
        <v>425</v>
      </c>
      <c r="D315" s="10">
        <v>425510</v>
      </c>
      <c r="E315" s="9" t="s">
        <v>20</v>
      </c>
      <c r="F315" s="9" t="s">
        <v>427</v>
      </c>
      <c r="G315" s="12">
        <v>0</v>
      </c>
      <c r="H315" s="13"/>
      <c r="I315" s="14"/>
      <c r="J315" s="15"/>
      <c r="K315" s="16">
        <v>0</v>
      </c>
      <c r="L315" s="15"/>
      <c r="M315" s="14"/>
      <c r="N315" s="17"/>
      <c r="O315" s="17"/>
      <c r="P315" s="17"/>
      <c r="Q315" s="17"/>
      <c r="R315" s="17"/>
      <c r="S315" s="17"/>
      <c r="T315" s="17"/>
      <c r="U315" s="17"/>
      <c r="V315" s="11">
        <f t="shared" si="4"/>
        <v>0</v>
      </c>
      <c r="W315" s="17"/>
      <c r="X315" s="9" t="s">
        <v>923</v>
      </c>
    </row>
    <row r="316" spans="1:24" ht="25.5" x14ac:dyDescent="0.25">
      <c r="A316" s="7" t="s">
        <v>16</v>
      </c>
      <c r="B316" s="8">
        <v>8471010</v>
      </c>
      <c r="C316" s="9" t="s">
        <v>425</v>
      </c>
      <c r="D316" s="10">
        <v>425720</v>
      </c>
      <c r="E316" s="9" t="s">
        <v>185</v>
      </c>
      <c r="F316" s="9" t="s">
        <v>428</v>
      </c>
      <c r="G316" s="12">
        <v>2768</v>
      </c>
      <c r="H316" s="18">
        <v>2768</v>
      </c>
      <c r="I316" s="14"/>
      <c r="J316" s="15"/>
      <c r="K316" s="16">
        <v>0</v>
      </c>
      <c r="L316" s="15"/>
      <c r="M316" s="14"/>
      <c r="N316" s="17"/>
      <c r="O316" s="17"/>
      <c r="P316" s="17"/>
      <c r="Q316" s="17"/>
      <c r="R316" s="17"/>
      <c r="S316" s="17"/>
      <c r="T316" s="17"/>
      <c r="U316" s="17"/>
      <c r="V316" s="11">
        <f t="shared" si="4"/>
        <v>0</v>
      </c>
      <c r="W316" s="17"/>
      <c r="X316" s="9" t="s">
        <v>923</v>
      </c>
    </row>
    <row r="317" spans="1:24" ht="25.5" x14ac:dyDescent="0.25">
      <c r="A317" s="7" t="s">
        <v>16</v>
      </c>
      <c r="B317" s="8">
        <v>8471010</v>
      </c>
      <c r="C317" s="9" t="s">
        <v>425</v>
      </c>
      <c r="D317" s="10">
        <v>425900</v>
      </c>
      <c r="E317" s="9" t="s">
        <v>24</v>
      </c>
      <c r="F317" s="9" t="s">
        <v>429</v>
      </c>
      <c r="G317" s="12">
        <v>46227</v>
      </c>
      <c r="H317" s="18">
        <v>46226.25</v>
      </c>
      <c r="I317" s="14"/>
      <c r="J317" s="15"/>
      <c r="K317" s="16">
        <v>0.75</v>
      </c>
      <c r="L317" s="15"/>
      <c r="M317" s="14"/>
      <c r="N317" s="17"/>
      <c r="O317" s="17"/>
      <c r="P317" s="17"/>
      <c r="Q317" s="17"/>
      <c r="R317" s="17"/>
      <c r="S317" s="17"/>
      <c r="T317" s="17"/>
      <c r="U317" s="17"/>
      <c r="V317" s="11">
        <f t="shared" si="4"/>
        <v>0.75</v>
      </c>
      <c r="W317" s="17"/>
      <c r="X317" s="9" t="s">
        <v>923</v>
      </c>
    </row>
    <row r="318" spans="1:24" ht="25.5" x14ac:dyDescent="0.25">
      <c r="A318" s="7" t="s">
        <v>16</v>
      </c>
      <c r="B318" s="8">
        <v>8471010</v>
      </c>
      <c r="C318" s="9" t="s">
        <v>425</v>
      </c>
      <c r="D318" s="10">
        <v>436110</v>
      </c>
      <c r="E318" s="9" t="s">
        <v>158</v>
      </c>
      <c r="F318" s="9" t="s">
        <v>430</v>
      </c>
      <c r="G318" s="12">
        <v>0</v>
      </c>
      <c r="H318" s="13"/>
      <c r="I318" s="14"/>
      <c r="J318" s="15"/>
      <c r="K318" s="16">
        <v>0</v>
      </c>
      <c r="L318" s="15"/>
      <c r="M318" s="14"/>
      <c r="N318" s="17"/>
      <c r="O318" s="17"/>
      <c r="P318" s="17"/>
      <c r="Q318" s="17"/>
      <c r="R318" s="17"/>
      <c r="S318" s="17"/>
      <c r="T318" s="17"/>
      <c r="U318" s="17"/>
      <c r="V318" s="11">
        <f t="shared" si="4"/>
        <v>0</v>
      </c>
      <c r="W318" s="17"/>
      <c r="X318" s="9" t="s">
        <v>923</v>
      </c>
    </row>
    <row r="319" spans="1:24" ht="25.5" x14ac:dyDescent="0.25">
      <c r="A319" s="7" t="s">
        <v>16</v>
      </c>
      <c r="B319" s="8">
        <v>8471110</v>
      </c>
      <c r="C319" s="9" t="s">
        <v>431</v>
      </c>
      <c r="D319" s="10">
        <v>425900</v>
      </c>
      <c r="E319" s="9" t="s">
        <v>24</v>
      </c>
      <c r="F319" s="9" t="s">
        <v>432</v>
      </c>
      <c r="G319" s="12">
        <v>30000</v>
      </c>
      <c r="H319" s="13"/>
      <c r="I319" s="14"/>
      <c r="J319" s="15"/>
      <c r="K319" s="16">
        <v>30000</v>
      </c>
      <c r="L319" s="15"/>
      <c r="M319" s="14"/>
      <c r="N319" s="17"/>
      <c r="O319" s="57"/>
      <c r="P319" s="92">
        <v>10000</v>
      </c>
      <c r="Q319" s="57"/>
      <c r="R319" s="92">
        <v>5000</v>
      </c>
      <c r="S319" s="92">
        <v>10000</v>
      </c>
      <c r="T319" s="57">
        <v>5000</v>
      </c>
      <c r="U319" s="57"/>
      <c r="V319" s="11">
        <f t="shared" si="4"/>
        <v>0</v>
      </c>
      <c r="W319" s="93" t="s">
        <v>727</v>
      </c>
      <c r="X319" s="9" t="s">
        <v>922</v>
      </c>
    </row>
    <row r="320" spans="1:24" ht="25.5" x14ac:dyDescent="0.25">
      <c r="A320" s="7" t="s">
        <v>16</v>
      </c>
      <c r="B320" s="8">
        <v>8471110</v>
      </c>
      <c r="C320" s="9" t="s">
        <v>431</v>
      </c>
      <c r="D320" s="10">
        <v>427710</v>
      </c>
      <c r="E320" s="9" t="s">
        <v>45</v>
      </c>
      <c r="F320" s="9" t="s">
        <v>433</v>
      </c>
      <c r="G320" s="12">
        <v>350707</v>
      </c>
      <c r="H320" s="13"/>
      <c r="I320" s="19">
        <v>332272.18</v>
      </c>
      <c r="J320" s="12">
        <v>15426.6</v>
      </c>
      <c r="K320" s="16">
        <v>3008.2199999999698</v>
      </c>
      <c r="L320" s="15"/>
      <c r="M320" s="14"/>
      <c r="N320" s="17"/>
      <c r="O320" s="57"/>
      <c r="P320" s="57"/>
      <c r="Q320" s="57">
        <v>3000</v>
      </c>
      <c r="R320" s="57"/>
      <c r="S320" s="57"/>
      <c r="T320" s="57"/>
      <c r="U320" s="57"/>
      <c r="V320" s="11">
        <f t="shared" si="4"/>
        <v>8.2199999999697866</v>
      </c>
      <c r="W320" s="93" t="s">
        <v>728</v>
      </c>
      <c r="X320" s="9" t="s">
        <v>922</v>
      </c>
    </row>
    <row r="321" spans="1:24" ht="25.5" x14ac:dyDescent="0.25">
      <c r="A321" s="7" t="s">
        <v>16</v>
      </c>
      <c r="B321" s="8">
        <v>8471110</v>
      </c>
      <c r="C321" s="9" t="s">
        <v>431</v>
      </c>
      <c r="D321" s="10">
        <v>428090</v>
      </c>
      <c r="E321" s="9" t="s">
        <v>26</v>
      </c>
      <c r="F321" s="9" t="s">
        <v>434</v>
      </c>
      <c r="G321" s="12">
        <v>100000</v>
      </c>
      <c r="H321" s="13"/>
      <c r="I321" s="14"/>
      <c r="J321" s="15"/>
      <c r="K321" s="16">
        <v>100000</v>
      </c>
      <c r="L321" s="15"/>
      <c r="M321" s="14"/>
      <c r="N321" s="17"/>
      <c r="O321" s="92">
        <v>50000</v>
      </c>
      <c r="P321" s="57"/>
      <c r="Q321" s="57"/>
      <c r="R321" s="57"/>
      <c r="S321" s="92">
        <v>50000</v>
      </c>
      <c r="T321" s="57"/>
      <c r="U321" s="57"/>
      <c r="V321" s="11">
        <f t="shared" si="4"/>
        <v>0</v>
      </c>
      <c r="W321" s="93" t="s">
        <v>729</v>
      </c>
      <c r="X321" s="9" t="s">
        <v>922</v>
      </c>
    </row>
    <row r="322" spans="1:24" ht="25.5" x14ac:dyDescent="0.25">
      <c r="A322" s="7" t="s">
        <v>16</v>
      </c>
      <c r="B322" s="8">
        <v>8471130</v>
      </c>
      <c r="C322" s="9" t="s">
        <v>435</v>
      </c>
      <c r="D322" s="10">
        <v>420811</v>
      </c>
      <c r="E322" s="9" t="s">
        <v>77</v>
      </c>
      <c r="F322" s="9" t="s">
        <v>436</v>
      </c>
      <c r="G322" s="12">
        <v>310000</v>
      </c>
      <c r="H322" s="13"/>
      <c r="I322" s="19">
        <v>306328.2</v>
      </c>
      <c r="J322" s="15"/>
      <c r="K322" s="16">
        <v>3671.7999999999902</v>
      </c>
      <c r="L322" s="15"/>
      <c r="M322" s="87">
        <v>306328</v>
      </c>
      <c r="N322" s="88"/>
      <c r="O322" s="88"/>
      <c r="P322" s="88"/>
      <c r="Q322" s="88"/>
      <c r="R322" s="88"/>
      <c r="S322" s="88"/>
      <c r="T322" s="88"/>
      <c r="U322" s="17"/>
      <c r="V322" s="11">
        <f t="shared" si="4"/>
        <v>-302656.2</v>
      </c>
      <c r="W322" s="17"/>
      <c r="X322" s="9" t="s">
        <v>922</v>
      </c>
    </row>
    <row r="323" spans="1:24" ht="25.5" x14ac:dyDescent="0.25">
      <c r="A323" s="7" t="s">
        <v>16</v>
      </c>
      <c r="B323" s="8">
        <v>8471130</v>
      </c>
      <c r="C323" s="9" t="s">
        <v>435</v>
      </c>
      <c r="D323" s="10">
        <v>426610</v>
      </c>
      <c r="E323" s="9" t="s">
        <v>39</v>
      </c>
      <c r="F323" s="9" t="s">
        <v>437</v>
      </c>
      <c r="G323" s="12">
        <v>171713</v>
      </c>
      <c r="H323" s="13"/>
      <c r="I323" s="19">
        <v>1505</v>
      </c>
      <c r="J323" s="15"/>
      <c r="K323" s="16">
        <v>170208</v>
      </c>
      <c r="L323" s="15"/>
      <c r="M323" s="89">
        <v>170208</v>
      </c>
      <c r="N323" s="77"/>
      <c r="O323" s="77"/>
      <c r="P323" s="77"/>
      <c r="Q323" s="77"/>
      <c r="R323" s="77"/>
      <c r="S323" s="77"/>
      <c r="T323" s="77"/>
      <c r="U323" s="78"/>
      <c r="V323" s="11">
        <f t="shared" si="4"/>
        <v>0</v>
      </c>
      <c r="W323" s="17"/>
      <c r="X323" s="9" t="s">
        <v>922</v>
      </c>
    </row>
    <row r="324" spans="1:24" ht="25.5" x14ac:dyDescent="0.25">
      <c r="A324" s="7" t="s">
        <v>16</v>
      </c>
      <c r="B324" s="8">
        <v>8471130</v>
      </c>
      <c r="C324" s="9" t="s">
        <v>435</v>
      </c>
      <c r="D324" s="10">
        <v>428090</v>
      </c>
      <c r="E324" s="9" t="s">
        <v>26</v>
      </c>
      <c r="F324" s="9" t="s">
        <v>438</v>
      </c>
      <c r="G324" s="12">
        <v>23760</v>
      </c>
      <c r="H324" s="13"/>
      <c r="I324" s="14"/>
      <c r="J324" s="15"/>
      <c r="K324" s="16">
        <v>23760</v>
      </c>
      <c r="L324" s="15"/>
      <c r="M324" s="87"/>
      <c r="N324" s="88"/>
      <c r="O324" s="88"/>
      <c r="P324" s="88">
        <v>23608</v>
      </c>
      <c r="Q324" s="88"/>
      <c r="R324" s="88"/>
      <c r="S324" s="88"/>
      <c r="T324" s="88"/>
      <c r="U324" s="17"/>
      <c r="V324" s="11">
        <f t="shared" si="4"/>
        <v>152</v>
      </c>
      <c r="W324" s="17"/>
      <c r="X324" s="9" t="s">
        <v>922</v>
      </c>
    </row>
    <row r="325" spans="1:24" ht="25.5" x14ac:dyDescent="0.25">
      <c r="A325" s="7" t="s">
        <v>16</v>
      </c>
      <c r="B325" s="8">
        <v>8471130</v>
      </c>
      <c r="C325" s="9" t="s">
        <v>435</v>
      </c>
      <c r="D325" s="10">
        <v>435523</v>
      </c>
      <c r="E325" s="9" t="s">
        <v>74</v>
      </c>
      <c r="F325" s="9" t="s">
        <v>439</v>
      </c>
      <c r="G325" s="12">
        <v>157190</v>
      </c>
      <c r="H325" s="18">
        <v>20242.95</v>
      </c>
      <c r="I325" s="14"/>
      <c r="J325" s="15"/>
      <c r="K325" s="16">
        <v>136947.04999999999</v>
      </c>
      <c r="L325" s="15"/>
      <c r="M325" s="80"/>
      <c r="N325" s="77">
        <v>40000</v>
      </c>
      <c r="O325" s="77"/>
      <c r="P325" s="77">
        <v>40000</v>
      </c>
      <c r="Q325" s="77"/>
      <c r="R325" s="77">
        <v>56947</v>
      </c>
      <c r="S325" s="77"/>
      <c r="T325" s="77"/>
      <c r="U325" s="78"/>
      <c r="V325" s="11">
        <f t="shared" si="4"/>
        <v>4.9999999988358468E-2</v>
      </c>
      <c r="W325" s="17"/>
      <c r="X325" s="9" t="s">
        <v>922</v>
      </c>
    </row>
    <row r="326" spans="1:24" ht="25.5" x14ac:dyDescent="0.25">
      <c r="A326" s="7" t="s">
        <v>16</v>
      </c>
      <c r="B326" s="8">
        <v>8471140</v>
      </c>
      <c r="C326" s="9" t="s">
        <v>440</v>
      </c>
      <c r="D326" s="10">
        <v>420570</v>
      </c>
      <c r="E326" s="9" t="s">
        <v>87</v>
      </c>
      <c r="F326" s="9" t="s">
        <v>441</v>
      </c>
      <c r="G326" s="12">
        <v>4818360</v>
      </c>
      <c r="H326" s="18">
        <v>918250</v>
      </c>
      <c r="I326" s="14"/>
      <c r="J326" s="15"/>
      <c r="K326" s="16">
        <v>3900110</v>
      </c>
      <c r="L326" s="65">
        <v>800000</v>
      </c>
      <c r="M326" s="67"/>
      <c r="N326" s="68"/>
      <c r="O326" s="68"/>
      <c r="P326" s="68"/>
      <c r="Q326" s="68"/>
      <c r="R326" s="68"/>
      <c r="S326" s="68"/>
      <c r="T326" s="68"/>
      <c r="U326" s="68"/>
      <c r="V326" s="11">
        <f t="shared" si="4"/>
        <v>3100110</v>
      </c>
      <c r="W326" s="9" t="s">
        <v>724</v>
      </c>
      <c r="X326" s="9" t="s">
        <v>922</v>
      </c>
    </row>
    <row r="327" spans="1:24" ht="25.5" x14ac:dyDescent="0.25">
      <c r="A327" s="7" t="s">
        <v>16</v>
      </c>
      <c r="B327" s="8">
        <v>8471140</v>
      </c>
      <c r="C327" s="9" t="s">
        <v>440</v>
      </c>
      <c r="D327" s="10">
        <v>420570</v>
      </c>
      <c r="E327" s="9" t="s">
        <v>87</v>
      </c>
      <c r="F327" s="9" t="s">
        <v>442</v>
      </c>
      <c r="G327" s="12">
        <v>290123</v>
      </c>
      <c r="H327" s="13"/>
      <c r="I327" s="14"/>
      <c r="J327" s="15"/>
      <c r="K327" s="16">
        <v>290123</v>
      </c>
      <c r="L327" s="65"/>
      <c r="M327" s="67"/>
      <c r="N327" s="68"/>
      <c r="O327" s="68"/>
      <c r="P327" s="68"/>
      <c r="Q327" s="68">
        <v>145061.5</v>
      </c>
      <c r="R327" s="68">
        <v>145061.5</v>
      </c>
      <c r="S327" s="68"/>
      <c r="T327" s="68"/>
      <c r="U327" s="91" t="s">
        <v>720</v>
      </c>
      <c r="V327" s="11">
        <f t="shared" si="4"/>
        <v>0</v>
      </c>
      <c r="W327" s="17"/>
      <c r="X327" s="9" t="s">
        <v>922</v>
      </c>
    </row>
    <row r="328" spans="1:24" ht="25.5" x14ac:dyDescent="0.25">
      <c r="A328" s="7" t="s">
        <v>16</v>
      </c>
      <c r="B328" s="8">
        <v>8471140</v>
      </c>
      <c r="C328" s="9" t="s">
        <v>440</v>
      </c>
      <c r="D328" s="10">
        <v>421000</v>
      </c>
      <c r="E328" s="9" t="s">
        <v>34</v>
      </c>
      <c r="F328" s="9" t="s">
        <v>443</v>
      </c>
      <c r="G328" s="12">
        <v>551250</v>
      </c>
      <c r="H328" s="13"/>
      <c r="I328" s="19">
        <v>205688</v>
      </c>
      <c r="J328" s="15"/>
      <c r="K328" s="16">
        <v>345562</v>
      </c>
      <c r="L328" s="65"/>
      <c r="M328" s="67"/>
      <c r="N328" s="68">
        <v>190000</v>
      </c>
      <c r="O328" s="68"/>
      <c r="P328" s="68"/>
      <c r="Q328" s="68"/>
      <c r="R328" s="68">
        <v>75000</v>
      </c>
      <c r="S328" s="68">
        <v>75000</v>
      </c>
      <c r="T328" s="68"/>
      <c r="U328" s="68"/>
      <c r="V328" s="11">
        <f t="shared" si="4"/>
        <v>5562</v>
      </c>
      <c r="W328" s="17" t="s">
        <v>725</v>
      </c>
      <c r="X328" s="9" t="s">
        <v>922</v>
      </c>
    </row>
    <row r="329" spans="1:24" ht="25.5" x14ac:dyDescent="0.25">
      <c r="A329" s="7" t="s">
        <v>16</v>
      </c>
      <c r="B329" s="8">
        <v>8471140</v>
      </c>
      <c r="C329" s="9" t="s">
        <v>440</v>
      </c>
      <c r="D329" s="10">
        <v>428090</v>
      </c>
      <c r="E329" s="9" t="s">
        <v>26</v>
      </c>
      <c r="F329" s="9" t="s">
        <v>444</v>
      </c>
      <c r="G329" s="12">
        <v>100000</v>
      </c>
      <c r="H329" s="13"/>
      <c r="I329" s="14"/>
      <c r="J329" s="15"/>
      <c r="K329" s="16">
        <v>100000</v>
      </c>
      <c r="L329" s="65"/>
      <c r="M329" s="67"/>
      <c r="N329" s="68"/>
      <c r="O329" s="68"/>
      <c r="P329" s="68"/>
      <c r="Q329" s="68">
        <v>50000</v>
      </c>
      <c r="R329" s="68"/>
      <c r="S329" s="68">
        <v>50000</v>
      </c>
      <c r="T329" s="68"/>
      <c r="U329" s="50" t="s">
        <v>721</v>
      </c>
      <c r="V329" s="11">
        <f t="shared" ref="V329:V393" si="7">K329-L329-M329-N329-O329-P329-Q329-R329-S329-T329</f>
        <v>0</v>
      </c>
      <c r="W329" s="17"/>
      <c r="X329" s="9" t="s">
        <v>922</v>
      </c>
    </row>
    <row r="330" spans="1:24" ht="25.5" x14ac:dyDescent="0.25">
      <c r="A330" s="7" t="s">
        <v>16</v>
      </c>
      <c r="B330" s="8">
        <v>8471140</v>
      </c>
      <c r="C330" s="9" t="s">
        <v>440</v>
      </c>
      <c r="D330" s="10">
        <v>435523</v>
      </c>
      <c r="E330" s="9" t="s">
        <v>74</v>
      </c>
      <c r="F330" s="9" t="s">
        <v>445</v>
      </c>
      <c r="G330" s="12">
        <v>37853390</v>
      </c>
      <c r="H330" s="18">
        <v>6132778</v>
      </c>
      <c r="I330" s="19">
        <v>601502.93999999994</v>
      </c>
      <c r="J330" s="12">
        <v>246298.13</v>
      </c>
      <c r="K330" s="16">
        <v>30872810.93</v>
      </c>
      <c r="L330" s="65">
        <f>K330/9</f>
        <v>3430312.3255555555</v>
      </c>
      <c r="M330" s="67">
        <v>3430312.3255555555</v>
      </c>
      <c r="N330" s="68">
        <v>3430312.3255555555</v>
      </c>
      <c r="O330" s="68">
        <v>3430312.3255555555</v>
      </c>
      <c r="P330" s="68">
        <v>3430312.3255555555</v>
      </c>
      <c r="Q330" s="68">
        <v>3430312.3255555555</v>
      </c>
      <c r="R330" s="68">
        <v>3430312.3255555555</v>
      </c>
      <c r="S330" s="68">
        <v>3430312.3255555555</v>
      </c>
      <c r="T330" s="68">
        <v>3430312.3255555555</v>
      </c>
      <c r="U330" s="91" t="s">
        <v>722</v>
      </c>
      <c r="V330" s="11">
        <f t="shared" si="7"/>
        <v>0</v>
      </c>
      <c r="W330" s="17" t="s">
        <v>726</v>
      </c>
      <c r="X330" s="9" t="s">
        <v>922</v>
      </c>
    </row>
    <row r="331" spans="1:24" ht="25.5" x14ac:dyDescent="0.25">
      <c r="A331" s="7" t="s">
        <v>16</v>
      </c>
      <c r="B331" s="8">
        <v>8471140</v>
      </c>
      <c r="C331" s="9" t="s">
        <v>440</v>
      </c>
      <c r="D331" s="10">
        <v>435523</v>
      </c>
      <c r="E331" s="9" t="s">
        <v>74</v>
      </c>
      <c r="F331" s="9" t="s">
        <v>446</v>
      </c>
      <c r="G331" s="12">
        <v>42856513</v>
      </c>
      <c r="H331" s="18">
        <v>11344571.25</v>
      </c>
      <c r="I331" s="19">
        <v>-790740.86000000103</v>
      </c>
      <c r="J331" s="12">
        <v>1046846.09</v>
      </c>
      <c r="K331" s="16">
        <v>31256352.449999999</v>
      </c>
      <c r="L331" s="65">
        <v>3472928.05</v>
      </c>
      <c r="M331" s="67">
        <v>3472928.05</v>
      </c>
      <c r="N331" s="68">
        <v>3472928.05</v>
      </c>
      <c r="O331" s="68">
        <v>3472928.05</v>
      </c>
      <c r="P331" s="68">
        <v>3472928.05</v>
      </c>
      <c r="Q331" s="68">
        <v>3472928.05</v>
      </c>
      <c r="R331" s="68">
        <v>3472928.05</v>
      </c>
      <c r="S331" s="68">
        <v>3472928.05</v>
      </c>
      <c r="T331" s="68">
        <v>3472928.05</v>
      </c>
      <c r="U331" s="68" t="s">
        <v>723</v>
      </c>
      <c r="V331" s="11">
        <f t="shared" si="7"/>
        <v>-4.6566128730773926E-9</v>
      </c>
      <c r="W331" s="17" t="s">
        <v>726</v>
      </c>
      <c r="X331" s="9" t="s">
        <v>922</v>
      </c>
    </row>
    <row r="332" spans="1:24" ht="25.5" x14ac:dyDescent="0.25">
      <c r="A332" s="7" t="s">
        <v>16</v>
      </c>
      <c r="B332" s="8">
        <v>8471150</v>
      </c>
      <c r="C332" s="9" t="s">
        <v>447</v>
      </c>
      <c r="D332" s="10">
        <v>420900</v>
      </c>
      <c r="E332" s="9" t="s">
        <v>64</v>
      </c>
      <c r="F332" s="9" t="s">
        <v>448</v>
      </c>
      <c r="G332" s="12">
        <v>4979000</v>
      </c>
      <c r="H332" s="18">
        <v>33644.239999999998</v>
      </c>
      <c r="I332" s="19">
        <v>4578876</v>
      </c>
      <c r="J332" s="15"/>
      <c r="K332" s="16">
        <v>366479.76</v>
      </c>
      <c r="L332" s="15"/>
      <c r="M332" s="14"/>
      <c r="N332" s="55">
        <v>85000</v>
      </c>
      <c r="O332" s="55"/>
      <c r="P332" s="55"/>
      <c r="Q332" s="55"/>
      <c r="R332" s="55"/>
      <c r="S332"/>
      <c r="T332" s="55">
        <v>281480</v>
      </c>
      <c r="U332" s="17"/>
      <c r="V332" s="11">
        <f t="shared" si="7"/>
        <v>-0.23999999999068677</v>
      </c>
      <c r="W332" s="17"/>
      <c r="X332" s="9" t="s">
        <v>922</v>
      </c>
    </row>
    <row r="333" spans="1:24" ht="25.5" x14ac:dyDescent="0.25">
      <c r="A333" s="7" t="s">
        <v>16</v>
      </c>
      <c r="B333" s="8">
        <v>8471150</v>
      </c>
      <c r="C333" s="9" t="s">
        <v>447</v>
      </c>
      <c r="D333" s="10">
        <v>420900</v>
      </c>
      <c r="E333" s="9" t="s">
        <v>64</v>
      </c>
      <c r="F333" s="9" t="s">
        <v>449</v>
      </c>
      <c r="G333" s="15"/>
      <c r="H333" s="18">
        <v>-1216.43</v>
      </c>
      <c r="I333" s="14"/>
      <c r="J333" s="12">
        <v>1216.43</v>
      </c>
      <c r="K333" s="16">
        <v>0</v>
      </c>
      <c r="L333" s="15"/>
      <c r="M333" s="14"/>
      <c r="N333" s="57"/>
      <c r="O333" s="57"/>
      <c r="P333" s="57"/>
      <c r="Q333" s="57"/>
      <c r="R333" s="57"/>
      <c r="S333" s="57"/>
      <c r="T333" s="57"/>
      <c r="U333" s="17"/>
      <c r="V333" s="11">
        <f t="shared" si="7"/>
        <v>0</v>
      </c>
      <c r="W333" s="17"/>
      <c r="X333" s="9" t="s">
        <v>922</v>
      </c>
    </row>
    <row r="334" spans="1:24" ht="25.5" x14ac:dyDescent="0.25">
      <c r="A334" s="7" t="s">
        <v>16</v>
      </c>
      <c r="B334" s="8">
        <v>8471150</v>
      </c>
      <c r="C334" s="9" t="s">
        <v>447</v>
      </c>
      <c r="D334" s="10">
        <v>425510</v>
      </c>
      <c r="E334" s="9" t="s">
        <v>20</v>
      </c>
      <c r="F334" s="9" t="s">
        <v>450</v>
      </c>
      <c r="G334" s="12">
        <v>2000</v>
      </c>
      <c r="H334" s="18">
        <v>918.75</v>
      </c>
      <c r="I334" s="14"/>
      <c r="J334" s="15"/>
      <c r="K334" s="16">
        <v>1081.25</v>
      </c>
      <c r="L334" s="15"/>
      <c r="M334" s="14"/>
      <c r="N334" s="57"/>
      <c r="O334" s="57"/>
      <c r="P334" s="57"/>
      <c r="Q334" s="56">
        <v>1081.25</v>
      </c>
      <c r="R334" s="57"/>
      <c r="S334" s="57"/>
      <c r="T334" s="57"/>
      <c r="U334" s="17"/>
      <c r="V334" s="11">
        <f t="shared" si="7"/>
        <v>0</v>
      </c>
      <c r="W334" s="17"/>
      <c r="X334" s="9" t="s">
        <v>922</v>
      </c>
    </row>
    <row r="335" spans="1:24" ht="25.5" x14ac:dyDescent="0.25">
      <c r="A335" s="7" t="s">
        <v>16</v>
      </c>
      <c r="B335" s="8">
        <v>8471150</v>
      </c>
      <c r="C335" s="9" t="s">
        <v>447</v>
      </c>
      <c r="D335" s="10">
        <v>425550</v>
      </c>
      <c r="E335" s="9" t="s">
        <v>22</v>
      </c>
      <c r="F335" s="9" t="s">
        <v>451</v>
      </c>
      <c r="G335" s="12">
        <v>26095</v>
      </c>
      <c r="H335" s="18">
        <v>12109.5</v>
      </c>
      <c r="I335" s="14"/>
      <c r="J335" s="15"/>
      <c r="K335" s="16">
        <v>13985.5</v>
      </c>
      <c r="L335" s="15"/>
      <c r="M335" s="14"/>
      <c r="N335" s="57"/>
      <c r="O335" s="57"/>
      <c r="P335" s="57"/>
      <c r="Q335" s="57"/>
      <c r="R335" s="57"/>
      <c r="S335" s="56">
        <v>13985.5</v>
      </c>
      <c r="T335" s="57"/>
      <c r="U335" s="17"/>
      <c r="V335" s="11">
        <f t="shared" si="7"/>
        <v>0</v>
      </c>
      <c r="W335" s="17"/>
      <c r="X335" s="9" t="s">
        <v>922</v>
      </c>
    </row>
    <row r="336" spans="1:24" ht="25.5" x14ac:dyDescent="0.25">
      <c r="A336" s="7" t="s">
        <v>16</v>
      </c>
      <c r="B336" s="8">
        <v>8471150</v>
      </c>
      <c r="C336" s="9" t="s">
        <v>447</v>
      </c>
      <c r="D336" s="10">
        <v>426610</v>
      </c>
      <c r="E336" s="9" t="s">
        <v>39</v>
      </c>
      <c r="F336" s="9" t="s">
        <v>452</v>
      </c>
      <c r="G336" s="12">
        <v>3881</v>
      </c>
      <c r="H336" s="13"/>
      <c r="I336" s="14"/>
      <c r="J336" s="15"/>
      <c r="K336" s="16">
        <v>3881</v>
      </c>
      <c r="L336" s="15"/>
      <c r="M336" s="14"/>
      <c r="N336" s="57"/>
      <c r="O336" s="57"/>
      <c r="P336" s="57"/>
      <c r="Q336" s="57"/>
      <c r="R336" s="57"/>
      <c r="S336" s="57"/>
      <c r="T336" s="52">
        <v>3881</v>
      </c>
      <c r="U336" s="17"/>
      <c r="V336" s="11">
        <f t="shared" si="7"/>
        <v>0</v>
      </c>
      <c r="W336" s="17"/>
      <c r="X336" s="9" t="s">
        <v>922</v>
      </c>
    </row>
    <row r="337" spans="1:28" ht="89.25" x14ac:dyDescent="0.25">
      <c r="A337" s="7" t="s">
        <v>16</v>
      </c>
      <c r="B337" s="8">
        <v>8471160</v>
      </c>
      <c r="C337" s="9" t="s">
        <v>453</v>
      </c>
      <c r="D337" s="10">
        <v>425900</v>
      </c>
      <c r="E337" s="9" t="s">
        <v>24</v>
      </c>
      <c r="F337" s="9" t="s">
        <v>454</v>
      </c>
      <c r="G337" s="12">
        <v>12000</v>
      </c>
      <c r="H337" s="18">
        <v>3780</v>
      </c>
      <c r="I337" s="14"/>
      <c r="J337" s="15"/>
      <c r="K337" s="16">
        <v>8220</v>
      </c>
      <c r="L337" s="15"/>
      <c r="M337" s="14"/>
      <c r="N337" s="57">
        <v>4220</v>
      </c>
      <c r="O337" s="57">
        <v>4000</v>
      </c>
      <c r="P337" s="17"/>
      <c r="Q337" s="17"/>
      <c r="R337" s="17"/>
      <c r="S337" s="17"/>
      <c r="T337" s="17"/>
      <c r="U337" s="85" t="s">
        <v>704</v>
      </c>
      <c r="V337" s="11">
        <f t="shared" si="7"/>
        <v>0</v>
      </c>
      <c r="W337" s="85" t="s">
        <v>711</v>
      </c>
      <c r="X337" s="9" t="s">
        <v>922</v>
      </c>
    </row>
    <row r="338" spans="1:28" ht="25.5" x14ac:dyDescent="0.25">
      <c r="A338" s="7" t="s">
        <v>16</v>
      </c>
      <c r="B338" s="8">
        <v>8471160</v>
      </c>
      <c r="C338" s="9" t="s">
        <v>453</v>
      </c>
      <c r="D338" s="10">
        <v>426610</v>
      </c>
      <c r="E338" s="9" t="s">
        <v>39</v>
      </c>
      <c r="F338" s="9" t="s">
        <v>455</v>
      </c>
      <c r="G338" s="12">
        <v>140763</v>
      </c>
      <c r="H338" s="18">
        <v>194669</v>
      </c>
      <c r="I338" s="19">
        <v>24000</v>
      </c>
      <c r="J338" s="12">
        <v>-108169</v>
      </c>
      <c r="K338" s="16">
        <v>30263</v>
      </c>
      <c r="L338" s="52">
        <v>30263</v>
      </c>
      <c r="M338" s="54">
        <v>0</v>
      </c>
      <c r="N338" s="57">
        <v>0</v>
      </c>
      <c r="O338" s="57">
        <v>0</v>
      </c>
      <c r="P338" s="57">
        <v>0</v>
      </c>
      <c r="Q338" s="57">
        <v>0</v>
      </c>
      <c r="R338" s="57">
        <v>0</v>
      </c>
      <c r="S338" s="57">
        <v>0</v>
      </c>
      <c r="T338" s="57">
        <v>0</v>
      </c>
      <c r="U338" s="85" t="s">
        <v>705</v>
      </c>
      <c r="V338" s="11">
        <f t="shared" si="7"/>
        <v>0</v>
      </c>
      <c r="W338" s="85" t="s">
        <v>712</v>
      </c>
      <c r="X338" s="9" t="s">
        <v>922</v>
      </c>
    </row>
    <row r="339" spans="1:28" ht="63.75" x14ac:dyDescent="0.25">
      <c r="A339" s="7" t="s">
        <v>16</v>
      </c>
      <c r="B339" s="8">
        <v>8471160</v>
      </c>
      <c r="C339" s="9" t="s">
        <v>453</v>
      </c>
      <c r="D339" s="10">
        <v>428090</v>
      </c>
      <c r="E339" s="9" t="s">
        <v>26</v>
      </c>
      <c r="F339" s="9" t="s">
        <v>456</v>
      </c>
      <c r="G339" s="12">
        <v>300000</v>
      </c>
      <c r="H339" s="13"/>
      <c r="I339" s="14"/>
      <c r="J339" s="15"/>
      <c r="K339" s="16">
        <v>300000</v>
      </c>
      <c r="L339" s="52">
        <v>300000</v>
      </c>
      <c r="M339" s="54">
        <v>0</v>
      </c>
      <c r="N339" s="57">
        <v>0</v>
      </c>
      <c r="O339" s="57">
        <v>0</v>
      </c>
      <c r="P339" s="57">
        <v>0</v>
      </c>
      <c r="Q339" s="57">
        <v>0</v>
      </c>
      <c r="R339" s="57">
        <v>0</v>
      </c>
      <c r="S339" s="57">
        <v>0</v>
      </c>
      <c r="T339" s="57">
        <v>0</v>
      </c>
      <c r="U339" s="85" t="s">
        <v>706</v>
      </c>
      <c r="V339" s="11">
        <f t="shared" si="7"/>
        <v>0</v>
      </c>
      <c r="W339" s="85" t="s">
        <v>713</v>
      </c>
      <c r="X339" s="9" t="s">
        <v>922</v>
      </c>
    </row>
    <row r="340" spans="1:28" ht="25.5" x14ac:dyDescent="0.25">
      <c r="A340" s="7" t="s">
        <v>16</v>
      </c>
      <c r="B340" s="8">
        <v>8471160</v>
      </c>
      <c r="C340" s="9" t="s">
        <v>453</v>
      </c>
      <c r="D340" s="10">
        <v>432209</v>
      </c>
      <c r="E340" s="9" t="s">
        <v>124</v>
      </c>
      <c r="F340" s="9" t="s">
        <v>457</v>
      </c>
      <c r="G340" s="12">
        <v>9057075</v>
      </c>
      <c r="H340" s="18">
        <v>2643232.59</v>
      </c>
      <c r="I340" s="19">
        <v>3020864.97</v>
      </c>
      <c r="J340" s="12">
        <v>3216586.02</v>
      </c>
      <c r="K340" s="16">
        <v>176391.42</v>
      </c>
      <c r="L340" s="55">
        <v>100000</v>
      </c>
      <c r="M340" s="54">
        <v>76391</v>
      </c>
      <c r="N340" s="57">
        <v>0</v>
      </c>
      <c r="O340" s="57">
        <v>0</v>
      </c>
      <c r="P340" s="57">
        <v>0</v>
      </c>
      <c r="Q340" s="57">
        <v>0</v>
      </c>
      <c r="R340" s="57">
        <v>0</v>
      </c>
      <c r="S340" s="57">
        <v>0</v>
      </c>
      <c r="T340" s="57">
        <v>0</v>
      </c>
      <c r="U340" s="85" t="s">
        <v>707</v>
      </c>
      <c r="V340" s="11">
        <f t="shared" si="7"/>
        <v>0.42000000001280569</v>
      </c>
      <c r="W340" s="85" t="s">
        <v>706</v>
      </c>
      <c r="X340" s="9" t="s">
        <v>922</v>
      </c>
    </row>
    <row r="341" spans="1:28" ht="38.25" x14ac:dyDescent="0.25">
      <c r="A341" s="7" t="s">
        <v>16</v>
      </c>
      <c r="B341" s="8">
        <v>8471160</v>
      </c>
      <c r="C341" s="9" t="s">
        <v>453</v>
      </c>
      <c r="D341" s="10">
        <v>435508</v>
      </c>
      <c r="E341" s="9" t="s">
        <v>100</v>
      </c>
      <c r="F341" s="9" t="s">
        <v>458</v>
      </c>
      <c r="G341" s="12">
        <v>5364533</v>
      </c>
      <c r="H341" s="18">
        <v>1330112.71</v>
      </c>
      <c r="I341" s="19">
        <v>1170780.5</v>
      </c>
      <c r="J341" s="12">
        <v>1372684.65</v>
      </c>
      <c r="K341" s="16">
        <v>1490955.14</v>
      </c>
      <c r="L341" s="52">
        <v>700955</v>
      </c>
      <c r="M341" s="54">
        <v>400000</v>
      </c>
      <c r="N341" s="57">
        <v>100000</v>
      </c>
      <c r="O341" s="57">
        <v>100000</v>
      </c>
      <c r="P341" s="57">
        <v>60000</v>
      </c>
      <c r="Q341" s="57">
        <v>60000</v>
      </c>
      <c r="R341" s="57">
        <v>40000</v>
      </c>
      <c r="S341" s="57">
        <v>20000</v>
      </c>
      <c r="T341" s="57">
        <v>10000</v>
      </c>
      <c r="U341" s="85" t="s">
        <v>708</v>
      </c>
      <c r="V341" s="11">
        <f t="shared" si="7"/>
        <v>0.13999999989755452</v>
      </c>
      <c r="W341" s="85" t="s">
        <v>714</v>
      </c>
      <c r="X341" s="9" t="s">
        <v>922</v>
      </c>
    </row>
    <row r="342" spans="1:28" ht="38.25" x14ac:dyDescent="0.25">
      <c r="A342" s="7" t="s">
        <v>16</v>
      </c>
      <c r="B342" s="8">
        <v>8471160</v>
      </c>
      <c r="C342" s="9" t="s">
        <v>453</v>
      </c>
      <c r="D342" s="10">
        <v>436600</v>
      </c>
      <c r="E342" s="9" t="s">
        <v>160</v>
      </c>
      <c r="F342" s="9" t="s">
        <v>459</v>
      </c>
      <c r="G342" s="12">
        <v>1000</v>
      </c>
      <c r="H342" s="13"/>
      <c r="I342" s="14"/>
      <c r="J342" s="15"/>
      <c r="K342" s="16">
        <v>1000</v>
      </c>
      <c r="L342" s="55">
        <v>0</v>
      </c>
      <c r="M342" s="54">
        <v>0</v>
      </c>
      <c r="N342" s="58">
        <v>1000</v>
      </c>
      <c r="O342" s="57">
        <v>0</v>
      </c>
      <c r="P342" s="57">
        <v>0</v>
      </c>
      <c r="Q342" s="57">
        <v>0</v>
      </c>
      <c r="R342" s="57">
        <v>0</v>
      </c>
      <c r="S342" s="57">
        <v>0</v>
      </c>
      <c r="T342" s="57">
        <v>0</v>
      </c>
      <c r="U342" s="85" t="s">
        <v>706</v>
      </c>
      <c r="V342" s="11">
        <f t="shared" si="7"/>
        <v>0</v>
      </c>
      <c r="W342" s="85" t="s">
        <v>715</v>
      </c>
      <c r="X342" s="9" t="s">
        <v>922</v>
      </c>
    </row>
    <row r="343" spans="1:28" ht="25.5" x14ac:dyDescent="0.25">
      <c r="A343" s="7" t="s">
        <v>16</v>
      </c>
      <c r="B343" s="8">
        <v>8471170</v>
      </c>
      <c r="C343" s="9" t="s">
        <v>460</v>
      </c>
      <c r="D343" s="10">
        <v>420811</v>
      </c>
      <c r="E343" s="9" t="s">
        <v>77</v>
      </c>
      <c r="F343" s="9" t="s">
        <v>461</v>
      </c>
      <c r="G343" s="12">
        <v>871940</v>
      </c>
      <c r="H343" s="18">
        <v>551000</v>
      </c>
      <c r="I343" s="19">
        <v>-551000</v>
      </c>
      <c r="J343" s="12">
        <v>871932.8</v>
      </c>
      <c r="K343" s="16">
        <v>7.2000000000116398</v>
      </c>
      <c r="L343" s="15"/>
      <c r="M343" s="14"/>
      <c r="N343" s="17"/>
      <c r="O343" s="17"/>
      <c r="P343" s="17"/>
      <c r="Q343" s="17"/>
      <c r="R343" s="17"/>
      <c r="S343" s="17"/>
      <c r="T343" s="17"/>
      <c r="U343" s="85"/>
      <c r="V343" s="11">
        <f t="shared" si="7"/>
        <v>7.2000000000116398</v>
      </c>
      <c r="W343" s="17"/>
      <c r="X343" s="9" t="s">
        <v>922</v>
      </c>
    </row>
    <row r="344" spans="1:28" ht="25.5" x14ac:dyDescent="0.25">
      <c r="A344" s="7" t="s">
        <v>16</v>
      </c>
      <c r="B344" s="8">
        <v>8471170</v>
      </c>
      <c r="C344" s="9" t="s">
        <v>460</v>
      </c>
      <c r="D344" s="10">
        <v>426610</v>
      </c>
      <c r="E344" s="9" t="s">
        <v>39</v>
      </c>
      <c r="F344" s="9" t="s">
        <v>462</v>
      </c>
      <c r="G344" s="12">
        <v>1960909</v>
      </c>
      <c r="H344" s="18">
        <v>58915.86</v>
      </c>
      <c r="I344" s="19">
        <v>1157515.81</v>
      </c>
      <c r="J344" s="12">
        <v>95467.54</v>
      </c>
      <c r="K344" s="16">
        <v>649009.79</v>
      </c>
      <c r="L344" s="15"/>
      <c r="M344" s="90">
        <v>216336.59666666668</v>
      </c>
      <c r="N344" s="90">
        <v>216336.59666666668</v>
      </c>
      <c r="O344" s="90">
        <v>216336.59666666668</v>
      </c>
      <c r="P344" s="57"/>
      <c r="Q344" s="57"/>
      <c r="R344" s="57"/>
      <c r="S344" s="17"/>
      <c r="T344" s="17"/>
      <c r="U344" s="85"/>
      <c r="V344" s="11">
        <f t="shared" si="7"/>
        <v>0</v>
      </c>
      <c r="W344" s="17"/>
      <c r="X344" s="9" t="s">
        <v>922</v>
      </c>
    </row>
    <row r="345" spans="1:28" ht="25.5" x14ac:dyDescent="0.25">
      <c r="A345" s="7" t="s">
        <v>16</v>
      </c>
      <c r="B345" s="8">
        <v>8471170</v>
      </c>
      <c r="C345" s="9" t="s">
        <v>460</v>
      </c>
      <c r="D345" s="10">
        <v>428090</v>
      </c>
      <c r="E345" s="9" t="s">
        <v>26</v>
      </c>
      <c r="F345" s="9" t="s">
        <v>463</v>
      </c>
      <c r="G345" s="12">
        <v>42585</v>
      </c>
      <c r="H345" s="13"/>
      <c r="I345" s="14"/>
      <c r="J345" s="15"/>
      <c r="K345" s="16">
        <v>42585</v>
      </c>
      <c r="L345" s="15"/>
      <c r="M345" s="54"/>
      <c r="N345" s="58">
        <f>K345</f>
        <v>42585</v>
      </c>
      <c r="O345" s="57"/>
      <c r="P345" s="57"/>
      <c r="Q345" s="57"/>
      <c r="R345" s="57"/>
      <c r="S345" s="17"/>
      <c r="T345" s="17"/>
      <c r="U345" s="17"/>
      <c r="V345" s="11">
        <f t="shared" si="7"/>
        <v>0</v>
      </c>
      <c r="W345" s="17"/>
      <c r="X345" s="9" t="s">
        <v>922</v>
      </c>
    </row>
    <row r="346" spans="1:28" ht="102" x14ac:dyDescent="0.25">
      <c r="A346" s="7" t="s">
        <v>16</v>
      </c>
      <c r="B346" s="8">
        <v>8471210</v>
      </c>
      <c r="C346" s="9" t="s">
        <v>464</v>
      </c>
      <c r="D346" s="10">
        <v>425900</v>
      </c>
      <c r="E346" s="9" t="s">
        <v>24</v>
      </c>
      <c r="F346" s="9" t="s">
        <v>465</v>
      </c>
      <c r="G346" s="12">
        <v>30000</v>
      </c>
      <c r="H346" s="18">
        <v>525</v>
      </c>
      <c r="I346" s="14"/>
      <c r="J346" s="15"/>
      <c r="K346" s="16">
        <v>29475</v>
      </c>
      <c r="L346" s="117">
        <v>1000</v>
      </c>
      <c r="M346" s="118">
        <v>5000</v>
      </c>
      <c r="N346" s="118">
        <v>1000</v>
      </c>
      <c r="O346" s="118">
        <v>1000</v>
      </c>
      <c r="P346" s="118">
        <v>2000</v>
      </c>
      <c r="Q346" s="118">
        <v>1000</v>
      </c>
      <c r="R346" s="118">
        <v>1000</v>
      </c>
      <c r="S346" s="118">
        <v>2000</v>
      </c>
      <c r="T346" s="118">
        <v>1000</v>
      </c>
      <c r="U346" s="119" t="s">
        <v>748</v>
      </c>
      <c r="V346" s="11">
        <f t="shared" si="7"/>
        <v>14475</v>
      </c>
      <c r="W346" s="17"/>
      <c r="X346" s="9" t="s">
        <v>922</v>
      </c>
    </row>
    <row r="347" spans="1:28" ht="267.75" x14ac:dyDescent="0.25">
      <c r="A347" s="7" t="s">
        <v>16</v>
      </c>
      <c r="B347" s="8">
        <v>8471210</v>
      </c>
      <c r="C347" s="9" t="s">
        <v>464</v>
      </c>
      <c r="D347" s="10">
        <v>428090</v>
      </c>
      <c r="E347" s="9" t="s">
        <v>26</v>
      </c>
      <c r="F347" s="9" t="s">
        <v>466</v>
      </c>
      <c r="G347" s="12">
        <v>200000</v>
      </c>
      <c r="H347" s="120">
        <v>1650</v>
      </c>
      <c r="I347" s="121"/>
      <c r="J347" s="122"/>
      <c r="K347" s="123">
        <v>198350</v>
      </c>
      <c r="L347" s="124"/>
      <c r="M347" s="124"/>
      <c r="N347" s="125">
        <v>50000</v>
      </c>
      <c r="O347" s="124"/>
      <c r="P347" s="124"/>
      <c r="Q347" s="124"/>
      <c r="R347" s="126">
        <v>50000</v>
      </c>
      <c r="S347" s="124">
        <v>50000</v>
      </c>
      <c r="T347" s="124">
        <v>48350</v>
      </c>
      <c r="U347" s="127" t="s">
        <v>749</v>
      </c>
      <c r="V347" s="11">
        <f t="shared" si="7"/>
        <v>0</v>
      </c>
      <c r="W347" s="17"/>
      <c r="X347" s="9" t="s">
        <v>922</v>
      </c>
    </row>
    <row r="348" spans="1:28" ht="25.5" x14ac:dyDescent="0.25">
      <c r="A348" s="7" t="s">
        <v>16</v>
      </c>
      <c r="B348" s="8">
        <v>8471220</v>
      </c>
      <c r="C348" s="9" t="s">
        <v>467</v>
      </c>
      <c r="D348" s="10">
        <v>425510</v>
      </c>
      <c r="E348" s="9" t="s">
        <v>20</v>
      </c>
      <c r="F348" s="9" t="s">
        <v>468</v>
      </c>
      <c r="G348" s="12">
        <v>1820</v>
      </c>
      <c r="H348" s="13"/>
      <c r="I348" s="14"/>
      <c r="J348" s="15"/>
      <c r="K348" s="16">
        <v>1820</v>
      </c>
      <c r="L348" s="128"/>
      <c r="M348" s="128"/>
      <c r="N348" s="128"/>
      <c r="O348" s="128"/>
      <c r="P348" s="128"/>
      <c r="Q348" s="128"/>
      <c r="R348" s="128"/>
      <c r="S348" s="128"/>
      <c r="T348" s="128"/>
      <c r="U348" s="129"/>
      <c r="V348" s="11">
        <f>K348-L348-M348-N348-O348-P348-Q348-R348-S348-T348</f>
        <v>1820</v>
      </c>
      <c r="W348" s="17"/>
      <c r="X348" s="9" t="s">
        <v>922</v>
      </c>
    </row>
    <row r="349" spans="1:28" ht="25.5" x14ac:dyDescent="0.25">
      <c r="A349" s="7" t="s">
        <v>16</v>
      </c>
      <c r="B349" s="8">
        <v>8471220</v>
      </c>
      <c r="C349" s="9" t="s">
        <v>467</v>
      </c>
      <c r="D349" s="10">
        <v>425741</v>
      </c>
      <c r="E349" s="9" t="s">
        <v>469</v>
      </c>
      <c r="F349" s="9" t="s">
        <v>470</v>
      </c>
      <c r="G349" s="12">
        <v>89952604</v>
      </c>
      <c r="H349" s="18">
        <v>25849282</v>
      </c>
      <c r="I349" s="14"/>
      <c r="J349" s="15"/>
      <c r="K349" s="16">
        <v>64103322</v>
      </c>
      <c r="L349" s="14" t="s">
        <v>750</v>
      </c>
      <c r="M349" s="14">
        <v>6200000</v>
      </c>
      <c r="N349" s="14"/>
      <c r="O349" s="14"/>
      <c r="P349" s="14">
        <v>1150000</v>
      </c>
      <c r="Q349" s="14">
        <v>11500000</v>
      </c>
      <c r="R349" s="14" t="s">
        <v>751</v>
      </c>
      <c r="S349" s="14">
        <v>11500000</v>
      </c>
      <c r="T349" s="14">
        <v>9600000</v>
      </c>
      <c r="U349" s="128" t="s">
        <v>752</v>
      </c>
      <c r="V349" s="11">
        <f>K349-SUM(L349:T349)</f>
        <v>24153322</v>
      </c>
      <c r="W349" s="130" t="s">
        <v>754</v>
      </c>
      <c r="X349" s="9" t="s">
        <v>922</v>
      </c>
      <c r="Y349" s="128"/>
      <c r="Z349" s="128"/>
      <c r="AA349" s="128"/>
      <c r="AB349" s="128"/>
    </row>
    <row r="350" spans="1:28" ht="25.5" x14ac:dyDescent="0.25">
      <c r="A350" s="7" t="s">
        <v>16</v>
      </c>
      <c r="B350" s="8">
        <v>8471220</v>
      </c>
      <c r="C350" s="9" t="s">
        <v>467</v>
      </c>
      <c r="D350" s="10">
        <v>425745</v>
      </c>
      <c r="E350" s="9" t="s">
        <v>108</v>
      </c>
      <c r="F350" s="9" t="s">
        <v>471</v>
      </c>
      <c r="G350" s="15"/>
      <c r="H350" s="18">
        <v>-14210.95</v>
      </c>
      <c r="I350" s="14"/>
      <c r="J350" s="15"/>
      <c r="K350" s="16">
        <v>14210.95</v>
      </c>
      <c r="L350" s="128"/>
      <c r="M350" s="128"/>
      <c r="N350" s="128"/>
      <c r="O350" s="128"/>
      <c r="P350" s="128"/>
      <c r="Q350" s="128"/>
      <c r="R350" s="128"/>
      <c r="S350" s="128"/>
      <c r="T350" s="128"/>
      <c r="U350" s="129"/>
      <c r="V350" s="11">
        <f t="shared" si="7"/>
        <v>14210.95</v>
      </c>
      <c r="W350" s="17"/>
      <c r="X350" s="9" t="s">
        <v>922</v>
      </c>
    </row>
    <row r="351" spans="1:28" ht="25.5" x14ac:dyDescent="0.25">
      <c r="A351" s="7" t="s">
        <v>16</v>
      </c>
      <c r="B351" s="8">
        <v>8471220</v>
      </c>
      <c r="C351" s="9" t="s">
        <v>467</v>
      </c>
      <c r="D351" s="10">
        <v>435340</v>
      </c>
      <c r="E351" s="9" t="s">
        <v>472</v>
      </c>
      <c r="F351" s="9" t="s">
        <v>473</v>
      </c>
      <c r="G351" s="12">
        <v>10982706</v>
      </c>
      <c r="H351" s="18">
        <v>0</v>
      </c>
      <c r="I351" s="19">
        <v>0</v>
      </c>
      <c r="J351" s="12">
        <v>5442872.8099999996</v>
      </c>
      <c r="K351" s="16">
        <v>5539833.1900000004</v>
      </c>
      <c r="L351" s="128"/>
      <c r="M351" s="128"/>
      <c r="N351" s="128"/>
      <c r="O351" s="131">
        <v>1000000</v>
      </c>
      <c r="P351" s="128"/>
      <c r="Q351" s="128"/>
      <c r="R351" s="128"/>
      <c r="S351" s="131">
        <v>4539833</v>
      </c>
      <c r="T351" s="128"/>
      <c r="U351" s="129"/>
      <c r="V351" s="11">
        <f t="shared" si="7"/>
        <v>0.19000000040978193</v>
      </c>
      <c r="W351" s="17"/>
      <c r="X351" s="9" t="s">
        <v>922</v>
      </c>
    </row>
    <row r="352" spans="1:28" ht="25.5" x14ac:dyDescent="0.25">
      <c r="A352" s="7" t="s">
        <v>16</v>
      </c>
      <c r="B352" s="8">
        <v>8471220</v>
      </c>
      <c r="C352" s="9" t="s">
        <v>467</v>
      </c>
      <c r="D352" s="10">
        <v>436110</v>
      </c>
      <c r="E352" s="9" t="s">
        <v>158</v>
      </c>
      <c r="F352" s="9" t="s">
        <v>474</v>
      </c>
      <c r="G352" s="12">
        <v>131300</v>
      </c>
      <c r="H352" s="13"/>
      <c r="I352" s="14"/>
      <c r="J352" s="15"/>
      <c r="K352" s="16">
        <v>131300</v>
      </c>
      <c r="L352" s="128"/>
      <c r="M352" s="128"/>
      <c r="N352" s="128"/>
      <c r="O352" s="128"/>
      <c r="P352" s="128"/>
      <c r="Q352" s="128"/>
      <c r="R352" s="128"/>
      <c r="S352" s="128"/>
      <c r="T352" s="128"/>
      <c r="U352" s="130" t="s">
        <v>753</v>
      </c>
      <c r="V352" s="11">
        <f t="shared" si="7"/>
        <v>131300</v>
      </c>
      <c r="W352" s="17"/>
      <c r="X352" s="9" t="s">
        <v>922</v>
      </c>
    </row>
    <row r="353" spans="1:24" ht="89.25" x14ac:dyDescent="0.25">
      <c r="A353" s="7" t="s">
        <v>16</v>
      </c>
      <c r="B353" s="8">
        <v>8471230</v>
      </c>
      <c r="C353" s="9" t="s">
        <v>475</v>
      </c>
      <c r="D353" s="10">
        <v>425742</v>
      </c>
      <c r="E353" s="9" t="s">
        <v>476</v>
      </c>
      <c r="F353" s="9" t="s">
        <v>477</v>
      </c>
      <c r="G353" s="12">
        <v>1286117</v>
      </c>
      <c r="H353" s="18">
        <v>165671.23000000001</v>
      </c>
      <c r="I353" s="19">
        <v>-48572.43</v>
      </c>
      <c r="J353" s="12">
        <v>159251.43</v>
      </c>
      <c r="K353" s="16">
        <v>1009766.77</v>
      </c>
      <c r="L353" s="132">
        <v>66554</v>
      </c>
      <c r="M353" s="133">
        <v>281600</v>
      </c>
      <c r="N353" s="134">
        <v>50000</v>
      </c>
      <c r="O353" s="134"/>
      <c r="P353" s="134">
        <v>50000</v>
      </c>
      <c r="Q353" s="134">
        <v>20000</v>
      </c>
      <c r="R353" s="134">
        <v>319700</v>
      </c>
      <c r="S353" s="134">
        <v>191913</v>
      </c>
      <c r="T353" s="134">
        <v>30000</v>
      </c>
      <c r="U353" s="135" t="s">
        <v>755</v>
      </c>
      <c r="V353" s="11">
        <f t="shared" si="7"/>
        <v>-0.22999999998137355</v>
      </c>
      <c r="W353" s="17"/>
      <c r="X353" s="9" t="s">
        <v>922</v>
      </c>
    </row>
    <row r="354" spans="1:24" ht="25.5" x14ac:dyDescent="0.25">
      <c r="A354" s="7" t="s">
        <v>16</v>
      </c>
      <c r="B354" s="8">
        <v>8471230</v>
      </c>
      <c r="C354" s="9" t="s">
        <v>475</v>
      </c>
      <c r="D354" s="10">
        <v>426610</v>
      </c>
      <c r="E354" s="9" t="s">
        <v>39</v>
      </c>
      <c r="F354" s="9" t="s">
        <v>478</v>
      </c>
      <c r="G354" s="12">
        <v>14480</v>
      </c>
      <c r="H354" s="13"/>
      <c r="I354" s="14"/>
      <c r="J354" s="15"/>
      <c r="K354" s="16">
        <v>14480</v>
      </c>
      <c r="L354" s="132"/>
      <c r="M354" s="133"/>
      <c r="N354" s="134"/>
      <c r="O354" s="134"/>
      <c r="P354" s="134"/>
      <c r="Q354" s="134"/>
      <c r="R354" s="134"/>
      <c r="S354" s="134">
        <v>14480</v>
      </c>
      <c r="T354" s="134"/>
      <c r="U354" s="135" t="s">
        <v>756</v>
      </c>
      <c r="V354" s="11">
        <f t="shared" si="7"/>
        <v>0</v>
      </c>
      <c r="W354" s="17"/>
      <c r="X354" s="9" t="s">
        <v>922</v>
      </c>
    </row>
    <row r="355" spans="1:24" ht="25.5" x14ac:dyDescent="0.25">
      <c r="A355" s="7" t="s">
        <v>16</v>
      </c>
      <c r="B355" s="8">
        <v>8471240</v>
      </c>
      <c r="C355" s="9" t="s">
        <v>479</v>
      </c>
      <c r="D355" s="10">
        <v>425510</v>
      </c>
      <c r="E355" s="9" t="s">
        <v>20</v>
      </c>
      <c r="F355" s="9" t="s">
        <v>480</v>
      </c>
      <c r="G355" s="12">
        <v>72587</v>
      </c>
      <c r="H355" s="18">
        <v>8756.25</v>
      </c>
      <c r="I355" s="19">
        <v>0</v>
      </c>
      <c r="J355" s="12">
        <v>44020</v>
      </c>
      <c r="K355" s="16">
        <v>19810.75</v>
      </c>
      <c r="L355" s="55"/>
      <c r="M355" s="14"/>
      <c r="N355" s="17"/>
      <c r="O355" s="17"/>
      <c r="P355" s="11">
        <v>19811</v>
      </c>
      <c r="Q355" s="17"/>
      <c r="R355" s="17"/>
      <c r="S355" s="57"/>
      <c r="T355" s="57"/>
      <c r="U355" s="17" t="s">
        <v>739</v>
      </c>
      <c r="V355" s="11">
        <f t="shared" si="7"/>
        <v>-0.25</v>
      </c>
      <c r="W355" s="17"/>
      <c r="X355" s="9" t="s">
        <v>922</v>
      </c>
    </row>
    <row r="356" spans="1:24" ht="25.5" x14ac:dyDescent="0.25">
      <c r="A356" s="7" t="s">
        <v>16</v>
      </c>
      <c r="B356" s="8">
        <v>8471240</v>
      </c>
      <c r="C356" s="9" t="s">
        <v>479</v>
      </c>
      <c r="D356" s="10">
        <v>425720</v>
      </c>
      <c r="E356" s="9" t="s">
        <v>185</v>
      </c>
      <c r="F356" s="9" t="s">
        <v>481</v>
      </c>
      <c r="G356" s="12">
        <v>59520</v>
      </c>
      <c r="H356" s="13"/>
      <c r="I356" s="14"/>
      <c r="J356" s="15"/>
      <c r="K356" s="16">
        <v>59520</v>
      </c>
      <c r="L356" s="55"/>
      <c r="M356" s="54"/>
      <c r="N356" s="57"/>
      <c r="O356" s="57"/>
      <c r="P356" s="58">
        <v>59520</v>
      </c>
      <c r="Q356" s="57"/>
      <c r="R356" s="57"/>
      <c r="S356" s="57"/>
      <c r="T356" s="57"/>
      <c r="U356" s="57" t="s">
        <v>740</v>
      </c>
      <c r="V356" s="11">
        <f t="shared" si="7"/>
        <v>0</v>
      </c>
      <c r="W356" s="17"/>
      <c r="X356" s="9" t="s">
        <v>922</v>
      </c>
    </row>
    <row r="357" spans="1:24" ht="25.5" x14ac:dyDescent="0.25">
      <c r="A357" s="7" t="s">
        <v>16</v>
      </c>
      <c r="B357" s="8">
        <v>8471240</v>
      </c>
      <c r="C357" s="9" t="s">
        <v>479</v>
      </c>
      <c r="D357" s="10">
        <v>425761</v>
      </c>
      <c r="E357" s="9" t="s">
        <v>212</v>
      </c>
      <c r="F357" s="9" t="s">
        <v>482</v>
      </c>
      <c r="G357" s="12">
        <v>700000</v>
      </c>
      <c r="H357" s="13"/>
      <c r="I357" s="14"/>
      <c r="J357" s="15"/>
      <c r="K357" s="16">
        <v>700000</v>
      </c>
      <c r="L357" s="55"/>
      <c r="M357" s="54"/>
      <c r="N357" s="57"/>
      <c r="O357" s="11">
        <v>50000</v>
      </c>
      <c r="P357" s="11">
        <v>50000</v>
      </c>
      <c r="Q357" s="11">
        <v>150000</v>
      </c>
      <c r="R357" s="11">
        <v>150000</v>
      </c>
      <c r="S357" s="58">
        <v>150000</v>
      </c>
      <c r="T357" s="57">
        <v>150000</v>
      </c>
      <c r="U357" s="17" t="s">
        <v>741</v>
      </c>
      <c r="V357" s="11">
        <f t="shared" si="7"/>
        <v>0</v>
      </c>
      <c r="W357" s="17"/>
      <c r="X357" s="9" t="s">
        <v>922</v>
      </c>
    </row>
    <row r="358" spans="1:24" ht="25.5" x14ac:dyDescent="0.25">
      <c r="A358" s="7" t="s">
        <v>16</v>
      </c>
      <c r="B358" s="8">
        <v>8471240</v>
      </c>
      <c r="C358" s="9" t="s">
        <v>479</v>
      </c>
      <c r="D358" s="10">
        <v>425761</v>
      </c>
      <c r="E358" s="9" t="s">
        <v>212</v>
      </c>
      <c r="F358" s="9" t="s">
        <v>483</v>
      </c>
      <c r="G358" s="12">
        <v>610000</v>
      </c>
      <c r="H358" s="18">
        <v>13930</v>
      </c>
      <c r="I358" s="14"/>
      <c r="J358" s="15"/>
      <c r="K358" s="16">
        <v>596070</v>
      </c>
      <c r="L358" s="55"/>
      <c r="M358" s="54"/>
      <c r="N358" s="57"/>
      <c r="O358" s="11">
        <v>50000</v>
      </c>
      <c r="P358" s="11">
        <v>50000</v>
      </c>
      <c r="Q358" s="11">
        <v>100000</v>
      </c>
      <c r="R358" s="11">
        <v>100000</v>
      </c>
      <c r="S358" s="58">
        <v>100000</v>
      </c>
      <c r="T358" s="58">
        <v>196070</v>
      </c>
      <c r="U358" s="17" t="s">
        <v>741</v>
      </c>
      <c r="V358" s="11">
        <f t="shared" si="7"/>
        <v>0</v>
      </c>
      <c r="W358" s="17"/>
      <c r="X358" s="9" t="s">
        <v>922</v>
      </c>
    </row>
    <row r="359" spans="1:24" ht="25.5" x14ac:dyDescent="0.25">
      <c r="A359" s="7" t="s">
        <v>16</v>
      </c>
      <c r="B359" s="8">
        <v>8471240</v>
      </c>
      <c r="C359" s="9" t="s">
        <v>479</v>
      </c>
      <c r="D359" s="10">
        <v>425762</v>
      </c>
      <c r="E359" s="9" t="s">
        <v>111</v>
      </c>
      <c r="F359" s="9" t="s">
        <v>484</v>
      </c>
      <c r="G359" s="12">
        <v>567351</v>
      </c>
      <c r="H359" s="18">
        <v>41019</v>
      </c>
      <c r="I359" s="14"/>
      <c r="J359" s="15"/>
      <c r="K359" s="16">
        <v>526332</v>
      </c>
      <c r="L359" s="55"/>
      <c r="M359" s="54"/>
      <c r="N359" s="57"/>
      <c r="O359" s="58">
        <v>50000</v>
      </c>
      <c r="P359" s="58">
        <v>50000</v>
      </c>
      <c r="Q359" s="58">
        <v>100000</v>
      </c>
      <c r="R359" s="58">
        <v>100000</v>
      </c>
      <c r="S359" s="58">
        <v>100000</v>
      </c>
      <c r="T359" s="58">
        <v>126332</v>
      </c>
      <c r="U359" s="57" t="s">
        <v>742</v>
      </c>
      <c r="V359" s="11">
        <f t="shared" si="7"/>
        <v>0</v>
      </c>
      <c r="W359" s="17"/>
      <c r="X359" s="9" t="s">
        <v>922</v>
      </c>
    </row>
    <row r="360" spans="1:24" ht="25.5" x14ac:dyDescent="0.25">
      <c r="A360" s="7" t="s">
        <v>16</v>
      </c>
      <c r="B360" s="8">
        <v>8471240</v>
      </c>
      <c r="C360" s="9" t="s">
        <v>479</v>
      </c>
      <c r="D360" s="10">
        <v>425900</v>
      </c>
      <c r="E360" s="9" t="s">
        <v>24</v>
      </c>
      <c r="F360" s="9" t="s">
        <v>485</v>
      </c>
      <c r="G360" s="12">
        <v>3840</v>
      </c>
      <c r="H360" s="18">
        <v>3280.2</v>
      </c>
      <c r="I360" s="14"/>
      <c r="J360" s="15"/>
      <c r="K360" s="16">
        <v>559.79999999999995</v>
      </c>
      <c r="L360" s="55"/>
      <c r="M360" s="54"/>
      <c r="N360" s="57"/>
      <c r="O360" s="17">
        <v>560</v>
      </c>
      <c r="P360" s="17"/>
      <c r="Q360" s="57"/>
      <c r="R360" s="57"/>
      <c r="S360" s="57"/>
      <c r="T360" s="57"/>
      <c r="U360" s="57" t="s">
        <v>740</v>
      </c>
      <c r="V360" s="11">
        <f t="shared" si="7"/>
        <v>-0.20000000000004547</v>
      </c>
      <c r="W360" s="17"/>
      <c r="X360" s="9" t="s">
        <v>922</v>
      </c>
    </row>
    <row r="361" spans="1:24" ht="25.5" x14ac:dyDescent="0.25">
      <c r="A361" s="7" t="s">
        <v>16</v>
      </c>
      <c r="B361" s="8">
        <v>8471240</v>
      </c>
      <c r="C361" s="9" t="s">
        <v>479</v>
      </c>
      <c r="D361" s="10">
        <v>426610</v>
      </c>
      <c r="E361" s="9" t="s">
        <v>39</v>
      </c>
      <c r="F361" s="9" t="s">
        <v>486</v>
      </c>
      <c r="G361" s="12">
        <v>362782</v>
      </c>
      <c r="H361" s="18">
        <v>362782.21</v>
      </c>
      <c r="I361" s="19">
        <v>-217669.33</v>
      </c>
      <c r="J361" s="12">
        <v>72556.45</v>
      </c>
      <c r="K361" s="16">
        <v>145112.67000000001</v>
      </c>
      <c r="L361" s="55"/>
      <c r="M361" s="54"/>
      <c r="N361" s="57"/>
      <c r="O361" s="57"/>
      <c r="P361" s="57"/>
      <c r="Q361" s="58">
        <v>145113</v>
      </c>
      <c r="R361" s="57"/>
      <c r="S361" s="57"/>
      <c r="T361" s="57"/>
      <c r="U361" s="57" t="s">
        <v>743</v>
      </c>
      <c r="V361" s="11">
        <f t="shared" si="7"/>
        <v>-0.32999999998719431</v>
      </c>
      <c r="W361" s="17"/>
      <c r="X361" s="9" t="s">
        <v>922</v>
      </c>
    </row>
    <row r="362" spans="1:24" ht="25.5" x14ac:dyDescent="0.25">
      <c r="A362" s="7" t="s">
        <v>16</v>
      </c>
      <c r="B362" s="8">
        <v>8471240</v>
      </c>
      <c r="C362" s="9" t="s">
        <v>479</v>
      </c>
      <c r="D362" s="10">
        <v>427710</v>
      </c>
      <c r="E362" s="9" t="s">
        <v>45</v>
      </c>
      <c r="F362" s="9" t="s">
        <v>487</v>
      </c>
      <c r="G362" s="12">
        <v>11019</v>
      </c>
      <c r="H362" s="13"/>
      <c r="I362" s="14"/>
      <c r="J362" s="15"/>
      <c r="K362" s="16">
        <v>11019</v>
      </c>
      <c r="L362" s="55"/>
      <c r="M362" s="54"/>
      <c r="N362" s="57"/>
      <c r="O362" s="57"/>
      <c r="P362" s="57"/>
      <c r="Q362" s="57"/>
      <c r="R362" s="57"/>
      <c r="S362" s="58">
        <v>11019</v>
      </c>
      <c r="T362" s="57"/>
      <c r="U362" s="57" t="s">
        <v>744</v>
      </c>
      <c r="V362" s="11">
        <f t="shared" si="7"/>
        <v>0</v>
      </c>
      <c r="W362" s="17"/>
      <c r="X362" s="9" t="s">
        <v>922</v>
      </c>
    </row>
    <row r="363" spans="1:24" ht="25.5" x14ac:dyDescent="0.25">
      <c r="A363" s="7" t="s">
        <v>16</v>
      </c>
      <c r="B363" s="8">
        <v>8471240</v>
      </c>
      <c r="C363" s="9" t="s">
        <v>479</v>
      </c>
      <c r="D363" s="10">
        <v>428090</v>
      </c>
      <c r="E363" s="9" t="s">
        <v>26</v>
      </c>
      <c r="F363" s="9" t="s">
        <v>488</v>
      </c>
      <c r="G363" s="12">
        <v>20092</v>
      </c>
      <c r="H363" s="18">
        <v>8069.2</v>
      </c>
      <c r="I363" s="14"/>
      <c r="J363" s="15"/>
      <c r="K363" s="16">
        <v>12022.8</v>
      </c>
      <c r="L363" s="55"/>
      <c r="M363" s="54"/>
      <c r="N363" s="57"/>
      <c r="O363" s="57"/>
      <c r="P363" s="57"/>
      <c r="Q363" s="57"/>
      <c r="R363" s="58">
        <v>12023</v>
      </c>
      <c r="S363" s="57"/>
      <c r="T363" s="57"/>
      <c r="U363" s="57" t="s">
        <v>745</v>
      </c>
      <c r="V363" s="11">
        <f t="shared" si="7"/>
        <v>-0.2000000000007276</v>
      </c>
      <c r="W363" s="17"/>
      <c r="X363" s="9" t="s">
        <v>922</v>
      </c>
    </row>
    <row r="364" spans="1:24" ht="75" x14ac:dyDescent="0.25">
      <c r="A364" s="7" t="s">
        <v>16</v>
      </c>
      <c r="B364" s="8">
        <v>8471250</v>
      </c>
      <c r="C364" s="9" t="s">
        <v>489</v>
      </c>
      <c r="D364" s="10">
        <v>425510</v>
      </c>
      <c r="E364" s="9" t="s">
        <v>20</v>
      </c>
      <c r="F364" s="9" t="s">
        <v>490</v>
      </c>
      <c r="G364" s="12">
        <v>300000</v>
      </c>
      <c r="H364" s="13"/>
      <c r="I364" s="14"/>
      <c r="J364" s="15"/>
      <c r="K364" s="16">
        <v>300000</v>
      </c>
      <c r="L364" s="94"/>
      <c r="M364" s="95"/>
      <c r="N364" s="96"/>
      <c r="O364" s="97">
        <v>300000</v>
      </c>
      <c r="P364" s="94"/>
      <c r="Q364" s="98"/>
      <c r="R364" s="98"/>
      <c r="S364" s="99"/>
      <c r="T364" s="99"/>
      <c r="U364" s="100" t="s">
        <v>730</v>
      </c>
      <c r="V364" s="11">
        <f t="shared" si="7"/>
        <v>0</v>
      </c>
      <c r="W364" s="17"/>
      <c r="X364" s="9" t="s">
        <v>922</v>
      </c>
    </row>
    <row r="365" spans="1:24" ht="51" x14ac:dyDescent="0.25">
      <c r="A365" s="7" t="s">
        <v>16</v>
      </c>
      <c r="B365" s="8">
        <v>8471250</v>
      </c>
      <c r="C365" s="9" t="s">
        <v>489</v>
      </c>
      <c r="D365" s="10">
        <v>425510</v>
      </c>
      <c r="E365" s="9" t="s">
        <v>20</v>
      </c>
      <c r="F365" s="9" t="s">
        <v>491</v>
      </c>
      <c r="G365" s="12">
        <v>350000</v>
      </c>
      <c r="H365" s="13"/>
      <c r="I365" s="14"/>
      <c r="J365" s="15"/>
      <c r="K365" s="16">
        <v>350000</v>
      </c>
      <c r="L365" s="94"/>
      <c r="M365" s="95"/>
      <c r="N365" s="96"/>
      <c r="O365" s="96"/>
      <c r="P365" s="94"/>
      <c r="Q365" s="101">
        <v>250000</v>
      </c>
      <c r="R365" s="101"/>
      <c r="S365" s="101">
        <v>100000</v>
      </c>
      <c r="T365" s="101"/>
      <c r="U365" s="102" t="s">
        <v>731</v>
      </c>
      <c r="V365" s="11">
        <f t="shared" si="7"/>
        <v>0</v>
      </c>
      <c r="W365" s="17"/>
      <c r="X365" s="9" t="s">
        <v>922</v>
      </c>
    </row>
    <row r="366" spans="1:24" ht="76.5" x14ac:dyDescent="0.25">
      <c r="A366" s="7" t="s">
        <v>16</v>
      </c>
      <c r="B366" s="8">
        <v>8471250</v>
      </c>
      <c r="C366" s="9" t="s">
        <v>489</v>
      </c>
      <c r="D366" s="10">
        <v>425510</v>
      </c>
      <c r="E366" s="9" t="s">
        <v>20</v>
      </c>
      <c r="F366" s="9" t="s">
        <v>492</v>
      </c>
      <c r="G366" s="12">
        <v>1277041</v>
      </c>
      <c r="H366" s="18">
        <v>3349.5</v>
      </c>
      <c r="I366" s="19">
        <v>0</v>
      </c>
      <c r="J366" s="12">
        <v>86000</v>
      </c>
      <c r="K366" s="16">
        <v>1187691.5</v>
      </c>
      <c r="L366" s="103">
        <v>105000</v>
      </c>
      <c r="M366" s="104">
        <v>7350</v>
      </c>
      <c r="N366" s="97"/>
      <c r="O366" s="97">
        <v>250000</v>
      </c>
      <c r="P366" s="103">
        <v>500000</v>
      </c>
      <c r="Q366" s="101">
        <v>150000</v>
      </c>
      <c r="R366" s="101">
        <v>80000</v>
      </c>
      <c r="S366" s="101">
        <v>95340</v>
      </c>
      <c r="T366" s="105"/>
      <c r="U366" s="106" t="s">
        <v>732</v>
      </c>
      <c r="V366" s="11">
        <f t="shared" si="7"/>
        <v>1.5</v>
      </c>
      <c r="W366" s="17"/>
      <c r="X366" s="9" t="s">
        <v>922</v>
      </c>
    </row>
    <row r="367" spans="1:24" ht="51" x14ac:dyDescent="0.25">
      <c r="A367" s="7" t="s">
        <v>16</v>
      </c>
      <c r="B367" s="8">
        <v>8471250</v>
      </c>
      <c r="C367" s="9" t="s">
        <v>489</v>
      </c>
      <c r="D367" s="10">
        <v>425762</v>
      </c>
      <c r="E367" s="9" t="s">
        <v>111</v>
      </c>
      <c r="F367" s="9" t="s">
        <v>493</v>
      </c>
      <c r="G367" s="12">
        <v>750000</v>
      </c>
      <c r="H367" s="13"/>
      <c r="I367" s="14"/>
      <c r="J367" s="15"/>
      <c r="K367" s="16">
        <v>750000</v>
      </c>
      <c r="L367" s="94"/>
      <c r="M367" s="104">
        <v>750000</v>
      </c>
      <c r="N367" s="96"/>
      <c r="O367" s="96"/>
      <c r="P367" s="94"/>
      <c r="Q367" s="98"/>
      <c r="R367" s="98"/>
      <c r="S367" s="98"/>
      <c r="T367" s="98"/>
      <c r="U367" s="106" t="s">
        <v>733</v>
      </c>
      <c r="V367" s="11">
        <f t="shared" si="7"/>
        <v>0</v>
      </c>
      <c r="W367" s="17"/>
      <c r="X367" s="9" t="s">
        <v>922</v>
      </c>
    </row>
    <row r="368" spans="1:24" ht="51" x14ac:dyDescent="0.25">
      <c r="A368" s="7" t="s">
        <v>16</v>
      </c>
      <c r="B368" s="8">
        <v>8471250</v>
      </c>
      <c r="C368" s="9" t="s">
        <v>489</v>
      </c>
      <c r="D368" s="10">
        <v>425762</v>
      </c>
      <c r="E368" s="9" t="s">
        <v>111</v>
      </c>
      <c r="F368" s="9" t="s">
        <v>494</v>
      </c>
      <c r="G368" s="12">
        <v>1233338</v>
      </c>
      <c r="H368" s="13"/>
      <c r="I368" s="14"/>
      <c r="J368" s="15"/>
      <c r="K368" s="16">
        <v>1233338</v>
      </c>
      <c r="L368" s="94"/>
      <c r="M368" s="104">
        <v>1233338</v>
      </c>
      <c r="N368" s="96"/>
      <c r="O368" s="96"/>
      <c r="P368" s="94"/>
      <c r="Q368" s="98"/>
      <c r="R368" s="98"/>
      <c r="S368" s="98"/>
      <c r="T368" s="98"/>
      <c r="U368" s="106" t="s">
        <v>733</v>
      </c>
      <c r="V368" s="11">
        <f t="shared" si="7"/>
        <v>0</v>
      </c>
      <c r="W368" s="17"/>
      <c r="X368" s="9" t="s">
        <v>922</v>
      </c>
    </row>
    <row r="369" spans="1:24" ht="25.5" x14ac:dyDescent="0.25">
      <c r="A369" s="7" t="s">
        <v>16</v>
      </c>
      <c r="B369" s="8">
        <v>8471250</v>
      </c>
      <c r="C369" s="9" t="s">
        <v>489</v>
      </c>
      <c r="D369" s="10">
        <v>425900</v>
      </c>
      <c r="E369" s="9" t="s">
        <v>24</v>
      </c>
      <c r="F369" s="9" t="s">
        <v>495</v>
      </c>
      <c r="G369" s="12">
        <v>0</v>
      </c>
      <c r="H369" s="13"/>
      <c r="I369" s="14"/>
      <c r="J369" s="15"/>
      <c r="K369" s="16">
        <v>0</v>
      </c>
      <c r="L369" s="94"/>
      <c r="M369" s="95"/>
      <c r="N369" s="96"/>
      <c r="O369" s="96"/>
      <c r="P369" s="94"/>
      <c r="Q369" s="98"/>
      <c r="R369" s="98"/>
      <c r="S369" s="98"/>
      <c r="T369" s="98"/>
      <c r="U369" s="106"/>
      <c r="V369" s="11">
        <f t="shared" si="7"/>
        <v>0</v>
      </c>
      <c r="W369" s="17"/>
      <c r="X369" s="9" t="s">
        <v>922</v>
      </c>
    </row>
    <row r="370" spans="1:24" ht="38.25" x14ac:dyDescent="0.25">
      <c r="A370" s="7" t="s">
        <v>16</v>
      </c>
      <c r="B370" s="8">
        <v>8471250</v>
      </c>
      <c r="C370" s="9" t="s">
        <v>489</v>
      </c>
      <c r="D370" s="10">
        <v>426610</v>
      </c>
      <c r="E370" s="9" t="s">
        <v>39</v>
      </c>
      <c r="F370" s="9" t="s">
        <v>496</v>
      </c>
      <c r="G370" s="12">
        <v>300000</v>
      </c>
      <c r="H370" s="13"/>
      <c r="I370" s="14"/>
      <c r="J370" s="15"/>
      <c r="K370" s="16">
        <v>300000</v>
      </c>
      <c r="L370" s="94"/>
      <c r="M370" s="95"/>
      <c r="N370" s="96"/>
      <c r="O370" s="96"/>
      <c r="P370" s="94"/>
      <c r="Q370" s="101">
        <v>65000</v>
      </c>
      <c r="R370" s="101">
        <v>148000</v>
      </c>
      <c r="S370" s="98"/>
      <c r="T370" s="99"/>
      <c r="U370" s="106" t="s">
        <v>734</v>
      </c>
      <c r="V370" s="11">
        <f t="shared" si="7"/>
        <v>87000</v>
      </c>
      <c r="W370" s="109" t="s">
        <v>738</v>
      </c>
      <c r="X370" s="9" t="s">
        <v>922</v>
      </c>
    </row>
    <row r="371" spans="1:24" ht="25.5" x14ac:dyDescent="0.25">
      <c r="A371" s="7" t="s">
        <v>16</v>
      </c>
      <c r="B371" s="8">
        <v>8471250</v>
      </c>
      <c r="C371" s="9" t="s">
        <v>489</v>
      </c>
      <c r="D371" s="10">
        <v>426610</v>
      </c>
      <c r="E371" s="9" t="s">
        <v>39</v>
      </c>
      <c r="F371" s="9" t="s">
        <v>497</v>
      </c>
      <c r="G371" s="12">
        <v>340605</v>
      </c>
      <c r="H371" s="13"/>
      <c r="I371" s="14"/>
      <c r="J371" s="15"/>
      <c r="K371" s="16">
        <v>340605</v>
      </c>
      <c r="L371" s="94"/>
      <c r="M371" s="107"/>
      <c r="N371" s="96"/>
      <c r="O371" s="96"/>
      <c r="P371" s="94"/>
      <c r="Q371" s="98"/>
      <c r="R371" s="98"/>
      <c r="S371" s="98"/>
      <c r="T371" s="104">
        <v>340605</v>
      </c>
      <c r="U371" s="106" t="s">
        <v>735</v>
      </c>
      <c r="V371" s="11">
        <f t="shared" si="7"/>
        <v>0</v>
      </c>
      <c r="W371" s="17"/>
      <c r="X371" s="9" t="s">
        <v>922</v>
      </c>
    </row>
    <row r="372" spans="1:24" ht="25.5" x14ac:dyDescent="0.25">
      <c r="A372" s="7" t="s">
        <v>16</v>
      </c>
      <c r="B372" s="8">
        <v>8471250</v>
      </c>
      <c r="C372" s="9" t="s">
        <v>489</v>
      </c>
      <c r="D372" s="10">
        <v>428090</v>
      </c>
      <c r="E372" s="9" t="s">
        <v>26</v>
      </c>
      <c r="F372" s="9" t="s">
        <v>498</v>
      </c>
      <c r="G372" s="12">
        <v>20000</v>
      </c>
      <c r="H372" s="18">
        <v>10917.67</v>
      </c>
      <c r="I372" s="14"/>
      <c r="J372" s="15"/>
      <c r="K372" s="16">
        <v>9082.33</v>
      </c>
      <c r="L372" s="108">
        <v>9082.33</v>
      </c>
      <c r="M372" s="99"/>
      <c r="N372" s="96"/>
      <c r="O372" s="96"/>
      <c r="P372" s="96"/>
      <c r="Q372" s="96"/>
      <c r="R372" s="96"/>
      <c r="S372" s="96"/>
      <c r="T372" s="96"/>
      <c r="U372" s="109" t="s">
        <v>736</v>
      </c>
      <c r="V372" s="11">
        <f t="shared" si="7"/>
        <v>0</v>
      </c>
      <c r="W372" s="17"/>
      <c r="X372" s="9" t="s">
        <v>922</v>
      </c>
    </row>
    <row r="373" spans="1:24" ht="25.5" x14ac:dyDescent="0.25">
      <c r="A373" s="7" t="s">
        <v>16</v>
      </c>
      <c r="B373" s="8">
        <v>8471250</v>
      </c>
      <c r="C373" s="9" t="s">
        <v>489</v>
      </c>
      <c r="D373" s="10">
        <v>436110</v>
      </c>
      <c r="E373" s="9" t="s">
        <v>158</v>
      </c>
      <c r="F373" s="9" t="s">
        <v>499</v>
      </c>
      <c r="G373" s="12">
        <v>12375</v>
      </c>
      <c r="H373" s="13"/>
      <c r="I373" s="19">
        <v>12167.5</v>
      </c>
      <c r="J373" s="15"/>
      <c r="K373" s="16">
        <v>207.5</v>
      </c>
      <c r="L373" s="94"/>
      <c r="M373" s="104">
        <v>207.5</v>
      </c>
      <c r="N373" s="96"/>
      <c r="O373" s="96"/>
      <c r="P373" s="96"/>
      <c r="Q373" s="96"/>
      <c r="R373" s="96"/>
      <c r="S373" s="96"/>
      <c r="T373" s="96"/>
      <c r="U373" s="109" t="s">
        <v>737</v>
      </c>
      <c r="V373" s="11">
        <f t="shared" si="7"/>
        <v>0</v>
      </c>
      <c r="W373" s="17"/>
      <c r="X373" s="9" t="s">
        <v>922</v>
      </c>
    </row>
    <row r="374" spans="1:24" ht="63.75" x14ac:dyDescent="0.25">
      <c r="A374" s="7" t="s">
        <v>16</v>
      </c>
      <c r="B374" s="8">
        <v>8471260</v>
      </c>
      <c r="C374" s="9" t="s">
        <v>500</v>
      </c>
      <c r="D374" s="110">
        <v>413310</v>
      </c>
      <c r="E374" s="111" t="s">
        <v>630</v>
      </c>
      <c r="F374" s="111" t="s">
        <v>637</v>
      </c>
      <c r="G374" s="112">
        <v>1491908</v>
      </c>
      <c r="H374" s="113">
        <v>355354.55</v>
      </c>
      <c r="I374" s="114"/>
      <c r="J374" s="112">
        <v>176985</v>
      </c>
      <c r="K374" s="114">
        <v>959568.45</v>
      </c>
      <c r="L374" s="115">
        <f>(103241+9833)</f>
        <v>113074</v>
      </c>
      <c r="M374" s="116">
        <f>(103241+9833+39847.5)</f>
        <v>152921.5</v>
      </c>
      <c r="N374" s="86">
        <f>(103241+9833)</f>
        <v>113074</v>
      </c>
      <c r="O374" s="86">
        <f>(103241+9833+178677.4)</f>
        <v>291751.40000000002</v>
      </c>
      <c r="P374" s="86">
        <f>(103241+9833)</f>
        <v>113074</v>
      </c>
      <c r="Q374" s="86">
        <f>(103241+9833)</f>
        <v>113074</v>
      </c>
      <c r="R374" s="86">
        <f>(103241+9833)</f>
        <v>113074</v>
      </c>
      <c r="S374" s="86">
        <f>(103241+9833)</f>
        <v>113074</v>
      </c>
      <c r="T374" s="86">
        <f>(103241+9833)</f>
        <v>113074</v>
      </c>
      <c r="U374" s="9" t="s">
        <v>746</v>
      </c>
      <c r="V374" s="11">
        <f t="shared" si="7"/>
        <v>-276622.45000000007</v>
      </c>
      <c r="W374" s="9" t="s">
        <v>747</v>
      </c>
      <c r="X374" s="9" t="s">
        <v>922</v>
      </c>
    </row>
    <row r="375" spans="1:24" ht="25.5" x14ac:dyDescent="0.25">
      <c r="A375" s="7" t="s">
        <v>16</v>
      </c>
      <c r="B375" s="8">
        <v>8471260</v>
      </c>
      <c r="C375" s="9" t="s">
        <v>500</v>
      </c>
      <c r="D375" s="10">
        <v>425510</v>
      </c>
      <c r="E375" s="9" t="s">
        <v>20</v>
      </c>
      <c r="F375" s="9" t="s">
        <v>501</v>
      </c>
      <c r="G375" s="12">
        <v>83642</v>
      </c>
      <c r="H375" s="18">
        <v>787.5</v>
      </c>
      <c r="I375" s="14"/>
      <c r="J375" s="15"/>
      <c r="K375" s="16">
        <v>82854.5</v>
      </c>
      <c r="L375" s="94">
        <v>14000</v>
      </c>
      <c r="M375" s="95"/>
      <c r="N375" s="96"/>
      <c r="O375" s="96"/>
      <c r="P375" s="96"/>
      <c r="Q375" s="96"/>
      <c r="R375" s="96">
        <v>68854.5</v>
      </c>
      <c r="S375" s="96"/>
      <c r="T375" s="96"/>
      <c r="U375" s="136" t="s">
        <v>757</v>
      </c>
      <c r="V375" s="11">
        <f t="shared" si="7"/>
        <v>0</v>
      </c>
      <c r="W375" s="138"/>
      <c r="X375" s="9" t="s">
        <v>922</v>
      </c>
    </row>
    <row r="376" spans="1:24" ht="102" x14ac:dyDescent="0.25">
      <c r="A376" s="7" t="s">
        <v>16</v>
      </c>
      <c r="B376" s="8">
        <v>8471260</v>
      </c>
      <c r="C376" s="9" t="s">
        <v>500</v>
      </c>
      <c r="D376" s="10">
        <v>425746</v>
      </c>
      <c r="E376" s="9" t="s">
        <v>502</v>
      </c>
      <c r="F376" s="9" t="s">
        <v>503</v>
      </c>
      <c r="G376" s="12">
        <v>13916828</v>
      </c>
      <c r="H376" s="18">
        <v>29290.86</v>
      </c>
      <c r="I376" s="19">
        <v>0</v>
      </c>
      <c r="J376" s="12">
        <v>13000000</v>
      </c>
      <c r="K376" s="16">
        <v>887537.14000000095</v>
      </c>
      <c r="L376" s="94"/>
      <c r="M376" s="95"/>
      <c r="N376" s="96"/>
      <c r="O376" s="96"/>
      <c r="P376" s="96"/>
      <c r="Q376" s="137">
        <v>690000</v>
      </c>
      <c r="R376" s="137">
        <v>690000</v>
      </c>
      <c r="S376" s="137">
        <v>604100</v>
      </c>
      <c r="T376" s="137">
        <v>500000</v>
      </c>
      <c r="U376" s="138" t="s">
        <v>758</v>
      </c>
      <c r="V376" s="11">
        <f t="shared" si="7"/>
        <v>-1596562.8599999989</v>
      </c>
      <c r="W376" s="138" t="s">
        <v>766</v>
      </c>
      <c r="X376" s="9" t="s">
        <v>922</v>
      </c>
    </row>
    <row r="377" spans="1:24" ht="127.5" x14ac:dyDescent="0.25">
      <c r="A377" s="7" t="s">
        <v>16</v>
      </c>
      <c r="B377" s="8">
        <v>8471260</v>
      </c>
      <c r="C377" s="9" t="s">
        <v>500</v>
      </c>
      <c r="D377" s="10">
        <v>425747</v>
      </c>
      <c r="E377" s="9" t="s">
        <v>80</v>
      </c>
      <c r="F377" s="9" t="s">
        <v>504</v>
      </c>
      <c r="G377" s="12">
        <v>540994</v>
      </c>
      <c r="H377" s="13"/>
      <c r="I377" s="19">
        <v>0</v>
      </c>
      <c r="J377" s="15"/>
      <c r="K377" s="16">
        <v>540994</v>
      </c>
      <c r="L377" s="94">
        <v>5000</v>
      </c>
      <c r="M377" s="95">
        <f>(150000+32000+11000+7000+50000)</f>
        <v>250000</v>
      </c>
      <c r="N377" s="96">
        <v>6000</v>
      </c>
      <c r="O377" s="96">
        <v>0</v>
      </c>
      <c r="P377" s="97">
        <v>10600</v>
      </c>
      <c r="Q377" s="96">
        <v>250000</v>
      </c>
      <c r="R377" s="96">
        <v>6000</v>
      </c>
      <c r="S377" s="96">
        <v>6000</v>
      </c>
      <c r="T377" s="96">
        <v>7394</v>
      </c>
      <c r="U377" s="138" t="s">
        <v>759</v>
      </c>
      <c r="V377" s="11">
        <f t="shared" si="7"/>
        <v>0</v>
      </c>
      <c r="W377" s="138"/>
      <c r="X377" s="9" t="s">
        <v>922</v>
      </c>
    </row>
    <row r="378" spans="1:24" ht="114.75" x14ac:dyDescent="0.25">
      <c r="A378" s="7" t="s">
        <v>16</v>
      </c>
      <c r="B378" s="8">
        <v>8471260</v>
      </c>
      <c r="C378" s="9" t="s">
        <v>500</v>
      </c>
      <c r="D378" s="10">
        <v>425760</v>
      </c>
      <c r="E378" s="9" t="s">
        <v>116</v>
      </c>
      <c r="F378" s="9" t="s">
        <v>505</v>
      </c>
      <c r="G378" s="12">
        <v>508333</v>
      </c>
      <c r="H378" s="18">
        <v>100904.95</v>
      </c>
      <c r="I378" s="19">
        <v>-12000</v>
      </c>
      <c r="J378" s="12">
        <v>94600</v>
      </c>
      <c r="K378" s="16">
        <v>324828.05</v>
      </c>
      <c r="L378" s="94">
        <f>(3433+37700+5000)</f>
        <v>46133</v>
      </c>
      <c r="M378" s="95">
        <f>(50000+90000+5000+507600)</f>
        <v>652600</v>
      </c>
      <c r="N378" s="96">
        <v>5000</v>
      </c>
      <c r="O378" s="96"/>
      <c r="P378" s="96"/>
      <c r="Q378" s="96">
        <v>5000</v>
      </c>
      <c r="R378" s="96">
        <f>(5000+50000)</f>
        <v>55000</v>
      </c>
      <c r="S378" s="96">
        <f>(60000+5000)</f>
        <v>65000</v>
      </c>
      <c r="T378" s="96">
        <v>5000</v>
      </c>
      <c r="U378" s="138" t="s">
        <v>760</v>
      </c>
      <c r="V378" s="11">
        <f t="shared" si="7"/>
        <v>-508904.95</v>
      </c>
      <c r="W378" s="138" t="s">
        <v>767</v>
      </c>
      <c r="X378" s="9" t="s">
        <v>922</v>
      </c>
    </row>
    <row r="379" spans="1:24" ht="127.5" x14ac:dyDescent="0.25">
      <c r="A379" s="7" t="s">
        <v>16</v>
      </c>
      <c r="B379" s="8">
        <v>8471260</v>
      </c>
      <c r="C379" s="9" t="s">
        <v>500</v>
      </c>
      <c r="D379" s="10">
        <v>425900</v>
      </c>
      <c r="E379" s="9" t="s">
        <v>24</v>
      </c>
      <c r="F379" s="9" t="s">
        <v>506</v>
      </c>
      <c r="G379" s="12">
        <v>67460</v>
      </c>
      <c r="H379" s="18">
        <v>37774.65</v>
      </c>
      <c r="I379" s="14"/>
      <c r="J379" s="15"/>
      <c r="K379" s="16">
        <v>29685.35</v>
      </c>
      <c r="L379" s="103">
        <f>(18900+11600)</f>
        <v>30500</v>
      </c>
      <c r="M379" s="95">
        <v>3000</v>
      </c>
      <c r="N379" s="96">
        <v>1000</v>
      </c>
      <c r="O379" s="96"/>
      <c r="P379" s="97">
        <v>40000</v>
      </c>
      <c r="Q379" s="96">
        <v>5000</v>
      </c>
      <c r="R379" s="96">
        <v>3000</v>
      </c>
      <c r="S379" s="96">
        <v>12000</v>
      </c>
      <c r="T379" s="96"/>
      <c r="U379" s="138" t="s">
        <v>761</v>
      </c>
      <c r="V379" s="11">
        <f t="shared" si="7"/>
        <v>-64814.65</v>
      </c>
      <c r="W379" s="138" t="s">
        <v>768</v>
      </c>
      <c r="X379" s="9" t="s">
        <v>922</v>
      </c>
    </row>
    <row r="380" spans="1:24" ht="38.25" x14ac:dyDescent="0.25">
      <c r="A380" s="7" t="s">
        <v>16</v>
      </c>
      <c r="B380" s="8">
        <v>8471260</v>
      </c>
      <c r="C380" s="9" t="s">
        <v>500</v>
      </c>
      <c r="D380" s="10">
        <v>428640</v>
      </c>
      <c r="E380" s="9" t="s">
        <v>59</v>
      </c>
      <c r="F380" s="9" t="s">
        <v>507</v>
      </c>
      <c r="G380" s="12">
        <v>12800</v>
      </c>
      <c r="H380" s="18">
        <v>857.14</v>
      </c>
      <c r="I380" s="14"/>
      <c r="J380" s="15"/>
      <c r="K380" s="16">
        <v>11942.86</v>
      </c>
      <c r="L380" s="94">
        <v>3400</v>
      </c>
      <c r="M380" s="95">
        <v>3000</v>
      </c>
      <c r="N380" s="96"/>
      <c r="O380" s="96"/>
      <c r="P380" s="96"/>
      <c r="Q380" s="96">
        <v>1500</v>
      </c>
      <c r="R380" s="96">
        <v>1500</v>
      </c>
      <c r="S380" s="96">
        <v>2543</v>
      </c>
      <c r="T380" s="96"/>
      <c r="U380" s="138" t="s">
        <v>762</v>
      </c>
      <c r="V380" s="11">
        <f t="shared" si="7"/>
        <v>-0.13999999999941792</v>
      </c>
      <c r="W380" s="138"/>
      <c r="X380" s="9" t="s">
        <v>922</v>
      </c>
    </row>
    <row r="381" spans="1:24" ht="51" x14ac:dyDescent="0.25">
      <c r="A381" s="7" t="s">
        <v>16</v>
      </c>
      <c r="B381" s="8">
        <v>8471260</v>
      </c>
      <c r="C381" s="9" t="s">
        <v>500</v>
      </c>
      <c r="D381" s="10">
        <v>429900</v>
      </c>
      <c r="E381" s="9" t="s">
        <v>270</v>
      </c>
      <c r="F381" s="9" t="s">
        <v>508</v>
      </c>
      <c r="G381" s="12">
        <v>250000</v>
      </c>
      <c r="H381" s="18">
        <v>27782.5</v>
      </c>
      <c r="I381" s="14"/>
      <c r="J381" s="15"/>
      <c r="K381" s="16">
        <v>222217.5</v>
      </c>
      <c r="L381" s="94">
        <v>54322</v>
      </c>
      <c r="M381" s="95">
        <v>36399.5</v>
      </c>
      <c r="N381" s="96">
        <v>27450</v>
      </c>
      <c r="O381" s="96">
        <v>27450</v>
      </c>
      <c r="P381" s="96">
        <v>35000</v>
      </c>
      <c r="Q381" s="96">
        <v>0</v>
      </c>
      <c r="R381" s="96">
        <v>25532</v>
      </c>
      <c r="S381" s="96">
        <v>25532</v>
      </c>
      <c r="T381" s="96">
        <f>(25532+35000)</f>
        <v>60532</v>
      </c>
      <c r="U381" s="138" t="s">
        <v>763</v>
      </c>
      <c r="V381" s="11">
        <f t="shared" si="7"/>
        <v>-70000</v>
      </c>
      <c r="W381" s="138" t="s">
        <v>769</v>
      </c>
      <c r="X381" s="9" t="s">
        <v>922</v>
      </c>
    </row>
    <row r="382" spans="1:24" ht="76.5" x14ac:dyDescent="0.25">
      <c r="A382" s="7" t="s">
        <v>16</v>
      </c>
      <c r="B382" s="8">
        <v>8471260</v>
      </c>
      <c r="C382" s="9" t="s">
        <v>500</v>
      </c>
      <c r="D382" s="10">
        <v>435530</v>
      </c>
      <c r="E382" s="9" t="s">
        <v>509</v>
      </c>
      <c r="F382" s="9" t="s">
        <v>510</v>
      </c>
      <c r="G382" s="12">
        <v>8518</v>
      </c>
      <c r="H382" s="18">
        <v>1022.86</v>
      </c>
      <c r="I382" s="19">
        <v>0</v>
      </c>
      <c r="J382" s="12">
        <v>0</v>
      </c>
      <c r="K382" s="16">
        <v>7495.14</v>
      </c>
      <c r="L382" s="94"/>
      <c r="M382" s="95">
        <v>50000</v>
      </c>
      <c r="N382" s="96"/>
      <c r="O382" s="96"/>
      <c r="P382" s="97">
        <v>7495</v>
      </c>
      <c r="Q382" s="96"/>
      <c r="R382" s="96"/>
      <c r="S382" s="96"/>
      <c r="T382" s="96"/>
      <c r="U382" s="138" t="s">
        <v>764</v>
      </c>
      <c r="V382" s="11">
        <f t="shared" si="7"/>
        <v>-49999.86</v>
      </c>
      <c r="W382" s="138" t="s">
        <v>770</v>
      </c>
      <c r="X382" s="9" t="s">
        <v>922</v>
      </c>
    </row>
    <row r="383" spans="1:24" ht="38.25" x14ac:dyDescent="0.25">
      <c r="A383" s="7" t="s">
        <v>16</v>
      </c>
      <c r="B383" s="8">
        <v>8471260</v>
      </c>
      <c r="C383" s="9" t="s">
        <v>500</v>
      </c>
      <c r="D383" s="10">
        <v>436110</v>
      </c>
      <c r="E383" s="9" t="s">
        <v>158</v>
      </c>
      <c r="F383" s="9" t="s">
        <v>511</v>
      </c>
      <c r="G383" s="12">
        <v>5952</v>
      </c>
      <c r="H383" s="18">
        <v>1014.91</v>
      </c>
      <c r="I383" s="14"/>
      <c r="J383" s="15"/>
      <c r="K383" s="16">
        <v>4937.09</v>
      </c>
      <c r="L383" s="94">
        <v>0</v>
      </c>
      <c r="M383" s="95">
        <v>0</v>
      </c>
      <c r="N383" s="96">
        <v>0</v>
      </c>
      <c r="O383" s="96">
        <v>0</v>
      </c>
      <c r="P383" s="96">
        <v>8000</v>
      </c>
      <c r="Q383" s="96">
        <v>2000</v>
      </c>
      <c r="R383" s="96">
        <v>0</v>
      </c>
      <c r="S383" s="96">
        <v>2500</v>
      </c>
      <c r="T383" s="96">
        <v>0</v>
      </c>
      <c r="U383" s="136" t="s">
        <v>765</v>
      </c>
      <c r="V383" s="11">
        <f t="shared" si="7"/>
        <v>-7562.91</v>
      </c>
      <c r="W383" s="138" t="s">
        <v>771</v>
      </c>
      <c r="X383" s="9" t="s">
        <v>922</v>
      </c>
    </row>
    <row r="384" spans="1:24" ht="25.5" x14ac:dyDescent="0.25">
      <c r="A384" s="7" t="s">
        <v>16</v>
      </c>
      <c r="B384" s="8">
        <v>8471270</v>
      </c>
      <c r="C384" s="9" t="s">
        <v>512</v>
      </c>
      <c r="D384" s="10">
        <v>425900</v>
      </c>
      <c r="E384" s="9" t="s">
        <v>24</v>
      </c>
      <c r="F384" s="9" t="s">
        <v>513</v>
      </c>
      <c r="G384" s="12">
        <v>2961</v>
      </c>
      <c r="H384" s="13"/>
      <c r="I384" s="14"/>
      <c r="J384" s="15"/>
      <c r="K384" s="16">
        <v>2961</v>
      </c>
      <c r="L384" s="139"/>
      <c r="M384" s="140"/>
      <c r="N384" s="141"/>
      <c r="O384" s="141">
        <v>1000</v>
      </c>
      <c r="P384" s="141"/>
      <c r="Q384" s="141"/>
      <c r="R384" s="141">
        <v>1961</v>
      </c>
      <c r="S384" s="141"/>
      <c r="T384" s="141"/>
      <c r="U384" s="17"/>
      <c r="V384" s="11">
        <f t="shared" si="7"/>
        <v>0</v>
      </c>
      <c r="W384" s="17"/>
      <c r="X384" s="9" t="s">
        <v>922</v>
      </c>
    </row>
    <row r="385" spans="1:24" ht="102.75" x14ac:dyDescent="0.25">
      <c r="A385" s="7" t="s">
        <v>16</v>
      </c>
      <c r="B385" s="8">
        <v>8471270</v>
      </c>
      <c r="C385" s="9" t="s">
        <v>512</v>
      </c>
      <c r="D385" s="10">
        <v>435330</v>
      </c>
      <c r="E385" s="9" t="s">
        <v>514</v>
      </c>
      <c r="F385" s="9" t="s">
        <v>515</v>
      </c>
      <c r="G385" s="12">
        <v>14472062</v>
      </c>
      <c r="H385" s="18">
        <v>300353.99</v>
      </c>
      <c r="I385" s="19">
        <v>8503417.5700000003</v>
      </c>
      <c r="J385" s="12">
        <v>4315397.12</v>
      </c>
      <c r="K385" s="16">
        <v>1352893.32</v>
      </c>
      <c r="L385" s="142">
        <v>367690</v>
      </c>
      <c r="M385" s="140"/>
      <c r="N385" s="141">
        <v>985203</v>
      </c>
      <c r="O385" s="141"/>
      <c r="P385" s="141">
        <v>550000</v>
      </c>
      <c r="Q385" s="141"/>
      <c r="R385" s="141"/>
      <c r="S385" s="141"/>
      <c r="T385" s="141"/>
      <c r="U385" s="17"/>
      <c r="V385" s="82">
        <f t="shared" si="7"/>
        <v>-549999.67999999993</v>
      </c>
      <c r="W385" s="143" t="s">
        <v>772</v>
      </c>
      <c r="X385" s="9" t="s">
        <v>922</v>
      </c>
    </row>
    <row r="386" spans="1:24" ht="25.5" x14ac:dyDescent="0.25">
      <c r="A386" s="7" t="s">
        <v>16</v>
      </c>
      <c r="B386" s="8">
        <v>8471280</v>
      </c>
      <c r="C386" s="9" t="s">
        <v>516</v>
      </c>
      <c r="D386" s="10">
        <v>425100</v>
      </c>
      <c r="E386" s="9" t="s">
        <v>49</v>
      </c>
      <c r="F386" s="9" t="s">
        <v>517</v>
      </c>
      <c r="G386" s="12">
        <v>10000</v>
      </c>
      <c r="H386" s="13"/>
      <c r="I386" s="14"/>
      <c r="J386" s="15"/>
      <c r="K386" s="16">
        <v>10000</v>
      </c>
      <c r="L386" s="144"/>
      <c r="M386" s="145"/>
      <c r="N386" s="146"/>
      <c r="O386" s="146"/>
      <c r="P386" s="146"/>
      <c r="Q386" s="147">
        <v>10000</v>
      </c>
      <c r="R386" s="146"/>
      <c r="S386" s="146"/>
      <c r="T386" s="146"/>
      <c r="U386" s="148" t="s">
        <v>773</v>
      </c>
      <c r="V386" s="11">
        <f t="shared" si="7"/>
        <v>0</v>
      </c>
      <c r="W386" s="17"/>
      <c r="X386" s="9" t="s">
        <v>922</v>
      </c>
    </row>
    <row r="387" spans="1:24" ht="25.5" x14ac:dyDescent="0.25">
      <c r="A387" s="7" t="s">
        <v>16</v>
      </c>
      <c r="B387" s="8">
        <v>8471280</v>
      </c>
      <c r="C387" s="9" t="s">
        <v>516</v>
      </c>
      <c r="D387" s="10">
        <v>425510</v>
      </c>
      <c r="E387" s="9" t="s">
        <v>20</v>
      </c>
      <c r="F387" s="9" t="s">
        <v>518</v>
      </c>
      <c r="G387" s="12">
        <v>104637</v>
      </c>
      <c r="H387" s="18">
        <v>38551.25</v>
      </c>
      <c r="I387" s="14"/>
      <c r="J387" s="15"/>
      <c r="K387" s="16">
        <v>66085.75</v>
      </c>
      <c r="L387" s="139"/>
      <c r="M387" s="140">
        <v>20000</v>
      </c>
      <c r="N387" s="141">
        <v>5000</v>
      </c>
      <c r="O387" s="141"/>
      <c r="P387" s="141">
        <v>20000</v>
      </c>
      <c r="Q387" s="141">
        <v>5000</v>
      </c>
      <c r="R387" s="141">
        <v>5000</v>
      </c>
      <c r="S387" s="141">
        <v>5000</v>
      </c>
      <c r="T387" s="141">
        <v>6100</v>
      </c>
      <c r="U387" s="149" t="s">
        <v>774</v>
      </c>
      <c r="V387" s="11">
        <f t="shared" si="7"/>
        <v>-14.25</v>
      </c>
      <c r="W387" s="17"/>
      <c r="X387" s="9" t="s">
        <v>922</v>
      </c>
    </row>
    <row r="388" spans="1:24" ht="25.5" x14ac:dyDescent="0.25">
      <c r="A388" s="7" t="s">
        <v>16</v>
      </c>
      <c r="B388" s="8">
        <v>8471280</v>
      </c>
      <c r="C388" s="9" t="s">
        <v>516</v>
      </c>
      <c r="D388" s="10">
        <v>425550</v>
      </c>
      <c r="E388" s="9" t="s">
        <v>22</v>
      </c>
      <c r="F388" s="9" t="s">
        <v>519</v>
      </c>
      <c r="G388" s="12">
        <v>28417</v>
      </c>
      <c r="H388" s="13"/>
      <c r="I388" s="14"/>
      <c r="J388" s="15"/>
      <c r="K388" s="16">
        <v>28417</v>
      </c>
      <c r="L388" s="139"/>
      <c r="M388" s="140"/>
      <c r="N388" s="141"/>
      <c r="O388" s="141"/>
      <c r="P388" s="141"/>
      <c r="Q388" s="141">
        <v>14000</v>
      </c>
      <c r="R388" s="141">
        <v>14417</v>
      </c>
      <c r="S388" s="141"/>
      <c r="T388" s="141"/>
      <c r="U388" s="149" t="s">
        <v>775</v>
      </c>
      <c r="V388" s="11">
        <f t="shared" si="7"/>
        <v>0</v>
      </c>
      <c r="W388" s="17"/>
      <c r="X388" s="9" t="s">
        <v>922</v>
      </c>
    </row>
    <row r="389" spans="1:24" ht="25.5" x14ac:dyDescent="0.25">
      <c r="A389" s="7" t="s">
        <v>16</v>
      </c>
      <c r="B389" s="8">
        <v>8471280</v>
      </c>
      <c r="C389" s="9" t="s">
        <v>516</v>
      </c>
      <c r="D389" s="10">
        <v>425710</v>
      </c>
      <c r="E389" s="9" t="s">
        <v>520</v>
      </c>
      <c r="F389" s="9" t="s">
        <v>521</v>
      </c>
      <c r="G389" s="12">
        <v>112500</v>
      </c>
      <c r="H389" s="13"/>
      <c r="I389" s="14"/>
      <c r="J389" s="15"/>
      <c r="K389" s="16">
        <v>112500</v>
      </c>
      <c r="L389" s="139"/>
      <c r="M389" s="140"/>
      <c r="N389" s="141"/>
      <c r="O389" s="141"/>
      <c r="P389" s="141"/>
      <c r="Q389" s="141"/>
      <c r="R389" s="141">
        <v>62500</v>
      </c>
      <c r="S389" s="141"/>
      <c r="T389" s="141">
        <v>50000</v>
      </c>
      <c r="U389" s="149" t="s">
        <v>776</v>
      </c>
      <c r="V389" s="11">
        <f t="shared" si="7"/>
        <v>0</v>
      </c>
      <c r="W389" s="17"/>
      <c r="X389" s="9" t="s">
        <v>922</v>
      </c>
    </row>
    <row r="390" spans="1:24" ht="25.5" x14ac:dyDescent="0.25">
      <c r="A390" s="7" t="s">
        <v>16</v>
      </c>
      <c r="B390" s="8">
        <v>8471280</v>
      </c>
      <c r="C390" s="9" t="s">
        <v>516</v>
      </c>
      <c r="D390" s="10">
        <v>425720</v>
      </c>
      <c r="E390" s="9" t="s">
        <v>185</v>
      </c>
      <c r="F390" s="9" t="s">
        <v>522</v>
      </c>
      <c r="G390" s="12">
        <v>12628</v>
      </c>
      <c r="H390" s="13"/>
      <c r="I390" s="14"/>
      <c r="J390" s="15"/>
      <c r="K390" s="16">
        <v>12628</v>
      </c>
      <c r="L390" s="150">
        <v>12628</v>
      </c>
      <c r="M390" s="140"/>
      <c r="N390" s="141"/>
      <c r="O390" s="141"/>
      <c r="P390" s="141"/>
      <c r="Q390" s="141"/>
      <c r="R390" s="141"/>
      <c r="S390" s="141"/>
      <c r="T390" s="141"/>
      <c r="U390" s="149" t="s">
        <v>777</v>
      </c>
      <c r="V390" s="11">
        <f t="shared" si="7"/>
        <v>0</v>
      </c>
      <c r="W390" s="17"/>
      <c r="X390" s="9" t="s">
        <v>922</v>
      </c>
    </row>
    <row r="391" spans="1:24" ht="25.5" x14ac:dyDescent="0.25">
      <c r="A391" s="7" t="s">
        <v>16</v>
      </c>
      <c r="B391" s="8">
        <v>8471280</v>
      </c>
      <c r="C391" s="9" t="s">
        <v>516</v>
      </c>
      <c r="D391" s="10">
        <v>425760</v>
      </c>
      <c r="E391" s="9" t="s">
        <v>116</v>
      </c>
      <c r="F391" s="9" t="s">
        <v>523</v>
      </c>
      <c r="G391" s="12">
        <v>13140</v>
      </c>
      <c r="H391" s="13"/>
      <c r="I391" s="14"/>
      <c r="J391" s="15"/>
      <c r="K391" s="16">
        <v>13140</v>
      </c>
      <c r="L391" s="139"/>
      <c r="M391" s="140"/>
      <c r="N391" s="141">
        <v>10000</v>
      </c>
      <c r="O391" s="141"/>
      <c r="P391" s="141"/>
      <c r="Q391" s="141"/>
      <c r="R391" s="141">
        <v>3140</v>
      </c>
      <c r="S391" s="141"/>
      <c r="T391" s="141"/>
      <c r="U391" s="149" t="s">
        <v>778</v>
      </c>
      <c r="V391" s="11">
        <f t="shared" si="7"/>
        <v>0</v>
      </c>
      <c r="W391" s="17"/>
      <c r="X391" s="9" t="s">
        <v>922</v>
      </c>
    </row>
    <row r="392" spans="1:24" ht="25.5" x14ac:dyDescent="0.25">
      <c r="A392" s="7" t="s">
        <v>16</v>
      </c>
      <c r="B392" s="8">
        <v>8471280</v>
      </c>
      <c r="C392" s="9" t="s">
        <v>516</v>
      </c>
      <c r="D392" s="10">
        <v>425770</v>
      </c>
      <c r="E392" s="9" t="s">
        <v>119</v>
      </c>
      <c r="F392" s="9" t="s">
        <v>524</v>
      </c>
      <c r="G392" s="12">
        <v>0</v>
      </c>
      <c r="H392" s="13"/>
      <c r="I392" s="14"/>
      <c r="J392" s="15"/>
      <c r="K392" s="16">
        <v>0</v>
      </c>
      <c r="L392" s="139"/>
      <c r="M392" s="140"/>
      <c r="N392" s="141"/>
      <c r="O392" s="141"/>
      <c r="P392" s="141"/>
      <c r="Q392" s="141"/>
      <c r="R392" s="141"/>
      <c r="S392" s="141"/>
      <c r="T392" s="141"/>
      <c r="U392" s="149"/>
      <c r="V392" s="11">
        <f t="shared" si="7"/>
        <v>0</v>
      </c>
      <c r="W392" s="17"/>
      <c r="X392" s="9" t="s">
        <v>922</v>
      </c>
    </row>
    <row r="393" spans="1:24" ht="25.5" x14ac:dyDescent="0.25">
      <c r="A393" s="7" t="s">
        <v>16</v>
      </c>
      <c r="B393" s="8">
        <v>8471280</v>
      </c>
      <c r="C393" s="9" t="s">
        <v>516</v>
      </c>
      <c r="D393" s="10">
        <v>425900</v>
      </c>
      <c r="E393" s="9" t="s">
        <v>24</v>
      </c>
      <c r="F393" s="9" t="s">
        <v>525</v>
      </c>
      <c r="G393" s="12">
        <v>38359</v>
      </c>
      <c r="H393" s="18">
        <v>35059.5</v>
      </c>
      <c r="I393" s="14"/>
      <c r="J393" s="15"/>
      <c r="K393" s="16">
        <v>3299.5</v>
      </c>
      <c r="L393" s="139">
        <v>3300</v>
      </c>
      <c r="M393" s="140"/>
      <c r="N393" s="141"/>
      <c r="O393" s="141"/>
      <c r="P393" s="141"/>
      <c r="Q393" s="141"/>
      <c r="R393" s="141"/>
      <c r="S393" s="141"/>
      <c r="T393" s="141"/>
      <c r="U393" s="149" t="s">
        <v>779</v>
      </c>
      <c r="V393" s="11">
        <f t="shared" si="7"/>
        <v>-0.5</v>
      </c>
      <c r="W393" s="17"/>
      <c r="X393" s="9" t="s">
        <v>922</v>
      </c>
    </row>
    <row r="394" spans="1:24" ht="25.5" x14ac:dyDescent="0.25">
      <c r="A394" s="7" t="s">
        <v>16</v>
      </c>
      <c r="B394" s="8">
        <v>8471280</v>
      </c>
      <c r="C394" s="9" t="s">
        <v>516</v>
      </c>
      <c r="D394" s="10">
        <v>426610</v>
      </c>
      <c r="E394" s="9" t="s">
        <v>39</v>
      </c>
      <c r="F394" s="9" t="s">
        <v>526</v>
      </c>
      <c r="G394" s="12">
        <v>282200</v>
      </c>
      <c r="H394" s="18">
        <v>1387.18</v>
      </c>
      <c r="I394" s="19">
        <v>17068.93</v>
      </c>
      <c r="J394" s="12">
        <v>4559.29</v>
      </c>
      <c r="K394" s="16">
        <v>259184.6</v>
      </c>
      <c r="L394" s="139">
        <v>120000</v>
      </c>
      <c r="M394" s="140"/>
      <c r="N394" s="141">
        <v>120000</v>
      </c>
      <c r="O394" s="141"/>
      <c r="P394" s="141">
        <v>19185</v>
      </c>
      <c r="Q394" s="141"/>
      <c r="R394" s="141"/>
      <c r="S394" s="141"/>
      <c r="T394" s="141"/>
      <c r="U394" s="149" t="s">
        <v>780</v>
      </c>
      <c r="V394" s="11">
        <f t="shared" ref="V394:V456" si="8">K394-L394-M394-N394-O394-P394-Q394-R394-S394-T394</f>
        <v>-0.39999999999417923</v>
      </c>
      <c r="W394" s="17"/>
      <c r="X394" s="9" t="s">
        <v>922</v>
      </c>
    </row>
    <row r="395" spans="1:24" ht="25.5" x14ac:dyDescent="0.25">
      <c r="A395" s="7" t="s">
        <v>16</v>
      </c>
      <c r="B395" s="8">
        <v>8471280</v>
      </c>
      <c r="C395" s="9" t="s">
        <v>516</v>
      </c>
      <c r="D395" s="10">
        <v>428640</v>
      </c>
      <c r="E395" s="9" t="s">
        <v>59</v>
      </c>
      <c r="F395" s="9" t="s">
        <v>527</v>
      </c>
      <c r="G395" s="12">
        <v>30000</v>
      </c>
      <c r="H395" s="13"/>
      <c r="I395" s="14"/>
      <c r="J395" s="15"/>
      <c r="K395" s="16">
        <v>30000</v>
      </c>
      <c r="L395" s="139"/>
      <c r="M395" s="140"/>
      <c r="N395" s="141">
        <v>10000</v>
      </c>
      <c r="O395" s="141"/>
      <c r="P395" s="141"/>
      <c r="Q395" s="141">
        <v>10000</v>
      </c>
      <c r="R395" s="141">
        <v>10000</v>
      </c>
      <c r="S395" s="141"/>
      <c r="T395" s="141"/>
      <c r="U395" s="149" t="s">
        <v>778</v>
      </c>
      <c r="V395" s="11">
        <f t="shared" si="8"/>
        <v>0</v>
      </c>
      <c r="W395" s="17"/>
      <c r="X395" s="9" t="s">
        <v>922</v>
      </c>
    </row>
    <row r="396" spans="1:24" ht="25.5" x14ac:dyDescent="0.25">
      <c r="A396" s="7" t="s">
        <v>16</v>
      </c>
      <c r="B396" s="8">
        <v>8471280</v>
      </c>
      <c r="C396" s="9" t="s">
        <v>516</v>
      </c>
      <c r="D396" s="10">
        <v>435530</v>
      </c>
      <c r="E396" s="9" t="s">
        <v>509</v>
      </c>
      <c r="F396" s="9" t="s">
        <v>528</v>
      </c>
      <c r="G396" s="12">
        <v>763</v>
      </c>
      <c r="H396" s="13"/>
      <c r="I396" s="14"/>
      <c r="J396" s="15"/>
      <c r="K396" s="16">
        <v>763</v>
      </c>
      <c r="L396" s="139">
        <v>763</v>
      </c>
      <c r="M396" s="140"/>
      <c r="N396" s="141"/>
      <c r="O396" s="141"/>
      <c r="P396" s="141"/>
      <c r="Q396" s="141"/>
      <c r="R396" s="141"/>
      <c r="S396" s="141"/>
      <c r="T396" s="141"/>
      <c r="U396" s="149" t="s">
        <v>781</v>
      </c>
      <c r="V396" s="11">
        <f t="shared" si="8"/>
        <v>0</v>
      </c>
      <c r="W396" s="17"/>
      <c r="X396" s="9" t="s">
        <v>922</v>
      </c>
    </row>
    <row r="397" spans="1:24" ht="25.5" x14ac:dyDescent="0.25">
      <c r="A397" s="7" t="s">
        <v>16</v>
      </c>
      <c r="B397" s="8">
        <v>8471280</v>
      </c>
      <c r="C397" s="9" t="s">
        <v>516</v>
      </c>
      <c r="D397" s="10">
        <v>436110</v>
      </c>
      <c r="E397" s="9" t="s">
        <v>158</v>
      </c>
      <c r="F397" s="9" t="s">
        <v>529</v>
      </c>
      <c r="G397" s="12">
        <v>6200</v>
      </c>
      <c r="H397" s="13"/>
      <c r="I397" s="14"/>
      <c r="J397" s="15"/>
      <c r="K397" s="16">
        <v>6200</v>
      </c>
      <c r="L397" s="139"/>
      <c r="M397" s="140"/>
      <c r="N397" s="141">
        <v>3000</v>
      </c>
      <c r="O397" s="141">
        <v>3200</v>
      </c>
      <c r="P397" s="141"/>
      <c r="Q397" s="141"/>
      <c r="R397" s="141"/>
      <c r="S397" s="141"/>
      <c r="T397" s="141"/>
      <c r="U397" s="149" t="s">
        <v>782</v>
      </c>
      <c r="V397" s="11">
        <f t="shared" si="8"/>
        <v>0</v>
      </c>
      <c r="W397" s="17"/>
      <c r="X397" s="9" t="s">
        <v>922</v>
      </c>
    </row>
    <row r="398" spans="1:24" ht="25.5" x14ac:dyDescent="0.25">
      <c r="A398" s="7" t="s">
        <v>16</v>
      </c>
      <c r="B398" s="8">
        <v>8471305</v>
      </c>
      <c r="C398" s="9" t="s">
        <v>530</v>
      </c>
      <c r="D398" s="10">
        <v>420570</v>
      </c>
      <c r="E398" s="9" t="s">
        <v>87</v>
      </c>
      <c r="F398" s="9" t="s">
        <v>531</v>
      </c>
      <c r="G398" s="12">
        <v>35155240</v>
      </c>
      <c r="H398" s="13"/>
      <c r="I398" s="14"/>
      <c r="J398" s="15"/>
      <c r="K398" s="16">
        <v>35155240</v>
      </c>
      <c r="L398" s="205"/>
      <c r="M398" s="214">
        <v>8800000</v>
      </c>
      <c r="N398" s="85"/>
      <c r="O398" s="214">
        <v>8800000</v>
      </c>
      <c r="P398" s="85"/>
      <c r="Q398" s="214">
        <v>8800000</v>
      </c>
      <c r="R398" s="86"/>
      <c r="S398" s="86"/>
      <c r="T398" s="214">
        <v>8800000</v>
      </c>
      <c r="U398" s="86"/>
      <c r="V398" s="11">
        <f t="shared" si="8"/>
        <v>-44760</v>
      </c>
      <c r="W398" s="17"/>
      <c r="X398" s="9" t="s">
        <v>921</v>
      </c>
    </row>
    <row r="399" spans="1:24" ht="25.5" x14ac:dyDescent="0.25">
      <c r="A399" s="7" t="s">
        <v>16</v>
      </c>
      <c r="B399" s="8">
        <v>8471305</v>
      </c>
      <c r="C399" s="9" t="s">
        <v>530</v>
      </c>
      <c r="D399" s="10">
        <v>421000</v>
      </c>
      <c r="E399" s="9" t="s">
        <v>34</v>
      </c>
      <c r="F399" s="9" t="s">
        <v>532</v>
      </c>
      <c r="G399" s="12">
        <v>147834</v>
      </c>
      <c r="H399" s="13"/>
      <c r="I399" s="14"/>
      <c r="J399" s="15"/>
      <c r="K399" s="16">
        <v>147834</v>
      </c>
      <c r="L399" s="205"/>
      <c r="M399" s="206"/>
      <c r="N399" s="86"/>
      <c r="O399" s="85"/>
      <c r="P399" s="86"/>
      <c r="Q399" s="86"/>
      <c r="R399" s="86"/>
      <c r="S399" s="86"/>
      <c r="T399" s="86"/>
      <c r="U399" s="86"/>
      <c r="V399" s="11">
        <f t="shared" si="8"/>
        <v>147834</v>
      </c>
      <c r="W399" s="17" t="s">
        <v>914</v>
      </c>
      <c r="X399" s="9" t="s">
        <v>921</v>
      </c>
    </row>
    <row r="400" spans="1:24" ht="25.5" x14ac:dyDescent="0.25">
      <c r="A400" s="7" t="s">
        <v>16</v>
      </c>
      <c r="B400" s="8">
        <v>8471305</v>
      </c>
      <c r="C400" s="9" t="s">
        <v>530</v>
      </c>
      <c r="D400" s="10">
        <v>421700</v>
      </c>
      <c r="E400" s="9" t="s">
        <v>36</v>
      </c>
      <c r="F400" s="9" t="s">
        <v>533</v>
      </c>
      <c r="G400" s="12">
        <v>73837</v>
      </c>
      <c r="H400" s="13"/>
      <c r="I400" s="14"/>
      <c r="J400" s="15"/>
      <c r="K400" s="16">
        <v>73837</v>
      </c>
      <c r="L400" s="115"/>
      <c r="M400" s="116"/>
      <c r="N400" s="86"/>
      <c r="O400" s="86"/>
      <c r="P400" s="86"/>
      <c r="Q400" s="86"/>
      <c r="R400" s="86"/>
      <c r="S400" s="86"/>
      <c r="T400" s="86"/>
      <c r="U400" s="86"/>
      <c r="V400" s="11">
        <f t="shared" si="8"/>
        <v>73837</v>
      </c>
      <c r="W400" s="17" t="s">
        <v>915</v>
      </c>
      <c r="X400" s="9" t="s">
        <v>921</v>
      </c>
    </row>
    <row r="401" spans="1:24" ht="38.25" x14ac:dyDescent="0.25">
      <c r="A401" s="7" t="s">
        <v>16</v>
      </c>
      <c r="B401" s="8">
        <v>8471305</v>
      </c>
      <c r="C401" s="9" t="s">
        <v>530</v>
      </c>
      <c r="D401" s="10">
        <v>425510</v>
      </c>
      <c r="E401" s="9" t="s">
        <v>20</v>
      </c>
      <c r="F401" s="9" t="s">
        <v>534</v>
      </c>
      <c r="G401" s="12">
        <v>343341</v>
      </c>
      <c r="H401" s="18">
        <v>113860.73</v>
      </c>
      <c r="I401" s="14"/>
      <c r="J401" s="15"/>
      <c r="K401" s="16">
        <v>229480.27</v>
      </c>
      <c r="L401" s="205"/>
      <c r="M401" s="116"/>
      <c r="N401" s="85"/>
      <c r="O401" s="86"/>
      <c r="P401" s="86"/>
      <c r="Q401" s="86"/>
      <c r="R401" s="86"/>
      <c r="S401" s="86"/>
      <c r="T401" s="86"/>
      <c r="U401" s="86"/>
      <c r="V401" s="11">
        <f t="shared" si="8"/>
        <v>229480.27</v>
      </c>
      <c r="W401" s="17" t="s">
        <v>916</v>
      </c>
      <c r="X401" s="9" t="s">
        <v>921</v>
      </c>
    </row>
    <row r="402" spans="1:24" ht="51" x14ac:dyDescent="0.25">
      <c r="A402" s="7" t="s">
        <v>16</v>
      </c>
      <c r="B402" s="8">
        <v>8471305</v>
      </c>
      <c r="C402" s="9" t="s">
        <v>530</v>
      </c>
      <c r="D402" s="10">
        <v>425550</v>
      </c>
      <c r="E402" s="9" t="s">
        <v>22</v>
      </c>
      <c r="F402" s="9" t="s">
        <v>535</v>
      </c>
      <c r="G402" s="12">
        <v>388107</v>
      </c>
      <c r="H402" s="18">
        <v>93300.74</v>
      </c>
      <c r="I402" s="14"/>
      <c r="J402" s="15"/>
      <c r="K402" s="16">
        <v>294806.26</v>
      </c>
      <c r="L402" s="205"/>
      <c r="M402" s="116"/>
      <c r="N402" s="86"/>
      <c r="O402" s="86"/>
      <c r="P402" s="85"/>
      <c r="Q402" s="86"/>
      <c r="R402" s="86"/>
      <c r="S402" s="85"/>
      <c r="T402" s="86"/>
      <c r="U402" s="86"/>
      <c r="V402" s="11">
        <f t="shared" si="8"/>
        <v>294806.26</v>
      </c>
      <c r="W402" s="205" t="s">
        <v>892</v>
      </c>
      <c r="X402" s="9" t="s">
        <v>921</v>
      </c>
    </row>
    <row r="403" spans="1:24" ht="25.5" x14ac:dyDescent="0.25">
      <c r="A403" s="7" t="s">
        <v>16</v>
      </c>
      <c r="B403" s="8">
        <v>8471305</v>
      </c>
      <c r="C403" s="9" t="s">
        <v>530</v>
      </c>
      <c r="D403" s="10">
        <v>425720</v>
      </c>
      <c r="E403" s="9" t="s">
        <v>185</v>
      </c>
      <c r="F403" s="9" t="s">
        <v>536</v>
      </c>
      <c r="G403" s="12">
        <v>1356965</v>
      </c>
      <c r="H403" s="18">
        <v>843071.51</v>
      </c>
      <c r="I403" s="19">
        <v>-400579.26</v>
      </c>
      <c r="J403" s="12">
        <v>375686.24</v>
      </c>
      <c r="K403" s="16">
        <v>538786.51</v>
      </c>
      <c r="L403" s="115"/>
      <c r="M403" s="206"/>
      <c r="N403" s="86"/>
      <c r="O403" s="86"/>
      <c r="P403" s="86"/>
      <c r="Q403" s="86"/>
      <c r="R403" s="86"/>
      <c r="S403" s="86"/>
      <c r="T403" s="86"/>
      <c r="U403" s="86"/>
      <c r="V403" s="11">
        <f t="shared" si="8"/>
        <v>538786.51</v>
      </c>
      <c r="W403" s="205" t="s">
        <v>917</v>
      </c>
      <c r="X403" s="9" t="s">
        <v>921</v>
      </c>
    </row>
    <row r="404" spans="1:24" ht="25.5" x14ac:dyDescent="0.25">
      <c r="A404" s="7" t="s">
        <v>16</v>
      </c>
      <c r="B404" s="8">
        <v>8471305</v>
      </c>
      <c r="C404" s="9" t="s">
        <v>530</v>
      </c>
      <c r="D404" s="10">
        <v>425742</v>
      </c>
      <c r="E404" s="9" t="s">
        <v>476</v>
      </c>
      <c r="F404" s="9" t="s">
        <v>537</v>
      </c>
      <c r="G404" s="12">
        <v>178785</v>
      </c>
      <c r="H404" s="18">
        <v>3253.52</v>
      </c>
      <c r="I404" s="14"/>
      <c r="J404" s="15"/>
      <c r="K404" s="16">
        <v>175531.48</v>
      </c>
      <c r="L404" s="207"/>
      <c r="M404" s="116"/>
      <c r="N404" s="86"/>
      <c r="O404" s="86"/>
      <c r="P404" s="86"/>
      <c r="Q404" s="86"/>
      <c r="R404" s="86"/>
      <c r="S404" s="86"/>
      <c r="T404" s="86"/>
      <c r="U404" s="86"/>
      <c r="V404" s="11">
        <f t="shared" si="8"/>
        <v>175531.48</v>
      </c>
      <c r="W404" s="207" t="s">
        <v>918</v>
      </c>
      <c r="X404" s="9" t="s">
        <v>921</v>
      </c>
    </row>
    <row r="405" spans="1:24" ht="25.5" x14ac:dyDescent="0.25">
      <c r="A405" s="7" t="s">
        <v>16</v>
      </c>
      <c r="B405" s="8">
        <v>8471305</v>
      </c>
      <c r="C405" s="9" t="s">
        <v>530</v>
      </c>
      <c r="D405" s="10">
        <v>425744</v>
      </c>
      <c r="E405" s="9" t="s">
        <v>106</v>
      </c>
      <c r="F405" s="9" t="s">
        <v>538</v>
      </c>
      <c r="G405" s="12">
        <v>100002</v>
      </c>
      <c r="H405" s="13"/>
      <c r="I405" s="14"/>
      <c r="J405" s="15"/>
      <c r="K405" s="16">
        <v>100002</v>
      </c>
      <c r="L405" s="207"/>
      <c r="M405" s="116"/>
      <c r="N405" s="86"/>
      <c r="O405" s="86"/>
      <c r="P405" s="86"/>
      <c r="Q405" s="86"/>
      <c r="R405" s="86"/>
      <c r="S405" s="86"/>
      <c r="T405" s="86"/>
      <c r="U405" s="86"/>
      <c r="V405" s="11">
        <f t="shared" si="8"/>
        <v>100002</v>
      </c>
      <c r="W405" s="207" t="s">
        <v>893</v>
      </c>
      <c r="X405" s="9" t="s">
        <v>921</v>
      </c>
    </row>
    <row r="406" spans="1:24" ht="25.5" x14ac:dyDescent="0.25">
      <c r="A406" s="7" t="s">
        <v>16</v>
      </c>
      <c r="B406" s="8">
        <v>8471305</v>
      </c>
      <c r="C406" s="9" t="s">
        <v>530</v>
      </c>
      <c r="D406" s="10">
        <v>425745</v>
      </c>
      <c r="E406" s="9" t="s">
        <v>108</v>
      </c>
      <c r="F406" s="9" t="s">
        <v>539</v>
      </c>
      <c r="G406" s="12">
        <v>54543</v>
      </c>
      <c r="H406" s="13"/>
      <c r="I406" s="14"/>
      <c r="J406" s="15"/>
      <c r="K406" s="16">
        <v>54543</v>
      </c>
      <c r="L406" s="115"/>
      <c r="M406" s="116"/>
      <c r="N406" s="86"/>
      <c r="O406" s="86"/>
      <c r="P406" s="86"/>
      <c r="Q406" s="86"/>
      <c r="R406" s="86"/>
      <c r="S406" s="86"/>
      <c r="T406" s="86"/>
      <c r="U406" s="86"/>
      <c r="V406" s="11">
        <f t="shared" si="8"/>
        <v>54543</v>
      </c>
      <c r="W406" s="9" t="s">
        <v>894</v>
      </c>
      <c r="X406" s="9" t="s">
        <v>921</v>
      </c>
    </row>
    <row r="407" spans="1:24" ht="25.5" x14ac:dyDescent="0.25">
      <c r="A407" s="7" t="s">
        <v>16</v>
      </c>
      <c r="B407" s="8">
        <v>8471305</v>
      </c>
      <c r="C407" s="9" t="s">
        <v>530</v>
      </c>
      <c r="D407" s="10">
        <v>425749</v>
      </c>
      <c r="E407" s="9" t="s">
        <v>82</v>
      </c>
      <c r="F407" s="9" t="s">
        <v>540</v>
      </c>
      <c r="G407" s="12">
        <v>32876000</v>
      </c>
      <c r="H407" s="18">
        <v>8263466.6699999999</v>
      </c>
      <c r="I407" s="14"/>
      <c r="J407" s="15"/>
      <c r="K407" s="16">
        <v>24612533.329999998</v>
      </c>
      <c r="L407" s="208"/>
      <c r="M407" s="209"/>
      <c r="N407" s="210"/>
      <c r="O407" s="211"/>
      <c r="P407" s="211"/>
      <c r="Q407" s="211"/>
      <c r="R407" s="211"/>
      <c r="S407" s="211"/>
      <c r="T407" s="211"/>
      <c r="U407" s="211"/>
      <c r="V407" s="11">
        <f t="shared" si="8"/>
        <v>24612533.329999998</v>
      </c>
      <c r="W407" s="215" t="s">
        <v>895</v>
      </c>
      <c r="X407" s="9" t="s">
        <v>921</v>
      </c>
    </row>
    <row r="408" spans="1:24" ht="25.5" x14ac:dyDescent="0.25">
      <c r="A408" s="7" t="s">
        <v>16</v>
      </c>
      <c r="B408" s="8">
        <v>8471305</v>
      </c>
      <c r="C408" s="9" t="s">
        <v>530</v>
      </c>
      <c r="D408" s="10">
        <v>425750</v>
      </c>
      <c r="E408" s="9" t="s">
        <v>541</v>
      </c>
      <c r="F408" s="9" t="s">
        <v>542</v>
      </c>
      <c r="G408" s="12">
        <v>179593</v>
      </c>
      <c r="H408" s="18">
        <v>13039.35</v>
      </c>
      <c r="I408" s="14"/>
      <c r="J408" s="15"/>
      <c r="K408" s="16">
        <v>166553.65</v>
      </c>
      <c r="L408" s="205"/>
      <c r="M408" s="116"/>
      <c r="N408" s="86"/>
      <c r="O408" s="86"/>
      <c r="P408" s="86"/>
      <c r="Q408" s="86"/>
      <c r="R408" s="86"/>
      <c r="S408" s="86"/>
      <c r="T408" s="86"/>
      <c r="U408" s="86"/>
      <c r="V408" s="11">
        <f t="shared" si="8"/>
        <v>166553.65</v>
      </c>
      <c r="W408" s="205" t="s">
        <v>896</v>
      </c>
      <c r="X408" s="9" t="s">
        <v>921</v>
      </c>
    </row>
    <row r="409" spans="1:24" ht="25.5" x14ac:dyDescent="0.25">
      <c r="A409" s="7" t="s">
        <v>16</v>
      </c>
      <c r="B409" s="8">
        <v>8471305</v>
      </c>
      <c r="C409" s="9" t="s">
        <v>530</v>
      </c>
      <c r="D409" s="10">
        <v>425762</v>
      </c>
      <c r="E409" s="9" t="s">
        <v>111</v>
      </c>
      <c r="F409" s="9" t="s">
        <v>543</v>
      </c>
      <c r="G409" s="12">
        <v>500000</v>
      </c>
      <c r="H409" s="18">
        <v>166392.82999999999</v>
      </c>
      <c r="I409" s="14"/>
      <c r="J409" s="15"/>
      <c r="K409" s="16">
        <v>333607.17</v>
      </c>
      <c r="L409" s="205"/>
      <c r="M409" s="116"/>
      <c r="N409" s="86"/>
      <c r="O409" s="86"/>
      <c r="P409" s="86"/>
      <c r="Q409" s="86"/>
      <c r="R409" s="86"/>
      <c r="S409" s="86"/>
      <c r="T409" s="86"/>
      <c r="U409" s="86"/>
      <c r="V409" s="11">
        <f t="shared" si="8"/>
        <v>333607.17</v>
      </c>
      <c r="W409" s="205" t="s">
        <v>897</v>
      </c>
      <c r="X409" s="9" t="s">
        <v>921</v>
      </c>
    </row>
    <row r="410" spans="1:24" ht="25.5" x14ac:dyDescent="0.25">
      <c r="A410" s="7" t="s">
        <v>16</v>
      </c>
      <c r="B410" s="8">
        <v>8471305</v>
      </c>
      <c r="C410" s="9" t="s">
        <v>530</v>
      </c>
      <c r="D410" s="10">
        <v>425763</v>
      </c>
      <c r="E410" s="9" t="s">
        <v>53</v>
      </c>
      <c r="F410" s="9" t="s">
        <v>544</v>
      </c>
      <c r="G410" s="12">
        <v>2940</v>
      </c>
      <c r="H410" s="13"/>
      <c r="I410" s="14"/>
      <c r="J410" s="15"/>
      <c r="K410" s="16">
        <v>2940</v>
      </c>
      <c r="L410" s="205"/>
      <c r="M410" s="116"/>
      <c r="N410" s="86"/>
      <c r="O410" s="86"/>
      <c r="P410" s="86"/>
      <c r="Q410" s="85"/>
      <c r="R410" s="86"/>
      <c r="S410" s="86"/>
      <c r="T410" s="86"/>
      <c r="U410" s="86"/>
      <c r="V410" s="11">
        <f t="shared" si="8"/>
        <v>2940</v>
      </c>
      <c r="W410" s="205" t="s">
        <v>898</v>
      </c>
      <c r="X410" s="9" t="s">
        <v>921</v>
      </c>
    </row>
    <row r="411" spans="1:24" ht="25.5" x14ac:dyDescent="0.25">
      <c r="A411" s="7" t="s">
        <v>16</v>
      </c>
      <c r="B411" s="8">
        <v>8471305</v>
      </c>
      <c r="C411" s="9" t="s">
        <v>530</v>
      </c>
      <c r="D411" s="10">
        <v>425770</v>
      </c>
      <c r="E411" s="9" t="s">
        <v>119</v>
      </c>
      <c r="F411" s="9" t="s">
        <v>545</v>
      </c>
      <c r="G411" s="12">
        <v>350000</v>
      </c>
      <c r="H411" s="13"/>
      <c r="I411" s="14"/>
      <c r="J411" s="15"/>
      <c r="K411" s="16">
        <v>350000</v>
      </c>
      <c r="L411" s="205"/>
      <c r="M411" s="116"/>
      <c r="N411" s="86"/>
      <c r="O411" s="86"/>
      <c r="P411" s="86"/>
      <c r="Q411" s="86"/>
      <c r="R411" s="86"/>
      <c r="S411" s="86"/>
      <c r="T411" s="86"/>
      <c r="U411" s="86"/>
      <c r="V411" s="11">
        <f t="shared" si="8"/>
        <v>350000</v>
      </c>
      <c r="W411" s="205" t="s">
        <v>899</v>
      </c>
      <c r="X411" s="9" t="s">
        <v>921</v>
      </c>
    </row>
    <row r="412" spans="1:24" ht="38.25" x14ac:dyDescent="0.25">
      <c r="A412" s="7" t="s">
        <v>16</v>
      </c>
      <c r="B412" s="8">
        <v>8471305</v>
      </c>
      <c r="C412" s="9" t="s">
        <v>530</v>
      </c>
      <c r="D412" s="10">
        <v>425900</v>
      </c>
      <c r="E412" s="9" t="s">
        <v>24</v>
      </c>
      <c r="F412" s="9" t="s">
        <v>546</v>
      </c>
      <c r="G412" s="12">
        <v>58984</v>
      </c>
      <c r="H412" s="18">
        <v>23972.23</v>
      </c>
      <c r="I412" s="14"/>
      <c r="J412" s="15"/>
      <c r="K412" s="16">
        <v>35011.769999999997</v>
      </c>
      <c r="L412" s="205"/>
      <c r="M412" s="116"/>
      <c r="N412" s="86"/>
      <c r="O412" s="86"/>
      <c r="P412" s="86"/>
      <c r="Q412" s="86"/>
      <c r="R412" s="86"/>
      <c r="S412" s="86"/>
      <c r="T412" s="86"/>
      <c r="U412" s="86"/>
      <c r="V412" s="11">
        <f t="shared" si="8"/>
        <v>35011.769999999997</v>
      </c>
      <c r="W412" s="205" t="s">
        <v>900</v>
      </c>
      <c r="X412" s="9" t="s">
        <v>921</v>
      </c>
    </row>
    <row r="413" spans="1:24" ht="25.5" x14ac:dyDescent="0.25">
      <c r="A413" s="7" t="s">
        <v>16</v>
      </c>
      <c r="B413" s="8">
        <v>8471305</v>
      </c>
      <c r="C413" s="9" t="s">
        <v>530</v>
      </c>
      <c r="D413" s="10">
        <v>426610</v>
      </c>
      <c r="E413" s="9" t="s">
        <v>39</v>
      </c>
      <c r="F413" s="9" t="s">
        <v>547</v>
      </c>
      <c r="G413" s="12">
        <v>977363</v>
      </c>
      <c r="H413" s="18">
        <v>364.45</v>
      </c>
      <c r="I413" s="19">
        <v>52675</v>
      </c>
      <c r="J413" s="15"/>
      <c r="K413" s="16">
        <v>924323.55</v>
      </c>
      <c r="L413" s="205"/>
      <c r="M413" s="116"/>
      <c r="N413" s="86"/>
      <c r="O413" s="86"/>
      <c r="P413" s="86"/>
      <c r="Q413" s="86"/>
      <c r="R413" s="86"/>
      <c r="S413" s="86"/>
      <c r="T413" s="86"/>
      <c r="U413" s="86"/>
      <c r="V413" s="11">
        <f t="shared" si="8"/>
        <v>924323.55</v>
      </c>
      <c r="W413" s="205" t="s">
        <v>901</v>
      </c>
      <c r="X413" s="9" t="s">
        <v>921</v>
      </c>
    </row>
    <row r="414" spans="1:24" ht="25.5" x14ac:dyDescent="0.25">
      <c r="A414" s="7" t="s">
        <v>16</v>
      </c>
      <c r="B414" s="8">
        <v>8471305</v>
      </c>
      <c r="C414" s="9" t="s">
        <v>530</v>
      </c>
      <c r="D414" s="10">
        <v>426900</v>
      </c>
      <c r="E414" s="9" t="s">
        <v>328</v>
      </c>
      <c r="F414" s="9" t="s">
        <v>548</v>
      </c>
      <c r="G414" s="12">
        <v>5000</v>
      </c>
      <c r="H414" s="13"/>
      <c r="I414" s="14"/>
      <c r="J414" s="15"/>
      <c r="K414" s="16">
        <v>5000</v>
      </c>
      <c r="L414" s="205"/>
      <c r="M414" s="116"/>
      <c r="N414" s="86"/>
      <c r="O414" s="86"/>
      <c r="P414" s="86"/>
      <c r="Q414" s="86"/>
      <c r="R414" s="86"/>
      <c r="S414" s="86"/>
      <c r="T414" s="86"/>
      <c r="U414" s="86"/>
      <c r="V414" s="11">
        <f t="shared" si="8"/>
        <v>5000</v>
      </c>
      <c r="W414" s="205" t="s">
        <v>902</v>
      </c>
      <c r="X414" s="9" t="s">
        <v>921</v>
      </c>
    </row>
    <row r="415" spans="1:24" ht="25.5" x14ac:dyDescent="0.25">
      <c r="A415" s="7" t="s">
        <v>16</v>
      </c>
      <c r="B415" s="8">
        <v>8471305</v>
      </c>
      <c r="C415" s="9" t="s">
        <v>530</v>
      </c>
      <c r="D415" s="10">
        <v>427710</v>
      </c>
      <c r="E415" s="9" t="s">
        <v>45</v>
      </c>
      <c r="F415" s="9" t="s">
        <v>549</v>
      </c>
      <c r="G415" s="12">
        <v>50517</v>
      </c>
      <c r="H415" s="18">
        <v>-11042.58</v>
      </c>
      <c r="I415" s="19">
        <v>8640</v>
      </c>
      <c r="J415" s="15"/>
      <c r="K415" s="16">
        <v>52919.58</v>
      </c>
      <c r="L415" s="164"/>
      <c r="M415" s="116"/>
      <c r="N415" s="86"/>
      <c r="O415" s="86"/>
      <c r="P415" s="86"/>
      <c r="Q415" s="86"/>
      <c r="R415" s="86"/>
      <c r="S415" s="86"/>
      <c r="T415" s="86"/>
      <c r="U415" s="86"/>
      <c r="V415" s="11">
        <f t="shared" si="8"/>
        <v>52919.58</v>
      </c>
      <c r="W415" s="164" t="s">
        <v>903</v>
      </c>
      <c r="X415" s="9" t="s">
        <v>921</v>
      </c>
    </row>
    <row r="416" spans="1:24" ht="25.5" x14ac:dyDescent="0.25">
      <c r="A416" s="7" t="s">
        <v>16</v>
      </c>
      <c r="B416" s="8">
        <v>8471305</v>
      </c>
      <c r="C416" s="9" t="s">
        <v>530</v>
      </c>
      <c r="D416" s="10">
        <v>428090</v>
      </c>
      <c r="E416" s="9" t="s">
        <v>26</v>
      </c>
      <c r="F416" s="9" t="s">
        <v>550</v>
      </c>
      <c r="G416" s="12">
        <v>100000</v>
      </c>
      <c r="H416" s="13"/>
      <c r="I416" s="14"/>
      <c r="J416" s="15"/>
      <c r="K416" s="16">
        <v>100000</v>
      </c>
      <c r="L416" s="205"/>
      <c r="M416" s="116"/>
      <c r="N416" s="86"/>
      <c r="O416" s="86"/>
      <c r="P416" s="86"/>
      <c r="Q416" s="86"/>
      <c r="R416" s="86"/>
      <c r="S416" s="86"/>
      <c r="T416" s="86"/>
      <c r="U416" s="86"/>
      <c r="V416" s="11">
        <f t="shared" si="8"/>
        <v>100000</v>
      </c>
      <c r="W416" s="205" t="s">
        <v>904</v>
      </c>
      <c r="X416" s="9" t="s">
        <v>921</v>
      </c>
    </row>
    <row r="417" spans="1:24" ht="25.5" x14ac:dyDescent="0.25">
      <c r="A417" s="7" t="s">
        <v>16</v>
      </c>
      <c r="B417" s="8">
        <v>8471305</v>
      </c>
      <c r="C417" s="9" t="s">
        <v>530</v>
      </c>
      <c r="D417" s="10">
        <v>428640</v>
      </c>
      <c r="E417" s="9" t="s">
        <v>59</v>
      </c>
      <c r="F417" s="9" t="s">
        <v>551</v>
      </c>
      <c r="G417" s="12">
        <v>2820</v>
      </c>
      <c r="H417" s="18">
        <v>1040</v>
      </c>
      <c r="I417" s="14"/>
      <c r="J417" s="15"/>
      <c r="K417" s="16">
        <v>1780</v>
      </c>
      <c r="L417" s="205"/>
      <c r="M417" s="116"/>
      <c r="N417" s="86"/>
      <c r="O417" s="86"/>
      <c r="P417" s="86"/>
      <c r="Q417" s="86"/>
      <c r="R417" s="86"/>
      <c r="S417" s="86"/>
      <c r="T417" s="86"/>
      <c r="U417" s="86"/>
      <c r="V417" s="11">
        <f t="shared" si="8"/>
        <v>1780</v>
      </c>
      <c r="W417" s="205" t="s">
        <v>905</v>
      </c>
      <c r="X417" s="9" t="s">
        <v>921</v>
      </c>
    </row>
    <row r="418" spans="1:24" ht="51" x14ac:dyDescent="0.25">
      <c r="A418" s="7" t="s">
        <v>16</v>
      </c>
      <c r="B418" s="8">
        <v>8471305</v>
      </c>
      <c r="C418" s="9" t="s">
        <v>530</v>
      </c>
      <c r="D418" s="10">
        <v>432205</v>
      </c>
      <c r="E418" s="9" t="s">
        <v>96</v>
      </c>
      <c r="F418" s="9" t="s">
        <v>552</v>
      </c>
      <c r="G418" s="12">
        <v>522981</v>
      </c>
      <c r="H418" s="13"/>
      <c r="I418" s="14"/>
      <c r="J418" s="15"/>
      <c r="K418" s="16">
        <v>522981</v>
      </c>
      <c r="L418" s="205"/>
      <c r="M418" s="116"/>
      <c r="N418" s="86"/>
      <c r="O418" s="86"/>
      <c r="P418" s="86"/>
      <c r="Q418" s="86"/>
      <c r="R418" s="86"/>
      <c r="S418" s="86"/>
      <c r="T418" s="86"/>
      <c r="U418" s="86"/>
      <c r="V418" s="11">
        <f t="shared" si="8"/>
        <v>522981</v>
      </c>
      <c r="W418" s="205" t="s">
        <v>906</v>
      </c>
      <c r="X418" s="9" t="s">
        <v>921</v>
      </c>
    </row>
    <row r="419" spans="1:24" ht="38.25" x14ac:dyDescent="0.25">
      <c r="A419" s="7" t="s">
        <v>16</v>
      </c>
      <c r="B419" s="8">
        <v>8471305</v>
      </c>
      <c r="C419" s="9" t="s">
        <v>530</v>
      </c>
      <c r="D419" s="10">
        <v>432209</v>
      </c>
      <c r="E419" s="9" t="s">
        <v>124</v>
      </c>
      <c r="F419" s="9" t="s">
        <v>553</v>
      </c>
      <c r="G419" s="12">
        <v>570373</v>
      </c>
      <c r="H419" s="18">
        <v>7014.5</v>
      </c>
      <c r="I419" s="19">
        <v>-4021</v>
      </c>
      <c r="J419" s="12">
        <v>0</v>
      </c>
      <c r="K419" s="16">
        <v>567379.5</v>
      </c>
      <c r="L419" s="205"/>
      <c r="M419" s="116"/>
      <c r="N419" s="86"/>
      <c r="O419" s="86"/>
      <c r="P419" s="86"/>
      <c r="Q419" s="86"/>
      <c r="R419" s="86"/>
      <c r="S419" s="86"/>
      <c r="T419" s="86"/>
      <c r="U419" s="86"/>
      <c r="V419" s="11">
        <f t="shared" si="8"/>
        <v>567379.5</v>
      </c>
      <c r="W419" s="205" t="s">
        <v>907</v>
      </c>
      <c r="X419" s="9" t="s">
        <v>921</v>
      </c>
    </row>
    <row r="420" spans="1:24" ht="25.5" x14ac:dyDescent="0.25">
      <c r="A420" s="7" t="s">
        <v>16</v>
      </c>
      <c r="B420" s="8">
        <v>8471305</v>
      </c>
      <c r="C420" s="9" t="s">
        <v>530</v>
      </c>
      <c r="D420" s="10">
        <v>435330</v>
      </c>
      <c r="E420" s="9" t="s">
        <v>514</v>
      </c>
      <c r="F420" s="9" t="s">
        <v>554</v>
      </c>
      <c r="G420" s="12">
        <v>641904</v>
      </c>
      <c r="H420" s="18">
        <v>161432.14000000001</v>
      </c>
      <c r="I420" s="19">
        <v>-181335</v>
      </c>
      <c r="J420" s="12">
        <v>0</v>
      </c>
      <c r="K420" s="16">
        <v>661806.86</v>
      </c>
      <c r="L420" s="115"/>
      <c r="M420" s="116"/>
      <c r="N420" s="86"/>
      <c r="O420" s="86"/>
      <c r="P420" s="86"/>
      <c r="Q420" s="86"/>
      <c r="R420" s="86"/>
      <c r="S420" s="86"/>
      <c r="T420" s="86"/>
      <c r="U420" s="86"/>
      <c r="V420" s="11">
        <f t="shared" si="8"/>
        <v>661806.86</v>
      </c>
      <c r="W420" s="205" t="s">
        <v>908</v>
      </c>
      <c r="X420" s="9" t="s">
        <v>921</v>
      </c>
    </row>
    <row r="421" spans="1:24" ht="25.5" x14ac:dyDescent="0.25">
      <c r="A421" s="7" t="s">
        <v>16</v>
      </c>
      <c r="B421" s="8">
        <v>8471305</v>
      </c>
      <c r="C421" s="9" t="s">
        <v>530</v>
      </c>
      <c r="D421" s="10">
        <v>435340</v>
      </c>
      <c r="E421" s="9" t="s">
        <v>472</v>
      </c>
      <c r="F421" s="9" t="s">
        <v>555</v>
      </c>
      <c r="G421" s="12">
        <v>306</v>
      </c>
      <c r="H421" s="13"/>
      <c r="I421" s="14"/>
      <c r="J421" s="15"/>
      <c r="K421" s="16">
        <v>306</v>
      </c>
      <c r="L421" s="115"/>
      <c r="M421" s="116"/>
      <c r="N421" s="86"/>
      <c r="O421" s="86"/>
      <c r="P421" s="86"/>
      <c r="Q421" s="86"/>
      <c r="R421" s="86"/>
      <c r="S421" s="86"/>
      <c r="T421" s="86"/>
      <c r="U421" s="86"/>
      <c r="V421" s="11">
        <f t="shared" si="8"/>
        <v>306</v>
      </c>
      <c r="W421" s="205" t="s">
        <v>909</v>
      </c>
      <c r="X421" s="9" t="s">
        <v>921</v>
      </c>
    </row>
    <row r="422" spans="1:24" ht="38.25" x14ac:dyDescent="0.25">
      <c r="A422" s="7" t="s">
        <v>16</v>
      </c>
      <c r="B422" s="8">
        <v>8471305</v>
      </c>
      <c r="C422" s="9" t="s">
        <v>530</v>
      </c>
      <c r="D422" s="10">
        <v>435350</v>
      </c>
      <c r="E422" s="9" t="s">
        <v>98</v>
      </c>
      <c r="F422" s="9" t="s">
        <v>556</v>
      </c>
      <c r="G422" s="12">
        <v>357401</v>
      </c>
      <c r="H422" s="18">
        <v>107630.78</v>
      </c>
      <c r="I422" s="14"/>
      <c r="J422" s="15"/>
      <c r="K422" s="16">
        <v>249770.22</v>
      </c>
      <c r="L422" s="205"/>
      <c r="M422" s="116"/>
      <c r="N422" s="86"/>
      <c r="O422" s="86"/>
      <c r="P422" s="86"/>
      <c r="Q422" s="86"/>
      <c r="R422" s="86"/>
      <c r="S422" s="86"/>
      <c r="T422" s="86"/>
      <c r="U422" s="86"/>
      <c r="V422" s="11">
        <f t="shared" si="8"/>
        <v>249770.22</v>
      </c>
      <c r="W422" s="205" t="s">
        <v>910</v>
      </c>
      <c r="X422" s="9" t="s">
        <v>921</v>
      </c>
    </row>
    <row r="423" spans="1:24" ht="38.25" x14ac:dyDescent="0.25">
      <c r="A423" s="7" t="s">
        <v>16</v>
      </c>
      <c r="B423" s="8">
        <v>8471305</v>
      </c>
      <c r="C423" s="9" t="s">
        <v>530</v>
      </c>
      <c r="D423" s="10">
        <v>435508</v>
      </c>
      <c r="E423" s="9" t="s">
        <v>100</v>
      </c>
      <c r="F423" s="9" t="s">
        <v>557</v>
      </c>
      <c r="G423" s="12">
        <v>2000000</v>
      </c>
      <c r="H423" s="18">
        <v>108823.5</v>
      </c>
      <c r="I423" s="19">
        <v>620296</v>
      </c>
      <c r="J423" s="12">
        <v>182039.31</v>
      </c>
      <c r="K423" s="16">
        <v>1088841.19</v>
      </c>
      <c r="L423" s="205"/>
      <c r="M423" s="116"/>
      <c r="N423" s="86"/>
      <c r="O423" s="86"/>
      <c r="P423" s="86"/>
      <c r="Q423" s="86"/>
      <c r="R423" s="86"/>
      <c r="S423" s="86"/>
      <c r="T423" s="86"/>
      <c r="U423" s="86"/>
      <c r="V423" s="11">
        <f t="shared" si="8"/>
        <v>1088841.19</v>
      </c>
      <c r="W423" s="205" t="s">
        <v>911</v>
      </c>
      <c r="X423" s="9" t="s">
        <v>921</v>
      </c>
    </row>
    <row r="424" spans="1:24" ht="25.5" x14ac:dyDescent="0.25">
      <c r="A424" s="7" t="s">
        <v>16</v>
      </c>
      <c r="B424" s="8">
        <v>8471305</v>
      </c>
      <c r="C424" s="9" t="s">
        <v>530</v>
      </c>
      <c r="D424" s="10">
        <v>435530</v>
      </c>
      <c r="E424" s="9" t="s">
        <v>509</v>
      </c>
      <c r="F424" s="9" t="s">
        <v>558</v>
      </c>
      <c r="G424" s="12">
        <v>5000</v>
      </c>
      <c r="H424" s="13"/>
      <c r="I424" s="14"/>
      <c r="J424" s="15"/>
      <c r="K424" s="16">
        <v>5000</v>
      </c>
      <c r="L424" s="205"/>
      <c r="M424" s="116"/>
      <c r="N424" s="86"/>
      <c r="O424" s="86"/>
      <c r="P424" s="86"/>
      <c r="Q424" s="86"/>
      <c r="R424" s="86"/>
      <c r="S424" s="86"/>
      <c r="T424" s="86"/>
      <c r="U424" s="86"/>
      <c r="V424" s="11">
        <f t="shared" si="8"/>
        <v>5000</v>
      </c>
      <c r="W424" s="205" t="s">
        <v>912</v>
      </c>
      <c r="X424" s="9" t="s">
        <v>921</v>
      </c>
    </row>
    <row r="425" spans="1:24" ht="25.5" x14ac:dyDescent="0.25">
      <c r="A425" s="7" t="s">
        <v>16</v>
      </c>
      <c r="B425" s="8">
        <v>8471305</v>
      </c>
      <c r="C425" s="9" t="s">
        <v>530</v>
      </c>
      <c r="D425" s="10">
        <v>436120</v>
      </c>
      <c r="E425" s="9" t="s">
        <v>396</v>
      </c>
      <c r="F425" s="9" t="s">
        <v>559</v>
      </c>
      <c r="G425" s="12">
        <v>3166</v>
      </c>
      <c r="H425" s="18">
        <v>535.9</v>
      </c>
      <c r="I425" s="14"/>
      <c r="J425" s="15"/>
      <c r="K425" s="16">
        <v>2630.1</v>
      </c>
      <c r="L425" s="115"/>
      <c r="M425" s="116"/>
      <c r="N425" s="86"/>
      <c r="O425" s="86"/>
      <c r="P425" s="86"/>
      <c r="Q425" s="86"/>
      <c r="R425" s="86"/>
      <c r="S425" s="86"/>
      <c r="T425" s="86"/>
      <c r="U425" s="86"/>
      <c r="V425" s="11">
        <f t="shared" si="8"/>
        <v>2630.1</v>
      </c>
      <c r="W425" s="205" t="s">
        <v>913</v>
      </c>
      <c r="X425" s="9" t="s">
        <v>921</v>
      </c>
    </row>
    <row r="426" spans="1:24" ht="25.5" x14ac:dyDescent="0.25">
      <c r="A426" s="7" t="s">
        <v>561</v>
      </c>
      <c r="B426" s="8">
        <v>8470110</v>
      </c>
      <c r="C426" s="9" t="s">
        <v>17</v>
      </c>
      <c r="D426" s="10">
        <v>492316</v>
      </c>
      <c r="E426" s="9" t="s">
        <v>124</v>
      </c>
      <c r="F426" s="9" t="s">
        <v>562</v>
      </c>
      <c r="G426" s="12">
        <v>1220302</v>
      </c>
      <c r="H426" s="13"/>
      <c r="I426" s="14"/>
      <c r="J426" s="15"/>
      <c r="K426" s="16">
        <v>1220302</v>
      </c>
      <c r="L426" s="15"/>
      <c r="M426" s="14"/>
      <c r="N426" s="17"/>
      <c r="O426" s="17"/>
      <c r="P426" s="17"/>
      <c r="Q426" s="17"/>
      <c r="R426" s="17"/>
      <c r="S426" s="17"/>
      <c r="T426" s="17"/>
      <c r="U426" s="17"/>
      <c r="V426" s="11">
        <f t="shared" si="8"/>
        <v>1220302</v>
      </c>
      <c r="W426" s="17"/>
      <c r="X426" s="9" t="s">
        <v>921</v>
      </c>
    </row>
    <row r="427" spans="1:24" ht="25.5" x14ac:dyDescent="0.25">
      <c r="A427" s="7" t="s">
        <v>561</v>
      </c>
      <c r="B427" s="8">
        <v>8470120</v>
      </c>
      <c r="C427" s="9" t="s">
        <v>28</v>
      </c>
      <c r="D427" s="10">
        <v>492316</v>
      </c>
      <c r="E427" s="9" t="s">
        <v>124</v>
      </c>
      <c r="F427" s="9" t="s">
        <v>563</v>
      </c>
      <c r="G427" s="12">
        <v>44351</v>
      </c>
      <c r="H427" s="13"/>
      <c r="I427" s="14"/>
      <c r="J427" s="15"/>
      <c r="K427" s="16">
        <v>44351</v>
      </c>
      <c r="L427" s="15"/>
      <c r="M427" s="14"/>
      <c r="N427" s="17"/>
      <c r="O427" s="17"/>
      <c r="P427" s="17"/>
      <c r="Q427" s="17"/>
      <c r="R427" s="17"/>
      <c r="S427" s="17"/>
      <c r="T427" s="17"/>
      <c r="U427" s="17"/>
      <c r="V427" s="11">
        <f t="shared" si="8"/>
        <v>44351</v>
      </c>
      <c r="W427" s="17"/>
      <c r="X427" s="9" t="s">
        <v>921</v>
      </c>
    </row>
    <row r="428" spans="1:24" ht="25.5" x14ac:dyDescent="0.25">
      <c r="A428" s="7" t="s">
        <v>561</v>
      </c>
      <c r="B428" s="8">
        <v>8470220</v>
      </c>
      <c r="C428" s="9" t="s">
        <v>85</v>
      </c>
      <c r="D428" s="10">
        <v>492310</v>
      </c>
      <c r="E428" s="9" t="s">
        <v>564</v>
      </c>
      <c r="F428" s="9" t="s">
        <v>565</v>
      </c>
      <c r="G428" s="12">
        <v>244323</v>
      </c>
      <c r="H428" s="13"/>
      <c r="I428" s="19">
        <v>150000</v>
      </c>
      <c r="J428" s="15"/>
      <c r="K428" s="16">
        <v>94323</v>
      </c>
      <c r="L428" s="164">
        <v>200000</v>
      </c>
      <c r="M428" s="54"/>
      <c r="N428" s="57"/>
      <c r="O428" s="57"/>
      <c r="P428" s="57"/>
      <c r="Q428" s="57"/>
      <c r="R428" s="57"/>
      <c r="S428" s="57"/>
      <c r="T428" s="57"/>
      <c r="U428" s="57" t="s">
        <v>804</v>
      </c>
      <c r="V428" s="11">
        <f t="shared" si="8"/>
        <v>-105677</v>
      </c>
      <c r="W428" s="17"/>
      <c r="X428" s="9" t="s">
        <v>922</v>
      </c>
    </row>
    <row r="429" spans="1:24" ht="25.5" x14ac:dyDescent="0.25">
      <c r="A429" s="7" t="s">
        <v>561</v>
      </c>
      <c r="B429" s="8">
        <v>8470220</v>
      </c>
      <c r="C429" s="9" t="s">
        <v>85</v>
      </c>
      <c r="D429" s="10">
        <v>492316</v>
      </c>
      <c r="E429" s="9" t="s">
        <v>124</v>
      </c>
      <c r="F429" s="9" t="s">
        <v>566</v>
      </c>
      <c r="G429" s="12">
        <v>697</v>
      </c>
      <c r="H429" s="13"/>
      <c r="I429" s="14"/>
      <c r="J429" s="15"/>
      <c r="K429" s="16">
        <v>697</v>
      </c>
      <c r="L429" s="55"/>
      <c r="M429" s="54"/>
      <c r="N429" s="57"/>
      <c r="O429" s="57"/>
      <c r="P429" s="57"/>
      <c r="Q429" s="57"/>
      <c r="R429" s="57"/>
      <c r="S429" s="57"/>
      <c r="T429" s="57"/>
      <c r="U429" s="57"/>
      <c r="V429" s="11">
        <f t="shared" si="8"/>
        <v>697</v>
      </c>
      <c r="W429" s="17"/>
      <c r="X429" s="9" t="s">
        <v>922</v>
      </c>
    </row>
    <row r="430" spans="1:24" ht="140.25" x14ac:dyDescent="0.25">
      <c r="A430" s="7" t="s">
        <v>561</v>
      </c>
      <c r="B430" s="8">
        <v>8470220</v>
      </c>
      <c r="C430" s="9" t="s">
        <v>85</v>
      </c>
      <c r="D430" s="10">
        <v>492316</v>
      </c>
      <c r="E430" s="9" t="s">
        <v>124</v>
      </c>
      <c r="F430" s="9" t="s">
        <v>567</v>
      </c>
      <c r="G430" s="12">
        <v>15000000</v>
      </c>
      <c r="H430" s="13"/>
      <c r="I430" s="19">
        <v>16730</v>
      </c>
      <c r="J430" s="15"/>
      <c r="K430" s="16">
        <v>14983270</v>
      </c>
      <c r="L430" s="55">
        <v>5081840</v>
      </c>
      <c r="M430" s="54">
        <v>9918160</v>
      </c>
      <c r="N430" s="57">
        <v>20000</v>
      </c>
      <c r="O430" s="57"/>
      <c r="P430" s="57"/>
      <c r="Q430" s="57"/>
      <c r="R430" s="57"/>
      <c r="S430" s="57"/>
      <c r="T430" s="57"/>
      <c r="U430" s="17" t="s">
        <v>805</v>
      </c>
      <c r="V430" s="11">
        <f t="shared" si="8"/>
        <v>-36730</v>
      </c>
      <c r="W430" s="17"/>
      <c r="X430" s="9" t="s">
        <v>922</v>
      </c>
    </row>
    <row r="431" spans="1:24" ht="25.5" x14ac:dyDescent="0.25">
      <c r="A431" s="7" t="s">
        <v>561</v>
      </c>
      <c r="B431" s="8">
        <v>8470230</v>
      </c>
      <c r="C431" s="9" t="s">
        <v>102</v>
      </c>
      <c r="D431" s="10">
        <v>492310</v>
      </c>
      <c r="E431" s="9" t="s">
        <v>564</v>
      </c>
      <c r="F431" s="9" t="s">
        <v>568</v>
      </c>
      <c r="G431" s="12">
        <v>1333260</v>
      </c>
      <c r="H431" s="13"/>
      <c r="I431" s="19">
        <v>1302264.76</v>
      </c>
      <c r="J431" s="15"/>
      <c r="K431" s="16">
        <v>30995.24</v>
      </c>
      <c r="L431" s="151"/>
      <c r="M431" s="152"/>
      <c r="N431" s="153"/>
      <c r="O431" s="153"/>
      <c r="P431" s="153"/>
      <c r="Q431" s="153">
        <v>30995</v>
      </c>
      <c r="R431" s="153"/>
      <c r="S431" s="153"/>
      <c r="T431" s="153"/>
      <c r="U431" s="154" t="s">
        <v>783</v>
      </c>
      <c r="V431" s="11">
        <f t="shared" si="8"/>
        <v>0.24000000000160071</v>
      </c>
      <c r="W431" s="155" t="s">
        <v>784</v>
      </c>
      <c r="X431" s="9" t="s">
        <v>922</v>
      </c>
    </row>
    <row r="432" spans="1:24" ht="38.25" x14ac:dyDescent="0.25">
      <c r="A432" s="7" t="s">
        <v>561</v>
      </c>
      <c r="B432" s="8">
        <v>8470305</v>
      </c>
      <c r="C432" s="9" t="s">
        <v>114</v>
      </c>
      <c r="D432" s="10">
        <v>492316</v>
      </c>
      <c r="E432" s="9" t="s">
        <v>124</v>
      </c>
      <c r="F432" s="9" t="s">
        <v>569</v>
      </c>
      <c r="G432" s="12">
        <v>1000000</v>
      </c>
      <c r="H432" s="13"/>
      <c r="I432" s="14"/>
      <c r="J432" s="15"/>
      <c r="K432" s="16">
        <v>1000000</v>
      </c>
      <c r="L432" s="83">
        <v>400000</v>
      </c>
      <c r="M432" s="84">
        <v>600000</v>
      </c>
      <c r="N432" s="17"/>
      <c r="O432" s="17"/>
      <c r="P432" s="17"/>
      <c r="Q432" s="17"/>
      <c r="R432" s="17"/>
      <c r="S432" s="17"/>
      <c r="T432" s="17"/>
      <c r="U432" s="17" t="s">
        <v>688</v>
      </c>
      <c r="V432" s="11">
        <f t="shared" si="8"/>
        <v>0</v>
      </c>
      <c r="W432" s="17"/>
      <c r="X432" s="9" t="s">
        <v>922</v>
      </c>
    </row>
    <row r="433" spans="1:24" ht="25.5" x14ac:dyDescent="0.25">
      <c r="A433" s="7" t="s">
        <v>561</v>
      </c>
      <c r="B433" s="8">
        <v>8470310</v>
      </c>
      <c r="C433" s="9" t="s">
        <v>128</v>
      </c>
      <c r="D433" s="10">
        <v>492316</v>
      </c>
      <c r="E433" s="9" t="s">
        <v>124</v>
      </c>
      <c r="F433" s="9" t="s">
        <v>570</v>
      </c>
      <c r="G433" s="12">
        <v>805100</v>
      </c>
      <c r="H433" s="18">
        <v>800481</v>
      </c>
      <c r="I433" s="19">
        <v>-805100</v>
      </c>
      <c r="J433" s="12">
        <v>805100</v>
      </c>
      <c r="K433" s="16">
        <v>4619</v>
      </c>
      <c r="L433" s="15"/>
      <c r="M433" s="14">
        <v>4500</v>
      </c>
      <c r="N433" s="17"/>
      <c r="O433" s="17"/>
      <c r="P433" s="17"/>
      <c r="Q433" s="17"/>
      <c r="R433" s="17"/>
      <c r="S433" s="17"/>
      <c r="T433" s="17"/>
      <c r="U433" s="17"/>
      <c r="V433" s="11">
        <f t="shared" si="8"/>
        <v>119</v>
      </c>
      <c r="W433" s="17"/>
      <c r="X433" s="9" t="s">
        <v>922</v>
      </c>
    </row>
    <row r="434" spans="1:24" ht="25.5" x14ac:dyDescent="0.25">
      <c r="A434" s="7" t="s">
        <v>561</v>
      </c>
      <c r="B434" s="8">
        <v>8470320</v>
      </c>
      <c r="C434" s="9" t="s">
        <v>149</v>
      </c>
      <c r="D434" s="10">
        <v>492316</v>
      </c>
      <c r="E434" s="9" t="s">
        <v>124</v>
      </c>
      <c r="F434" s="9" t="s">
        <v>571</v>
      </c>
      <c r="G434" s="12">
        <v>433322</v>
      </c>
      <c r="H434" s="18">
        <v>380756</v>
      </c>
      <c r="I434" s="19">
        <v>-380756</v>
      </c>
      <c r="J434" s="12">
        <v>430000</v>
      </c>
      <c r="K434" s="16">
        <v>3322</v>
      </c>
      <c r="L434" s="15"/>
      <c r="M434" s="14"/>
      <c r="N434" s="17"/>
      <c r="O434" s="17"/>
      <c r="P434" s="17"/>
      <c r="Q434" s="17"/>
      <c r="R434" s="17"/>
      <c r="S434" s="17"/>
      <c r="T434" s="17"/>
      <c r="U434" s="17"/>
      <c r="V434" s="11">
        <f t="shared" si="8"/>
        <v>3322</v>
      </c>
      <c r="W434" s="17"/>
      <c r="X434" s="9" t="s">
        <v>922</v>
      </c>
    </row>
    <row r="435" spans="1:24" ht="25.5" x14ac:dyDescent="0.25">
      <c r="A435" s="7" t="s">
        <v>561</v>
      </c>
      <c r="B435" s="8">
        <v>8470325</v>
      </c>
      <c r="C435" s="9" t="s">
        <v>162</v>
      </c>
      <c r="D435" s="10">
        <v>492316</v>
      </c>
      <c r="E435" s="9" t="s">
        <v>124</v>
      </c>
      <c r="F435" s="9" t="s">
        <v>572</v>
      </c>
      <c r="G435" s="12">
        <v>13410</v>
      </c>
      <c r="H435" s="13"/>
      <c r="I435" s="14"/>
      <c r="J435" s="15"/>
      <c r="K435" s="16">
        <v>13410</v>
      </c>
      <c r="L435" s="15"/>
      <c r="M435" s="14"/>
      <c r="N435" s="17"/>
      <c r="O435" s="17"/>
      <c r="P435" s="17"/>
      <c r="Q435" s="17"/>
      <c r="R435" s="17"/>
      <c r="S435" s="17"/>
      <c r="T435" s="17"/>
      <c r="U435" s="17"/>
      <c r="V435" s="11">
        <f t="shared" si="8"/>
        <v>13410</v>
      </c>
      <c r="W435" s="17"/>
      <c r="X435" s="9" t="s">
        <v>922</v>
      </c>
    </row>
    <row r="436" spans="1:24" ht="25.5" x14ac:dyDescent="0.25">
      <c r="A436" s="7" t="s">
        <v>561</v>
      </c>
      <c r="B436" s="8">
        <v>8470335</v>
      </c>
      <c r="C436" s="9" t="s">
        <v>183</v>
      </c>
      <c r="D436" s="10">
        <v>492316</v>
      </c>
      <c r="E436" s="9" t="s">
        <v>124</v>
      </c>
      <c r="F436" s="9" t="s">
        <v>573</v>
      </c>
      <c r="G436" s="12">
        <v>223066</v>
      </c>
      <c r="H436" s="18">
        <v>35669.660000000003</v>
      </c>
      <c r="I436" s="19">
        <v>184446</v>
      </c>
      <c r="J436" s="12">
        <v>0</v>
      </c>
      <c r="K436" s="16">
        <v>2950.34</v>
      </c>
      <c r="L436" s="15"/>
      <c r="M436" s="14"/>
      <c r="N436" s="17"/>
      <c r="O436" s="17"/>
      <c r="P436" s="17"/>
      <c r="Q436" s="17"/>
      <c r="R436" s="17"/>
      <c r="S436" s="17"/>
      <c r="T436" s="17"/>
      <c r="U436" s="17"/>
      <c r="V436" s="11">
        <f t="shared" si="8"/>
        <v>2950.34</v>
      </c>
      <c r="W436" s="17"/>
      <c r="X436" s="9" t="s">
        <v>922</v>
      </c>
    </row>
    <row r="437" spans="1:24" ht="25.5" x14ac:dyDescent="0.25">
      <c r="A437" s="7" t="s">
        <v>561</v>
      </c>
      <c r="B437" s="8">
        <v>8470345</v>
      </c>
      <c r="C437" s="9" t="s">
        <v>209</v>
      </c>
      <c r="D437" s="10">
        <v>492316</v>
      </c>
      <c r="E437" s="9" t="s">
        <v>124</v>
      </c>
      <c r="F437" s="9" t="s">
        <v>574</v>
      </c>
      <c r="G437" s="12">
        <v>192399</v>
      </c>
      <c r="H437" s="18">
        <v>202482.54</v>
      </c>
      <c r="I437" s="19">
        <v>-139309.26999999999</v>
      </c>
      <c r="J437" s="12">
        <v>127888.25</v>
      </c>
      <c r="K437" s="16">
        <v>1337.48000000002</v>
      </c>
      <c r="L437" s="15"/>
      <c r="M437" s="14">
        <v>1300</v>
      </c>
      <c r="N437" s="17"/>
      <c r="O437" s="17"/>
      <c r="P437" s="17"/>
      <c r="Q437" s="17"/>
      <c r="R437" s="17"/>
      <c r="S437" s="17"/>
      <c r="T437" s="17"/>
      <c r="U437" s="78" t="s">
        <v>689</v>
      </c>
      <c r="V437" s="11">
        <f t="shared" si="8"/>
        <v>37.480000000020027</v>
      </c>
      <c r="W437" s="17"/>
      <c r="X437" s="9" t="s">
        <v>922</v>
      </c>
    </row>
    <row r="438" spans="1:24" ht="25.5" x14ac:dyDescent="0.25">
      <c r="A438" s="7" t="s">
        <v>561</v>
      </c>
      <c r="B438" s="8">
        <v>8470405</v>
      </c>
      <c r="C438" s="9" t="s">
        <v>230</v>
      </c>
      <c r="D438" s="10">
        <v>492316</v>
      </c>
      <c r="E438" s="9" t="s">
        <v>124</v>
      </c>
      <c r="F438" s="9" t="s">
        <v>575</v>
      </c>
      <c r="G438" s="12">
        <v>2200000</v>
      </c>
      <c r="H438" s="13"/>
      <c r="I438" s="14"/>
      <c r="J438" s="15"/>
      <c r="K438" s="16">
        <v>2200000</v>
      </c>
      <c r="L438" s="55" t="s">
        <v>888</v>
      </c>
      <c r="M438" s="54"/>
      <c r="N438" s="57"/>
      <c r="O438" s="57"/>
      <c r="P438" s="57"/>
      <c r="Q438" s="17"/>
      <c r="R438" s="17"/>
      <c r="S438" s="17"/>
      <c r="T438" s="17"/>
      <c r="U438" s="17"/>
      <c r="V438" s="11" t="e">
        <f t="shared" si="8"/>
        <v>#VALUE!</v>
      </c>
      <c r="W438" s="17"/>
      <c r="X438" s="9" t="s">
        <v>922</v>
      </c>
    </row>
    <row r="439" spans="1:24" ht="38.25" x14ac:dyDescent="0.25">
      <c r="A439" s="7" t="s">
        <v>561</v>
      </c>
      <c r="B439" s="8">
        <v>8470415</v>
      </c>
      <c r="C439" s="9" t="s">
        <v>246</v>
      </c>
      <c r="D439" s="10">
        <v>492316</v>
      </c>
      <c r="E439" s="9" t="s">
        <v>124</v>
      </c>
      <c r="F439" s="9" t="s">
        <v>576</v>
      </c>
      <c r="G439" s="12">
        <v>488654</v>
      </c>
      <c r="H439" s="18">
        <v>41859.1</v>
      </c>
      <c r="I439" s="19">
        <v>-41859.1</v>
      </c>
      <c r="J439" s="12">
        <v>349866</v>
      </c>
      <c r="K439" s="16">
        <v>138788</v>
      </c>
      <c r="L439" s="198"/>
      <c r="M439" s="54"/>
      <c r="N439" s="57"/>
      <c r="O439" s="57"/>
      <c r="P439" s="57"/>
      <c r="Q439" s="17"/>
      <c r="R439" s="17"/>
      <c r="S439" s="17"/>
      <c r="T439" s="17"/>
      <c r="U439" s="17"/>
      <c r="V439" s="11">
        <f t="shared" si="8"/>
        <v>138788</v>
      </c>
      <c r="W439" s="213" t="s">
        <v>889</v>
      </c>
      <c r="X439" s="9" t="s">
        <v>922</v>
      </c>
    </row>
    <row r="440" spans="1:24" ht="25.5" x14ac:dyDescent="0.25">
      <c r="A440" s="7" t="s">
        <v>561</v>
      </c>
      <c r="B440" s="8">
        <v>8470425</v>
      </c>
      <c r="C440" s="9" t="s">
        <v>254</v>
      </c>
      <c r="D440" s="10">
        <v>492316</v>
      </c>
      <c r="E440" s="9" t="s">
        <v>124</v>
      </c>
      <c r="F440" s="9" t="s">
        <v>577</v>
      </c>
      <c r="G440" s="12">
        <v>224882</v>
      </c>
      <c r="H440" s="18">
        <v>131146.73000000001</v>
      </c>
      <c r="I440" s="19">
        <v>-143081.73000000001</v>
      </c>
      <c r="J440" s="12">
        <v>7.2759576141834308E-12</v>
      </c>
      <c r="K440" s="16">
        <v>236817</v>
      </c>
      <c r="L440" s="115"/>
      <c r="M440" s="116">
        <v>36817</v>
      </c>
      <c r="N440" s="86">
        <v>100000</v>
      </c>
      <c r="O440" s="86">
        <v>10000</v>
      </c>
      <c r="P440" s="86">
        <v>90000</v>
      </c>
      <c r="Q440" s="17"/>
      <c r="R440" s="17"/>
      <c r="S440" s="17"/>
      <c r="T440" s="17"/>
      <c r="U440" s="17"/>
      <c r="V440" s="11">
        <f t="shared" si="8"/>
        <v>0</v>
      </c>
      <c r="W440" s="17"/>
      <c r="X440" s="9" t="s">
        <v>922</v>
      </c>
    </row>
    <row r="441" spans="1:24" ht="25.5" x14ac:dyDescent="0.25">
      <c r="A441" s="7" t="s">
        <v>561</v>
      </c>
      <c r="B441" s="8">
        <v>8470450</v>
      </c>
      <c r="C441" s="9" t="s">
        <v>289</v>
      </c>
      <c r="D441" s="10">
        <v>492316</v>
      </c>
      <c r="E441" s="9" t="s">
        <v>124</v>
      </c>
      <c r="F441" s="9" t="s">
        <v>578</v>
      </c>
      <c r="G441" s="12">
        <v>25100</v>
      </c>
      <c r="H441" s="18">
        <v>47150</v>
      </c>
      <c r="I441" s="19">
        <v>-22050</v>
      </c>
      <c r="J441" s="12">
        <v>0</v>
      </c>
      <c r="K441" s="16">
        <v>0</v>
      </c>
      <c r="L441" s="15"/>
      <c r="M441" s="14"/>
      <c r="N441" s="17"/>
      <c r="O441" s="17"/>
      <c r="P441" s="17"/>
      <c r="Q441" s="17"/>
      <c r="R441" s="17"/>
      <c r="S441" s="17"/>
      <c r="T441" s="17"/>
      <c r="U441" s="17"/>
      <c r="V441" s="11">
        <f t="shared" si="8"/>
        <v>0</v>
      </c>
      <c r="W441" s="17"/>
      <c r="X441" s="9" t="s">
        <v>922</v>
      </c>
    </row>
    <row r="442" spans="1:24" ht="25.5" x14ac:dyDescent="0.25">
      <c r="A442" s="7" t="s">
        <v>561</v>
      </c>
      <c r="B442" s="8">
        <v>8470455</v>
      </c>
      <c r="C442" s="9" t="s">
        <v>299</v>
      </c>
      <c r="D442" s="10">
        <v>492316</v>
      </c>
      <c r="E442" s="9" t="s">
        <v>124</v>
      </c>
      <c r="F442" s="9" t="s">
        <v>579</v>
      </c>
      <c r="G442" s="12">
        <v>12968</v>
      </c>
      <c r="H442" s="18">
        <v>2808.8</v>
      </c>
      <c r="I442" s="14"/>
      <c r="J442" s="15"/>
      <c r="K442" s="16">
        <v>10159.200000000001</v>
      </c>
      <c r="L442" s="15"/>
      <c r="M442" s="14"/>
      <c r="N442" s="17"/>
      <c r="O442" s="17"/>
      <c r="P442" s="17"/>
      <c r="Q442" s="17"/>
      <c r="R442" s="17"/>
      <c r="S442" s="17"/>
      <c r="T442" s="17"/>
      <c r="U442" s="17"/>
      <c r="V442" s="11">
        <f t="shared" si="8"/>
        <v>10159.200000000001</v>
      </c>
      <c r="W442" s="17"/>
      <c r="X442" s="9" t="s">
        <v>922</v>
      </c>
    </row>
    <row r="443" spans="1:24" ht="25.5" x14ac:dyDescent="0.25">
      <c r="A443" s="7" t="s">
        <v>561</v>
      </c>
      <c r="B443" s="8">
        <v>8470530</v>
      </c>
      <c r="C443" s="9" t="s">
        <v>311</v>
      </c>
      <c r="D443" s="10">
        <v>492200</v>
      </c>
      <c r="E443" s="9" t="s">
        <v>580</v>
      </c>
      <c r="F443" s="9" t="s">
        <v>581</v>
      </c>
      <c r="G443" s="12">
        <v>1624208</v>
      </c>
      <c r="H443" s="13"/>
      <c r="I443" s="14"/>
      <c r="J443" s="15"/>
      <c r="K443" s="16">
        <v>1624208</v>
      </c>
      <c r="L443" s="56">
        <v>1624208</v>
      </c>
      <c r="M443" s="54"/>
      <c r="N443" s="57"/>
      <c r="O443" s="57"/>
      <c r="P443" s="57"/>
      <c r="Q443" s="57"/>
      <c r="R443" s="57"/>
      <c r="S443" s="57"/>
      <c r="T443" s="57"/>
      <c r="U443" s="57" t="s">
        <v>840</v>
      </c>
      <c r="V443" s="11">
        <f t="shared" si="8"/>
        <v>0</v>
      </c>
      <c r="W443" s="17"/>
      <c r="X443" s="9" t="s">
        <v>922</v>
      </c>
    </row>
    <row r="444" spans="1:24" ht="25.5" x14ac:dyDescent="0.25">
      <c r="A444" s="7" t="s">
        <v>561</v>
      </c>
      <c r="B444" s="8">
        <v>8470530</v>
      </c>
      <c r="C444" s="9" t="s">
        <v>311</v>
      </c>
      <c r="D444" s="10">
        <v>492200</v>
      </c>
      <c r="E444" s="9" t="s">
        <v>580</v>
      </c>
      <c r="F444" s="9" t="s">
        <v>582</v>
      </c>
      <c r="G444" s="12">
        <v>29208099</v>
      </c>
      <c r="H444" s="18">
        <v>989346.6</v>
      </c>
      <c r="I444" s="19">
        <v>6150000</v>
      </c>
      <c r="J444" s="12">
        <v>0</v>
      </c>
      <c r="K444" s="16">
        <v>22068752.399999999</v>
      </c>
      <c r="L444" s="56">
        <v>22068752.399999999</v>
      </c>
      <c r="M444" s="54"/>
      <c r="N444" s="57"/>
      <c r="O444" s="57"/>
      <c r="P444" s="57"/>
      <c r="Q444" s="57"/>
      <c r="R444" s="57"/>
      <c r="S444" s="57"/>
      <c r="T444" s="57"/>
      <c r="U444" s="57" t="s">
        <v>840</v>
      </c>
      <c r="V444" s="11">
        <f t="shared" si="8"/>
        <v>0</v>
      </c>
      <c r="W444" s="17"/>
      <c r="X444" s="9" t="s">
        <v>922</v>
      </c>
    </row>
    <row r="445" spans="1:24" ht="25.5" x14ac:dyDescent="0.25">
      <c r="A445" s="7" t="s">
        <v>561</v>
      </c>
      <c r="B445" s="8">
        <v>8470530</v>
      </c>
      <c r="C445" s="9" t="s">
        <v>311</v>
      </c>
      <c r="D445" s="10">
        <v>492200</v>
      </c>
      <c r="E445" s="9" t="s">
        <v>580</v>
      </c>
      <c r="F445" s="9" t="s">
        <v>583</v>
      </c>
      <c r="G445" s="12">
        <v>21619046</v>
      </c>
      <c r="H445" s="18">
        <v>149865.25</v>
      </c>
      <c r="I445" s="19">
        <v>4779350</v>
      </c>
      <c r="J445" s="12">
        <v>0</v>
      </c>
      <c r="K445" s="16">
        <v>16689830.75</v>
      </c>
      <c r="L445" s="56">
        <v>16689830.75</v>
      </c>
      <c r="M445" s="54"/>
      <c r="N445" s="57"/>
      <c r="O445" s="57"/>
      <c r="P445" s="57"/>
      <c r="Q445" s="57"/>
      <c r="R445" s="57"/>
      <c r="S445" s="57"/>
      <c r="T445" s="57"/>
      <c r="U445" s="57" t="s">
        <v>840</v>
      </c>
      <c r="V445" s="11">
        <f t="shared" si="8"/>
        <v>0</v>
      </c>
      <c r="W445" s="17"/>
      <c r="X445" s="9" t="s">
        <v>922</v>
      </c>
    </row>
    <row r="446" spans="1:24" ht="25.5" x14ac:dyDescent="0.25">
      <c r="A446" s="7" t="s">
        <v>561</v>
      </c>
      <c r="B446" s="8">
        <v>8470530</v>
      </c>
      <c r="C446" s="9" t="s">
        <v>311</v>
      </c>
      <c r="D446" s="10">
        <v>492610</v>
      </c>
      <c r="E446" s="9" t="s">
        <v>584</v>
      </c>
      <c r="F446" s="9" t="s">
        <v>585</v>
      </c>
      <c r="G446" s="12">
        <v>1000000</v>
      </c>
      <c r="H446" s="13"/>
      <c r="I446" s="14"/>
      <c r="J446" s="15"/>
      <c r="K446" s="16">
        <v>1000000</v>
      </c>
      <c r="L446" s="56">
        <v>1000000</v>
      </c>
      <c r="M446" s="54"/>
      <c r="N446" s="57"/>
      <c r="O446" s="57"/>
      <c r="P446" s="57"/>
      <c r="Q446" s="57"/>
      <c r="R446" s="57"/>
      <c r="S446" s="57"/>
      <c r="T446" s="57"/>
      <c r="U446" s="57" t="s">
        <v>840</v>
      </c>
      <c r="V446" s="11">
        <f t="shared" si="8"/>
        <v>0</v>
      </c>
      <c r="W446" s="17"/>
      <c r="X446" s="9" t="s">
        <v>922</v>
      </c>
    </row>
    <row r="447" spans="1:24" ht="25.5" x14ac:dyDescent="0.25">
      <c r="A447" s="7" t="s">
        <v>561</v>
      </c>
      <c r="B447" s="8">
        <v>8470530</v>
      </c>
      <c r="C447" s="9" t="s">
        <v>311</v>
      </c>
      <c r="D447" s="10">
        <v>492610</v>
      </c>
      <c r="E447" s="9" t="s">
        <v>584</v>
      </c>
      <c r="F447" s="9" t="s">
        <v>586</v>
      </c>
      <c r="G447" s="12">
        <v>289920</v>
      </c>
      <c r="H447" s="13"/>
      <c r="I447" s="19">
        <v>289920</v>
      </c>
      <c r="J447" s="15"/>
      <c r="K447" s="16">
        <v>0</v>
      </c>
      <c r="L447" s="55"/>
      <c r="M447" s="54"/>
      <c r="N447" s="57"/>
      <c r="O447" s="57"/>
      <c r="P447" s="57"/>
      <c r="Q447" s="57"/>
      <c r="R447" s="57"/>
      <c r="S447" s="57"/>
      <c r="T447" s="57"/>
      <c r="U447" s="57" t="s">
        <v>840</v>
      </c>
      <c r="V447" s="11">
        <f t="shared" si="8"/>
        <v>0</v>
      </c>
      <c r="W447" s="17"/>
      <c r="X447" s="9" t="s">
        <v>922</v>
      </c>
    </row>
    <row r="448" spans="1:24" ht="25.5" x14ac:dyDescent="0.25">
      <c r="A448" s="7" t="s">
        <v>561</v>
      </c>
      <c r="B448" s="8">
        <v>8470530</v>
      </c>
      <c r="C448" s="9" t="s">
        <v>311</v>
      </c>
      <c r="D448" s="10">
        <v>492610</v>
      </c>
      <c r="E448" s="9" t="s">
        <v>584</v>
      </c>
      <c r="F448" s="9" t="s">
        <v>587</v>
      </c>
      <c r="G448" s="12">
        <v>31488</v>
      </c>
      <c r="H448" s="13"/>
      <c r="I448" s="14"/>
      <c r="J448" s="15"/>
      <c r="K448" s="16">
        <v>31488</v>
      </c>
      <c r="L448" s="56">
        <v>31488</v>
      </c>
      <c r="M448" s="54"/>
      <c r="N448" s="57"/>
      <c r="O448" s="57"/>
      <c r="P448" s="57"/>
      <c r="Q448" s="57"/>
      <c r="R448" s="57"/>
      <c r="S448" s="57"/>
      <c r="T448" s="57"/>
      <c r="U448" s="57" t="s">
        <v>840</v>
      </c>
      <c r="V448" s="11">
        <f t="shared" si="8"/>
        <v>0</v>
      </c>
      <c r="W448" s="17"/>
      <c r="X448" s="9" t="s">
        <v>922</v>
      </c>
    </row>
    <row r="449" spans="1:24" ht="25.5" x14ac:dyDescent="0.25">
      <c r="A449" s="7" t="s">
        <v>561</v>
      </c>
      <c r="B449" s="8">
        <v>8470530</v>
      </c>
      <c r="C449" s="9" t="s">
        <v>311</v>
      </c>
      <c r="D449" s="10">
        <v>492610</v>
      </c>
      <c r="E449" s="9" t="s">
        <v>584</v>
      </c>
      <c r="F449" s="9" t="s">
        <v>588</v>
      </c>
      <c r="G449" s="12">
        <v>5000000</v>
      </c>
      <c r="H449" s="13"/>
      <c r="I449" s="14"/>
      <c r="J449" s="15"/>
      <c r="K449" s="16">
        <v>5000000</v>
      </c>
      <c r="L449" s="56">
        <v>5000000</v>
      </c>
      <c r="M449" s="54"/>
      <c r="N449" s="57"/>
      <c r="O449" s="57"/>
      <c r="P449" s="57"/>
      <c r="Q449" s="57"/>
      <c r="R449" s="57"/>
      <c r="S449" s="57"/>
      <c r="T449" s="57"/>
      <c r="U449" s="57" t="s">
        <v>840</v>
      </c>
      <c r="V449" s="11">
        <f t="shared" si="8"/>
        <v>0</v>
      </c>
      <c r="W449" s="17"/>
      <c r="X449" s="9" t="s">
        <v>922</v>
      </c>
    </row>
    <row r="450" spans="1:24" ht="25.5" x14ac:dyDescent="0.25">
      <c r="A450" s="7" t="s">
        <v>561</v>
      </c>
      <c r="B450" s="8">
        <v>8470530</v>
      </c>
      <c r="C450" s="9" t="s">
        <v>311</v>
      </c>
      <c r="D450" s="10">
        <v>492610</v>
      </c>
      <c r="E450" s="9" t="s">
        <v>584</v>
      </c>
      <c r="F450" s="9" t="s">
        <v>589</v>
      </c>
      <c r="G450" s="12">
        <v>41141</v>
      </c>
      <c r="H450" s="13"/>
      <c r="I450" s="14"/>
      <c r="J450" s="15"/>
      <c r="K450" s="16">
        <v>41141</v>
      </c>
      <c r="L450" s="55"/>
      <c r="M450" s="56">
        <v>41141</v>
      </c>
      <c r="N450" s="57"/>
      <c r="O450" s="57"/>
      <c r="P450" s="57"/>
      <c r="Q450" s="57"/>
      <c r="R450" s="57"/>
      <c r="S450" s="57"/>
      <c r="T450" s="57"/>
      <c r="U450" s="57" t="s">
        <v>840</v>
      </c>
      <c r="V450" s="11">
        <f t="shared" si="8"/>
        <v>0</v>
      </c>
      <c r="W450" s="17"/>
      <c r="X450" s="9" t="s">
        <v>922</v>
      </c>
    </row>
    <row r="451" spans="1:24" ht="25.5" x14ac:dyDescent="0.25">
      <c r="A451" s="7" t="s">
        <v>561</v>
      </c>
      <c r="B451" s="8">
        <v>8470810</v>
      </c>
      <c r="C451" s="9" t="s">
        <v>405</v>
      </c>
      <c r="D451" s="10">
        <v>492310</v>
      </c>
      <c r="E451" s="9" t="s">
        <v>564</v>
      </c>
      <c r="F451" s="9" t="s">
        <v>590</v>
      </c>
      <c r="G451" s="12">
        <v>181050</v>
      </c>
      <c r="H451" s="18">
        <v>10775</v>
      </c>
      <c r="I451" s="19">
        <v>169008</v>
      </c>
      <c r="J451" s="12">
        <v>0</v>
      </c>
      <c r="K451" s="16">
        <v>1267</v>
      </c>
      <c r="L451" s="168"/>
      <c r="M451" s="168"/>
      <c r="N451" s="168"/>
      <c r="O451" s="168"/>
      <c r="P451" s="168"/>
      <c r="Q451" s="168"/>
      <c r="R451" s="168"/>
      <c r="S451" s="168"/>
      <c r="T451" s="168"/>
      <c r="U451" s="166"/>
      <c r="V451" s="11">
        <f t="shared" si="8"/>
        <v>1267</v>
      </c>
      <c r="W451" s="166" t="s">
        <v>822</v>
      </c>
      <c r="X451" s="9" t="s">
        <v>922</v>
      </c>
    </row>
    <row r="452" spans="1:24" ht="51" x14ac:dyDescent="0.25">
      <c r="A452" s="7" t="s">
        <v>561</v>
      </c>
      <c r="B452" s="8">
        <v>8470810</v>
      </c>
      <c r="C452" s="9" t="s">
        <v>405</v>
      </c>
      <c r="D452" s="10">
        <v>492352</v>
      </c>
      <c r="E452" s="9" t="s">
        <v>591</v>
      </c>
      <c r="F452" s="9" t="s">
        <v>592</v>
      </c>
      <c r="G452" s="12">
        <v>1999373</v>
      </c>
      <c r="H452" s="13"/>
      <c r="I452" s="14"/>
      <c r="J452" s="15"/>
      <c r="K452" s="16">
        <v>1999373</v>
      </c>
      <c r="L452" s="168">
        <v>750000</v>
      </c>
      <c r="M452" s="168"/>
      <c r="N452" s="168"/>
      <c r="O452" s="168">
        <v>250000</v>
      </c>
      <c r="P452" s="168"/>
      <c r="Q452" s="168"/>
      <c r="R452" s="168"/>
      <c r="S452" s="168"/>
      <c r="T452" s="168"/>
      <c r="U452" s="166" t="s">
        <v>819</v>
      </c>
      <c r="V452" s="11">
        <f t="shared" si="8"/>
        <v>999373</v>
      </c>
      <c r="W452" s="166" t="s">
        <v>823</v>
      </c>
      <c r="X452" s="9" t="s">
        <v>922</v>
      </c>
    </row>
    <row r="453" spans="1:24" ht="25.5" x14ac:dyDescent="0.25">
      <c r="A453" s="7" t="s">
        <v>561</v>
      </c>
      <c r="B453" s="8">
        <v>8470810</v>
      </c>
      <c r="C453" s="9" t="s">
        <v>405</v>
      </c>
      <c r="D453" s="10">
        <v>492354</v>
      </c>
      <c r="E453" s="9" t="s">
        <v>593</v>
      </c>
      <c r="F453" s="9" t="s">
        <v>594</v>
      </c>
      <c r="G453" s="12">
        <v>321320</v>
      </c>
      <c r="H453" s="13"/>
      <c r="I453" s="14"/>
      <c r="J453" s="15"/>
      <c r="K453" s="16">
        <v>321320</v>
      </c>
      <c r="L453" s="168"/>
      <c r="M453" s="168"/>
      <c r="N453" s="168"/>
      <c r="O453" s="168"/>
      <c r="P453" s="168"/>
      <c r="Q453" s="168"/>
      <c r="R453" s="168"/>
      <c r="S453" s="168"/>
      <c r="T453" s="168"/>
      <c r="U453" s="166" t="s">
        <v>820</v>
      </c>
      <c r="V453" s="11">
        <f t="shared" si="8"/>
        <v>321320</v>
      </c>
      <c r="W453" s="166" t="s">
        <v>823</v>
      </c>
      <c r="X453" s="9" t="s">
        <v>922</v>
      </c>
    </row>
    <row r="454" spans="1:24" ht="76.5" x14ac:dyDescent="0.25">
      <c r="A454" s="7" t="s">
        <v>561</v>
      </c>
      <c r="B454" s="8">
        <v>8470810</v>
      </c>
      <c r="C454" s="9" t="s">
        <v>405</v>
      </c>
      <c r="D454" s="10">
        <v>492356</v>
      </c>
      <c r="E454" s="9" t="s">
        <v>595</v>
      </c>
      <c r="F454" s="9" t="s">
        <v>596</v>
      </c>
      <c r="G454" s="12">
        <v>566743</v>
      </c>
      <c r="H454" s="18">
        <v>2</v>
      </c>
      <c r="I454" s="19">
        <v>-2</v>
      </c>
      <c r="J454" s="12">
        <v>2</v>
      </c>
      <c r="K454" s="16">
        <v>566741</v>
      </c>
      <c r="L454" s="168">
        <v>4018539</v>
      </c>
      <c r="M454" s="168"/>
      <c r="N454" s="168"/>
      <c r="O454" s="168"/>
      <c r="P454" s="168"/>
      <c r="Q454" s="168"/>
      <c r="R454" s="168"/>
      <c r="S454" s="168"/>
      <c r="T454" s="168"/>
      <c r="U454" s="166" t="s">
        <v>821</v>
      </c>
      <c r="V454" s="11">
        <f t="shared" si="8"/>
        <v>-3451798</v>
      </c>
      <c r="W454" s="166"/>
      <c r="X454" s="9" t="s">
        <v>922</v>
      </c>
    </row>
    <row r="455" spans="1:24" ht="25.5" x14ac:dyDescent="0.25">
      <c r="A455" s="7" t="s">
        <v>561</v>
      </c>
      <c r="B455" s="8">
        <v>8470810</v>
      </c>
      <c r="C455" s="9" t="s">
        <v>405</v>
      </c>
      <c r="D455" s="10">
        <v>495113</v>
      </c>
      <c r="E455" s="9" t="s">
        <v>597</v>
      </c>
      <c r="F455" s="9" t="s">
        <v>598</v>
      </c>
      <c r="G455" s="12">
        <v>23965</v>
      </c>
      <c r="H455" s="13"/>
      <c r="I455" s="14"/>
      <c r="J455" s="15"/>
      <c r="K455" s="16">
        <v>23965</v>
      </c>
      <c r="L455" s="168"/>
      <c r="M455" s="168"/>
      <c r="N455" s="168"/>
      <c r="O455" s="168"/>
      <c r="P455" s="168"/>
      <c r="Q455" s="168"/>
      <c r="R455" s="168"/>
      <c r="S455" s="168"/>
      <c r="T455" s="168"/>
      <c r="U455" s="166" t="s">
        <v>820</v>
      </c>
      <c r="V455" s="11">
        <f t="shared" si="8"/>
        <v>23965</v>
      </c>
      <c r="W455" s="166" t="s">
        <v>823</v>
      </c>
      <c r="X455" s="9" t="s">
        <v>922</v>
      </c>
    </row>
    <row r="456" spans="1:24" ht="38.25" x14ac:dyDescent="0.25">
      <c r="A456" s="7" t="s">
        <v>561</v>
      </c>
      <c r="B456" s="8">
        <v>8471160</v>
      </c>
      <c r="C456" s="9" t="s">
        <v>453</v>
      </c>
      <c r="D456" s="10">
        <v>492200</v>
      </c>
      <c r="E456" s="9" t="s">
        <v>580</v>
      </c>
      <c r="F456" s="9" t="s">
        <v>599</v>
      </c>
      <c r="G456" s="12">
        <v>724500</v>
      </c>
      <c r="H456" s="18">
        <v>64500</v>
      </c>
      <c r="I456" s="19">
        <v>-32000</v>
      </c>
      <c r="J456" s="12">
        <v>0</v>
      </c>
      <c r="K456" s="16">
        <v>692000</v>
      </c>
      <c r="L456" s="52">
        <v>692000</v>
      </c>
      <c r="M456" s="14"/>
      <c r="N456" s="17"/>
      <c r="O456" s="17"/>
      <c r="P456" s="17"/>
      <c r="Q456" s="17"/>
      <c r="R456" s="17"/>
      <c r="S456" s="17"/>
      <c r="T456" s="17"/>
      <c r="U456" s="85" t="s">
        <v>709</v>
      </c>
      <c r="V456" s="11">
        <f t="shared" si="8"/>
        <v>0</v>
      </c>
      <c r="W456" s="85" t="s">
        <v>716</v>
      </c>
      <c r="X456" s="9" t="s">
        <v>922</v>
      </c>
    </row>
    <row r="457" spans="1:24" ht="165.75" x14ac:dyDescent="0.25">
      <c r="A457" s="7" t="s">
        <v>561</v>
      </c>
      <c r="B457" s="8">
        <v>8471160</v>
      </c>
      <c r="C457" s="9" t="s">
        <v>453</v>
      </c>
      <c r="D457" s="10">
        <v>492316</v>
      </c>
      <c r="E457" s="9" t="s">
        <v>124</v>
      </c>
      <c r="F457" s="9" t="s">
        <v>600</v>
      </c>
      <c r="G457" s="12">
        <v>67100050</v>
      </c>
      <c r="H457" s="18">
        <v>547715.42000000004</v>
      </c>
      <c r="I457" s="19">
        <v>-266760.96000000002</v>
      </c>
      <c r="J457" s="12">
        <v>631926</v>
      </c>
      <c r="K457" s="16">
        <v>66187169.539999999</v>
      </c>
      <c r="L457" s="52">
        <v>66187170</v>
      </c>
      <c r="M457" s="14"/>
      <c r="N457" s="17"/>
      <c r="O457" s="17"/>
      <c r="P457" s="17"/>
      <c r="Q457" s="17"/>
      <c r="R457" s="17"/>
      <c r="S457" s="17"/>
      <c r="T457" s="17"/>
      <c r="U457" s="85" t="s">
        <v>710</v>
      </c>
      <c r="V457" s="11">
        <f t="shared" ref="V457:V463" si="9">K457-L457-M457-N457-O457-P457-Q457-R457-S457-T457</f>
        <v>-0.46000000089406967</v>
      </c>
      <c r="W457" s="85" t="s">
        <v>717</v>
      </c>
      <c r="X457" s="9" t="s">
        <v>922</v>
      </c>
    </row>
    <row r="458" spans="1:24" ht="25.5" x14ac:dyDescent="0.25">
      <c r="A458" s="7" t="s">
        <v>561</v>
      </c>
      <c r="B458" s="8">
        <v>8471170</v>
      </c>
      <c r="C458" s="9" t="s">
        <v>460</v>
      </c>
      <c r="D458" s="10">
        <v>492316</v>
      </c>
      <c r="E458" s="9" t="s">
        <v>124</v>
      </c>
      <c r="F458" s="9" t="s">
        <v>601</v>
      </c>
      <c r="G458" s="12">
        <v>5000000</v>
      </c>
      <c r="H458" s="13"/>
      <c r="I458" s="14"/>
      <c r="J458" s="15"/>
      <c r="K458" s="16">
        <v>5000000</v>
      </c>
      <c r="L458" s="15"/>
      <c r="M458" s="14"/>
      <c r="N458" s="17"/>
      <c r="O458" s="17"/>
      <c r="P458" s="17"/>
      <c r="Q458" s="17"/>
      <c r="R458" s="17"/>
      <c r="S458" s="17"/>
      <c r="T458" s="17"/>
      <c r="U458" s="17"/>
      <c r="V458" s="11">
        <f t="shared" si="9"/>
        <v>5000000</v>
      </c>
      <c r="W458" s="17" t="s">
        <v>718</v>
      </c>
      <c r="X458" s="9" t="s">
        <v>922</v>
      </c>
    </row>
    <row r="459" spans="1:24" ht="25.5" x14ac:dyDescent="0.25">
      <c r="A459" s="7" t="s">
        <v>561</v>
      </c>
      <c r="B459" s="8">
        <v>8471170</v>
      </c>
      <c r="C459" s="9" t="s">
        <v>460</v>
      </c>
      <c r="D459" s="10">
        <v>495113</v>
      </c>
      <c r="E459" s="9" t="s">
        <v>597</v>
      </c>
      <c r="F459" s="9" t="s">
        <v>602</v>
      </c>
      <c r="G459" s="12">
        <v>240000</v>
      </c>
      <c r="H459" s="13"/>
      <c r="I459" s="14"/>
      <c r="J459" s="15"/>
      <c r="K459" s="16">
        <v>240000</v>
      </c>
      <c r="L459" s="15"/>
      <c r="M459" s="14"/>
      <c r="N459" s="17"/>
      <c r="O459" s="17"/>
      <c r="P459" s="17"/>
      <c r="Q459" s="17"/>
      <c r="R459" s="17"/>
      <c r="S459" s="17"/>
      <c r="T459" s="17"/>
      <c r="U459" s="17"/>
      <c r="V459" s="11">
        <f t="shared" si="9"/>
        <v>240000</v>
      </c>
      <c r="W459" s="17" t="s">
        <v>719</v>
      </c>
      <c r="X459" s="9" t="s">
        <v>922</v>
      </c>
    </row>
    <row r="460" spans="1:24" ht="25.5" x14ac:dyDescent="0.25">
      <c r="A460" s="7" t="s">
        <v>561</v>
      </c>
      <c r="B460" s="8">
        <v>8471305</v>
      </c>
      <c r="C460" s="9" t="s">
        <v>530</v>
      </c>
      <c r="D460" s="10">
        <v>492310</v>
      </c>
      <c r="E460" s="9" t="s">
        <v>564</v>
      </c>
      <c r="F460" s="9" t="s">
        <v>603</v>
      </c>
      <c r="G460" s="15"/>
      <c r="H460" s="18">
        <v>-1341.2</v>
      </c>
      <c r="I460" s="14"/>
      <c r="J460" s="15"/>
      <c r="K460" s="16">
        <v>1341.2</v>
      </c>
      <c r="L460" s="15"/>
      <c r="M460" s="14"/>
      <c r="N460" s="17"/>
      <c r="O460" s="17"/>
      <c r="P460" s="17"/>
      <c r="Q460" s="17"/>
      <c r="R460" s="17"/>
      <c r="S460" s="17"/>
      <c r="T460" s="17"/>
      <c r="U460" s="17"/>
      <c r="V460" s="11">
        <f t="shared" si="9"/>
        <v>1341.2</v>
      </c>
      <c r="W460" s="17"/>
      <c r="X460" s="9" t="s">
        <v>921</v>
      </c>
    </row>
    <row r="461" spans="1:24" ht="25.5" x14ac:dyDescent="0.25">
      <c r="A461" s="7" t="s">
        <v>561</v>
      </c>
      <c r="B461" s="8">
        <v>8471305</v>
      </c>
      <c r="C461" s="9" t="s">
        <v>530</v>
      </c>
      <c r="D461" s="10">
        <v>492316</v>
      </c>
      <c r="E461" s="9" t="s">
        <v>124</v>
      </c>
      <c r="F461" s="9" t="s">
        <v>604</v>
      </c>
      <c r="G461" s="12">
        <v>2367263</v>
      </c>
      <c r="H461" s="18">
        <v>1119684.3</v>
      </c>
      <c r="I461" s="19">
        <v>70955.100000000006</v>
      </c>
      <c r="J461" s="12">
        <v>1005869</v>
      </c>
      <c r="K461" s="16">
        <v>170754.6</v>
      </c>
      <c r="L461" s="15"/>
      <c r="M461" s="14"/>
      <c r="N461" s="17"/>
      <c r="O461" s="17"/>
      <c r="P461" s="17"/>
      <c r="Q461" s="17"/>
      <c r="R461" s="17"/>
      <c r="S461" s="17"/>
      <c r="T461" s="17"/>
      <c r="U461" s="17"/>
      <c r="V461" s="11">
        <f t="shared" si="9"/>
        <v>170754.6</v>
      </c>
      <c r="W461" s="205" t="s">
        <v>919</v>
      </c>
      <c r="X461" s="9" t="s">
        <v>921</v>
      </c>
    </row>
    <row r="462" spans="1:24" x14ac:dyDescent="0.25">
      <c r="A462" s="20" t="s">
        <v>605</v>
      </c>
      <c r="B462" s="21"/>
      <c r="C462" s="22"/>
      <c r="D462" s="22"/>
      <c r="E462" s="22"/>
      <c r="F462" s="22"/>
      <c r="G462" s="24">
        <v>160800000</v>
      </c>
      <c r="H462" s="25">
        <v>4522901.2</v>
      </c>
      <c r="I462" s="38">
        <v>11281754.800000001</v>
      </c>
      <c r="J462" s="24">
        <v>3350651.25</v>
      </c>
      <c r="K462" s="27">
        <v>141644692.75</v>
      </c>
      <c r="L462" s="28"/>
      <c r="M462" s="29"/>
      <c r="N462" s="30"/>
      <c r="O462" s="30"/>
      <c r="P462" s="30"/>
      <c r="Q462" s="30"/>
      <c r="R462" s="30"/>
      <c r="S462" s="30"/>
      <c r="T462" s="30"/>
      <c r="U462" s="30"/>
      <c r="V462" s="11">
        <f t="shared" si="9"/>
        <v>141644692.75</v>
      </c>
      <c r="W462" s="30"/>
      <c r="X462" s="30"/>
    </row>
    <row r="463" spans="1:24" x14ac:dyDescent="0.25">
      <c r="A463" s="31" t="s">
        <v>606</v>
      </c>
      <c r="B463" s="32"/>
      <c r="C463" s="32"/>
      <c r="D463" s="32"/>
      <c r="E463" s="32"/>
      <c r="F463" s="32"/>
      <c r="G463" s="24">
        <v>872800000</v>
      </c>
      <c r="H463" s="25">
        <v>129074346.980001</v>
      </c>
      <c r="I463" s="26">
        <v>41924070.509999998</v>
      </c>
      <c r="J463" s="24">
        <v>55819231.560000002</v>
      </c>
      <c r="K463" s="27">
        <v>645982882.87999904</v>
      </c>
      <c r="L463" s="28"/>
      <c r="M463" s="29"/>
      <c r="N463" s="30"/>
      <c r="O463" s="30"/>
      <c r="P463" s="30"/>
      <c r="Q463" s="30"/>
      <c r="R463" s="30"/>
      <c r="S463" s="30"/>
      <c r="T463" s="30"/>
      <c r="U463" s="30"/>
      <c r="V463" s="11">
        <f t="shared" si="9"/>
        <v>645982882.87999904</v>
      </c>
      <c r="W463" s="30"/>
      <c r="X463" s="30"/>
    </row>
    <row r="464" spans="1:24" x14ac:dyDescent="0.25">
      <c r="A464" s="2" t="s">
        <v>607</v>
      </c>
      <c r="B464" s="2"/>
      <c r="C464" s="2"/>
      <c r="D464" s="2"/>
      <c r="E464" s="2"/>
      <c r="F464" s="2"/>
      <c r="G464" s="72">
        <v>907319744</v>
      </c>
      <c r="H464" s="2"/>
      <c r="I464" s="2"/>
      <c r="J464" s="2"/>
      <c r="K464" s="2"/>
      <c r="L464" s="2"/>
      <c r="M464" s="2"/>
      <c r="N464" s="2"/>
      <c r="O464" s="2"/>
      <c r="P464" s="2"/>
      <c r="Q464" s="2"/>
      <c r="R464" s="2"/>
      <c r="S464" s="2"/>
      <c r="T464" s="2"/>
      <c r="U464" s="2"/>
      <c r="V464" s="2"/>
      <c r="W464" s="2"/>
    </row>
    <row r="465" spans="1:7" x14ac:dyDescent="0.25">
      <c r="A465" s="1" t="s">
        <v>0</v>
      </c>
      <c r="G465" s="73">
        <f>G463-G464</f>
        <v>-34519744</v>
      </c>
    </row>
    <row r="466" spans="1:7" x14ac:dyDescent="0.25">
      <c r="F466" s="6" t="s">
        <v>638</v>
      </c>
      <c r="G466" s="74">
        <v>35872746</v>
      </c>
    </row>
    <row r="467" spans="1:7" x14ac:dyDescent="0.25">
      <c r="G467" s="75">
        <f>G465+G466</f>
        <v>1353002</v>
      </c>
    </row>
  </sheetData>
  <autoFilter ref="A3:W467"/>
  <conditionalFormatting sqref="A4:W4 A5:U20 W5:W42 A66:T72 A73:U88 W85:W88 W90:W111 A90:U91 A89:K89 M89:U89 A99:U99 A92:T98 A110:U110 A100:T101 A112:U112 A111:T111 W113:W115 A133:U133 A113:T114 A115:N115 T115 W117:W174 A116:L116 A117:O117 T117 A118:L118 S118:T118 A119:N119 T119 P119:R119 A120:K120 M120:Q120 S120:T120 T121 R122:T122 S123:T123 A121:P123 R124:T124 N124:P124 A124:L125 N125 P125:Q125 T126 A126:P127 R127:T127 A128:L128 T128 A129:M129 O129:T129 R130:T130 A130:P132 R131:U132 A146:U146 A134:N134 T134 A135:M135 A136:K136 S136:U136 A137:L137 N137:U137 A138:P138 R138:U138 O139:U139 A139:M140 A141:K141 N141:U141 A142:N142 P142:U142 A143:M143 O143:U143 A144:T145 A161:U161 A147:K147 N147:T147 A148:T148 M149:T149 A152:K152 A149:K150 R150:T150 A151:L151 P151:T151 M152:T152 A441:U442 A437:T437 A102:L103 T104 A104:M106 A107:K107 O106:T106 O107:P107 S107:T107 A108:P109 T109 A153:L153 N153:T153 A156:L160 A154:Q154 S154:T154 A155:K155 T155:T160 P337:T337 A343:T343 A458:U461 W343:W348 W460 A338:K342 M456:T457 A332:M337 U332:U336 A326:K331 A322:L325 U322:U325 S344:T344 A344:L345 S345:U345 W332:W336 A319:N321 W322:W325 W371:W373 A374:C374 W384 A346:K373 W350:W369 U384:U385 W386:W401 A432:U436 W432:W438 A63:U65 W62:W83 A43:K62 A428:K431 A38:U42 A31:K37 A312:U318 A301:K311 W306:W318 M254:U254 A255:K268 W256:W273 A443:K457 A281:K298 A269:U273 A280:U280 A274:C274 W281:W301 A275:K279 A195:U195 W183:W190 A162:K194 W196:W254 A196:K253 A438:K440 Q438:U440 A29:U30 A21:K28 A375:K425 W406 W440:W450 A426:U427 V5:V463 W426:X428 W429:W430">
    <cfRule type="expression" dxfId="283" priority="269" stopIfTrue="1">
      <formula>MOD(ROW(),2)=0</formula>
    </cfRule>
  </conditionalFormatting>
  <conditionalFormatting sqref="A3">
    <cfRule type="expression" dxfId="282" priority="268" stopIfTrue="1">
      <formula>MOD(ROW(),2)=0</formula>
    </cfRule>
  </conditionalFormatting>
  <conditionalFormatting sqref="U66">
    <cfRule type="expression" dxfId="281" priority="267" stopIfTrue="1">
      <formula>MOD(ROW(),2)=0</formula>
    </cfRule>
  </conditionalFormatting>
  <conditionalFormatting sqref="U67">
    <cfRule type="expression" dxfId="280" priority="266" stopIfTrue="1">
      <formula>MOD(ROW(),2)=0</formula>
    </cfRule>
  </conditionalFormatting>
  <conditionalFormatting sqref="U68">
    <cfRule type="expression" dxfId="279" priority="265" stopIfTrue="1">
      <formula>MOD(ROW(),2)=0</formula>
    </cfRule>
  </conditionalFormatting>
  <conditionalFormatting sqref="U69">
    <cfRule type="expression" dxfId="278" priority="264" stopIfTrue="1">
      <formula>MOD(ROW(),2)=0</formula>
    </cfRule>
  </conditionalFormatting>
  <conditionalFormatting sqref="U70">
    <cfRule type="expression" dxfId="277" priority="263" stopIfTrue="1">
      <formula>MOD(ROW(),2)=0</formula>
    </cfRule>
  </conditionalFormatting>
  <conditionalFormatting sqref="U71">
    <cfRule type="expression" dxfId="276" priority="262" stopIfTrue="1">
      <formula>MOD(ROW(),2)=0</formula>
    </cfRule>
  </conditionalFormatting>
  <conditionalFormatting sqref="U72">
    <cfRule type="expression" dxfId="275" priority="261" stopIfTrue="1">
      <formula>MOD(ROW(),2)=0</formula>
    </cfRule>
  </conditionalFormatting>
  <conditionalFormatting sqref="W84">
    <cfRule type="expression" dxfId="274" priority="260" stopIfTrue="1">
      <formula>MOD(ROW(),2)=0</formula>
    </cfRule>
  </conditionalFormatting>
  <conditionalFormatting sqref="W89">
    <cfRule type="expression" dxfId="273" priority="259" stopIfTrue="1">
      <formula>MOD(ROW(),2)=0</formula>
    </cfRule>
  </conditionalFormatting>
  <conditionalFormatting sqref="L89">
    <cfRule type="expression" dxfId="272" priority="258" stopIfTrue="1">
      <formula>MOD(ROW(),2)=0</formula>
    </cfRule>
  </conditionalFormatting>
  <conditionalFormatting sqref="U92">
    <cfRule type="expression" dxfId="271" priority="257" stopIfTrue="1">
      <formula>MOD(ROW(),2)=0</formula>
    </cfRule>
  </conditionalFormatting>
  <conditionalFormatting sqref="U93">
    <cfRule type="expression" dxfId="270" priority="256" stopIfTrue="1">
      <formula>MOD(ROW(),2)=0</formula>
    </cfRule>
  </conditionalFormatting>
  <conditionalFormatting sqref="U94">
    <cfRule type="expression" dxfId="269" priority="255" stopIfTrue="1">
      <formula>MOD(ROW(),2)=0</formula>
    </cfRule>
  </conditionalFormatting>
  <conditionalFormatting sqref="U95">
    <cfRule type="expression" dxfId="268" priority="254" stopIfTrue="1">
      <formula>MOD(ROW(),2)=0</formula>
    </cfRule>
  </conditionalFormatting>
  <conditionalFormatting sqref="U96">
    <cfRule type="expression" dxfId="267" priority="253" stopIfTrue="1">
      <formula>MOD(ROW(),2)=0</formula>
    </cfRule>
  </conditionalFormatting>
  <conditionalFormatting sqref="U97">
    <cfRule type="expression" dxfId="266" priority="252" stopIfTrue="1">
      <formula>MOD(ROW(),2)=0</formula>
    </cfRule>
  </conditionalFormatting>
  <conditionalFormatting sqref="U98">
    <cfRule type="expression" dxfId="265" priority="251" stopIfTrue="1">
      <formula>MOD(ROW(),2)=0</formula>
    </cfRule>
  </conditionalFormatting>
  <conditionalFormatting sqref="U100">
    <cfRule type="expression" dxfId="264" priority="250" stopIfTrue="1">
      <formula>MOD(ROW(),2)=0</formula>
    </cfRule>
  </conditionalFormatting>
  <conditionalFormatting sqref="U101">
    <cfRule type="expression" dxfId="263" priority="249" stopIfTrue="1">
      <formula>MOD(ROW(),2)=0</formula>
    </cfRule>
  </conditionalFormatting>
  <conditionalFormatting sqref="U111">
    <cfRule type="expression" dxfId="262" priority="248" stopIfTrue="1">
      <formula>MOD(ROW(),2)=0</formula>
    </cfRule>
  </conditionalFormatting>
  <conditionalFormatting sqref="W112">
    <cfRule type="expression" dxfId="261" priority="247" stopIfTrue="1">
      <formula>MOD(ROW(),2)=0</formula>
    </cfRule>
  </conditionalFormatting>
  <conditionalFormatting sqref="U113">
    <cfRule type="expression" dxfId="260" priority="246" stopIfTrue="1">
      <formula>MOD(ROW(),2)=0</formula>
    </cfRule>
  </conditionalFormatting>
  <conditionalFormatting sqref="U114">
    <cfRule type="expression" dxfId="259" priority="245" stopIfTrue="1">
      <formula>MOD(ROW(),2)=0</formula>
    </cfRule>
  </conditionalFormatting>
  <conditionalFormatting sqref="U115">
    <cfRule type="expression" dxfId="258" priority="244" stopIfTrue="1">
      <formula>MOD(ROW(),2)=0</formula>
    </cfRule>
  </conditionalFormatting>
  <conditionalFormatting sqref="O115:S115">
    <cfRule type="expression" dxfId="257" priority="243" stopIfTrue="1">
      <formula>MOD(ROW(),2)=0</formula>
    </cfRule>
  </conditionalFormatting>
  <conditionalFormatting sqref="W116">
    <cfRule type="expression" dxfId="256" priority="242" stopIfTrue="1">
      <formula>MOD(ROW(),2)=0</formula>
    </cfRule>
  </conditionalFormatting>
  <conditionalFormatting sqref="U116">
    <cfRule type="expression" dxfId="255" priority="241" stopIfTrue="1">
      <formula>MOD(ROW(),2)=0</formula>
    </cfRule>
  </conditionalFormatting>
  <conditionalFormatting sqref="M116:T116">
    <cfRule type="expression" dxfId="254" priority="240" stopIfTrue="1">
      <formula>MOD(ROW(),2)=0</formula>
    </cfRule>
  </conditionalFormatting>
  <conditionalFormatting sqref="U117">
    <cfRule type="expression" dxfId="253" priority="239" stopIfTrue="1">
      <formula>MOD(ROW(),2)=0</formula>
    </cfRule>
  </conditionalFormatting>
  <conditionalFormatting sqref="P117:S117">
    <cfRule type="expression" dxfId="252" priority="238" stopIfTrue="1">
      <formula>MOD(ROW(),2)=0</formula>
    </cfRule>
  </conditionalFormatting>
  <conditionalFormatting sqref="M118:R118">
    <cfRule type="expression" dxfId="251" priority="237" stopIfTrue="1">
      <formula>MOD(ROW(),2)=0</formula>
    </cfRule>
  </conditionalFormatting>
  <conditionalFormatting sqref="U118">
    <cfRule type="expression" dxfId="250" priority="236" stopIfTrue="1">
      <formula>MOD(ROW(),2)=0</formula>
    </cfRule>
  </conditionalFormatting>
  <conditionalFormatting sqref="U119">
    <cfRule type="expression" dxfId="249" priority="235" stopIfTrue="1">
      <formula>MOD(ROW(),2)=0</formula>
    </cfRule>
  </conditionalFormatting>
  <conditionalFormatting sqref="S119">
    <cfRule type="expression" dxfId="248" priority="234" stopIfTrue="1">
      <formula>MOD(ROW(),2)=0</formula>
    </cfRule>
  </conditionalFormatting>
  <conditionalFormatting sqref="O119">
    <cfRule type="expression" dxfId="247" priority="233" stopIfTrue="1">
      <formula>MOD(ROW(),2)=0</formula>
    </cfRule>
  </conditionalFormatting>
  <conditionalFormatting sqref="L120">
    <cfRule type="expression" dxfId="246" priority="232" stopIfTrue="1">
      <formula>MOD(ROW(),2)=0</formula>
    </cfRule>
  </conditionalFormatting>
  <conditionalFormatting sqref="R120">
    <cfRule type="expression" dxfId="245" priority="231" stopIfTrue="1">
      <formula>MOD(ROW(),2)=0</formula>
    </cfRule>
  </conditionalFormatting>
  <conditionalFormatting sqref="U120">
    <cfRule type="expression" dxfId="244" priority="230" stopIfTrue="1">
      <formula>MOD(ROW(),2)=0</formula>
    </cfRule>
  </conditionalFormatting>
  <conditionalFormatting sqref="U121:U130">
    <cfRule type="expression" dxfId="243" priority="229" stopIfTrue="1">
      <formula>MOD(ROW(),2)=0</formula>
    </cfRule>
  </conditionalFormatting>
  <conditionalFormatting sqref="Q121:S121">
    <cfRule type="expression" dxfId="242" priority="228" stopIfTrue="1">
      <formula>MOD(ROW(),2)=0</formula>
    </cfRule>
  </conditionalFormatting>
  <conditionalFormatting sqref="Q122">
    <cfRule type="expression" dxfId="241" priority="227" stopIfTrue="1">
      <formula>MOD(ROW(),2)=0</formula>
    </cfRule>
  </conditionalFormatting>
  <conditionalFormatting sqref="Q123:R123">
    <cfRule type="expression" dxfId="240" priority="226" stopIfTrue="1">
      <formula>MOD(ROW(),2)=0</formula>
    </cfRule>
  </conditionalFormatting>
  <conditionalFormatting sqref="Q124">
    <cfRule type="expression" dxfId="239" priority="225" stopIfTrue="1">
      <formula>MOD(ROW(),2)=0</formula>
    </cfRule>
  </conditionalFormatting>
  <conditionalFormatting sqref="M124">
    <cfRule type="expression" dxfId="238" priority="224" stopIfTrue="1">
      <formula>MOD(ROW(),2)=0</formula>
    </cfRule>
  </conditionalFormatting>
  <conditionalFormatting sqref="M125">
    <cfRule type="expression" dxfId="237" priority="223" stopIfTrue="1">
      <formula>MOD(ROW(),2)=0</formula>
    </cfRule>
  </conditionalFormatting>
  <conditionalFormatting sqref="O125">
    <cfRule type="expression" dxfId="236" priority="222" stopIfTrue="1">
      <formula>MOD(ROW(),2)=0</formula>
    </cfRule>
  </conditionalFormatting>
  <conditionalFormatting sqref="R125:T125">
    <cfRule type="expression" dxfId="235" priority="221" stopIfTrue="1">
      <formula>MOD(ROW(),2)=0</formula>
    </cfRule>
  </conditionalFormatting>
  <conditionalFormatting sqref="Q126:S126">
    <cfRule type="expression" dxfId="234" priority="220" stopIfTrue="1">
      <formula>MOD(ROW(),2)=0</formula>
    </cfRule>
  </conditionalFormatting>
  <conditionalFormatting sqref="Q127">
    <cfRule type="expression" dxfId="233" priority="219" stopIfTrue="1">
      <formula>MOD(ROW(),2)=0</formula>
    </cfRule>
  </conditionalFormatting>
  <conditionalFormatting sqref="M128:S128">
    <cfRule type="expression" dxfId="232" priority="218" stopIfTrue="1">
      <formula>MOD(ROW(),2)=0</formula>
    </cfRule>
  </conditionalFormatting>
  <conditionalFormatting sqref="N129">
    <cfRule type="expression" dxfId="231" priority="217" stopIfTrue="1">
      <formula>MOD(ROW(),2)=0</formula>
    </cfRule>
  </conditionalFormatting>
  <conditionalFormatting sqref="Q130:Q132">
    <cfRule type="expression" dxfId="230" priority="216" stopIfTrue="1">
      <formula>MOD(ROW(),2)=0</formula>
    </cfRule>
  </conditionalFormatting>
  <conditionalFormatting sqref="O134:S134">
    <cfRule type="expression" dxfId="229" priority="215" stopIfTrue="1">
      <formula>MOD(ROW(),2)=0</formula>
    </cfRule>
  </conditionalFormatting>
  <conditionalFormatting sqref="U134">
    <cfRule type="expression" dxfId="228" priority="214" stopIfTrue="1">
      <formula>MOD(ROW(),2)=0</formula>
    </cfRule>
  </conditionalFormatting>
  <conditionalFormatting sqref="N135:T135">
    <cfRule type="expression" dxfId="227" priority="213" stopIfTrue="1">
      <formula>MOD(ROW(),2)=0</formula>
    </cfRule>
  </conditionalFormatting>
  <conditionalFormatting sqref="U135">
    <cfRule type="expression" dxfId="226" priority="212" stopIfTrue="1">
      <formula>MOD(ROW(),2)=0</formula>
    </cfRule>
  </conditionalFormatting>
  <conditionalFormatting sqref="L136:R136">
    <cfRule type="expression" dxfId="225" priority="211" stopIfTrue="1">
      <formula>MOD(ROW(),2)=0</formula>
    </cfRule>
  </conditionalFormatting>
  <conditionalFormatting sqref="M137">
    <cfRule type="expression" dxfId="224" priority="210" stopIfTrue="1">
      <formula>MOD(ROW(),2)=0</formula>
    </cfRule>
  </conditionalFormatting>
  <conditionalFormatting sqref="Q138">
    <cfRule type="expression" dxfId="223" priority="209" stopIfTrue="1">
      <formula>MOD(ROW(),2)=0</formula>
    </cfRule>
  </conditionalFormatting>
  <conditionalFormatting sqref="N139">
    <cfRule type="expression" dxfId="222" priority="208" stopIfTrue="1">
      <formula>MOD(ROW(),2)=0</formula>
    </cfRule>
  </conditionalFormatting>
  <conditionalFormatting sqref="N140:T140">
    <cfRule type="expression" dxfId="221" priority="207" stopIfTrue="1">
      <formula>MOD(ROW(),2)=0</formula>
    </cfRule>
  </conditionalFormatting>
  <conditionalFormatting sqref="U140">
    <cfRule type="expression" dxfId="220" priority="206" stopIfTrue="1">
      <formula>MOD(ROW(),2)=0</formula>
    </cfRule>
  </conditionalFormatting>
  <conditionalFormatting sqref="L141:M141">
    <cfRule type="expression" dxfId="219" priority="205" stopIfTrue="1">
      <formula>MOD(ROW(),2)=0</formula>
    </cfRule>
  </conditionalFormatting>
  <conditionalFormatting sqref="O142">
    <cfRule type="expression" dxfId="218" priority="204" stopIfTrue="1">
      <formula>MOD(ROW(),2)=0</formula>
    </cfRule>
  </conditionalFormatting>
  <conditionalFormatting sqref="N143">
    <cfRule type="expression" dxfId="217" priority="203" stopIfTrue="1">
      <formula>MOD(ROW(),2)=0</formula>
    </cfRule>
  </conditionalFormatting>
  <conditionalFormatting sqref="U144:U145">
    <cfRule type="expression" dxfId="216" priority="202" stopIfTrue="1">
      <formula>MOD(ROW(),2)=0</formula>
    </cfRule>
  </conditionalFormatting>
  <conditionalFormatting sqref="L147:M147">
    <cfRule type="expression" dxfId="215" priority="201" stopIfTrue="1">
      <formula>MOD(ROW(),2)=0</formula>
    </cfRule>
  </conditionalFormatting>
  <conditionalFormatting sqref="U147">
    <cfRule type="expression" dxfId="214" priority="200" stopIfTrue="1">
      <formula>MOD(ROW(),2)=0</formula>
    </cfRule>
  </conditionalFormatting>
  <conditionalFormatting sqref="U148">
    <cfRule type="expression" dxfId="213" priority="199" stopIfTrue="1">
      <formula>MOD(ROW(),2)=0</formula>
    </cfRule>
  </conditionalFormatting>
  <conditionalFormatting sqref="L149">
    <cfRule type="expression" dxfId="212" priority="198" stopIfTrue="1">
      <formula>MOD(ROW(),2)=0</formula>
    </cfRule>
  </conditionalFormatting>
  <conditionalFormatting sqref="U149">
    <cfRule type="expression" dxfId="211" priority="197" stopIfTrue="1">
      <formula>MOD(ROW(),2)=0</formula>
    </cfRule>
  </conditionalFormatting>
  <conditionalFormatting sqref="U150:U152">
    <cfRule type="expression" dxfId="210" priority="196" stopIfTrue="1">
      <formula>MOD(ROW(),2)=0</formula>
    </cfRule>
  </conditionalFormatting>
  <conditionalFormatting sqref="L150:P150">
    <cfRule type="expression" dxfId="209" priority="195" stopIfTrue="1">
      <formula>MOD(ROW(),2)=0</formula>
    </cfRule>
  </conditionalFormatting>
  <conditionalFormatting sqref="Q150">
    <cfRule type="expression" dxfId="208" priority="194" stopIfTrue="1">
      <formula>MOD(ROW(),2)=0</formula>
    </cfRule>
  </conditionalFormatting>
  <conditionalFormatting sqref="M151:O151">
    <cfRule type="expression" dxfId="207" priority="193" stopIfTrue="1">
      <formula>MOD(ROW(),2)=0</formula>
    </cfRule>
  </conditionalFormatting>
  <conditionalFormatting sqref="L152">
    <cfRule type="expression" dxfId="206" priority="192" stopIfTrue="1">
      <formula>MOD(ROW(),2)=0</formula>
    </cfRule>
  </conditionalFormatting>
  <conditionalFormatting sqref="U437">
    <cfRule type="expression" dxfId="205" priority="191" stopIfTrue="1">
      <formula>MOD(ROW(),2)=0</formula>
    </cfRule>
  </conditionalFormatting>
  <conditionalFormatting sqref="M102:T102">
    <cfRule type="expression" dxfId="204" priority="190" stopIfTrue="1">
      <formula>MOD(ROW(),2)=0</formula>
    </cfRule>
  </conditionalFormatting>
  <conditionalFormatting sqref="U102">
    <cfRule type="expression" dxfId="203" priority="189" stopIfTrue="1">
      <formula>MOD(ROW(),2)=0</formula>
    </cfRule>
  </conditionalFormatting>
  <conditionalFormatting sqref="U103:U109">
    <cfRule type="expression" dxfId="202" priority="188" stopIfTrue="1">
      <formula>MOD(ROW(),2)=0</formula>
    </cfRule>
  </conditionalFormatting>
  <conditionalFormatting sqref="M103:T103">
    <cfRule type="expression" dxfId="201" priority="187" stopIfTrue="1">
      <formula>MOD(ROW(),2)=0</formula>
    </cfRule>
  </conditionalFormatting>
  <conditionalFormatting sqref="N104:S104">
    <cfRule type="expression" dxfId="200" priority="186" stopIfTrue="1">
      <formula>MOD(ROW(),2)=0</formula>
    </cfRule>
  </conditionalFormatting>
  <conditionalFormatting sqref="N105:T105">
    <cfRule type="expression" dxfId="199" priority="185" stopIfTrue="1">
      <formula>MOD(ROW(),2)=0</formula>
    </cfRule>
  </conditionalFormatting>
  <conditionalFormatting sqref="N106">
    <cfRule type="expression" dxfId="198" priority="184" stopIfTrue="1">
      <formula>MOD(ROW(),2)=0</formula>
    </cfRule>
  </conditionalFormatting>
  <conditionalFormatting sqref="L107:N107">
    <cfRule type="expression" dxfId="197" priority="183" stopIfTrue="1">
      <formula>MOD(ROW(),2)=0</formula>
    </cfRule>
  </conditionalFormatting>
  <conditionalFormatting sqref="Q107:R107">
    <cfRule type="expression" dxfId="196" priority="182" stopIfTrue="1">
      <formula>MOD(ROW(),2)=0</formula>
    </cfRule>
  </conditionalFormatting>
  <conditionalFormatting sqref="Q108:T108">
    <cfRule type="expression" dxfId="195" priority="181" stopIfTrue="1">
      <formula>MOD(ROW(),2)=0</formula>
    </cfRule>
  </conditionalFormatting>
  <conditionalFormatting sqref="Q109:S109">
    <cfRule type="expression" dxfId="194" priority="180" stopIfTrue="1">
      <formula>MOD(ROW(),2)=0</formula>
    </cfRule>
  </conditionalFormatting>
  <conditionalFormatting sqref="M153">
    <cfRule type="expression" dxfId="193" priority="179" stopIfTrue="1">
      <formula>MOD(ROW(),2)=0</formula>
    </cfRule>
  </conditionalFormatting>
  <conditionalFormatting sqref="U153:U160">
    <cfRule type="expression" dxfId="192" priority="178" stopIfTrue="1">
      <formula>MOD(ROW(),2)=0</formula>
    </cfRule>
  </conditionalFormatting>
  <conditionalFormatting sqref="R154">
    <cfRule type="expression" dxfId="191" priority="177" stopIfTrue="1">
      <formula>MOD(ROW(),2)=0</formula>
    </cfRule>
  </conditionalFormatting>
  <conditionalFormatting sqref="L155:S155">
    <cfRule type="expression" dxfId="190" priority="176" stopIfTrue="1">
      <formula>MOD(ROW(),2)=0</formula>
    </cfRule>
  </conditionalFormatting>
  <conditionalFormatting sqref="L355:U363">
    <cfRule type="expression" dxfId="189" priority="154" stopIfTrue="1">
      <formula>MOD(ROW(),2)=0</formula>
    </cfRule>
  </conditionalFormatting>
  <conditionalFormatting sqref="M156:S160">
    <cfRule type="expression" dxfId="188" priority="175" stopIfTrue="1">
      <formula>MOD(ROW(),2)=0</formula>
    </cfRule>
  </conditionalFormatting>
  <conditionalFormatting sqref="N337:O337">
    <cfRule type="expression" dxfId="187" priority="174" stopIfTrue="1">
      <formula>MOD(ROW(),2)=0</formula>
    </cfRule>
  </conditionalFormatting>
  <conditionalFormatting sqref="U337:U344">
    <cfRule type="expression" dxfId="186" priority="173" stopIfTrue="1">
      <formula>MOD(ROW(),2)=0</formula>
    </cfRule>
  </conditionalFormatting>
  <conditionalFormatting sqref="U456:U457">
    <cfRule type="expression" dxfId="185" priority="172" stopIfTrue="1">
      <formula>MOD(ROW(),2)=0</formula>
    </cfRule>
  </conditionalFormatting>
  <conditionalFormatting sqref="W337:W342">
    <cfRule type="expression" dxfId="184" priority="171" stopIfTrue="1">
      <formula>MOD(ROW(),2)=0</formula>
    </cfRule>
  </conditionalFormatting>
  <conditionalFormatting sqref="W456:W457">
    <cfRule type="expression" dxfId="183" priority="170" stopIfTrue="1">
      <formula>MOD(ROW(),2)=0</formula>
    </cfRule>
  </conditionalFormatting>
  <conditionalFormatting sqref="L338:T342">
    <cfRule type="expression" dxfId="182" priority="169" stopIfTrue="1">
      <formula>MOD(ROW(),2)=0</formula>
    </cfRule>
  </conditionalFormatting>
  <conditionalFormatting sqref="L456:L457">
    <cfRule type="expression" dxfId="181" priority="168" stopIfTrue="1">
      <formula>MOD(ROW(),2)=0</formula>
    </cfRule>
  </conditionalFormatting>
  <conditionalFormatting sqref="N333:T336 N332:R332 T332">
    <cfRule type="expression" dxfId="180" priority="167" stopIfTrue="1">
      <formula>MOD(ROW(),2)=0</formula>
    </cfRule>
  </conditionalFormatting>
  <conditionalFormatting sqref="M322:T325">
    <cfRule type="expression" dxfId="179" priority="166" stopIfTrue="1">
      <formula>MOD(ROW(),2)=0</formula>
    </cfRule>
  </conditionalFormatting>
  <conditionalFormatting sqref="M344:R345">
    <cfRule type="expression" dxfId="178" priority="165" stopIfTrue="1">
      <formula>MOD(ROW(),2)=0</formula>
    </cfRule>
  </conditionalFormatting>
  <conditionalFormatting sqref="W458:W459">
    <cfRule type="expression" dxfId="177" priority="164" stopIfTrue="1">
      <formula>MOD(ROW(),2)=0</formula>
    </cfRule>
  </conditionalFormatting>
  <conditionalFormatting sqref="L326:U331">
    <cfRule type="expression" dxfId="176" priority="163" stopIfTrue="1">
      <formula>MOD(ROW(),2)=0</formula>
    </cfRule>
  </conditionalFormatting>
  <conditionalFormatting sqref="W326:W331">
    <cfRule type="expression" dxfId="175" priority="162" stopIfTrue="1">
      <formula>MOD(ROW(),2)=0</formula>
    </cfRule>
  </conditionalFormatting>
  <conditionalFormatting sqref="O319:U321">
    <cfRule type="expression" dxfId="174" priority="161" stopIfTrue="1">
      <formula>MOD(ROW(),2)=0</formula>
    </cfRule>
  </conditionalFormatting>
  <conditionalFormatting sqref="W319:W321">
    <cfRule type="expression" dxfId="173" priority="160" stopIfTrue="1">
      <formula>MOD(ROW(),2)=0</formula>
    </cfRule>
  </conditionalFormatting>
  <conditionalFormatting sqref="U370 L370:S370 N372:U372 L372 L373:U373 L366:M366 U366 L364:R365 S365 O366:S366 L367:U369 L371:U371">
    <cfRule type="expression" dxfId="172" priority="159" stopIfTrue="1">
      <formula>MOD(ROW(),2)=0</formula>
    </cfRule>
  </conditionalFormatting>
  <conditionalFormatting sqref="U365">
    <cfRule type="expression" dxfId="171" priority="158" stopIfTrue="1">
      <formula>MOD(ROW(),2)=0</formula>
    </cfRule>
  </conditionalFormatting>
  <conditionalFormatting sqref="T365">
    <cfRule type="expression" dxfId="170" priority="157" stopIfTrue="1">
      <formula>MOD(ROW(),2)=0</formula>
    </cfRule>
  </conditionalFormatting>
  <conditionalFormatting sqref="N366">
    <cfRule type="expression" dxfId="169" priority="156" stopIfTrue="1">
      <formula>MOD(ROW(),2)=0</formula>
    </cfRule>
  </conditionalFormatting>
  <conditionalFormatting sqref="W370">
    <cfRule type="expression" dxfId="168" priority="155" stopIfTrue="1">
      <formula>MOD(ROW(),2)=0</formula>
    </cfRule>
  </conditionalFormatting>
  <conditionalFormatting sqref="U31:U37">
    <cfRule type="expression" dxfId="167" priority="129" stopIfTrue="1">
      <formula>MOD(ROW(),2)=0</formula>
    </cfRule>
  </conditionalFormatting>
  <conditionalFormatting sqref="D374:K374">
    <cfRule type="expression" dxfId="166" priority="153" stopIfTrue="1">
      <formula>MOD(ROW(),2)=0</formula>
    </cfRule>
  </conditionalFormatting>
  <conditionalFormatting sqref="L374:U374">
    <cfRule type="expression" dxfId="165" priority="152" stopIfTrue="1">
      <formula>MOD(ROW(),2)=0</formula>
    </cfRule>
  </conditionalFormatting>
  <conditionalFormatting sqref="W374">
    <cfRule type="expression" dxfId="164" priority="151" stopIfTrue="1">
      <formula>MOD(ROW(),2)=0</formula>
    </cfRule>
  </conditionalFormatting>
  <conditionalFormatting sqref="L346:M346 O346:U346 L347:U347">
    <cfRule type="expression" dxfId="163" priority="150" stopIfTrue="1">
      <formula>MOD(ROW(),2)=0</formula>
    </cfRule>
  </conditionalFormatting>
  <conditionalFormatting sqref="L348:U348 L352:U352 L350:U350">
    <cfRule type="expression" dxfId="162" priority="149" stopIfTrue="1">
      <formula>MOD(ROW(),2)=0</formula>
    </cfRule>
  </conditionalFormatting>
  <conditionalFormatting sqref="L351:U351">
    <cfRule type="expression" dxfId="161" priority="148" stopIfTrue="1">
      <formula>MOD(ROW(),2)=0</formula>
    </cfRule>
  </conditionalFormatting>
  <conditionalFormatting sqref="L428:U430">
    <cfRule type="expression" dxfId="160" priority="131" stopIfTrue="1">
      <formula>MOD(ROW(),2)=0</formula>
    </cfRule>
  </conditionalFormatting>
  <conditionalFormatting sqref="P295 S295">
    <cfRule type="expression" dxfId="159" priority="116" stopIfTrue="1">
      <formula>MOD(ROW(),2)=0</formula>
    </cfRule>
  </conditionalFormatting>
  <conditionalFormatting sqref="U349 W349 Y349:AB349">
    <cfRule type="expression" dxfId="158" priority="145" stopIfTrue="1">
      <formula>MOD(ROW(),2)=0</formula>
    </cfRule>
  </conditionalFormatting>
  <conditionalFormatting sqref="L349:T349">
    <cfRule type="expression" dxfId="157" priority="144" stopIfTrue="1">
      <formula>MOD(ROW(),2)=0</formula>
    </cfRule>
  </conditionalFormatting>
  <conditionalFormatting sqref="L353:U354">
    <cfRule type="expression" dxfId="156" priority="143" stopIfTrue="1">
      <formula>MOD(ROW(),2)=0</formula>
    </cfRule>
  </conditionalFormatting>
  <conditionalFormatting sqref="L375:U375 L377:U383 L376:P376 U376">
    <cfRule type="expression" dxfId="155" priority="142" stopIfTrue="1">
      <formula>MOD(ROW(),2)=0</formula>
    </cfRule>
  </conditionalFormatting>
  <conditionalFormatting sqref="Q376:T376">
    <cfRule type="expression" dxfId="154" priority="141" stopIfTrue="1">
      <formula>MOD(ROW(),2)=0</formula>
    </cfRule>
  </conditionalFormatting>
  <conditionalFormatting sqref="W375:W383">
    <cfRule type="expression" dxfId="153" priority="140" stopIfTrue="1">
      <formula>MOD(ROW(),2)=0</formula>
    </cfRule>
  </conditionalFormatting>
  <conditionalFormatting sqref="L384:T385">
    <cfRule type="expression" dxfId="152" priority="139" stopIfTrue="1">
      <formula>MOD(ROW(),2)=0</formula>
    </cfRule>
  </conditionalFormatting>
  <conditionalFormatting sqref="L386:U397">
    <cfRule type="expression" dxfId="151" priority="138" stopIfTrue="1">
      <formula>MOD(ROW(),2)=0</formula>
    </cfRule>
  </conditionalFormatting>
  <conditionalFormatting sqref="L431:U431">
    <cfRule type="expression" dxfId="150" priority="137" stopIfTrue="1">
      <formula>MOD(ROW(),2)=0</formula>
    </cfRule>
  </conditionalFormatting>
  <conditionalFormatting sqref="W431">
    <cfRule type="expression" dxfId="149" priority="136" stopIfTrue="1">
      <formula>MOD(ROW(),2)=0</formula>
    </cfRule>
  </conditionalFormatting>
  <conditionalFormatting sqref="L55:U62">
    <cfRule type="expression" dxfId="148" priority="135" stopIfTrue="1">
      <formula>MOD(ROW(),2)=0</formula>
    </cfRule>
  </conditionalFormatting>
  <conditionalFormatting sqref="W55:W61">
    <cfRule type="expression" dxfId="147" priority="134" stopIfTrue="1">
      <formula>MOD(ROW(),2)=0</formula>
    </cfRule>
  </conditionalFormatting>
  <conditionalFormatting sqref="L43:U54">
    <cfRule type="expression" dxfId="146" priority="133" stopIfTrue="1">
      <formula>MOD(ROW(),2)=0</formula>
    </cfRule>
  </conditionalFormatting>
  <conditionalFormatting sqref="W43:W54">
    <cfRule type="expression" dxfId="145" priority="132" stopIfTrue="1">
      <formula>MOD(ROW(),2)=0</formula>
    </cfRule>
  </conditionalFormatting>
  <conditionalFormatting sqref="M295">
    <cfRule type="expression" dxfId="144" priority="118" stopIfTrue="1">
      <formula>MOD(ROW(),2)=0</formula>
    </cfRule>
  </conditionalFormatting>
  <conditionalFormatting sqref="L31:T37">
    <cfRule type="expression" dxfId="143" priority="130" stopIfTrue="1">
      <formula>MOD(ROW(),2)=0</formula>
    </cfRule>
  </conditionalFormatting>
  <conditionalFormatting sqref="S283:S292">
    <cfRule type="expression" dxfId="142" priority="100" stopIfTrue="1">
      <formula>MOD(ROW(),2)=0</formula>
    </cfRule>
  </conditionalFormatting>
  <conditionalFormatting sqref="G299:K300">
    <cfRule type="expression" dxfId="141" priority="128" stopIfTrue="1">
      <formula>MOD(ROW(),2)=0</formula>
    </cfRule>
  </conditionalFormatting>
  <conditionalFormatting sqref="A299:F300">
    <cfRule type="expression" dxfId="140" priority="127" stopIfTrue="1">
      <formula>MOD(ROW(),2)=0</formula>
    </cfRule>
  </conditionalFormatting>
  <conditionalFormatting sqref="N300:U300">
    <cfRule type="expression" dxfId="139" priority="126" stopIfTrue="1">
      <formula>MOD(ROW(),2)=0</formula>
    </cfRule>
  </conditionalFormatting>
  <conditionalFormatting sqref="U299">
    <cfRule type="expression" dxfId="138" priority="125" stopIfTrue="1">
      <formula>MOD(ROW(),2)=0</formula>
    </cfRule>
  </conditionalFormatting>
  <conditionalFormatting sqref="L299:T299">
    <cfRule type="expression" dxfId="137" priority="124" stopIfTrue="1">
      <formula>MOD(ROW(),2)=0</formula>
    </cfRule>
  </conditionalFormatting>
  <conditionalFormatting sqref="L301:U311">
    <cfRule type="expression" dxfId="136" priority="123" stopIfTrue="1">
      <formula>MOD(ROW(),2)=0</formula>
    </cfRule>
  </conditionalFormatting>
  <conditionalFormatting sqref="L451:U455">
    <cfRule type="expression" dxfId="135" priority="122" stopIfTrue="1">
      <formula>MOD(ROW(),2)=0</formula>
    </cfRule>
  </conditionalFormatting>
  <conditionalFormatting sqref="W451:W455">
    <cfRule type="expression" dxfId="134" priority="121" stopIfTrue="1">
      <formula>MOD(ROW(),2)=0</formula>
    </cfRule>
  </conditionalFormatting>
  <conditionalFormatting sqref="W302:W305">
    <cfRule type="expression" dxfId="133" priority="120" stopIfTrue="1">
      <formula>MOD(ROW(),2)=0</formula>
    </cfRule>
  </conditionalFormatting>
  <conditionalFormatting sqref="L293:N298">
    <cfRule type="expression" dxfId="132" priority="119" stopIfTrue="1">
      <formula>MOD(ROW(),2)=0</formula>
    </cfRule>
  </conditionalFormatting>
  <conditionalFormatting sqref="L283:R292 T283:U292">
    <cfRule type="expression" dxfId="131" priority="102" stopIfTrue="1">
      <formula>MOD(ROW(),2)=0</formula>
    </cfRule>
  </conditionalFormatting>
  <conditionalFormatting sqref="O293:U298">
    <cfRule type="expression" dxfId="130" priority="117" stopIfTrue="1">
      <formula>MOD(ROW(),2)=0</formula>
    </cfRule>
  </conditionalFormatting>
  <conditionalFormatting sqref="G254:L254">
    <cfRule type="expression" dxfId="129" priority="115" stopIfTrue="1">
      <formula>MOD(ROW(),2)=0</formula>
    </cfRule>
  </conditionalFormatting>
  <conditionalFormatting sqref="A254">
    <cfRule type="expression" dxfId="128" priority="114" stopIfTrue="1">
      <formula>MOD(ROW(),2)=0</formula>
    </cfRule>
  </conditionalFormatting>
  <conditionalFormatting sqref="B254">
    <cfRule type="expression" dxfId="127" priority="113" stopIfTrue="1">
      <formula>MOD(ROW(),2)=0</formula>
    </cfRule>
  </conditionalFormatting>
  <conditionalFormatting sqref="C254">
    <cfRule type="expression" dxfId="126" priority="112" stopIfTrue="1">
      <formula>MOD(ROW(),2)=0</formula>
    </cfRule>
  </conditionalFormatting>
  <conditionalFormatting sqref="D254">
    <cfRule type="expression" dxfId="125" priority="111" stopIfTrue="1">
      <formula>MOD(ROW(),2)=0</formula>
    </cfRule>
  </conditionalFormatting>
  <conditionalFormatting sqref="E254">
    <cfRule type="expression" dxfId="124" priority="110" stopIfTrue="1">
      <formula>MOD(ROW(),2)=0</formula>
    </cfRule>
  </conditionalFormatting>
  <conditionalFormatting sqref="F254">
    <cfRule type="expression" dxfId="123" priority="109" stopIfTrue="1">
      <formula>MOD(ROW(),2)=0</formula>
    </cfRule>
  </conditionalFormatting>
  <conditionalFormatting sqref="L226:U228">
    <cfRule type="expression" dxfId="122" priority="108" stopIfTrue="1">
      <formula>MOD(ROW(),2)=0</formula>
    </cfRule>
  </conditionalFormatting>
  <conditionalFormatting sqref="L229:U253">
    <cfRule type="expression" dxfId="121" priority="107" stopIfTrue="1">
      <formula>MOD(ROW(),2)=0</formula>
    </cfRule>
  </conditionalFormatting>
  <conditionalFormatting sqref="L260:U268 L259:T259 L255:U258">
    <cfRule type="expression" dxfId="120" priority="106" stopIfTrue="1">
      <formula>MOD(ROW(),2)=0</formula>
    </cfRule>
  </conditionalFormatting>
  <conditionalFormatting sqref="W255">
    <cfRule type="expression" dxfId="119" priority="105" stopIfTrue="1">
      <formula>MOD(ROW(),2)=0</formula>
    </cfRule>
  </conditionalFormatting>
  <conditionalFormatting sqref="L443:U450">
    <cfRule type="expression" dxfId="118" priority="104" stopIfTrue="1">
      <formula>MOD(ROW(),2)=0</formula>
    </cfRule>
  </conditionalFormatting>
  <conditionalFormatting sqref="L281:U281 L282:R282 T282:U282">
    <cfRule type="expression" dxfId="117" priority="103" stopIfTrue="1">
      <formula>MOD(ROW(),2)=0</formula>
    </cfRule>
  </conditionalFormatting>
  <conditionalFormatting sqref="S282">
    <cfRule type="expression" dxfId="116" priority="101" stopIfTrue="1">
      <formula>MOD(ROW(),2)=0</formula>
    </cfRule>
  </conditionalFormatting>
  <conditionalFormatting sqref="D274:U274">
    <cfRule type="expression" dxfId="115" priority="99" stopIfTrue="1">
      <formula>MOD(ROW(),2)=0</formula>
    </cfRule>
  </conditionalFormatting>
  <conditionalFormatting sqref="W274">
    <cfRule type="expression" dxfId="114" priority="98" stopIfTrue="1">
      <formula>MOD(ROW(),2)=0</formula>
    </cfRule>
  </conditionalFormatting>
  <conditionalFormatting sqref="W275:W280">
    <cfRule type="expression" dxfId="113" priority="97" stopIfTrue="1">
      <formula>MOD(ROW(),2)=0</formula>
    </cfRule>
  </conditionalFormatting>
  <conditionalFormatting sqref="M278:U279 U277 M275:T276">
    <cfRule type="expression" dxfId="112" priority="96" stopIfTrue="1">
      <formula>MOD(ROW(),2)=0</formula>
    </cfRule>
  </conditionalFormatting>
  <conditionalFormatting sqref="L275:L279">
    <cfRule type="expression" dxfId="111" priority="95" stopIfTrue="1">
      <formula>MOD(ROW(),2)=0</formula>
    </cfRule>
  </conditionalFormatting>
  <conditionalFormatting sqref="M277:T277">
    <cfRule type="expression" dxfId="110" priority="94" stopIfTrue="1">
      <formula>MOD(ROW(),2)=0</formula>
    </cfRule>
  </conditionalFormatting>
  <conditionalFormatting sqref="L162:U170">
    <cfRule type="expression" dxfId="109" priority="93" stopIfTrue="1">
      <formula>MOD(ROW(),2)=0</formula>
    </cfRule>
  </conditionalFormatting>
  <conditionalFormatting sqref="L171:U174">
    <cfRule type="expression" dxfId="108" priority="92" stopIfTrue="1">
      <formula>MOD(ROW(),2)=0</formula>
    </cfRule>
  </conditionalFormatting>
  <conditionalFormatting sqref="L175:U181">
    <cfRule type="expression" dxfId="107" priority="91" stopIfTrue="1">
      <formula>MOD(ROW(),2)=0</formula>
    </cfRule>
  </conditionalFormatting>
  <conditionalFormatting sqref="L182:U189">
    <cfRule type="expression" dxfId="106" priority="89" stopIfTrue="1">
      <formula>MOD(ROW(),2)=0</formula>
    </cfRule>
  </conditionalFormatting>
  <conditionalFormatting sqref="L190:U194">
    <cfRule type="expression" dxfId="105" priority="88" stopIfTrue="1">
      <formula>MOD(ROW(),2)=0</formula>
    </cfRule>
  </conditionalFormatting>
  <conditionalFormatting sqref="W191:W195">
    <cfRule type="expression" dxfId="104" priority="87" stopIfTrue="1">
      <formula>MOD(ROW(),2)=0</formula>
    </cfRule>
  </conditionalFormatting>
  <conditionalFormatting sqref="L196:U205">
    <cfRule type="expression" dxfId="103" priority="86" stopIfTrue="1">
      <formula>MOD(ROW(),2)=0</formula>
    </cfRule>
  </conditionalFormatting>
  <conditionalFormatting sqref="L208:U210">
    <cfRule type="expression" dxfId="102" priority="72">
      <formula>MOD(ROW(),2)=0</formula>
    </cfRule>
  </conditionalFormatting>
  <conditionalFormatting sqref="T206:U206 L206:M206 P206:Q206">
    <cfRule type="expression" dxfId="101" priority="73">
      <formula>MOD(ROW(),2)=0</formula>
    </cfRule>
  </conditionalFormatting>
  <conditionalFormatting sqref="N206:O206">
    <cfRule type="expression" dxfId="100" priority="74">
      <formula>MOD(ROW(),2)=0</formula>
    </cfRule>
  </conditionalFormatting>
  <conditionalFormatting sqref="R206">
    <cfRule type="expression" dxfId="99" priority="75">
      <formula>MOD(ROW(),2)=0</formula>
    </cfRule>
  </conditionalFormatting>
  <conditionalFormatting sqref="S206">
    <cfRule type="expression" dxfId="98" priority="76">
      <formula>MOD(ROW(),2)=0</formula>
    </cfRule>
  </conditionalFormatting>
  <conditionalFormatting sqref="U207 L207">
    <cfRule type="expression" dxfId="97" priority="77">
      <formula>MOD(ROW(),2)=0</formula>
    </cfRule>
  </conditionalFormatting>
  <conditionalFormatting sqref="M207">
    <cfRule type="expression" dxfId="96" priority="78">
      <formula>MOD(ROW(),2)=0</formula>
    </cfRule>
  </conditionalFormatting>
  <conditionalFormatting sqref="N207">
    <cfRule type="expression" dxfId="95" priority="79">
      <formula>MOD(ROW(),2)=0</formula>
    </cfRule>
  </conditionalFormatting>
  <conditionalFormatting sqref="O207">
    <cfRule type="expression" dxfId="94" priority="80">
      <formula>MOD(ROW(),2)=0</formula>
    </cfRule>
  </conditionalFormatting>
  <conditionalFormatting sqref="P207">
    <cfRule type="expression" dxfId="93" priority="81">
      <formula>MOD(ROW(),2)=0</formula>
    </cfRule>
  </conditionalFormatting>
  <conditionalFormatting sqref="Q207">
    <cfRule type="expression" dxfId="92" priority="82">
      <formula>MOD(ROW(),2)=0</formula>
    </cfRule>
  </conditionalFormatting>
  <conditionalFormatting sqref="R207">
    <cfRule type="expression" dxfId="91" priority="83">
      <formula>MOD(ROW(),2)=0</formula>
    </cfRule>
  </conditionalFormatting>
  <conditionalFormatting sqref="S207">
    <cfRule type="expression" dxfId="90" priority="84">
      <formula>MOD(ROW(),2)=0</formula>
    </cfRule>
  </conditionalFormatting>
  <conditionalFormatting sqref="T207">
    <cfRule type="expression" dxfId="89" priority="85">
      <formula>MOD(ROW(),2)=0</formula>
    </cfRule>
  </conditionalFormatting>
  <conditionalFormatting sqref="L220:U225">
    <cfRule type="expression" dxfId="88" priority="71" stopIfTrue="1">
      <formula>MOD(ROW(),2)=0</formula>
    </cfRule>
  </conditionalFormatting>
  <conditionalFormatting sqref="L211:U219">
    <cfRule type="expression" dxfId="87" priority="70" stopIfTrue="1">
      <formula>MOD(ROW(),2)=0</formula>
    </cfRule>
  </conditionalFormatting>
  <conditionalFormatting sqref="L440:P440">
    <cfRule type="expression" dxfId="86" priority="69" stopIfTrue="1">
      <formula>MOD(ROW(),2)=0</formula>
    </cfRule>
  </conditionalFormatting>
  <conditionalFormatting sqref="L438:P438">
    <cfRule type="expression" dxfId="85" priority="68" stopIfTrue="1">
      <formula>MOD(ROW(),2)=0</formula>
    </cfRule>
  </conditionalFormatting>
  <conditionalFormatting sqref="L439:P439">
    <cfRule type="expression" dxfId="84" priority="67" stopIfTrue="1">
      <formula>MOD(ROW(),2)=0</formula>
    </cfRule>
  </conditionalFormatting>
  <conditionalFormatting sqref="L21:U28">
    <cfRule type="expression" dxfId="83" priority="66" stopIfTrue="1">
      <formula>MOD(ROW(),2)=0</formula>
    </cfRule>
  </conditionalFormatting>
  <conditionalFormatting sqref="L398:U425">
    <cfRule type="expression" dxfId="82" priority="65" stopIfTrue="1">
      <formula>MOD(ROW(),2)=0</formula>
    </cfRule>
  </conditionalFormatting>
  <conditionalFormatting sqref="W402">
    <cfRule type="expression" dxfId="81" priority="62" stopIfTrue="1">
      <formula>MOD(ROW(),2)=0</formula>
    </cfRule>
  </conditionalFormatting>
  <conditionalFormatting sqref="W403">
    <cfRule type="expression" dxfId="80" priority="61" stopIfTrue="1">
      <formula>MOD(ROW(),2)=0</formula>
    </cfRule>
  </conditionalFormatting>
  <conditionalFormatting sqref="W404">
    <cfRule type="expression" dxfId="79" priority="60" stopIfTrue="1">
      <formula>MOD(ROW(),2)=0</formula>
    </cfRule>
  </conditionalFormatting>
  <conditionalFormatting sqref="W405">
    <cfRule type="expression" dxfId="78" priority="59" stopIfTrue="1">
      <formula>MOD(ROW(),2)=0</formula>
    </cfRule>
  </conditionalFormatting>
  <conditionalFormatting sqref="W407">
    <cfRule type="expression" dxfId="77" priority="58" stopIfTrue="1">
      <formula>MOD(ROW(),2)=0</formula>
    </cfRule>
  </conditionalFormatting>
  <conditionalFormatting sqref="W408">
    <cfRule type="expression" dxfId="76" priority="57" stopIfTrue="1">
      <formula>MOD(ROW(),2)=0</formula>
    </cfRule>
  </conditionalFormatting>
  <conditionalFormatting sqref="W409">
    <cfRule type="expression" dxfId="75" priority="56" stopIfTrue="1">
      <formula>MOD(ROW(),2)=0</formula>
    </cfRule>
  </conditionalFormatting>
  <conditionalFormatting sqref="W410">
    <cfRule type="expression" dxfId="74" priority="55" stopIfTrue="1">
      <formula>MOD(ROW(),2)=0</formula>
    </cfRule>
  </conditionalFormatting>
  <conditionalFormatting sqref="W411:W425">
    <cfRule type="expression" dxfId="73" priority="54" stopIfTrue="1">
      <formula>MOD(ROW(),2)=0</formula>
    </cfRule>
  </conditionalFormatting>
  <conditionalFormatting sqref="W461">
    <cfRule type="expression" dxfId="72" priority="53" stopIfTrue="1">
      <formula>MOD(ROW(),2)=0</formula>
    </cfRule>
  </conditionalFormatting>
  <conditionalFormatting sqref="W175:W181">
    <cfRule type="expression" dxfId="71" priority="52" stopIfTrue="1">
      <formula>MOD(ROW(),2)=0</formula>
    </cfRule>
  </conditionalFormatting>
  <conditionalFormatting sqref="W182">
    <cfRule type="expression" dxfId="70" priority="51" stopIfTrue="1">
      <formula>MOD(ROW(),2)=0</formula>
    </cfRule>
  </conditionalFormatting>
  <conditionalFormatting sqref="W439">
    <cfRule type="expression" dxfId="69" priority="50" stopIfTrue="1">
      <formula>MOD(ROW(),2)=0</formula>
    </cfRule>
  </conditionalFormatting>
  <conditionalFormatting sqref="X4:X42 X269:X273 X312:X318">
    <cfRule type="expression" dxfId="68" priority="49" stopIfTrue="1">
      <formula>MOD(ROW(),2)=0</formula>
    </cfRule>
  </conditionalFormatting>
  <conditionalFormatting sqref="X43">
    <cfRule type="expression" dxfId="64" priority="33" stopIfTrue="1">
      <formula>MOD(ROW(),2)=0</formula>
    </cfRule>
  </conditionalFormatting>
  <conditionalFormatting sqref="X211:X229">
    <cfRule type="expression" dxfId="61" priority="9" stopIfTrue="1">
      <formula>MOD(ROW(),2)=0</formula>
    </cfRule>
  </conditionalFormatting>
  <conditionalFormatting sqref="X230:X244">
    <cfRule type="expression" dxfId="60" priority="8" stopIfTrue="1">
      <formula>MOD(ROW(),2)=0</formula>
    </cfRule>
  </conditionalFormatting>
  <conditionalFormatting sqref="X44:X62">
    <cfRule type="expression" dxfId="58" priority="13" stopIfTrue="1">
      <formula>MOD(ROW(),2)=0</formula>
    </cfRule>
  </conditionalFormatting>
  <conditionalFormatting sqref="X63:X140">
    <cfRule type="expression" dxfId="57" priority="12" stopIfTrue="1">
      <formula>MOD(ROW(),2)=0</formula>
    </cfRule>
  </conditionalFormatting>
  <conditionalFormatting sqref="X141:X161">
    <cfRule type="expression" dxfId="56" priority="11" stopIfTrue="1">
      <formula>MOD(ROW(),2)=0</formula>
    </cfRule>
  </conditionalFormatting>
  <conditionalFormatting sqref="X162:X210">
    <cfRule type="expression" dxfId="55" priority="10" stopIfTrue="1">
      <formula>MOD(ROW(),2)=0</formula>
    </cfRule>
  </conditionalFormatting>
  <conditionalFormatting sqref="X245:X268">
    <cfRule type="expression" dxfId="54" priority="7" stopIfTrue="1">
      <formula>MOD(ROW(),2)=0</formula>
    </cfRule>
  </conditionalFormatting>
  <conditionalFormatting sqref="X274:X311">
    <cfRule type="expression" dxfId="53" priority="6" stopIfTrue="1">
      <formula>MOD(ROW(),2)=0</formula>
    </cfRule>
  </conditionalFormatting>
  <conditionalFormatting sqref="X319">
    <cfRule type="expression" dxfId="52" priority="5" stopIfTrue="1">
      <formula>MOD(ROW(),2)=0</formula>
    </cfRule>
  </conditionalFormatting>
  <conditionalFormatting sqref="X320:X425">
    <cfRule type="expression" dxfId="51" priority="4" stopIfTrue="1">
      <formula>MOD(ROW(),2)=0</formula>
    </cfRule>
  </conditionalFormatting>
  <conditionalFormatting sqref="X429:X432">
    <cfRule type="expression" dxfId="2" priority="3" stopIfTrue="1">
      <formula>MOD(ROW(),2)=0</formula>
    </cfRule>
  </conditionalFormatting>
  <conditionalFormatting sqref="X433:X459">
    <cfRule type="expression" dxfId="1" priority="2" stopIfTrue="1">
      <formula>MOD(ROW(),2)=0</formula>
    </cfRule>
  </conditionalFormatting>
  <conditionalFormatting sqref="X460:X461">
    <cfRule type="expression" dxfId="0" priority="1" stopIfTrue="1">
      <formula>MOD(ROW(),2)=0</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
  <sheetViews>
    <sheetView topLeftCell="C10" workbookViewId="0">
      <selection activeCell="F13" sqref="F13"/>
    </sheetView>
  </sheetViews>
  <sheetFormatPr defaultRowHeight="15" x14ac:dyDescent="0.25"/>
  <cols>
    <col min="1" max="1" width="21.42578125" customWidth="1"/>
    <col min="2" max="2" width="16.42578125" bestFit="1" customWidth="1"/>
    <col min="3" max="3" width="34.140625" bestFit="1" customWidth="1"/>
    <col min="4" max="4" width="13.28515625" bestFit="1" customWidth="1"/>
    <col min="5" max="5" width="31" customWidth="1"/>
    <col min="6" max="6" width="39.5703125" bestFit="1" customWidth="1"/>
    <col min="7" max="7" width="13.5703125" bestFit="1" customWidth="1"/>
    <col min="8" max="8" width="14.28515625" bestFit="1" customWidth="1"/>
    <col min="9" max="9" width="9.140625" bestFit="1" customWidth="1"/>
    <col min="10" max="10" width="7.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57031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8470110</v>
      </c>
      <c r="C4" s="50" t="s">
        <v>17</v>
      </c>
      <c r="D4" s="51">
        <v>420550</v>
      </c>
      <c r="E4" s="50" t="s">
        <v>18</v>
      </c>
      <c r="F4" s="50" t="s">
        <v>19</v>
      </c>
      <c r="G4" s="65">
        <v>500000</v>
      </c>
      <c r="H4" s="66"/>
      <c r="I4" s="67"/>
      <c r="J4" s="65"/>
      <c r="K4" s="67">
        <v>500000</v>
      </c>
      <c r="L4" s="65"/>
      <c r="M4" s="67"/>
      <c r="N4" s="68"/>
      <c r="O4" s="68"/>
      <c r="P4" s="68"/>
      <c r="Q4" s="68"/>
      <c r="R4" s="68"/>
      <c r="S4" s="68"/>
      <c r="T4" s="68"/>
      <c r="U4" s="68"/>
      <c r="V4" s="58">
        <f t="shared" ref="V4:V18" si="0">K4-(SUM(L4:T4))</f>
        <v>500000</v>
      </c>
      <c r="W4" s="57"/>
    </row>
    <row r="5" spans="1:23" x14ac:dyDescent="0.25">
      <c r="A5" s="48" t="s">
        <v>16</v>
      </c>
      <c r="B5" s="49">
        <v>8470110</v>
      </c>
      <c r="C5" s="50" t="s">
        <v>17</v>
      </c>
      <c r="D5" s="51">
        <v>425510</v>
      </c>
      <c r="E5" s="50" t="s">
        <v>20</v>
      </c>
      <c r="F5" s="50" t="s">
        <v>21</v>
      </c>
      <c r="G5" s="65">
        <v>52920</v>
      </c>
      <c r="H5" s="66">
        <v>6100</v>
      </c>
      <c r="I5" s="67"/>
      <c r="J5" s="65"/>
      <c r="K5" s="67">
        <v>46820</v>
      </c>
      <c r="L5" s="65"/>
      <c r="M5" s="67"/>
      <c r="N5" s="68"/>
      <c r="O5" s="68"/>
      <c r="P5" s="68"/>
      <c r="Q5" s="68"/>
      <c r="R5" s="68"/>
      <c r="S5" s="68"/>
      <c r="T5" s="68"/>
      <c r="U5" s="68"/>
      <c r="V5" s="58">
        <f t="shared" si="0"/>
        <v>46820</v>
      </c>
      <c r="W5" s="57"/>
    </row>
    <row r="6" spans="1:23" x14ac:dyDescent="0.25">
      <c r="A6" s="48" t="s">
        <v>16</v>
      </c>
      <c r="B6" s="49">
        <v>8470110</v>
      </c>
      <c r="C6" s="50" t="s">
        <v>17</v>
      </c>
      <c r="D6" s="51">
        <v>425550</v>
      </c>
      <c r="E6" s="50" t="s">
        <v>22</v>
      </c>
      <c r="F6" s="50" t="s">
        <v>23</v>
      </c>
      <c r="G6" s="65">
        <v>22225</v>
      </c>
      <c r="H6" s="66">
        <v>3300</v>
      </c>
      <c r="I6" s="67"/>
      <c r="J6" s="65"/>
      <c r="K6" s="67">
        <v>18925</v>
      </c>
      <c r="L6" s="65"/>
      <c r="M6" s="67"/>
      <c r="N6" s="68"/>
      <c r="O6" s="68"/>
      <c r="P6" s="68"/>
      <c r="Q6" s="68"/>
      <c r="R6" s="68"/>
      <c r="S6" s="68"/>
      <c r="T6" s="68"/>
      <c r="U6" s="68"/>
      <c r="V6" s="58">
        <f t="shared" si="0"/>
        <v>18925</v>
      </c>
      <c r="W6" s="57"/>
    </row>
    <row r="7" spans="1:23" x14ac:dyDescent="0.25">
      <c r="A7" s="48" t="s">
        <v>16</v>
      </c>
      <c r="B7" s="49">
        <v>8470110</v>
      </c>
      <c r="C7" s="50" t="s">
        <v>17</v>
      </c>
      <c r="D7" s="51">
        <v>425900</v>
      </c>
      <c r="E7" s="50" t="s">
        <v>24</v>
      </c>
      <c r="F7" s="50" t="s">
        <v>25</v>
      </c>
      <c r="G7" s="65">
        <v>320000</v>
      </c>
      <c r="H7" s="66">
        <v>5827.5</v>
      </c>
      <c r="I7" s="67"/>
      <c r="J7" s="65"/>
      <c r="K7" s="67">
        <v>314172.5</v>
      </c>
      <c r="L7" s="65"/>
      <c r="M7" s="67"/>
      <c r="N7" s="68"/>
      <c r="O7" s="68"/>
      <c r="P7" s="68"/>
      <c r="Q7" s="68"/>
      <c r="R7" s="68"/>
      <c r="S7" s="68"/>
      <c r="T7" s="68"/>
      <c r="U7" s="68"/>
      <c r="V7" s="58">
        <f t="shared" si="0"/>
        <v>314172.5</v>
      </c>
      <c r="W7" s="57"/>
    </row>
    <row r="8" spans="1:23" x14ac:dyDescent="0.25">
      <c r="A8" s="48" t="s">
        <v>16</v>
      </c>
      <c r="B8" s="49">
        <v>8470110</v>
      </c>
      <c r="C8" s="50" t="s">
        <v>17</v>
      </c>
      <c r="D8" s="51">
        <v>428090</v>
      </c>
      <c r="E8" s="50" t="s">
        <v>26</v>
      </c>
      <c r="F8" s="50" t="s">
        <v>27</v>
      </c>
      <c r="G8" s="65">
        <v>1079941</v>
      </c>
      <c r="H8" s="66">
        <v>117410</v>
      </c>
      <c r="I8" s="67"/>
      <c r="J8" s="65"/>
      <c r="K8" s="67">
        <v>962531</v>
      </c>
      <c r="L8" s="65"/>
      <c r="M8" s="67"/>
      <c r="N8" s="68"/>
      <c r="O8" s="68"/>
      <c r="P8" s="68"/>
      <c r="Q8" s="68"/>
      <c r="R8" s="68"/>
      <c r="S8" s="68"/>
      <c r="T8" s="68"/>
      <c r="U8" s="68"/>
      <c r="V8" s="58">
        <f t="shared" si="0"/>
        <v>962531</v>
      </c>
      <c r="W8" s="57"/>
    </row>
    <row r="9" spans="1:23" x14ac:dyDescent="0.25">
      <c r="A9" s="48" t="s">
        <v>16</v>
      </c>
      <c r="B9" s="49">
        <v>8470120</v>
      </c>
      <c r="C9" s="50" t="s">
        <v>28</v>
      </c>
      <c r="D9" s="51">
        <v>420120</v>
      </c>
      <c r="E9" s="50" t="s">
        <v>29</v>
      </c>
      <c r="F9" s="50" t="s">
        <v>30</v>
      </c>
      <c r="G9" s="65">
        <v>550028</v>
      </c>
      <c r="H9" s="66">
        <v>425925.92</v>
      </c>
      <c r="I9" s="67">
        <v>-242128.46</v>
      </c>
      <c r="J9" s="65">
        <v>58331</v>
      </c>
      <c r="K9" s="67">
        <v>307899.53999999998</v>
      </c>
      <c r="L9" s="65"/>
      <c r="M9" s="67"/>
      <c r="N9" s="68"/>
      <c r="O9" s="68"/>
      <c r="P9" s="68"/>
      <c r="Q9" s="68"/>
      <c r="R9" s="68"/>
      <c r="S9" s="68"/>
      <c r="T9" s="68"/>
      <c r="U9" s="68"/>
      <c r="V9" s="58">
        <f t="shared" si="0"/>
        <v>307899.53999999998</v>
      </c>
      <c r="W9" s="57"/>
    </row>
    <row r="10" spans="1:23" x14ac:dyDescent="0.25">
      <c r="A10" s="48" t="s">
        <v>16</v>
      </c>
      <c r="B10" s="49">
        <v>8470120</v>
      </c>
      <c r="C10" s="50" t="s">
        <v>28</v>
      </c>
      <c r="D10" s="51">
        <v>425900</v>
      </c>
      <c r="E10" s="50" t="s">
        <v>24</v>
      </c>
      <c r="F10" s="50" t="s">
        <v>31</v>
      </c>
      <c r="G10" s="65">
        <v>20000</v>
      </c>
      <c r="H10" s="66"/>
      <c r="I10" s="67"/>
      <c r="J10" s="65"/>
      <c r="K10" s="67">
        <v>20000</v>
      </c>
      <c r="L10" s="65"/>
      <c r="M10" s="67"/>
      <c r="N10" s="68"/>
      <c r="O10" s="68"/>
      <c r="P10" s="68"/>
      <c r="Q10" s="68"/>
      <c r="R10" s="68"/>
      <c r="S10" s="68"/>
      <c r="T10" s="68"/>
      <c r="U10" s="68"/>
      <c r="V10" s="58">
        <f t="shared" si="0"/>
        <v>20000</v>
      </c>
      <c r="W10" s="57"/>
    </row>
    <row r="11" spans="1:23" x14ac:dyDescent="0.25">
      <c r="A11" s="48" t="s">
        <v>16</v>
      </c>
      <c r="B11" s="49">
        <v>8470120</v>
      </c>
      <c r="C11" s="50" t="s">
        <v>28</v>
      </c>
      <c r="D11" s="51">
        <v>428090</v>
      </c>
      <c r="E11" s="50" t="s">
        <v>26</v>
      </c>
      <c r="F11" s="50" t="s">
        <v>32</v>
      </c>
      <c r="G11" s="65">
        <v>100000</v>
      </c>
      <c r="H11" s="66"/>
      <c r="I11" s="67"/>
      <c r="J11" s="65"/>
      <c r="K11" s="67">
        <v>100000</v>
      </c>
      <c r="L11" s="65"/>
      <c r="M11" s="67"/>
      <c r="N11" s="68"/>
      <c r="O11" s="68"/>
      <c r="P11" s="68"/>
      <c r="Q11" s="68"/>
      <c r="R11" s="68"/>
      <c r="S11" s="68"/>
      <c r="T11" s="68"/>
      <c r="U11" s="68"/>
      <c r="V11" s="58">
        <f t="shared" si="0"/>
        <v>100000</v>
      </c>
      <c r="W11" s="57"/>
    </row>
    <row r="12" spans="1:23" x14ac:dyDescent="0.25">
      <c r="A12" s="48" t="s">
        <v>16</v>
      </c>
      <c r="B12" s="49">
        <v>8470121</v>
      </c>
      <c r="C12" s="50" t="s">
        <v>33</v>
      </c>
      <c r="D12" s="51">
        <v>421000</v>
      </c>
      <c r="E12" s="50" t="s">
        <v>34</v>
      </c>
      <c r="F12" s="50" t="s">
        <v>35</v>
      </c>
      <c r="G12" s="65">
        <v>650000</v>
      </c>
      <c r="H12" s="66"/>
      <c r="I12" s="67"/>
      <c r="J12" s="65"/>
      <c r="K12" s="67">
        <v>650000</v>
      </c>
      <c r="L12" s="65"/>
      <c r="M12" s="67"/>
      <c r="N12" s="68"/>
      <c r="O12" s="68"/>
      <c r="P12" s="68"/>
      <c r="Q12" s="68"/>
      <c r="R12" s="68"/>
      <c r="S12" s="68"/>
      <c r="T12" s="68"/>
      <c r="U12" s="68"/>
      <c r="V12" s="58">
        <f t="shared" si="0"/>
        <v>650000</v>
      </c>
      <c r="W12" s="57"/>
    </row>
    <row r="13" spans="1:23" x14ac:dyDescent="0.25">
      <c r="A13" s="48" t="s">
        <v>16</v>
      </c>
      <c r="B13" s="49">
        <v>8470121</v>
      </c>
      <c r="C13" s="50" t="s">
        <v>33</v>
      </c>
      <c r="D13" s="51">
        <v>421700</v>
      </c>
      <c r="E13" s="50" t="s">
        <v>36</v>
      </c>
      <c r="F13" s="50" t="s">
        <v>37</v>
      </c>
      <c r="G13" s="65">
        <v>0</v>
      </c>
      <c r="H13" s="66"/>
      <c r="I13" s="67"/>
      <c r="J13" s="65"/>
      <c r="K13" s="67">
        <v>0</v>
      </c>
      <c r="L13" s="65"/>
      <c r="M13" s="67"/>
      <c r="N13" s="68"/>
      <c r="O13" s="68"/>
      <c r="P13" s="68"/>
      <c r="Q13" s="68"/>
      <c r="R13" s="68"/>
      <c r="S13" s="68"/>
      <c r="T13" s="68"/>
      <c r="U13" s="68"/>
      <c r="V13" s="58">
        <f t="shared" si="0"/>
        <v>0</v>
      </c>
      <c r="W13" s="57"/>
    </row>
    <row r="14" spans="1:23" x14ac:dyDescent="0.25">
      <c r="A14" s="48" t="s">
        <v>16</v>
      </c>
      <c r="B14" s="49">
        <v>8470121</v>
      </c>
      <c r="C14" s="50" t="s">
        <v>33</v>
      </c>
      <c r="D14" s="51">
        <v>425900</v>
      </c>
      <c r="E14" s="50" t="s">
        <v>24</v>
      </c>
      <c r="F14" s="50" t="s">
        <v>38</v>
      </c>
      <c r="G14" s="65">
        <v>32000</v>
      </c>
      <c r="H14" s="66"/>
      <c r="I14" s="67"/>
      <c r="J14" s="65"/>
      <c r="K14" s="67">
        <v>32000</v>
      </c>
      <c r="L14" s="65"/>
      <c r="M14" s="67"/>
      <c r="N14" s="68"/>
      <c r="O14" s="68"/>
      <c r="P14" s="68"/>
      <c r="Q14" s="68"/>
      <c r="R14" s="68"/>
      <c r="S14" s="68"/>
      <c r="T14" s="68"/>
      <c r="U14" s="68"/>
      <c r="V14" s="58">
        <f t="shared" si="0"/>
        <v>32000</v>
      </c>
      <c r="W14" s="57"/>
    </row>
    <row r="15" spans="1:23" x14ac:dyDescent="0.25">
      <c r="A15" s="48" t="s">
        <v>16</v>
      </c>
      <c r="B15" s="49">
        <v>8470121</v>
      </c>
      <c r="C15" s="50" t="s">
        <v>33</v>
      </c>
      <c r="D15" s="51">
        <v>426610</v>
      </c>
      <c r="E15" s="50" t="s">
        <v>39</v>
      </c>
      <c r="F15" s="50" t="s">
        <v>40</v>
      </c>
      <c r="G15" s="65">
        <v>173000</v>
      </c>
      <c r="H15" s="66"/>
      <c r="I15" s="67"/>
      <c r="J15" s="65"/>
      <c r="K15" s="67">
        <v>173000</v>
      </c>
      <c r="L15" s="65"/>
      <c r="M15" s="67"/>
      <c r="N15" s="68"/>
      <c r="O15" s="68"/>
      <c r="P15" s="68"/>
      <c r="Q15" s="68"/>
      <c r="R15" s="68"/>
      <c r="S15" s="68"/>
      <c r="T15" s="68"/>
      <c r="U15" s="68"/>
      <c r="V15" s="58">
        <f t="shared" si="0"/>
        <v>173000</v>
      </c>
      <c r="W15" s="57"/>
    </row>
    <row r="16" spans="1:23" x14ac:dyDescent="0.25">
      <c r="A16" s="48" t="s">
        <v>16</v>
      </c>
      <c r="B16" s="49">
        <v>8470121</v>
      </c>
      <c r="C16" s="50" t="s">
        <v>33</v>
      </c>
      <c r="D16" s="51">
        <v>428090</v>
      </c>
      <c r="E16" s="50" t="s">
        <v>26</v>
      </c>
      <c r="F16" s="50" t="s">
        <v>41</v>
      </c>
      <c r="G16" s="65">
        <v>100000</v>
      </c>
      <c r="H16" s="66"/>
      <c r="I16" s="67"/>
      <c r="J16" s="65"/>
      <c r="K16" s="67">
        <v>100000</v>
      </c>
      <c r="L16" s="65"/>
      <c r="M16" s="67"/>
      <c r="N16" s="68"/>
      <c r="O16" s="68"/>
      <c r="P16" s="68"/>
      <c r="Q16" s="68"/>
      <c r="R16" s="68"/>
      <c r="S16" s="68"/>
      <c r="T16" s="68"/>
      <c r="U16" s="68"/>
      <c r="V16" s="58">
        <f t="shared" si="0"/>
        <v>100000</v>
      </c>
      <c r="W16" s="57"/>
    </row>
    <row r="17" spans="1:23" x14ac:dyDescent="0.25">
      <c r="A17" s="48" t="s">
        <v>16</v>
      </c>
      <c r="B17" s="49">
        <v>8470150</v>
      </c>
      <c r="C17" s="50" t="s">
        <v>63</v>
      </c>
      <c r="D17" s="51">
        <v>420900</v>
      </c>
      <c r="E17" s="50" t="s">
        <v>64</v>
      </c>
      <c r="F17" s="50" t="s">
        <v>65</v>
      </c>
      <c r="G17" s="65">
        <v>353692</v>
      </c>
      <c r="H17" s="66">
        <v>4145.71</v>
      </c>
      <c r="I17" s="67">
        <v>300000</v>
      </c>
      <c r="J17" s="65"/>
      <c r="K17" s="67">
        <v>49546.29</v>
      </c>
      <c r="L17" s="65"/>
      <c r="M17" s="67"/>
      <c r="N17" s="68"/>
      <c r="O17" s="68"/>
      <c r="P17" s="68"/>
      <c r="Q17" s="68"/>
      <c r="R17" s="68"/>
      <c r="S17" s="68"/>
      <c r="T17" s="68"/>
      <c r="U17" s="68"/>
      <c r="V17" s="58">
        <f t="shared" si="0"/>
        <v>49546.29</v>
      </c>
      <c r="W17" s="57"/>
    </row>
    <row r="18" spans="1:23" x14ac:dyDescent="0.25">
      <c r="A18" s="48" t="s">
        <v>16</v>
      </c>
      <c r="B18" s="49">
        <v>8470150</v>
      </c>
      <c r="C18" s="50" t="s">
        <v>63</v>
      </c>
      <c r="D18" s="51">
        <v>426610</v>
      </c>
      <c r="E18" s="50" t="s">
        <v>39</v>
      </c>
      <c r="F18" s="50" t="s">
        <v>66</v>
      </c>
      <c r="G18" s="65">
        <v>25000</v>
      </c>
      <c r="H18" s="66">
        <v>15000</v>
      </c>
      <c r="I18" s="67"/>
      <c r="J18" s="65"/>
      <c r="K18" s="67">
        <v>10000</v>
      </c>
      <c r="L18" s="65"/>
      <c r="M18" s="67"/>
      <c r="N18" s="68"/>
      <c r="O18" s="68"/>
      <c r="P18" s="68"/>
      <c r="Q18" s="68"/>
      <c r="R18" s="68"/>
      <c r="S18" s="68"/>
      <c r="T18" s="68"/>
      <c r="U18" s="68"/>
      <c r="V18" s="58">
        <f t="shared" si="0"/>
        <v>10000</v>
      </c>
      <c r="W18" s="57"/>
    </row>
    <row r="19" spans="1:23" x14ac:dyDescent="0.25">
      <c r="A19" s="48" t="s">
        <v>561</v>
      </c>
      <c r="B19" s="49">
        <v>8470120</v>
      </c>
      <c r="C19" s="50" t="s">
        <v>28</v>
      </c>
      <c r="D19" s="51">
        <v>492316</v>
      </c>
      <c r="E19" s="50" t="s">
        <v>124</v>
      </c>
      <c r="F19" s="50" t="s">
        <v>563</v>
      </c>
      <c r="G19" s="65">
        <v>44351</v>
      </c>
      <c r="H19" s="66"/>
      <c r="I19" s="67"/>
      <c r="J19" s="65"/>
      <c r="K19" s="67">
        <v>44351</v>
      </c>
      <c r="L19" s="65"/>
      <c r="M19" s="67"/>
      <c r="N19" s="68"/>
      <c r="O19" s="68"/>
      <c r="P19" s="68"/>
      <c r="Q19" s="68"/>
      <c r="R19" s="68"/>
      <c r="S19" s="68"/>
      <c r="T19" s="68"/>
      <c r="U19" s="68"/>
      <c r="V19" s="58">
        <f>K19-(SUM(L19:T19))</f>
        <v>44351</v>
      </c>
      <c r="W19" s="57"/>
    </row>
    <row r="20" spans="1:23" x14ac:dyDescent="0.25">
      <c r="G20" s="70"/>
    </row>
  </sheetData>
  <conditionalFormatting sqref="A4:U19 W4:W19">
    <cfRule type="expression" dxfId="50" priority="3" stopIfTrue="1">
      <formula>MOD(ROW(),2)=0</formula>
    </cfRule>
  </conditionalFormatting>
  <conditionalFormatting sqref="A3">
    <cfRule type="expression" dxfId="49" priority="2" stopIfTrue="1">
      <formula>MOD(ROW(),2)=0</formula>
    </cfRule>
  </conditionalFormatting>
  <conditionalFormatting sqref="V4:V19">
    <cfRule type="expression" dxfId="48" priority="1" stopIfTrue="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
  <sheetViews>
    <sheetView topLeftCell="R1" workbookViewId="0">
      <selection activeCell="S4" sqref="S4"/>
    </sheetView>
  </sheetViews>
  <sheetFormatPr defaultRowHeight="15" x14ac:dyDescent="0.25"/>
  <cols>
    <col min="1" max="1" width="21.42578125" customWidth="1"/>
    <col min="2" max="2" width="16.42578125" bestFit="1" customWidth="1"/>
    <col min="3" max="3" width="33.5703125" bestFit="1" customWidth="1"/>
    <col min="4" max="4" width="13.28515625" bestFit="1" customWidth="1"/>
    <col min="5" max="5" width="32.140625" customWidth="1"/>
    <col min="6" max="6" width="39.5703125" bestFit="1" customWidth="1"/>
    <col min="7" max="7" width="13.5703125" bestFit="1" customWidth="1"/>
    <col min="8" max="8" width="14.28515625" bestFit="1" customWidth="1"/>
    <col min="9" max="9" width="10" bestFit="1" customWidth="1"/>
    <col min="10" max="10" width="8.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57031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8470130</v>
      </c>
      <c r="C4" s="50" t="s">
        <v>42</v>
      </c>
      <c r="D4" s="51">
        <v>421000</v>
      </c>
      <c r="E4" s="50" t="s">
        <v>34</v>
      </c>
      <c r="F4" s="50" t="s">
        <v>43</v>
      </c>
      <c r="G4" s="65">
        <v>202500</v>
      </c>
      <c r="H4" s="66"/>
      <c r="I4" s="67"/>
      <c r="J4" s="65"/>
      <c r="K4" s="67">
        <v>202500</v>
      </c>
      <c r="L4" s="65"/>
      <c r="M4" s="67"/>
      <c r="N4" s="68"/>
      <c r="O4" s="68"/>
      <c r="P4" s="68"/>
      <c r="Q4" s="68"/>
      <c r="R4" s="68"/>
      <c r="S4" s="68"/>
      <c r="T4" s="68"/>
      <c r="U4" s="68"/>
      <c r="V4" s="58">
        <f>K4-(SUM(L4:T4))</f>
        <v>202500</v>
      </c>
      <c r="W4" s="57"/>
    </row>
    <row r="5" spans="1:23" x14ac:dyDescent="0.25">
      <c r="A5" s="48" t="s">
        <v>16</v>
      </c>
      <c r="B5" s="49">
        <v>8470130</v>
      </c>
      <c r="C5" s="50" t="s">
        <v>42</v>
      </c>
      <c r="D5" s="51">
        <v>426610</v>
      </c>
      <c r="E5" s="50" t="s">
        <v>39</v>
      </c>
      <c r="F5" s="50" t="s">
        <v>44</v>
      </c>
      <c r="G5" s="65">
        <v>647100</v>
      </c>
      <c r="H5" s="66"/>
      <c r="I5" s="67"/>
      <c r="J5" s="65"/>
      <c r="K5" s="67">
        <v>647100</v>
      </c>
      <c r="L5" s="65"/>
      <c r="M5" s="67"/>
      <c r="N5" s="68"/>
      <c r="O5" s="68"/>
      <c r="P5" s="68"/>
      <c r="Q5" s="68"/>
      <c r="R5" s="68"/>
      <c r="S5" s="68"/>
      <c r="T5" s="68"/>
      <c r="U5" s="68"/>
      <c r="V5" s="58">
        <f t="shared" ref="V5:V17" si="0">K5-(SUM(L5:T5))</f>
        <v>647100</v>
      </c>
      <c r="W5" s="57"/>
    </row>
    <row r="6" spans="1:23" x14ac:dyDescent="0.25">
      <c r="A6" s="48" t="s">
        <v>16</v>
      </c>
      <c r="B6" s="49">
        <v>8470130</v>
      </c>
      <c r="C6" s="50" t="s">
        <v>42</v>
      </c>
      <c r="D6" s="51">
        <v>427710</v>
      </c>
      <c r="E6" s="50" t="s">
        <v>45</v>
      </c>
      <c r="F6" s="50" t="s">
        <v>46</v>
      </c>
      <c r="G6" s="65">
        <v>114759</v>
      </c>
      <c r="H6" s="66"/>
      <c r="I6" s="67"/>
      <c r="J6" s="65"/>
      <c r="K6" s="67">
        <v>114759</v>
      </c>
      <c r="L6" s="65"/>
      <c r="M6" s="67"/>
      <c r="N6" s="68"/>
      <c r="O6" s="68"/>
      <c r="P6" s="68"/>
      <c r="Q6" s="68"/>
      <c r="R6" s="68"/>
      <c r="S6" s="68"/>
      <c r="T6" s="68"/>
      <c r="U6" s="68"/>
      <c r="V6" s="58">
        <f t="shared" si="0"/>
        <v>114759</v>
      </c>
      <c r="W6" s="57"/>
    </row>
    <row r="7" spans="1:23" x14ac:dyDescent="0.25">
      <c r="A7" s="48" t="s">
        <v>16</v>
      </c>
      <c r="B7" s="49">
        <v>8470130</v>
      </c>
      <c r="C7" s="50" t="s">
        <v>42</v>
      </c>
      <c r="D7" s="51">
        <v>428090</v>
      </c>
      <c r="E7" s="50" t="s">
        <v>26</v>
      </c>
      <c r="F7" s="50" t="s">
        <v>47</v>
      </c>
      <c r="G7" s="65">
        <v>20000</v>
      </c>
      <c r="H7" s="66"/>
      <c r="I7" s="67"/>
      <c r="J7" s="65"/>
      <c r="K7" s="67">
        <v>20000</v>
      </c>
      <c r="L7" s="65"/>
      <c r="M7" s="67"/>
      <c r="N7" s="68"/>
      <c r="O7" s="68"/>
      <c r="P7" s="68"/>
      <c r="Q7" s="68"/>
      <c r="R7" s="68"/>
      <c r="S7" s="68"/>
      <c r="T7" s="68"/>
      <c r="U7" s="68"/>
      <c r="V7" s="58">
        <f t="shared" si="0"/>
        <v>20000</v>
      </c>
      <c r="W7" s="57"/>
    </row>
    <row r="8" spans="1:23" x14ac:dyDescent="0.25">
      <c r="A8" s="48" t="s">
        <v>16</v>
      </c>
      <c r="B8" s="49">
        <v>8470140</v>
      </c>
      <c r="C8" s="50" t="s">
        <v>48</v>
      </c>
      <c r="D8" s="51">
        <v>425100</v>
      </c>
      <c r="E8" s="50" t="s">
        <v>49</v>
      </c>
      <c r="F8" s="50" t="s">
        <v>50</v>
      </c>
      <c r="G8" s="65">
        <v>5978531</v>
      </c>
      <c r="H8" s="66">
        <v>710565.94</v>
      </c>
      <c r="I8" s="67">
        <v>2806066.37</v>
      </c>
      <c r="J8" s="65">
        <v>547384.5</v>
      </c>
      <c r="K8" s="67">
        <v>1914514.19</v>
      </c>
      <c r="L8" s="65"/>
      <c r="M8" s="67"/>
      <c r="N8" s="68"/>
      <c r="O8" s="68"/>
      <c r="P8" s="68"/>
      <c r="Q8" s="68"/>
      <c r="R8" s="68"/>
      <c r="S8" s="68"/>
      <c r="T8" s="68"/>
      <c r="U8" s="68"/>
      <c r="V8" s="58">
        <f t="shared" si="0"/>
        <v>1914514.19</v>
      </c>
      <c r="W8" s="57"/>
    </row>
    <row r="9" spans="1:23" x14ac:dyDescent="0.25">
      <c r="A9" s="48" t="s">
        <v>16</v>
      </c>
      <c r="B9" s="49">
        <v>8470140</v>
      </c>
      <c r="C9" s="50" t="s">
        <v>48</v>
      </c>
      <c r="D9" s="51">
        <v>425510</v>
      </c>
      <c r="E9" s="50" t="s">
        <v>20</v>
      </c>
      <c r="F9" s="50" t="s">
        <v>51</v>
      </c>
      <c r="G9" s="65">
        <v>7769802</v>
      </c>
      <c r="H9" s="66">
        <v>2654531.7599999998</v>
      </c>
      <c r="I9" s="67">
        <v>1647405.9</v>
      </c>
      <c r="J9" s="65">
        <v>785041</v>
      </c>
      <c r="K9" s="67">
        <v>2682823.34</v>
      </c>
      <c r="L9" s="65"/>
      <c r="M9" s="67"/>
      <c r="N9" s="68"/>
      <c r="O9" s="68"/>
      <c r="P9" s="68"/>
      <c r="Q9" s="68"/>
      <c r="R9" s="68"/>
      <c r="S9" s="68"/>
      <c r="T9" s="68"/>
      <c r="U9" s="68"/>
      <c r="V9" s="58">
        <f t="shared" si="0"/>
        <v>2682823.34</v>
      </c>
      <c r="W9" s="57"/>
    </row>
    <row r="10" spans="1:23" x14ac:dyDescent="0.25">
      <c r="A10" s="48" t="s">
        <v>16</v>
      </c>
      <c r="B10" s="49">
        <v>8470140</v>
      </c>
      <c r="C10" s="50" t="s">
        <v>48</v>
      </c>
      <c r="D10" s="51">
        <v>425550</v>
      </c>
      <c r="E10" s="50" t="s">
        <v>22</v>
      </c>
      <c r="F10" s="50" t="s">
        <v>52</v>
      </c>
      <c r="G10" s="65">
        <v>64327</v>
      </c>
      <c r="H10" s="66">
        <v>-5201.42</v>
      </c>
      <c r="I10" s="67"/>
      <c r="J10" s="65"/>
      <c r="K10" s="67">
        <v>69528.42</v>
      </c>
      <c r="L10" s="65"/>
      <c r="M10" s="67"/>
      <c r="N10" s="68"/>
      <c r="O10" s="68"/>
      <c r="P10" s="68"/>
      <c r="Q10" s="68"/>
      <c r="R10" s="68"/>
      <c r="S10" s="68"/>
      <c r="T10" s="68"/>
      <c r="U10" s="68"/>
      <c r="V10" s="58">
        <f t="shared" si="0"/>
        <v>69528.42</v>
      </c>
      <c r="W10" s="57"/>
    </row>
    <row r="11" spans="1:23" x14ac:dyDescent="0.25">
      <c r="A11" s="48" t="s">
        <v>16</v>
      </c>
      <c r="B11" s="49">
        <v>8470140</v>
      </c>
      <c r="C11" s="50" t="s">
        <v>48</v>
      </c>
      <c r="D11" s="51">
        <v>425763</v>
      </c>
      <c r="E11" s="50" t="s">
        <v>53</v>
      </c>
      <c r="F11" s="50" t="s">
        <v>54</v>
      </c>
      <c r="G11" s="65">
        <v>154663</v>
      </c>
      <c r="H11" s="66"/>
      <c r="I11" s="67"/>
      <c r="J11" s="65"/>
      <c r="K11" s="67">
        <v>154663</v>
      </c>
      <c r="L11" s="65"/>
      <c r="M11" s="67"/>
      <c r="N11" s="68"/>
      <c r="O11" s="68"/>
      <c r="P11" s="68"/>
      <c r="Q11" s="68"/>
      <c r="R11" s="68"/>
      <c r="S11" s="68"/>
      <c r="T11" s="68"/>
      <c r="U11" s="68"/>
      <c r="V11" s="58">
        <f t="shared" si="0"/>
        <v>154663</v>
      </c>
      <c r="W11" s="57"/>
    </row>
    <row r="12" spans="1:23" x14ac:dyDescent="0.25">
      <c r="A12" s="48" t="s">
        <v>16</v>
      </c>
      <c r="B12" s="49">
        <v>8470140</v>
      </c>
      <c r="C12" s="50" t="s">
        <v>48</v>
      </c>
      <c r="D12" s="51">
        <v>427100</v>
      </c>
      <c r="E12" s="50" t="s">
        <v>55</v>
      </c>
      <c r="F12" s="50" t="s">
        <v>56</v>
      </c>
      <c r="G12" s="65">
        <v>1578026</v>
      </c>
      <c r="H12" s="66">
        <v>712427.38</v>
      </c>
      <c r="I12" s="67">
        <v>-432001.91</v>
      </c>
      <c r="J12" s="65">
        <v>151576.44</v>
      </c>
      <c r="K12" s="67">
        <v>1146024.0900000001</v>
      </c>
      <c r="L12" s="65"/>
      <c r="M12" s="67"/>
      <c r="N12" s="68"/>
      <c r="O12" s="68"/>
      <c r="P12" s="68"/>
      <c r="Q12" s="68"/>
      <c r="R12" s="68"/>
      <c r="S12" s="68"/>
      <c r="T12" s="68"/>
      <c r="U12" s="68"/>
      <c r="V12" s="58">
        <f t="shared" si="0"/>
        <v>1146024.0900000001</v>
      </c>
      <c r="W12" s="57"/>
    </row>
    <row r="13" spans="1:23" x14ac:dyDescent="0.25">
      <c r="A13" s="48" t="s">
        <v>16</v>
      </c>
      <c r="B13" s="49">
        <v>8470140</v>
      </c>
      <c r="C13" s="50" t="s">
        <v>48</v>
      </c>
      <c r="D13" s="51">
        <v>427200</v>
      </c>
      <c r="E13" s="50" t="s">
        <v>57</v>
      </c>
      <c r="F13" s="50" t="s">
        <v>58</v>
      </c>
      <c r="G13" s="65">
        <v>23653</v>
      </c>
      <c r="H13" s="66"/>
      <c r="I13" s="67"/>
      <c r="J13" s="65"/>
      <c r="K13" s="67">
        <v>23653</v>
      </c>
      <c r="L13" s="65"/>
      <c r="M13" s="67"/>
      <c r="N13" s="68"/>
      <c r="O13" s="68"/>
      <c r="P13" s="68"/>
      <c r="Q13" s="68"/>
      <c r="R13" s="68"/>
      <c r="S13" s="68"/>
      <c r="T13" s="68"/>
      <c r="U13" s="68"/>
      <c r="V13" s="58">
        <f t="shared" si="0"/>
        <v>23653</v>
      </c>
      <c r="W13" s="57"/>
    </row>
    <row r="14" spans="1:23" x14ac:dyDescent="0.25">
      <c r="A14" s="48" t="s">
        <v>16</v>
      </c>
      <c r="B14" s="49">
        <v>8470140</v>
      </c>
      <c r="C14" s="50" t="s">
        <v>48</v>
      </c>
      <c r="D14" s="51">
        <v>428640</v>
      </c>
      <c r="E14" s="50" t="s">
        <v>59</v>
      </c>
      <c r="F14" s="50" t="s">
        <v>60</v>
      </c>
      <c r="G14" s="65">
        <v>45999</v>
      </c>
      <c r="H14" s="66">
        <v>2205</v>
      </c>
      <c r="I14" s="67"/>
      <c r="J14" s="65"/>
      <c r="K14" s="67">
        <v>43794</v>
      </c>
      <c r="L14" s="65"/>
      <c r="M14" s="67"/>
      <c r="N14" s="68"/>
      <c r="O14" s="68"/>
      <c r="P14" s="68"/>
      <c r="Q14" s="68"/>
      <c r="R14" s="68"/>
      <c r="S14" s="68"/>
      <c r="T14" s="68"/>
      <c r="U14" s="68"/>
      <c r="V14" s="58">
        <f t="shared" si="0"/>
        <v>43794</v>
      </c>
      <c r="W14" s="57"/>
    </row>
    <row r="15" spans="1:23" x14ac:dyDescent="0.25">
      <c r="A15" s="48" t="s">
        <v>16</v>
      </c>
      <c r="B15" s="49">
        <v>8470140</v>
      </c>
      <c r="C15" s="50" t="s">
        <v>48</v>
      </c>
      <c r="D15" s="51">
        <v>435519</v>
      </c>
      <c r="E15" s="50" t="s">
        <v>61</v>
      </c>
      <c r="F15" s="50" t="s">
        <v>62</v>
      </c>
      <c r="G15" s="65">
        <v>58125</v>
      </c>
      <c r="H15" s="66"/>
      <c r="I15" s="67"/>
      <c r="J15" s="65"/>
      <c r="K15" s="67">
        <v>58125</v>
      </c>
      <c r="L15" s="65"/>
      <c r="M15" s="67"/>
      <c r="N15" s="68"/>
      <c r="O15" s="68"/>
      <c r="P15" s="68"/>
      <c r="Q15" s="68"/>
      <c r="R15" s="68"/>
      <c r="S15" s="68"/>
      <c r="T15" s="68"/>
      <c r="U15" s="68"/>
      <c r="V15" s="58">
        <f t="shared" si="0"/>
        <v>58125</v>
      </c>
      <c r="W15" s="57"/>
    </row>
    <row r="16" spans="1:23" x14ac:dyDescent="0.25">
      <c r="A16" s="48" t="s">
        <v>16</v>
      </c>
      <c r="B16" s="49">
        <v>8470910</v>
      </c>
      <c r="C16" s="50" t="s">
        <v>422</v>
      </c>
      <c r="D16" s="51">
        <v>425900</v>
      </c>
      <c r="E16" s="50" t="s">
        <v>24</v>
      </c>
      <c r="F16" s="50" t="s">
        <v>423</v>
      </c>
      <c r="G16" s="65">
        <v>30000</v>
      </c>
      <c r="H16" s="66"/>
      <c r="I16" s="67"/>
      <c r="J16" s="65"/>
      <c r="K16" s="67">
        <v>30000</v>
      </c>
      <c r="L16" s="65"/>
      <c r="M16" s="67"/>
      <c r="N16" s="68"/>
      <c r="O16" s="68"/>
      <c r="P16" s="68"/>
      <c r="Q16" s="68"/>
      <c r="R16" s="68"/>
      <c r="S16" s="68"/>
      <c r="T16" s="68"/>
      <c r="U16" s="68"/>
      <c r="V16" s="58">
        <f t="shared" si="0"/>
        <v>30000</v>
      </c>
      <c r="W16" s="57"/>
    </row>
    <row r="17" spans="1:23" x14ac:dyDescent="0.25">
      <c r="A17" s="48" t="s">
        <v>16</v>
      </c>
      <c r="B17" s="49">
        <v>8470910</v>
      </c>
      <c r="C17" s="50" t="s">
        <v>422</v>
      </c>
      <c r="D17" s="51">
        <v>428090</v>
      </c>
      <c r="E17" s="50" t="s">
        <v>26</v>
      </c>
      <c r="F17" s="50" t="s">
        <v>424</v>
      </c>
      <c r="G17" s="65">
        <v>100000</v>
      </c>
      <c r="H17" s="66"/>
      <c r="I17" s="67"/>
      <c r="J17" s="65"/>
      <c r="K17" s="67">
        <v>100000</v>
      </c>
      <c r="L17" s="65"/>
      <c r="M17" s="67"/>
      <c r="N17" s="68"/>
      <c r="O17" s="68"/>
      <c r="P17" s="68"/>
      <c r="Q17" s="68"/>
      <c r="R17" s="68"/>
      <c r="S17" s="68"/>
      <c r="T17" s="68"/>
      <c r="U17" s="68"/>
      <c r="V17" s="58">
        <f t="shared" si="0"/>
        <v>100000</v>
      </c>
      <c r="W17" s="57"/>
    </row>
    <row r="18" spans="1:23" x14ac:dyDescent="0.25">
      <c r="G18" s="70"/>
    </row>
  </sheetData>
  <conditionalFormatting sqref="A3">
    <cfRule type="expression" dxfId="47" priority="3" stopIfTrue="1">
      <formula>MOD(ROW(),2)=0</formula>
    </cfRule>
  </conditionalFormatting>
  <conditionalFormatting sqref="A4:U17 W4:W17">
    <cfRule type="expression" dxfId="46" priority="2" stopIfTrue="1">
      <formula>MOD(ROW(),2)=0</formula>
    </cfRule>
  </conditionalFormatting>
  <conditionalFormatting sqref="V4:V17">
    <cfRule type="expression" dxfId="45" priority="1" stopIfTrue="1">
      <formula>MOD(ROW(),2)=0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workbookViewId="0">
      <selection activeCell="E6" sqref="E6"/>
    </sheetView>
  </sheetViews>
  <sheetFormatPr defaultRowHeight="15" x14ac:dyDescent="0.25"/>
  <cols>
    <col min="1" max="1" width="20.42578125" customWidth="1"/>
    <col min="2" max="2" width="16.42578125" bestFit="1" customWidth="1"/>
    <col min="3" max="3" width="29" bestFit="1" customWidth="1"/>
    <col min="4" max="4" width="13.28515625" bestFit="1" customWidth="1"/>
    <col min="5" max="5" width="27.7109375" customWidth="1"/>
    <col min="6" max="6" width="39.5703125" bestFit="1" customWidth="1"/>
    <col min="7" max="7" width="8.7109375" bestFit="1" customWidth="1"/>
    <col min="8" max="8" width="14.28515625" bestFit="1" customWidth="1"/>
    <col min="9" max="9" width="3.28515625" bestFit="1" customWidth="1"/>
    <col min="10" max="10" width="3.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4" ht="15.75" x14ac:dyDescent="0.25">
      <c r="A1" s="39" t="s">
        <v>608</v>
      </c>
      <c r="B1" s="40"/>
      <c r="C1" s="41"/>
      <c r="D1" s="40"/>
      <c r="E1" s="40"/>
      <c r="F1" s="40"/>
      <c r="G1" s="40"/>
      <c r="H1" s="40"/>
      <c r="I1" s="40"/>
      <c r="J1" s="40"/>
      <c r="K1" s="40"/>
      <c r="L1" s="40"/>
      <c r="M1" s="40"/>
      <c r="N1" s="40"/>
      <c r="O1" s="40"/>
      <c r="P1" s="40"/>
      <c r="Q1" s="40"/>
      <c r="R1" s="40"/>
      <c r="S1" s="40"/>
      <c r="T1" s="40"/>
      <c r="U1" s="40"/>
      <c r="V1" s="40"/>
      <c r="W1" s="40"/>
      <c r="X1" s="40"/>
    </row>
    <row r="2" spans="1:24" x14ac:dyDescent="0.25">
      <c r="A2" s="42" t="s">
        <v>0</v>
      </c>
      <c r="B2" s="40"/>
      <c r="C2" s="40"/>
      <c r="D2" s="40"/>
      <c r="E2" s="40"/>
      <c r="F2" s="40"/>
      <c r="G2" s="40"/>
      <c r="H2" s="40"/>
      <c r="I2" s="40"/>
      <c r="J2" s="40"/>
      <c r="K2" s="40"/>
      <c r="L2" s="40"/>
      <c r="M2" s="40"/>
      <c r="N2" s="40"/>
      <c r="O2" s="40"/>
      <c r="P2" s="40"/>
      <c r="Q2" s="40"/>
      <c r="R2" s="40"/>
      <c r="S2" s="40"/>
      <c r="T2" s="40"/>
      <c r="U2" s="40"/>
      <c r="V2" s="40"/>
      <c r="W2" s="40"/>
      <c r="X2" s="40"/>
    </row>
    <row r="3" spans="1:24"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c r="X3" s="40"/>
    </row>
    <row r="4" spans="1:24" x14ac:dyDescent="0.25">
      <c r="A4" s="48" t="s">
        <v>16</v>
      </c>
      <c r="B4" s="49">
        <v>8470160</v>
      </c>
      <c r="C4" s="50" t="s">
        <v>67</v>
      </c>
      <c r="D4" s="51">
        <v>420900</v>
      </c>
      <c r="E4" s="50" t="s">
        <v>64</v>
      </c>
      <c r="F4" s="50" t="s">
        <v>68</v>
      </c>
      <c r="G4" s="52">
        <v>0</v>
      </c>
      <c r="H4" s="53"/>
      <c r="I4" s="54"/>
      <c r="J4" s="55"/>
      <c r="K4" s="56">
        <v>0</v>
      </c>
      <c r="L4" s="55"/>
      <c r="M4" s="54"/>
      <c r="N4" s="57"/>
      <c r="O4" s="57"/>
      <c r="P4" s="57"/>
      <c r="Q4" s="57"/>
      <c r="R4" s="57"/>
      <c r="S4" s="57"/>
      <c r="T4" s="57"/>
      <c r="U4" s="57"/>
      <c r="V4" s="58">
        <f t="shared" ref="V4:V10" si="0">K4-(SUM(L4:T4))</f>
        <v>0</v>
      </c>
      <c r="W4" s="57"/>
      <c r="X4" s="40"/>
    </row>
    <row r="5" spans="1:24" x14ac:dyDescent="0.25">
      <c r="A5" s="48" t="s">
        <v>16</v>
      </c>
      <c r="B5" s="49">
        <v>8470160</v>
      </c>
      <c r="C5" s="50" t="s">
        <v>67</v>
      </c>
      <c r="D5" s="51">
        <v>425550</v>
      </c>
      <c r="E5" s="50" t="s">
        <v>22</v>
      </c>
      <c r="F5" s="50" t="s">
        <v>69</v>
      </c>
      <c r="G5" s="52">
        <v>37000</v>
      </c>
      <c r="H5" s="53"/>
      <c r="I5" s="54"/>
      <c r="J5" s="55"/>
      <c r="K5" s="56">
        <v>37000</v>
      </c>
      <c r="L5" s="55"/>
      <c r="M5" s="54"/>
      <c r="N5" s="57"/>
      <c r="O5" s="57"/>
      <c r="P5" s="57"/>
      <c r="Q5" s="57"/>
      <c r="R5" s="57"/>
      <c r="S5" s="57"/>
      <c r="T5" s="57"/>
      <c r="U5" s="57"/>
      <c r="V5" s="58">
        <f t="shared" si="0"/>
        <v>37000</v>
      </c>
      <c r="W5" s="57"/>
      <c r="X5" s="40"/>
    </row>
    <row r="6" spans="1:24" x14ac:dyDescent="0.25">
      <c r="A6" s="48" t="s">
        <v>16</v>
      </c>
      <c r="B6" s="49">
        <v>8470160</v>
      </c>
      <c r="C6" s="50" t="s">
        <v>67</v>
      </c>
      <c r="D6" s="51">
        <v>425900</v>
      </c>
      <c r="E6" s="50" t="s">
        <v>24</v>
      </c>
      <c r="F6" s="50" t="s">
        <v>70</v>
      </c>
      <c r="G6" s="52">
        <v>195000</v>
      </c>
      <c r="H6" s="59">
        <v>551.25</v>
      </c>
      <c r="I6" s="54"/>
      <c r="J6" s="55"/>
      <c r="K6" s="56">
        <v>194448.75</v>
      </c>
      <c r="L6" s="55"/>
      <c r="M6" s="54"/>
      <c r="N6" s="57"/>
      <c r="O6" s="57"/>
      <c r="P6" s="57"/>
      <c r="Q6" s="57"/>
      <c r="R6" s="57"/>
      <c r="S6" s="57"/>
      <c r="T6" s="57"/>
      <c r="U6" s="57"/>
      <c r="V6" s="58">
        <f t="shared" si="0"/>
        <v>194448.75</v>
      </c>
      <c r="W6" s="57"/>
      <c r="X6" s="40"/>
    </row>
    <row r="7" spans="1:24" x14ac:dyDescent="0.25">
      <c r="A7" s="48" t="s">
        <v>16</v>
      </c>
      <c r="B7" s="49">
        <v>8470160</v>
      </c>
      <c r="C7" s="50" t="s">
        <v>67</v>
      </c>
      <c r="D7" s="51">
        <v>426610</v>
      </c>
      <c r="E7" s="50" t="s">
        <v>39</v>
      </c>
      <c r="F7" s="50" t="s">
        <v>71</v>
      </c>
      <c r="G7" s="52">
        <v>1</v>
      </c>
      <c r="H7" s="53"/>
      <c r="I7" s="60">
        <v>1</v>
      </c>
      <c r="J7" s="55"/>
      <c r="K7" s="56">
        <v>0</v>
      </c>
      <c r="L7" s="55"/>
      <c r="M7" s="54"/>
      <c r="N7" s="57"/>
      <c r="O7" s="57"/>
      <c r="P7" s="57"/>
      <c r="Q7" s="57"/>
      <c r="R7" s="57"/>
      <c r="S7" s="57"/>
      <c r="T7" s="57"/>
      <c r="U7" s="57"/>
      <c r="V7" s="58">
        <f t="shared" si="0"/>
        <v>0</v>
      </c>
      <c r="W7" s="57"/>
      <c r="X7" s="40"/>
    </row>
    <row r="8" spans="1:24" x14ac:dyDescent="0.25">
      <c r="A8" s="48" t="s">
        <v>16</v>
      </c>
      <c r="B8" s="49">
        <v>8470160</v>
      </c>
      <c r="C8" s="50" t="s">
        <v>67</v>
      </c>
      <c r="D8" s="51">
        <v>428090</v>
      </c>
      <c r="E8" s="50" t="s">
        <v>26</v>
      </c>
      <c r="F8" s="50" t="s">
        <v>72</v>
      </c>
      <c r="G8" s="52">
        <v>100000</v>
      </c>
      <c r="H8" s="59">
        <v>1650</v>
      </c>
      <c r="I8" s="54"/>
      <c r="J8" s="55"/>
      <c r="K8" s="56">
        <v>98350</v>
      </c>
      <c r="L8" s="55"/>
      <c r="M8" s="54"/>
      <c r="N8" s="57"/>
      <c r="O8" s="57"/>
      <c r="P8" s="57"/>
      <c r="Q8" s="57"/>
      <c r="R8" s="57"/>
      <c r="S8" s="57"/>
      <c r="T8" s="57"/>
      <c r="U8" s="57"/>
      <c r="V8" s="58">
        <f t="shared" si="0"/>
        <v>98350</v>
      </c>
      <c r="W8" s="57"/>
      <c r="X8" s="40"/>
    </row>
    <row r="9" spans="1:24" x14ac:dyDescent="0.25">
      <c r="A9" s="48" t="s">
        <v>16</v>
      </c>
      <c r="B9" s="49">
        <v>8470160</v>
      </c>
      <c r="C9" s="50" t="s">
        <v>67</v>
      </c>
      <c r="D9" s="51">
        <v>428640</v>
      </c>
      <c r="E9" s="50" t="s">
        <v>59</v>
      </c>
      <c r="F9" s="50" t="s">
        <v>73</v>
      </c>
      <c r="G9" s="52">
        <v>20000</v>
      </c>
      <c r="H9" s="53"/>
      <c r="I9" s="54"/>
      <c r="J9" s="55"/>
      <c r="K9" s="56">
        <v>20000</v>
      </c>
      <c r="L9" s="55"/>
      <c r="M9" s="54"/>
      <c r="N9" s="57"/>
      <c r="O9" s="57"/>
      <c r="P9" s="57"/>
      <c r="Q9" s="57"/>
      <c r="R9" s="57"/>
      <c r="S9" s="57"/>
      <c r="T9" s="57"/>
      <c r="U9" s="57"/>
      <c r="V9" s="58">
        <f t="shared" si="0"/>
        <v>20000</v>
      </c>
      <c r="W9" s="57"/>
      <c r="X9" s="40"/>
    </row>
    <row r="10" spans="1:24" x14ac:dyDescent="0.25">
      <c r="A10" s="48" t="s">
        <v>16</v>
      </c>
      <c r="B10" s="49">
        <v>8470160</v>
      </c>
      <c r="C10" s="50" t="s">
        <v>67</v>
      </c>
      <c r="D10" s="51">
        <v>435523</v>
      </c>
      <c r="E10" s="50" t="s">
        <v>74</v>
      </c>
      <c r="F10" s="50" t="s">
        <v>75</v>
      </c>
      <c r="G10" s="52">
        <v>650000</v>
      </c>
      <c r="H10" s="53"/>
      <c r="I10" s="54"/>
      <c r="J10" s="55"/>
      <c r="K10" s="56">
        <v>650000</v>
      </c>
      <c r="L10" s="55"/>
      <c r="M10" s="54"/>
      <c r="N10" s="57"/>
      <c r="O10" s="57"/>
      <c r="P10" s="57"/>
      <c r="Q10" s="57"/>
      <c r="R10" s="57"/>
      <c r="S10" s="57"/>
      <c r="T10" s="57"/>
      <c r="U10" s="57"/>
      <c r="V10" s="58">
        <f t="shared" si="0"/>
        <v>650000</v>
      </c>
      <c r="W10" s="57"/>
      <c r="X10" s="40"/>
    </row>
    <row r="11" spans="1:24" x14ac:dyDescent="0.25">
      <c r="G11" s="71"/>
    </row>
  </sheetData>
  <conditionalFormatting sqref="A3">
    <cfRule type="expression" dxfId="44" priority="3" stopIfTrue="1">
      <formula>MOD(ROW(),2)=0</formula>
    </cfRule>
  </conditionalFormatting>
  <conditionalFormatting sqref="A4:U10 W4:W10">
    <cfRule type="expression" dxfId="43" priority="2" stopIfTrue="1">
      <formula>MOD(ROW(),2)=0</formula>
    </cfRule>
  </conditionalFormatting>
  <conditionalFormatting sqref="V4:V10">
    <cfRule type="expression" dxfId="42" priority="1" stopIfTrue="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5"/>
  <sheetViews>
    <sheetView topLeftCell="C1" workbookViewId="0">
      <selection activeCell="H13" sqref="H13"/>
    </sheetView>
  </sheetViews>
  <sheetFormatPr defaultRowHeight="15" x14ac:dyDescent="0.25"/>
  <cols>
    <col min="1" max="1" width="19.7109375" customWidth="1"/>
    <col min="2" max="2" width="16.42578125" bestFit="1" customWidth="1"/>
    <col min="3" max="3" width="29.7109375" bestFit="1" customWidth="1"/>
    <col min="4" max="4" width="13.28515625" bestFit="1" customWidth="1"/>
    <col min="5" max="5" width="32.42578125" customWidth="1"/>
    <col min="6" max="6" width="39.5703125" bestFit="1" customWidth="1"/>
    <col min="7" max="7" width="12.42578125" bestFit="1" customWidth="1"/>
    <col min="8" max="8" width="14.42578125" bestFit="1" customWidth="1"/>
    <col min="9" max="9" width="11.5703125" bestFit="1" customWidth="1"/>
    <col min="10" max="10" width="12.42578125" bestFit="1" customWidth="1"/>
    <col min="11" max="11" width="14.425781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629</v>
      </c>
      <c r="B4" s="49">
        <v>8470540</v>
      </c>
      <c r="C4" s="50" t="s">
        <v>346</v>
      </c>
      <c r="D4" s="51">
        <v>413310</v>
      </c>
      <c r="E4" s="50" t="s">
        <v>630</v>
      </c>
      <c r="F4" s="69" t="s">
        <v>633</v>
      </c>
      <c r="G4" s="65">
        <v>2836012</v>
      </c>
      <c r="H4" s="66">
        <v>254425.55</v>
      </c>
      <c r="I4" s="67">
        <v>-69311.55</v>
      </c>
      <c r="J4" s="65">
        <v>1344879.55</v>
      </c>
      <c r="K4" s="67">
        <v>1306018.45</v>
      </c>
      <c r="L4" s="55"/>
      <c r="M4" s="54"/>
      <c r="N4" s="57"/>
      <c r="O4" s="57"/>
      <c r="P4" s="57"/>
      <c r="Q4" s="57"/>
      <c r="R4" s="57"/>
      <c r="S4" s="57"/>
      <c r="T4" s="57"/>
      <c r="U4" s="57"/>
      <c r="V4" s="58">
        <f>K4-(SUM(L4:T4))</f>
        <v>1306018.45</v>
      </c>
      <c r="W4" s="57"/>
    </row>
    <row r="5" spans="1:23" x14ac:dyDescent="0.25">
      <c r="A5" s="48" t="s">
        <v>16</v>
      </c>
      <c r="B5" s="49">
        <v>8470520</v>
      </c>
      <c r="C5" s="50" t="s">
        <v>306</v>
      </c>
      <c r="D5" s="51">
        <v>425510</v>
      </c>
      <c r="E5" s="50" t="s">
        <v>20</v>
      </c>
      <c r="F5" s="50" t="s">
        <v>307</v>
      </c>
      <c r="G5" s="52">
        <v>7162</v>
      </c>
      <c r="H5" s="59">
        <v>1659</v>
      </c>
      <c r="I5" s="64"/>
      <c r="J5" s="63"/>
      <c r="K5" s="56">
        <v>5503</v>
      </c>
      <c r="L5" s="55"/>
      <c r="M5" s="54"/>
      <c r="N5" s="57"/>
      <c r="O5" s="57"/>
      <c r="P5" s="57"/>
      <c r="Q5" s="57"/>
      <c r="R5" s="57"/>
      <c r="S5" s="57"/>
      <c r="T5" s="57"/>
      <c r="U5" s="57"/>
      <c r="V5" s="58">
        <f>K5-(SUM(L5:T5))</f>
        <v>5503</v>
      </c>
      <c r="W5" s="57"/>
    </row>
    <row r="6" spans="1:23" x14ac:dyDescent="0.25">
      <c r="A6" s="48" t="s">
        <v>16</v>
      </c>
      <c r="B6" s="49">
        <v>8470520</v>
      </c>
      <c r="C6" s="50" t="s">
        <v>306</v>
      </c>
      <c r="D6" s="51">
        <v>427710</v>
      </c>
      <c r="E6" s="50" t="s">
        <v>45</v>
      </c>
      <c r="F6" s="50" t="s">
        <v>308</v>
      </c>
      <c r="G6" s="52">
        <v>10510</v>
      </c>
      <c r="H6" s="53"/>
      <c r="I6" s="64">
        <v>0</v>
      </c>
      <c r="J6" s="63"/>
      <c r="K6" s="56">
        <v>10510</v>
      </c>
      <c r="L6" s="55"/>
      <c r="M6" s="54"/>
      <c r="N6" s="57"/>
      <c r="O6" s="57"/>
      <c r="P6" s="57"/>
      <c r="Q6" s="57"/>
      <c r="R6" s="57"/>
      <c r="S6" s="57"/>
      <c r="T6" s="57"/>
      <c r="U6" s="57"/>
      <c r="V6" s="58">
        <f t="shared" ref="V6:V54" si="0">K6-(SUM(L6:T6))</f>
        <v>10510</v>
      </c>
      <c r="W6" s="57"/>
    </row>
    <row r="7" spans="1:23" x14ac:dyDescent="0.25">
      <c r="A7" s="48" t="s">
        <v>16</v>
      </c>
      <c r="B7" s="49">
        <v>8470520</v>
      </c>
      <c r="C7" s="50" t="s">
        <v>306</v>
      </c>
      <c r="D7" s="51">
        <v>428200</v>
      </c>
      <c r="E7" s="50" t="s">
        <v>309</v>
      </c>
      <c r="F7" s="50" t="s">
        <v>310</v>
      </c>
      <c r="G7" s="52">
        <v>333750</v>
      </c>
      <c r="H7" s="59">
        <v>24418.639999999999</v>
      </c>
      <c r="I7" s="64">
        <v>106885.92</v>
      </c>
      <c r="J7" s="63">
        <v>23885.01</v>
      </c>
      <c r="K7" s="56">
        <v>178560.43</v>
      </c>
      <c r="L7" s="55"/>
      <c r="M7" s="54"/>
      <c r="N7" s="57"/>
      <c r="O7" s="57"/>
      <c r="P7" s="57"/>
      <c r="Q7" s="57"/>
      <c r="R7" s="57"/>
      <c r="S7" s="57"/>
      <c r="T7" s="57"/>
      <c r="U7" s="57"/>
      <c r="V7" s="58">
        <f t="shared" si="0"/>
        <v>178560.43</v>
      </c>
      <c r="W7" s="57"/>
    </row>
    <row r="8" spans="1:23" x14ac:dyDescent="0.25">
      <c r="A8" s="48" t="s">
        <v>16</v>
      </c>
      <c r="B8" s="49">
        <v>8470530</v>
      </c>
      <c r="C8" s="50" t="s">
        <v>311</v>
      </c>
      <c r="D8" s="51">
        <v>420310</v>
      </c>
      <c r="E8" s="50" t="s">
        <v>312</v>
      </c>
      <c r="F8" s="50" t="s">
        <v>313</v>
      </c>
      <c r="G8" s="52">
        <v>4200474</v>
      </c>
      <c r="H8" s="59">
        <v>5101.1400000000003</v>
      </c>
      <c r="I8" s="64">
        <v>0</v>
      </c>
      <c r="J8" s="63">
        <v>4195372.3</v>
      </c>
      <c r="K8" s="56">
        <v>0.56000000052154097</v>
      </c>
      <c r="L8" s="55"/>
      <c r="M8" s="54"/>
      <c r="N8" s="57"/>
      <c r="O8" s="57"/>
      <c r="P8" s="57"/>
      <c r="Q8" s="57"/>
      <c r="R8" s="57"/>
      <c r="S8" s="57"/>
      <c r="T8" s="57"/>
      <c r="U8" s="57"/>
      <c r="V8" s="58">
        <f t="shared" si="0"/>
        <v>0.56000000052154097</v>
      </c>
      <c r="W8" s="57"/>
    </row>
    <row r="9" spans="1:23" x14ac:dyDescent="0.25">
      <c r="A9" s="48" t="s">
        <v>16</v>
      </c>
      <c r="B9" s="49">
        <v>8470530</v>
      </c>
      <c r="C9" s="50" t="s">
        <v>311</v>
      </c>
      <c r="D9" s="51">
        <v>420310</v>
      </c>
      <c r="E9" s="50" t="s">
        <v>312</v>
      </c>
      <c r="F9" s="50" t="s">
        <v>314</v>
      </c>
      <c r="G9" s="52">
        <v>2486010</v>
      </c>
      <c r="H9" s="53"/>
      <c r="I9" s="64">
        <v>0</v>
      </c>
      <c r="J9" s="63">
        <v>2486010</v>
      </c>
      <c r="K9" s="56">
        <v>0</v>
      </c>
      <c r="L9" s="55"/>
      <c r="M9" s="54"/>
      <c r="N9" s="57"/>
      <c r="O9" s="57"/>
      <c r="P9" s="57"/>
      <c r="Q9" s="57"/>
      <c r="R9" s="57"/>
      <c r="S9" s="57"/>
      <c r="T9" s="57"/>
      <c r="U9" s="57"/>
      <c r="V9" s="58">
        <f t="shared" si="0"/>
        <v>0</v>
      </c>
      <c r="W9" s="57"/>
    </row>
    <row r="10" spans="1:23" x14ac:dyDescent="0.25">
      <c r="A10" s="48" t="s">
        <v>16</v>
      </c>
      <c r="B10" s="49">
        <v>8470530</v>
      </c>
      <c r="C10" s="50" t="s">
        <v>311</v>
      </c>
      <c r="D10" s="51">
        <v>420310</v>
      </c>
      <c r="E10" s="50" t="s">
        <v>312</v>
      </c>
      <c r="F10" s="50" t="s">
        <v>315</v>
      </c>
      <c r="G10" s="52">
        <v>2486253</v>
      </c>
      <c r="H10" s="59">
        <v>-3039.68</v>
      </c>
      <c r="I10" s="64">
        <v>0</v>
      </c>
      <c r="J10" s="63">
        <v>2394039.94</v>
      </c>
      <c r="K10" s="56">
        <v>95252.740000000194</v>
      </c>
      <c r="L10" s="55"/>
      <c r="M10" s="54"/>
      <c r="N10" s="57"/>
      <c r="O10" s="57"/>
      <c r="P10" s="57"/>
      <c r="Q10" s="57"/>
      <c r="R10" s="57"/>
      <c r="S10" s="57"/>
      <c r="T10" s="57"/>
      <c r="U10" s="57"/>
      <c r="V10" s="58">
        <f t="shared" si="0"/>
        <v>95252.740000000194</v>
      </c>
      <c r="W10" s="57"/>
    </row>
    <row r="11" spans="1:23" x14ac:dyDescent="0.25">
      <c r="A11" s="48" t="s">
        <v>16</v>
      </c>
      <c r="B11" s="49">
        <v>8470530</v>
      </c>
      <c r="C11" s="50" t="s">
        <v>311</v>
      </c>
      <c r="D11" s="51">
        <v>421000</v>
      </c>
      <c r="E11" s="50" t="s">
        <v>34</v>
      </c>
      <c r="F11" s="50" t="s">
        <v>316</v>
      </c>
      <c r="G11" s="52">
        <v>850000</v>
      </c>
      <c r="H11" s="53"/>
      <c r="I11" s="64"/>
      <c r="J11" s="63"/>
      <c r="K11" s="56">
        <v>850000</v>
      </c>
      <c r="L11" s="55"/>
      <c r="M11" s="54"/>
      <c r="N11" s="57"/>
      <c r="O11" s="57"/>
      <c r="P11" s="57"/>
      <c r="Q11" s="57"/>
      <c r="R11" s="57"/>
      <c r="S11" s="57"/>
      <c r="T11" s="57"/>
      <c r="U11" s="57"/>
      <c r="V11" s="58">
        <f t="shared" si="0"/>
        <v>850000</v>
      </c>
      <c r="W11" s="57"/>
    </row>
    <row r="12" spans="1:23" x14ac:dyDescent="0.25">
      <c r="A12" s="48" t="s">
        <v>16</v>
      </c>
      <c r="B12" s="49">
        <v>8470530</v>
      </c>
      <c r="C12" s="50" t="s">
        <v>311</v>
      </c>
      <c r="D12" s="51">
        <v>421600</v>
      </c>
      <c r="E12" s="50" t="s">
        <v>317</v>
      </c>
      <c r="F12" s="50" t="s">
        <v>318</v>
      </c>
      <c r="G12" s="52">
        <v>3615061</v>
      </c>
      <c r="H12" s="53"/>
      <c r="I12" s="64">
        <v>2070713.33</v>
      </c>
      <c r="J12" s="63"/>
      <c r="K12" s="56">
        <v>1544347.67</v>
      </c>
      <c r="L12" s="55"/>
      <c r="M12" s="54"/>
      <c r="N12" s="57"/>
      <c r="O12" s="57"/>
      <c r="P12" s="57"/>
      <c r="Q12" s="57"/>
      <c r="R12" s="57"/>
      <c r="S12" s="57"/>
      <c r="T12" s="57"/>
      <c r="U12" s="57"/>
      <c r="V12" s="58">
        <f t="shared" si="0"/>
        <v>1544347.67</v>
      </c>
      <c r="W12" s="57"/>
    </row>
    <row r="13" spans="1:23" x14ac:dyDescent="0.25">
      <c r="A13" s="48" t="s">
        <v>16</v>
      </c>
      <c r="B13" s="49">
        <v>8470530</v>
      </c>
      <c r="C13" s="50" t="s">
        <v>311</v>
      </c>
      <c r="D13" s="51">
        <v>421600</v>
      </c>
      <c r="E13" s="50" t="s">
        <v>317</v>
      </c>
      <c r="F13" s="50" t="s">
        <v>319</v>
      </c>
      <c r="G13" s="52">
        <v>2421018</v>
      </c>
      <c r="H13" s="59">
        <v>-205935.98</v>
      </c>
      <c r="I13" s="64">
        <v>0</v>
      </c>
      <c r="J13" s="63">
        <v>1479592.98</v>
      </c>
      <c r="K13" s="56">
        <v>1147361</v>
      </c>
      <c r="L13" s="55"/>
      <c r="M13" s="54"/>
      <c r="N13" s="57"/>
      <c r="O13" s="57"/>
      <c r="P13" s="57"/>
      <c r="Q13" s="57"/>
      <c r="R13" s="57"/>
      <c r="S13" s="57"/>
      <c r="T13" s="57"/>
      <c r="U13" s="57"/>
      <c r="V13" s="58">
        <f t="shared" si="0"/>
        <v>1147361</v>
      </c>
      <c r="W13" s="57"/>
    </row>
    <row r="14" spans="1:23" x14ac:dyDescent="0.25">
      <c r="A14" s="48" t="s">
        <v>16</v>
      </c>
      <c r="B14" s="49">
        <v>8470530</v>
      </c>
      <c r="C14" s="50" t="s">
        <v>311</v>
      </c>
      <c r="D14" s="51">
        <v>421600</v>
      </c>
      <c r="E14" s="50" t="s">
        <v>317</v>
      </c>
      <c r="F14" s="50" t="s">
        <v>320</v>
      </c>
      <c r="G14" s="52">
        <v>1972180</v>
      </c>
      <c r="H14" s="59">
        <v>170947.89</v>
      </c>
      <c r="I14" s="64">
        <v>-161217.89000000001</v>
      </c>
      <c r="J14" s="63">
        <v>1240924.72</v>
      </c>
      <c r="K14" s="56">
        <v>721525.28</v>
      </c>
      <c r="L14" s="55"/>
      <c r="M14" s="54"/>
      <c r="N14" s="57"/>
      <c r="O14" s="57"/>
      <c r="P14" s="57"/>
      <c r="Q14" s="57"/>
      <c r="R14" s="57"/>
      <c r="S14" s="57"/>
      <c r="T14" s="57"/>
      <c r="U14" s="57"/>
      <c r="V14" s="58">
        <f t="shared" si="0"/>
        <v>721525.28</v>
      </c>
      <c r="W14" s="57"/>
    </row>
    <row r="15" spans="1:23" x14ac:dyDescent="0.25">
      <c r="A15" s="48" t="s">
        <v>16</v>
      </c>
      <c r="B15" s="49">
        <v>8470530</v>
      </c>
      <c r="C15" s="50" t="s">
        <v>311</v>
      </c>
      <c r="D15" s="51">
        <v>421600</v>
      </c>
      <c r="E15" s="50" t="s">
        <v>317</v>
      </c>
      <c r="F15" s="50" t="s">
        <v>321</v>
      </c>
      <c r="G15" s="52">
        <v>592937</v>
      </c>
      <c r="H15" s="53"/>
      <c r="I15" s="64">
        <v>296685.15999999997</v>
      </c>
      <c r="J15" s="63"/>
      <c r="K15" s="56">
        <v>296251.84000000003</v>
      </c>
      <c r="L15" s="55"/>
      <c r="M15" s="54"/>
      <c r="N15" s="57"/>
      <c r="O15" s="57"/>
      <c r="P15" s="57"/>
      <c r="Q15" s="57"/>
      <c r="R15" s="57"/>
      <c r="S15" s="57"/>
      <c r="T15" s="57"/>
      <c r="U15" s="57"/>
      <c r="V15" s="58">
        <f t="shared" si="0"/>
        <v>296251.84000000003</v>
      </c>
      <c r="W15" s="57"/>
    </row>
    <row r="16" spans="1:23" x14ac:dyDescent="0.25">
      <c r="A16" s="48" t="s">
        <v>16</v>
      </c>
      <c r="B16" s="49">
        <v>8470530</v>
      </c>
      <c r="C16" s="50" t="s">
        <v>311</v>
      </c>
      <c r="D16" s="51">
        <v>421700</v>
      </c>
      <c r="E16" s="50" t="s">
        <v>36</v>
      </c>
      <c r="F16" s="50" t="s">
        <v>322</v>
      </c>
      <c r="G16" s="52">
        <v>187500</v>
      </c>
      <c r="H16" s="53"/>
      <c r="I16" s="64"/>
      <c r="J16" s="63"/>
      <c r="K16" s="56">
        <v>187500</v>
      </c>
      <c r="L16" s="55"/>
      <c r="M16" s="54"/>
      <c r="N16" s="57"/>
      <c r="O16" s="57"/>
      <c r="P16" s="57"/>
      <c r="Q16" s="57"/>
      <c r="R16" s="57"/>
      <c r="S16" s="57"/>
      <c r="T16" s="57"/>
      <c r="U16" s="57"/>
      <c r="V16" s="58">
        <f t="shared" si="0"/>
        <v>187500</v>
      </c>
      <c r="W16" s="57"/>
    </row>
    <row r="17" spans="1:23" x14ac:dyDescent="0.25">
      <c r="A17" s="48" t="s">
        <v>16</v>
      </c>
      <c r="B17" s="49">
        <v>8470530</v>
      </c>
      <c r="C17" s="50" t="s">
        <v>311</v>
      </c>
      <c r="D17" s="51">
        <v>425510</v>
      </c>
      <c r="E17" s="50" t="s">
        <v>20</v>
      </c>
      <c r="F17" s="50" t="s">
        <v>323</v>
      </c>
      <c r="G17" s="52">
        <v>21793</v>
      </c>
      <c r="H17" s="59">
        <v>700</v>
      </c>
      <c r="I17" s="64"/>
      <c r="J17" s="63"/>
      <c r="K17" s="56">
        <v>21093</v>
      </c>
      <c r="L17" s="55"/>
      <c r="M17" s="54"/>
      <c r="N17" s="57"/>
      <c r="O17" s="57"/>
      <c r="P17" s="57"/>
      <c r="Q17" s="57"/>
      <c r="R17" s="57"/>
      <c r="S17" s="57"/>
      <c r="T17" s="57"/>
      <c r="U17" s="57"/>
      <c r="V17" s="58">
        <f t="shared" si="0"/>
        <v>21093</v>
      </c>
      <c r="W17" s="57"/>
    </row>
    <row r="18" spans="1:23" x14ac:dyDescent="0.25">
      <c r="A18" s="48" t="s">
        <v>16</v>
      </c>
      <c r="B18" s="49">
        <v>8470530</v>
      </c>
      <c r="C18" s="50" t="s">
        <v>311</v>
      </c>
      <c r="D18" s="51">
        <v>425747</v>
      </c>
      <c r="E18" s="50" t="s">
        <v>80</v>
      </c>
      <c r="F18" s="50" t="s">
        <v>324</v>
      </c>
      <c r="G18" s="52">
        <v>8600000</v>
      </c>
      <c r="H18" s="59">
        <v>8473395</v>
      </c>
      <c r="I18" s="64"/>
      <c r="J18" s="63"/>
      <c r="K18" s="56">
        <v>126605</v>
      </c>
      <c r="L18" s="55"/>
      <c r="M18" s="54"/>
      <c r="N18" s="57"/>
      <c r="O18" s="57"/>
      <c r="P18" s="57"/>
      <c r="Q18" s="57"/>
      <c r="R18" s="57"/>
      <c r="S18" s="57"/>
      <c r="T18" s="57"/>
      <c r="U18" s="57"/>
      <c r="V18" s="58">
        <f t="shared" si="0"/>
        <v>126605</v>
      </c>
      <c r="W18" s="57"/>
    </row>
    <row r="19" spans="1:23" x14ac:dyDescent="0.25">
      <c r="A19" s="48" t="s">
        <v>16</v>
      </c>
      <c r="B19" s="49">
        <v>8470530</v>
      </c>
      <c r="C19" s="50" t="s">
        <v>311</v>
      </c>
      <c r="D19" s="51">
        <v>425900</v>
      </c>
      <c r="E19" s="50" t="s">
        <v>24</v>
      </c>
      <c r="F19" s="50" t="s">
        <v>325</v>
      </c>
      <c r="G19" s="52">
        <v>20000</v>
      </c>
      <c r="H19" s="59">
        <v>1218</v>
      </c>
      <c r="I19" s="64"/>
      <c r="J19" s="63"/>
      <c r="K19" s="56">
        <v>18782</v>
      </c>
      <c r="L19" s="55"/>
      <c r="M19" s="54"/>
      <c r="N19" s="57"/>
      <c r="O19" s="57"/>
      <c r="P19" s="57"/>
      <c r="Q19" s="57"/>
      <c r="R19" s="57"/>
      <c r="S19" s="57"/>
      <c r="T19" s="57"/>
      <c r="U19" s="57"/>
      <c r="V19" s="58">
        <f t="shared" si="0"/>
        <v>18782</v>
      </c>
      <c r="W19" s="57"/>
    </row>
    <row r="20" spans="1:23" x14ac:dyDescent="0.25">
      <c r="A20" s="48" t="s">
        <v>16</v>
      </c>
      <c r="B20" s="49">
        <v>8470530</v>
      </c>
      <c r="C20" s="50" t="s">
        <v>311</v>
      </c>
      <c r="D20" s="51">
        <v>426220</v>
      </c>
      <c r="E20" s="50" t="s">
        <v>326</v>
      </c>
      <c r="F20" s="50" t="s">
        <v>327</v>
      </c>
      <c r="G20" s="52">
        <v>879708</v>
      </c>
      <c r="H20" s="53"/>
      <c r="I20" s="64"/>
      <c r="J20" s="63"/>
      <c r="K20" s="56">
        <v>879708</v>
      </c>
      <c r="L20" s="55"/>
      <c r="M20" s="54"/>
      <c r="N20" s="57"/>
      <c r="O20" s="57"/>
      <c r="P20" s="57"/>
      <c r="Q20" s="57"/>
      <c r="R20" s="57"/>
      <c r="S20" s="57"/>
      <c r="T20" s="57"/>
      <c r="U20" s="57"/>
      <c r="V20" s="58">
        <f t="shared" si="0"/>
        <v>879708</v>
      </c>
      <c r="W20" s="57"/>
    </row>
    <row r="21" spans="1:23" x14ac:dyDescent="0.25">
      <c r="A21" s="48" t="s">
        <v>16</v>
      </c>
      <c r="B21" s="49">
        <v>8470530</v>
      </c>
      <c r="C21" s="50" t="s">
        <v>311</v>
      </c>
      <c r="D21" s="51">
        <v>426900</v>
      </c>
      <c r="E21" s="50" t="s">
        <v>328</v>
      </c>
      <c r="F21" s="50" t="s">
        <v>329</v>
      </c>
      <c r="G21" s="52">
        <v>6000</v>
      </c>
      <c r="H21" s="59">
        <v>5800</v>
      </c>
      <c r="I21" s="64"/>
      <c r="J21" s="63"/>
      <c r="K21" s="56">
        <v>200</v>
      </c>
      <c r="L21" s="55"/>
      <c r="M21" s="54"/>
      <c r="N21" s="57"/>
      <c r="O21" s="57"/>
      <c r="P21" s="57"/>
      <c r="Q21" s="57"/>
      <c r="R21" s="57"/>
      <c r="S21" s="57"/>
      <c r="T21" s="57"/>
      <c r="U21" s="57"/>
      <c r="V21" s="58">
        <f t="shared" si="0"/>
        <v>200</v>
      </c>
      <c r="W21" s="57"/>
    </row>
    <row r="22" spans="1:23" x14ac:dyDescent="0.25">
      <c r="A22" s="48" t="s">
        <v>16</v>
      </c>
      <c r="B22" s="49">
        <v>8470530</v>
      </c>
      <c r="C22" s="50" t="s">
        <v>311</v>
      </c>
      <c r="D22" s="51">
        <v>428090</v>
      </c>
      <c r="E22" s="50" t="s">
        <v>26</v>
      </c>
      <c r="F22" s="50" t="s">
        <v>330</v>
      </c>
      <c r="G22" s="52">
        <v>100000</v>
      </c>
      <c r="H22" s="53"/>
      <c r="I22" s="64"/>
      <c r="J22" s="63"/>
      <c r="K22" s="56">
        <v>100000</v>
      </c>
      <c r="L22" s="55"/>
      <c r="M22" s="54"/>
      <c r="N22" s="57"/>
      <c r="O22" s="57"/>
      <c r="P22" s="57"/>
      <c r="Q22" s="57"/>
      <c r="R22" s="57"/>
      <c r="S22" s="57"/>
      <c r="T22" s="57"/>
      <c r="U22" s="57"/>
      <c r="V22" s="58">
        <f t="shared" si="0"/>
        <v>100000</v>
      </c>
      <c r="W22" s="57"/>
    </row>
    <row r="23" spans="1:23" x14ac:dyDescent="0.25">
      <c r="A23" s="48" t="s">
        <v>16</v>
      </c>
      <c r="B23" s="49">
        <v>8470530</v>
      </c>
      <c r="C23" s="50" t="s">
        <v>311</v>
      </c>
      <c r="D23" s="51">
        <v>429900</v>
      </c>
      <c r="E23" s="50" t="s">
        <v>270</v>
      </c>
      <c r="F23" s="50" t="s">
        <v>331</v>
      </c>
      <c r="G23" s="52">
        <v>1776</v>
      </c>
      <c r="H23" s="53"/>
      <c r="I23" s="64"/>
      <c r="J23" s="63"/>
      <c r="K23" s="56">
        <v>1776</v>
      </c>
      <c r="L23" s="55"/>
      <c r="M23" s="54"/>
      <c r="N23" s="57"/>
      <c r="O23" s="57"/>
      <c r="P23" s="57"/>
      <c r="Q23" s="57"/>
      <c r="R23" s="57"/>
      <c r="S23" s="57"/>
      <c r="T23" s="57"/>
      <c r="U23" s="57"/>
      <c r="V23" s="58">
        <f t="shared" si="0"/>
        <v>1776</v>
      </c>
      <c r="W23" s="57"/>
    </row>
    <row r="24" spans="1:23" x14ac:dyDescent="0.25">
      <c r="A24" s="48" t="s">
        <v>16</v>
      </c>
      <c r="B24" s="49">
        <v>8470530</v>
      </c>
      <c r="C24" s="50" t="s">
        <v>311</v>
      </c>
      <c r="D24" s="51">
        <v>432120</v>
      </c>
      <c r="E24" s="50" t="s">
        <v>332</v>
      </c>
      <c r="F24" s="50" t="s">
        <v>333</v>
      </c>
      <c r="G24" s="52">
        <v>14249275</v>
      </c>
      <c r="H24" s="59">
        <v>531539.75</v>
      </c>
      <c r="I24" s="64">
        <v>-341464.75</v>
      </c>
      <c r="J24" s="63">
        <v>3206078.91</v>
      </c>
      <c r="K24" s="56">
        <v>10853121.09</v>
      </c>
      <c r="L24" s="55"/>
      <c r="M24" s="54"/>
      <c r="N24" s="57"/>
      <c r="O24" s="57"/>
      <c r="P24" s="57"/>
      <c r="Q24" s="57"/>
      <c r="R24" s="57"/>
      <c r="S24" s="57"/>
      <c r="T24" s="57"/>
      <c r="U24" s="57"/>
      <c r="V24" s="58">
        <f t="shared" si="0"/>
        <v>10853121.09</v>
      </c>
      <c r="W24" s="57"/>
    </row>
    <row r="25" spans="1:23" x14ac:dyDescent="0.25">
      <c r="A25" s="48" t="s">
        <v>16</v>
      </c>
      <c r="B25" s="49">
        <v>8470530</v>
      </c>
      <c r="C25" s="50" t="s">
        <v>311</v>
      </c>
      <c r="D25" s="51">
        <v>432120</v>
      </c>
      <c r="E25" s="50" t="s">
        <v>332</v>
      </c>
      <c r="F25" s="50" t="s">
        <v>334</v>
      </c>
      <c r="G25" s="52">
        <v>8106876</v>
      </c>
      <c r="H25" s="59">
        <v>355737.64</v>
      </c>
      <c r="I25" s="64">
        <v>-226424.8</v>
      </c>
      <c r="J25" s="63">
        <v>1484466.93</v>
      </c>
      <c r="K25" s="56">
        <v>6493096.2300000004</v>
      </c>
      <c r="L25" s="55"/>
      <c r="M25" s="54"/>
      <c r="N25" s="57"/>
      <c r="O25" s="57"/>
      <c r="P25" s="57"/>
      <c r="Q25" s="57"/>
      <c r="R25" s="57"/>
      <c r="S25" s="57"/>
      <c r="T25" s="57"/>
      <c r="U25" s="57"/>
      <c r="V25" s="58">
        <f t="shared" si="0"/>
        <v>6493096.2300000004</v>
      </c>
      <c r="W25" s="57"/>
    </row>
    <row r="26" spans="1:23" x14ac:dyDescent="0.25">
      <c r="A26" s="48" t="s">
        <v>16</v>
      </c>
      <c r="B26" s="49">
        <v>8470530</v>
      </c>
      <c r="C26" s="50" t="s">
        <v>311</v>
      </c>
      <c r="D26" s="51">
        <v>432120</v>
      </c>
      <c r="E26" s="50" t="s">
        <v>332</v>
      </c>
      <c r="F26" s="50" t="s">
        <v>335</v>
      </c>
      <c r="G26" s="52">
        <v>8486059</v>
      </c>
      <c r="H26" s="59">
        <v>289954.45</v>
      </c>
      <c r="I26" s="64">
        <v>362281.05</v>
      </c>
      <c r="J26" s="63">
        <v>1280752.58</v>
      </c>
      <c r="K26" s="56">
        <v>6553070.9199999999</v>
      </c>
      <c r="L26" s="55"/>
      <c r="M26" s="54"/>
      <c r="N26" s="57"/>
      <c r="O26" s="57"/>
      <c r="P26" s="57"/>
      <c r="Q26" s="57"/>
      <c r="R26" s="57"/>
      <c r="S26" s="57"/>
      <c r="T26" s="57"/>
      <c r="U26" s="57"/>
      <c r="V26" s="58">
        <f t="shared" si="0"/>
        <v>6553070.9199999999</v>
      </c>
      <c r="W26" s="57"/>
    </row>
    <row r="27" spans="1:23" x14ac:dyDescent="0.25">
      <c r="A27" s="48" t="s">
        <v>16</v>
      </c>
      <c r="B27" s="49">
        <v>8470530</v>
      </c>
      <c r="C27" s="50" t="s">
        <v>311</v>
      </c>
      <c r="D27" s="51">
        <v>432120</v>
      </c>
      <c r="E27" s="50" t="s">
        <v>332</v>
      </c>
      <c r="F27" s="50" t="s">
        <v>336</v>
      </c>
      <c r="G27" s="52">
        <v>1164983</v>
      </c>
      <c r="H27" s="59">
        <v>123458.82</v>
      </c>
      <c r="I27" s="64">
        <v>11300</v>
      </c>
      <c r="J27" s="63">
        <v>60161.31</v>
      </c>
      <c r="K27" s="56">
        <v>970062.87</v>
      </c>
      <c r="L27" s="55"/>
      <c r="M27" s="54"/>
      <c r="N27" s="57"/>
      <c r="O27" s="57"/>
      <c r="P27" s="57"/>
      <c r="Q27" s="57"/>
      <c r="R27" s="57"/>
      <c r="S27" s="57"/>
      <c r="T27" s="57"/>
      <c r="U27" s="57"/>
      <c r="V27" s="58">
        <f t="shared" si="0"/>
        <v>970062.87</v>
      </c>
      <c r="W27" s="57"/>
    </row>
    <row r="28" spans="1:23" x14ac:dyDescent="0.25">
      <c r="A28" s="48" t="s">
        <v>16</v>
      </c>
      <c r="B28" s="49">
        <v>8470530</v>
      </c>
      <c r="C28" s="50" t="s">
        <v>311</v>
      </c>
      <c r="D28" s="51">
        <v>432170</v>
      </c>
      <c r="E28" s="50" t="s">
        <v>337</v>
      </c>
      <c r="F28" s="50" t="s">
        <v>338</v>
      </c>
      <c r="G28" s="52">
        <v>19200</v>
      </c>
      <c r="H28" s="59">
        <v>9142</v>
      </c>
      <c r="I28" s="64"/>
      <c r="J28" s="63"/>
      <c r="K28" s="56">
        <v>10058</v>
      </c>
      <c r="L28" s="55"/>
      <c r="M28" s="54"/>
      <c r="N28" s="57"/>
      <c r="O28" s="57"/>
      <c r="P28" s="57"/>
      <c r="Q28" s="57"/>
      <c r="R28" s="57"/>
      <c r="S28" s="57"/>
      <c r="T28" s="57"/>
      <c r="U28" s="57"/>
      <c r="V28" s="58">
        <f t="shared" si="0"/>
        <v>10058</v>
      </c>
      <c r="W28" s="57"/>
    </row>
    <row r="29" spans="1:23" x14ac:dyDescent="0.25">
      <c r="A29" s="48" t="s">
        <v>16</v>
      </c>
      <c r="B29" s="49">
        <v>8470530</v>
      </c>
      <c r="C29" s="50" t="s">
        <v>311</v>
      </c>
      <c r="D29" s="51">
        <v>432320</v>
      </c>
      <c r="E29" s="50" t="s">
        <v>339</v>
      </c>
      <c r="F29" s="50" t="s">
        <v>340</v>
      </c>
      <c r="G29" s="52">
        <v>3748</v>
      </c>
      <c r="H29" s="53"/>
      <c r="I29" s="64"/>
      <c r="J29" s="63"/>
      <c r="K29" s="56">
        <v>3748</v>
      </c>
      <c r="L29" s="55"/>
      <c r="M29" s="54"/>
      <c r="N29" s="57"/>
      <c r="O29" s="57"/>
      <c r="P29" s="57"/>
      <c r="Q29" s="57"/>
      <c r="R29" s="57"/>
      <c r="S29" s="57"/>
      <c r="T29" s="57"/>
      <c r="U29" s="57"/>
      <c r="V29" s="58">
        <f t="shared" si="0"/>
        <v>3748</v>
      </c>
      <c r="W29" s="57"/>
    </row>
    <row r="30" spans="1:23" x14ac:dyDescent="0.25">
      <c r="A30" s="48" t="s">
        <v>16</v>
      </c>
      <c r="B30" s="49">
        <v>8470530</v>
      </c>
      <c r="C30" s="50" t="s">
        <v>311</v>
      </c>
      <c r="D30" s="51">
        <v>432320</v>
      </c>
      <c r="E30" s="50" t="s">
        <v>339</v>
      </c>
      <c r="F30" s="50" t="s">
        <v>341</v>
      </c>
      <c r="G30" s="55"/>
      <c r="H30" s="59">
        <v>-9.0949470177292804E-13</v>
      </c>
      <c r="I30" s="64"/>
      <c r="J30" s="63"/>
      <c r="K30" s="56">
        <v>9.0949470177292804E-13</v>
      </c>
      <c r="L30" s="55"/>
      <c r="M30" s="54"/>
      <c r="N30" s="57"/>
      <c r="O30" s="57"/>
      <c r="P30" s="57"/>
      <c r="Q30" s="57"/>
      <c r="R30" s="57"/>
      <c r="S30" s="57"/>
      <c r="T30" s="57"/>
      <c r="U30" s="57"/>
      <c r="V30" s="58">
        <f t="shared" si="0"/>
        <v>9.0949470177292804E-13</v>
      </c>
      <c r="W30" s="57"/>
    </row>
    <row r="31" spans="1:23" x14ac:dyDescent="0.25">
      <c r="A31" s="48" t="s">
        <v>16</v>
      </c>
      <c r="B31" s="49">
        <v>8470530</v>
      </c>
      <c r="C31" s="50" t="s">
        <v>311</v>
      </c>
      <c r="D31" s="51">
        <v>432540</v>
      </c>
      <c r="E31" s="50" t="s">
        <v>342</v>
      </c>
      <c r="F31" s="50" t="s">
        <v>343</v>
      </c>
      <c r="G31" s="52">
        <v>10000</v>
      </c>
      <c r="H31" s="59">
        <v>10000</v>
      </c>
      <c r="I31" s="64"/>
      <c r="J31" s="63"/>
      <c r="K31" s="56">
        <v>0</v>
      </c>
      <c r="L31" s="55"/>
      <c r="M31" s="54"/>
      <c r="N31" s="57"/>
      <c r="O31" s="57"/>
      <c r="P31" s="57"/>
      <c r="Q31" s="57"/>
      <c r="R31" s="57"/>
      <c r="S31" s="57"/>
      <c r="T31" s="57"/>
      <c r="U31" s="57"/>
      <c r="V31" s="58">
        <f t="shared" si="0"/>
        <v>0</v>
      </c>
      <c r="W31" s="57"/>
    </row>
    <row r="32" spans="1:23" x14ac:dyDescent="0.25">
      <c r="A32" s="48" t="s">
        <v>16</v>
      </c>
      <c r="B32" s="49">
        <v>8470530</v>
      </c>
      <c r="C32" s="50" t="s">
        <v>311</v>
      </c>
      <c r="D32" s="51">
        <v>435410</v>
      </c>
      <c r="E32" s="50" t="s">
        <v>344</v>
      </c>
      <c r="F32" s="50" t="s">
        <v>345</v>
      </c>
      <c r="G32" s="52">
        <v>43914</v>
      </c>
      <c r="H32" s="53"/>
      <c r="I32" s="64">
        <v>0</v>
      </c>
      <c r="J32" s="63">
        <v>43913.55</v>
      </c>
      <c r="K32" s="56">
        <v>0.44999999999709001</v>
      </c>
      <c r="L32" s="55"/>
      <c r="M32" s="54"/>
      <c r="N32" s="57"/>
      <c r="O32" s="57"/>
      <c r="P32" s="57"/>
      <c r="Q32" s="57"/>
      <c r="R32" s="57"/>
      <c r="S32" s="57"/>
      <c r="T32" s="57"/>
      <c r="U32" s="57"/>
      <c r="V32" s="58">
        <f t="shared" si="0"/>
        <v>0.44999999999709001</v>
      </c>
      <c r="W32" s="57"/>
    </row>
    <row r="33" spans="1:23" x14ac:dyDescent="0.25">
      <c r="A33" s="48" t="s">
        <v>16</v>
      </c>
      <c r="B33" s="49">
        <v>8470540</v>
      </c>
      <c r="C33" s="50" t="s">
        <v>346</v>
      </c>
      <c r="D33" s="51">
        <v>421100</v>
      </c>
      <c r="E33" s="50" t="s">
        <v>347</v>
      </c>
      <c r="F33" s="50" t="s">
        <v>348</v>
      </c>
      <c r="G33" s="52">
        <v>26417</v>
      </c>
      <c r="H33" s="53"/>
      <c r="I33" s="64"/>
      <c r="J33" s="63"/>
      <c r="K33" s="56">
        <v>26417</v>
      </c>
      <c r="L33" s="55"/>
      <c r="M33" s="54"/>
      <c r="N33" s="57"/>
      <c r="O33" s="57"/>
      <c r="P33" s="57"/>
      <c r="Q33" s="57"/>
      <c r="R33" s="57"/>
      <c r="S33" s="57"/>
      <c r="T33" s="57"/>
      <c r="U33" s="57"/>
      <c r="V33" s="58">
        <f t="shared" si="0"/>
        <v>26417</v>
      </c>
      <c r="W33" s="57"/>
    </row>
    <row r="34" spans="1:23" x14ac:dyDescent="0.25">
      <c r="A34" s="48" t="s">
        <v>16</v>
      </c>
      <c r="B34" s="49">
        <v>8470540</v>
      </c>
      <c r="C34" s="50" t="s">
        <v>346</v>
      </c>
      <c r="D34" s="51">
        <v>426800</v>
      </c>
      <c r="E34" s="50" t="s">
        <v>349</v>
      </c>
      <c r="F34" s="50" t="s">
        <v>350</v>
      </c>
      <c r="G34" s="52">
        <v>848</v>
      </c>
      <c r="H34" s="53"/>
      <c r="I34" s="64"/>
      <c r="J34" s="63"/>
      <c r="K34" s="56">
        <v>848</v>
      </c>
      <c r="L34" s="55"/>
      <c r="M34" s="54"/>
      <c r="N34" s="57"/>
      <c r="O34" s="57"/>
      <c r="P34" s="57"/>
      <c r="Q34" s="57"/>
      <c r="R34" s="57"/>
      <c r="S34" s="57"/>
      <c r="T34" s="57"/>
      <c r="U34" s="57"/>
      <c r="V34" s="58">
        <f t="shared" si="0"/>
        <v>848</v>
      </c>
      <c r="W34" s="57"/>
    </row>
    <row r="35" spans="1:23" x14ac:dyDescent="0.25">
      <c r="A35" s="48" t="s">
        <v>16</v>
      </c>
      <c r="B35" s="49">
        <v>8470540</v>
      </c>
      <c r="C35" s="50" t="s">
        <v>346</v>
      </c>
      <c r="D35" s="51">
        <v>427710</v>
      </c>
      <c r="E35" s="50" t="s">
        <v>45</v>
      </c>
      <c r="F35" s="50" t="s">
        <v>351</v>
      </c>
      <c r="G35" s="52">
        <v>4000</v>
      </c>
      <c r="H35" s="53"/>
      <c r="I35" s="64"/>
      <c r="J35" s="63"/>
      <c r="K35" s="56">
        <v>4000</v>
      </c>
      <c r="L35" s="55"/>
      <c r="M35" s="54"/>
      <c r="N35" s="57"/>
      <c r="O35" s="57"/>
      <c r="P35" s="57"/>
      <c r="Q35" s="57"/>
      <c r="R35" s="57"/>
      <c r="S35" s="57"/>
      <c r="T35" s="57"/>
      <c r="U35" s="57"/>
      <c r="V35" s="58">
        <f t="shared" si="0"/>
        <v>4000</v>
      </c>
      <c r="W35" s="57"/>
    </row>
    <row r="36" spans="1:23" x14ac:dyDescent="0.25">
      <c r="A36" s="48" t="s">
        <v>16</v>
      </c>
      <c r="B36" s="49">
        <v>8470540</v>
      </c>
      <c r="C36" s="50" t="s">
        <v>346</v>
      </c>
      <c r="D36" s="51">
        <v>428111</v>
      </c>
      <c r="E36" s="50" t="s">
        <v>352</v>
      </c>
      <c r="F36" s="50" t="s">
        <v>353</v>
      </c>
      <c r="G36" s="52">
        <v>11609542</v>
      </c>
      <c r="H36" s="59">
        <v>1099803.3</v>
      </c>
      <c r="I36" s="64"/>
      <c r="J36" s="63"/>
      <c r="K36" s="56">
        <v>10509738.699999999</v>
      </c>
      <c r="L36" s="55"/>
      <c r="M36" s="54"/>
      <c r="N36" s="57"/>
      <c r="O36" s="57"/>
      <c r="P36" s="57"/>
      <c r="Q36" s="57"/>
      <c r="R36" s="57"/>
      <c r="S36" s="57"/>
      <c r="T36" s="57"/>
      <c r="U36" s="57"/>
      <c r="V36" s="58">
        <f t="shared" si="0"/>
        <v>10509738.699999999</v>
      </c>
      <c r="W36" s="57"/>
    </row>
    <row r="37" spans="1:23" x14ac:dyDescent="0.25">
      <c r="A37" s="48" t="s">
        <v>16</v>
      </c>
      <c r="B37" s="49">
        <v>8470540</v>
      </c>
      <c r="C37" s="50" t="s">
        <v>346</v>
      </c>
      <c r="D37" s="51">
        <v>428111</v>
      </c>
      <c r="E37" s="50" t="s">
        <v>352</v>
      </c>
      <c r="F37" s="50" t="s">
        <v>354</v>
      </c>
      <c r="G37" s="52">
        <v>4835641</v>
      </c>
      <c r="H37" s="59">
        <v>608430.43000000005</v>
      </c>
      <c r="I37" s="64"/>
      <c r="J37" s="63"/>
      <c r="K37" s="56">
        <v>4227210.57</v>
      </c>
      <c r="L37" s="55"/>
      <c r="M37" s="54"/>
      <c r="N37" s="57"/>
      <c r="O37" s="57"/>
      <c r="P37" s="57"/>
      <c r="Q37" s="57"/>
      <c r="R37" s="57"/>
      <c r="S37" s="57"/>
      <c r="T37" s="57"/>
      <c r="U37" s="57"/>
      <c r="V37" s="58">
        <f t="shared" si="0"/>
        <v>4227210.57</v>
      </c>
      <c r="W37" s="57"/>
    </row>
    <row r="38" spans="1:23" x14ac:dyDescent="0.25">
      <c r="A38" s="48" t="s">
        <v>16</v>
      </c>
      <c r="B38" s="49">
        <v>8470540</v>
      </c>
      <c r="C38" s="50" t="s">
        <v>346</v>
      </c>
      <c r="D38" s="51">
        <v>428111</v>
      </c>
      <c r="E38" s="50" t="s">
        <v>352</v>
      </c>
      <c r="F38" s="50" t="s">
        <v>355</v>
      </c>
      <c r="G38" s="52">
        <v>5255311</v>
      </c>
      <c r="H38" s="59">
        <v>572161.4</v>
      </c>
      <c r="I38" s="64"/>
      <c r="J38" s="63"/>
      <c r="K38" s="56">
        <v>4683149.5999999996</v>
      </c>
      <c r="L38" s="55"/>
      <c r="M38" s="54"/>
      <c r="N38" s="57"/>
      <c r="O38" s="57"/>
      <c r="P38" s="57"/>
      <c r="Q38" s="57"/>
      <c r="R38" s="57"/>
      <c r="S38" s="57"/>
      <c r="T38" s="57"/>
      <c r="U38" s="57"/>
      <c r="V38" s="58">
        <f t="shared" si="0"/>
        <v>4683149.5999999996</v>
      </c>
      <c r="W38" s="57"/>
    </row>
    <row r="39" spans="1:23" x14ac:dyDescent="0.25">
      <c r="A39" s="48" t="s">
        <v>16</v>
      </c>
      <c r="B39" s="49">
        <v>8470540</v>
      </c>
      <c r="C39" s="50" t="s">
        <v>346</v>
      </c>
      <c r="D39" s="51">
        <v>428112</v>
      </c>
      <c r="E39" s="50" t="s">
        <v>356</v>
      </c>
      <c r="F39" s="50" t="s">
        <v>357</v>
      </c>
      <c r="G39" s="52">
        <v>1687672</v>
      </c>
      <c r="H39" s="59">
        <v>153166.48000000001</v>
      </c>
      <c r="I39" s="64"/>
      <c r="J39" s="63"/>
      <c r="K39" s="56">
        <v>1534505.52</v>
      </c>
      <c r="L39" s="55"/>
      <c r="M39" s="54"/>
      <c r="N39" s="57"/>
      <c r="O39" s="57"/>
      <c r="P39" s="57"/>
      <c r="Q39" s="57"/>
      <c r="R39" s="57"/>
      <c r="S39" s="57"/>
      <c r="T39" s="57"/>
      <c r="U39" s="57"/>
      <c r="V39" s="58">
        <f t="shared" si="0"/>
        <v>1534505.52</v>
      </c>
      <c r="W39" s="57"/>
    </row>
    <row r="40" spans="1:23" x14ac:dyDescent="0.25">
      <c r="A40" s="48" t="s">
        <v>16</v>
      </c>
      <c r="B40" s="49">
        <v>8470540</v>
      </c>
      <c r="C40" s="50" t="s">
        <v>346</v>
      </c>
      <c r="D40" s="51">
        <v>428112</v>
      </c>
      <c r="E40" s="50" t="s">
        <v>356</v>
      </c>
      <c r="F40" s="50" t="s">
        <v>358</v>
      </c>
      <c r="G40" s="52">
        <v>1479473</v>
      </c>
      <c r="H40" s="59">
        <v>196434.49</v>
      </c>
      <c r="I40" s="64"/>
      <c r="J40" s="63"/>
      <c r="K40" s="56">
        <v>1283038.51</v>
      </c>
      <c r="L40" s="55"/>
      <c r="M40" s="54"/>
      <c r="N40" s="57"/>
      <c r="O40" s="57"/>
      <c r="P40" s="57"/>
      <c r="Q40" s="57"/>
      <c r="R40" s="57"/>
      <c r="S40" s="57"/>
      <c r="T40" s="57"/>
      <c r="U40" s="57"/>
      <c r="V40" s="58">
        <f t="shared" si="0"/>
        <v>1283038.51</v>
      </c>
      <c r="W40" s="57"/>
    </row>
    <row r="41" spans="1:23" x14ac:dyDescent="0.25">
      <c r="A41" s="48" t="s">
        <v>16</v>
      </c>
      <c r="B41" s="49">
        <v>8470540</v>
      </c>
      <c r="C41" s="50" t="s">
        <v>346</v>
      </c>
      <c r="D41" s="51">
        <v>428112</v>
      </c>
      <c r="E41" s="50" t="s">
        <v>356</v>
      </c>
      <c r="F41" s="50" t="s">
        <v>359</v>
      </c>
      <c r="G41" s="52">
        <v>1523249</v>
      </c>
      <c r="H41" s="59">
        <v>186662.55</v>
      </c>
      <c r="I41" s="64"/>
      <c r="J41" s="63"/>
      <c r="K41" s="56">
        <v>1336586.45</v>
      </c>
      <c r="L41" s="55"/>
      <c r="M41" s="54"/>
      <c r="N41" s="57"/>
      <c r="O41" s="57"/>
      <c r="P41" s="57"/>
      <c r="Q41" s="57"/>
      <c r="R41" s="57"/>
      <c r="S41" s="57"/>
      <c r="T41" s="57"/>
      <c r="U41" s="57"/>
      <c r="V41" s="58">
        <f t="shared" si="0"/>
        <v>1336586.45</v>
      </c>
      <c r="W41" s="57"/>
    </row>
    <row r="42" spans="1:23" x14ac:dyDescent="0.25">
      <c r="A42" s="48" t="s">
        <v>16</v>
      </c>
      <c r="B42" s="49">
        <v>8470540</v>
      </c>
      <c r="C42" s="50" t="s">
        <v>346</v>
      </c>
      <c r="D42" s="51">
        <v>430330</v>
      </c>
      <c r="E42" s="50" t="s">
        <v>360</v>
      </c>
      <c r="F42" s="50" t="s">
        <v>361</v>
      </c>
      <c r="G42" s="52">
        <v>989463</v>
      </c>
      <c r="H42" s="59">
        <v>10730</v>
      </c>
      <c r="I42" s="64">
        <v>384152</v>
      </c>
      <c r="J42" s="63">
        <v>10730</v>
      </c>
      <c r="K42" s="56">
        <v>583851</v>
      </c>
      <c r="L42" s="55"/>
      <c r="M42" s="54"/>
      <c r="N42" s="57"/>
      <c r="O42" s="57"/>
      <c r="P42" s="57"/>
      <c r="Q42" s="57"/>
      <c r="R42" s="57"/>
      <c r="S42" s="57"/>
      <c r="T42" s="57"/>
      <c r="U42" s="57"/>
      <c r="V42" s="58">
        <f t="shared" si="0"/>
        <v>583851</v>
      </c>
      <c r="W42" s="57"/>
    </row>
    <row r="43" spans="1:23" x14ac:dyDescent="0.25">
      <c r="A43" s="48" t="s">
        <v>16</v>
      </c>
      <c r="B43" s="49">
        <v>8470540</v>
      </c>
      <c r="C43" s="50" t="s">
        <v>346</v>
      </c>
      <c r="D43" s="51">
        <v>432540</v>
      </c>
      <c r="E43" s="50" t="s">
        <v>342</v>
      </c>
      <c r="F43" s="50" t="s">
        <v>362</v>
      </c>
      <c r="G43" s="52">
        <v>79602</v>
      </c>
      <c r="H43" s="53"/>
      <c r="I43" s="64"/>
      <c r="J43" s="63"/>
      <c r="K43" s="56">
        <v>79602</v>
      </c>
      <c r="L43" s="55"/>
      <c r="M43" s="54"/>
      <c r="N43" s="57"/>
      <c r="O43" s="57"/>
      <c r="P43" s="57"/>
      <c r="Q43" s="57"/>
      <c r="R43" s="57"/>
      <c r="S43" s="57"/>
      <c r="T43" s="57"/>
      <c r="U43" s="57"/>
      <c r="V43" s="58">
        <f t="shared" si="0"/>
        <v>79602</v>
      </c>
      <c r="W43" s="57"/>
    </row>
    <row r="44" spans="1:23" x14ac:dyDescent="0.25">
      <c r="A44" s="48" t="s">
        <v>16</v>
      </c>
      <c r="B44" s="49">
        <v>8470540</v>
      </c>
      <c r="C44" s="50" t="s">
        <v>346</v>
      </c>
      <c r="D44" s="51">
        <v>435410</v>
      </c>
      <c r="E44" s="50" t="s">
        <v>344</v>
      </c>
      <c r="F44" s="50" t="s">
        <v>363</v>
      </c>
      <c r="G44" s="52">
        <v>597472</v>
      </c>
      <c r="H44" s="59">
        <v>19573.580000000002</v>
      </c>
      <c r="I44" s="64">
        <v>-11386.08</v>
      </c>
      <c r="J44" s="63">
        <v>11386.08</v>
      </c>
      <c r="K44" s="56">
        <v>577898.42000000004</v>
      </c>
      <c r="L44" s="55"/>
      <c r="M44" s="54"/>
      <c r="N44" s="57"/>
      <c r="O44" s="57"/>
      <c r="P44" s="57"/>
      <c r="Q44" s="57"/>
      <c r="R44" s="57"/>
      <c r="S44" s="57"/>
      <c r="T44" s="57"/>
      <c r="U44" s="57"/>
      <c r="V44" s="58">
        <f t="shared" si="0"/>
        <v>577898.42000000004</v>
      </c>
      <c r="W44" s="57"/>
    </row>
    <row r="45" spans="1:23" x14ac:dyDescent="0.25">
      <c r="A45" s="48" t="s">
        <v>16</v>
      </c>
      <c r="B45" s="49">
        <v>8470540</v>
      </c>
      <c r="C45" s="50" t="s">
        <v>346</v>
      </c>
      <c r="D45" s="51">
        <v>435740</v>
      </c>
      <c r="E45" s="50" t="s">
        <v>364</v>
      </c>
      <c r="F45" s="50" t="s">
        <v>365</v>
      </c>
      <c r="G45" s="52">
        <v>252000</v>
      </c>
      <c r="H45" s="53"/>
      <c r="I45" s="64"/>
      <c r="J45" s="63"/>
      <c r="K45" s="56">
        <v>252000</v>
      </c>
      <c r="L45" s="55"/>
      <c r="M45" s="54"/>
      <c r="N45" s="57"/>
      <c r="O45" s="57"/>
      <c r="P45" s="57"/>
      <c r="Q45" s="57"/>
      <c r="R45" s="57"/>
      <c r="S45" s="57"/>
      <c r="T45" s="57"/>
      <c r="U45" s="57"/>
      <c r="V45" s="58">
        <f t="shared" si="0"/>
        <v>252000</v>
      </c>
      <c r="W45" s="57"/>
    </row>
    <row r="46" spans="1:23" x14ac:dyDescent="0.25">
      <c r="A46" s="48" t="s">
        <v>16</v>
      </c>
      <c r="B46" s="49">
        <v>8470540</v>
      </c>
      <c r="C46" s="50" t="s">
        <v>346</v>
      </c>
      <c r="D46" s="51">
        <v>436110</v>
      </c>
      <c r="E46" s="50" t="s">
        <v>158</v>
      </c>
      <c r="F46" s="50" t="s">
        <v>366</v>
      </c>
      <c r="G46" s="52">
        <v>53134</v>
      </c>
      <c r="H46" s="59">
        <v>11100</v>
      </c>
      <c r="I46" s="64"/>
      <c r="J46" s="63"/>
      <c r="K46" s="56">
        <v>42034</v>
      </c>
      <c r="L46" s="55"/>
      <c r="M46" s="54"/>
      <c r="N46" s="57"/>
      <c r="O46" s="57"/>
      <c r="P46" s="57"/>
      <c r="Q46" s="57"/>
      <c r="R46" s="57"/>
      <c r="S46" s="57"/>
      <c r="T46" s="57"/>
      <c r="U46" s="57"/>
      <c r="V46" s="58">
        <f t="shared" si="0"/>
        <v>42034</v>
      </c>
      <c r="W46" s="57"/>
    </row>
    <row r="47" spans="1:23" x14ac:dyDescent="0.25">
      <c r="A47" s="48" t="s">
        <v>561</v>
      </c>
      <c r="B47" s="49">
        <v>8470530</v>
      </c>
      <c r="C47" s="50" t="s">
        <v>311</v>
      </c>
      <c r="D47" s="51">
        <v>492200</v>
      </c>
      <c r="E47" s="50" t="s">
        <v>580</v>
      </c>
      <c r="F47" s="50" t="s">
        <v>581</v>
      </c>
      <c r="G47" s="52">
        <v>1624208</v>
      </c>
      <c r="H47" s="53"/>
      <c r="I47" s="64"/>
      <c r="J47" s="63"/>
      <c r="K47" s="56">
        <v>1624208</v>
      </c>
      <c r="L47" s="55"/>
      <c r="M47" s="54"/>
      <c r="N47" s="57"/>
      <c r="O47" s="57"/>
      <c r="P47" s="57"/>
      <c r="Q47" s="57"/>
      <c r="R47" s="57"/>
      <c r="S47" s="57"/>
      <c r="T47" s="57"/>
      <c r="U47" s="57"/>
      <c r="V47" s="58">
        <f t="shared" si="0"/>
        <v>1624208</v>
      </c>
      <c r="W47" s="57"/>
    </row>
    <row r="48" spans="1:23" x14ac:dyDescent="0.25">
      <c r="A48" s="48" t="s">
        <v>561</v>
      </c>
      <c r="B48" s="49">
        <v>8470530</v>
      </c>
      <c r="C48" s="50" t="s">
        <v>311</v>
      </c>
      <c r="D48" s="51">
        <v>492200</v>
      </c>
      <c r="E48" s="50" t="s">
        <v>580</v>
      </c>
      <c r="F48" s="50" t="s">
        <v>582</v>
      </c>
      <c r="G48" s="52">
        <v>29208099</v>
      </c>
      <c r="H48" s="59">
        <v>989346.6</v>
      </c>
      <c r="I48" s="64">
        <v>6150000</v>
      </c>
      <c r="J48" s="63">
        <v>0</v>
      </c>
      <c r="K48" s="56">
        <v>22068752.399999999</v>
      </c>
      <c r="L48" s="55"/>
      <c r="M48" s="54"/>
      <c r="N48" s="57"/>
      <c r="O48" s="57"/>
      <c r="P48" s="57"/>
      <c r="Q48" s="57"/>
      <c r="R48" s="57"/>
      <c r="S48" s="57"/>
      <c r="T48" s="57"/>
      <c r="U48" s="57"/>
      <c r="V48" s="58">
        <f t="shared" si="0"/>
        <v>22068752.399999999</v>
      </c>
      <c r="W48" s="57"/>
    </row>
    <row r="49" spans="1:23" x14ac:dyDescent="0.25">
      <c r="A49" s="48" t="s">
        <v>561</v>
      </c>
      <c r="B49" s="49">
        <v>8470530</v>
      </c>
      <c r="C49" s="50" t="s">
        <v>311</v>
      </c>
      <c r="D49" s="51">
        <v>492200</v>
      </c>
      <c r="E49" s="50" t="s">
        <v>580</v>
      </c>
      <c r="F49" s="50" t="s">
        <v>583</v>
      </c>
      <c r="G49" s="52">
        <v>21619046</v>
      </c>
      <c r="H49" s="59">
        <v>149865.25</v>
      </c>
      <c r="I49" s="64">
        <v>4779350</v>
      </c>
      <c r="J49" s="63">
        <v>0</v>
      </c>
      <c r="K49" s="56">
        <v>16689830.75</v>
      </c>
      <c r="L49" s="55"/>
      <c r="M49" s="54"/>
      <c r="N49" s="57"/>
      <c r="O49" s="57"/>
      <c r="P49" s="57"/>
      <c r="Q49" s="57"/>
      <c r="R49" s="57"/>
      <c r="S49" s="57"/>
      <c r="T49" s="57"/>
      <c r="U49" s="57"/>
      <c r="V49" s="58">
        <f t="shared" si="0"/>
        <v>16689830.75</v>
      </c>
      <c r="W49" s="57"/>
    </row>
    <row r="50" spans="1:23" x14ac:dyDescent="0.25">
      <c r="A50" s="48" t="s">
        <v>561</v>
      </c>
      <c r="B50" s="49">
        <v>8470530</v>
      </c>
      <c r="C50" s="50" t="s">
        <v>311</v>
      </c>
      <c r="D50" s="51">
        <v>492610</v>
      </c>
      <c r="E50" s="50" t="s">
        <v>584</v>
      </c>
      <c r="F50" s="50" t="s">
        <v>585</v>
      </c>
      <c r="G50" s="52">
        <v>1000000</v>
      </c>
      <c r="H50" s="53"/>
      <c r="I50" s="64"/>
      <c r="J50" s="63"/>
      <c r="K50" s="56">
        <v>1000000</v>
      </c>
      <c r="L50" s="55"/>
      <c r="M50" s="54"/>
      <c r="N50" s="57"/>
      <c r="O50" s="57"/>
      <c r="P50" s="57"/>
      <c r="Q50" s="57"/>
      <c r="R50" s="57"/>
      <c r="S50" s="57"/>
      <c r="T50" s="57"/>
      <c r="U50" s="57"/>
      <c r="V50" s="58">
        <f t="shared" si="0"/>
        <v>1000000</v>
      </c>
      <c r="W50" s="57"/>
    </row>
    <row r="51" spans="1:23" x14ac:dyDescent="0.25">
      <c r="A51" s="48" t="s">
        <v>561</v>
      </c>
      <c r="B51" s="49">
        <v>8470530</v>
      </c>
      <c r="C51" s="50" t="s">
        <v>311</v>
      </c>
      <c r="D51" s="51">
        <v>492610</v>
      </c>
      <c r="E51" s="50" t="s">
        <v>584</v>
      </c>
      <c r="F51" s="50" t="s">
        <v>586</v>
      </c>
      <c r="G51" s="52">
        <v>289920</v>
      </c>
      <c r="H51" s="53"/>
      <c r="I51" s="64">
        <v>289920</v>
      </c>
      <c r="J51" s="63"/>
      <c r="K51" s="56">
        <v>0</v>
      </c>
      <c r="L51" s="55"/>
      <c r="M51" s="54"/>
      <c r="N51" s="57"/>
      <c r="O51" s="57"/>
      <c r="P51" s="57"/>
      <c r="Q51" s="57"/>
      <c r="R51" s="57"/>
      <c r="S51" s="57"/>
      <c r="T51" s="57"/>
      <c r="U51" s="57"/>
      <c r="V51" s="58">
        <f t="shared" si="0"/>
        <v>0</v>
      </c>
      <c r="W51" s="57"/>
    </row>
    <row r="52" spans="1:23" x14ac:dyDescent="0.25">
      <c r="A52" s="48" t="s">
        <v>561</v>
      </c>
      <c r="B52" s="49">
        <v>8470530</v>
      </c>
      <c r="C52" s="50" t="s">
        <v>311</v>
      </c>
      <c r="D52" s="51">
        <v>492610</v>
      </c>
      <c r="E52" s="50" t="s">
        <v>584</v>
      </c>
      <c r="F52" s="50" t="s">
        <v>587</v>
      </c>
      <c r="G52" s="52">
        <v>31488</v>
      </c>
      <c r="H52" s="53"/>
      <c r="I52" s="64"/>
      <c r="J52" s="63"/>
      <c r="K52" s="56">
        <v>31488</v>
      </c>
      <c r="L52" s="55"/>
      <c r="M52" s="54"/>
      <c r="N52" s="57"/>
      <c r="O52" s="57"/>
      <c r="P52" s="57"/>
      <c r="Q52" s="57"/>
      <c r="R52" s="57"/>
      <c r="S52" s="57"/>
      <c r="T52" s="57"/>
      <c r="U52" s="57"/>
      <c r="V52" s="58">
        <f t="shared" si="0"/>
        <v>31488</v>
      </c>
      <c r="W52" s="57"/>
    </row>
    <row r="53" spans="1:23" x14ac:dyDescent="0.25">
      <c r="A53" s="48" t="s">
        <v>561</v>
      </c>
      <c r="B53" s="49">
        <v>8470530</v>
      </c>
      <c r="C53" s="50" t="s">
        <v>311</v>
      </c>
      <c r="D53" s="51">
        <v>492610</v>
      </c>
      <c r="E53" s="50" t="s">
        <v>584</v>
      </c>
      <c r="F53" s="50" t="s">
        <v>588</v>
      </c>
      <c r="G53" s="52">
        <v>5000000</v>
      </c>
      <c r="H53" s="53"/>
      <c r="I53" s="64"/>
      <c r="J53" s="63"/>
      <c r="K53" s="56">
        <v>5000000</v>
      </c>
      <c r="L53" s="55"/>
      <c r="M53" s="54"/>
      <c r="N53" s="57"/>
      <c r="O53" s="57"/>
      <c r="P53" s="57"/>
      <c r="Q53" s="57"/>
      <c r="R53" s="57"/>
      <c r="S53" s="57"/>
      <c r="T53" s="57"/>
      <c r="U53" s="57"/>
      <c r="V53" s="58">
        <f t="shared" si="0"/>
        <v>5000000</v>
      </c>
      <c r="W53" s="57"/>
    </row>
    <row r="54" spans="1:23" x14ac:dyDescent="0.25">
      <c r="A54" s="48" t="s">
        <v>561</v>
      </c>
      <c r="B54" s="49">
        <v>8470530</v>
      </c>
      <c r="C54" s="50" t="s">
        <v>311</v>
      </c>
      <c r="D54" s="51">
        <v>492610</v>
      </c>
      <c r="E54" s="50" t="s">
        <v>584</v>
      </c>
      <c r="F54" s="50" t="s">
        <v>589</v>
      </c>
      <c r="G54" s="52">
        <v>41141</v>
      </c>
      <c r="H54" s="53"/>
      <c r="I54" s="64"/>
      <c r="J54" s="63"/>
      <c r="K54" s="56">
        <v>41141</v>
      </c>
      <c r="L54" s="55"/>
      <c r="M54" s="54"/>
      <c r="N54" s="57"/>
      <c r="O54" s="57"/>
      <c r="P54" s="57"/>
      <c r="Q54" s="57"/>
      <c r="R54" s="57"/>
      <c r="S54" s="57"/>
      <c r="T54" s="57"/>
      <c r="U54" s="57"/>
      <c r="V54" s="58">
        <f t="shared" si="0"/>
        <v>41141</v>
      </c>
      <c r="W54" s="57"/>
    </row>
    <row r="55" spans="1:23" x14ac:dyDescent="0.25">
      <c r="G55" s="71"/>
    </row>
  </sheetData>
  <conditionalFormatting sqref="A3">
    <cfRule type="expression" dxfId="41" priority="8" stopIfTrue="1">
      <formula>MOD(ROW(),2)=0</formula>
    </cfRule>
  </conditionalFormatting>
  <conditionalFormatting sqref="A5:W54 V4">
    <cfRule type="expression" dxfId="40" priority="7" stopIfTrue="1">
      <formula>MOD(ROW(),2)=0</formula>
    </cfRule>
  </conditionalFormatting>
  <conditionalFormatting sqref="F4:U4 W4">
    <cfRule type="expression" dxfId="39" priority="6" stopIfTrue="1">
      <formula>MOD(ROW(),2)=0</formula>
    </cfRule>
  </conditionalFormatting>
  <conditionalFormatting sqref="A4">
    <cfRule type="expression" dxfId="38" priority="5" stopIfTrue="1">
      <formula>MOD(ROW(),2)=0</formula>
    </cfRule>
  </conditionalFormatting>
  <conditionalFormatting sqref="B4">
    <cfRule type="expression" dxfId="37" priority="4" stopIfTrue="1">
      <formula>MOD(ROW(),2)=0</formula>
    </cfRule>
  </conditionalFormatting>
  <conditionalFormatting sqref="C4">
    <cfRule type="expression" dxfId="36" priority="3" stopIfTrue="1">
      <formula>MOD(ROW(),2)=0</formula>
    </cfRule>
  </conditionalFormatting>
  <conditionalFormatting sqref="D4">
    <cfRule type="expression" dxfId="35" priority="2" stopIfTrue="1">
      <formula>MOD(ROW(),2)=0</formula>
    </cfRule>
  </conditionalFormatting>
  <conditionalFormatting sqref="E4">
    <cfRule type="expression" dxfId="34" priority="1" stopIfTrue="1">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topLeftCell="B1" workbookViewId="0">
      <selection activeCell="G15" sqref="G15"/>
    </sheetView>
  </sheetViews>
  <sheetFormatPr defaultRowHeight="15" x14ac:dyDescent="0.25"/>
  <cols>
    <col min="1" max="1" width="20.85546875" customWidth="1"/>
    <col min="2" max="2" width="16.42578125" bestFit="1" customWidth="1"/>
    <col min="3" max="3" width="28.28515625" bestFit="1" customWidth="1"/>
    <col min="4" max="4" width="13.28515625" bestFit="1" customWidth="1"/>
    <col min="5" max="5" width="36.85546875" customWidth="1"/>
    <col min="6" max="6" width="39.5703125" bestFit="1" customWidth="1"/>
    <col min="7" max="7" width="8.85546875" bestFit="1" customWidth="1"/>
    <col min="8" max="8" width="14.28515625" bestFit="1" customWidth="1"/>
    <col min="9" max="9" width="8.5703125" bestFit="1" customWidth="1"/>
    <col min="10" max="10" width="7.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8470720</v>
      </c>
      <c r="C4" s="50" t="s">
        <v>384</v>
      </c>
      <c r="D4" s="51">
        <v>421000</v>
      </c>
      <c r="E4" s="50" t="s">
        <v>34</v>
      </c>
      <c r="F4" s="50" t="s">
        <v>385</v>
      </c>
      <c r="G4" s="52">
        <v>300000</v>
      </c>
      <c r="H4" s="53"/>
      <c r="I4" s="67">
        <v>300000</v>
      </c>
      <c r="J4" s="65"/>
      <c r="K4" s="56">
        <v>0</v>
      </c>
      <c r="L4" s="55"/>
      <c r="M4" s="54"/>
      <c r="N4" s="57"/>
      <c r="O4" s="57"/>
      <c r="P4" s="57"/>
      <c r="Q4" s="57"/>
      <c r="R4" s="57"/>
      <c r="S4" s="57"/>
      <c r="T4" s="57"/>
      <c r="U4" s="57"/>
      <c r="V4" s="58">
        <f>K4-(SUM(L4:T4))</f>
        <v>0</v>
      </c>
      <c r="W4" s="57"/>
    </row>
    <row r="5" spans="1:23" x14ac:dyDescent="0.25">
      <c r="A5" s="48" t="s">
        <v>16</v>
      </c>
      <c r="B5" s="49">
        <v>8470720</v>
      </c>
      <c r="C5" s="50" t="s">
        <v>384</v>
      </c>
      <c r="D5" s="51">
        <v>421700</v>
      </c>
      <c r="E5" s="50" t="s">
        <v>36</v>
      </c>
      <c r="F5" s="50" t="s">
        <v>386</v>
      </c>
      <c r="G5" s="52">
        <v>10000</v>
      </c>
      <c r="H5" s="53"/>
      <c r="I5" s="67"/>
      <c r="J5" s="65"/>
      <c r="K5" s="56">
        <v>10000</v>
      </c>
      <c r="L5" s="55"/>
      <c r="M5" s="54"/>
      <c r="N5" s="57"/>
      <c r="O5" s="57"/>
      <c r="P5" s="57"/>
      <c r="Q5" s="57"/>
      <c r="R5" s="57"/>
      <c r="S5" s="57"/>
      <c r="T5" s="57"/>
      <c r="U5" s="57"/>
      <c r="V5" s="58">
        <f t="shared" ref="V5:V15" si="0">K5-(SUM(L5:T5))</f>
        <v>10000</v>
      </c>
      <c r="W5" s="57"/>
    </row>
    <row r="6" spans="1:23" x14ac:dyDescent="0.25">
      <c r="A6" s="48" t="s">
        <v>16</v>
      </c>
      <c r="B6" s="49">
        <v>8470720</v>
      </c>
      <c r="C6" s="50" t="s">
        <v>384</v>
      </c>
      <c r="D6" s="51">
        <v>422900</v>
      </c>
      <c r="E6" s="50" t="s">
        <v>376</v>
      </c>
      <c r="F6" s="50" t="s">
        <v>387</v>
      </c>
      <c r="G6" s="52">
        <v>0</v>
      </c>
      <c r="H6" s="53"/>
      <c r="I6" s="67"/>
      <c r="J6" s="65"/>
      <c r="K6" s="56">
        <v>0</v>
      </c>
      <c r="L6" s="55"/>
      <c r="M6" s="54"/>
      <c r="N6" s="57"/>
      <c r="O6" s="57"/>
      <c r="P6" s="57"/>
      <c r="Q6" s="57"/>
      <c r="R6" s="57"/>
      <c r="S6" s="57"/>
      <c r="T6" s="57"/>
      <c r="U6" s="57"/>
      <c r="V6" s="58">
        <f t="shared" si="0"/>
        <v>0</v>
      </c>
      <c r="W6" s="57"/>
    </row>
    <row r="7" spans="1:23" x14ac:dyDescent="0.25">
      <c r="A7" s="48" t="s">
        <v>16</v>
      </c>
      <c r="B7" s="49">
        <v>8470720</v>
      </c>
      <c r="C7" s="50" t="s">
        <v>384</v>
      </c>
      <c r="D7" s="51">
        <v>425900</v>
      </c>
      <c r="E7" s="50" t="s">
        <v>24</v>
      </c>
      <c r="F7" s="50" t="s">
        <v>388</v>
      </c>
      <c r="G7" s="52">
        <v>20000</v>
      </c>
      <c r="H7" s="59">
        <v>13125</v>
      </c>
      <c r="I7" s="67"/>
      <c r="J7" s="65"/>
      <c r="K7" s="56">
        <v>6875</v>
      </c>
      <c r="L7" s="55"/>
      <c r="M7" s="54"/>
      <c r="N7" s="57"/>
      <c r="O7" s="57"/>
      <c r="P7" s="57"/>
      <c r="Q7" s="57"/>
      <c r="R7" s="57"/>
      <c r="S7" s="57"/>
      <c r="T7" s="57"/>
      <c r="U7" s="57"/>
      <c r="V7" s="58">
        <f t="shared" si="0"/>
        <v>6875</v>
      </c>
      <c r="W7" s="57"/>
    </row>
    <row r="8" spans="1:23" x14ac:dyDescent="0.25">
      <c r="A8" s="48" t="s">
        <v>16</v>
      </c>
      <c r="B8" s="49">
        <v>8470720</v>
      </c>
      <c r="C8" s="50" t="s">
        <v>384</v>
      </c>
      <c r="D8" s="51">
        <v>426610</v>
      </c>
      <c r="E8" s="50" t="s">
        <v>39</v>
      </c>
      <c r="F8" s="50" t="s">
        <v>389</v>
      </c>
      <c r="G8" s="52">
        <v>5000</v>
      </c>
      <c r="H8" s="53"/>
      <c r="I8" s="67"/>
      <c r="J8" s="65"/>
      <c r="K8" s="56">
        <v>5000</v>
      </c>
      <c r="L8" s="55"/>
      <c r="M8" s="54"/>
      <c r="N8" s="57"/>
      <c r="O8" s="57"/>
      <c r="P8" s="57"/>
      <c r="Q8" s="57"/>
      <c r="R8" s="57"/>
      <c r="S8" s="57"/>
      <c r="T8" s="57"/>
      <c r="U8" s="57"/>
      <c r="V8" s="58">
        <f t="shared" si="0"/>
        <v>5000</v>
      </c>
      <c r="W8" s="57"/>
    </row>
    <row r="9" spans="1:23" x14ac:dyDescent="0.25">
      <c r="A9" s="48" t="s">
        <v>16</v>
      </c>
      <c r="B9" s="49">
        <v>8470720</v>
      </c>
      <c r="C9" s="50" t="s">
        <v>384</v>
      </c>
      <c r="D9" s="51">
        <v>426900</v>
      </c>
      <c r="E9" s="50" t="s">
        <v>328</v>
      </c>
      <c r="F9" s="50" t="s">
        <v>390</v>
      </c>
      <c r="G9" s="52">
        <v>10000</v>
      </c>
      <c r="H9" s="59">
        <v>1855.53</v>
      </c>
      <c r="I9" s="67"/>
      <c r="J9" s="65"/>
      <c r="K9" s="56">
        <v>8160.47</v>
      </c>
      <c r="L9" s="55"/>
      <c r="M9" s="54"/>
      <c r="N9" s="57"/>
      <c r="O9" s="57"/>
      <c r="P9" s="57"/>
      <c r="Q9" s="57"/>
      <c r="R9" s="57"/>
      <c r="S9" s="57"/>
      <c r="T9" s="57"/>
      <c r="U9" s="57"/>
      <c r="V9" s="58">
        <f t="shared" si="0"/>
        <v>8160.47</v>
      </c>
      <c r="W9" s="57"/>
    </row>
    <row r="10" spans="1:23" x14ac:dyDescent="0.25">
      <c r="A10" s="48" t="s">
        <v>16</v>
      </c>
      <c r="B10" s="49">
        <v>8470720</v>
      </c>
      <c r="C10" s="50" t="s">
        <v>384</v>
      </c>
      <c r="D10" s="51">
        <v>428090</v>
      </c>
      <c r="E10" s="50" t="s">
        <v>26</v>
      </c>
      <c r="F10" s="50" t="s">
        <v>391</v>
      </c>
      <c r="G10" s="52">
        <v>100000</v>
      </c>
      <c r="H10" s="53"/>
      <c r="I10" s="67"/>
      <c r="J10" s="65"/>
      <c r="K10" s="56">
        <v>100000</v>
      </c>
      <c r="L10" s="55"/>
      <c r="M10" s="54"/>
      <c r="N10" s="57"/>
      <c r="O10" s="57"/>
      <c r="P10" s="57"/>
      <c r="Q10" s="57"/>
      <c r="R10" s="57"/>
      <c r="S10" s="57"/>
      <c r="T10" s="57"/>
      <c r="U10" s="57"/>
      <c r="V10" s="58">
        <f t="shared" si="0"/>
        <v>100000</v>
      </c>
      <c r="W10" s="57"/>
    </row>
    <row r="11" spans="1:23" x14ac:dyDescent="0.25">
      <c r="A11" s="48" t="s">
        <v>16</v>
      </c>
      <c r="B11" s="49">
        <v>8470720</v>
      </c>
      <c r="C11" s="50" t="s">
        <v>384</v>
      </c>
      <c r="D11" s="51">
        <v>428200</v>
      </c>
      <c r="E11" s="50" t="s">
        <v>309</v>
      </c>
      <c r="F11" s="50" t="s">
        <v>392</v>
      </c>
      <c r="G11" s="52">
        <v>300000</v>
      </c>
      <c r="H11" s="59">
        <v>95642</v>
      </c>
      <c r="I11" s="67">
        <v>11148.2</v>
      </c>
      <c r="J11" s="65">
        <v>0</v>
      </c>
      <c r="K11" s="56">
        <v>193209.8</v>
      </c>
      <c r="L11" s="55"/>
      <c r="M11" s="54"/>
      <c r="N11" s="57"/>
      <c r="O11" s="57"/>
      <c r="P11" s="57"/>
      <c r="Q11" s="57"/>
      <c r="R11" s="57"/>
      <c r="S11" s="57"/>
      <c r="T11" s="57"/>
      <c r="U11" s="57"/>
      <c r="V11" s="58">
        <f t="shared" si="0"/>
        <v>193209.8</v>
      </c>
      <c r="W11" s="57"/>
    </row>
    <row r="12" spans="1:23" x14ac:dyDescent="0.25">
      <c r="A12" s="48" t="s">
        <v>16</v>
      </c>
      <c r="B12" s="49">
        <v>8470720</v>
      </c>
      <c r="C12" s="50" t="s">
        <v>384</v>
      </c>
      <c r="D12" s="51">
        <v>428640</v>
      </c>
      <c r="E12" s="50" t="s">
        <v>59</v>
      </c>
      <c r="F12" s="50" t="s">
        <v>393</v>
      </c>
      <c r="G12" s="55"/>
      <c r="H12" s="59">
        <v>0</v>
      </c>
      <c r="I12" s="67"/>
      <c r="J12" s="65"/>
      <c r="K12" s="56">
        <v>0</v>
      </c>
      <c r="L12" s="55"/>
      <c r="M12" s="54"/>
      <c r="N12" s="57"/>
      <c r="O12" s="57"/>
      <c r="P12" s="57"/>
      <c r="Q12" s="57"/>
      <c r="R12" s="57"/>
      <c r="S12" s="57"/>
      <c r="T12" s="57"/>
      <c r="U12" s="57"/>
      <c r="V12" s="58">
        <f t="shared" si="0"/>
        <v>0</v>
      </c>
      <c r="W12" s="57"/>
    </row>
    <row r="13" spans="1:23" x14ac:dyDescent="0.25">
      <c r="A13" s="48" t="s">
        <v>16</v>
      </c>
      <c r="B13" s="49">
        <v>8470720</v>
      </c>
      <c r="C13" s="50" t="s">
        <v>384</v>
      </c>
      <c r="D13" s="51">
        <v>435410</v>
      </c>
      <c r="E13" s="50" t="s">
        <v>344</v>
      </c>
      <c r="F13" s="50" t="s">
        <v>394</v>
      </c>
      <c r="G13" s="52">
        <v>450</v>
      </c>
      <c r="H13" s="53"/>
      <c r="I13" s="67"/>
      <c r="J13" s="65"/>
      <c r="K13" s="56">
        <v>450</v>
      </c>
      <c r="L13" s="55"/>
      <c r="M13" s="54"/>
      <c r="N13" s="57"/>
      <c r="O13" s="57"/>
      <c r="P13" s="57"/>
      <c r="Q13" s="57"/>
      <c r="R13" s="57"/>
      <c r="S13" s="57"/>
      <c r="T13" s="57"/>
      <c r="U13" s="57"/>
      <c r="V13" s="58">
        <f t="shared" si="0"/>
        <v>450</v>
      </c>
      <c r="W13" s="57"/>
    </row>
    <row r="14" spans="1:23" x14ac:dyDescent="0.25">
      <c r="A14" s="48" t="s">
        <v>16</v>
      </c>
      <c r="B14" s="49">
        <v>8470720</v>
      </c>
      <c r="C14" s="50" t="s">
        <v>384</v>
      </c>
      <c r="D14" s="51">
        <v>436110</v>
      </c>
      <c r="E14" s="50" t="s">
        <v>158</v>
      </c>
      <c r="F14" s="50" t="s">
        <v>395</v>
      </c>
      <c r="G14" s="52">
        <v>25000</v>
      </c>
      <c r="H14" s="53"/>
      <c r="I14" s="67"/>
      <c r="J14" s="65"/>
      <c r="K14" s="56">
        <v>25000</v>
      </c>
      <c r="L14" s="55"/>
      <c r="M14" s="54"/>
      <c r="N14" s="57"/>
      <c r="O14" s="57"/>
      <c r="P14" s="57"/>
      <c r="Q14" s="57"/>
      <c r="R14" s="57"/>
      <c r="S14" s="57"/>
      <c r="T14" s="57"/>
      <c r="U14" s="57"/>
      <c r="V14" s="58">
        <f t="shared" si="0"/>
        <v>25000</v>
      </c>
      <c r="W14" s="57"/>
    </row>
    <row r="15" spans="1:23" x14ac:dyDescent="0.25">
      <c r="A15" s="48" t="s">
        <v>16</v>
      </c>
      <c r="B15" s="49">
        <v>8470720</v>
      </c>
      <c r="C15" s="50" t="s">
        <v>384</v>
      </c>
      <c r="D15" s="51">
        <v>436120</v>
      </c>
      <c r="E15" s="50" t="s">
        <v>396</v>
      </c>
      <c r="F15" s="50" t="s">
        <v>397</v>
      </c>
      <c r="G15" s="52">
        <v>168681</v>
      </c>
      <c r="H15" s="59">
        <v>13850</v>
      </c>
      <c r="I15" s="67">
        <v>0</v>
      </c>
      <c r="J15" s="65">
        <v>17604.599999999999</v>
      </c>
      <c r="K15" s="56">
        <v>137226.4</v>
      </c>
      <c r="L15" s="55"/>
      <c r="M15" s="54"/>
      <c r="N15" s="57"/>
      <c r="O15" s="57"/>
      <c r="P15" s="57"/>
      <c r="Q15" s="57"/>
      <c r="R15" s="57"/>
      <c r="S15" s="57"/>
      <c r="T15" s="57"/>
      <c r="U15" s="57"/>
      <c r="V15" s="58">
        <f t="shared" si="0"/>
        <v>137226.4</v>
      </c>
      <c r="W15" s="57"/>
    </row>
    <row r="16" spans="1:23" x14ac:dyDescent="0.25">
      <c r="G16" s="71"/>
    </row>
  </sheetData>
  <conditionalFormatting sqref="A3">
    <cfRule type="expression" dxfId="33" priority="3" stopIfTrue="1">
      <formula>MOD(ROW(),2)=0</formula>
    </cfRule>
  </conditionalFormatting>
  <conditionalFormatting sqref="A4:U15 W4:W15">
    <cfRule type="expression" dxfId="32" priority="2" stopIfTrue="1">
      <formula>MOD(ROW(),2)=0</formula>
    </cfRule>
  </conditionalFormatting>
  <conditionalFormatting sqref="V4:V15">
    <cfRule type="expression" dxfId="31" priority="1" stopIfTrue="1">
      <formula>MOD(ROW(),2)=0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
  <sheetViews>
    <sheetView topLeftCell="R1" workbookViewId="0">
      <selection activeCell="T6" sqref="T6"/>
    </sheetView>
  </sheetViews>
  <sheetFormatPr defaultRowHeight="15" x14ac:dyDescent="0.25"/>
  <cols>
    <col min="1" max="1" width="20.85546875" customWidth="1"/>
    <col min="2" max="2" width="16.42578125" bestFit="1" customWidth="1"/>
    <col min="3" max="3" width="28.28515625" bestFit="1" customWidth="1"/>
    <col min="4" max="4" width="13.28515625" bestFit="1" customWidth="1"/>
    <col min="5" max="5" width="24.85546875" customWidth="1"/>
    <col min="6" max="6" width="39.5703125" bestFit="1" customWidth="1"/>
    <col min="7" max="7" width="8.85546875" bestFit="1" customWidth="1"/>
    <col min="8" max="8" width="14.28515625" bestFit="1" customWidth="1"/>
    <col min="9" max="9" width="9.140625" bestFit="1" customWidth="1"/>
    <col min="10" max="10" width="7.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8470730</v>
      </c>
      <c r="C4" s="50" t="s">
        <v>398</v>
      </c>
      <c r="D4" s="51">
        <v>421000</v>
      </c>
      <c r="E4" s="50" t="s">
        <v>34</v>
      </c>
      <c r="F4" s="50" t="s">
        <v>399</v>
      </c>
      <c r="G4" s="52">
        <v>132579</v>
      </c>
      <c r="H4" s="59">
        <v>175272.73</v>
      </c>
      <c r="I4" s="67">
        <v>-132578.07</v>
      </c>
      <c r="J4" s="65">
        <v>89883.41</v>
      </c>
      <c r="K4" s="56">
        <v>0.92999999999301497</v>
      </c>
      <c r="L4" s="55"/>
      <c r="M4" s="54"/>
      <c r="N4" s="57"/>
      <c r="O4" s="57"/>
      <c r="P4" s="57"/>
      <c r="Q4" s="57"/>
      <c r="R4" s="57"/>
      <c r="S4" s="57"/>
      <c r="T4" s="57"/>
      <c r="U4" s="57"/>
      <c r="V4" s="58">
        <f>K4-(SUM(L4:T4))</f>
        <v>0.92999999999301497</v>
      </c>
      <c r="W4" s="57"/>
    </row>
    <row r="5" spans="1:23" x14ac:dyDescent="0.25">
      <c r="A5" s="48" t="s">
        <v>16</v>
      </c>
      <c r="B5" s="49">
        <v>8470730</v>
      </c>
      <c r="C5" s="50" t="s">
        <v>398</v>
      </c>
      <c r="D5" s="51">
        <v>425900</v>
      </c>
      <c r="E5" s="50" t="s">
        <v>24</v>
      </c>
      <c r="F5" s="50" t="s">
        <v>400</v>
      </c>
      <c r="G5" s="52">
        <v>12770</v>
      </c>
      <c r="H5" s="59">
        <v>7140</v>
      </c>
      <c r="I5" s="67">
        <v>-7140</v>
      </c>
      <c r="J5" s="65">
        <v>7140</v>
      </c>
      <c r="K5" s="56">
        <v>5630</v>
      </c>
      <c r="L5" s="55"/>
      <c r="M5" s="54"/>
      <c r="N5" s="57"/>
      <c r="O5" s="57"/>
      <c r="P5" s="57"/>
      <c r="Q5" s="57"/>
      <c r="R5" s="57"/>
      <c r="S5" s="57"/>
      <c r="T5" s="57"/>
      <c r="U5" s="57"/>
      <c r="V5" s="58">
        <f t="shared" ref="V5:V9" si="0">K5-(SUM(L5:T5))</f>
        <v>5630</v>
      </c>
      <c r="W5" s="57"/>
    </row>
    <row r="6" spans="1:23" x14ac:dyDescent="0.25">
      <c r="A6" s="48" t="s">
        <v>16</v>
      </c>
      <c r="B6" s="49">
        <v>8470730</v>
      </c>
      <c r="C6" s="50" t="s">
        <v>398</v>
      </c>
      <c r="D6" s="51">
        <v>426610</v>
      </c>
      <c r="E6" s="50" t="s">
        <v>39</v>
      </c>
      <c r="F6" s="50" t="s">
        <v>401</v>
      </c>
      <c r="G6" s="52">
        <v>80274</v>
      </c>
      <c r="H6" s="59">
        <v>17850</v>
      </c>
      <c r="I6" s="67">
        <v>-17850</v>
      </c>
      <c r="J6" s="65">
        <v>18000</v>
      </c>
      <c r="K6" s="56">
        <v>62274</v>
      </c>
      <c r="L6" s="55"/>
      <c r="M6" s="54"/>
      <c r="N6" s="57"/>
      <c r="O6" s="57"/>
      <c r="P6" s="57"/>
      <c r="Q6" s="57"/>
      <c r="R6" s="57"/>
      <c r="S6" s="57"/>
      <c r="T6" s="57"/>
      <c r="U6" s="57"/>
      <c r="V6" s="58">
        <f t="shared" si="0"/>
        <v>62274</v>
      </c>
      <c r="W6" s="57"/>
    </row>
    <row r="7" spans="1:23" x14ac:dyDescent="0.25">
      <c r="A7" s="48" t="s">
        <v>16</v>
      </c>
      <c r="B7" s="49">
        <v>8470730</v>
      </c>
      <c r="C7" s="50" t="s">
        <v>398</v>
      </c>
      <c r="D7" s="51">
        <v>428090</v>
      </c>
      <c r="E7" s="50" t="s">
        <v>26</v>
      </c>
      <c r="F7" s="50" t="s">
        <v>402</v>
      </c>
      <c r="G7" s="52">
        <v>0</v>
      </c>
      <c r="H7" s="53"/>
      <c r="I7" s="67"/>
      <c r="J7" s="65"/>
      <c r="K7" s="56">
        <v>0</v>
      </c>
      <c r="L7" s="55"/>
      <c r="M7" s="54"/>
      <c r="N7" s="57"/>
      <c r="O7" s="57"/>
      <c r="P7" s="57"/>
      <c r="Q7" s="57"/>
      <c r="R7" s="57"/>
      <c r="S7" s="57"/>
      <c r="T7" s="57"/>
      <c r="U7" s="57"/>
      <c r="V7" s="58">
        <f t="shared" si="0"/>
        <v>0</v>
      </c>
      <c r="W7" s="57"/>
    </row>
    <row r="8" spans="1:23" x14ac:dyDescent="0.25">
      <c r="A8" s="48" t="s">
        <v>16</v>
      </c>
      <c r="B8" s="49">
        <v>8470730</v>
      </c>
      <c r="C8" s="50" t="s">
        <v>398</v>
      </c>
      <c r="D8" s="51">
        <v>428640</v>
      </c>
      <c r="E8" s="50" t="s">
        <v>59</v>
      </c>
      <c r="F8" s="50" t="s">
        <v>403</v>
      </c>
      <c r="G8" s="52">
        <v>415288</v>
      </c>
      <c r="H8" s="59">
        <v>431157.5</v>
      </c>
      <c r="I8" s="67">
        <v>-23100</v>
      </c>
      <c r="J8" s="65">
        <v>0</v>
      </c>
      <c r="K8" s="56">
        <v>7230.5</v>
      </c>
      <c r="L8" s="55"/>
      <c r="M8" s="54"/>
      <c r="N8" s="57"/>
      <c r="O8" s="57"/>
      <c r="P8" s="57"/>
      <c r="Q8" s="57"/>
      <c r="R8" s="57"/>
      <c r="S8" s="57"/>
      <c r="T8" s="57"/>
      <c r="U8" s="57"/>
      <c r="V8" s="58">
        <f t="shared" si="0"/>
        <v>7230.5</v>
      </c>
      <c r="W8" s="57"/>
    </row>
    <row r="9" spans="1:23" x14ac:dyDescent="0.25">
      <c r="A9" s="48" t="s">
        <v>16</v>
      </c>
      <c r="B9" s="49">
        <v>8470730</v>
      </c>
      <c r="C9" s="50" t="s">
        <v>398</v>
      </c>
      <c r="D9" s="51">
        <v>436110</v>
      </c>
      <c r="E9" s="50" t="s">
        <v>158</v>
      </c>
      <c r="F9" s="50" t="s">
        <v>404</v>
      </c>
      <c r="G9" s="52">
        <v>51945</v>
      </c>
      <c r="H9" s="59">
        <v>41189</v>
      </c>
      <c r="I9" s="67">
        <v>-32875</v>
      </c>
      <c r="J9" s="65">
        <v>29600</v>
      </c>
      <c r="K9" s="56">
        <v>14031</v>
      </c>
      <c r="L9" s="55"/>
      <c r="M9" s="54"/>
      <c r="N9" s="57"/>
      <c r="O9" s="57"/>
      <c r="P9" s="57"/>
      <c r="Q9" s="57"/>
      <c r="R9" s="57"/>
      <c r="S9" s="57"/>
      <c r="T9" s="57"/>
      <c r="U9" s="57"/>
      <c r="V9" s="58">
        <f t="shared" si="0"/>
        <v>14031</v>
      </c>
      <c r="W9" s="57"/>
    </row>
    <row r="10" spans="1:23" x14ac:dyDescent="0.25">
      <c r="G10" s="71"/>
    </row>
  </sheetData>
  <conditionalFormatting sqref="A3 A4:U9 W4:W9">
    <cfRule type="expression" dxfId="30" priority="3" stopIfTrue="1">
      <formula>MOD(ROW(),2)=0</formula>
    </cfRule>
  </conditionalFormatting>
  <conditionalFormatting sqref="V4:V9">
    <cfRule type="expression" dxfId="29" priority="1" stopIfTrue="1">
      <formula>MOD(ROW(),2)=0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topLeftCell="Q1" workbookViewId="0">
      <selection activeCell="S11" sqref="S11"/>
    </sheetView>
  </sheetViews>
  <sheetFormatPr defaultRowHeight="15" x14ac:dyDescent="0.25"/>
  <cols>
    <col min="1" max="1" width="20.85546875" customWidth="1"/>
    <col min="2" max="2" width="16.42578125" bestFit="1" customWidth="1"/>
    <col min="3" max="3" width="21.140625" customWidth="1"/>
    <col min="4" max="4" width="13.28515625" bestFit="1" customWidth="1"/>
    <col min="5" max="5" width="35.7109375" customWidth="1"/>
    <col min="6" max="6" width="39.5703125" bestFit="1" customWidth="1"/>
    <col min="7" max="7" width="13.5703125" bestFit="1" customWidth="1"/>
    <col min="8" max="8" width="14.42578125" bestFit="1" customWidth="1"/>
    <col min="9" max="9" width="11.5703125" bestFit="1" customWidth="1"/>
    <col min="10" max="10" width="12.42578125" bestFit="1" customWidth="1"/>
    <col min="11" max="11" width="14.425781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629</v>
      </c>
      <c r="B4" s="49">
        <v>8470810</v>
      </c>
      <c r="C4" s="50" t="s">
        <v>405</v>
      </c>
      <c r="D4" s="51">
        <v>413327</v>
      </c>
      <c r="E4" s="50" t="s">
        <v>631</v>
      </c>
      <c r="F4" s="50" t="s">
        <v>634</v>
      </c>
      <c r="G4" s="66">
        <v>22527124</v>
      </c>
      <c r="H4" s="67">
        <v>5435854.5899999999</v>
      </c>
      <c r="I4" s="65"/>
      <c r="J4" s="67"/>
      <c r="K4" s="65">
        <v>17091269.41</v>
      </c>
      <c r="M4" s="54"/>
      <c r="N4" s="57"/>
      <c r="O4" s="57"/>
      <c r="P4" s="57"/>
      <c r="Q4" s="57"/>
      <c r="R4" s="57"/>
      <c r="S4" s="57"/>
      <c r="T4" s="57"/>
      <c r="U4" s="57"/>
      <c r="V4" s="58">
        <f t="shared" ref="V4:V5" si="0">K4-(SUM(L4:T4))</f>
        <v>17091269.41</v>
      </c>
      <c r="W4" s="57"/>
    </row>
    <row r="5" spans="1:23" x14ac:dyDescent="0.25">
      <c r="A5" s="48" t="s">
        <v>629</v>
      </c>
      <c r="B5" s="49">
        <v>8470810</v>
      </c>
      <c r="C5" s="50" t="s">
        <v>405</v>
      </c>
      <c r="D5" s="51">
        <v>413328</v>
      </c>
      <c r="E5" s="50" t="s">
        <v>632</v>
      </c>
      <c r="F5" s="50" t="s">
        <v>635</v>
      </c>
      <c r="G5" s="66">
        <v>8592473</v>
      </c>
      <c r="H5" s="67">
        <v>1447657.71</v>
      </c>
      <c r="I5" s="65">
        <v>-314467.03000000003</v>
      </c>
      <c r="J5" s="67">
        <v>5344986.34</v>
      </c>
      <c r="K5" s="65">
        <v>2114295.98</v>
      </c>
      <c r="M5" s="54"/>
      <c r="N5" s="57"/>
      <c r="O5" s="57"/>
      <c r="P5" s="57"/>
      <c r="Q5" s="57"/>
      <c r="R5" s="57"/>
      <c r="S5" s="57"/>
      <c r="T5" s="57"/>
      <c r="U5" s="57"/>
      <c r="V5" s="58">
        <f t="shared" si="0"/>
        <v>2114295.98</v>
      </c>
      <c r="W5" s="57"/>
    </row>
    <row r="6" spans="1:23" x14ac:dyDescent="0.25">
      <c r="A6" s="48" t="s">
        <v>16</v>
      </c>
      <c r="B6" s="49">
        <v>8470810</v>
      </c>
      <c r="C6" s="50" t="s">
        <v>628</v>
      </c>
      <c r="D6" s="51">
        <v>420811</v>
      </c>
      <c r="E6" s="50" t="s">
        <v>77</v>
      </c>
      <c r="F6" s="50" t="s">
        <v>406</v>
      </c>
      <c r="G6" s="52">
        <v>8100000</v>
      </c>
      <c r="H6" s="59">
        <v>7162262.5</v>
      </c>
      <c r="I6" s="67"/>
      <c r="J6" s="65"/>
      <c r="K6" s="56">
        <v>937737.5</v>
      </c>
      <c r="L6" s="55"/>
      <c r="M6" s="54"/>
      <c r="N6" s="57"/>
      <c r="O6" s="57"/>
      <c r="P6" s="57"/>
      <c r="Q6" s="57"/>
      <c r="R6" s="57"/>
      <c r="S6" s="57"/>
      <c r="T6" s="57"/>
      <c r="U6" s="57"/>
      <c r="V6" s="58">
        <f>K6-(SUM(L6:T6))</f>
        <v>937737.5</v>
      </c>
      <c r="W6" s="57"/>
    </row>
    <row r="7" spans="1:23" x14ac:dyDescent="0.25">
      <c r="A7" s="48" t="s">
        <v>16</v>
      </c>
      <c r="B7" s="49">
        <v>8470810</v>
      </c>
      <c r="C7" s="50" t="s">
        <v>628</v>
      </c>
      <c r="D7" s="51">
        <v>421100</v>
      </c>
      <c r="E7" s="50" t="s">
        <v>347</v>
      </c>
      <c r="F7" s="50" t="s">
        <v>407</v>
      </c>
      <c r="G7" s="52">
        <v>563543</v>
      </c>
      <c r="H7" s="53"/>
      <c r="I7" s="67"/>
      <c r="J7" s="65"/>
      <c r="K7" s="56">
        <v>563543</v>
      </c>
      <c r="L7" s="55"/>
      <c r="M7" s="54"/>
      <c r="N7" s="57"/>
      <c r="O7" s="57"/>
      <c r="P7" s="57"/>
      <c r="Q7" s="57"/>
      <c r="R7" s="57"/>
      <c r="S7" s="57"/>
      <c r="T7" s="57"/>
      <c r="U7" s="57"/>
      <c r="V7" s="58">
        <f t="shared" ref="V7:V21" si="1">K7-(SUM(L7:T7))</f>
        <v>563543</v>
      </c>
      <c r="W7" s="57"/>
    </row>
    <row r="8" spans="1:23" x14ac:dyDescent="0.25">
      <c r="A8" s="48" t="s">
        <v>16</v>
      </c>
      <c r="B8" s="49">
        <v>8470810</v>
      </c>
      <c r="C8" s="50" t="s">
        <v>628</v>
      </c>
      <c r="D8" s="51">
        <v>425900</v>
      </c>
      <c r="E8" s="50" t="s">
        <v>24</v>
      </c>
      <c r="F8" s="50" t="s">
        <v>408</v>
      </c>
      <c r="G8" s="52">
        <v>20000</v>
      </c>
      <c r="H8" s="53"/>
      <c r="I8" s="67"/>
      <c r="J8" s="65"/>
      <c r="K8" s="56">
        <v>20000</v>
      </c>
      <c r="L8" s="55"/>
      <c r="M8" s="54"/>
      <c r="N8" s="57"/>
      <c r="O8" s="57"/>
      <c r="P8" s="57"/>
      <c r="Q8" s="57"/>
      <c r="R8" s="57"/>
      <c r="S8" s="57"/>
      <c r="T8" s="57"/>
      <c r="U8" s="57"/>
      <c r="V8" s="58">
        <f t="shared" si="1"/>
        <v>20000</v>
      </c>
      <c r="W8" s="57"/>
    </row>
    <row r="9" spans="1:23" x14ac:dyDescent="0.25">
      <c r="A9" s="48" t="s">
        <v>16</v>
      </c>
      <c r="B9" s="49">
        <v>8470810</v>
      </c>
      <c r="C9" s="50" t="s">
        <v>628</v>
      </c>
      <c r="D9" s="51">
        <v>426610</v>
      </c>
      <c r="E9" s="50" t="s">
        <v>39</v>
      </c>
      <c r="F9" s="50" t="s">
        <v>409</v>
      </c>
      <c r="G9" s="52">
        <v>8959670</v>
      </c>
      <c r="H9" s="59">
        <v>228736.83</v>
      </c>
      <c r="I9" s="67">
        <v>4072384.16</v>
      </c>
      <c r="J9" s="65">
        <v>491049.06</v>
      </c>
      <c r="K9" s="56">
        <v>4167499.95</v>
      </c>
      <c r="L9" s="55"/>
      <c r="M9" s="54"/>
      <c r="N9" s="57"/>
      <c r="O9" s="57"/>
      <c r="P9" s="57"/>
      <c r="Q9" s="57"/>
      <c r="R9" s="57"/>
      <c r="S9" s="57"/>
      <c r="T9" s="57"/>
      <c r="U9" s="57"/>
      <c r="V9" s="58">
        <f t="shared" si="1"/>
        <v>4167499.95</v>
      </c>
      <c r="W9" s="57"/>
    </row>
    <row r="10" spans="1:23" x14ac:dyDescent="0.25">
      <c r="A10" s="48" t="s">
        <v>16</v>
      </c>
      <c r="B10" s="49">
        <v>8470810</v>
      </c>
      <c r="C10" s="50" t="s">
        <v>628</v>
      </c>
      <c r="D10" s="51">
        <v>427810</v>
      </c>
      <c r="E10" s="50" t="s">
        <v>410</v>
      </c>
      <c r="F10" s="50" t="s">
        <v>411</v>
      </c>
      <c r="G10" s="52">
        <v>1552207</v>
      </c>
      <c r="H10" s="59">
        <v>131877.38</v>
      </c>
      <c r="I10" s="67"/>
      <c r="J10" s="65"/>
      <c r="K10" s="56">
        <v>1420329.62</v>
      </c>
      <c r="L10" s="55"/>
      <c r="M10" s="54"/>
      <c r="N10" s="57"/>
      <c r="O10" s="57"/>
      <c r="P10" s="57"/>
      <c r="Q10" s="57"/>
      <c r="R10" s="57"/>
      <c r="S10" s="57"/>
      <c r="T10" s="57"/>
      <c r="U10" s="57"/>
      <c r="V10" s="58">
        <f t="shared" si="1"/>
        <v>1420329.62</v>
      </c>
      <c r="W10" s="57"/>
    </row>
    <row r="11" spans="1:23" x14ac:dyDescent="0.25">
      <c r="A11" s="48" t="s">
        <v>16</v>
      </c>
      <c r="B11" s="49">
        <v>8470810</v>
      </c>
      <c r="C11" s="50" t="s">
        <v>628</v>
      </c>
      <c r="D11" s="51">
        <v>427850</v>
      </c>
      <c r="E11" s="50" t="s">
        <v>412</v>
      </c>
      <c r="F11" s="50" t="s">
        <v>413</v>
      </c>
      <c r="G11" s="52">
        <v>2078611</v>
      </c>
      <c r="H11" s="59">
        <v>521325.6</v>
      </c>
      <c r="I11" s="67"/>
      <c r="J11" s="65"/>
      <c r="K11" s="56">
        <v>1557285.4</v>
      </c>
      <c r="L11" s="55"/>
      <c r="M11" s="54"/>
      <c r="N11" s="57"/>
      <c r="O11" s="57"/>
      <c r="P11" s="57"/>
      <c r="Q11" s="57"/>
      <c r="R11" s="57"/>
      <c r="S11" s="57"/>
      <c r="T11" s="57"/>
      <c r="U11" s="57"/>
      <c r="V11" s="58">
        <f t="shared" si="1"/>
        <v>1557285.4</v>
      </c>
      <c r="W11" s="57"/>
    </row>
    <row r="12" spans="1:23" x14ac:dyDescent="0.25">
      <c r="A12" s="48" t="s">
        <v>16</v>
      </c>
      <c r="B12" s="49">
        <v>8470810</v>
      </c>
      <c r="C12" s="50" t="s">
        <v>628</v>
      </c>
      <c r="D12" s="51">
        <v>428090</v>
      </c>
      <c r="E12" s="50" t="s">
        <v>26</v>
      </c>
      <c r="F12" s="50" t="s">
        <v>414</v>
      </c>
      <c r="G12" s="52">
        <v>141460</v>
      </c>
      <c r="H12" s="59">
        <v>14650</v>
      </c>
      <c r="I12" s="67"/>
      <c r="J12" s="65"/>
      <c r="K12" s="56">
        <v>126810</v>
      </c>
      <c r="L12" s="55"/>
      <c r="M12" s="54"/>
      <c r="N12" s="57"/>
      <c r="O12" s="57"/>
      <c r="P12" s="57"/>
      <c r="Q12" s="57"/>
      <c r="R12" s="57"/>
      <c r="S12" s="57"/>
      <c r="T12" s="57"/>
      <c r="U12" s="57"/>
      <c r="V12" s="58">
        <f t="shared" si="1"/>
        <v>126810</v>
      </c>
      <c r="W12" s="57"/>
    </row>
    <row r="13" spans="1:23" x14ac:dyDescent="0.25">
      <c r="A13" s="48" t="s">
        <v>16</v>
      </c>
      <c r="B13" s="49">
        <v>8470810</v>
      </c>
      <c r="C13" s="50" t="s">
        <v>628</v>
      </c>
      <c r="D13" s="51">
        <v>430230</v>
      </c>
      <c r="E13" s="50" t="s">
        <v>415</v>
      </c>
      <c r="F13" s="50" t="s">
        <v>416</v>
      </c>
      <c r="G13" s="55"/>
      <c r="H13" s="59">
        <v>0</v>
      </c>
      <c r="I13" s="67"/>
      <c r="J13" s="65"/>
      <c r="K13" s="56">
        <v>0</v>
      </c>
      <c r="L13" s="55"/>
      <c r="M13" s="54"/>
      <c r="N13" s="57"/>
      <c r="O13" s="57"/>
      <c r="P13" s="57"/>
      <c r="Q13" s="57"/>
      <c r="R13" s="57"/>
      <c r="S13" s="57"/>
      <c r="T13" s="57"/>
      <c r="U13" s="57"/>
      <c r="V13" s="58">
        <f t="shared" si="1"/>
        <v>0</v>
      </c>
      <c r="W13" s="57"/>
    </row>
    <row r="14" spans="1:23" x14ac:dyDescent="0.25">
      <c r="A14" s="48" t="s">
        <v>16</v>
      </c>
      <c r="B14" s="49">
        <v>8470810</v>
      </c>
      <c r="C14" s="50" t="s">
        <v>628</v>
      </c>
      <c r="D14" s="51">
        <v>430250</v>
      </c>
      <c r="E14" s="50" t="s">
        <v>417</v>
      </c>
      <c r="F14" s="50" t="s">
        <v>418</v>
      </c>
      <c r="G14" s="52">
        <v>2018541</v>
      </c>
      <c r="H14" s="59">
        <v>505312.79</v>
      </c>
      <c r="I14" s="67">
        <v>1173021.4099999999</v>
      </c>
      <c r="J14" s="65">
        <v>340000</v>
      </c>
      <c r="K14" s="56">
        <v>206.80000000004699</v>
      </c>
      <c r="L14" s="55"/>
      <c r="M14" s="54"/>
      <c r="N14" s="57"/>
      <c r="O14" s="57"/>
      <c r="P14" s="57"/>
      <c r="Q14" s="57"/>
      <c r="R14" s="57"/>
      <c r="S14" s="57"/>
      <c r="T14" s="57"/>
      <c r="U14" s="57"/>
      <c r="V14" s="58">
        <f t="shared" si="1"/>
        <v>206.80000000004699</v>
      </c>
      <c r="W14" s="57"/>
    </row>
    <row r="15" spans="1:23" x14ac:dyDescent="0.25">
      <c r="A15" s="48" t="s">
        <v>16</v>
      </c>
      <c r="B15" s="49">
        <v>8470810</v>
      </c>
      <c r="C15" s="50" t="s">
        <v>628</v>
      </c>
      <c r="D15" s="51">
        <v>432205</v>
      </c>
      <c r="E15" s="50" t="s">
        <v>96</v>
      </c>
      <c r="F15" s="50" t="s">
        <v>419</v>
      </c>
      <c r="G15" s="52">
        <v>3655434</v>
      </c>
      <c r="H15" s="59">
        <v>2</v>
      </c>
      <c r="I15" s="67">
        <v>78485.759999999995</v>
      </c>
      <c r="J15" s="65">
        <v>2</v>
      </c>
      <c r="K15" s="56">
        <v>3576944.24</v>
      </c>
      <c r="L15" s="55"/>
      <c r="M15" s="54"/>
      <c r="N15" s="57"/>
      <c r="O15" s="57"/>
      <c r="P15" s="57"/>
      <c r="Q15" s="57"/>
      <c r="R15" s="57"/>
      <c r="S15" s="57"/>
      <c r="T15" s="57"/>
      <c r="U15" s="57"/>
      <c r="V15" s="58">
        <f t="shared" si="1"/>
        <v>3576944.24</v>
      </c>
      <c r="W15" s="57"/>
    </row>
    <row r="16" spans="1:23" x14ac:dyDescent="0.25">
      <c r="A16" s="48" t="s">
        <v>16</v>
      </c>
      <c r="B16" s="49">
        <v>8470810</v>
      </c>
      <c r="C16" s="50" t="s">
        <v>628</v>
      </c>
      <c r="D16" s="51">
        <v>432226</v>
      </c>
      <c r="E16" s="50" t="s">
        <v>420</v>
      </c>
      <c r="F16" s="50" t="s">
        <v>421</v>
      </c>
      <c r="G16" s="52">
        <v>412000</v>
      </c>
      <c r="H16" s="59">
        <v>60900.77</v>
      </c>
      <c r="I16" s="67">
        <v>0</v>
      </c>
      <c r="J16" s="65">
        <v>325000</v>
      </c>
      <c r="K16" s="56">
        <v>26099.23</v>
      </c>
      <c r="L16" s="55"/>
      <c r="M16" s="54"/>
      <c r="N16" s="57"/>
      <c r="O16" s="57"/>
      <c r="P16" s="57"/>
      <c r="Q16" s="57"/>
      <c r="R16" s="57"/>
      <c r="S16" s="57"/>
      <c r="T16" s="57"/>
      <c r="U16" s="57"/>
      <c r="V16" s="58">
        <f t="shared" si="1"/>
        <v>26099.23</v>
      </c>
      <c r="W16" s="57"/>
    </row>
    <row r="17" spans="1:23" x14ac:dyDescent="0.25">
      <c r="A17" s="48" t="s">
        <v>561</v>
      </c>
      <c r="B17" s="49">
        <v>8470810</v>
      </c>
      <c r="C17" s="50" t="s">
        <v>628</v>
      </c>
      <c r="D17" s="51">
        <v>492310</v>
      </c>
      <c r="E17" s="50" t="s">
        <v>564</v>
      </c>
      <c r="F17" s="50" t="s">
        <v>590</v>
      </c>
      <c r="G17" s="52">
        <v>181050</v>
      </c>
      <c r="H17" s="59">
        <v>10775</v>
      </c>
      <c r="I17" s="67">
        <v>169008</v>
      </c>
      <c r="J17" s="65">
        <v>0</v>
      </c>
      <c r="K17" s="56">
        <v>1267</v>
      </c>
      <c r="L17" s="55"/>
      <c r="M17" s="54"/>
      <c r="N17" s="57"/>
      <c r="O17" s="57"/>
      <c r="P17" s="57"/>
      <c r="Q17" s="57"/>
      <c r="R17" s="57"/>
      <c r="S17" s="57"/>
      <c r="T17" s="57"/>
      <c r="U17" s="57"/>
      <c r="V17" s="58">
        <f t="shared" si="1"/>
        <v>1267</v>
      </c>
      <c r="W17" s="57"/>
    </row>
    <row r="18" spans="1:23" x14ac:dyDescent="0.25">
      <c r="A18" s="48" t="s">
        <v>561</v>
      </c>
      <c r="B18" s="49">
        <v>8470810</v>
      </c>
      <c r="C18" s="50" t="s">
        <v>628</v>
      </c>
      <c r="D18" s="51">
        <v>492352</v>
      </c>
      <c r="E18" s="50" t="s">
        <v>591</v>
      </c>
      <c r="F18" s="50" t="s">
        <v>592</v>
      </c>
      <c r="G18" s="52">
        <v>1999373</v>
      </c>
      <c r="H18" s="53"/>
      <c r="I18" s="67"/>
      <c r="J18" s="65"/>
      <c r="K18" s="56">
        <v>1999373</v>
      </c>
      <c r="L18" s="55"/>
      <c r="M18" s="54"/>
      <c r="N18" s="57"/>
      <c r="O18" s="57"/>
      <c r="P18" s="57"/>
      <c r="Q18" s="57"/>
      <c r="R18" s="57"/>
      <c r="S18" s="57"/>
      <c r="T18" s="57"/>
      <c r="U18" s="57"/>
      <c r="V18" s="58">
        <f t="shared" si="1"/>
        <v>1999373</v>
      </c>
      <c r="W18" s="57"/>
    </row>
    <row r="19" spans="1:23" x14ac:dyDescent="0.25">
      <c r="A19" s="48" t="s">
        <v>561</v>
      </c>
      <c r="B19" s="49">
        <v>8470810</v>
      </c>
      <c r="C19" s="50" t="s">
        <v>628</v>
      </c>
      <c r="D19" s="51">
        <v>492354</v>
      </c>
      <c r="E19" s="50" t="s">
        <v>593</v>
      </c>
      <c r="F19" s="50" t="s">
        <v>594</v>
      </c>
      <c r="G19" s="52">
        <v>321320</v>
      </c>
      <c r="H19" s="53"/>
      <c r="I19" s="67"/>
      <c r="J19" s="65"/>
      <c r="K19" s="56">
        <v>321320</v>
      </c>
      <c r="L19" s="55"/>
      <c r="M19" s="54"/>
      <c r="N19" s="57"/>
      <c r="O19" s="57"/>
      <c r="P19" s="57"/>
      <c r="Q19" s="57"/>
      <c r="R19" s="57"/>
      <c r="S19" s="57"/>
      <c r="T19" s="57"/>
      <c r="U19" s="57"/>
      <c r="V19" s="58">
        <f t="shared" si="1"/>
        <v>321320</v>
      </c>
      <c r="W19" s="57"/>
    </row>
    <row r="20" spans="1:23" x14ac:dyDescent="0.25">
      <c r="A20" s="48" t="s">
        <v>561</v>
      </c>
      <c r="B20" s="49">
        <v>8470810</v>
      </c>
      <c r="C20" s="50" t="s">
        <v>628</v>
      </c>
      <c r="D20" s="51">
        <v>492356</v>
      </c>
      <c r="E20" s="50" t="s">
        <v>595</v>
      </c>
      <c r="F20" s="50" t="s">
        <v>596</v>
      </c>
      <c r="G20" s="52">
        <v>566743</v>
      </c>
      <c r="H20" s="59">
        <v>2</v>
      </c>
      <c r="I20" s="67">
        <v>-2</v>
      </c>
      <c r="J20" s="65">
        <v>2</v>
      </c>
      <c r="K20" s="56">
        <v>566741</v>
      </c>
      <c r="L20" s="55"/>
      <c r="M20" s="54"/>
      <c r="N20" s="57"/>
      <c r="O20" s="57"/>
      <c r="P20" s="57"/>
      <c r="Q20" s="57"/>
      <c r="R20" s="57"/>
      <c r="S20" s="57"/>
      <c r="T20" s="57"/>
      <c r="U20" s="57"/>
      <c r="V20" s="58">
        <f t="shared" si="1"/>
        <v>566741</v>
      </c>
      <c r="W20" s="57"/>
    </row>
    <row r="21" spans="1:23" x14ac:dyDescent="0.25">
      <c r="A21" s="48" t="s">
        <v>561</v>
      </c>
      <c r="B21" s="49">
        <v>8470810</v>
      </c>
      <c r="C21" s="50" t="s">
        <v>628</v>
      </c>
      <c r="D21" s="51">
        <v>495113</v>
      </c>
      <c r="E21" s="50" t="s">
        <v>597</v>
      </c>
      <c r="F21" s="50" t="s">
        <v>598</v>
      </c>
      <c r="G21" s="52">
        <v>23965</v>
      </c>
      <c r="H21" s="53"/>
      <c r="I21" s="67"/>
      <c r="J21" s="65"/>
      <c r="K21" s="56">
        <v>23965</v>
      </c>
      <c r="L21" s="55"/>
      <c r="M21" s="54"/>
      <c r="N21" s="57"/>
      <c r="O21" s="57"/>
      <c r="P21" s="57"/>
      <c r="Q21" s="57"/>
      <c r="R21" s="57"/>
      <c r="S21" s="57"/>
      <c r="T21" s="57"/>
      <c r="U21" s="57"/>
      <c r="V21" s="58">
        <f t="shared" si="1"/>
        <v>23965</v>
      </c>
      <c r="W21" s="57"/>
    </row>
    <row r="22" spans="1:23" x14ac:dyDescent="0.25">
      <c r="G22" s="70"/>
    </row>
  </sheetData>
  <conditionalFormatting sqref="A3 A6:U21 W6:W21 M4:U5 G4:K5">
    <cfRule type="expression" dxfId="28" priority="4" stopIfTrue="1">
      <formula>MOD(ROW(),2)=0</formula>
    </cfRule>
  </conditionalFormatting>
  <conditionalFormatting sqref="V4:V21">
    <cfRule type="expression" dxfId="27" priority="3" stopIfTrue="1">
      <formula>MOD(ROW(),2)=0</formula>
    </cfRule>
  </conditionalFormatting>
  <conditionalFormatting sqref="A4:F5 W4:W5">
    <cfRule type="expression" dxfId="26" priority="2" stopIfTrue="1">
      <formula>MOD(ROW(),2)=0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
  <sheetViews>
    <sheetView topLeftCell="R1" workbookViewId="0">
      <selection activeCell="T6" sqref="T6"/>
    </sheetView>
  </sheetViews>
  <sheetFormatPr defaultRowHeight="15" x14ac:dyDescent="0.25"/>
  <cols>
    <col min="1" max="1" width="21" customWidth="1"/>
    <col min="2" max="2" width="16.42578125" bestFit="1" customWidth="1"/>
    <col min="3" max="3" width="61.28515625" bestFit="1" customWidth="1"/>
    <col min="4" max="4" width="13.28515625" bestFit="1" customWidth="1"/>
    <col min="5" max="5" width="19.42578125" customWidth="1"/>
    <col min="6" max="6" width="39.5703125" bestFit="1" customWidth="1"/>
    <col min="7" max="7" width="9.85546875" bestFit="1" customWidth="1"/>
    <col min="8" max="8" width="14.28515625" bestFit="1" customWidth="1"/>
    <col min="9" max="9" width="3.28515625" bestFit="1" customWidth="1"/>
    <col min="10" max="10" width="3.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8470210</v>
      </c>
      <c r="C4" s="50" t="s">
        <v>76</v>
      </c>
      <c r="D4" s="51">
        <v>420811</v>
      </c>
      <c r="E4" s="50" t="s">
        <v>77</v>
      </c>
      <c r="F4" s="50" t="s">
        <v>78</v>
      </c>
      <c r="G4" s="52">
        <v>10905900</v>
      </c>
      <c r="H4" s="53"/>
      <c r="I4" s="54"/>
      <c r="J4" s="55"/>
      <c r="K4" s="56">
        <v>10905900</v>
      </c>
      <c r="L4" s="55"/>
      <c r="M4" s="54"/>
      <c r="N4" s="57"/>
      <c r="O4" s="57"/>
      <c r="P4" s="57"/>
      <c r="Q4" s="57"/>
      <c r="R4" s="57"/>
      <c r="S4" s="57"/>
      <c r="T4" s="57"/>
      <c r="U4" s="57"/>
      <c r="V4" s="58">
        <f>K4-(SUM(L4:T4))</f>
        <v>10905900</v>
      </c>
      <c r="W4" s="57"/>
    </row>
    <row r="5" spans="1:23" x14ac:dyDescent="0.25">
      <c r="A5" s="48" t="s">
        <v>16</v>
      </c>
      <c r="B5" s="49">
        <v>8470210</v>
      </c>
      <c r="C5" s="50" t="s">
        <v>76</v>
      </c>
      <c r="D5" s="51">
        <v>420900</v>
      </c>
      <c r="E5" s="50" t="s">
        <v>64</v>
      </c>
      <c r="F5" s="50" t="s">
        <v>79</v>
      </c>
      <c r="G5" s="52">
        <v>1000000</v>
      </c>
      <c r="H5" s="53"/>
      <c r="I5" s="54"/>
      <c r="J5" s="55"/>
      <c r="K5" s="56">
        <v>1000000</v>
      </c>
      <c r="L5" s="55"/>
      <c r="M5" s="54"/>
      <c r="N5" s="57"/>
      <c r="O5" s="57"/>
      <c r="P5" s="57"/>
      <c r="Q5" s="57"/>
      <c r="R5" s="57"/>
      <c r="S5" s="57"/>
      <c r="T5" s="57"/>
      <c r="U5" s="57"/>
      <c r="V5" s="58">
        <f t="shared" ref="V5:V8" si="0">K5-(SUM(L5:T5))</f>
        <v>1000000</v>
      </c>
      <c r="W5" s="57"/>
    </row>
    <row r="6" spans="1:23" x14ac:dyDescent="0.25">
      <c r="A6" s="48" t="s">
        <v>16</v>
      </c>
      <c r="B6" s="49">
        <v>8470210</v>
      </c>
      <c r="C6" s="50" t="s">
        <v>76</v>
      </c>
      <c r="D6" s="51">
        <v>425747</v>
      </c>
      <c r="E6" s="50" t="s">
        <v>80</v>
      </c>
      <c r="F6" s="50" t="s">
        <v>81</v>
      </c>
      <c r="G6" s="52">
        <v>12350000</v>
      </c>
      <c r="H6" s="53"/>
      <c r="I6" s="54"/>
      <c r="J6" s="55"/>
      <c r="K6" s="56">
        <v>12350000</v>
      </c>
      <c r="L6" s="55"/>
      <c r="M6" s="54"/>
      <c r="N6" s="57"/>
      <c r="O6" s="57"/>
      <c r="P6" s="57"/>
      <c r="Q6" s="57"/>
      <c r="R6" s="57"/>
      <c r="S6" s="57"/>
      <c r="T6" s="57"/>
      <c r="U6" s="57"/>
      <c r="V6" s="58">
        <f t="shared" si="0"/>
        <v>12350000</v>
      </c>
      <c r="W6" s="57"/>
    </row>
    <row r="7" spans="1:23" x14ac:dyDescent="0.25">
      <c r="A7" s="48" t="s">
        <v>16</v>
      </c>
      <c r="B7" s="49">
        <v>8470210</v>
      </c>
      <c r="C7" s="50" t="s">
        <v>76</v>
      </c>
      <c r="D7" s="51">
        <v>425749</v>
      </c>
      <c r="E7" s="50" t="s">
        <v>82</v>
      </c>
      <c r="F7" s="50" t="s">
        <v>83</v>
      </c>
      <c r="G7" s="52">
        <v>18990890</v>
      </c>
      <c r="H7" s="53"/>
      <c r="I7" s="54"/>
      <c r="J7" s="55"/>
      <c r="K7" s="56">
        <v>18990890</v>
      </c>
      <c r="L7" s="55"/>
      <c r="M7" s="54"/>
      <c r="N7" s="57"/>
      <c r="O7" s="57"/>
      <c r="P7" s="57"/>
      <c r="Q7" s="57"/>
      <c r="R7" s="57"/>
      <c r="S7" s="57"/>
      <c r="T7" s="57"/>
      <c r="U7" s="57"/>
      <c r="V7" s="58">
        <f t="shared" si="0"/>
        <v>18990890</v>
      </c>
      <c r="W7" s="57"/>
    </row>
    <row r="8" spans="1:23" x14ac:dyDescent="0.25">
      <c r="A8" s="48" t="s">
        <v>16</v>
      </c>
      <c r="B8" s="49">
        <v>8470210</v>
      </c>
      <c r="C8" s="50" t="s">
        <v>76</v>
      </c>
      <c r="D8" s="51">
        <v>435523</v>
      </c>
      <c r="E8" s="50" t="s">
        <v>74</v>
      </c>
      <c r="F8" s="50" t="s">
        <v>84</v>
      </c>
      <c r="G8" s="52">
        <v>9000000</v>
      </c>
      <c r="H8" s="53"/>
      <c r="I8" s="54"/>
      <c r="J8" s="55"/>
      <c r="K8" s="56">
        <v>9000000</v>
      </c>
      <c r="L8" s="55"/>
      <c r="M8" s="54"/>
      <c r="N8" s="57"/>
      <c r="O8" s="57"/>
      <c r="P8" s="57"/>
      <c r="Q8" s="57"/>
      <c r="R8" s="57"/>
      <c r="S8" s="57"/>
      <c r="T8" s="57"/>
      <c r="U8" s="57"/>
      <c r="V8" s="58">
        <f t="shared" si="0"/>
        <v>9000000</v>
      </c>
      <c r="W8" s="57"/>
    </row>
    <row r="9" spans="1:23" x14ac:dyDescent="0.25">
      <c r="G9" s="71"/>
    </row>
  </sheetData>
  <conditionalFormatting sqref="A3">
    <cfRule type="expression" dxfId="25" priority="3" stopIfTrue="1">
      <formula>MOD(ROW(),2)=0</formula>
    </cfRule>
  </conditionalFormatting>
  <conditionalFormatting sqref="A4:U8 W4:W8">
    <cfRule type="expression" dxfId="24" priority="2" stopIfTrue="1">
      <formula>MOD(ROW(),2)=0</formula>
    </cfRule>
  </conditionalFormatting>
  <conditionalFormatting sqref="V4:V8">
    <cfRule type="expression" dxfId="23" priority="1" stopIfTrue="1">
      <formula>MOD(ROW(),2)=0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workbookViewId="0">
      <selection activeCell="G12" sqref="G12"/>
    </sheetView>
  </sheetViews>
  <sheetFormatPr defaultColWidth="20.140625" defaultRowHeight="15" x14ac:dyDescent="0.25"/>
  <cols>
    <col min="7" max="7" width="11" bestFit="1" customWidth="1"/>
    <col min="8" max="8" width="14.42578125" bestFit="1" customWidth="1"/>
    <col min="9" max="9" width="10" bestFit="1" customWidth="1"/>
    <col min="10" max="10" width="8.5703125" bestFit="1" customWidth="1"/>
    <col min="11" max="11" width="14.42578125"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629</v>
      </c>
      <c r="B4" s="49">
        <v>8470620</v>
      </c>
      <c r="C4" s="50" t="s">
        <v>373</v>
      </c>
      <c r="D4" s="51">
        <v>413310</v>
      </c>
      <c r="E4" s="50" t="s">
        <v>630</v>
      </c>
      <c r="F4" s="50" t="s">
        <v>636</v>
      </c>
      <c r="G4" s="65">
        <v>341524</v>
      </c>
      <c r="H4" s="66">
        <v>46500</v>
      </c>
      <c r="I4" s="67">
        <v>46500</v>
      </c>
      <c r="J4" s="65"/>
      <c r="K4" s="67">
        <v>248524</v>
      </c>
      <c r="L4" s="55"/>
      <c r="M4" s="54"/>
      <c r="N4" s="57"/>
      <c r="O4" s="57"/>
      <c r="P4" s="57"/>
      <c r="Q4" s="57"/>
      <c r="R4" s="57"/>
      <c r="S4" s="57"/>
      <c r="T4" s="57"/>
      <c r="U4" s="57"/>
      <c r="V4" s="58">
        <f>K4-(SUM(L4:T4))</f>
        <v>248524</v>
      </c>
      <c r="W4" s="57"/>
    </row>
    <row r="5" spans="1:23" x14ac:dyDescent="0.25">
      <c r="A5" s="48" t="s">
        <v>16</v>
      </c>
      <c r="B5" s="49">
        <v>8470605</v>
      </c>
      <c r="C5" s="50" t="s">
        <v>367</v>
      </c>
      <c r="D5" s="51">
        <v>421000</v>
      </c>
      <c r="E5" s="50" t="s">
        <v>34</v>
      </c>
      <c r="F5" s="50" t="s">
        <v>368</v>
      </c>
      <c r="G5" s="52">
        <v>860913</v>
      </c>
      <c r="H5" s="59">
        <v>54444.44</v>
      </c>
      <c r="I5" s="67">
        <v>0</v>
      </c>
      <c r="J5" s="65">
        <v>190555.56</v>
      </c>
      <c r="K5" s="56">
        <v>615913</v>
      </c>
      <c r="L5" s="55"/>
      <c r="M5" s="54"/>
      <c r="N5" s="57"/>
      <c r="O5" s="57"/>
      <c r="P5" s="57"/>
      <c r="Q5" s="57"/>
      <c r="R5" s="57"/>
      <c r="S5" s="57"/>
      <c r="T5" s="57"/>
      <c r="U5" s="57"/>
      <c r="V5" s="58">
        <f>K5-(SUM(L5:T5))</f>
        <v>615913</v>
      </c>
      <c r="W5" s="57"/>
    </row>
    <row r="6" spans="1:23" x14ac:dyDescent="0.25">
      <c r="A6" s="48" t="s">
        <v>16</v>
      </c>
      <c r="B6" s="49">
        <v>8470605</v>
      </c>
      <c r="C6" s="50" t="s">
        <v>367</v>
      </c>
      <c r="D6" s="51">
        <v>425720</v>
      </c>
      <c r="E6" s="50" t="s">
        <v>185</v>
      </c>
      <c r="F6" s="50" t="s">
        <v>369</v>
      </c>
      <c r="G6" s="52">
        <v>500000</v>
      </c>
      <c r="H6" s="53"/>
      <c r="I6" s="67"/>
      <c r="J6" s="65"/>
      <c r="K6" s="56">
        <v>500000</v>
      </c>
      <c r="L6" s="55"/>
      <c r="M6" s="54"/>
      <c r="N6" s="57"/>
      <c r="O6" s="57"/>
      <c r="P6" s="57"/>
      <c r="Q6" s="57"/>
      <c r="R6" s="57"/>
      <c r="S6" s="57"/>
      <c r="T6" s="57"/>
      <c r="U6" s="57"/>
      <c r="V6" s="58">
        <f t="shared" ref="V6:V15" si="0">K6-(SUM(L6:T6))</f>
        <v>500000</v>
      </c>
      <c r="W6" s="57"/>
    </row>
    <row r="7" spans="1:23" x14ac:dyDescent="0.25">
      <c r="A7" s="48" t="s">
        <v>16</v>
      </c>
      <c r="B7" s="49">
        <v>8470605</v>
      </c>
      <c r="C7" s="50" t="s">
        <v>367</v>
      </c>
      <c r="D7" s="51">
        <v>425900</v>
      </c>
      <c r="E7" s="50" t="s">
        <v>24</v>
      </c>
      <c r="F7" s="50" t="s">
        <v>370</v>
      </c>
      <c r="G7" s="52">
        <v>780442</v>
      </c>
      <c r="H7" s="53"/>
      <c r="I7" s="67"/>
      <c r="J7" s="65"/>
      <c r="K7" s="56">
        <v>780442</v>
      </c>
      <c r="L7" s="55"/>
      <c r="M7" s="54"/>
      <c r="N7" s="57"/>
      <c r="O7" s="57"/>
      <c r="P7" s="57"/>
      <c r="Q7" s="57"/>
      <c r="R7" s="57"/>
      <c r="S7" s="57"/>
      <c r="T7" s="57"/>
      <c r="U7" s="57"/>
      <c r="V7" s="58">
        <f t="shared" si="0"/>
        <v>780442</v>
      </c>
      <c r="W7" s="57"/>
    </row>
    <row r="8" spans="1:23" x14ac:dyDescent="0.25">
      <c r="A8" s="48" t="s">
        <v>16</v>
      </c>
      <c r="B8" s="49">
        <v>8470605</v>
      </c>
      <c r="C8" s="50" t="s">
        <v>367</v>
      </c>
      <c r="D8" s="51">
        <v>428090</v>
      </c>
      <c r="E8" s="50" t="s">
        <v>26</v>
      </c>
      <c r="F8" s="50" t="s">
        <v>371</v>
      </c>
      <c r="G8" s="52">
        <v>962922</v>
      </c>
      <c r="H8" s="59">
        <v>1650</v>
      </c>
      <c r="I8" s="67"/>
      <c r="J8" s="65"/>
      <c r="K8" s="56">
        <v>961272</v>
      </c>
      <c r="L8" s="55"/>
      <c r="M8" s="54"/>
      <c r="N8" s="57"/>
      <c r="O8" s="57"/>
      <c r="P8" s="57"/>
      <c r="Q8" s="57"/>
      <c r="R8" s="57"/>
      <c r="S8" s="57"/>
      <c r="T8" s="57"/>
      <c r="U8" s="57"/>
      <c r="V8" s="58">
        <f t="shared" si="0"/>
        <v>961272</v>
      </c>
      <c r="W8" s="57"/>
    </row>
    <row r="9" spans="1:23" x14ac:dyDescent="0.25">
      <c r="A9" s="48" t="s">
        <v>16</v>
      </c>
      <c r="B9" s="49">
        <v>8470605</v>
      </c>
      <c r="C9" s="50" t="s">
        <v>367</v>
      </c>
      <c r="D9" s="51">
        <v>429900</v>
      </c>
      <c r="E9" s="50" t="s">
        <v>270</v>
      </c>
      <c r="F9" s="50" t="s">
        <v>372</v>
      </c>
      <c r="G9" s="52">
        <v>500000</v>
      </c>
      <c r="H9" s="53"/>
      <c r="I9" s="67"/>
      <c r="J9" s="65"/>
      <c r="K9" s="56">
        <v>500000</v>
      </c>
      <c r="L9" s="55"/>
      <c r="M9" s="54"/>
      <c r="N9" s="57"/>
      <c r="O9" s="57"/>
      <c r="P9" s="57"/>
      <c r="Q9" s="57"/>
      <c r="R9" s="57"/>
      <c r="S9" s="57"/>
      <c r="T9" s="57"/>
      <c r="U9" s="57"/>
      <c r="V9" s="58">
        <f t="shared" si="0"/>
        <v>500000</v>
      </c>
      <c r="W9" s="57"/>
    </row>
    <row r="10" spans="1:23" x14ac:dyDescent="0.25">
      <c r="A10" s="48" t="s">
        <v>16</v>
      </c>
      <c r="B10" s="49">
        <v>8470620</v>
      </c>
      <c r="C10" s="50" t="s">
        <v>373</v>
      </c>
      <c r="D10" s="51">
        <v>420130</v>
      </c>
      <c r="E10" s="50" t="s">
        <v>374</v>
      </c>
      <c r="F10" s="50" t="s">
        <v>375</v>
      </c>
      <c r="G10" s="52">
        <v>383200</v>
      </c>
      <c r="H10" s="59">
        <v>0</v>
      </c>
      <c r="I10" s="67"/>
      <c r="J10" s="65"/>
      <c r="K10" s="56">
        <v>383200</v>
      </c>
      <c r="L10" s="55"/>
      <c r="M10" s="54"/>
      <c r="N10" s="57"/>
      <c r="O10" s="57"/>
      <c r="P10" s="57"/>
      <c r="Q10" s="57"/>
      <c r="R10" s="57"/>
      <c r="S10" s="57"/>
      <c r="T10" s="57"/>
      <c r="U10" s="57"/>
      <c r="V10" s="58">
        <f t="shared" si="0"/>
        <v>383200</v>
      </c>
      <c r="W10" s="57"/>
    </row>
    <row r="11" spans="1:23" x14ac:dyDescent="0.25">
      <c r="A11" s="48" t="s">
        <v>16</v>
      </c>
      <c r="B11" s="49">
        <v>8470620</v>
      </c>
      <c r="C11" s="50" t="s">
        <v>373</v>
      </c>
      <c r="D11" s="51">
        <v>422900</v>
      </c>
      <c r="E11" s="50" t="s">
        <v>376</v>
      </c>
      <c r="F11" s="50" t="s">
        <v>377</v>
      </c>
      <c r="G11" s="52">
        <v>1119270</v>
      </c>
      <c r="H11" s="59">
        <v>306860</v>
      </c>
      <c r="I11" s="67">
        <v>-132860</v>
      </c>
      <c r="J11" s="65">
        <v>248860</v>
      </c>
      <c r="K11" s="56">
        <v>696410</v>
      </c>
      <c r="L11" s="55"/>
      <c r="M11" s="54"/>
      <c r="N11" s="57"/>
      <c r="O11" s="57"/>
      <c r="P11" s="57"/>
      <c r="Q11" s="57"/>
      <c r="R11" s="57"/>
      <c r="S11" s="57"/>
      <c r="T11" s="57"/>
      <c r="U11" s="57"/>
      <c r="V11" s="58">
        <f t="shared" si="0"/>
        <v>696410</v>
      </c>
      <c r="W11" s="57"/>
    </row>
    <row r="12" spans="1:23" x14ac:dyDescent="0.25">
      <c r="A12" s="48" t="s">
        <v>16</v>
      </c>
      <c r="B12" s="49">
        <v>8470620</v>
      </c>
      <c r="C12" s="50" t="s">
        <v>373</v>
      </c>
      <c r="D12" s="51">
        <v>425300</v>
      </c>
      <c r="E12" s="50" t="s">
        <v>378</v>
      </c>
      <c r="F12" s="50" t="s">
        <v>379</v>
      </c>
      <c r="G12" s="52">
        <v>537</v>
      </c>
      <c r="H12" s="59">
        <v>54.08</v>
      </c>
      <c r="I12" s="67"/>
      <c r="J12" s="65"/>
      <c r="K12" s="56">
        <v>482.92</v>
      </c>
      <c r="L12" s="55"/>
      <c r="M12" s="54"/>
      <c r="N12" s="57"/>
      <c r="O12" s="57"/>
      <c r="P12" s="57"/>
      <c r="Q12" s="57"/>
      <c r="R12" s="57"/>
      <c r="S12" s="57"/>
      <c r="T12" s="57"/>
      <c r="U12" s="57"/>
      <c r="V12" s="58">
        <f t="shared" si="0"/>
        <v>482.92</v>
      </c>
      <c r="W12" s="57"/>
    </row>
    <row r="13" spans="1:23" x14ac:dyDescent="0.25">
      <c r="A13" s="48" t="s">
        <v>16</v>
      </c>
      <c r="B13" s="49">
        <v>8470620</v>
      </c>
      <c r="C13" s="50" t="s">
        <v>373</v>
      </c>
      <c r="D13" s="51">
        <v>425350</v>
      </c>
      <c r="E13" s="50" t="s">
        <v>380</v>
      </c>
      <c r="F13" s="50" t="s">
        <v>381</v>
      </c>
      <c r="G13" s="52">
        <v>96524</v>
      </c>
      <c r="H13" s="59">
        <v>34822.46</v>
      </c>
      <c r="I13" s="67"/>
      <c r="J13" s="65"/>
      <c r="K13" s="56">
        <v>61701.54</v>
      </c>
      <c r="L13" s="55"/>
      <c r="M13" s="54"/>
      <c r="N13" s="57"/>
      <c r="O13" s="57"/>
      <c r="P13" s="57"/>
      <c r="Q13" s="57"/>
      <c r="R13" s="57"/>
      <c r="S13" s="57"/>
      <c r="T13" s="57"/>
      <c r="U13" s="57"/>
      <c r="V13" s="58">
        <f t="shared" si="0"/>
        <v>61701.54</v>
      </c>
      <c r="W13" s="57"/>
    </row>
    <row r="14" spans="1:23" x14ac:dyDescent="0.25">
      <c r="A14" s="48" t="s">
        <v>16</v>
      </c>
      <c r="B14" s="49">
        <v>8470620</v>
      </c>
      <c r="C14" s="50" t="s">
        <v>373</v>
      </c>
      <c r="D14" s="51">
        <v>425900</v>
      </c>
      <c r="E14" s="50" t="s">
        <v>24</v>
      </c>
      <c r="F14" s="50" t="s">
        <v>382</v>
      </c>
      <c r="G14" s="52">
        <v>2176</v>
      </c>
      <c r="H14" s="53"/>
      <c r="I14" s="67"/>
      <c r="J14" s="65"/>
      <c r="K14" s="56">
        <v>2176</v>
      </c>
      <c r="L14" s="55"/>
      <c r="M14" s="54"/>
      <c r="N14" s="57"/>
      <c r="O14" s="57"/>
      <c r="P14" s="57"/>
      <c r="Q14" s="57"/>
      <c r="R14" s="57"/>
      <c r="S14" s="57"/>
      <c r="T14" s="57"/>
      <c r="U14" s="57"/>
      <c r="V14" s="58">
        <f t="shared" si="0"/>
        <v>2176</v>
      </c>
      <c r="W14" s="57"/>
    </row>
    <row r="15" spans="1:23" x14ac:dyDescent="0.25">
      <c r="A15" s="48" t="s">
        <v>16</v>
      </c>
      <c r="B15" s="49">
        <v>8470620</v>
      </c>
      <c r="C15" s="50" t="s">
        <v>373</v>
      </c>
      <c r="D15" s="51">
        <v>426610</v>
      </c>
      <c r="E15" s="50" t="s">
        <v>39</v>
      </c>
      <c r="F15" s="50" t="s">
        <v>383</v>
      </c>
      <c r="G15" s="52">
        <v>34280</v>
      </c>
      <c r="H15" s="53"/>
      <c r="I15" s="67">
        <v>0</v>
      </c>
      <c r="J15" s="65">
        <v>31680</v>
      </c>
      <c r="K15" s="56">
        <v>2600</v>
      </c>
      <c r="L15" s="55"/>
      <c r="M15" s="54"/>
      <c r="N15" s="57"/>
      <c r="O15" s="57"/>
      <c r="P15" s="57"/>
      <c r="Q15" s="57"/>
      <c r="R15" s="57"/>
      <c r="S15" s="57"/>
      <c r="T15" s="57"/>
      <c r="U15" s="57"/>
      <c r="V15" s="58">
        <f t="shared" si="0"/>
        <v>2600</v>
      </c>
      <c r="W15" s="57"/>
    </row>
    <row r="16" spans="1:23" x14ac:dyDescent="0.25">
      <c r="G16" s="70"/>
    </row>
  </sheetData>
  <conditionalFormatting sqref="A3">
    <cfRule type="expression" dxfId="22" priority="6" stopIfTrue="1">
      <formula>MOD(ROW(),2)=0</formula>
    </cfRule>
  </conditionalFormatting>
  <conditionalFormatting sqref="A5:U15 W5:W15">
    <cfRule type="expression" dxfId="21" priority="5" stopIfTrue="1">
      <formula>MOD(ROW(),2)=0</formula>
    </cfRule>
  </conditionalFormatting>
  <conditionalFormatting sqref="V4:V15">
    <cfRule type="expression" dxfId="20" priority="4" stopIfTrue="1">
      <formula>MOD(ROW(),2)=0</formula>
    </cfRule>
  </conditionalFormatting>
  <conditionalFormatting sqref="B4:U4 W4">
    <cfRule type="expression" dxfId="19" priority="3" stopIfTrue="1">
      <formula>MOD(ROW(),2)=0</formula>
    </cfRule>
  </conditionalFormatting>
  <conditionalFormatting sqref="A4">
    <cfRule type="expression" dxfId="18" priority="1" stopIfTrue="1">
      <formula>MOD(ROW(),2)=0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9"/>
  <sheetViews>
    <sheetView topLeftCell="B1" workbookViewId="0">
      <selection activeCell="G4" sqref="G4:G18"/>
    </sheetView>
  </sheetViews>
  <sheetFormatPr defaultRowHeight="15" x14ac:dyDescent="0.25"/>
  <cols>
    <col min="1" max="1" width="20.7109375" customWidth="1"/>
    <col min="2" max="2" width="16.42578125" bestFit="1" customWidth="1"/>
    <col min="3" max="3" width="22.7109375" bestFit="1" customWidth="1"/>
    <col min="4" max="4" width="13.28515625" bestFit="1" customWidth="1"/>
    <col min="5" max="5" width="36.5703125" customWidth="1"/>
    <col min="6" max="6" width="39.5703125" bestFit="1" customWidth="1"/>
    <col min="7" max="7" width="9.85546875" bestFit="1" customWidth="1"/>
    <col min="8" max="8" width="14.28515625" bestFit="1" customWidth="1"/>
    <col min="9" max="9" width="8.5703125" bestFit="1" customWidth="1"/>
    <col min="10" max="10" width="3.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8470220</v>
      </c>
      <c r="C4" s="50" t="s">
        <v>85</v>
      </c>
      <c r="D4" s="51">
        <v>420550</v>
      </c>
      <c r="E4" s="50" t="s">
        <v>18</v>
      </c>
      <c r="F4" s="50" t="s">
        <v>86</v>
      </c>
      <c r="G4" s="52">
        <v>26159</v>
      </c>
      <c r="H4" s="53"/>
      <c r="I4" s="67"/>
      <c r="J4" s="65"/>
      <c r="K4" s="56">
        <v>26159</v>
      </c>
      <c r="L4" s="55"/>
      <c r="M4" s="54"/>
      <c r="N4" s="57"/>
      <c r="O4" s="57"/>
      <c r="P4" s="57"/>
      <c r="Q4" s="57"/>
      <c r="R4" s="57"/>
      <c r="S4" s="57"/>
      <c r="T4" s="57"/>
      <c r="U4" s="57"/>
      <c r="V4" s="58">
        <f t="shared" ref="V4:V18" si="0">K4-(SUM(L4:T4))</f>
        <v>26159</v>
      </c>
      <c r="W4" s="57"/>
    </row>
    <row r="5" spans="1:23" x14ac:dyDescent="0.25">
      <c r="A5" s="48" t="s">
        <v>16</v>
      </c>
      <c r="B5" s="49">
        <v>8470220</v>
      </c>
      <c r="C5" s="50" t="s">
        <v>85</v>
      </c>
      <c r="D5" s="51">
        <v>420570</v>
      </c>
      <c r="E5" s="50" t="s">
        <v>87</v>
      </c>
      <c r="F5" s="50" t="s">
        <v>88</v>
      </c>
      <c r="G5" s="52">
        <v>185000</v>
      </c>
      <c r="H5" s="59">
        <v>174841.45</v>
      </c>
      <c r="I5" s="67"/>
      <c r="J5" s="65"/>
      <c r="K5" s="56">
        <v>10158.549999999999</v>
      </c>
      <c r="L5" s="55"/>
      <c r="M5" s="54"/>
      <c r="N5" s="57"/>
      <c r="O5" s="57"/>
      <c r="P5" s="57"/>
      <c r="Q5" s="57"/>
      <c r="R5" s="57"/>
      <c r="S5" s="57"/>
      <c r="T5" s="57"/>
      <c r="U5" s="57"/>
      <c r="V5" s="58">
        <f t="shared" si="0"/>
        <v>10158.549999999999</v>
      </c>
      <c r="W5" s="57"/>
    </row>
    <row r="6" spans="1:23" x14ac:dyDescent="0.25">
      <c r="A6" s="48" t="s">
        <v>16</v>
      </c>
      <c r="B6" s="49">
        <v>8470220</v>
      </c>
      <c r="C6" s="50" t="s">
        <v>85</v>
      </c>
      <c r="D6" s="51">
        <v>421700</v>
      </c>
      <c r="E6" s="50" t="s">
        <v>36</v>
      </c>
      <c r="F6" s="50" t="s">
        <v>89</v>
      </c>
      <c r="G6" s="52">
        <v>1617497</v>
      </c>
      <c r="H6" s="59">
        <v>25003</v>
      </c>
      <c r="I6" s="67"/>
      <c r="J6" s="65"/>
      <c r="K6" s="56">
        <v>1592494</v>
      </c>
      <c r="L6" s="55"/>
      <c r="M6" s="54"/>
      <c r="N6" s="57"/>
      <c r="O6" s="57"/>
      <c r="P6" s="57"/>
      <c r="Q6" s="57"/>
      <c r="R6" s="57"/>
      <c r="S6" s="57"/>
      <c r="T6" s="57"/>
      <c r="U6" s="57"/>
      <c r="V6" s="58">
        <f t="shared" si="0"/>
        <v>1592494</v>
      </c>
      <c r="W6" s="57"/>
    </row>
    <row r="7" spans="1:23" x14ac:dyDescent="0.25">
      <c r="A7" s="48" t="s">
        <v>16</v>
      </c>
      <c r="B7" s="49">
        <v>8470220</v>
      </c>
      <c r="C7" s="50" t="s">
        <v>85</v>
      </c>
      <c r="D7" s="51">
        <v>425510</v>
      </c>
      <c r="E7" s="50" t="s">
        <v>20</v>
      </c>
      <c r="F7" s="50" t="s">
        <v>90</v>
      </c>
      <c r="G7" s="52">
        <v>1389058</v>
      </c>
      <c r="H7" s="59">
        <v>3300</v>
      </c>
      <c r="I7" s="67"/>
      <c r="J7" s="65"/>
      <c r="K7" s="56">
        <v>1385758</v>
      </c>
      <c r="L7" s="55"/>
      <c r="M7" s="54"/>
      <c r="N7" s="57"/>
      <c r="O7" s="57"/>
      <c r="P7" s="57"/>
      <c r="Q7" s="57"/>
      <c r="R7" s="57"/>
      <c r="S7" s="57"/>
      <c r="T7" s="57"/>
      <c r="U7" s="57"/>
      <c r="V7" s="58">
        <f t="shared" si="0"/>
        <v>1385758</v>
      </c>
      <c r="W7" s="57"/>
    </row>
    <row r="8" spans="1:23" x14ac:dyDescent="0.25">
      <c r="A8" s="48" t="s">
        <v>16</v>
      </c>
      <c r="B8" s="49">
        <v>8470220</v>
      </c>
      <c r="C8" s="50" t="s">
        <v>85</v>
      </c>
      <c r="D8" s="51">
        <v>425550</v>
      </c>
      <c r="E8" s="50" t="s">
        <v>22</v>
      </c>
      <c r="F8" s="50" t="s">
        <v>91</v>
      </c>
      <c r="G8" s="52">
        <v>13790</v>
      </c>
      <c r="H8" s="53"/>
      <c r="I8" s="67"/>
      <c r="J8" s="65"/>
      <c r="K8" s="56">
        <v>13790</v>
      </c>
      <c r="L8" s="55"/>
      <c r="M8" s="54"/>
      <c r="N8" s="57"/>
      <c r="O8" s="57"/>
      <c r="P8" s="57"/>
      <c r="Q8" s="57"/>
      <c r="R8" s="57"/>
      <c r="S8" s="57"/>
      <c r="T8" s="57"/>
      <c r="U8" s="57"/>
      <c r="V8" s="58">
        <f t="shared" si="0"/>
        <v>13790</v>
      </c>
      <c r="W8" s="57"/>
    </row>
    <row r="9" spans="1:23" x14ac:dyDescent="0.25">
      <c r="A9" s="48" t="s">
        <v>16</v>
      </c>
      <c r="B9" s="49">
        <v>8470220</v>
      </c>
      <c r="C9" s="50" t="s">
        <v>85</v>
      </c>
      <c r="D9" s="51">
        <v>425900</v>
      </c>
      <c r="E9" s="50" t="s">
        <v>24</v>
      </c>
      <c r="F9" s="50" t="s">
        <v>92</v>
      </c>
      <c r="G9" s="52">
        <v>21378</v>
      </c>
      <c r="H9" s="59">
        <v>5716.61</v>
      </c>
      <c r="I9" s="67"/>
      <c r="J9" s="65"/>
      <c r="K9" s="56">
        <v>15661.39</v>
      </c>
      <c r="L9" s="55"/>
      <c r="M9" s="54"/>
      <c r="N9" s="57"/>
      <c r="O9" s="57"/>
      <c r="P9" s="57"/>
      <c r="Q9" s="57"/>
      <c r="R9" s="57"/>
      <c r="S9" s="57"/>
      <c r="T9" s="57"/>
      <c r="U9" s="57"/>
      <c r="V9" s="58">
        <f t="shared" si="0"/>
        <v>15661.39</v>
      </c>
      <c r="W9" s="57"/>
    </row>
    <row r="10" spans="1:23" x14ac:dyDescent="0.25">
      <c r="A10" s="48" t="s">
        <v>16</v>
      </c>
      <c r="B10" s="49">
        <v>8470220</v>
      </c>
      <c r="C10" s="50" t="s">
        <v>85</v>
      </c>
      <c r="D10" s="51">
        <v>428090</v>
      </c>
      <c r="E10" s="50" t="s">
        <v>26</v>
      </c>
      <c r="F10" s="50" t="s">
        <v>93</v>
      </c>
      <c r="G10" s="52">
        <v>551900</v>
      </c>
      <c r="H10" s="59">
        <v>7269.52</v>
      </c>
      <c r="I10" s="67"/>
      <c r="J10" s="65"/>
      <c r="K10" s="56">
        <v>544630.48</v>
      </c>
      <c r="L10" s="55"/>
      <c r="M10" s="54"/>
      <c r="N10" s="57"/>
      <c r="O10" s="57"/>
      <c r="P10" s="57"/>
      <c r="Q10" s="57"/>
      <c r="R10" s="57"/>
      <c r="S10" s="57"/>
      <c r="T10" s="57"/>
      <c r="U10" s="57"/>
      <c r="V10" s="58">
        <f t="shared" si="0"/>
        <v>544630.48</v>
      </c>
      <c r="W10" s="57"/>
    </row>
    <row r="11" spans="1:23" x14ac:dyDescent="0.25">
      <c r="A11" s="48" t="s">
        <v>16</v>
      </c>
      <c r="B11" s="49">
        <v>8470220</v>
      </c>
      <c r="C11" s="50" t="s">
        <v>85</v>
      </c>
      <c r="D11" s="51">
        <v>428640</v>
      </c>
      <c r="E11" s="50" t="s">
        <v>59</v>
      </c>
      <c r="F11" s="50" t="s">
        <v>94</v>
      </c>
      <c r="G11" s="52">
        <v>261820</v>
      </c>
      <c r="H11" s="59">
        <v>316</v>
      </c>
      <c r="I11" s="67"/>
      <c r="J11" s="65"/>
      <c r="K11" s="56">
        <v>261504</v>
      </c>
      <c r="L11" s="55"/>
      <c r="M11" s="54"/>
      <c r="N11" s="57"/>
      <c r="O11" s="57"/>
      <c r="P11" s="57"/>
      <c r="Q11" s="57"/>
      <c r="R11" s="57"/>
      <c r="S11" s="57"/>
      <c r="T11" s="57"/>
      <c r="U11" s="57"/>
      <c r="V11" s="58">
        <f t="shared" si="0"/>
        <v>261504</v>
      </c>
      <c r="W11" s="57"/>
    </row>
    <row r="12" spans="1:23" x14ac:dyDescent="0.25">
      <c r="A12" s="48" t="s">
        <v>16</v>
      </c>
      <c r="B12" s="49">
        <v>8470220</v>
      </c>
      <c r="C12" s="50" t="s">
        <v>85</v>
      </c>
      <c r="D12" s="51">
        <v>428640</v>
      </c>
      <c r="E12" s="50" t="s">
        <v>59</v>
      </c>
      <c r="F12" s="50" t="s">
        <v>95</v>
      </c>
      <c r="G12" s="52">
        <v>2000000</v>
      </c>
      <c r="H12" s="53"/>
      <c r="I12" s="67"/>
      <c r="J12" s="65"/>
      <c r="K12" s="56">
        <v>2000000</v>
      </c>
      <c r="L12" s="55"/>
      <c r="M12" s="54"/>
      <c r="N12" s="57"/>
      <c r="O12" s="57"/>
      <c r="P12" s="57"/>
      <c r="Q12" s="57"/>
      <c r="R12" s="57"/>
      <c r="S12" s="57"/>
      <c r="T12" s="57"/>
      <c r="U12" s="57"/>
      <c r="V12" s="58">
        <f t="shared" si="0"/>
        <v>2000000</v>
      </c>
      <c r="W12" s="57"/>
    </row>
    <row r="13" spans="1:23" x14ac:dyDescent="0.25">
      <c r="A13" s="48" t="s">
        <v>16</v>
      </c>
      <c r="B13" s="49">
        <v>8470220</v>
      </c>
      <c r="C13" s="50" t="s">
        <v>85</v>
      </c>
      <c r="D13" s="51">
        <v>432205</v>
      </c>
      <c r="E13" s="50" t="s">
        <v>96</v>
      </c>
      <c r="F13" s="50" t="s">
        <v>97</v>
      </c>
      <c r="G13" s="52">
        <v>4648</v>
      </c>
      <c r="H13" s="53"/>
      <c r="I13" s="67"/>
      <c r="J13" s="65"/>
      <c r="K13" s="56">
        <v>4648</v>
      </c>
      <c r="L13" s="55"/>
      <c r="M13" s="54"/>
      <c r="N13" s="57"/>
      <c r="O13" s="57"/>
      <c r="P13" s="57"/>
      <c r="Q13" s="57"/>
      <c r="R13" s="57"/>
      <c r="S13" s="57"/>
      <c r="T13" s="57"/>
      <c r="U13" s="57"/>
      <c r="V13" s="58">
        <f t="shared" si="0"/>
        <v>4648</v>
      </c>
      <c r="W13" s="57"/>
    </row>
    <row r="14" spans="1:23" x14ac:dyDescent="0.25">
      <c r="A14" s="48" t="s">
        <v>16</v>
      </c>
      <c r="B14" s="49">
        <v>8470220</v>
      </c>
      <c r="C14" s="50" t="s">
        <v>85</v>
      </c>
      <c r="D14" s="51">
        <v>435350</v>
      </c>
      <c r="E14" s="50" t="s">
        <v>98</v>
      </c>
      <c r="F14" s="50" t="s">
        <v>99</v>
      </c>
      <c r="G14" s="52">
        <v>3500000</v>
      </c>
      <c r="H14" s="59">
        <v>3856.65</v>
      </c>
      <c r="I14" s="67"/>
      <c r="J14" s="65"/>
      <c r="K14" s="56">
        <v>3496143.35</v>
      </c>
      <c r="L14" s="55"/>
      <c r="M14" s="54"/>
      <c r="N14" s="57"/>
      <c r="O14" s="57"/>
      <c r="P14" s="57"/>
      <c r="Q14" s="57"/>
      <c r="R14" s="57"/>
      <c r="S14" s="57"/>
      <c r="T14" s="57"/>
      <c r="U14" s="57"/>
      <c r="V14" s="58">
        <f t="shared" si="0"/>
        <v>3496143.35</v>
      </c>
      <c r="W14" s="57"/>
    </row>
    <row r="15" spans="1:23" x14ac:dyDescent="0.25">
      <c r="A15" s="48" t="s">
        <v>16</v>
      </c>
      <c r="B15" s="49">
        <v>8470220</v>
      </c>
      <c r="C15" s="50" t="s">
        <v>85</v>
      </c>
      <c r="D15" s="51">
        <v>435508</v>
      </c>
      <c r="E15" s="50" t="s">
        <v>100</v>
      </c>
      <c r="F15" s="50" t="s">
        <v>101</v>
      </c>
      <c r="G15" s="52">
        <v>300000</v>
      </c>
      <c r="H15" s="53"/>
      <c r="I15" s="67"/>
      <c r="J15" s="65"/>
      <c r="K15" s="56">
        <v>300000</v>
      </c>
      <c r="L15" s="55"/>
      <c r="M15" s="54"/>
      <c r="N15" s="57"/>
      <c r="O15" s="57"/>
      <c r="P15" s="57"/>
      <c r="Q15" s="57"/>
      <c r="R15" s="57"/>
      <c r="S15" s="57"/>
      <c r="T15" s="57"/>
      <c r="U15" s="57"/>
      <c r="V15" s="58">
        <f t="shared" si="0"/>
        <v>300000</v>
      </c>
      <c r="W15" s="57"/>
    </row>
    <row r="16" spans="1:23" x14ac:dyDescent="0.25">
      <c r="A16" s="48" t="s">
        <v>561</v>
      </c>
      <c r="B16" s="49">
        <v>8470220</v>
      </c>
      <c r="C16" s="50" t="s">
        <v>85</v>
      </c>
      <c r="D16" s="51">
        <v>492310</v>
      </c>
      <c r="E16" s="50" t="s">
        <v>564</v>
      </c>
      <c r="F16" s="50" t="s">
        <v>565</v>
      </c>
      <c r="G16" s="52">
        <v>244323</v>
      </c>
      <c r="H16" s="53"/>
      <c r="I16" s="67">
        <v>150000</v>
      </c>
      <c r="J16" s="65"/>
      <c r="K16" s="56">
        <v>94323</v>
      </c>
      <c r="L16" s="55"/>
      <c r="M16" s="54"/>
      <c r="N16" s="57"/>
      <c r="O16" s="57"/>
      <c r="P16" s="57"/>
      <c r="Q16" s="57"/>
      <c r="R16" s="57"/>
      <c r="S16" s="57"/>
      <c r="T16" s="57"/>
      <c r="U16" s="57"/>
      <c r="V16" s="58">
        <f t="shared" si="0"/>
        <v>94323</v>
      </c>
      <c r="W16" s="57"/>
    </row>
    <row r="17" spans="1:23" x14ac:dyDescent="0.25">
      <c r="A17" s="48" t="s">
        <v>561</v>
      </c>
      <c r="B17" s="49">
        <v>8470220</v>
      </c>
      <c r="C17" s="50" t="s">
        <v>85</v>
      </c>
      <c r="D17" s="51">
        <v>492316</v>
      </c>
      <c r="E17" s="50" t="s">
        <v>124</v>
      </c>
      <c r="F17" s="50" t="s">
        <v>566</v>
      </c>
      <c r="G17" s="52">
        <v>697</v>
      </c>
      <c r="H17" s="53"/>
      <c r="I17" s="67"/>
      <c r="J17" s="65"/>
      <c r="K17" s="56">
        <v>697</v>
      </c>
      <c r="L17" s="55"/>
      <c r="M17" s="54"/>
      <c r="N17" s="57"/>
      <c r="O17" s="57"/>
      <c r="P17" s="57"/>
      <c r="Q17" s="57"/>
      <c r="R17" s="57"/>
      <c r="S17" s="57"/>
      <c r="T17" s="57"/>
      <c r="U17" s="57"/>
      <c r="V17" s="58">
        <f t="shared" si="0"/>
        <v>697</v>
      </c>
      <c r="W17" s="57"/>
    </row>
    <row r="18" spans="1:23" x14ac:dyDescent="0.25">
      <c r="A18" s="48" t="s">
        <v>561</v>
      </c>
      <c r="B18" s="49">
        <v>8470220</v>
      </c>
      <c r="C18" s="50" t="s">
        <v>85</v>
      </c>
      <c r="D18" s="51">
        <v>492316</v>
      </c>
      <c r="E18" s="50" t="s">
        <v>124</v>
      </c>
      <c r="F18" s="50" t="s">
        <v>567</v>
      </c>
      <c r="G18" s="52">
        <v>15000000</v>
      </c>
      <c r="H18" s="53"/>
      <c r="I18" s="67">
        <v>16730</v>
      </c>
      <c r="J18" s="65"/>
      <c r="K18" s="56">
        <v>14983270</v>
      </c>
      <c r="L18" s="55"/>
      <c r="M18" s="54"/>
      <c r="N18" s="57"/>
      <c r="O18" s="57"/>
      <c r="P18" s="57"/>
      <c r="Q18" s="57"/>
      <c r="R18" s="57"/>
      <c r="S18" s="57"/>
      <c r="T18" s="57"/>
      <c r="U18" s="57"/>
      <c r="V18" s="58">
        <f t="shared" si="0"/>
        <v>14983270</v>
      </c>
      <c r="W18" s="57"/>
    </row>
    <row r="19" spans="1:23" x14ac:dyDescent="0.25">
      <c r="G19" s="71"/>
    </row>
  </sheetData>
  <conditionalFormatting sqref="A3">
    <cfRule type="expression" dxfId="17" priority="3" stopIfTrue="1">
      <formula>MOD(ROW(),2)=0</formula>
    </cfRule>
  </conditionalFormatting>
  <conditionalFormatting sqref="A4:U18 W4:W18">
    <cfRule type="expression" dxfId="16" priority="2" stopIfTrue="1">
      <formula>MOD(ROW(),2)=0</formula>
    </cfRule>
  </conditionalFormatting>
  <conditionalFormatting sqref="V4:V18">
    <cfRule type="expression" dxfId="15" priority="1" stopIfTrue="1">
      <formula>MOD(ROW(),2)=0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topLeftCell="B22" workbookViewId="0">
      <selection activeCell="G4" sqref="G4:G33"/>
    </sheetView>
  </sheetViews>
  <sheetFormatPr defaultRowHeight="15" x14ac:dyDescent="0.25"/>
  <cols>
    <col min="1" max="1" width="19.85546875" customWidth="1"/>
    <col min="2" max="2" width="16.42578125" bestFit="1" customWidth="1"/>
    <col min="3" max="3" width="22.28515625" bestFit="1" customWidth="1"/>
    <col min="4" max="4" width="13.28515625" bestFit="1" customWidth="1"/>
    <col min="5" max="5" width="36.7109375" customWidth="1"/>
    <col min="6" max="6" width="39.5703125" bestFit="1" customWidth="1"/>
    <col min="7" max="7" width="9.85546875" bestFit="1" customWidth="1"/>
    <col min="8" max="8" width="14.28515625" bestFit="1" customWidth="1"/>
    <col min="9" max="9" width="9.140625" bestFit="1" customWidth="1"/>
    <col min="10" max="10" width="10"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8471305</v>
      </c>
      <c r="C4" s="50" t="s">
        <v>530</v>
      </c>
      <c r="D4" s="51">
        <v>420570</v>
      </c>
      <c r="E4" s="50" t="s">
        <v>87</v>
      </c>
      <c r="F4" s="50" t="s">
        <v>531</v>
      </c>
      <c r="G4" s="52">
        <v>35155240</v>
      </c>
      <c r="H4" s="53"/>
      <c r="I4" s="67"/>
      <c r="J4" s="65"/>
      <c r="K4" s="56">
        <v>35155240</v>
      </c>
      <c r="L4" s="55"/>
      <c r="M4" s="54"/>
      <c r="N4" s="57"/>
      <c r="O4" s="57"/>
      <c r="P4" s="57"/>
      <c r="Q4" s="57"/>
      <c r="R4" s="57"/>
      <c r="S4" s="57"/>
      <c r="T4" s="57"/>
      <c r="U4" s="57"/>
      <c r="V4" s="58">
        <f t="shared" ref="V4:V33" si="0">K4-(SUM(L4:T4))</f>
        <v>35155240</v>
      </c>
      <c r="W4" s="57"/>
    </row>
    <row r="5" spans="1:23" x14ac:dyDescent="0.25">
      <c r="A5" s="48" t="s">
        <v>16</v>
      </c>
      <c r="B5" s="49">
        <v>8471305</v>
      </c>
      <c r="C5" s="50" t="s">
        <v>530</v>
      </c>
      <c r="D5" s="51">
        <v>421000</v>
      </c>
      <c r="E5" s="50" t="s">
        <v>34</v>
      </c>
      <c r="F5" s="50" t="s">
        <v>532</v>
      </c>
      <c r="G5" s="52">
        <v>147834</v>
      </c>
      <c r="H5" s="53"/>
      <c r="I5" s="67"/>
      <c r="J5" s="65"/>
      <c r="K5" s="56">
        <v>147834</v>
      </c>
      <c r="L5" s="55"/>
      <c r="M5" s="54"/>
      <c r="N5" s="57"/>
      <c r="O5" s="57"/>
      <c r="P5" s="57"/>
      <c r="Q5" s="57"/>
      <c r="R5" s="57"/>
      <c r="S5" s="57"/>
      <c r="T5" s="57"/>
      <c r="U5" s="57"/>
      <c r="V5" s="58">
        <f t="shared" si="0"/>
        <v>147834</v>
      </c>
      <c r="W5" s="57"/>
    </row>
    <row r="6" spans="1:23" x14ac:dyDescent="0.25">
      <c r="A6" s="48" t="s">
        <v>16</v>
      </c>
      <c r="B6" s="49">
        <v>8471305</v>
      </c>
      <c r="C6" s="50" t="s">
        <v>530</v>
      </c>
      <c r="D6" s="51">
        <v>421700</v>
      </c>
      <c r="E6" s="50" t="s">
        <v>36</v>
      </c>
      <c r="F6" s="50" t="s">
        <v>533</v>
      </c>
      <c r="G6" s="52">
        <v>73837</v>
      </c>
      <c r="H6" s="53"/>
      <c r="I6" s="67"/>
      <c r="J6" s="65"/>
      <c r="K6" s="56">
        <v>73837</v>
      </c>
      <c r="L6" s="55"/>
      <c r="M6" s="54"/>
      <c r="N6" s="57"/>
      <c r="O6" s="57"/>
      <c r="P6" s="57"/>
      <c r="Q6" s="57"/>
      <c r="R6" s="57"/>
      <c r="S6" s="57"/>
      <c r="T6" s="57"/>
      <c r="U6" s="57"/>
      <c r="V6" s="58">
        <f t="shared" si="0"/>
        <v>73837</v>
      </c>
      <c r="W6" s="57"/>
    </row>
    <row r="7" spans="1:23" x14ac:dyDescent="0.25">
      <c r="A7" s="48" t="s">
        <v>16</v>
      </c>
      <c r="B7" s="49">
        <v>8471305</v>
      </c>
      <c r="C7" s="50" t="s">
        <v>530</v>
      </c>
      <c r="D7" s="51">
        <v>425510</v>
      </c>
      <c r="E7" s="50" t="s">
        <v>20</v>
      </c>
      <c r="F7" s="50" t="s">
        <v>534</v>
      </c>
      <c r="G7" s="52">
        <v>343341</v>
      </c>
      <c r="H7" s="59">
        <v>113860.73</v>
      </c>
      <c r="I7" s="67"/>
      <c r="J7" s="65"/>
      <c r="K7" s="56">
        <v>229480.27</v>
      </c>
      <c r="L7" s="55"/>
      <c r="M7" s="54"/>
      <c r="N7" s="57"/>
      <c r="O7" s="57"/>
      <c r="P7" s="57"/>
      <c r="Q7" s="57"/>
      <c r="R7" s="57"/>
      <c r="S7" s="57"/>
      <c r="T7" s="57"/>
      <c r="U7" s="57"/>
      <c r="V7" s="58">
        <f t="shared" si="0"/>
        <v>229480.27</v>
      </c>
      <c r="W7" s="57"/>
    </row>
    <row r="8" spans="1:23" x14ac:dyDescent="0.25">
      <c r="A8" s="48" t="s">
        <v>16</v>
      </c>
      <c r="B8" s="49">
        <v>8471305</v>
      </c>
      <c r="C8" s="50" t="s">
        <v>530</v>
      </c>
      <c r="D8" s="51">
        <v>425550</v>
      </c>
      <c r="E8" s="50" t="s">
        <v>22</v>
      </c>
      <c r="F8" s="50" t="s">
        <v>535</v>
      </c>
      <c r="G8" s="52">
        <v>388107</v>
      </c>
      <c r="H8" s="59">
        <v>93300.74</v>
      </c>
      <c r="I8" s="67"/>
      <c r="J8" s="65"/>
      <c r="K8" s="56">
        <v>294806.26</v>
      </c>
      <c r="L8" s="55"/>
      <c r="M8" s="54"/>
      <c r="N8" s="57"/>
      <c r="O8" s="57"/>
      <c r="P8" s="57"/>
      <c r="Q8" s="57"/>
      <c r="R8" s="57"/>
      <c r="S8" s="57"/>
      <c r="T8" s="57"/>
      <c r="U8" s="57"/>
      <c r="V8" s="58">
        <f t="shared" si="0"/>
        <v>294806.26</v>
      </c>
      <c r="W8" s="57"/>
    </row>
    <row r="9" spans="1:23" x14ac:dyDescent="0.25">
      <c r="A9" s="48" t="s">
        <v>16</v>
      </c>
      <c r="B9" s="49">
        <v>8471305</v>
      </c>
      <c r="C9" s="50" t="s">
        <v>530</v>
      </c>
      <c r="D9" s="51">
        <v>425720</v>
      </c>
      <c r="E9" s="50" t="s">
        <v>185</v>
      </c>
      <c r="F9" s="50" t="s">
        <v>536</v>
      </c>
      <c r="G9" s="52">
        <v>1356965</v>
      </c>
      <c r="H9" s="59">
        <v>843071.51</v>
      </c>
      <c r="I9" s="67">
        <v>-400579.26</v>
      </c>
      <c r="J9" s="65">
        <v>375686.24</v>
      </c>
      <c r="K9" s="56">
        <v>538786.51</v>
      </c>
      <c r="L9" s="55"/>
      <c r="M9" s="54"/>
      <c r="N9" s="57"/>
      <c r="O9" s="57"/>
      <c r="P9" s="57"/>
      <c r="Q9" s="57"/>
      <c r="R9" s="57"/>
      <c r="S9" s="57"/>
      <c r="T9" s="57"/>
      <c r="U9" s="57"/>
      <c r="V9" s="58">
        <f t="shared" si="0"/>
        <v>538786.51</v>
      </c>
      <c r="W9" s="57"/>
    </row>
    <row r="10" spans="1:23" x14ac:dyDescent="0.25">
      <c r="A10" s="48" t="s">
        <v>16</v>
      </c>
      <c r="B10" s="49">
        <v>8471305</v>
      </c>
      <c r="C10" s="50" t="s">
        <v>530</v>
      </c>
      <c r="D10" s="51">
        <v>425742</v>
      </c>
      <c r="E10" s="50" t="s">
        <v>476</v>
      </c>
      <c r="F10" s="50" t="s">
        <v>537</v>
      </c>
      <c r="G10" s="52">
        <v>178785</v>
      </c>
      <c r="H10" s="59">
        <v>3253.52</v>
      </c>
      <c r="I10" s="67"/>
      <c r="J10" s="65"/>
      <c r="K10" s="56">
        <v>175531.48</v>
      </c>
      <c r="L10" s="55"/>
      <c r="M10" s="54"/>
      <c r="N10" s="57"/>
      <c r="O10" s="57"/>
      <c r="P10" s="57"/>
      <c r="Q10" s="57"/>
      <c r="R10" s="57"/>
      <c r="S10" s="57"/>
      <c r="T10" s="57"/>
      <c r="U10" s="57"/>
      <c r="V10" s="58">
        <f t="shared" si="0"/>
        <v>175531.48</v>
      </c>
      <c r="W10" s="57"/>
    </row>
    <row r="11" spans="1:23" x14ac:dyDescent="0.25">
      <c r="A11" s="48" t="s">
        <v>16</v>
      </c>
      <c r="B11" s="49">
        <v>8471305</v>
      </c>
      <c r="C11" s="50" t="s">
        <v>530</v>
      </c>
      <c r="D11" s="51">
        <v>425744</v>
      </c>
      <c r="E11" s="50" t="s">
        <v>106</v>
      </c>
      <c r="F11" s="50" t="s">
        <v>538</v>
      </c>
      <c r="G11" s="52">
        <v>100002</v>
      </c>
      <c r="H11" s="53"/>
      <c r="I11" s="67"/>
      <c r="J11" s="65"/>
      <c r="K11" s="56">
        <v>100002</v>
      </c>
      <c r="L11" s="55"/>
      <c r="M11" s="54"/>
      <c r="N11" s="57"/>
      <c r="O11" s="57"/>
      <c r="P11" s="57"/>
      <c r="Q11" s="57"/>
      <c r="R11" s="57"/>
      <c r="S11" s="57"/>
      <c r="T11" s="57"/>
      <c r="U11" s="57"/>
      <c r="V11" s="58">
        <f t="shared" si="0"/>
        <v>100002</v>
      </c>
      <c r="W11" s="57"/>
    </row>
    <row r="12" spans="1:23" x14ac:dyDescent="0.25">
      <c r="A12" s="48" t="s">
        <v>16</v>
      </c>
      <c r="B12" s="49">
        <v>8471305</v>
      </c>
      <c r="C12" s="50" t="s">
        <v>530</v>
      </c>
      <c r="D12" s="51">
        <v>425745</v>
      </c>
      <c r="E12" s="50" t="s">
        <v>108</v>
      </c>
      <c r="F12" s="50" t="s">
        <v>539</v>
      </c>
      <c r="G12" s="52">
        <v>54543</v>
      </c>
      <c r="H12" s="53"/>
      <c r="I12" s="67"/>
      <c r="J12" s="65"/>
      <c r="K12" s="56">
        <v>54543</v>
      </c>
      <c r="L12" s="55"/>
      <c r="M12" s="54"/>
      <c r="N12" s="57"/>
      <c r="O12" s="57"/>
      <c r="P12" s="57"/>
      <c r="Q12" s="57"/>
      <c r="R12" s="57"/>
      <c r="S12" s="57"/>
      <c r="T12" s="57"/>
      <c r="U12" s="57"/>
      <c r="V12" s="58">
        <f t="shared" si="0"/>
        <v>54543</v>
      </c>
      <c r="W12" s="57"/>
    </row>
    <row r="13" spans="1:23" x14ac:dyDescent="0.25">
      <c r="A13" s="48" t="s">
        <v>16</v>
      </c>
      <c r="B13" s="49">
        <v>8471305</v>
      </c>
      <c r="C13" s="50" t="s">
        <v>530</v>
      </c>
      <c r="D13" s="51">
        <v>425749</v>
      </c>
      <c r="E13" s="50" t="s">
        <v>82</v>
      </c>
      <c r="F13" s="50" t="s">
        <v>540</v>
      </c>
      <c r="G13" s="52">
        <v>32876000</v>
      </c>
      <c r="H13" s="59">
        <v>8263466.6699999999</v>
      </c>
      <c r="I13" s="67"/>
      <c r="J13" s="65"/>
      <c r="K13" s="56">
        <v>24612533.329999998</v>
      </c>
      <c r="L13" s="55"/>
      <c r="M13" s="54"/>
      <c r="N13" s="57"/>
      <c r="O13" s="57"/>
      <c r="P13" s="57"/>
      <c r="Q13" s="57"/>
      <c r="R13" s="57"/>
      <c r="S13" s="57"/>
      <c r="T13" s="57"/>
      <c r="U13" s="57"/>
      <c r="V13" s="58">
        <f t="shared" si="0"/>
        <v>24612533.329999998</v>
      </c>
      <c r="W13" s="57"/>
    </row>
    <row r="14" spans="1:23" x14ac:dyDescent="0.25">
      <c r="A14" s="48" t="s">
        <v>16</v>
      </c>
      <c r="B14" s="49">
        <v>8471305</v>
      </c>
      <c r="C14" s="50" t="s">
        <v>530</v>
      </c>
      <c r="D14" s="51">
        <v>425750</v>
      </c>
      <c r="E14" s="50" t="s">
        <v>541</v>
      </c>
      <c r="F14" s="50" t="s">
        <v>542</v>
      </c>
      <c r="G14" s="52">
        <v>179593</v>
      </c>
      <c r="H14" s="59">
        <v>13039.35</v>
      </c>
      <c r="I14" s="67"/>
      <c r="J14" s="65"/>
      <c r="K14" s="56">
        <v>166553.65</v>
      </c>
      <c r="L14" s="55"/>
      <c r="M14" s="54"/>
      <c r="N14" s="57"/>
      <c r="O14" s="57"/>
      <c r="P14" s="57"/>
      <c r="Q14" s="57"/>
      <c r="R14" s="57"/>
      <c r="S14" s="57"/>
      <c r="T14" s="57"/>
      <c r="U14" s="57"/>
      <c r="V14" s="58">
        <f t="shared" si="0"/>
        <v>166553.65</v>
      </c>
      <c r="W14" s="57"/>
    </row>
    <row r="15" spans="1:23" x14ac:dyDescent="0.25">
      <c r="A15" s="48" t="s">
        <v>16</v>
      </c>
      <c r="B15" s="49">
        <v>8471305</v>
      </c>
      <c r="C15" s="50" t="s">
        <v>530</v>
      </c>
      <c r="D15" s="51">
        <v>425762</v>
      </c>
      <c r="E15" s="50" t="s">
        <v>111</v>
      </c>
      <c r="F15" s="50" t="s">
        <v>543</v>
      </c>
      <c r="G15" s="52">
        <v>500000</v>
      </c>
      <c r="H15" s="59">
        <v>166392.82999999999</v>
      </c>
      <c r="I15" s="67"/>
      <c r="J15" s="65"/>
      <c r="K15" s="56">
        <v>333607.17</v>
      </c>
      <c r="L15" s="55"/>
      <c r="M15" s="54"/>
      <c r="N15" s="57"/>
      <c r="O15" s="57"/>
      <c r="P15" s="57"/>
      <c r="Q15" s="57"/>
      <c r="R15" s="57"/>
      <c r="S15" s="57"/>
      <c r="T15" s="57"/>
      <c r="U15" s="57"/>
      <c r="V15" s="58">
        <f t="shared" si="0"/>
        <v>333607.17</v>
      </c>
      <c r="W15" s="57"/>
    </row>
    <row r="16" spans="1:23" x14ac:dyDescent="0.25">
      <c r="A16" s="48" t="s">
        <v>16</v>
      </c>
      <c r="B16" s="49">
        <v>8471305</v>
      </c>
      <c r="C16" s="50" t="s">
        <v>530</v>
      </c>
      <c r="D16" s="51">
        <v>425763</v>
      </c>
      <c r="E16" s="50" t="s">
        <v>53</v>
      </c>
      <c r="F16" s="50" t="s">
        <v>544</v>
      </c>
      <c r="G16" s="52">
        <v>2940</v>
      </c>
      <c r="H16" s="53"/>
      <c r="I16" s="67"/>
      <c r="J16" s="65"/>
      <c r="K16" s="56">
        <v>2940</v>
      </c>
      <c r="L16" s="55"/>
      <c r="M16" s="54"/>
      <c r="N16" s="57"/>
      <c r="O16" s="57"/>
      <c r="P16" s="57"/>
      <c r="Q16" s="57"/>
      <c r="R16" s="57"/>
      <c r="S16" s="57"/>
      <c r="T16" s="57"/>
      <c r="U16" s="57"/>
      <c r="V16" s="58">
        <f t="shared" si="0"/>
        <v>2940</v>
      </c>
      <c r="W16" s="57"/>
    </row>
    <row r="17" spans="1:23" x14ac:dyDescent="0.25">
      <c r="A17" s="48" t="s">
        <v>16</v>
      </c>
      <c r="B17" s="49">
        <v>8471305</v>
      </c>
      <c r="C17" s="50" t="s">
        <v>530</v>
      </c>
      <c r="D17" s="51">
        <v>425770</v>
      </c>
      <c r="E17" s="50" t="s">
        <v>119</v>
      </c>
      <c r="F17" s="50" t="s">
        <v>545</v>
      </c>
      <c r="G17" s="52">
        <v>350000</v>
      </c>
      <c r="H17" s="53"/>
      <c r="I17" s="67"/>
      <c r="J17" s="65"/>
      <c r="K17" s="56">
        <v>350000</v>
      </c>
      <c r="L17" s="55"/>
      <c r="M17" s="54"/>
      <c r="N17" s="57"/>
      <c r="O17" s="57"/>
      <c r="P17" s="57"/>
      <c r="Q17" s="57"/>
      <c r="R17" s="57"/>
      <c r="S17" s="57"/>
      <c r="T17" s="57"/>
      <c r="U17" s="57"/>
      <c r="V17" s="58">
        <f t="shared" si="0"/>
        <v>350000</v>
      </c>
      <c r="W17" s="57"/>
    </row>
    <row r="18" spans="1:23" x14ac:dyDescent="0.25">
      <c r="A18" s="48" t="s">
        <v>16</v>
      </c>
      <c r="B18" s="49">
        <v>8471305</v>
      </c>
      <c r="C18" s="50" t="s">
        <v>530</v>
      </c>
      <c r="D18" s="51">
        <v>425900</v>
      </c>
      <c r="E18" s="50" t="s">
        <v>24</v>
      </c>
      <c r="F18" s="50" t="s">
        <v>546</v>
      </c>
      <c r="G18" s="52">
        <v>58984</v>
      </c>
      <c r="H18" s="59">
        <v>23972.23</v>
      </c>
      <c r="I18" s="67"/>
      <c r="J18" s="65"/>
      <c r="K18" s="56">
        <v>35011.769999999997</v>
      </c>
      <c r="L18" s="55"/>
      <c r="M18" s="54"/>
      <c r="N18" s="57"/>
      <c r="O18" s="57"/>
      <c r="P18" s="57"/>
      <c r="Q18" s="57"/>
      <c r="R18" s="57"/>
      <c r="S18" s="57"/>
      <c r="T18" s="57"/>
      <c r="U18" s="57"/>
      <c r="V18" s="58">
        <f t="shared" si="0"/>
        <v>35011.769999999997</v>
      </c>
      <c r="W18" s="57"/>
    </row>
    <row r="19" spans="1:23" x14ac:dyDescent="0.25">
      <c r="A19" s="48" t="s">
        <v>16</v>
      </c>
      <c r="B19" s="49">
        <v>8471305</v>
      </c>
      <c r="C19" s="50" t="s">
        <v>530</v>
      </c>
      <c r="D19" s="51">
        <v>426610</v>
      </c>
      <c r="E19" s="50" t="s">
        <v>39</v>
      </c>
      <c r="F19" s="50" t="s">
        <v>547</v>
      </c>
      <c r="G19" s="52">
        <v>977363</v>
      </c>
      <c r="H19" s="59">
        <v>364.45</v>
      </c>
      <c r="I19" s="67">
        <v>52675</v>
      </c>
      <c r="J19" s="65"/>
      <c r="K19" s="56">
        <v>924323.55</v>
      </c>
      <c r="L19" s="55"/>
      <c r="M19" s="54"/>
      <c r="N19" s="57"/>
      <c r="O19" s="57"/>
      <c r="P19" s="57"/>
      <c r="Q19" s="57"/>
      <c r="R19" s="57"/>
      <c r="S19" s="57"/>
      <c r="T19" s="57"/>
      <c r="U19" s="57"/>
      <c r="V19" s="58">
        <f t="shared" si="0"/>
        <v>924323.55</v>
      </c>
      <c r="W19" s="57"/>
    </row>
    <row r="20" spans="1:23" x14ac:dyDescent="0.25">
      <c r="A20" s="48" t="s">
        <v>16</v>
      </c>
      <c r="B20" s="49">
        <v>8471305</v>
      </c>
      <c r="C20" s="50" t="s">
        <v>530</v>
      </c>
      <c r="D20" s="51">
        <v>426900</v>
      </c>
      <c r="E20" s="50" t="s">
        <v>328</v>
      </c>
      <c r="F20" s="50" t="s">
        <v>548</v>
      </c>
      <c r="G20" s="52">
        <v>5000</v>
      </c>
      <c r="H20" s="53"/>
      <c r="I20" s="67"/>
      <c r="J20" s="65"/>
      <c r="K20" s="56">
        <v>5000</v>
      </c>
      <c r="L20" s="55"/>
      <c r="M20" s="54"/>
      <c r="N20" s="57"/>
      <c r="O20" s="57"/>
      <c r="P20" s="57"/>
      <c r="Q20" s="57"/>
      <c r="R20" s="57"/>
      <c r="S20" s="57"/>
      <c r="T20" s="57"/>
      <c r="U20" s="57"/>
      <c r="V20" s="58">
        <f t="shared" si="0"/>
        <v>5000</v>
      </c>
      <c r="W20" s="57"/>
    </row>
    <row r="21" spans="1:23" x14ac:dyDescent="0.25">
      <c r="A21" s="48" t="s">
        <v>16</v>
      </c>
      <c r="B21" s="49">
        <v>8471305</v>
      </c>
      <c r="C21" s="50" t="s">
        <v>530</v>
      </c>
      <c r="D21" s="51">
        <v>427710</v>
      </c>
      <c r="E21" s="50" t="s">
        <v>45</v>
      </c>
      <c r="F21" s="50" t="s">
        <v>549</v>
      </c>
      <c r="G21" s="52">
        <v>50517</v>
      </c>
      <c r="H21" s="59">
        <v>-11042.58</v>
      </c>
      <c r="I21" s="67">
        <v>8640</v>
      </c>
      <c r="J21" s="65"/>
      <c r="K21" s="56">
        <v>52919.58</v>
      </c>
      <c r="L21" s="55"/>
      <c r="M21" s="54"/>
      <c r="N21" s="57"/>
      <c r="O21" s="57"/>
      <c r="P21" s="57"/>
      <c r="Q21" s="57"/>
      <c r="R21" s="57"/>
      <c r="S21" s="57"/>
      <c r="T21" s="57"/>
      <c r="U21" s="57"/>
      <c r="V21" s="58">
        <f t="shared" si="0"/>
        <v>52919.58</v>
      </c>
      <c r="W21" s="57"/>
    </row>
    <row r="22" spans="1:23" x14ac:dyDescent="0.25">
      <c r="A22" s="48" t="s">
        <v>16</v>
      </c>
      <c r="B22" s="49">
        <v>8471305</v>
      </c>
      <c r="C22" s="50" t="s">
        <v>530</v>
      </c>
      <c r="D22" s="51">
        <v>428090</v>
      </c>
      <c r="E22" s="50" t="s">
        <v>26</v>
      </c>
      <c r="F22" s="50" t="s">
        <v>550</v>
      </c>
      <c r="G22" s="52">
        <v>100000</v>
      </c>
      <c r="H22" s="53"/>
      <c r="I22" s="67"/>
      <c r="J22" s="65"/>
      <c r="K22" s="56">
        <v>100000</v>
      </c>
      <c r="L22" s="55"/>
      <c r="M22" s="54"/>
      <c r="N22" s="57"/>
      <c r="O22" s="57"/>
      <c r="P22" s="57"/>
      <c r="Q22" s="57"/>
      <c r="R22" s="57"/>
      <c r="S22" s="57"/>
      <c r="T22" s="57"/>
      <c r="U22" s="57"/>
      <c r="V22" s="58">
        <f t="shared" si="0"/>
        <v>100000</v>
      </c>
      <c r="W22" s="57"/>
    </row>
    <row r="23" spans="1:23" x14ac:dyDescent="0.25">
      <c r="A23" s="48" t="s">
        <v>16</v>
      </c>
      <c r="B23" s="49">
        <v>8471305</v>
      </c>
      <c r="C23" s="50" t="s">
        <v>530</v>
      </c>
      <c r="D23" s="51">
        <v>428640</v>
      </c>
      <c r="E23" s="50" t="s">
        <v>59</v>
      </c>
      <c r="F23" s="50" t="s">
        <v>551</v>
      </c>
      <c r="G23" s="52">
        <v>2820</v>
      </c>
      <c r="H23" s="59">
        <v>1040</v>
      </c>
      <c r="I23" s="67"/>
      <c r="J23" s="65"/>
      <c r="K23" s="56">
        <v>1780</v>
      </c>
      <c r="L23" s="55"/>
      <c r="M23" s="54"/>
      <c r="N23" s="57"/>
      <c r="O23" s="57"/>
      <c r="P23" s="57"/>
      <c r="Q23" s="57"/>
      <c r="R23" s="57"/>
      <c r="S23" s="57"/>
      <c r="T23" s="57"/>
      <c r="U23" s="57"/>
      <c r="V23" s="58">
        <f t="shared" si="0"/>
        <v>1780</v>
      </c>
      <c r="W23" s="57"/>
    </row>
    <row r="24" spans="1:23" x14ac:dyDescent="0.25">
      <c r="A24" s="48" t="s">
        <v>16</v>
      </c>
      <c r="B24" s="49">
        <v>8471305</v>
      </c>
      <c r="C24" s="50" t="s">
        <v>530</v>
      </c>
      <c r="D24" s="51">
        <v>432205</v>
      </c>
      <c r="E24" s="50" t="s">
        <v>96</v>
      </c>
      <c r="F24" s="50" t="s">
        <v>552</v>
      </c>
      <c r="G24" s="52">
        <v>522981</v>
      </c>
      <c r="H24" s="53"/>
      <c r="I24" s="67"/>
      <c r="J24" s="65"/>
      <c r="K24" s="56">
        <v>522981</v>
      </c>
      <c r="L24" s="55"/>
      <c r="M24" s="54"/>
      <c r="N24" s="57"/>
      <c r="O24" s="57"/>
      <c r="P24" s="57"/>
      <c r="Q24" s="57"/>
      <c r="R24" s="57"/>
      <c r="S24" s="57"/>
      <c r="T24" s="57"/>
      <c r="U24" s="57"/>
      <c r="V24" s="58">
        <f t="shared" si="0"/>
        <v>522981</v>
      </c>
      <c r="W24" s="57"/>
    </row>
    <row r="25" spans="1:23" x14ac:dyDescent="0.25">
      <c r="A25" s="48" t="s">
        <v>16</v>
      </c>
      <c r="B25" s="49">
        <v>8471305</v>
      </c>
      <c r="C25" s="50" t="s">
        <v>530</v>
      </c>
      <c r="D25" s="51">
        <v>432209</v>
      </c>
      <c r="E25" s="50" t="s">
        <v>124</v>
      </c>
      <c r="F25" s="50" t="s">
        <v>553</v>
      </c>
      <c r="G25" s="52">
        <v>570373</v>
      </c>
      <c r="H25" s="59">
        <v>7014.5</v>
      </c>
      <c r="I25" s="67">
        <v>-4021</v>
      </c>
      <c r="J25" s="65">
        <v>0</v>
      </c>
      <c r="K25" s="56">
        <v>567379.5</v>
      </c>
      <c r="L25" s="55"/>
      <c r="M25" s="54"/>
      <c r="N25" s="57"/>
      <c r="O25" s="57"/>
      <c r="P25" s="57"/>
      <c r="Q25" s="57"/>
      <c r="R25" s="57"/>
      <c r="S25" s="57"/>
      <c r="T25" s="57"/>
      <c r="U25" s="57"/>
      <c r="V25" s="58">
        <f t="shared" si="0"/>
        <v>567379.5</v>
      </c>
      <c r="W25" s="57"/>
    </row>
    <row r="26" spans="1:23" x14ac:dyDescent="0.25">
      <c r="A26" s="48" t="s">
        <v>16</v>
      </c>
      <c r="B26" s="49">
        <v>8471305</v>
      </c>
      <c r="C26" s="50" t="s">
        <v>530</v>
      </c>
      <c r="D26" s="51">
        <v>435330</v>
      </c>
      <c r="E26" s="50" t="s">
        <v>514</v>
      </c>
      <c r="F26" s="50" t="s">
        <v>554</v>
      </c>
      <c r="G26" s="52">
        <v>641904</v>
      </c>
      <c r="H26" s="59">
        <v>161432.14000000001</v>
      </c>
      <c r="I26" s="67">
        <v>-181335</v>
      </c>
      <c r="J26" s="65">
        <v>0</v>
      </c>
      <c r="K26" s="56">
        <v>661806.86</v>
      </c>
      <c r="L26" s="55"/>
      <c r="M26" s="54"/>
      <c r="N26" s="57"/>
      <c r="O26" s="57"/>
      <c r="P26" s="57"/>
      <c r="Q26" s="57"/>
      <c r="R26" s="57"/>
      <c r="S26" s="57"/>
      <c r="T26" s="57"/>
      <c r="U26" s="57"/>
      <c r="V26" s="58">
        <f t="shared" si="0"/>
        <v>661806.86</v>
      </c>
      <c r="W26" s="57"/>
    </row>
    <row r="27" spans="1:23" x14ac:dyDescent="0.25">
      <c r="A27" s="48" t="s">
        <v>16</v>
      </c>
      <c r="B27" s="49">
        <v>8471305</v>
      </c>
      <c r="C27" s="50" t="s">
        <v>530</v>
      </c>
      <c r="D27" s="51">
        <v>435340</v>
      </c>
      <c r="E27" s="50" t="s">
        <v>472</v>
      </c>
      <c r="F27" s="50" t="s">
        <v>555</v>
      </c>
      <c r="G27" s="52">
        <v>306</v>
      </c>
      <c r="H27" s="53"/>
      <c r="I27" s="67"/>
      <c r="J27" s="65"/>
      <c r="K27" s="56">
        <v>306</v>
      </c>
      <c r="L27" s="55"/>
      <c r="M27" s="54"/>
      <c r="N27" s="57"/>
      <c r="O27" s="57"/>
      <c r="P27" s="57"/>
      <c r="Q27" s="57"/>
      <c r="R27" s="57"/>
      <c r="S27" s="57"/>
      <c r="T27" s="57"/>
      <c r="U27" s="57"/>
      <c r="V27" s="58">
        <f t="shared" si="0"/>
        <v>306</v>
      </c>
      <c r="W27" s="57"/>
    </row>
    <row r="28" spans="1:23" x14ac:dyDescent="0.25">
      <c r="A28" s="48" t="s">
        <v>16</v>
      </c>
      <c r="B28" s="49">
        <v>8471305</v>
      </c>
      <c r="C28" s="50" t="s">
        <v>530</v>
      </c>
      <c r="D28" s="51">
        <v>435350</v>
      </c>
      <c r="E28" s="50" t="s">
        <v>98</v>
      </c>
      <c r="F28" s="50" t="s">
        <v>556</v>
      </c>
      <c r="G28" s="52">
        <v>357401</v>
      </c>
      <c r="H28" s="59">
        <v>107630.78</v>
      </c>
      <c r="I28" s="67"/>
      <c r="J28" s="65"/>
      <c r="K28" s="56">
        <v>249770.22</v>
      </c>
      <c r="L28" s="55"/>
      <c r="M28" s="54"/>
      <c r="N28" s="57"/>
      <c r="O28" s="57"/>
      <c r="P28" s="57"/>
      <c r="Q28" s="57"/>
      <c r="R28" s="57"/>
      <c r="S28" s="57"/>
      <c r="T28" s="57"/>
      <c r="U28" s="57"/>
      <c r="V28" s="58">
        <f t="shared" si="0"/>
        <v>249770.22</v>
      </c>
      <c r="W28" s="57"/>
    </row>
    <row r="29" spans="1:23" x14ac:dyDescent="0.25">
      <c r="A29" s="48" t="s">
        <v>16</v>
      </c>
      <c r="B29" s="49">
        <v>8471305</v>
      </c>
      <c r="C29" s="50" t="s">
        <v>530</v>
      </c>
      <c r="D29" s="51">
        <v>435508</v>
      </c>
      <c r="E29" s="50" t="s">
        <v>100</v>
      </c>
      <c r="F29" s="50" t="s">
        <v>557</v>
      </c>
      <c r="G29" s="52">
        <v>2000000</v>
      </c>
      <c r="H29" s="59">
        <v>108823.5</v>
      </c>
      <c r="I29" s="67">
        <v>620296</v>
      </c>
      <c r="J29" s="65">
        <v>182039.31</v>
      </c>
      <c r="K29" s="56">
        <v>1088841.19</v>
      </c>
      <c r="L29" s="55"/>
      <c r="M29" s="54"/>
      <c r="N29" s="57"/>
      <c r="O29" s="57"/>
      <c r="P29" s="57"/>
      <c r="Q29" s="57"/>
      <c r="R29" s="57"/>
      <c r="S29" s="57"/>
      <c r="T29" s="57"/>
      <c r="U29" s="57"/>
      <c r="V29" s="58">
        <f t="shared" si="0"/>
        <v>1088841.19</v>
      </c>
      <c r="W29" s="57"/>
    </row>
    <row r="30" spans="1:23" x14ac:dyDescent="0.25">
      <c r="A30" s="48" t="s">
        <v>16</v>
      </c>
      <c r="B30" s="49">
        <v>8471305</v>
      </c>
      <c r="C30" s="50" t="s">
        <v>530</v>
      </c>
      <c r="D30" s="51">
        <v>435530</v>
      </c>
      <c r="E30" s="50" t="s">
        <v>509</v>
      </c>
      <c r="F30" s="50" t="s">
        <v>558</v>
      </c>
      <c r="G30" s="52">
        <v>5000</v>
      </c>
      <c r="H30" s="53"/>
      <c r="I30" s="67"/>
      <c r="J30" s="65"/>
      <c r="K30" s="56">
        <v>5000</v>
      </c>
      <c r="L30" s="55"/>
      <c r="M30" s="54"/>
      <c r="N30" s="57"/>
      <c r="O30" s="57"/>
      <c r="P30" s="57"/>
      <c r="Q30" s="57"/>
      <c r="R30" s="57"/>
      <c r="S30" s="57"/>
      <c r="T30" s="57"/>
      <c r="U30" s="57"/>
      <c r="V30" s="58">
        <f t="shared" si="0"/>
        <v>5000</v>
      </c>
      <c r="W30" s="57"/>
    </row>
    <row r="31" spans="1:23" x14ac:dyDescent="0.25">
      <c r="A31" s="48" t="s">
        <v>16</v>
      </c>
      <c r="B31" s="49">
        <v>8471305</v>
      </c>
      <c r="C31" s="50" t="s">
        <v>530</v>
      </c>
      <c r="D31" s="51">
        <v>436120</v>
      </c>
      <c r="E31" s="50" t="s">
        <v>396</v>
      </c>
      <c r="F31" s="50" t="s">
        <v>559</v>
      </c>
      <c r="G31" s="52">
        <v>3166</v>
      </c>
      <c r="H31" s="59">
        <v>535.9</v>
      </c>
      <c r="I31" s="67"/>
      <c r="J31" s="65"/>
      <c r="K31" s="56">
        <v>2630.1</v>
      </c>
      <c r="L31" s="55"/>
      <c r="M31" s="54"/>
      <c r="N31" s="57"/>
      <c r="O31" s="57"/>
      <c r="P31" s="57"/>
      <c r="Q31" s="57"/>
      <c r="R31" s="57"/>
      <c r="S31" s="57"/>
      <c r="T31" s="57"/>
      <c r="U31" s="57"/>
      <c r="V31" s="58">
        <f t="shared" si="0"/>
        <v>2630.1</v>
      </c>
      <c r="W31" s="57"/>
    </row>
    <row r="32" spans="1:23" x14ac:dyDescent="0.25">
      <c r="A32" s="48" t="s">
        <v>561</v>
      </c>
      <c r="B32" s="49">
        <v>8471305</v>
      </c>
      <c r="C32" s="50" t="s">
        <v>530</v>
      </c>
      <c r="D32" s="51">
        <v>492310</v>
      </c>
      <c r="E32" s="50" t="s">
        <v>564</v>
      </c>
      <c r="F32" s="50" t="s">
        <v>603</v>
      </c>
      <c r="G32" s="55"/>
      <c r="H32" s="59">
        <v>-1341.2</v>
      </c>
      <c r="I32" s="67"/>
      <c r="J32" s="65"/>
      <c r="K32" s="56">
        <v>1341.2</v>
      </c>
      <c r="L32" s="55"/>
      <c r="M32" s="54"/>
      <c r="N32" s="57"/>
      <c r="O32" s="57"/>
      <c r="P32" s="57"/>
      <c r="Q32" s="57"/>
      <c r="R32" s="57"/>
      <c r="S32" s="57"/>
      <c r="T32" s="57"/>
      <c r="U32" s="57"/>
      <c r="V32" s="58">
        <f t="shared" si="0"/>
        <v>1341.2</v>
      </c>
      <c r="W32" s="57"/>
    </row>
    <row r="33" spans="1:23" x14ac:dyDescent="0.25">
      <c r="A33" s="48" t="s">
        <v>561</v>
      </c>
      <c r="B33" s="49">
        <v>8471305</v>
      </c>
      <c r="C33" s="50" t="s">
        <v>530</v>
      </c>
      <c r="D33" s="51">
        <v>492316</v>
      </c>
      <c r="E33" s="50" t="s">
        <v>124</v>
      </c>
      <c r="F33" s="50" t="s">
        <v>604</v>
      </c>
      <c r="G33" s="52">
        <v>2367263</v>
      </c>
      <c r="H33" s="59">
        <v>1119684.3</v>
      </c>
      <c r="I33" s="67">
        <v>70955.100000000006</v>
      </c>
      <c r="J33" s="65">
        <v>1005869</v>
      </c>
      <c r="K33" s="56">
        <v>170754.6</v>
      </c>
      <c r="L33" s="55"/>
      <c r="M33" s="54"/>
      <c r="N33" s="57"/>
      <c r="O33" s="57"/>
      <c r="P33" s="57"/>
      <c r="Q33" s="57"/>
      <c r="R33" s="57"/>
      <c r="S33" s="57"/>
      <c r="T33" s="57"/>
      <c r="U33" s="57"/>
      <c r="V33" s="58">
        <f t="shared" si="0"/>
        <v>170754.6</v>
      </c>
      <c r="W33" s="57"/>
    </row>
    <row r="34" spans="1:23" x14ac:dyDescent="0.25">
      <c r="G34" s="71"/>
    </row>
  </sheetData>
  <conditionalFormatting sqref="A3">
    <cfRule type="expression" dxfId="14" priority="3" stopIfTrue="1">
      <formula>MOD(ROW(),2)=0</formula>
    </cfRule>
  </conditionalFormatting>
  <conditionalFormatting sqref="A4:U33 W4:W33">
    <cfRule type="expression" dxfId="13" priority="2" stopIfTrue="1">
      <formula>MOD(ROW(),2)=0</formula>
    </cfRule>
  </conditionalFormatting>
  <conditionalFormatting sqref="V4:V33">
    <cfRule type="expression" dxfId="12" priority="1" stopIfTrue="1">
      <formula>MOD(ROW(),2)=0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9"/>
  <sheetViews>
    <sheetView topLeftCell="E100" workbookViewId="0">
      <selection activeCell="G4" sqref="G4:G108"/>
    </sheetView>
  </sheetViews>
  <sheetFormatPr defaultRowHeight="15" x14ac:dyDescent="0.25"/>
  <cols>
    <col min="1" max="1" width="20.28515625" customWidth="1"/>
    <col min="2" max="2" width="16.42578125" bestFit="1" customWidth="1"/>
    <col min="3" max="3" width="33.85546875" bestFit="1" customWidth="1"/>
    <col min="4" max="4" width="13.28515625" bestFit="1" customWidth="1"/>
    <col min="5" max="5" width="28.5703125" customWidth="1"/>
    <col min="6" max="6" width="39.5703125" bestFit="1" customWidth="1"/>
    <col min="7" max="7" width="9.7109375" bestFit="1" customWidth="1"/>
    <col min="8" max="8" width="14.28515625" bestFit="1" customWidth="1"/>
    <col min="9" max="9" width="11.5703125" bestFit="1" customWidth="1"/>
    <col min="10" max="10" width="11"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8470305</v>
      </c>
      <c r="C4" s="50" t="s">
        <v>114</v>
      </c>
      <c r="D4" s="51">
        <v>425510</v>
      </c>
      <c r="E4" s="50" t="s">
        <v>20</v>
      </c>
      <c r="F4" s="50" t="s">
        <v>115</v>
      </c>
      <c r="G4" s="52">
        <v>9100</v>
      </c>
      <c r="H4" s="59">
        <v>8807.6</v>
      </c>
      <c r="I4" s="62"/>
      <c r="J4" s="61"/>
      <c r="K4" s="56">
        <v>292.39999999999998</v>
      </c>
      <c r="L4" s="55"/>
      <c r="M4" s="54"/>
      <c r="N4" s="57"/>
      <c r="O4" s="57"/>
      <c r="P4" s="57"/>
      <c r="Q4" s="57"/>
      <c r="R4" s="57"/>
      <c r="S4" s="57"/>
      <c r="T4" s="57"/>
      <c r="U4" s="57"/>
      <c r="V4" s="58">
        <f t="shared" ref="V4:V67" si="0">K4-(SUM(L4:T4))</f>
        <v>292.39999999999998</v>
      </c>
      <c r="W4" s="57"/>
    </row>
    <row r="5" spans="1:23" x14ac:dyDescent="0.25">
      <c r="A5" s="48" t="s">
        <v>16</v>
      </c>
      <c r="B5" s="49">
        <v>8470305</v>
      </c>
      <c r="C5" s="50" t="s">
        <v>114</v>
      </c>
      <c r="D5" s="51">
        <v>425760</v>
      </c>
      <c r="E5" s="50" t="s">
        <v>116</v>
      </c>
      <c r="F5" s="50" t="s">
        <v>117</v>
      </c>
      <c r="G5" s="52">
        <v>0</v>
      </c>
      <c r="H5" s="53"/>
      <c r="I5" s="62"/>
      <c r="J5" s="61"/>
      <c r="K5" s="56">
        <v>0</v>
      </c>
      <c r="L5" s="55"/>
      <c r="M5" s="54"/>
      <c r="N5" s="57"/>
      <c r="O5" s="57"/>
      <c r="P5" s="57"/>
      <c r="Q5" s="57"/>
      <c r="R5" s="57"/>
      <c r="S5" s="57"/>
      <c r="T5" s="57"/>
      <c r="U5" s="57"/>
      <c r="V5" s="58">
        <f t="shared" si="0"/>
        <v>0</v>
      </c>
      <c r="W5" s="57"/>
    </row>
    <row r="6" spans="1:23" x14ac:dyDescent="0.25">
      <c r="A6" s="48" t="s">
        <v>16</v>
      </c>
      <c r="B6" s="49">
        <v>8470305</v>
      </c>
      <c r="C6" s="50" t="s">
        <v>114</v>
      </c>
      <c r="D6" s="51">
        <v>425763</v>
      </c>
      <c r="E6" s="50" t="s">
        <v>53</v>
      </c>
      <c r="F6" s="50" t="s">
        <v>118</v>
      </c>
      <c r="G6" s="52">
        <v>190000</v>
      </c>
      <c r="H6" s="59">
        <v>50000</v>
      </c>
      <c r="I6" s="62"/>
      <c r="J6" s="61"/>
      <c r="K6" s="56">
        <v>140000</v>
      </c>
      <c r="L6" s="55"/>
      <c r="M6" s="54"/>
      <c r="N6" s="57"/>
      <c r="O6" s="57"/>
      <c r="P6" s="57"/>
      <c r="Q6" s="57"/>
      <c r="R6" s="57"/>
      <c r="S6" s="57"/>
      <c r="T6" s="57"/>
      <c r="U6" s="57"/>
      <c r="V6" s="58">
        <f t="shared" si="0"/>
        <v>140000</v>
      </c>
      <c r="W6" s="57"/>
    </row>
    <row r="7" spans="1:23" x14ac:dyDescent="0.25">
      <c r="A7" s="48" t="s">
        <v>16</v>
      </c>
      <c r="B7" s="49">
        <v>8470305</v>
      </c>
      <c r="C7" s="50" t="s">
        <v>114</v>
      </c>
      <c r="D7" s="51">
        <v>425770</v>
      </c>
      <c r="E7" s="50" t="s">
        <v>119</v>
      </c>
      <c r="F7" s="50" t="s">
        <v>120</v>
      </c>
      <c r="G7" s="52">
        <v>144895</v>
      </c>
      <c r="H7" s="53"/>
      <c r="I7" s="62"/>
      <c r="J7" s="61"/>
      <c r="K7" s="56">
        <v>144895</v>
      </c>
      <c r="L7" s="55"/>
      <c r="M7" s="54"/>
      <c r="N7" s="57"/>
      <c r="O7" s="57"/>
      <c r="P7" s="57"/>
      <c r="Q7" s="57"/>
      <c r="R7" s="57"/>
      <c r="S7" s="57"/>
      <c r="T7" s="57"/>
      <c r="U7" s="57"/>
      <c r="V7" s="58">
        <f t="shared" si="0"/>
        <v>144895</v>
      </c>
      <c r="W7" s="57"/>
    </row>
    <row r="8" spans="1:23" x14ac:dyDescent="0.25">
      <c r="A8" s="48" t="s">
        <v>16</v>
      </c>
      <c r="B8" s="49">
        <v>8470305</v>
      </c>
      <c r="C8" s="50" t="s">
        <v>114</v>
      </c>
      <c r="D8" s="51">
        <v>425900</v>
      </c>
      <c r="E8" s="50" t="s">
        <v>24</v>
      </c>
      <c r="F8" s="50" t="s">
        <v>121</v>
      </c>
      <c r="G8" s="52">
        <v>20000</v>
      </c>
      <c r="H8" s="59">
        <v>11571</v>
      </c>
      <c r="I8" s="62"/>
      <c r="J8" s="61"/>
      <c r="K8" s="56">
        <v>8429</v>
      </c>
      <c r="L8" s="55"/>
      <c r="M8" s="54"/>
      <c r="N8" s="57"/>
      <c r="O8" s="57"/>
      <c r="P8" s="57"/>
      <c r="Q8" s="57"/>
      <c r="R8" s="57"/>
      <c r="S8" s="57"/>
      <c r="T8" s="57"/>
      <c r="U8" s="57"/>
      <c r="V8" s="58">
        <f t="shared" si="0"/>
        <v>8429</v>
      </c>
      <c r="W8" s="57"/>
    </row>
    <row r="9" spans="1:23" x14ac:dyDescent="0.25">
      <c r="A9" s="48" t="s">
        <v>16</v>
      </c>
      <c r="B9" s="49">
        <v>8470305</v>
      </c>
      <c r="C9" s="50" t="s">
        <v>114</v>
      </c>
      <c r="D9" s="51">
        <v>426610</v>
      </c>
      <c r="E9" s="50" t="s">
        <v>39</v>
      </c>
      <c r="F9" s="50" t="s">
        <v>122</v>
      </c>
      <c r="G9" s="52">
        <v>46943</v>
      </c>
      <c r="H9" s="53"/>
      <c r="I9" s="62"/>
      <c r="J9" s="61"/>
      <c r="K9" s="56">
        <v>46943</v>
      </c>
      <c r="L9" s="55"/>
      <c r="M9" s="54"/>
      <c r="N9" s="57"/>
      <c r="O9" s="57"/>
      <c r="P9" s="57"/>
      <c r="Q9" s="57"/>
      <c r="R9" s="57"/>
      <c r="S9" s="57"/>
      <c r="T9" s="57"/>
      <c r="U9" s="57"/>
      <c r="V9" s="58">
        <f t="shared" si="0"/>
        <v>46943</v>
      </c>
      <c r="W9" s="57"/>
    </row>
    <row r="10" spans="1:23" x14ac:dyDescent="0.25">
      <c r="A10" s="48" t="s">
        <v>16</v>
      </c>
      <c r="B10" s="49">
        <v>8470305</v>
      </c>
      <c r="C10" s="50" t="s">
        <v>114</v>
      </c>
      <c r="D10" s="51">
        <v>428090</v>
      </c>
      <c r="E10" s="50" t="s">
        <v>26</v>
      </c>
      <c r="F10" s="50" t="s">
        <v>123</v>
      </c>
      <c r="G10" s="52">
        <v>100000</v>
      </c>
      <c r="H10" s="53"/>
      <c r="I10" s="62"/>
      <c r="J10" s="61"/>
      <c r="K10" s="56">
        <v>100000</v>
      </c>
      <c r="L10" s="55"/>
      <c r="M10" s="54"/>
      <c r="N10" s="57"/>
      <c r="O10" s="57"/>
      <c r="P10" s="57"/>
      <c r="Q10" s="57"/>
      <c r="R10" s="57"/>
      <c r="S10" s="57"/>
      <c r="T10" s="57"/>
      <c r="U10" s="57"/>
      <c r="V10" s="58">
        <f t="shared" si="0"/>
        <v>100000</v>
      </c>
      <c r="W10" s="57"/>
    </row>
    <row r="11" spans="1:23" x14ac:dyDescent="0.25">
      <c r="A11" s="48" t="s">
        <v>16</v>
      </c>
      <c r="B11" s="49">
        <v>8470305</v>
      </c>
      <c r="C11" s="50" t="s">
        <v>114</v>
      </c>
      <c r="D11" s="51">
        <v>432209</v>
      </c>
      <c r="E11" s="50" t="s">
        <v>124</v>
      </c>
      <c r="F11" s="50" t="s">
        <v>125</v>
      </c>
      <c r="G11" s="52">
        <v>43796</v>
      </c>
      <c r="H11" s="53"/>
      <c r="I11" s="62">
        <v>0</v>
      </c>
      <c r="J11" s="61">
        <v>3550</v>
      </c>
      <c r="K11" s="56">
        <v>40246</v>
      </c>
      <c r="L11" s="55"/>
      <c r="M11" s="54"/>
      <c r="N11" s="57"/>
      <c r="O11" s="57"/>
      <c r="P11" s="57"/>
      <c r="Q11" s="57"/>
      <c r="R11" s="57"/>
      <c r="S11" s="57"/>
      <c r="T11" s="57"/>
      <c r="U11" s="57"/>
      <c r="V11" s="58">
        <f t="shared" si="0"/>
        <v>40246</v>
      </c>
      <c r="W11" s="57"/>
    </row>
    <row r="12" spans="1:23" x14ac:dyDescent="0.25">
      <c r="A12" s="48" t="s">
        <v>16</v>
      </c>
      <c r="B12" s="49">
        <v>8470305</v>
      </c>
      <c r="C12" s="50" t="s">
        <v>114</v>
      </c>
      <c r="D12" s="51">
        <v>435350</v>
      </c>
      <c r="E12" s="50" t="s">
        <v>98</v>
      </c>
      <c r="F12" s="50" t="s">
        <v>126</v>
      </c>
      <c r="G12" s="52">
        <v>83040</v>
      </c>
      <c r="H12" s="53"/>
      <c r="I12" s="62"/>
      <c r="J12" s="61"/>
      <c r="K12" s="56">
        <v>83040</v>
      </c>
      <c r="L12" s="55"/>
      <c r="M12" s="54"/>
      <c r="N12" s="57"/>
      <c r="O12" s="57"/>
      <c r="P12" s="57"/>
      <c r="Q12" s="57"/>
      <c r="R12" s="57"/>
      <c r="S12" s="57"/>
      <c r="T12" s="57"/>
      <c r="U12" s="57"/>
      <c r="V12" s="58">
        <f t="shared" si="0"/>
        <v>83040</v>
      </c>
      <c r="W12" s="57"/>
    </row>
    <row r="13" spans="1:23" x14ac:dyDescent="0.25">
      <c r="A13" s="48" t="s">
        <v>16</v>
      </c>
      <c r="B13" s="49">
        <v>8470305</v>
      </c>
      <c r="C13" s="50" t="s">
        <v>114</v>
      </c>
      <c r="D13" s="51">
        <v>435508</v>
      </c>
      <c r="E13" s="50" t="s">
        <v>100</v>
      </c>
      <c r="F13" s="50" t="s">
        <v>127</v>
      </c>
      <c r="G13" s="52">
        <v>19087</v>
      </c>
      <c r="H13" s="59">
        <v>0</v>
      </c>
      <c r="I13" s="62"/>
      <c r="J13" s="61"/>
      <c r="K13" s="56">
        <v>19087</v>
      </c>
      <c r="L13" s="55"/>
      <c r="M13" s="54"/>
      <c r="N13" s="57"/>
      <c r="O13" s="57"/>
      <c r="P13" s="57"/>
      <c r="Q13" s="57"/>
      <c r="R13" s="57"/>
      <c r="S13" s="57"/>
      <c r="T13" s="57"/>
      <c r="U13" s="57"/>
      <c r="V13" s="58">
        <f t="shared" si="0"/>
        <v>19087</v>
      </c>
      <c r="W13" s="57"/>
    </row>
    <row r="14" spans="1:23" x14ac:dyDescent="0.25">
      <c r="A14" s="48" t="s">
        <v>16</v>
      </c>
      <c r="B14" s="49">
        <v>8470310</v>
      </c>
      <c r="C14" s="50" t="s">
        <v>128</v>
      </c>
      <c r="D14" s="51">
        <v>420550</v>
      </c>
      <c r="E14" s="50" t="s">
        <v>18</v>
      </c>
      <c r="F14" s="50" t="s">
        <v>129</v>
      </c>
      <c r="G14" s="52">
        <v>1610</v>
      </c>
      <c r="H14" s="53"/>
      <c r="I14" s="62"/>
      <c r="J14" s="61"/>
      <c r="K14" s="56">
        <v>1610</v>
      </c>
      <c r="L14" s="55"/>
      <c r="M14" s="54"/>
      <c r="N14" s="57"/>
      <c r="O14" s="57"/>
      <c r="P14" s="57"/>
      <c r="Q14" s="57"/>
      <c r="R14" s="57"/>
      <c r="S14" s="57"/>
      <c r="T14" s="57"/>
      <c r="U14" s="57"/>
      <c r="V14" s="58">
        <f t="shared" si="0"/>
        <v>1610</v>
      </c>
      <c r="W14" s="57"/>
    </row>
    <row r="15" spans="1:23" x14ac:dyDescent="0.25">
      <c r="A15" s="48" t="s">
        <v>16</v>
      </c>
      <c r="B15" s="49">
        <v>8470310</v>
      </c>
      <c r="C15" s="50" t="s">
        <v>128</v>
      </c>
      <c r="D15" s="51">
        <v>425510</v>
      </c>
      <c r="E15" s="50" t="s">
        <v>20</v>
      </c>
      <c r="F15" s="50" t="s">
        <v>130</v>
      </c>
      <c r="G15" s="52">
        <v>5918</v>
      </c>
      <c r="H15" s="53"/>
      <c r="I15" s="62"/>
      <c r="J15" s="61"/>
      <c r="K15" s="56">
        <v>5918</v>
      </c>
      <c r="L15" s="55"/>
      <c r="M15" s="54"/>
      <c r="N15" s="57"/>
      <c r="O15" s="57"/>
      <c r="P15" s="57"/>
      <c r="Q15" s="57"/>
      <c r="R15" s="57"/>
      <c r="S15" s="57"/>
      <c r="T15" s="57"/>
      <c r="U15" s="57"/>
      <c r="V15" s="58">
        <f t="shared" si="0"/>
        <v>5918</v>
      </c>
      <c r="W15" s="57"/>
    </row>
    <row r="16" spans="1:23" x14ac:dyDescent="0.25">
      <c r="A16" s="48" t="s">
        <v>16</v>
      </c>
      <c r="B16" s="49">
        <v>8470310</v>
      </c>
      <c r="C16" s="50" t="s">
        <v>128</v>
      </c>
      <c r="D16" s="51">
        <v>425760</v>
      </c>
      <c r="E16" s="50" t="s">
        <v>116</v>
      </c>
      <c r="F16" s="50" t="s">
        <v>131</v>
      </c>
      <c r="G16" s="52">
        <v>103514</v>
      </c>
      <c r="H16" s="53"/>
      <c r="I16" s="62"/>
      <c r="J16" s="61"/>
      <c r="K16" s="56">
        <v>103514</v>
      </c>
      <c r="L16" s="55"/>
      <c r="M16" s="54"/>
      <c r="N16" s="57"/>
      <c r="O16" s="57"/>
      <c r="P16" s="57"/>
      <c r="Q16" s="57"/>
      <c r="R16" s="57"/>
      <c r="S16" s="57"/>
      <c r="T16" s="57"/>
      <c r="U16" s="57"/>
      <c r="V16" s="58">
        <f t="shared" si="0"/>
        <v>103514</v>
      </c>
      <c r="W16" s="57"/>
    </row>
    <row r="17" spans="1:23" x14ac:dyDescent="0.25">
      <c r="A17" s="48" t="s">
        <v>16</v>
      </c>
      <c r="B17" s="49">
        <v>8470310</v>
      </c>
      <c r="C17" s="50" t="s">
        <v>128</v>
      </c>
      <c r="D17" s="51">
        <v>425763</v>
      </c>
      <c r="E17" s="50" t="s">
        <v>53</v>
      </c>
      <c r="F17" s="50" t="s">
        <v>132</v>
      </c>
      <c r="G17" s="52">
        <v>268594</v>
      </c>
      <c r="H17" s="59">
        <v>50000</v>
      </c>
      <c r="I17" s="62"/>
      <c r="J17" s="61"/>
      <c r="K17" s="56">
        <v>218594</v>
      </c>
      <c r="L17" s="55"/>
      <c r="M17" s="54"/>
      <c r="N17" s="57"/>
      <c r="O17" s="57"/>
      <c r="P17" s="57"/>
      <c r="Q17" s="57"/>
      <c r="R17" s="57"/>
      <c r="S17" s="57"/>
      <c r="T17" s="57"/>
      <c r="U17" s="57"/>
      <c r="V17" s="58">
        <f t="shared" si="0"/>
        <v>218594</v>
      </c>
      <c r="W17" s="57"/>
    </row>
    <row r="18" spans="1:23" x14ac:dyDescent="0.25">
      <c r="A18" s="48" t="s">
        <v>16</v>
      </c>
      <c r="B18" s="49">
        <v>8470310</v>
      </c>
      <c r="C18" s="50" t="s">
        <v>128</v>
      </c>
      <c r="D18" s="51">
        <v>425770</v>
      </c>
      <c r="E18" s="50" t="s">
        <v>119</v>
      </c>
      <c r="F18" s="50" t="s">
        <v>133</v>
      </c>
      <c r="G18" s="52">
        <v>130689</v>
      </c>
      <c r="H18" s="59">
        <v>1442</v>
      </c>
      <c r="I18" s="62"/>
      <c r="J18" s="61"/>
      <c r="K18" s="56">
        <v>129247</v>
      </c>
      <c r="L18" s="55"/>
      <c r="M18" s="54"/>
      <c r="N18" s="57"/>
      <c r="O18" s="57"/>
      <c r="P18" s="57"/>
      <c r="Q18" s="57"/>
      <c r="R18" s="57"/>
      <c r="S18" s="57"/>
      <c r="T18" s="57"/>
      <c r="U18" s="57"/>
      <c r="V18" s="58">
        <f t="shared" si="0"/>
        <v>129247</v>
      </c>
      <c r="W18" s="57"/>
    </row>
    <row r="19" spans="1:23" x14ac:dyDescent="0.25">
      <c r="A19" s="48" t="s">
        <v>16</v>
      </c>
      <c r="B19" s="49">
        <v>8470310</v>
      </c>
      <c r="C19" s="50" t="s">
        <v>128</v>
      </c>
      <c r="D19" s="51">
        <v>425900</v>
      </c>
      <c r="E19" s="50" t="s">
        <v>24</v>
      </c>
      <c r="F19" s="50" t="s">
        <v>134</v>
      </c>
      <c r="G19" s="52">
        <v>1360</v>
      </c>
      <c r="H19" s="53"/>
      <c r="I19" s="62"/>
      <c r="J19" s="61"/>
      <c r="K19" s="56">
        <v>1360</v>
      </c>
      <c r="L19" s="55"/>
      <c r="M19" s="54"/>
      <c r="N19" s="57"/>
      <c r="O19" s="57"/>
      <c r="P19" s="57"/>
      <c r="Q19" s="57"/>
      <c r="R19" s="57"/>
      <c r="S19" s="57"/>
      <c r="T19" s="57"/>
      <c r="U19" s="57"/>
      <c r="V19" s="58">
        <f t="shared" si="0"/>
        <v>1360</v>
      </c>
      <c r="W19" s="57"/>
    </row>
    <row r="20" spans="1:23" x14ac:dyDescent="0.25">
      <c r="A20" s="48" t="s">
        <v>16</v>
      </c>
      <c r="B20" s="49">
        <v>8470310</v>
      </c>
      <c r="C20" s="50" t="s">
        <v>128</v>
      </c>
      <c r="D20" s="51">
        <v>426610</v>
      </c>
      <c r="E20" s="50" t="s">
        <v>39</v>
      </c>
      <c r="F20" s="50" t="s">
        <v>135</v>
      </c>
      <c r="G20" s="52">
        <v>8896</v>
      </c>
      <c r="H20" s="53"/>
      <c r="I20" s="62">
        <v>0</v>
      </c>
      <c r="J20" s="61">
        <v>5436.04</v>
      </c>
      <c r="K20" s="56">
        <v>3459.96</v>
      </c>
      <c r="L20" s="55"/>
      <c r="M20" s="54"/>
      <c r="N20" s="57"/>
      <c r="O20" s="57"/>
      <c r="P20" s="57"/>
      <c r="Q20" s="57"/>
      <c r="R20" s="57"/>
      <c r="S20" s="57"/>
      <c r="T20" s="57"/>
      <c r="U20" s="57"/>
      <c r="V20" s="58">
        <f t="shared" si="0"/>
        <v>3459.96</v>
      </c>
      <c r="W20" s="57"/>
    </row>
    <row r="21" spans="1:23" x14ac:dyDescent="0.25">
      <c r="A21" s="48" t="s">
        <v>16</v>
      </c>
      <c r="B21" s="49">
        <v>8470310</v>
      </c>
      <c r="C21" s="50" t="s">
        <v>128</v>
      </c>
      <c r="D21" s="51">
        <v>435350</v>
      </c>
      <c r="E21" s="50" t="s">
        <v>98</v>
      </c>
      <c r="F21" s="50" t="s">
        <v>136</v>
      </c>
      <c r="G21" s="52">
        <v>78000</v>
      </c>
      <c r="H21" s="59">
        <v>10440.31</v>
      </c>
      <c r="I21" s="62"/>
      <c r="J21" s="61"/>
      <c r="K21" s="56">
        <v>67559.69</v>
      </c>
      <c r="L21" s="55"/>
      <c r="M21" s="54"/>
      <c r="N21" s="57"/>
      <c r="O21" s="57"/>
      <c r="P21" s="57"/>
      <c r="Q21" s="57"/>
      <c r="R21" s="57"/>
      <c r="S21" s="57"/>
      <c r="T21" s="57"/>
      <c r="U21" s="57"/>
      <c r="V21" s="58">
        <f t="shared" si="0"/>
        <v>67559.69</v>
      </c>
      <c r="W21" s="57"/>
    </row>
    <row r="22" spans="1:23" x14ac:dyDescent="0.25">
      <c r="A22" s="48" t="s">
        <v>16</v>
      </c>
      <c r="B22" s="49">
        <v>8470310</v>
      </c>
      <c r="C22" s="50" t="s">
        <v>128</v>
      </c>
      <c r="D22" s="51">
        <v>435508</v>
      </c>
      <c r="E22" s="50" t="s">
        <v>100</v>
      </c>
      <c r="F22" s="50" t="s">
        <v>137</v>
      </c>
      <c r="G22" s="52">
        <v>38173</v>
      </c>
      <c r="H22" s="59">
        <v>2518.35</v>
      </c>
      <c r="I22" s="62"/>
      <c r="J22" s="61"/>
      <c r="K22" s="56">
        <v>35654.65</v>
      </c>
      <c r="L22" s="55"/>
      <c r="M22" s="54"/>
      <c r="N22" s="57"/>
      <c r="O22" s="57"/>
      <c r="P22" s="57"/>
      <c r="Q22" s="57"/>
      <c r="R22" s="57"/>
      <c r="S22" s="57"/>
      <c r="T22" s="57"/>
      <c r="U22" s="57"/>
      <c r="V22" s="58">
        <f t="shared" si="0"/>
        <v>35654.65</v>
      </c>
      <c r="W22" s="57"/>
    </row>
    <row r="23" spans="1:23" x14ac:dyDescent="0.25">
      <c r="A23" s="48" t="s">
        <v>16</v>
      </c>
      <c r="B23" s="49">
        <v>8470315</v>
      </c>
      <c r="C23" s="50" t="s">
        <v>138</v>
      </c>
      <c r="D23" s="51">
        <v>420550</v>
      </c>
      <c r="E23" s="50" t="s">
        <v>18</v>
      </c>
      <c r="F23" s="50" t="s">
        <v>139</v>
      </c>
      <c r="G23" s="52">
        <v>2363</v>
      </c>
      <c r="H23" s="53"/>
      <c r="I23" s="62"/>
      <c r="J23" s="61"/>
      <c r="K23" s="56">
        <v>2363</v>
      </c>
      <c r="L23" s="55"/>
      <c r="M23" s="54"/>
      <c r="N23" s="57"/>
      <c r="O23" s="57"/>
      <c r="P23" s="57"/>
      <c r="Q23" s="57"/>
      <c r="R23" s="57"/>
      <c r="S23" s="57"/>
      <c r="T23" s="57"/>
      <c r="U23" s="57"/>
      <c r="V23" s="58">
        <f t="shared" si="0"/>
        <v>2363</v>
      </c>
      <c r="W23" s="57"/>
    </row>
    <row r="24" spans="1:23" x14ac:dyDescent="0.25">
      <c r="A24" s="48" t="s">
        <v>16</v>
      </c>
      <c r="B24" s="49">
        <v>8470315</v>
      </c>
      <c r="C24" s="50" t="s">
        <v>138</v>
      </c>
      <c r="D24" s="51">
        <v>425510</v>
      </c>
      <c r="E24" s="50" t="s">
        <v>20</v>
      </c>
      <c r="F24" s="50" t="s">
        <v>140</v>
      </c>
      <c r="G24" s="52">
        <v>6712</v>
      </c>
      <c r="H24" s="59">
        <v>6712</v>
      </c>
      <c r="I24" s="62"/>
      <c r="J24" s="61"/>
      <c r="K24" s="56">
        <v>-7.2759576141834308E-12</v>
      </c>
      <c r="L24" s="55"/>
      <c r="M24" s="54"/>
      <c r="N24" s="57"/>
      <c r="O24" s="57"/>
      <c r="P24" s="57"/>
      <c r="Q24" s="57"/>
      <c r="R24" s="57"/>
      <c r="S24" s="57"/>
      <c r="T24" s="57"/>
      <c r="U24" s="57"/>
      <c r="V24" s="58">
        <f t="shared" si="0"/>
        <v>-7.2759576141834308E-12</v>
      </c>
      <c r="W24" s="57"/>
    </row>
    <row r="25" spans="1:23" x14ac:dyDescent="0.25">
      <c r="A25" s="48" t="s">
        <v>16</v>
      </c>
      <c r="B25" s="49">
        <v>8470315</v>
      </c>
      <c r="C25" s="50" t="s">
        <v>138</v>
      </c>
      <c r="D25" s="51">
        <v>425763</v>
      </c>
      <c r="E25" s="50" t="s">
        <v>53</v>
      </c>
      <c r="F25" s="50" t="s">
        <v>141</v>
      </c>
      <c r="G25" s="52">
        <v>107045</v>
      </c>
      <c r="H25" s="53"/>
      <c r="I25" s="62"/>
      <c r="J25" s="61"/>
      <c r="K25" s="56">
        <v>107045</v>
      </c>
      <c r="L25" s="55"/>
      <c r="M25" s="54"/>
      <c r="N25" s="57"/>
      <c r="O25" s="57"/>
      <c r="P25" s="57"/>
      <c r="Q25" s="57"/>
      <c r="R25" s="57"/>
      <c r="S25" s="57"/>
      <c r="T25" s="57"/>
      <c r="U25" s="57"/>
      <c r="V25" s="58">
        <f t="shared" si="0"/>
        <v>107045</v>
      </c>
      <c r="W25" s="57"/>
    </row>
    <row r="26" spans="1:23" x14ac:dyDescent="0.25">
      <c r="A26" s="48" t="s">
        <v>16</v>
      </c>
      <c r="B26" s="49">
        <v>8470315</v>
      </c>
      <c r="C26" s="50" t="s">
        <v>138</v>
      </c>
      <c r="D26" s="51">
        <v>425770</v>
      </c>
      <c r="E26" s="50" t="s">
        <v>119</v>
      </c>
      <c r="F26" s="50" t="s">
        <v>142</v>
      </c>
      <c r="G26" s="52">
        <v>198383</v>
      </c>
      <c r="H26" s="59">
        <v>25742.22</v>
      </c>
      <c r="I26" s="62"/>
      <c r="J26" s="61"/>
      <c r="K26" s="56">
        <v>172640.78</v>
      </c>
      <c r="L26" s="55"/>
      <c r="M26" s="54"/>
      <c r="N26" s="57"/>
      <c r="O26" s="57"/>
      <c r="P26" s="57"/>
      <c r="Q26" s="57"/>
      <c r="R26" s="57"/>
      <c r="S26" s="57"/>
      <c r="T26" s="57"/>
      <c r="U26" s="57"/>
      <c r="V26" s="58">
        <f t="shared" si="0"/>
        <v>172640.78</v>
      </c>
      <c r="W26" s="57"/>
    </row>
    <row r="27" spans="1:23" x14ac:dyDescent="0.25">
      <c r="A27" s="48" t="s">
        <v>16</v>
      </c>
      <c r="B27" s="49">
        <v>8470315</v>
      </c>
      <c r="C27" s="50" t="s">
        <v>138</v>
      </c>
      <c r="D27" s="51">
        <v>425900</v>
      </c>
      <c r="E27" s="50" t="s">
        <v>24</v>
      </c>
      <c r="F27" s="50" t="s">
        <v>143</v>
      </c>
      <c r="G27" s="52">
        <v>3072</v>
      </c>
      <c r="H27" s="53"/>
      <c r="I27" s="62"/>
      <c r="J27" s="61"/>
      <c r="K27" s="56">
        <v>3072</v>
      </c>
      <c r="L27" s="55"/>
      <c r="M27" s="54"/>
      <c r="N27" s="57"/>
      <c r="O27" s="57"/>
      <c r="P27" s="57"/>
      <c r="Q27" s="57"/>
      <c r="R27" s="57"/>
      <c r="S27" s="57"/>
      <c r="T27" s="57"/>
      <c r="U27" s="57"/>
      <c r="V27" s="58">
        <f t="shared" si="0"/>
        <v>3072</v>
      </c>
      <c r="W27" s="57"/>
    </row>
    <row r="28" spans="1:23" x14ac:dyDescent="0.25">
      <c r="A28" s="48" t="s">
        <v>16</v>
      </c>
      <c r="B28" s="49">
        <v>8470315</v>
      </c>
      <c r="C28" s="50" t="s">
        <v>138</v>
      </c>
      <c r="D28" s="51">
        <v>426610</v>
      </c>
      <c r="E28" s="50" t="s">
        <v>39</v>
      </c>
      <c r="F28" s="50" t="s">
        <v>144</v>
      </c>
      <c r="G28" s="52">
        <v>7412</v>
      </c>
      <c r="H28" s="53"/>
      <c r="I28" s="62"/>
      <c r="J28" s="61"/>
      <c r="K28" s="56">
        <v>7412</v>
      </c>
      <c r="L28" s="55"/>
      <c r="M28" s="54"/>
      <c r="N28" s="57"/>
      <c r="O28" s="57"/>
      <c r="P28" s="57"/>
      <c r="Q28" s="57"/>
      <c r="R28" s="57"/>
      <c r="S28" s="57"/>
      <c r="T28" s="57"/>
      <c r="U28" s="57"/>
      <c r="V28" s="58">
        <f t="shared" si="0"/>
        <v>7412</v>
      </c>
      <c r="W28" s="57"/>
    </row>
    <row r="29" spans="1:23" x14ac:dyDescent="0.25">
      <c r="A29" s="48" t="s">
        <v>16</v>
      </c>
      <c r="B29" s="49">
        <v>8470315</v>
      </c>
      <c r="C29" s="50" t="s">
        <v>138</v>
      </c>
      <c r="D29" s="51">
        <v>428090</v>
      </c>
      <c r="E29" s="50" t="s">
        <v>26</v>
      </c>
      <c r="F29" s="50" t="s">
        <v>145</v>
      </c>
      <c r="G29" s="52">
        <v>10400</v>
      </c>
      <c r="H29" s="53"/>
      <c r="I29" s="62"/>
      <c r="J29" s="61"/>
      <c r="K29" s="56">
        <v>10400</v>
      </c>
      <c r="L29" s="55"/>
      <c r="M29" s="54"/>
      <c r="N29" s="57"/>
      <c r="O29" s="57"/>
      <c r="P29" s="57"/>
      <c r="Q29" s="57"/>
      <c r="R29" s="57"/>
      <c r="S29" s="57"/>
      <c r="T29" s="57"/>
      <c r="U29" s="57"/>
      <c r="V29" s="58">
        <f t="shared" si="0"/>
        <v>10400</v>
      </c>
      <c r="W29" s="57"/>
    </row>
    <row r="30" spans="1:23" x14ac:dyDescent="0.25">
      <c r="A30" s="48" t="s">
        <v>16</v>
      </c>
      <c r="B30" s="49">
        <v>8470315</v>
      </c>
      <c r="C30" s="50" t="s">
        <v>138</v>
      </c>
      <c r="D30" s="51">
        <v>432209</v>
      </c>
      <c r="E30" s="50" t="s">
        <v>124</v>
      </c>
      <c r="F30" s="50" t="s">
        <v>146</v>
      </c>
      <c r="G30" s="52">
        <v>88394</v>
      </c>
      <c r="H30" s="59">
        <v>16000</v>
      </c>
      <c r="I30" s="62">
        <v>44872.2</v>
      </c>
      <c r="J30" s="61">
        <v>26517.8</v>
      </c>
      <c r="K30" s="56">
        <v>1004</v>
      </c>
      <c r="L30" s="55"/>
      <c r="M30" s="54"/>
      <c r="N30" s="57"/>
      <c r="O30" s="57"/>
      <c r="P30" s="57"/>
      <c r="Q30" s="57"/>
      <c r="R30" s="57"/>
      <c r="S30" s="57"/>
      <c r="T30" s="57"/>
      <c r="U30" s="57"/>
      <c r="V30" s="58">
        <f t="shared" si="0"/>
        <v>1004</v>
      </c>
      <c r="W30" s="57"/>
    </row>
    <row r="31" spans="1:23" x14ac:dyDescent="0.25">
      <c r="A31" s="48" t="s">
        <v>16</v>
      </c>
      <c r="B31" s="49">
        <v>8470315</v>
      </c>
      <c r="C31" s="50" t="s">
        <v>138</v>
      </c>
      <c r="D31" s="51">
        <v>435350</v>
      </c>
      <c r="E31" s="50" t="s">
        <v>98</v>
      </c>
      <c r="F31" s="50" t="s">
        <v>147</v>
      </c>
      <c r="G31" s="52">
        <v>42246</v>
      </c>
      <c r="H31" s="59">
        <v>16669.650000000001</v>
      </c>
      <c r="I31" s="62"/>
      <c r="J31" s="61"/>
      <c r="K31" s="56">
        <v>25576.35</v>
      </c>
      <c r="L31" s="55"/>
      <c r="M31" s="54"/>
      <c r="N31" s="57"/>
      <c r="O31" s="57"/>
      <c r="P31" s="57"/>
      <c r="Q31" s="57"/>
      <c r="R31" s="57"/>
      <c r="S31" s="57"/>
      <c r="T31" s="57"/>
      <c r="U31" s="57"/>
      <c r="V31" s="58">
        <f t="shared" si="0"/>
        <v>25576.35</v>
      </c>
      <c r="W31" s="57"/>
    </row>
    <row r="32" spans="1:23" x14ac:dyDescent="0.25">
      <c r="A32" s="48" t="s">
        <v>16</v>
      </c>
      <c r="B32" s="49">
        <v>8470315</v>
      </c>
      <c r="C32" s="50" t="s">
        <v>138</v>
      </c>
      <c r="D32" s="51">
        <v>435508</v>
      </c>
      <c r="E32" s="50" t="s">
        <v>100</v>
      </c>
      <c r="F32" s="50" t="s">
        <v>148</v>
      </c>
      <c r="G32" s="52">
        <v>113080</v>
      </c>
      <c r="H32" s="59">
        <v>6108.9</v>
      </c>
      <c r="I32" s="62">
        <v>21952.560000000001</v>
      </c>
      <c r="J32" s="61">
        <v>1191.78</v>
      </c>
      <c r="K32" s="56">
        <v>83826.759999999995</v>
      </c>
      <c r="L32" s="55"/>
      <c r="M32" s="54"/>
      <c r="N32" s="57"/>
      <c r="O32" s="57"/>
      <c r="P32" s="57"/>
      <c r="Q32" s="57"/>
      <c r="R32" s="57"/>
      <c r="S32" s="57"/>
      <c r="T32" s="57"/>
      <c r="U32" s="57"/>
      <c r="V32" s="58">
        <f t="shared" si="0"/>
        <v>83826.759999999995</v>
      </c>
      <c r="W32" s="57"/>
    </row>
    <row r="33" spans="1:23" x14ac:dyDescent="0.25">
      <c r="A33" s="48" t="s">
        <v>16</v>
      </c>
      <c r="B33" s="49">
        <v>8470320</v>
      </c>
      <c r="C33" s="50" t="s">
        <v>149</v>
      </c>
      <c r="D33" s="51">
        <v>425510</v>
      </c>
      <c r="E33" s="50" t="s">
        <v>20</v>
      </c>
      <c r="F33" s="50" t="s">
        <v>150</v>
      </c>
      <c r="G33" s="52">
        <v>13650</v>
      </c>
      <c r="H33" s="59">
        <v>11094.75</v>
      </c>
      <c r="I33" s="62"/>
      <c r="J33" s="61"/>
      <c r="K33" s="56">
        <v>2555.25</v>
      </c>
      <c r="L33" s="55"/>
      <c r="M33" s="54"/>
      <c r="N33" s="57"/>
      <c r="O33" s="57"/>
      <c r="P33" s="57"/>
      <c r="Q33" s="57"/>
      <c r="R33" s="57"/>
      <c r="S33" s="57"/>
      <c r="T33" s="57"/>
      <c r="U33" s="57"/>
      <c r="V33" s="58">
        <f t="shared" si="0"/>
        <v>2555.25</v>
      </c>
      <c r="W33" s="57"/>
    </row>
    <row r="34" spans="1:23" x14ac:dyDescent="0.25">
      <c r="A34" s="48" t="s">
        <v>16</v>
      </c>
      <c r="B34" s="49">
        <v>8470320</v>
      </c>
      <c r="C34" s="50" t="s">
        <v>149</v>
      </c>
      <c r="D34" s="51">
        <v>425760</v>
      </c>
      <c r="E34" s="50" t="s">
        <v>116</v>
      </c>
      <c r="F34" s="50" t="s">
        <v>151</v>
      </c>
      <c r="G34" s="52">
        <v>5390</v>
      </c>
      <c r="H34" s="53"/>
      <c r="I34" s="62"/>
      <c r="J34" s="61"/>
      <c r="K34" s="56">
        <v>5390</v>
      </c>
      <c r="L34" s="55"/>
      <c r="M34" s="54"/>
      <c r="N34" s="57"/>
      <c r="O34" s="57"/>
      <c r="P34" s="57"/>
      <c r="Q34" s="57"/>
      <c r="R34" s="57"/>
      <c r="S34" s="57"/>
      <c r="T34" s="57"/>
      <c r="U34" s="57"/>
      <c r="V34" s="58">
        <f t="shared" si="0"/>
        <v>5390</v>
      </c>
      <c r="W34" s="57"/>
    </row>
    <row r="35" spans="1:23" x14ac:dyDescent="0.25">
      <c r="A35" s="48" t="s">
        <v>16</v>
      </c>
      <c r="B35" s="49">
        <v>8470320</v>
      </c>
      <c r="C35" s="50" t="s">
        <v>149</v>
      </c>
      <c r="D35" s="51">
        <v>425763</v>
      </c>
      <c r="E35" s="50" t="s">
        <v>53</v>
      </c>
      <c r="F35" s="50" t="s">
        <v>152</v>
      </c>
      <c r="G35" s="52">
        <v>45000</v>
      </c>
      <c r="H35" s="59">
        <v>0</v>
      </c>
      <c r="I35" s="62"/>
      <c r="J35" s="61"/>
      <c r="K35" s="56">
        <v>45000</v>
      </c>
      <c r="L35" s="55"/>
      <c r="M35" s="54"/>
      <c r="N35" s="57"/>
      <c r="O35" s="57"/>
      <c r="P35" s="57"/>
      <c r="Q35" s="57"/>
      <c r="R35" s="57"/>
      <c r="S35" s="57"/>
      <c r="T35" s="57"/>
      <c r="U35" s="57"/>
      <c r="V35" s="58">
        <f t="shared" si="0"/>
        <v>45000</v>
      </c>
      <c r="W35" s="57"/>
    </row>
    <row r="36" spans="1:23" x14ac:dyDescent="0.25">
      <c r="A36" s="48" t="s">
        <v>16</v>
      </c>
      <c r="B36" s="49">
        <v>8470320</v>
      </c>
      <c r="C36" s="50" t="s">
        <v>149</v>
      </c>
      <c r="D36" s="51">
        <v>425770</v>
      </c>
      <c r="E36" s="50" t="s">
        <v>119</v>
      </c>
      <c r="F36" s="50" t="s">
        <v>153</v>
      </c>
      <c r="G36" s="52">
        <v>236600</v>
      </c>
      <c r="H36" s="59">
        <v>13803.27</v>
      </c>
      <c r="I36" s="62"/>
      <c r="J36" s="61"/>
      <c r="K36" s="56">
        <v>222796.73</v>
      </c>
      <c r="L36" s="55"/>
      <c r="M36" s="54"/>
      <c r="N36" s="57"/>
      <c r="O36" s="57"/>
      <c r="P36" s="57"/>
      <c r="Q36" s="57"/>
      <c r="R36" s="57"/>
      <c r="S36" s="57"/>
      <c r="T36" s="57"/>
      <c r="U36" s="57"/>
      <c r="V36" s="58">
        <f t="shared" si="0"/>
        <v>222796.73</v>
      </c>
      <c r="W36" s="57"/>
    </row>
    <row r="37" spans="1:23" x14ac:dyDescent="0.25">
      <c r="A37" s="48" t="s">
        <v>16</v>
      </c>
      <c r="B37" s="49">
        <v>8470320</v>
      </c>
      <c r="C37" s="50" t="s">
        <v>149</v>
      </c>
      <c r="D37" s="51">
        <v>425900</v>
      </c>
      <c r="E37" s="50" t="s">
        <v>24</v>
      </c>
      <c r="F37" s="50" t="s">
        <v>154</v>
      </c>
      <c r="G37" s="52">
        <v>4750</v>
      </c>
      <c r="H37" s="59">
        <v>2415</v>
      </c>
      <c r="I37" s="62"/>
      <c r="J37" s="61"/>
      <c r="K37" s="56">
        <v>2335</v>
      </c>
      <c r="L37" s="55"/>
      <c r="M37" s="54"/>
      <c r="N37" s="57"/>
      <c r="O37" s="57"/>
      <c r="P37" s="57"/>
      <c r="Q37" s="57"/>
      <c r="R37" s="57"/>
      <c r="S37" s="57"/>
      <c r="T37" s="57"/>
      <c r="U37" s="57"/>
      <c r="V37" s="58">
        <f t="shared" si="0"/>
        <v>2335</v>
      </c>
      <c r="W37" s="57"/>
    </row>
    <row r="38" spans="1:23" x14ac:dyDescent="0.25">
      <c r="A38" s="48" t="s">
        <v>16</v>
      </c>
      <c r="B38" s="49">
        <v>8470320</v>
      </c>
      <c r="C38" s="50" t="s">
        <v>149</v>
      </c>
      <c r="D38" s="51">
        <v>426610</v>
      </c>
      <c r="E38" s="50" t="s">
        <v>39</v>
      </c>
      <c r="F38" s="50" t="s">
        <v>155</v>
      </c>
      <c r="G38" s="52">
        <v>60384</v>
      </c>
      <c r="H38" s="53"/>
      <c r="I38" s="62">
        <v>33802.620000000003</v>
      </c>
      <c r="J38" s="61"/>
      <c r="K38" s="56">
        <v>26581.38</v>
      </c>
      <c r="L38" s="55"/>
      <c r="M38" s="54"/>
      <c r="N38" s="57"/>
      <c r="O38" s="57"/>
      <c r="P38" s="57"/>
      <c r="Q38" s="57"/>
      <c r="R38" s="57"/>
      <c r="S38" s="57"/>
      <c r="T38" s="57"/>
      <c r="U38" s="57"/>
      <c r="V38" s="58">
        <f t="shared" si="0"/>
        <v>26581.38</v>
      </c>
      <c r="W38" s="57"/>
    </row>
    <row r="39" spans="1:23" x14ac:dyDescent="0.25">
      <c r="A39" s="48" t="s">
        <v>16</v>
      </c>
      <c r="B39" s="49">
        <v>8470320</v>
      </c>
      <c r="C39" s="50" t="s">
        <v>149</v>
      </c>
      <c r="D39" s="51">
        <v>435350</v>
      </c>
      <c r="E39" s="50" t="s">
        <v>98</v>
      </c>
      <c r="F39" s="50" t="s">
        <v>156</v>
      </c>
      <c r="G39" s="52">
        <v>35857</v>
      </c>
      <c r="H39" s="53"/>
      <c r="I39" s="62"/>
      <c r="J39" s="61"/>
      <c r="K39" s="56">
        <v>35857</v>
      </c>
      <c r="L39" s="55"/>
      <c r="M39" s="54"/>
      <c r="N39" s="57"/>
      <c r="O39" s="57"/>
      <c r="P39" s="57"/>
      <c r="Q39" s="57"/>
      <c r="R39" s="57"/>
      <c r="S39" s="57"/>
      <c r="T39" s="57"/>
      <c r="U39" s="57"/>
      <c r="V39" s="58">
        <f t="shared" si="0"/>
        <v>35857</v>
      </c>
      <c r="W39" s="57"/>
    </row>
    <row r="40" spans="1:23" x14ac:dyDescent="0.25">
      <c r="A40" s="48" t="s">
        <v>16</v>
      </c>
      <c r="B40" s="49">
        <v>8470320</v>
      </c>
      <c r="C40" s="50" t="s">
        <v>149</v>
      </c>
      <c r="D40" s="51">
        <v>435508</v>
      </c>
      <c r="E40" s="50" t="s">
        <v>100</v>
      </c>
      <c r="F40" s="50" t="s">
        <v>157</v>
      </c>
      <c r="G40" s="52">
        <v>43050</v>
      </c>
      <c r="H40" s="59">
        <v>1883.28</v>
      </c>
      <c r="I40" s="62">
        <v>-1613.7</v>
      </c>
      <c r="J40" s="61">
        <v>6851.84</v>
      </c>
      <c r="K40" s="56">
        <v>35928.58</v>
      </c>
      <c r="L40" s="55"/>
      <c r="M40" s="54"/>
      <c r="N40" s="57"/>
      <c r="O40" s="57"/>
      <c r="P40" s="57"/>
      <c r="Q40" s="57"/>
      <c r="R40" s="57"/>
      <c r="S40" s="57"/>
      <c r="T40" s="57"/>
      <c r="U40" s="57"/>
      <c r="V40" s="58">
        <f t="shared" si="0"/>
        <v>35928.58</v>
      </c>
      <c r="W40" s="57"/>
    </row>
    <row r="41" spans="1:23" x14ac:dyDescent="0.25">
      <c r="A41" s="48" t="s">
        <v>16</v>
      </c>
      <c r="B41" s="49">
        <v>8470320</v>
      </c>
      <c r="C41" s="50" t="s">
        <v>149</v>
      </c>
      <c r="D41" s="51">
        <v>436110</v>
      </c>
      <c r="E41" s="50" t="s">
        <v>158</v>
      </c>
      <c r="F41" s="50" t="s">
        <v>159</v>
      </c>
      <c r="G41" s="52">
        <v>10850</v>
      </c>
      <c r="H41" s="53"/>
      <c r="I41" s="62"/>
      <c r="J41" s="61"/>
      <c r="K41" s="56">
        <v>10850</v>
      </c>
      <c r="L41" s="55"/>
      <c r="M41" s="54"/>
      <c r="N41" s="57"/>
      <c r="O41" s="57"/>
      <c r="P41" s="57"/>
      <c r="Q41" s="57"/>
      <c r="R41" s="57"/>
      <c r="S41" s="57"/>
      <c r="T41" s="57"/>
      <c r="U41" s="57"/>
      <c r="V41" s="58">
        <f t="shared" si="0"/>
        <v>10850</v>
      </c>
      <c r="W41" s="57"/>
    </row>
    <row r="42" spans="1:23" x14ac:dyDescent="0.25">
      <c r="A42" s="48" t="s">
        <v>16</v>
      </c>
      <c r="B42" s="49">
        <v>8470320</v>
      </c>
      <c r="C42" s="50" t="s">
        <v>149</v>
      </c>
      <c r="D42" s="51">
        <v>436600</v>
      </c>
      <c r="E42" s="50" t="s">
        <v>160</v>
      </c>
      <c r="F42" s="50" t="s">
        <v>161</v>
      </c>
      <c r="G42" s="52">
        <v>5175</v>
      </c>
      <c r="H42" s="53"/>
      <c r="I42" s="62"/>
      <c r="J42" s="61"/>
      <c r="K42" s="56">
        <v>5175</v>
      </c>
      <c r="L42" s="55"/>
      <c r="M42" s="54"/>
      <c r="N42" s="57"/>
      <c r="O42" s="57"/>
      <c r="P42" s="57"/>
      <c r="Q42" s="57"/>
      <c r="R42" s="57"/>
      <c r="S42" s="57"/>
      <c r="T42" s="57"/>
      <c r="U42" s="57"/>
      <c r="V42" s="58">
        <f t="shared" si="0"/>
        <v>5175</v>
      </c>
      <c r="W42" s="57"/>
    </row>
    <row r="43" spans="1:23" x14ac:dyDescent="0.25">
      <c r="A43" s="48" t="s">
        <v>16</v>
      </c>
      <c r="B43" s="49">
        <v>8470325</v>
      </c>
      <c r="C43" s="50" t="s">
        <v>162</v>
      </c>
      <c r="D43" s="51">
        <v>425510</v>
      </c>
      <c r="E43" s="50" t="s">
        <v>20</v>
      </c>
      <c r="F43" s="50" t="s">
        <v>163</v>
      </c>
      <c r="G43" s="52">
        <v>3003</v>
      </c>
      <c r="H43" s="59">
        <v>1218.3599999999999</v>
      </c>
      <c r="I43" s="62"/>
      <c r="J43" s="61"/>
      <c r="K43" s="56">
        <v>1784.64</v>
      </c>
      <c r="L43" s="55"/>
      <c r="M43" s="54"/>
      <c r="N43" s="57"/>
      <c r="O43" s="57"/>
      <c r="P43" s="57"/>
      <c r="Q43" s="57"/>
      <c r="R43" s="57"/>
      <c r="S43" s="57"/>
      <c r="T43" s="57"/>
      <c r="U43" s="57"/>
      <c r="V43" s="58">
        <f t="shared" si="0"/>
        <v>1784.64</v>
      </c>
      <c r="W43" s="57"/>
    </row>
    <row r="44" spans="1:23" x14ac:dyDescent="0.25">
      <c r="A44" s="48" t="s">
        <v>16</v>
      </c>
      <c r="B44" s="49">
        <v>8470325</v>
      </c>
      <c r="C44" s="50" t="s">
        <v>162</v>
      </c>
      <c r="D44" s="51">
        <v>425763</v>
      </c>
      <c r="E44" s="50" t="s">
        <v>53</v>
      </c>
      <c r="F44" s="50" t="s">
        <v>164</v>
      </c>
      <c r="G44" s="52">
        <v>45000</v>
      </c>
      <c r="H44" s="59">
        <v>3597.7</v>
      </c>
      <c r="I44" s="62"/>
      <c r="J44" s="61"/>
      <c r="K44" s="56">
        <v>41402.300000000003</v>
      </c>
      <c r="L44" s="55"/>
      <c r="M44" s="54"/>
      <c r="N44" s="57"/>
      <c r="O44" s="57"/>
      <c r="P44" s="57"/>
      <c r="Q44" s="57"/>
      <c r="R44" s="57"/>
      <c r="S44" s="57"/>
      <c r="T44" s="57"/>
      <c r="U44" s="57"/>
      <c r="V44" s="58">
        <f t="shared" si="0"/>
        <v>41402.300000000003</v>
      </c>
      <c r="W44" s="57"/>
    </row>
    <row r="45" spans="1:23" x14ac:dyDescent="0.25">
      <c r="A45" s="48" t="s">
        <v>16</v>
      </c>
      <c r="B45" s="49">
        <v>8470325</v>
      </c>
      <c r="C45" s="50" t="s">
        <v>162</v>
      </c>
      <c r="D45" s="51">
        <v>425770</v>
      </c>
      <c r="E45" s="50" t="s">
        <v>119</v>
      </c>
      <c r="F45" s="50" t="s">
        <v>165</v>
      </c>
      <c r="G45" s="52">
        <v>264435</v>
      </c>
      <c r="H45" s="59">
        <v>138539</v>
      </c>
      <c r="I45" s="62">
        <v>0</v>
      </c>
      <c r="J45" s="61"/>
      <c r="K45" s="56">
        <v>125896</v>
      </c>
      <c r="L45" s="55"/>
      <c r="M45" s="54"/>
      <c r="N45" s="57"/>
      <c r="O45" s="57"/>
      <c r="P45" s="57"/>
      <c r="Q45" s="57"/>
      <c r="R45" s="57"/>
      <c r="S45" s="57"/>
      <c r="T45" s="57"/>
      <c r="U45" s="57"/>
      <c r="V45" s="58">
        <f t="shared" si="0"/>
        <v>125896</v>
      </c>
      <c r="W45" s="57"/>
    </row>
    <row r="46" spans="1:23" x14ac:dyDescent="0.25">
      <c r="A46" s="48" t="s">
        <v>16</v>
      </c>
      <c r="B46" s="49">
        <v>8470325</v>
      </c>
      <c r="C46" s="50" t="s">
        <v>162</v>
      </c>
      <c r="D46" s="51">
        <v>425900</v>
      </c>
      <c r="E46" s="50" t="s">
        <v>24</v>
      </c>
      <c r="F46" s="50" t="s">
        <v>166</v>
      </c>
      <c r="G46" s="52">
        <v>9600</v>
      </c>
      <c r="H46" s="53"/>
      <c r="I46" s="62"/>
      <c r="J46" s="61"/>
      <c r="K46" s="56">
        <v>9600</v>
      </c>
      <c r="L46" s="55"/>
      <c r="M46" s="54"/>
      <c r="N46" s="57"/>
      <c r="O46" s="57"/>
      <c r="P46" s="57"/>
      <c r="Q46" s="57"/>
      <c r="R46" s="57"/>
      <c r="S46" s="57"/>
      <c r="T46" s="57"/>
      <c r="U46" s="57"/>
      <c r="V46" s="58">
        <f t="shared" si="0"/>
        <v>9600</v>
      </c>
      <c r="W46" s="57"/>
    </row>
    <row r="47" spans="1:23" x14ac:dyDescent="0.25">
      <c r="A47" s="48" t="s">
        <v>16</v>
      </c>
      <c r="B47" s="49">
        <v>8470325</v>
      </c>
      <c r="C47" s="50" t="s">
        <v>162</v>
      </c>
      <c r="D47" s="51">
        <v>426610</v>
      </c>
      <c r="E47" s="50" t="s">
        <v>39</v>
      </c>
      <c r="F47" s="50" t="s">
        <v>167</v>
      </c>
      <c r="G47" s="52">
        <v>24683</v>
      </c>
      <c r="H47" s="59">
        <v>359.26</v>
      </c>
      <c r="I47" s="62">
        <v>12040</v>
      </c>
      <c r="J47" s="61"/>
      <c r="K47" s="56">
        <v>12283.74</v>
      </c>
      <c r="L47" s="55"/>
      <c r="M47" s="54"/>
      <c r="N47" s="57"/>
      <c r="O47" s="57"/>
      <c r="P47" s="57"/>
      <c r="Q47" s="57"/>
      <c r="R47" s="57"/>
      <c r="S47" s="57"/>
      <c r="T47" s="57"/>
      <c r="U47" s="57"/>
      <c r="V47" s="58">
        <f t="shared" si="0"/>
        <v>12283.74</v>
      </c>
      <c r="W47" s="57"/>
    </row>
    <row r="48" spans="1:23" x14ac:dyDescent="0.25">
      <c r="A48" s="48" t="s">
        <v>16</v>
      </c>
      <c r="B48" s="49">
        <v>8470325</v>
      </c>
      <c r="C48" s="50" t="s">
        <v>162</v>
      </c>
      <c r="D48" s="51">
        <v>432209</v>
      </c>
      <c r="E48" s="50" t="s">
        <v>124</v>
      </c>
      <c r="F48" s="50" t="s">
        <v>168</v>
      </c>
      <c r="G48" s="52">
        <v>177182</v>
      </c>
      <c r="H48" s="59">
        <v>7755</v>
      </c>
      <c r="I48" s="62">
        <v>-7755</v>
      </c>
      <c r="J48" s="61">
        <v>8800</v>
      </c>
      <c r="K48" s="56">
        <v>168382</v>
      </c>
      <c r="L48" s="55"/>
      <c r="M48" s="54"/>
      <c r="N48" s="57"/>
      <c r="O48" s="57"/>
      <c r="P48" s="57"/>
      <c r="Q48" s="57"/>
      <c r="R48" s="57"/>
      <c r="S48" s="57"/>
      <c r="T48" s="57"/>
      <c r="U48" s="57"/>
      <c r="V48" s="58">
        <f t="shared" si="0"/>
        <v>168382</v>
      </c>
      <c r="W48" s="57"/>
    </row>
    <row r="49" spans="1:23" x14ac:dyDescent="0.25">
      <c r="A49" s="48" t="s">
        <v>16</v>
      </c>
      <c r="B49" s="49">
        <v>8470325</v>
      </c>
      <c r="C49" s="50" t="s">
        <v>162</v>
      </c>
      <c r="D49" s="51">
        <v>435350</v>
      </c>
      <c r="E49" s="50" t="s">
        <v>98</v>
      </c>
      <c r="F49" s="50" t="s">
        <v>169</v>
      </c>
      <c r="G49" s="52">
        <v>38400</v>
      </c>
      <c r="H49" s="59">
        <v>7377.22</v>
      </c>
      <c r="I49" s="62"/>
      <c r="J49" s="61"/>
      <c r="K49" s="56">
        <v>31022.78</v>
      </c>
      <c r="L49" s="55"/>
      <c r="M49" s="54"/>
      <c r="N49" s="57"/>
      <c r="O49" s="57"/>
      <c r="P49" s="57"/>
      <c r="Q49" s="57"/>
      <c r="R49" s="57"/>
      <c r="S49" s="57"/>
      <c r="T49" s="57"/>
      <c r="U49" s="57"/>
      <c r="V49" s="58">
        <f t="shared" si="0"/>
        <v>31022.78</v>
      </c>
      <c r="W49" s="57"/>
    </row>
    <row r="50" spans="1:23" x14ac:dyDescent="0.25">
      <c r="A50" s="48" t="s">
        <v>16</v>
      </c>
      <c r="B50" s="49">
        <v>8470325</v>
      </c>
      <c r="C50" s="50" t="s">
        <v>162</v>
      </c>
      <c r="D50" s="51">
        <v>435508</v>
      </c>
      <c r="E50" s="50" t="s">
        <v>100</v>
      </c>
      <c r="F50" s="50" t="s">
        <v>170</v>
      </c>
      <c r="G50" s="52">
        <v>65766</v>
      </c>
      <c r="H50" s="59">
        <v>14023.8</v>
      </c>
      <c r="I50" s="62">
        <v>-13455</v>
      </c>
      <c r="J50" s="61">
        <v>33229.800000000003</v>
      </c>
      <c r="K50" s="56">
        <v>31967.4</v>
      </c>
      <c r="L50" s="55"/>
      <c r="M50" s="54"/>
      <c r="N50" s="57"/>
      <c r="O50" s="57"/>
      <c r="P50" s="57"/>
      <c r="Q50" s="57"/>
      <c r="R50" s="57"/>
      <c r="S50" s="57"/>
      <c r="T50" s="57"/>
      <c r="U50" s="57"/>
      <c r="V50" s="58">
        <f t="shared" si="0"/>
        <v>31967.4</v>
      </c>
      <c r="W50" s="57"/>
    </row>
    <row r="51" spans="1:23" x14ac:dyDescent="0.25">
      <c r="A51" s="48" t="s">
        <v>16</v>
      </c>
      <c r="B51" s="49">
        <v>8470325</v>
      </c>
      <c r="C51" s="50" t="s">
        <v>162</v>
      </c>
      <c r="D51" s="51">
        <v>436600</v>
      </c>
      <c r="E51" s="50" t="s">
        <v>160</v>
      </c>
      <c r="F51" s="50" t="s">
        <v>171</v>
      </c>
      <c r="G51" s="52">
        <v>0</v>
      </c>
      <c r="H51" s="53"/>
      <c r="I51" s="62"/>
      <c r="J51" s="61"/>
      <c r="K51" s="56">
        <v>0</v>
      </c>
      <c r="L51" s="55"/>
      <c r="M51" s="54"/>
      <c r="N51" s="57"/>
      <c r="O51" s="57"/>
      <c r="P51" s="57"/>
      <c r="Q51" s="57"/>
      <c r="R51" s="57"/>
      <c r="S51" s="57"/>
      <c r="T51" s="57"/>
      <c r="U51" s="57"/>
      <c r="V51" s="58">
        <f t="shared" si="0"/>
        <v>0</v>
      </c>
      <c r="W51" s="57"/>
    </row>
    <row r="52" spans="1:23" x14ac:dyDescent="0.25">
      <c r="A52" s="48" t="s">
        <v>16</v>
      </c>
      <c r="B52" s="49">
        <v>8470330</v>
      </c>
      <c r="C52" s="50" t="s">
        <v>172</v>
      </c>
      <c r="D52" s="51">
        <v>420550</v>
      </c>
      <c r="E52" s="50" t="s">
        <v>18</v>
      </c>
      <c r="F52" s="50" t="s">
        <v>173</v>
      </c>
      <c r="G52" s="52">
        <v>5520</v>
      </c>
      <c r="H52" s="53"/>
      <c r="I52" s="62"/>
      <c r="J52" s="61"/>
      <c r="K52" s="56">
        <v>5520</v>
      </c>
      <c r="L52" s="55"/>
      <c r="M52" s="54"/>
      <c r="N52" s="57"/>
      <c r="O52" s="57"/>
      <c r="P52" s="57"/>
      <c r="Q52" s="57"/>
      <c r="R52" s="57"/>
      <c r="S52" s="57"/>
      <c r="T52" s="57"/>
      <c r="U52" s="57"/>
      <c r="V52" s="58">
        <f t="shared" si="0"/>
        <v>5520</v>
      </c>
      <c r="W52" s="57"/>
    </row>
    <row r="53" spans="1:23" x14ac:dyDescent="0.25">
      <c r="A53" s="48" t="s">
        <v>16</v>
      </c>
      <c r="B53" s="49">
        <v>8470330</v>
      </c>
      <c r="C53" s="50" t="s">
        <v>172</v>
      </c>
      <c r="D53" s="51">
        <v>425510</v>
      </c>
      <c r="E53" s="50" t="s">
        <v>20</v>
      </c>
      <c r="F53" s="50" t="s">
        <v>174</v>
      </c>
      <c r="G53" s="52">
        <v>4550</v>
      </c>
      <c r="H53" s="59">
        <v>4520.25</v>
      </c>
      <c r="I53" s="62"/>
      <c r="J53" s="61"/>
      <c r="K53" s="56">
        <v>29.75</v>
      </c>
      <c r="L53" s="55"/>
      <c r="M53" s="54"/>
      <c r="N53" s="57"/>
      <c r="O53" s="57"/>
      <c r="P53" s="57"/>
      <c r="Q53" s="57"/>
      <c r="R53" s="57"/>
      <c r="S53" s="57"/>
      <c r="T53" s="57"/>
      <c r="U53" s="57"/>
      <c r="V53" s="58">
        <f t="shared" si="0"/>
        <v>29.75</v>
      </c>
      <c r="W53" s="57"/>
    </row>
    <row r="54" spans="1:23" x14ac:dyDescent="0.25">
      <c r="A54" s="48" t="s">
        <v>16</v>
      </c>
      <c r="B54" s="49">
        <v>8470330</v>
      </c>
      <c r="C54" s="50" t="s">
        <v>172</v>
      </c>
      <c r="D54" s="51">
        <v>425760</v>
      </c>
      <c r="E54" s="50" t="s">
        <v>116</v>
      </c>
      <c r="F54" s="50" t="s">
        <v>175</v>
      </c>
      <c r="G54" s="52">
        <v>5434</v>
      </c>
      <c r="H54" s="53"/>
      <c r="I54" s="62"/>
      <c r="J54" s="61"/>
      <c r="K54" s="56">
        <v>5434</v>
      </c>
      <c r="L54" s="55"/>
      <c r="M54" s="54"/>
      <c r="N54" s="57"/>
      <c r="O54" s="57"/>
      <c r="P54" s="57"/>
      <c r="Q54" s="57"/>
      <c r="R54" s="57"/>
      <c r="S54" s="57"/>
      <c r="T54" s="57"/>
      <c r="U54" s="57"/>
      <c r="V54" s="58">
        <f t="shared" si="0"/>
        <v>5434</v>
      </c>
      <c r="W54" s="57"/>
    </row>
    <row r="55" spans="1:23" x14ac:dyDescent="0.25">
      <c r="A55" s="48" t="s">
        <v>16</v>
      </c>
      <c r="B55" s="49">
        <v>8470330</v>
      </c>
      <c r="C55" s="50" t="s">
        <v>172</v>
      </c>
      <c r="D55" s="51">
        <v>425763</v>
      </c>
      <c r="E55" s="50" t="s">
        <v>53</v>
      </c>
      <c r="F55" s="50" t="s">
        <v>176</v>
      </c>
      <c r="G55" s="52">
        <v>175809</v>
      </c>
      <c r="H55" s="59">
        <v>50000</v>
      </c>
      <c r="I55" s="62"/>
      <c r="J55" s="61"/>
      <c r="K55" s="56">
        <v>125809</v>
      </c>
      <c r="L55" s="55"/>
      <c r="M55" s="54"/>
      <c r="N55" s="57"/>
      <c r="O55" s="57"/>
      <c r="P55" s="57"/>
      <c r="Q55" s="57"/>
      <c r="R55" s="57"/>
      <c r="S55" s="57"/>
      <c r="T55" s="57"/>
      <c r="U55" s="57"/>
      <c r="V55" s="58">
        <f t="shared" si="0"/>
        <v>125809</v>
      </c>
      <c r="W55" s="57"/>
    </row>
    <row r="56" spans="1:23" x14ac:dyDescent="0.25">
      <c r="A56" s="48" t="s">
        <v>16</v>
      </c>
      <c r="B56" s="49">
        <v>8470330</v>
      </c>
      <c r="C56" s="50" t="s">
        <v>172</v>
      </c>
      <c r="D56" s="51">
        <v>425770</v>
      </c>
      <c r="E56" s="50" t="s">
        <v>119</v>
      </c>
      <c r="F56" s="50" t="s">
        <v>177</v>
      </c>
      <c r="G56" s="52">
        <v>356489</v>
      </c>
      <c r="H56" s="59">
        <v>95672.34</v>
      </c>
      <c r="I56" s="62"/>
      <c r="J56" s="61"/>
      <c r="K56" s="56">
        <v>260816.66</v>
      </c>
      <c r="L56" s="55"/>
      <c r="M56" s="54"/>
      <c r="N56" s="57"/>
      <c r="O56" s="57"/>
      <c r="P56" s="57"/>
      <c r="Q56" s="57"/>
      <c r="R56" s="57"/>
      <c r="S56" s="57"/>
      <c r="T56" s="57"/>
      <c r="U56" s="57"/>
      <c r="V56" s="58">
        <f t="shared" si="0"/>
        <v>260816.66</v>
      </c>
      <c r="W56" s="57"/>
    </row>
    <row r="57" spans="1:23" x14ac:dyDescent="0.25">
      <c r="A57" s="48" t="s">
        <v>16</v>
      </c>
      <c r="B57" s="49">
        <v>8470330</v>
      </c>
      <c r="C57" s="50" t="s">
        <v>172</v>
      </c>
      <c r="D57" s="51">
        <v>425900</v>
      </c>
      <c r="E57" s="50" t="s">
        <v>24</v>
      </c>
      <c r="F57" s="50" t="s">
        <v>178</v>
      </c>
      <c r="G57" s="52">
        <v>9600</v>
      </c>
      <c r="H57" s="59">
        <v>4284</v>
      </c>
      <c r="I57" s="62"/>
      <c r="J57" s="61"/>
      <c r="K57" s="56">
        <v>5316</v>
      </c>
      <c r="L57" s="55"/>
      <c r="M57" s="54"/>
      <c r="N57" s="57"/>
      <c r="O57" s="57"/>
      <c r="P57" s="57"/>
      <c r="Q57" s="57"/>
      <c r="R57" s="57"/>
      <c r="S57" s="57"/>
      <c r="T57" s="57"/>
      <c r="U57" s="57"/>
      <c r="V57" s="58">
        <f t="shared" si="0"/>
        <v>5316</v>
      </c>
      <c r="W57" s="57"/>
    </row>
    <row r="58" spans="1:23" x14ac:dyDescent="0.25">
      <c r="A58" s="48" t="s">
        <v>16</v>
      </c>
      <c r="B58" s="49">
        <v>8470330</v>
      </c>
      <c r="C58" s="50" t="s">
        <v>172</v>
      </c>
      <c r="D58" s="51">
        <v>426610</v>
      </c>
      <c r="E58" s="50" t="s">
        <v>39</v>
      </c>
      <c r="F58" s="50" t="s">
        <v>179</v>
      </c>
      <c r="G58" s="52">
        <v>414733</v>
      </c>
      <c r="H58" s="59">
        <v>47010</v>
      </c>
      <c r="I58" s="62">
        <v>-23310</v>
      </c>
      <c r="J58" s="61">
        <v>14845.24</v>
      </c>
      <c r="K58" s="56">
        <v>376187.76</v>
      </c>
      <c r="L58" s="55"/>
      <c r="M58" s="54"/>
      <c r="N58" s="57"/>
      <c r="O58" s="57"/>
      <c r="P58" s="57"/>
      <c r="Q58" s="57"/>
      <c r="R58" s="57"/>
      <c r="S58" s="57"/>
      <c r="T58" s="57"/>
      <c r="U58" s="57"/>
      <c r="V58" s="58">
        <f t="shared" si="0"/>
        <v>376187.76</v>
      </c>
      <c r="W58" s="57"/>
    </row>
    <row r="59" spans="1:23" x14ac:dyDescent="0.25">
      <c r="A59" s="48" t="s">
        <v>16</v>
      </c>
      <c r="B59" s="49">
        <v>8470330</v>
      </c>
      <c r="C59" s="50" t="s">
        <v>172</v>
      </c>
      <c r="D59" s="51">
        <v>432209</v>
      </c>
      <c r="E59" s="50" t="s">
        <v>124</v>
      </c>
      <c r="F59" s="50" t="s">
        <v>180</v>
      </c>
      <c r="G59" s="52">
        <v>18994</v>
      </c>
      <c r="H59" s="53"/>
      <c r="I59" s="62"/>
      <c r="J59" s="61"/>
      <c r="K59" s="56">
        <v>18994</v>
      </c>
      <c r="L59" s="55"/>
      <c r="M59" s="54"/>
      <c r="N59" s="57"/>
      <c r="O59" s="57"/>
      <c r="P59" s="57"/>
      <c r="Q59" s="57"/>
      <c r="R59" s="57"/>
      <c r="S59" s="57"/>
      <c r="T59" s="57"/>
      <c r="U59" s="57"/>
      <c r="V59" s="58">
        <f t="shared" si="0"/>
        <v>18994</v>
      </c>
      <c r="W59" s="57"/>
    </row>
    <row r="60" spans="1:23" x14ac:dyDescent="0.25">
      <c r="A60" s="48" t="s">
        <v>16</v>
      </c>
      <c r="B60" s="49">
        <v>8470330</v>
      </c>
      <c r="C60" s="50" t="s">
        <v>172</v>
      </c>
      <c r="D60" s="51">
        <v>435350</v>
      </c>
      <c r="E60" s="50" t="s">
        <v>98</v>
      </c>
      <c r="F60" s="50" t="s">
        <v>181</v>
      </c>
      <c r="G60" s="52">
        <v>123640</v>
      </c>
      <c r="H60" s="59">
        <v>19662.13</v>
      </c>
      <c r="I60" s="62"/>
      <c r="J60" s="61"/>
      <c r="K60" s="56">
        <v>103977.87</v>
      </c>
      <c r="L60" s="55"/>
      <c r="M60" s="54"/>
      <c r="N60" s="57"/>
      <c r="O60" s="57"/>
      <c r="P60" s="57"/>
      <c r="Q60" s="57"/>
      <c r="R60" s="57"/>
      <c r="S60" s="57"/>
      <c r="T60" s="57"/>
      <c r="U60" s="57"/>
      <c r="V60" s="58">
        <f t="shared" si="0"/>
        <v>103977.87</v>
      </c>
      <c r="W60" s="57"/>
    </row>
    <row r="61" spans="1:23" x14ac:dyDescent="0.25">
      <c r="A61" s="48" t="s">
        <v>16</v>
      </c>
      <c r="B61" s="49">
        <v>8470330</v>
      </c>
      <c r="C61" s="50" t="s">
        <v>172</v>
      </c>
      <c r="D61" s="51">
        <v>435508</v>
      </c>
      <c r="E61" s="50" t="s">
        <v>100</v>
      </c>
      <c r="F61" s="50" t="s">
        <v>182</v>
      </c>
      <c r="G61" s="52">
        <v>22960</v>
      </c>
      <c r="H61" s="59">
        <v>814</v>
      </c>
      <c r="I61" s="62"/>
      <c r="J61" s="61"/>
      <c r="K61" s="56">
        <v>22146</v>
      </c>
      <c r="L61" s="55"/>
      <c r="M61" s="54"/>
      <c r="N61" s="57"/>
      <c r="O61" s="57"/>
      <c r="P61" s="57"/>
      <c r="Q61" s="57"/>
      <c r="R61" s="57"/>
      <c r="S61" s="57"/>
      <c r="T61" s="57"/>
      <c r="U61" s="57"/>
      <c r="V61" s="58">
        <f t="shared" si="0"/>
        <v>22146</v>
      </c>
      <c r="W61" s="57"/>
    </row>
    <row r="62" spans="1:23" x14ac:dyDescent="0.25">
      <c r="A62" s="48" t="s">
        <v>16</v>
      </c>
      <c r="B62" s="49">
        <v>8470335</v>
      </c>
      <c r="C62" s="50" t="s">
        <v>183</v>
      </c>
      <c r="D62" s="51">
        <v>425510</v>
      </c>
      <c r="E62" s="50" t="s">
        <v>20</v>
      </c>
      <c r="F62" s="50" t="s">
        <v>184</v>
      </c>
      <c r="G62" s="52">
        <v>3750</v>
      </c>
      <c r="H62" s="53"/>
      <c r="I62" s="62"/>
      <c r="J62" s="61"/>
      <c r="K62" s="56">
        <v>3750</v>
      </c>
      <c r="L62" s="55"/>
      <c r="M62" s="54"/>
      <c r="N62" s="57"/>
      <c r="O62" s="57"/>
      <c r="P62" s="57"/>
      <c r="Q62" s="57"/>
      <c r="R62" s="57"/>
      <c r="S62" s="57"/>
      <c r="T62" s="57"/>
      <c r="U62" s="57"/>
      <c r="V62" s="58">
        <f t="shared" si="0"/>
        <v>3750</v>
      </c>
      <c r="W62" s="57"/>
    </row>
    <row r="63" spans="1:23" x14ac:dyDescent="0.25">
      <c r="A63" s="48" t="s">
        <v>16</v>
      </c>
      <c r="B63" s="49">
        <v>8470335</v>
      </c>
      <c r="C63" s="50" t="s">
        <v>183</v>
      </c>
      <c r="D63" s="51">
        <v>425720</v>
      </c>
      <c r="E63" s="50" t="s">
        <v>185</v>
      </c>
      <c r="F63" s="50" t="s">
        <v>186</v>
      </c>
      <c r="G63" s="52">
        <v>14000</v>
      </c>
      <c r="H63" s="53"/>
      <c r="I63" s="62"/>
      <c r="J63" s="61"/>
      <c r="K63" s="56">
        <v>14000</v>
      </c>
      <c r="L63" s="55"/>
      <c r="M63" s="54"/>
      <c r="N63" s="57"/>
      <c r="O63" s="57"/>
      <c r="P63" s="57"/>
      <c r="Q63" s="57"/>
      <c r="R63" s="57"/>
      <c r="S63" s="57"/>
      <c r="T63" s="57"/>
      <c r="U63" s="57"/>
      <c r="V63" s="58">
        <f t="shared" si="0"/>
        <v>14000</v>
      </c>
      <c r="W63" s="57"/>
    </row>
    <row r="64" spans="1:23" x14ac:dyDescent="0.25">
      <c r="A64" s="48" t="s">
        <v>16</v>
      </c>
      <c r="B64" s="49">
        <v>8470335</v>
      </c>
      <c r="C64" s="50" t="s">
        <v>183</v>
      </c>
      <c r="D64" s="51">
        <v>425760</v>
      </c>
      <c r="E64" s="50" t="s">
        <v>116</v>
      </c>
      <c r="F64" s="50" t="s">
        <v>187</v>
      </c>
      <c r="G64" s="52">
        <v>4380</v>
      </c>
      <c r="H64" s="59">
        <v>2520</v>
      </c>
      <c r="I64" s="62"/>
      <c r="J64" s="61"/>
      <c r="K64" s="56">
        <v>1860</v>
      </c>
      <c r="L64" s="55"/>
      <c r="M64" s="54"/>
      <c r="N64" s="57"/>
      <c r="O64" s="57"/>
      <c r="P64" s="57"/>
      <c r="Q64" s="57"/>
      <c r="R64" s="57"/>
      <c r="S64" s="57"/>
      <c r="T64" s="57"/>
      <c r="U64" s="57"/>
      <c r="V64" s="58">
        <f t="shared" si="0"/>
        <v>1860</v>
      </c>
      <c r="W64" s="57"/>
    </row>
    <row r="65" spans="1:23" x14ac:dyDescent="0.25">
      <c r="A65" s="48" t="s">
        <v>16</v>
      </c>
      <c r="B65" s="49">
        <v>8470335</v>
      </c>
      <c r="C65" s="50" t="s">
        <v>183</v>
      </c>
      <c r="D65" s="51">
        <v>425763</v>
      </c>
      <c r="E65" s="50" t="s">
        <v>53</v>
      </c>
      <c r="F65" s="50" t="s">
        <v>188</v>
      </c>
      <c r="G65" s="52">
        <v>60000</v>
      </c>
      <c r="H65" s="59">
        <v>8948</v>
      </c>
      <c r="I65" s="62"/>
      <c r="J65" s="61"/>
      <c r="K65" s="56">
        <v>51052</v>
      </c>
      <c r="L65" s="55"/>
      <c r="M65" s="54"/>
      <c r="N65" s="57"/>
      <c r="O65" s="57"/>
      <c r="P65" s="57"/>
      <c r="Q65" s="57"/>
      <c r="R65" s="57"/>
      <c r="S65" s="57"/>
      <c r="T65" s="57"/>
      <c r="U65" s="57"/>
      <c r="V65" s="58">
        <f t="shared" si="0"/>
        <v>51052</v>
      </c>
      <c r="W65" s="57"/>
    </row>
    <row r="66" spans="1:23" x14ac:dyDescent="0.25">
      <c r="A66" s="48" t="s">
        <v>16</v>
      </c>
      <c r="B66" s="49">
        <v>8470335</v>
      </c>
      <c r="C66" s="50" t="s">
        <v>183</v>
      </c>
      <c r="D66" s="51">
        <v>425770</v>
      </c>
      <c r="E66" s="50" t="s">
        <v>119</v>
      </c>
      <c r="F66" s="50" t="s">
        <v>189</v>
      </c>
      <c r="G66" s="52">
        <v>252500</v>
      </c>
      <c r="H66" s="59">
        <v>33969.54</v>
      </c>
      <c r="I66" s="62"/>
      <c r="J66" s="61"/>
      <c r="K66" s="56">
        <v>218530.46</v>
      </c>
      <c r="L66" s="55"/>
      <c r="M66" s="54"/>
      <c r="N66" s="57"/>
      <c r="O66" s="57"/>
      <c r="P66" s="57"/>
      <c r="Q66" s="57"/>
      <c r="R66" s="57"/>
      <c r="S66" s="57"/>
      <c r="T66" s="57"/>
      <c r="U66" s="57"/>
      <c r="V66" s="58">
        <f t="shared" si="0"/>
        <v>218530.46</v>
      </c>
      <c r="W66" s="57"/>
    </row>
    <row r="67" spans="1:23" x14ac:dyDescent="0.25">
      <c r="A67" s="48" t="s">
        <v>16</v>
      </c>
      <c r="B67" s="49">
        <v>8470335</v>
      </c>
      <c r="C67" s="50" t="s">
        <v>183</v>
      </c>
      <c r="D67" s="51">
        <v>425900</v>
      </c>
      <c r="E67" s="50" t="s">
        <v>24</v>
      </c>
      <c r="F67" s="50" t="s">
        <v>190</v>
      </c>
      <c r="G67" s="52">
        <v>4095</v>
      </c>
      <c r="H67" s="59">
        <v>1811.25</v>
      </c>
      <c r="I67" s="62"/>
      <c r="J67" s="61"/>
      <c r="K67" s="56">
        <v>2283.75</v>
      </c>
      <c r="L67" s="55"/>
      <c r="M67" s="54"/>
      <c r="N67" s="57"/>
      <c r="O67" s="57"/>
      <c r="P67" s="57"/>
      <c r="Q67" s="57"/>
      <c r="R67" s="57"/>
      <c r="S67" s="57"/>
      <c r="T67" s="57"/>
      <c r="U67" s="57"/>
      <c r="V67" s="58">
        <f t="shared" si="0"/>
        <v>2283.75</v>
      </c>
      <c r="W67" s="57"/>
    </row>
    <row r="68" spans="1:23" x14ac:dyDescent="0.25">
      <c r="A68" s="48" t="s">
        <v>16</v>
      </c>
      <c r="B68" s="49">
        <v>8470335</v>
      </c>
      <c r="C68" s="50" t="s">
        <v>183</v>
      </c>
      <c r="D68" s="51">
        <v>426610</v>
      </c>
      <c r="E68" s="50" t="s">
        <v>39</v>
      </c>
      <c r="F68" s="50" t="s">
        <v>191</v>
      </c>
      <c r="G68" s="52">
        <v>154616</v>
      </c>
      <c r="H68" s="59">
        <v>1824.21</v>
      </c>
      <c r="I68" s="62">
        <v>8255.0400000000009</v>
      </c>
      <c r="J68" s="61">
        <v>73034.320000000007</v>
      </c>
      <c r="K68" s="56">
        <v>71502.429999999993</v>
      </c>
      <c r="L68" s="55"/>
      <c r="M68" s="54"/>
      <c r="N68" s="57"/>
      <c r="O68" s="57"/>
      <c r="P68" s="57"/>
      <c r="Q68" s="57"/>
      <c r="R68" s="57"/>
      <c r="S68" s="57"/>
      <c r="T68" s="57"/>
      <c r="U68" s="57"/>
      <c r="V68" s="58">
        <f t="shared" ref="V68:V108" si="1">K68-(SUM(L68:T68))</f>
        <v>71502.429999999993</v>
      </c>
      <c r="W68" s="57"/>
    </row>
    <row r="69" spans="1:23" x14ac:dyDescent="0.25">
      <c r="A69" s="48" t="s">
        <v>16</v>
      </c>
      <c r="B69" s="49">
        <v>8470335</v>
      </c>
      <c r="C69" s="50" t="s">
        <v>183</v>
      </c>
      <c r="D69" s="51">
        <v>435350</v>
      </c>
      <c r="E69" s="50" t="s">
        <v>98</v>
      </c>
      <c r="F69" s="50" t="s">
        <v>192</v>
      </c>
      <c r="G69" s="52">
        <v>70000</v>
      </c>
      <c r="H69" s="59">
        <v>28599.33</v>
      </c>
      <c r="I69" s="62"/>
      <c r="J69" s="61"/>
      <c r="K69" s="56">
        <v>41400.67</v>
      </c>
      <c r="L69" s="55"/>
      <c r="M69" s="54"/>
      <c r="N69" s="57"/>
      <c r="O69" s="57"/>
      <c r="P69" s="57"/>
      <c r="Q69" s="57"/>
      <c r="R69" s="57"/>
      <c r="S69" s="57"/>
      <c r="T69" s="57"/>
      <c r="U69" s="57"/>
      <c r="V69" s="58">
        <f t="shared" si="1"/>
        <v>41400.67</v>
      </c>
      <c r="W69" s="57"/>
    </row>
    <row r="70" spans="1:23" x14ac:dyDescent="0.25">
      <c r="A70" s="48" t="s">
        <v>16</v>
      </c>
      <c r="B70" s="49">
        <v>8470335</v>
      </c>
      <c r="C70" s="50" t="s">
        <v>183</v>
      </c>
      <c r="D70" s="51">
        <v>435508</v>
      </c>
      <c r="E70" s="50" t="s">
        <v>100</v>
      </c>
      <c r="F70" s="50" t="s">
        <v>193</v>
      </c>
      <c r="G70" s="52">
        <v>70880</v>
      </c>
      <c r="H70" s="59">
        <v>9834.4599999999991</v>
      </c>
      <c r="I70" s="62">
        <v>-9834.4599999999991</v>
      </c>
      <c r="J70" s="61">
        <v>46338.38</v>
      </c>
      <c r="K70" s="56">
        <v>24541.62</v>
      </c>
      <c r="L70" s="55"/>
      <c r="M70" s="54"/>
      <c r="N70" s="57"/>
      <c r="O70" s="57"/>
      <c r="P70" s="57"/>
      <c r="Q70" s="57"/>
      <c r="R70" s="57"/>
      <c r="S70" s="57"/>
      <c r="T70" s="57"/>
      <c r="U70" s="57"/>
      <c r="V70" s="58">
        <f t="shared" si="1"/>
        <v>24541.62</v>
      </c>
      <c r="W70" s="57"/>
    </row>
    <row r="71" spans="1:23" x14ac:dyDescent="0.25">
      <c r="A71" s="48" t="s">
        <v>16</v>
      </c>
      <c r="B71" s="49">
        <v>8470335</v>
      </c>
      <c r="C71" s="50" t="s">
        <v>183</v>
      </c>
      <c r="D71" s="51">
        <v>436600</v>
      </c>
      <c r="E71" s="50" t="s">
        <v>160</v>
      </c>
      <c r="F71" s="50" t="s">
        <v>194</v>
      </c>
      <c r="G71" s="52">
        <v>2760</v>
      </c>
      <c r="H71" s="53"/>
      <c r="I71" s="62"/>
      <c r="J71" s="61"/>
      <c r="K71" s="56">
        <v>2760</v>
      </c>
      <c r="L71" s="55"/>
      <c r="M71" s="54"/>
      <c r="N71" s="57"/>
      <c r="O71" s="57"/>
      <c r="P71" s="57"/>
      <c r="Q71" s="57"/>
      <c r="R71" s="57"/>
      <c r="S71" s="57"/>
      <c r="T71" s="57"/>
      <c r="U71" s="57"/>
      <c r="V71" s="58">
        <f t="shared" si="1"/>
        <v>2760</v>
      </c>
      <c r="W71" s="57"/>
    </row>
    <row r="72" spans="1:23" x14ac:dyDescent="0.25">
      <c r="A72" s="48" t="s">
        <v>16</v>
      </c>
      <c r="B72" s="49">
        <v>8470340</v>
      </c>
      <c r="C72" s="50" t="s">
        <v>195</v>
      </c>
      <c r="D72" s="51">
        <v>425510</v>
      </c>
      <c r="E72" s="50" t="s">
        <v>20</v>
      </c>
      <c r="F72" s="50" t="s">
        <v>196</v>
      </c>
      <c r="G72" s="52">
        <v>10500</v>
      </c>
      <c r="H72" s="59">
        <v>10462.700000000001</v>
      </c>
      <c r="I72" s="62"/>
      <c r="J72" s="61"/>
      <c r="K72" s="56">
        <v>37.299999999999301</v>
      </c>
      <c r="L72" s="55"/>
      <c r="M72" s="54"/>
      <c r="N72" s="57"/>
      <c r="O72" s="57"/>
      <c r="P72" s="57"/>
      <c r="Q72" s="57"/>
      <c r="R72" s="57"/>
      <c r="S72" s="57"/>
      <c r="T72" s="57"/>
      <c r="U72" s="57"/>
      <c r="V72" s="58">
        <f t="shared" si="1"/>
        <v>37.299999999999301</v>
      </c>
      <c r="W72" s="57"/>
    </row>
    <row r="73" spans="1:23" x14ac:dyDescent="0.25">
      <c r="A73" s="48" t="s">
        <v>16</v>
      </c>
      <c r="B73" s="49">
        <v>8470340</v>
      </c>
      <c r="C73" s="50" t="s">
        <v>195</v>
      </c>
      <c r="D73" s="51">
        <v>425720</v>
      </c>
      <c r="E73" s="50" t="s">
        <v>185</v>
      </c>
      <c r="F73" s="50" t="s">
        <v>197</v>
      </c>
      <c r="G73" s="52">
        <v>30000</v>
      </c>
      <c r="H73" s="59">
        <v>37112.769999999997</v>
      </c>
      <c r="I73" s="62">
        <v>-29766.77</v>
      </c>
      <c r="J73" s="61">
        <v>22420.77</v>
      </c>
      <c r="K73" s="56">
        <v>233.22999999999601</v>
      </c>
      <c r="L73" s="55"/>
      <c r="M73" s="54"/>
      <c r="N73" s="57"/>
      <c r="O73" s="57"/>
      <c r="P73" s="57"/>
      <c r="Q73" s="57"/>
      <c r="R73" s="57"/>
      <c r="S73" s="57"/>
      <c r="T73" s="57"/>
      <c r="U73" s="57"/>
      <c r="V73" s="58">
        <f t="shared" si="1"/>
        <v>233.22999999999601</v>
      </c>
      <c r="W73" s="57"/>
    </row>
    <row r="74" spans="1:23" x14ac:dyDescent="0.25">
      <c r="A74" s="48" t="s">
        <v>16</v>
      </c>
      <c r="B74" s="49">
        <v>8470340</v>
      </c>
      <c r="C74" s="50" t="s">
        <v>195</v>
      </c>
      <c r="D74" s="51">
        <v>425760</v>
      </c>
      <c r="E74" s="50" t="s">
        <v>116</v>
      </c>
      <c r="F74" s="50" t="s">
        <v>198</v>
      </c>
      <c r="G74" s="52">
        <v>3400</v>
      </c>
      <c r="H74" s="59">
        <v>1181.25</v>
      </c>
      <c r="I74" s="62"/>
      <c r="J74" s="61"/>
      <c r="K74" s="56">
        <v>2218.75</v>
      </c>
      <c r="L74" s="55"/>
      <c r="M74" s="54"/>
      <c r="N74" s="57"/>
      <c r="O74" s="57"/>
      <c r="P74" s="57"/>
      <c r="Q74" s="57"/>
      <c r="R74" s="57"/>
      <c r="S74" s="57"/>
      <c r="T74" s="57"/>
      <c r="U74" s="57"/>
      <c r="V74" s="58">
        <f t="shared" si="1"/>
        <v>2218.75</v>
      </c>
      <c r="W74" s="57"/>
    </row>
    <row r="75" spans="1:23" x14ac:dyDescent="0.25">
      <c r="A75" s="48" t="s">
        <v>16</v>
      </c>
      <c r="B75" s="49">
        <v>8470340</v>
      </c>
      <c r="C75" s="50" t="s">
        <v>195</v>
      </c>
      <c r="D75" s="51">
        <v>425763</v>
      </c>
      <c r="E75" s="50" t="s">
        <v>53</v>
      </c>
      <c r="F75" s="50" t="s">
        <v>199</v>
      </c>
      <c r="G75" s="52">
        <v>225000</v>
      </c>
      <c r="H75" s="53"/>
      <c r="I75" s="62"/>
      <c r="J75" s="61"/>
      <c r="K75" s="56">
        <v>225000</v>
      </c>
      <c r="L75" s="55"/>
      <c r="M75" s="54"/>
      <c r="N75" s="57"/>
      <c r="O75" s="57"/>
      <c r="P75" s="57"/>
      <c r="Q75" s="57"/>
      <c r="R75" s="57"/>
      <c r="S75" s="57"/>
      <c r="T75" s="57"/>
      <c r="U75" s="57"/>
      <c r="V75" s="58">
        <f t="shared" si="1"/>
        <v>225000</v>
      </c>
      <c r="W75" s="57"/>
    </row>
    <row r="76" spans="1:23" x14ac:dyDescent="0.25">
      <c r="A76" s="48" t="s">
        <v>16</v>
      </c>
      <c r="B76" s="49">
        <v>8470340</v>
      </c>
      <c r="C76" s="50" t="s">
        <v>195</v>
      </c>
      <c r="D76" s="51">
        <v>425770</v>
      </c>
      <c r="E76" s="50" t="s">
        <v>119</v>
      </c>
      <c r="F76" s="50" t="s">
        <v>200</v>
      </c>
      <c r="G76" s="52">
        <v>202500</v>
      </c>
      <c r="H76" s="59">
        <v>24496.62</v>
      </c>
      <c r="I76" s="62"/>
      <c r="J76" s="61"/>
      <c r="K76" s="56">
        <v>178003.38</v>
      </c>
      <c r="L76" s="55"/>
      <c r="M76" s="54"/>
      <c r="N76" s="57"/>
      <c r="O76" s="57"/>
      <c r="P76" s="57"/>
      <c r="Q76" s="57"/>
      <c r="R76" s="57"/>
      <c r="S76" s="57"/>
      <c r="T76" s="57"/>
      <c r="U76" s="57"/>
      <c r="V76" s="58">
        <f t="shared" si="1"/>
        <v>178003.38</v>
      </c>
      <c r="W76" s="57"/>
    </row>
    <row r="77" spans="1:23" x14ac:dyDescent="0.25">
      <c r="A77" s="48" t="s">
        <v>16</v>
      </c>
      <c r="B77" s="49">
        <v>8470340</v>
      </c>
      <c r="C77" s="50" t="s">
        <v>195</v>
      </c>
      <c r="D77" s="51">
        <v>425900</v>
      </c>
      <c r="E77" s="50" t="s">
        <v>24</v>
      </c>
      <c r="F77" s="50" t="s">
        <v>201</v>
      </c>
      <c r="G77" s="52">
        <v>19700</v>
      </c>
      <c r="H77" s="59">
        <v>11250</v>
      </c>
      <c r="I77" s="62">
        <v>0</v>
      </c>
      <c r="J77" s="61">
        <v>0</v>
      </c>
      <c r="K77" s="56">
        <v>8450</v>
      </c>
      <c r="L77" s="55"/>
      <c r="M77" s="54"/>
      <c r="N77" s="57"/>
      <c r="O77" s="57"/>
      <c r="P77" s="57"/>
      <c r="Q77" s="57"/>
      <c r="R77" s="57"/>
      <c r="S77" s="57"/>
      <c r="T77" s="57"/>
      <c r="U77" s="57"/>
      <c r="V77" s="58">
        <f t="shared" si="1"/>
        <v>8450</v>
      </c>
      <c r="W77" s="57"/>
    </row>
    <row r="78" spans="1:23" x14ac:dyDescent="0.25">
      <c r="A78" s="48" t="s">
        <v>16</v>
      </c>
      <c r="B78" s="49">
        <v>8470340</v>
      </c>
      <c r="C78" s="50" t="s">
        <v>195</v>
      </c>
      <c r="D78" s="51">
        <v>426610</v>
      </c>
      <c r="E78" s="50" t="s">
        <v>39</v>
      </c>
      <c r="F78" s="50" t="s">
        <v>202</v>
      </c>
      <c r="G78" s="52">
        <v>164090</v>
      </c>
      <c r="H78" s="59">
        <v>1836.5</v>
      </c>
      <c r="I78" s="62">
        <v>79345.73</v>
      </c>
      <c r="J78" s="61">
        <v>59145.43</v>
      </c>
      <c r="K78" s="56">
        <v>23762.34</v>
      </c>
      <c r="L78" s="55"/>
      <c r="M78" s="54"/>
      <c r="N78" s="57"/>
      <c r="O78" s="57"/>
      <c r="P78" s="57"/>
      <c r="Q78" s="57"/>
      <c r="R78" s="57"/>
      <c r="S78" s="57"/>
      <c r="T78" s="57"/>
      <c r="U78" s="57"/>
      <c r="V78" s="58">
        <f t="shared" si="1"/>
        <v>23762.34</v>
      </c>
      <c r="W78" s="57"/>
    </row>
    <row r="79" spans="1:23" x14ac:dyDescent="0.25">
      <c r="A79" s="48" t="s">
        <v>16</v>
      </c>
      <c r="B79" s="49">
        <v>8470340</v>
      </c>
      <c r="C79" s="50" t="s">
        <v>195</v>
      </c>
      <c r="D79" s="51">
        <v>428090</v>
      </c>
      <c r="E79" s="50" t="s">
        <v>26</v>
      </c>
      <c r="F79" s="50" t="s">
        <v>203</v>
      </c>
      <c r="G79" s="52">
        <v>543</v>
      </c>
      <c r="H79" s="53"/>
      <c r="I79" s="62"/>
      <c r="J79" s="61"/>
      <c r="K79" s="56">
        <v>543</v>
      </c>
      <c r="L79" s="55"/>
      <c r="M79" s="54"/>
      <c r="N79" s="57"/>
      <c r="O79" s="57"/>
      <c r="P79" s="57"/>
      <c r="Q79" s="57"/>
      <c r="R79" s="57"/>
      <c r="S79" s="57"/>
      <c r="T79" s="57"/>
      <c r="U79" s="57"/>
      <c r="V79" s="58">
        <f t="shared" si="1"/>
        <v>543</v>
      </c>
      <c r="W79" s="57"/>
    </row>
    <row r="80" spans="1:23" x14ac:dyDescent="0.25">
      <c r="A80" s="48" t="s">
        <v>16</v>
      </c>
      <c r="B80" s="49">
        <v>8470340</v>
      </c>
      <c r="C80" s="50" t="s">
        <v>195</v>
      </c>
      <c r="D80" s="51">
        <v>432209</v>
      </c>
      <c r="E80" s="50" t="s">
        <v>124</v>
      </c>
      <c r="F80" s="50" t="s">
        <v>204</v>
      </c>
      <c r="G80" s="52">
        <v>75500</v>
      </c>
      <c r="H80" s="53"/>
      <c r="I80" s="62">
        <v>0</v>
      </c>
      <c r="J80" s="61">
        <v>74500</v>
      </c>
      <c r="K80" s="56">
        <v>1000</v>
      </c>
      <c r="L80" s="55"/>
      <c r="M80" s="54"/>
      <c r="N80" s="57"/>
      <c r="O80" s="57"/>
      <c r="P80" s="57"/>
      <c r="Q80" s="57"/>
      <c r="R80" s="57"/>
      <c r="S80" s="57"/>
      <c r="T80" s="57"/>
      <c r="U80" s="57"/>
      <c r="V80" s="58">
        <f t="shared" si="1"/>
        <v>1000</v>
      </c>
      <c r="W80" s="57"/>
    </row>
    <row r="81" spans="1:23" x14ac:dyDescent="0.25">
      <c r="A81" s="48" t="s">
        <v>16</v>
      </c>
      <c r="B81" s="49">
        <v>8470340</v>
      </c>
      <c r="C81" s="50" t="s">
        <v>195</v>
      </c>
      <c r="D81" s="51">
        <v>435350</v>
      </c>
      <c r="E81" s="50" t="s">
        <v>98</v>
      </c>
      <c r="F81" s="50" t="s">
        <v>205</v>
      </c>
      <c r="G81" s="52">
        <v>152403</v>
      </c>
      <c r="H81" s="59">
        <v>15873.9</v>
      </c>
      <c r="I81" s="62"/>
      <c r="J81" s="61"/>
      <c r="K81" s="56">
        <v>136529.1</v>
      </c>
      <c r="L81" s="55"/>
      <c r="M81" s="54"/>
      <c r="N81" s="57"/>
      <c r="O81" s="57"/>
      <c r="P81" s="57"/>
      <c r="Q81" s="57"/>
      <c r="R81" s="57"/>
      <c r="S81" s="57"/>
      <c r="T81" s="57"/>
      <c r="U81" s="57"/>
      <c r="V81" s="58">
        <f t="shared" si="1"/>
        <v>136529.1</v>
      </c>
      <c r="W81" s="57"/>
    </row>
    <row r="82" spans="1:23" x14ac:dyDescent="0.25">
      <c r="A82" s="48" t="s">
        <v>16</v>
      </c>
      <c r="B82" s="49">
        <v>8470340</v>
      </c>
      <c r="C82" s="50" t="s">
        <v>195</v>
      </c>
      <c r="D82" s="51">
        <v>435508</v>
      </c>
      <c r="E82" s="50" t="s">
        <v>100</v>
      </c>
      <c r="F82" s="50" t="s">
        <v>206</v>
      </c>
      <c r="G82" s="52">
        <v>72954</v>
      </c>
      <c r="H82" s="59">
        <v>21458.09</v>
      </c>
      <c r="I82" s="62">
        <v>-2800</v>
      </c>
      <c r="J82" s="61">
        <v>21000</v>
      </c>
      <c r="K82" s="56">
        <v>33295.910000000003</v>
      </c>
      <c r="L82" s="55"/>
      <c r="M82" s="54"/>
      <c r="N82" s="57"/>
      <c r="O82" s="57"/>
      <c r="P82" s="57"/>
      <c r="Q82" s="57"/>
      <c r="R82" s="57"/>
      <c r="S82" s="57"/>
      <c r="T82" s="57"/>
      <c r="U82" s="57"/>
      <c r="V82" s="58">
        <f t="shared" si="1"/>
        <v>33295.910000000003</v>
      </c>
      <c r="W82" s="57"/>
    </row>
    <row r="83" spans="1:23" x14ac:dyDescent="0.25">
      <c r="A83" s="48" t="s">
        <v>16</v>
      </c>
      <c r="B83" s="49">
        <v>8470340</v>
      </c>
      <c r="C83" s="50" t="s">
        <v>195</v>
      </c>
      <c r="D83" s="51">
        <v>436110</v>
      </c>
      <c r="E83" s="50" t="s">
        <v>158</v>
      </c>
      <c r="F83" s="50" t="s">
        <v>207</v>
      </c>
      <c r="G83" s="52">
        <v>1860</v>
      </c>
      <c r="H83" s="53"/>
      <c r="I83" s="62"/>
      <c r="J83" s="61"/>
      <c r="K83" s="56">
        <v>1860</v>
      </c>
      <c r="L83" s="55"/>
      <c r="M83" s="54"/>
      <c r="N83" s="57"/>
      <c r="O83" s="57"/>
      <c r="P83" s="57"/>
      <c r="Q83" s="57"/>
      <c r="R83" s="57"/>
      <c r="S83" s="57"/>
      <c r="T83" s="57"/>
      <c r="U83" s="57"/>
      <c r="V83" s="58">
        <f t="shared" si="1"/>
        <v>1860</v>
      </c>
      <c r="W83" s="57"/>
    </row>
    <row r="84" spans="1:23" x14ac:dyDescent="0.25">
      <c r="A84" s="48" t="s">
        <v>16</v>
      </c>
      <c r="B84" s="49">
        <v>8470340</v>
      </c>
      <c r="C84" s="50" t="s">
        <v>195</v>
      </c>
      <c r="D84" s="51">
        <v>436600</v>
      </c>
      <c r="E84" s="50" t="s">
        <v>160</v>
      </c>
      <c r="F84" s="50" t="s">
        <v>208</v>
      </c>
      <c r="G84" s="52">
        <v>7998</v>
      </c>
      <c r="H84" s="53"/>
      <c r="I84" s="62"/>
      <c r="J84" s="61"/>
      <c r="K84" s="56">
        <v>7998</v>
      </c>
      <c r="L84" s="55"/>
      <c r="M84" s="54"/>
      <c r="N84" s="57"/>
      <c r="O84" s="57"/>
      <c r="P84" s="57"/>
      <c r="Q84" s="57"/>
      <c r="R84" s="57"/>
      <c r="S84" s="57"/>
      <c r="T84" s="57"/>
      <c r="U84" s="57"/>
      <c r="V84" s="58">
        <f t="shared" si="1"/>
        <v>7998</v>
      </c>
      <c r="W84" s="57"/>
    </row>
    <row r="85" spans="1:23" x14ac:dyDescent="0.25">
      <c r="A85" s="48" t="s">
        <v>16</v>
      </c>
      <c r="B85" s="49">
        <v>8470345</v>
      </c>
      <c r="C85" s="50" t="s">
        <v>209</v>
      </c>
      <c r="D85" s="51">
        <v>425510</v>
      </c>
      <c r="E85" s="50" t="s">
        <v>20</v>
      </c>
      <c r="F85" s="50" t="s">
        <v>210</v>
      </c>
      <c r="G85" s="52">
        <v>5832</v>
      </c>
      <c r="H85" s="53"/>
      <c r="I85" s="62"/>
      <c r="J85" s="61"/>
      <c r="K85" s="56">
        <v>5832</v>
      </c>
      <c r="L85" s="55"/>
      <c r="M85" s="54"/>
      <c r="N85" s="57"/>
      <c r="O85" s="57"/>
      <c r="P85" s="57"/>
      <c r="Q85" s="57"/>
      <c r="R85" s="57"/>
      <c r="S85" s="57"/>
      <c r="T85" s="57"/>
      <c r="U85" s="57"/>
      <c r="V85" s="58">
        <f t="shared" si="1"/>
        <v>5832</v>
      </c>
      <c r="W85" s="57"/>
    </row>
    <row r="86" spans="1:23" x14ac:dyDescent="0.25">
      <c r="A86" s="48" t="s">
        <v>16</v>
      </c>
      <c r="B86" s="49">
        <v>8470345</v>
      </c>
      <c r="C86" s="50" t="s">
        <v>209</v>
      </c>
      <c r="D86" s="51">
        <v>425760</v>
      </c>
      <c r="E86" s="50" t="s">
        <v>116</v>
      </c>
      <c r="F86" s="50" t="s">
        <v>211</v>
      </c>
      <c r="G86" s="52">
        <v>11393</v>
      </c>
      <c r="H86" s="53"/>
      <c r="I86" s="62"/>
      <c r="J86" s="61"/>
      <c r="K86" s="56">
        <v>11393</v>
      </c>
      <c r="L86" s="55"/>
      <c r="M86" s="54"/>
      <c r="N86" s="57"/>
      <c r="O86" s="57"/>
      <c r="P86" s="57"/>
      <c r="Q86" s="57"/>
      <c r="R86" s="57"/>
      <c r="S86" s="57"/>
      <c r="T86" s="57"/>
      <c r="U86" s="57"/>
      <c r="V86" s="58">
        <f t="shared" si="1"/>
        <v>11393</v>
      </c>
      <c r="W86" s="57"/>
    </row>
    <row r="87" spans="1:23" x14ac:dyDescent="0.25">
      <c r="A87" s="48" t="s">
        <v>16</v>
      </c>
      <c r="B87" s="49">
        <v>8470345</v>
      </c>
      <c r="C87" s="50" t="s">
        <v>209</v>
      </c>
      <c r="D87" s="51">
        <v>425761</v>
      </c>
      <c r="E87" s="50" t="s">
        <v>212</v>
      </c>
      <c r="F87" s="50" t="s">
        <v>213</v>
      </c>
      <c r="G87" s="52">
        <v>0</v>
      </c>
      <c r="H87" s="53"/>
      <c r="I87" s="62"/>
      <c r="J87" s="61"/>
      <c r="K87" s="56">
        <v>0</v>
      </c>
      <c r="L87" s="55"/>
      <c r="M87" s="54"/>
      <c r="N87" s="57"/>
      <c r="O87" s="57"/>
      <c r="P87" s="57"/>
      <c r="Q87" s="57"/>
      <c r="R87" s="57"/>
      <c r="S87" s="57"/>
      <c r="T87" s="57"/>
      <c r="U87" s="57"/>
      <c r="V87" s="58">
        <f t="shared" si="1"/>
        <v>0</v>
      </c>
      <c r="W87" s="57"/>
    </row>
    <row r="88" spans="1:23" x14ac:dyDescent="0.25">
      <c r="A88" s="48" t="s">
        <v>16</v>
      </c>
      <c r="B88" s="49">
        <v>8470345</v>
      </c>
      <c r="C88" s="50" t="s">
        <v>209</v>
      </c>
      <c r="D88" s="51">
        <v>425770</v>
      </c>
      <c r="E88" s="50" t="s">
        <v>119</v>
      </c>
      <c r="F88" s="50" t="s">
        <v>214</v>
      </c>
      <c r="G88" s="52">
        <v>44108</v>
      </c>
      <c r="H88" s="59">
        <v>16850</v>
      </c>
      <c r="I88" s="62"/>
      <c r="J88" s="61"/>
      <c r="K88" s="56">
        <v>27258</v>
      </c>
      <c r="L88" s="55"/>
      <c r="M88" s="54"/>
      <c r="N88" s="57"/>
      <c r="O88" s="57"/>
      <c r="P88" s="57"/>
      <c r="Q88" s="57"/>
      <c r="R88" s="57"/>
      <c r="S88" s="57"/>
      <c r="T88" s="57"/>
      <c r="U88" s="57"/>
      <c r="V88" s="58">
        <f t="shared" si="1"/>
        <v>27258</v>
      </c>
      <c r="W88" s="57"/>
    </row>
    <row r="89" spans="1:23" x14ac:dyDescent="0.25">
      <c r="A89" s="48" t="s">
        <v>16</v>
      </c>
      <c r="B89" s="49">
        <v>8470345</v>
      </c>
      <c r="C89" s="50" t="s">
        <v>209</v>
      </c>
      <c r="D89" s="51">
        <v>425900</v>
      </c>
      <c r="E89" s="50" t="s">
        <v>24</v>
      </c>
      <c r="F89" s="50" t="s">
        <v>215</v>
      </c>
      <c r="G89" s="52">
        <v>960</v>
      </c>
      <c r="H89" s="53"/>
      <c r="I89" s="62"/>
      <c r="J89" s="61"/>
      <c r="K89" s="56">
        <v>960</v>
      </c>
      <c r="L89" s="55"/>
      <c r="M89" s="54"/>
      <c r="N89" s="57"/>
      <c r="O89" s="57"/>
      <c r="P89" s="57"/>
      <c r="Q89" s="57"/>
      <c r="R89" s="57"/>
      <c r="S89" s="57"/>
      <c r="T89" s="57"/>
      <c r="U89" s="57"/>
      <c r="V89" s="58">
        <f t="shared" si="1"/>
        <v>960</v>
      </c>
      <c r="W89" s="57"/>
    </row>
    <row r="90" spans="1:23" x14ac:dyDescent="0.25">
      <c r="A90" s="48" t="s">
        <v>16</v>
      </c>
      <c r="B90" s="49">
        <v>8470345</v>
      </c>
      <c r="C90" s="50" t="s">
        <v>209</v>
      </c>
      <c r="D90" s="51">
        <v>426610</v>
      </c>
      <c r="E90" s="50" t="s">
        <v>39</v>
      </c>
      <c r="F90" s="50" t="s">
        <v>216</v>
      </c>
      <c r="G90" s="52">
        <v>86955</v>
      </c>
      <c r="H90" s="59">
        <v>99171</v>
      </c>
      <c r="I90" s="62">
        <v>-12230.31</v>
      </c>
      <c r="J90" s="61">
        <v>0</v>
      </c>
      <c r="K90" s="56">
        <v>14.3099999999995</v>
      </c>
      <c r="L90" s="55"/>
      <c r="M90" s="54"/>
      <c r="N90" s="57"/>
      <c r="O90" s="57"/>
      <c r="P90" s="57"/>
      <c r="Q90" s="57"/>
      <c r="R90" s="57"/>
      <c r="S90" s="57"/>
      <c r="T90" s="57"/>
      <c r="U90" s="57"/>
      <c r="V90" s="58">
        <f t="shared" si="1"/>
        <v>14.3099999999995</v>
      </c>
      <c r="W90" s="57"/>
    </row>
    <row r="91" spans="1:23" x14ac:dyDescent="0.25">
      <c r="A91" s="48" t="s">
        <v>16</v>
      </c>
      <c r="B91" s="49">
        <v>8470345</v>
      </c>
      <c r="C91" s="50" t="s">
        <v>209</v>
      </c>
      <c r="D91" s="51">
        <v>435350</v>
      </c>
      <c r="E91" s="50" t="s">
        <v>98</v>
      </c>
      <c r="F91" s="50" t="s">
        <v>217</v>
      </c>
      <c r="G91" s="52">
        <v>56148</v>
      </c>
      <c r="H91" s="53"/>
      <c r="I91" s="62"/>
      <c r="J91" s="61"/>
      <c r="K91" s="56">
        <v>56148</v>
      </c>
      <c r="L91" s="55"/>
      <c r="M91" s="54"/>
      <c r="N91" s="57"/>
      <c r="O91" s="57"/>
      <c r="P91" s="57"/>
      <c r="Q91" s="57"/>
      <c r="R91" s="57"/>
      <c r="S91" s="57"/>
      <c r="T91" s="57"/>
      <c r="U91" s="57"/>
      <c r="V91" s="58">
        <f t="shared" si="1"/>
        <v>56148</v>
      </c>
      <c r="W91" s="57"/>
    </row>
    <row r="92" spans="1:23" x14ac:dyDescent="0.25">
      <c r="A92" s="48" t="s">
        <v>16</v>
      </c>
      <c r="B92" s="49">
        <v>8470345</v>
      </c>
      <c r="C92" s="50" t="s">
        <v>209</v>
      </c>
      <c r="D92" s="51">
        <v>435508</v>
      </c>
      <c r="E92" s="50" t="s">
        <v>100</v>
      </c>
      <c r="F92" s="50" t="s">
        <v>218</v>
      </c>
      <c r="G92" s="52">
        <v>48614</v>
      </c>
      <c r="H92" s="59">
        <v>46954.11</v>
      </c>
      <c r="I92" s="62">
        <v>-47590.95</v>
      </c>
      <c r="J92" s="61">
        <v>47895</v>
      </c>
      <c r="K92" s="56">
        <v>1355.8399999999899</v>
      </c>
      <c r="L92" s="55"/>
      <c r="M92" s="54"/>
      <c r="N92" s="57"/>
      <c r="O92" s="57"/>
      <c r="P92" s="57"/>
      <c r="Q92" s="57"/>
      <c r="R92" s="57"/>
      <c r="S92" s="57"/>
      <c r="T92" s="57"/>
      <c r="U92" s="57"/>
      <c r="V92" s="58">
        <f t="shared" si="1"/>
        <v>1355.8399999999899</v>
      </c>
      <c r="W92" s="57"/>
    </row>
    <row r="93" spans="1:23" x14ac:dyDescent="0.25">
      <c r="A93" s="48" t="s">
        <v>16</v>
      </c>
      <c r="B93" s="49">
        <v>8470345</v>
      </c>
      <c r="C93" s="50" t="s">
        <v>209</v>
      </c>
      <c r="D93" s="51">
        <v>436600</v>
      </c>
      <c r="E93" s="50" t="s">
        <v>160</v>
      </c>
      <c r="F93" s="50" t="s">
        <v>219</v>
      </c>
      <c r="G93" s="52">
        <v>25416</v>
      </c>
      <c r="H93" s="53"/>
      <c r="I93" s="62"/>
      <c r="J93" s="61"/>
      <c r="K93" s="56">
        <v>25416</v>
      </c>
      <c r="L93" s="55"/>
      <c r="M93" s="54"/>
      <c r="N93" s="57"/>
      <c r="O93" s="57"/>
      <c r="P93" s="57"/>
      <c r="Q93" s="57"/>
      <c r="R93" s="57"/>
      <c r="S93" s="57"/>
      <c r="T93" s="57"/>
      <c r="U93" s="57"/>
      <c r="V93" s="58">
        <f t="shared" si="1"/>
        <v>25416</v>
      </c>
      <c r="W93" s="57"/>
    </row>
    <row r="94" spans="1:23" x14ac:dyDescent="0.25">
      <c r="A94" s="48" t="s">
        <v>16</v>
      </c>
      <c r="B94" s="49">
        <v>8470350</v>
      </c>
      <c r="C94" s="50" t="s">
        <v>220</v>
      </c>
      <c r="D94" s="51">
        <v>425510</v>
      </c>
      <c r="E94" s="50" t="s">
        <v>20</v>
      </c>
      <c r="F94" s="50" t="s">
        <v>221</v>
      </c>
      <c r="G94" s="52">
        <v>8764</v>
      </c>
      <c r="H94" s="59">
        <v>6318.1</v>
      </c>
      <c r="I94" s="62"/>
      <c r="J94" s="61"/>
      <c r="K94" s="56">
        <v>2445.9</v>
      </c>
      <c r="L94" s="55"/>
      <c r="M94" s="54"/>
      <c r="N94" s="57"/>
      <c r="O94" s="57"/>
      <c r="P94" s="57"/>
      <c r="Q94" s="57"/>
      <c r="R94" s="57"/>
      <c r="S94" s="57"/>
      <c r="T94" s="57"/>
      <c r="U94" s="57"/>
      <c r="V94" s="58">
        <f t="shared" si="1"/>
        <v>2445.9</v>
      </c>
      <c r="W94" s="57"/>
    </row>
    <row r="95" spans="1:23" x14ac:dyDescent="0.25">
      <c r="A95" s="48" t="s">
        <v>16</v>
      </c>
      <c r="B95" s="49">
        <v>8470350</v>
      </c>
      <c r="C95" s="50" t="s">
        <v>220</v>
      </c>
      <c r="D95" s="51">
        <v>425763</v>
      </c>
      <c r="E95" s="50" t="s">
        <v>53</v>
      </c>
      <c r="F95" s="50" t="s">
        <v>222</v>
      </c>
      <c r="G95" s="52">
        <v>3618</v>
      </c>
      <c r="H95" s="53"/>
      <c r="I95" s="62"/>
      <c r="J95" s="61"/>
      <c r="K95" s="56">
        <v>3618</v>
      </c>
      <c r="L95" s="55"/>
      <c r="M95" s="54"/>
      <c r="N95" s="57"/>
      <c r="O95" s="57"/>
      <c r="P95" s="57"/>
      <c r="Q95" s="57"/>
      <c r="R95" s="57"/>
      <c r="S95" s="57"/>
      <c r="T95" s="57"/>
      <c r="U95" s="57"/>
      <c r="V95" s="58">
        <f t="shared" si="1"/>
        <v>3618</v>
      </c>
      <c r="W95" s="57"/>
    </row>
    <row r="96" spans="1:23" x14ac:dyDescent="0.25">
      <c r="A96" s="48" t="s">
        <v>16</v>
      </c>
      <c r="B96" s="49">
        <v>8470350</v>
      </c>
      <c r="C96" s="50" t="s">
        <v>220</v>
      </c>
      <c r="D96" s="51">
        <v>425770</v>
      </c>
      <c r="E96" s="50" t="s">
        <v>119</v>
      </c>
      <c r="F96" s="50" t="s">
        <v>223</v>
      </c>
      <c r="G96" s="52">
        <v>120199</v>
      </c>
      <c r="H96" s="59">
        <v>16780.22</v>
      </c>
      <c r="I96" s="62"/>
      <c r="J96" s="61"/>
      <c r="K96" s="56">
        <v>103418.78</v>
      </c>
      <c r="L96" s="55"/>
      <c r="M96" s="54"/>
      <c r="N96" s="57"/>
      <c r="O96" s="57"/>
      <c r="P96" s="57"/>
      <c r="Q96" s="57"/>
      <c r="R96" s="57"/>
      <c r="S96" s="57"/>
      <c r="T96" s="57"/>
      <c r="U96" s="57"/>
      <c r="V96" s="58">
        <f t="shared" si="1"/>
        <v>103418.78</v>
      </c>
      <c r="W96" s="57"/>
    </row>
    <row r="97" spans="1:23" x14ac:dyDescent="0.25">
      <c r="A97" s="48" t="s">
        <v>16</v>
      </c>
      <c r="B97" s="49">
        <v>8470350</v>
      </c>
      <c r="C97" s="50" t="s">
        <v>220</v>
      </c>
      <c r="D97" s="51">
        <v>425900</v>
      </c>
      <c r="E97" s="50" t="s">
        <v>24</v>
      </c>
      <c r="F97" s="50" t="s">
        <v>224</v>
      </c>
      <c r="G97" s="52">
        <v>4578</v>
      </c>
      <c r="H97" s="53"/>
      <c r="I97" s="62"/>
      <c r="J97" s="61"/>
      <c r="K97" s="56">
        <v>4578</v>
      </c>
      <c r="L97" s="55"/>
      <c r="M97" s="54"/>
      <c r="N97" s="57"/>
      <c r="O97" s="57"/>
      <c r="P97" s="57"/>
      <c r="Q97" s="57"/>
      <c r="R97" s="57"/>
      <c r="S97" s="57"/>
      <c r="T97" s="57"/>
      <c r="U97" s="57"/>
      <c r="V97" s="58">
        <f t="shared" si="1"/>
        <v>4578</v>
      </c>
      <c r="W97" s="57"/>
    </row>
    <row r="98" spans="1:23" x14ac:dyDescent="0.25">
      <c r="A98" s="48" t="s">
        <v>16</v>
      </c>
      <c r="B98" s="49">
        <v>8470350</v>
      </c>
      <c r="C98" s="50" t="s">
        <v>220</v>
      </c>
      <c r="D98" s="51">
        <v>426610</v>
      </c>
      <c r="E98" s="50" t="s">
        <v>39</v>
      </c>
      <c r="F98" s="50" t="s">
        <v>225</v>
      </c>
      <c r="G98" s="52">
        <v>201762</v>
      </c>
      <c r="H98" s="53"/>
      <c r="I98" s="62">
        <v>7193.2</v>
      </c>
      <c r="J98" s="61">
        <v>8393.2000000000007</v>
      </c>
      <c r="K98" s="56">
        <v>186175.6</v>
      </c>
      <c r="L98" s="55"/>
      <c r="M98" s="54"/>
      <c r="N98" s="57"/>
      <c r="O98" s="57"/>
      <c r="P98" s="57"/>
      <c r="Q98" s="57"/>
      <c r="R98" s="57"/>
      <c r="S98" s="57"/>
      <c r="T98" s="57"/>
      <c r="U98" s="57"/>
      <c r="V98" s="58">
        <f t="shared" si="1"/>
        <v>186175.6</v>
      </c>
      <c r="W98" s="57"/>
    </row>
    <row r="99" spans="1:23" x14ac:dyDescent="0.25">
      <c r="A99" s="48" t="s">
        <v>16</v>
      </c>
      <c r="B99" s="49">
        <v>8470350</v>
      </c>
      <c r="C99" s="50" t="s">
        <v>220</v>
      </c>
      <c r="D99" s="51">
        <v>432209</v>
      </c>
      <c r="E99" s="50" t="s">
        <v>124</v>
      </c>
      <c r="F99" s="50" t="s">
        <v>226</v>
      </c>
      <c r="G99" s="52">
        <v>957910</v>
      </c>
      <c r="H99" s="59">
        <v>102434</v>
      </c>
      <c r="I99" s="62">
        <v>306425.18</v>
      </c>
      <c r="J99" s="61">
        <v>56566</v>
      </c>
      <c r="K99" s="56">
        <v>492484.82</v>
      </c>
      <c r="L99" s="55"/>
      <c r="M99" s="54"/>
      <c r="N99" s="57"/>
      <c r="O99" s="57"/>
      <c r="P99" s="57"/>
      <c r="Q99" s="57"/>
      <c r="R99" s="57"/>
      <c r="S99" s="57"/>
      <c r="T99" s="57"/>
      <c r="U99" s="57"/>
      <c r="V99" s="58">
        <f t="shared" si="1"/>
        <v>492484.82</v>
      </c>
      <c r="W99" s="57"/>
    </row>
    <row r="100" spans="1:23" x14ac:dyDescent="0.25">
      <c r="A100" s="48" t="s">
        <v>16</v>
      </c>
      <c r="B100" s="49">
        <v>8470350</v>
      </c>
      <c r="C100" s="50" t="s">
        <v>220</v>
      </c>
      <c r="D100" s="51">
        <v>435350</v>
      </c>
      <c r="E100" s="50" t="s">
        <v>98</v>
      </c>
      <c r="F100" s="50" t="s">
        <v>227</v>
      </c>
      <c r="G100" s="52">
        <v>65176</v>
      </c>
      <c r="H100" s="59">
        <v>7603.11</v>
      </c>
      <c r="I100" s="62"/>
      <c r="J100" s="61"/>
      <c r="K100" s="56">
        <v>57572.89</v>
      </c>
      <c r="L100" s="55"/>
      <c r="M100" s="54"/>
      <c r="N100" s="57"/>
      <c r="O100" s="57"/>
      <c r="P100" s="57"/>
      <c r="Q100" s="57"/>
      <c r="R100" s="57"/>
      <c r="S100" s="57"/>
      <c r="T100" s="57"/>
      <c r="U100" s="57"/>
      <c r="V100" s="58">
        <f t="shared" si="1"/>
        <v>57572.89</v>
      </c>
      <c r="W100" s="57"/>
    </row>
    <row r="101" spans="1:23" x14ac:dyDescent="0.25">
      <c r="A101" s="48" t="s">
        <v>16</v>
      </c>
      <c r="B101" s="49">
        <v>8470350</v>
      </c>
      <c r="C101" s="50" t="s">
        <v>220</v>
      </c>
      <c r="D101" s="51">
        <v>435508</v>
      </c>
      <c r="E101" s="50" t="s">
        <v>100</v>
      </c>
      <c r="F101" s="50" t="s">
        <v>228</v>
      </c>
      <c r="G101" s="52">
        <v>31570</v>
      </c>
      <c r="H101" s="59">
        <v>350</v>
      </c>
      <c r="I101" s="62">
        <v>-3976.22</v>
      </c>
      <c r="J101" s="61">
        <v>3976.22</v>
      </c>
      <c r="K101" s="56">
        <v>31220</v>
      </c>
      <c r="L101" s="55"/>
      <c r="M101" s="54"/>
      <c r="N101" s="57"/>
      <c r="O101" s="57"/>
      <c r="P101" s="57"/>
      <c r="Q101" s="57"/>
      <c r="R101" s="57"/>
      <c r="S101" s="57"/>
      <c r="T101" s="57"/>
      <c r="U101" s="57"/>
      <c r="V101" s="58">
        <f t="shared" si="1"/>
        <v>31220</v>
      </c>
      <c r="W101" s="57"/>
    </row>
    <row r="102" spans="1:23" x14ac:dyDescent="0.25">
      <c r="A102" s="48" t="s">
        <v>16</v>
      </c>
      <c r="B102" s="49">
        <v>8470350</v>
      </c>
      <c r="C102" s="50" t="s">
        <v>220</v>
      </c>
      <c r="D102" s="51">
        <v>436600</v>
      </c>
      <c r="E102" s="50" t="s">
        <v>160</v>
      </c>
      <c r="F102" s="50" t="s">
        <v>229</v>
      </c>
      <c r="G102" s="52">
        <v>18220</v>
      </c>
      <c r="H102" s="59">
        <v>18216</v>
      </c>
      <c r="I102" s="62">
        <v>-18216</v>
      </c>
      <c r="J102" s="61">
        <v>18216</v>
      </c>
      <c r="K102" s="56">
        <v>4</v>
      </c>
      <c r="L102" s="55"/>
      <c r="M102" s="54"/>
      <c r="N102" s="57"/>
      <c r="O102" s="57"/>
      <c r="P102" s="57"/>
      <c r="Q102" s="57"/>
      <c r="R102" s="57"/>
      <c r="S102" s="57"/>
      <c r="T102" s="57"/>
      <c r="U102" s="57"/>
      <c r="V102" s="58">
        <f t="shared" si="1"/>
        <v>4</v>
      </c>
      <c r="W102" s="57"/>
    </row>
    <row r="103" spans="1:23" x14ac:dyDescent="0.25">
      <c r="A103" s="48" t="s">
        <v>561</v>
      </c>
      <c r="B103" s="49">
        <v>8470305</v>
      </c>
      <c r="C103" s="50" t="s">
        <v>114</v>
      </c>
      <c r="D103" s="51">
        <v>492316</v>
      </c>
      <c r="E103" s="50" t="s">
        <v>124</v>
      </c>
      <c r="F103" s="50" t="s">
        <v>569</v>
      </c>
      <c r="G103" s="52">
        <v>1000000</v>
      </c>
      <c r="H103" s="53"/>
      <c r="I103" s="62"/>
      <c r="J103" s="61"/>
      <c r="K103" s="56">
        <v>1000000</v>
      </c>
      <c r="L103" s="55"/>
      <c r="M103" s="54"/>
      <c r="N103" s="57"/>
      <c r="O103" s="57"/>
      <c r="P103" s="57"/>
      <c r="Q103" s="57"/>
      <c r="R103" s="57"/>
      <c r="S103" s="57"/>
      <c r="T103" s="57"/>
      <c r="U103" s="57"/>
      <c r="V103" s="58">
        <f t="shared" si="1"/>
        <v>1000000</v>
      </c>
      <c r="W103" s="57"/>
    </row>
    <row r="104" spans="1:23" x14ac:dyDescent="0.25">
      <c r="A104" s="48" t="s">
        <v>561</v>
      </c>
      <c r="B104" s="49">
        <v>8470310</v>
      </c>
      <c r="C104" s="50" t="s">
        <v>128</v>
      </c>
      <c r="D104" s="51">
        <v>492316</v>
      </c>
      <c r="E104" s="50" t="s">
        <v>124</v>
      </c>
      <c r="F104" s="50" t="s">
        <v>570</v>
      </c>
      <c r="G104" s="52">
        <v>805100</v>
      </c>
      <c r="H104" s="59">
        <v>800481</v>
      </c>
      <c r="I104" s="62">
        <v>-805100</v>
      </c>
      <c r="J104" s="61">
        <v>805100</v>
      </c>
      <c r="K104" s="56">
        <v>4619</v>
      </c>
      <c r="L104" s="55"/>
      <c r="M104" s="54"/>
      <c r="N104" s="57"/>
      <c r="O104" s="57"/>
      <c r="P104" s="57"/>
      <c r="Q104" s="57"/>
      <c r="R104" s="57"/>
      <c r="S104" s="57"/>
      <c r="T104" s="57"/>
      <c r="U104" s="57"/>
      <c r="V104" s="58">
        <f t="shared" si="1"/>
        <v>4619</v>
      </c>
      <c r="W104" s="57"/>
    </row>
    <row r="105" spans="1:23" x14ac:dyDescent="0.25">
      <c r="A105" s="48" t="s">
        <v>561</v>
      </c>
      <c r="B105" s="49">
        <v>8470320</v>
      </c>
      <c r="C105" s="50" t="s">
        <v>149</v>
      </c>
      <c r="D105" s="51">
        <v>492316</v>
      </c>
      <c r="E105" s="50" t="s">
        <v>124</v>
      </c>
      <c r="F105" s="50" t="s">
        <v>571</v>
      </c>
      <c r="G105" s="52">
        <v>433322</v>
      </c>
      <c r="H105" s="59">
        <v>380756</v>
      </c>
      <c r="I105" s="62">
        <v>-380756</v>
      </c>
      <c r="J105" s="61">
        <v>430000</v>
      </c>
      <c r="K105" s="56">
        <v>3322</v>
      </c>
      <c r="L105" s="55"/>
      <c r="M105" s="54"/>
      <c r="N105" s="57"/>
      <c r="O105" s="57"/>
      <c r="P105" s="57"/>
      <c r="Q105" s="57"/>
      <c r="R105" s="57"/>
      <c r="S105" s="57"/>
      <c r="T105" s="57"/>
      <c r="U105" s="57"/>
      <c r="V105" s="58">
        <f t="shared" si="1"/>
        <v>3322</v>
      </c>
      <c r="W105" s="57"/>
    </row>
    <row r="106" spans="1:23" x14ac:dyDescent="0.25">
      <c r="A106" s="48" t="s">
        <v>561</v>
      </c>
      <c r="B106" s="49">
        <v>8470325</v>
      </c>
      <c r="C106" s="50" t="s">
        <v>162</v>
      </c>
      <c r="D106" s="51">
        <v>492316</v>
      </c>
      <c r="E106" s="50" t="s">
        <v>124</v>
      </c>
      <c r="F106" s="50" t="s">
        <v>572</v>
      </c>
      <c r="G106" s="52">
        <v>13410</v>
      </c>
      <c r="H106" s="53"/>
      <c r="I106" s="62"/>
      <c r="J106" s="61"/>
      <c r="K106" s="56">
        <v>13410</v>
      </c>
      <c r="L106" s="55"/>
      <c r="M106" s="54"/>
      <c r="N106" s="57"/>
      <c r="O106" s="57"/>
      <c r="P106" s="57"/>
      <c r="Q106" s="57"/>
      <c r="R106" s="57"/>
      <c r="S106" s="57"/>
      <c r="T106" s="57"/>
      <c r="U106" s="57"/>
      <c r="V106" s="58">
        <f t="shared" si="1"/>
        <v>13410</v>
      </c>
      <c r="W106" s="57"/>
    </row>
    <row r="107" spans="1:23" x14ac:dyDescent="0.25">
      <c r="A107" s="48" t="s">
        <v>561</v>
      </c>
      <c r="B107" s="49">
        <v>8470335</v>
      </c>
      <c r="C107" s="50" t="s">
        <v>183</v>
      </c>
      <c r="D107" s="51">
        <v>492316</v>
      </c>
      <c r="E107" s="50" t="s">
        <v>124</v>
      </c>
      <c r="F107" s="50" t="s">
        <v>573</v>
      </c>
      <c r="G107" s="52">
        <v>223066</v>
      </c>
      <c r="H107" s="59">
        <v>35669.660000000003</v>
      </c>
      <c r="I107" s="62">
        <v>184446</v>
      </c>
      <c r="J107" s="61">
        <v>0</v>
      </c>
      <c r="K107" s="56">
        <v>2950.34</v>
      </c>
      <c r="L107" s="55"/>
      <c r="M107" s="54"/>
      <c r="N107" s="57"/>
      <c r="O107" s="57"/>
      <c r="P107" s="57"/>
      <c r="Q107" s="57"/>
      <c r="R107" s="57"/>
      <c r="S107" s="57"/>
      <c r="T107" s="57"/>
      <c r="U107" s="57"/>
      <c r="V107" s="58">
        <f t="shared" si="1"/>
        <v>2950.34</v>
      </c>
      <c r="W107" s="57"/>
    </row>
    <row r="108" spans="1:23" x14ac:dyDescent="0.25">
      <c r="A108" s="48" t="s">
        <v>561</v>
      </c>
      <c r="B108" s="49">
        <v>8470345</v>
      </c>
      <c r="C108" s="50" t="s">
        <v>209</v>
      </c>
      <c r="D108" s="51">
        <v>492316</v>
      </c>
      <c r="E108" s="50" t="s">
        <v>124</v>
      </c>
      <c r="F108" s="50" t="s">
        <v>574</v>
      </c>
      <c r="G108" s="52">
        <v>192399</v>
      </c>
      <c r="H108" s="59">
        <v>202482.54</v>
      </c>
      <c r="I108" s="62">
        <v>-139309.26999999999</v>
      </c>
      <c r="J108" s="61">
        <v>127888.25</v>
      </c>
      <c r="K108" s="56">
        <v>1337.48000000002</v>
      </c>
      <c r="L108" s="55"/>
      <c r="M108" s="54"/>
      <c r="N108" s="57"/>
      <c r="O108" s="57"/>
      <c r="P108" s="57"/>
      <c r="Q108" s="57"/>
      <c r="R108" s="57"/>
      <c r="S108" s="57"/>
      <c r="T108" s="57"/>
      <c r="U108" s="57"/>
      <c r="V108" s="58">
        <f t="shared" si="1"/>
        <v>1337.48000000002</v>
      </c>
      <c r="W108" s="57"/>
    </row>
    <row r="109" spans="1:23" x14ac:dyDescent="0.25">
      <c r="G109" s="71"/>
    </row>
  </sheetData>
  <conditionalFormatting sqref="A3 A4:U108 W4:W108">
    <cfRule type="expression" dxfId="11" priority="3" stopIfTrue="1">
      <formula>MOD(ROW(),2)=0</formula>
    </cfRule>
  </conditionalFormatting>
  <conditionalFormatting sqref="V4:V108">
    <cfRule type="expression" dxfId="10" priority="1" stopIfTrue="1">
      <formula>MOD(ROW(),2)=0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3"/>
  <sheetViews>
    <sheetView topLeftCell="D58" workbookViewId="0">
      <selection activeCell="G4" sqref="G4:G72"/>
    </sheetView>
  </sheetViews>
  <sheetFormatPr defaultRowHeight="15" x14ac:dyDescent="0.25"/>
  <cols>
    <col min="1" max="1" width="21.140625" customWidth="1"/>
    <col min="2" max="2" width="16.42578125" bestFit="1" customWidth="1"/>
    <col min="3" max="3" width="39.140625" bestFit="1" customWidth="1"/>
    <col min="4" max="4" width="13.28515625" bestFit="1" customWidth="1"/>
    <col min="5" max="5" width="32.7109375" customWidth="1"/>
    <col min="6" max="6" width="39.5703125" bestFit="1" customWidth="1"/>
    <col min="7" max="7" width="8.85546875" bestFit="1" customWidth="1"/>
    <col min="8" max="8" width="14.28515625" bestFit="1" customWidth="1"/>
    <col min="9" max="9" width="9.140625" bestFit="1" customWidth="1"/>
    <col min="10" max="10" width="8.5703125"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8470405</v>
      </c>
      <c r="C4" s="50" t="s">
        <v>230</v>
      </c>
      <c r="D4" s="51">
        <v>420550</v>
      </c>
      <c r="E4" s="50" t="s">
        <v>18</v>
      </c>
      <c r="F4" s="50" t="s">
        <v>231</v>
      </c>
      <c r="G4" s="52">
        <v>12906</v>
      </c>
      <c r="H4" s="59">
        <v>4407.63</v>
      </c>
      <c r="I4" s="67"/>
      <c r="J4" s="65"/>
      <c r="K4" s="56">
        <v>8498.3700000000008</v>
      </c>
      <c r="L4" s="55"/>
      <c r="M4" s="54"/>
      <c r="N4" s="57"/>
      <c r="O4" s="57"/>
      <c r="P4" s="57"/>
      <c r="Q4" s="57"/>
      <c r="R4" s="57"/>
      <c r="S4" s="57"/>
      <c r="T4" s="57"/>
      <c r="U4" s="57"/>
      <c r="V4" s="58">
        <f t="shared" ref="V4:V67" si="0">K4-(SUM(L4:T4))</f>
        <v>8498.3700000000008</v>
      </c>
      <c r="W4" s="57"/>
    </row>
    <row r="5" spans="1:23" x14ac:dyDescent="0.25">
      <c r="A5" s="48" t="s">
        <v>16</v>
      </c>
      <c r="B5" s="49">
        <v>8470405</v>
      </c>
      <c r="C5" s="50" t="s">
        <v>230</v>
      </c>
      <c r="D5" s="51">
        <v>421700</v>
      </c>
      <c r="E5" s="50" t="s">
        <v>36</v>
      </c>
      <c r="F5" s="50" t="s">
        <v>232</v>
      </c>
      <c r="G5" s="52">
        <v>97500</v>
      </c>
      <c r="H5" s="53"/>
      <c r="I5" s="67"/>
      <c r="J5" s="65"/>
      <c r="K5" s="56">
        <v>97500</v>
      </c>
      <c r="L5" s="55"/>
      <c r="M5" s="54"/>
      <c r="N5" s="57"/>
      <c r="O5" s="57"/>
      <c r="P5" s="57"/>
      <c r="Q5" s="57"/>
      <c r="R5" s="57"/>
      <c r="S5" s="57"/>
      <c r="T5" s="57"/>
      <c r="U5" s="57"/>
      <c r="V5" s="58">
        <f t="shared" si="0"/>
        <v>97500</v>
      </c>
      <c r="W5" s="57"/>
    </row>
    <row r="6" spans="1:23" x14ac:dyDescent="0.25">
      <c r="A6" s="48" t="s">
        <v>16</v>
      </c>
      <c r="B6" s="49">
        <v>8470405</v>
      </c>
      <c r="C6" s="50" t="s">
        <v>230</v>
      </c>
      <c r="D6" s="51">
        <v>425510</v>
      </c>
      <c r="E6" s="50" t="s">
        <v>20</v>
      </c>
      <c r="F6" s="50" t="s">
        <v>233</v>
      </c>
      <c r="G6" s="52">
        <v>6825</v>
      </c>
      <c r="H6" s="53"/>
      <c r="I6" s="67"/>
      <c r="J6" s="65"/>
      <c r="K6" s="56">
        <v>6825</v>
      </c>
      <c r="L6" s="55"/>
      <c r="M6" s="54"/>
      <c r="N6" s="57"/>
      <c r="O6" s="57"/>
      <c r="P6" s="57"/>
      <c r="Q6" s="57"/>
      <c r="R6" s="57"/>
      <c r="S6" s="57"/>
      <c r="T6" s="57"/>
      <c r="U6" s="57"/>
      <c r="V6" s="58">
        <f t="shared" si="0"/>
        <v>6825</v>
      </c>
      <c r="W6" s="57"/>
    </row>
    <row r="7" spans="1:23" x14ac:dyDescent="0.25">
      <c r="A7" s="48" t="s">
        <v>16</v>
      </c>
      <c r="B7" s="49">
        <v>8470405</v>
      </c>
      <c r="C7" s="50" t="s">
        <v>230</v>
      </c>
      <c r="D7" s="51">
        <v>425550</v>
      </c>
      <c r="E7" s="50" t="s">
        <v>22</v>
      </c>
      <c r="F7" s="50" t="s">
        <v>234</v>
      </c>
      <c r="G7" s="52">
        <v>5625</v>
      </c>
      <c r="H7" s="53"/>
      <c r="I7" s="67"/>
      <c r="J7" s="65"/>
      <c r="K7" s="56">
        <v>5625</v>
      </c>
      <c r="L7" s="55"/>
      <c r="M7" s="54"/>
      <c r="N7" s="57"/>
      <c r="O7" s="57"/>
      <c r="P7" s="57"/>
      <c r="Q7" s="57"/>
      <c r="R7" s="57"/>
      <c r="S7" s="57"/>
      <c r="T7" s="57"/>
      <c r="U7" s="57"/>
      <c r="V7" s="58">
        <f t="shared" si="0"/>
        <v>5625</v>
      </c>
      <c r="W7" s="57"/>
    </row>
    <row r="8" spans="1:23" x14ac:dyDescent="0.25">
      <c r="A8" s="48" t="s">
        <v>16</v>
      </c>
      <c r="B8" s="49">
        <v>8470405</v>
      </c>
      <c r="C8" s="50" t="s">
        <v>230</v>
      </c>
      <c r="D8" s="51">
        <v>425770</v>
      </c>
      <c r="E8" s="50" t="s">
        <v>119</v>
      </c>
      <c r="F8" s="50" t="s">
        <v>235</v>
      </c>
      <c r="G8" s="52">
        <v>78625</v>
      </c>
      <c r="H8" s="53"/>
      <c r="I8" s="67"/>
      <c r="J8" s="65"/>
      <c r="K8" s="56">
        <v>78625</v>
      </c>
      <c r="L8" s="55"/>
      <c r="M8" s="54"/>
      <c r="N8" s="57"/>
      <c r="O8" s="57"/>
      <c r="P8" s="57"/>
      <c r="Q8" s="57"/>
      <c r="R8" s="57"/>
      <c r="S8" s="57"/>
      <c r="T8" s="57"/>
      <c r="U8" s="57"/>
      <c r="V8" s="58">
        <f t="shared" si="0"/>
        <v>78625</v>
      </c>
      <c r="W8" s="57"/>
    </row>
    <row r="9" spans="1:23" x14ac:dyDescent="0.25">
      <c r="A9" s="48" t="s">
        <v>16</v>
      </c>
      <c r="B9" s="49">
        <v>8470405</v>
      </c>
      <c r="C9" s="50" t="s">
        <v>230</v>
      </c>
      <c r="D9" s="51">
        <v>425900</v>
      </c>
      <c r="E9" s="50" t="s">
        <v>24</v>
      </c>
      <c r="F9" s="50" t="s">
        <v>236</v>
      </c>
      <c r="G9" s="52">
        <v>20000</v>
      </c>
      <c r="H9" s="53"/>
      <c r="I9" s="67"/>
      <c r="J9" s="65"/>
      <c r="K9" s="56">
        <v>20000</v>
      </c>
      <c r="L9" s="55"/>
      <c r="M9" s="54"/>
      <c r="N9" s="57"/>
      <c r="O9" s="57"/>
      <c r="P9" s="57"/>
      <c r="Q9" s="57"/>
      <c r="R9" s="57"/>
      <c r="S9" s="57"/>
      <c r="T9" s="57"/>
      <c r="U9" s="57"/>
      <c r="V9" s="58">
        <f t="shared" si="0"/>
        <v>20000</v>
      </c>
      <c r="W9" s="57"/>
    </row>
    <row r="10" spans="1:23" x14ac:dyDescent="0.25">
      <c r="A10" s="48" t="s">
        <v>16</v>
      </c>
      <c r="B10" s="49">
        <v>8470405</v>
      </c>
      <c r="C10" s="50" t="s">
        <v>230</v>
      </c>
      <c r="D10" s="51">
        <v>427710</v>
      </c>
      <c r="E10" s="50" t="s">
        <v>45</v>
      </c>
      <c r="F10" s="50" t="s">
        <v>237</v>
      </c>
      <c r="G10" s="52">
        <v>20175</v>
      </c>
      <c r="H10" s="53"/>
      <c r="I10" s="67"/>
      <c r="J10" s="65"/>
      <c r="K10" s="56">
        <v>20175</v>
      </c>
      <c r="L10" s="55"/>
      <c r="M10" s="54"/>
      <c r="N10" s="57"/>
      <c r="O10" s="57"/>
      <c r="P10" s="57"/>
      <c r="Q10" s="57"/>
      <c r="R10" s="57"/>
      <c r="S10" s="57"/>
      <c r="T10" s="57"/>
      <c r="U10" s="57"/>
      <c r="V10" s="58">
        <f t="shared" si="0"/>
        <v>20175</v>
      </c>
      <c r="W10" s="57"/>
    </row>
    <row r="11" spans="1:23" x14ac:dyDescent="0.25">
      <c r="A11" s="48" t="s">
        <v>16</v>
      </c>
      <c r="B11" s="49">
        <v>8470405</v>
      </c>
      <c r="C11" s="50" t="s">
        <v>230</v>
      </c>
      <c r="D11" s="51">
        <v>428090</v>
      </c>
      <c r="E11" s="50" t="s">
        <v>26</v>
      </c>
      <c r="F11" s="50" t="s">
        <v>238</v>
      </c>
      <c r="G11" s="52">
        <v>100000</v>
      </c>
      <c r="H11" s="53"/>
      <c r="I11" s="67"/>
      <c r="J11" s="65"/>
      <c r="K11" s="56">
        <v>100000</v>
      </c>
      <c r="L11" s="55"/>
      <c r="M11" s="54"/>
      <c r="N11" s="57"/>
      <c r="O11" s="57"/>
      <c r="P11" s="57"/>
      <c r="Q11" s="57"/>
      <c r="R11" s="57"/>
      <c r="S11" s="57"/>
      <c r="T11" s="57"/>
      <c r="U11" s="57"/>
      <c r="V11" s="58">
        <f t="shared" si="0"/>
        <v>100000</v>
      </c>
      <c r="W11" s="57"/>
    </row>
    <row r="12" spans="1:23" x14ac:dyDescent="0.25">
      <c r="A12" s="48" t="s">
        <v>16</v>
      </c>
      <c r="B12" s="49">
        <v>8470405</v>
      </c>
      <c r="C12" s="50" t="s">
        <v>230</v>
      </c>
      <c r="D12" s="51">
        <v>435350</v>
      </c>
      <c r="E12" s="50" t="s">
        <v>98</v>
      </c>
      <c r="F12" s="50" t="s">
        <v>239</v>
      </c>
      <c r="G12" s="52">
        <v>14400</v>
      </c>
      <c r="H12" s="53"/>
      <c r="I12" s="67"/>
      <c r="J12" s="65"/>
      <c r="K12" s="56">
        <v>14400</v>
      </c>
      <c r="L12" s="55"/>
      <c r="M12" s="54"/>
      <c r="N12" s="57"/>
      <c r="O12" s="57"/>
      <c r="P12" s="57"/>
      <c r="Q12" s="57"/>
      <c r="R12" s="57"/>
      <c r="S12" s="57"/>
      <c r="T12" s="57"/>
      <c r="U12" s="57"/>
      <c r="V12" s="58">
        <f t="shared" si="0"/>
        <v>14400</v>
      </c>
      <c r="W12" s="57"/>
    </row>
    <row r="13" spans="1:23" x14ac:dyDescent="0.25">
      <c r="A13" s="48" t="s">
        <v>16</v>
      </c>
      <c r="B13" s="49">
        <v>8470410</v>
      </c>
      <c r="C13" s="50" t="s">
        <v>240</v>
      </c>
      <c r="D13" s="51">
        <v>425770</v>
      </c>
      <c r="E13" s="50" t="s">
        <v>119</v>
      </c>
      <c r="F13" s="50" t="s">
        <v>241</v>
      </c>
      <c r="G13" s="52">
        <v>84600</v>
      </c>
      <c r="H13" s="59">
        <v>9864.2199999999993</v>
      </c>
      <c r="I13" s="67"/>
      <c r="J13" s="65"/>
      <c r="K13" s="56">
        <v>74735.78</v>
      </c>
      <c r="L13" s="55"/>
      <c r="M13" s="54"/>
      <c r="N13" s="57"/>
      <c r="O13" s="57"/>
      <c r="P13" s="57"/>
      <c r="Q13" s="57"/>
      <c r="R13" s="57"/>
      <c r="S13" s="57"/>
      <c r="T13" s="57"/>
      <c r="U13" s="57"/>
      <c r="V13" s="58">
        <f t="shared" si="0"/>
        <v>74735.78</v>
      </c>
      <c r="W13" s="57"/>
    </row>
    <row r="14" spans="1:23" x14ac:dyDescent="0.25">
      <c r="A14" s="48" t="s">
        <v>16</v>
      </c>
      <c r="B14" s="49">
        <v>8470410</v>
      </c>
      <c r="C14" s="50" t="s">
        <v>240</v>
      </c>
      <c r="D14" s="51">
        <v>426610</v>
      </c>
      <c r="E14" s="50" t="s">
        <v>39</v>
      </c>
      <c r="F14" s="50" t="s">
        <v>242</v>
      </c>
      <c r="G14" s="52">
        <v>5579</v>
      </c>
      <c r="H14" s="53"/>
      <c r="I14" s="67">
        <v>1505</v>
      </c>
      <c r="J14" s="65"/>
      <c r="K14" s="56">
        <v>4074</v>
      </c>
      <c r="L14" s="55"/>
      <c r="M14" s="54"/>
      <c r="N14" s="57"/>
      <c r="O14" s="57"/>
      <c r="P14" s="57"/>
      <c r="Q14" s="57"/>
      <c r="R14" s="57"/>
      <c r="S14" s="57"/>
      <c r="T14" s="57"/>
      <c r="U14" s="57"/>
      <c r="V14" s="58">
        <f t="shared" si="0"/>
        <v>4074</v>
      </c>
      <c r="W14" s="57"/>
    </row>
    <row r="15" spans="1:23" x14ac:dyDescent="0.25">
      <c r="A15" s="48" t="s">
        <v>16</v>
      </c>
      <c r="B15" s="49">
        <v>8470410</v>
      </c>
      <c r="C15" s="50" t="s">
        <v>240</v>
      </c>
      <c r="D15" s="51">
        <v>435310</v>
      </c>
      <c r="E15" s="50" t="s">
        <v>243</v>
      </c>
      <c r="F15" s="50" t="s">
        <v>244</v>
      </c>
      <c r="G15" s="52">
        <v>13288</v>
      </c>
      <c r="H15" s="53"/>
      <c r="I15" s="67">
        <v>13288</v>
      </c>
      <c r="J15" s="65"/>
      <c r="K15" s="56">
        <v>0</v>
      </c>
      <c r="L15" s="55"/>
      <c r="M15" s="54"/>
      <c r="N15" s="57"/>
      <c r="O15" s="57"/>
      <c r="P15" s="57"/>
      <c r="Q15" s="57"/>
      <c r="R15" s="57"/>
      <c r="S15" s="57"/>
      <c r="T15" s="57"/>
      <c r="U15" s="57"/>
      <c r="V15" s="58">
        <f t="shared" si="0"/>
        <v>0</v>
      </c>
      <c r="W15" s="57"/>
    </row>
    <row r="16" spans="1:23" x14ac:dyDescent="0.25">
      <c r="A16" s="48" t="s">
        <v>16</v>
      </c>
      <c r="B16" s="49">
        <v>8470410</v>
      </c>
      <c r="C16" s="50" t="s">
        <v>240</v>
      </c>
      <c r="D16" s="51">
        <v>435350</v>
      </c>
      <c r="E16" s="50" t="s">
        <v>98</v>
      </c>
      <c r="F16" s="50" t="s">
        <v>245</v>
      </c>
      <c r="G16" s="52">
        <v>21666</v>
      </c>
      <c r="H16" s="53"/>
      <c r="I16" s="67"/>
      <c r="J16" s="65"/>
      <c r="K16" s="56">
        <v>21666</v>
      </c>
      <c r="L16" s="55"/>
      <c r="M16" s="54"/>
      <c r="N16" s="57"/>
      <c r="O16" s="57"/>
      <c r="P16" s="57"/>
      <c r="Q16" s="57"/>
      <c r="R16" s="57"/>
      <c r="S16" s="57"/>
      <c r="T16" s="57"/>
      <c r="U16" s="57"/>
      <c r="V16" s="58">
        <f t="shared" si="0"/>
        <v>21666</v>
      </c>
      <c r="W16" s="57"/>
    </row>
    <row r="17" spans="1:23" x14ac:dyDescent="0.25">
      <c r="A17" s="48" t="s">
        <v>16</v>
      </c>
      <c r="B17" s="49">
        <v>8470415</v>
      </c>
      <c r="C17" s="50" t="s">
        <v>246</v>
      </c>
      <c r="D17" s="51">
        <v>425763</v>
      </c>
      <c r="E17" s="50" t="s">
        <v>53</v>
      </c>
      <c r="F17" s="50" t="s">
        <v>247</v>
      </c>
      <c r="G17" s="52">
        <v>48844</v>
      </c>
      <c r="H17" s="59">
        <v>4631.5</v>
      </c>
      <c r="I17" s="67">
        <v>2745.75</v>
      </c>
      <c r="J17" s="65">
        <v>-795</v>
      </c>
      <c r="K17" s="56">
        <v>42261.75</v>
      </c>
      <c r="L17" s="55"/>
      <c r="M17" s="54"/>
      <c r="N17" s="57"/>
      <c r="O17" s="57"/>
      <c r="P17" s="57"/>
      <c r="Q17" s="57"/>
      <c r="R17" s="57"/>
      <c r="S17" s="57"/>
      <c r="T17" s="57"/>
      <c r="U17" s="57"/>
      <c r="V17" s="58">
        <f t="shared" si="0"/>
        <v>42261.75</v>
      </c>
      <c r="W17" s="57"/>
    </row>
    <row r="18" spans="1:23" x14ac:dyDescent="0.25">
      <c r="A18" s="48" t="s">
        <v>16</v>
      </c>
      <c r="B18" s="49">
        <v>8470415</v>
      </c>
      <c r="C18" s="50" t="s">
        <v>246</v>
      </c>
      <c r="D18" s="51">
        <v>425770</v>
      </c>
      <c r="E18" s="50" t="s">
        <v>119</v>
      </c>
      <c r="F18" s="50" t="s">
        <v>248</v>
      </c>
      <c r="G18" s="52">
        <v>254625</v>
      </c>
      <c r="H18" s="59">
        <v>13682</v>
      </c>
      <c r="I18" s="67"/>
      <c r="J18" s="65"/>
      <c r="K18" s="56">
        <v>240943</v>
      </c>
      <c r="L18" s="55"/>
      <c r="M18" s="54"/>
      <c r="N18" s="57"/>
      <c r="O18" s="57"/>
      <c r="P18" s="57"/>
      <c r="Q18" s="57"/>
      <c r="R18" s="57"/>
      <c r="S18" s="57"/>
      <c r="T18" s="57"/>
      <c r="U18" s="57"/>
      <c r="V18" s="58">
        <f t="shared" si="0"/>
        <v>240943</v>
      </c>
      <c r="W18" s="57"/>
    </row>
    <row r="19" spans="1:23" x14ac:dyDescent="0.25">
      <c r="A19" s="48" t="s">
        <v>16</v>
      </c>
      <c r="B19" s="49">
        <v>8470415</v>
      </c>
      <c r="C19" s="50" t="s">
        <v>246</v>
      </c>
      <c r="D19" s="51">
        <v>425900</v>
      </c>
      <c r="E19" s="50" t="s">
        <v>24</v>
      </c>
      <c r="F19" s="50" t="s">
        <v>249</v>
      </c>
      <c r="G19" s="52">
        <v>9340</v>
      </c>
      <c r="H19" s="53"/>
      <c r="I19" s="67"/>
      <c r="J19" s="65"/>
      <c r="K19" s="56">
        <v>9340</v>
      </c>
      <c r="L19" s="55"/>
      <c r="M19" s="54"/>
      <c r="N19" s="57"/>
      <c r="O19" s="57"/>
      <c r="P19" s="57"/>
      <c r="Q19" s="57"/>
      <c r="R19" s="57"/>
      <c r="S19" s="57"/>
      <c r="T19" s="57"/>
      <c r="U19" s="57"/>
      <c r="V19" s="58">
        <f t="shared" si="0"/>
        <v>9340</v>
      </c>
      <c r="W19" s="57"/>
    </row>
    <row r="20" spans="1:23" x14ac:dyDescent="0.25">
      <c r="A20" s="48" t="s">
        <v>16</v>
      </c>
      <c r="B20" s="49">
        <v>8470415</v>
      </c>
      <c r="C20" s="50" t="s">
        <v>246</v>
      </c>
      <c r="D20" s="51">
        <v>426610</v>
      </c>
      <c r="E20" s="50" t="s">
        <v>39</v>
      </c>
      <c r="F20" s="50" t="s">
        <v>250</v>
      </c>
      <c r="G20" s="52">
        <v>130504</v>
      </c>
      <c r="H20" s="59">
        <v>37806.980000000003</v>
      </c>
      <c r="I20" s="67">
        <v>-37806.980000000003</v>
      </c>
      <c r="J20" s="65">
        <v>37806.980000000003</v>
      </c>
      <c r="K20" s="56">
        <v>92697.02</v>
      </c>
      <c r="L20" s="55"/>
      <c r="M20" s="54"/>
      <c r="N20" s="57"/>
      <c r="O20" s="57"/>
      <c r="P20" s="57"/>
      <c r="Q20" s="57"/>
      <c r="R20" s="57"/>
      <c r="S20" s="57"/>
      <c r="T20" s="57"/>
      <c r="U20" s="57"/>
      <c r="V20" s="58">
        <f t="shared" si="0"/>
        <v>92697.02</v>
      </c>
      <c r="W20" s="57"/>
    </row>
    <row r="21" spans="1:23" x14ac:dyDescent="0.25">
      <c r="A21" s="48" t="s">
        <v>16</v>
      </c>
      <c r="B21" s="49">
        <v>8470415</v>
      </c>
      <c r="C21" s="50" t="s">
        <v>246</v>
      </c>
      <c r="D21" s="51">
        <v>432209</v>
      </c>
      <c r="E21" s="50" t="s">
        <v>124</v>
      </c>
      <c r="F21" s="50" t="s">
        <v>251</v>
      </c>
      <c r="G21" s="52">
        <v>965300</v>
      </c>
      <c r="H21" s="59">
        <v>3300</v>
      </c>
      <c r="I21" s="67">
        <v>39325</v>
      </c>
      <c r="J21" s="65">
        <v>0</v>
      </c>
      <c r="K21" s="56">
        <v>922675</v>
      </c>
      <c r="L21" s="55"/>
      <c r="M21" s="54"/>
      <c r="N21" s="57"/>
      <c r="O21" s="57"/>
      <c r="P21" s="57"/>
      <c r="Q21" s="57"/>
      <c r="R21" s="57"/>
      <c r="S21" s="57"/>
      <c r="T21" s="57"/>
      <c r="U21" s="57"/>
      <c r="V21" s="58">
        <f t="shared" si="0"/>
        <v>922675</v>
      </c>
      <c r="W21" s="57"/>
    </row>
    <row r="22" spans="1:23" x14ac:dyDescent="0.25">
      <c r="A22" s="48" t="s">
        <v>16</v>
      </c>
      <c r="B22" s="49">
        <v>8470415</v>
      </c>
      <c r="C22" s="50" t="s">
        <v>246</v>
      </c>
      <c r="D22" s="51">
        <v>435350</v>
      </c>
      <c r="E22" s="50" t="s">
        <v>98</v>
      </c>
      <c r="F22" s="50" t="s">
        <v>252</v>
      </c>
      <c r="G22" s="52">
        <v>35138</v>
      </c>
      <c r="H22" s="53"/>
      <c r="I22" s="67"/>
      <c r="J22" s="65"/>
      <c r="K22" s="56">
        <v>35138</v>
      </c>
      <c r="L22" s="55"/>
      <c r="M22" s="54"/>
      <c r="N22" s="57"/>
      <c r="O22" s="57"/>
      <c r="P22" s="57"/>
      <c r="Q22" s="57"/>
      <c r="R22" s="57"/>
      <c r="S22" s="57"/>
      <c r="T22" s="57"/>
      <c r="U22" s="57"/>
      <c r="V22" s="58">
        <f t="shared" si="0"/>
        <v>35138</v>
      </c>
      <c r="W22" s="57"/>
    </row>
    <row r="23" spans="1:23" x14ac:dyDescent="0.25">
      <c r="A23" s="48" t="s">
        <v>16</v>
      </c>
      <c r="B23" s="49">
        <v>8470415</v>
      </c>
      <c r="C23" s="50" t="s">
        <v>246</v>
      </c>
      <c r="D23" s="51">
        <v>435508</v>
      </c>
      <c r="E23" s="50" t="s">
        <v>100</v>
      </c>
      <c r="F23" s="50" t="s">
        <v>253</v>
      </c>
      <c r="G23" s="52">
        <v>344400</v>
      </c>
      <c r="H23" s="59">
        <v>243237.12</v>
      </c>
      <c r="I23" s="67">
        <v>35309.440000000002</v>
      </c>
      <c r="J23" s="65">
        <v>64783.87</v>
      </c>
      <c r="K23" s="56">
        <v>1069.5699999999899</v>
      </c>
      <c r="L23" s="55"/>
      <c r="M23" s="54"/>
      <c r="N23" s="57"/>
      <c r="O23" s="57"/>
      <c r="P23" s="57"/>
      <c r="Q23" s="57"/>
      <c r="R23" s="57"/>
      <c r="S23" s="57"/>
      <c r="T23" s="57"/>
      <c r="U23" s="57"/>
      <c r="V23" s="58">
        <f t="shared" si="0"/>
        <v>1069.5699999999899</v>
      </c>
      <c r="W23" s="57"/>
    </row>
    <row r="24" spans="1:23" x14ac:dyDescent="0.25">
      <c r="A24" s="48" t="s">
        <v>16</v>
      </c>
      <c r="B24" s="49">
        <v>8470425</v>
      </c>
      <c r="C24" s="50" t="s">
        <v>254</v>
      </c>
      <c r="D24" s="51">
        <v>425510</v>
      </c>
      <c r="E24" s="50" t="s">
        <v>20</v>
      </c>
      <c r="F24" s="50" t="s">
        <v>255</v>
      </c>
      <c r="G24" s="52">
        <v>21259</v>
      </c>
      <c r="H24" s="59">
        <v>27828.81</v>
      </c>
      <c r="I24" s="67">
        <v>-11600</v>
      </c>
      <c r="J24" s="65">
        <v>0</v>
      </c>
      <c r="K24" s="56">
        <v>5030.1899999999996</v>
      </c>
      <c r="L24" s="55"/>
      <c r="M24" s="54"/>
      <c r="N24" s="57"/>
      <c r="O24" s="57"/>
      <c r="P24" s="57"/>
      <c r="Q24" s="57"/>
      <c r="R24" s="57"/>
      <c r="S24" s="57"/>
      <c r="T24" s="57"/>
      <c r="U24" s="57"/>
      <c r="V24" s="58">
        <f t="shared" si="0"/>
        <v>5030.1899999999996</v>
      </c>
      <c r="W24" s="57"/>
    </row>
    <row r="25" spans="1:23" x14ac:dyDescent="0.25">
      <c r="A25" s="48" t="s">
        <v>16</v>
      </c>
      <c r="B25" s="49">
        <v>8470425</v>
      </c>
      <c r="C25" s="50" t="s">
        <v>254</v>
      </c>
      <c r="D25" s="51">
        <v>425550</v>
      </c>
      <c r="E25" s="50" t="s">
        <v>22</v>
      </c>
      <c r="F25" s="50" t="s">
        <v>256</v>
      </c>
      <c r="G25" s="52">
        <v>54661</v>
      </c>
      <c r="H25" s="59">
        <v>2727.37</v>
      </c>
      <c r="I25" s="67"/>
      <c r="J25" s="65"/>
      <c r="K25" s="56">
        <v>51933.63</v>
      </c>
      <c r="L25" s="55"/>
      <c r="M25" s="54"/>
      <c r="N25" s="57"/>
      <c r="O25" s="57"/>
      <c r="P25" s="57"/>
      <c r="Q25" s="57"/>
      <c r="R25" s="57"/>
      <c r="S25" s="57"/>
      <c r="T25" s="57"/>
      <c r="U25" s="57"/>
      <c r="V25" s="58">
        <f t="shared" si="0"/>
        <v>51933.63</v>
      </c>
      <c r="W25" s="57"/>
    </row>
    <row r="26" spans="1:23" x14ac:dyDescent="0.25">
      <c r="A26" s="48" t="s">
        <v>16</v>
      </c>
      <c r="B26" s="49">
        <v>8470425</v>
      </c>
      <c r="C26" s="50" t="s">
        <v>254</v>
      </c>
      <c r="D26" s="51">
        <v>425770</v>
      </c>
      <c r="E26" s="50" t="s">
        <v>119</v>
      </c>
      <c r="F26" s="50" t="s">
        <v>257</v>
      </c>
      <c r="G26" s="52">
        <v>159895</v>
      </c>
      <c r="H26" s="53"/>
      <c r="I26" s="67"/>
      <c r="J26" s="65"/>
      <c r="K26" s="56">
        <v>159895</v>
      </c>
      <c r="L26" s="55"/>
      <c r="M26" s="54"/>
      <c r="N26" s="57"/>
      <c r="O26" s="57"/>
      <c r="P26" s="57"/>
      <c r="Q26" s="57"/>
      <c r="R26" s="57"/>
      <c r="S26" s="57"/>
      <c r="T26" s="57"/>
      <c r="U26" s="57"/>
      <c r="V26" s="58">
        <f t="shared" si="0"/>
        <v>159895</v>
      </c>
      <c r="W26" s="57"/>
    </row>
    <row r="27" spans="1:23" x14ac:dyDescent="0.25">
      <c r="A27" s="48" t="s">
        <v>16</v>
      </c>
      <c r="B27" s="49">
        <v>8470425</v>
      </c>
      <c r="C27" s="50" t="s">
        <v>254</v>
      </c>
      <c r="D27" s="51">
        <v>425900</v>
      </c>
      <c r="E27" s="50" t="s">
        <v>24</v>
      </c>
      <c r="F27" s="50" t="s">
        <v>258</v>
      </c>
      <c r="G27" s="52">
        <v>2973</v>
      </c>
      <c r="H27" s="53"/>
      <c r="I27" s="67"/>
      <c r="J27" s="65"/>
      <c r="K27" s="56">
        <v>2973</v>
      </c>
      <c r="L27" s="55"/>
      <c r="M27" s="54"/>
      <c r="N27" s="57"/>
      <c r="O27" s="57"/>
      <c r="P27" s="57"/>
      <c r="Q27" s="57"/>
      <c r="R27" s="57"/>
      <c r="S27" s="57"/>
      <c r="T27" s="57"/>
      <c r="U27" s="57"/>
      <c r="V27" s="58">
        <f t="shared" si="0"/>
        <v>2973</v>
      </c>
      <c r="W27" s="57"/>
    </row>
    <row r="28" spans="1:23" x14ac:dyDescent="0.25">
      <c r="A28" s="48" t="s">
        <v>16</v>
      </c>
      <c r="B28" s="49">
        <v>8470425</v>
      </c>
      <c r="C28" s="50" t="s">
        <v>254</v>
      </c>
      <c r="D28" s="51">
        <v>426610</v>
      </c>
      <c r="E28" s="50" t="s">
        <v>39</v>
      </c>
      <c r="F28" s="50" t="s">
        <v>259</v>
      </c>
      <c r="G28" s="52">
        <v>22498</v>
      </c>
      <c r="H28" s="53"/>
      <c r="I28" s="67"/>
      <c r="J28" s="65"/>
      <c r="K28" s="56">
        <v>22498</v>
      </c>
      <c r="L28" s="55"/>
      <c r="M28" s="54"/>
      <c r="N28" s="57"/>
      <c r="O28" s="57"/>
      <c r="P28" s="57"/>
      <c r="Q28" s="57"/>
      <c r="R28" s="57"/>
      <c r="S28" s="57"/>
      <c r="T28" s="57"/>
      <c r="U28" s="57"/>
      <c r="V28" s="58">
        <f t="shared" si="0"/>
        <v>22498</v>
      </c>
      <c r="W28" s="57"/>
    </row>
    <row r="29" spans="1:23" x14ac:dyDescent="0.25">
      <c r="A29" s="48" t="s">
        <v>16</v>
      </c>
      <c r="B29" s="49">
        <v>8470425</v>
      </c>
      <c r="C29" s="50" t="s">
        <v>254</v>
      </c>
      <c r="D29" s="51">
        <v>428090</v>
      </c>
      <c r="E29" s="50" t="s">
        <v>26</v>
      </c>
      <c r="F29" s="50" t="s">
        <v>260</v>
      </c>
      <c r="G29" s="52">
        <v>6445</v>
      </c>
      <c r="H29" s="53"/>
      <c r="I29" s="67"/>
      <c r="J29" s="65"/>
      <c r="K29" s="56">
        <v>6445</v>
      </c>
      <c r="L29" s="55"/>
      <c r="M29" s="54"/>
      <c r="N29" s="57"/>
      <c r="O29" s="57"/>
      <c r="P29" s="57"/>
      <c r="Q29" s="57"/>
      <c r="R29" s="57"/>
      <c r="S29" s="57"/>
      <c r="T29" s="57"/>
      <c r="U29" s="57"/>
      <c r="V29" s="58">
        <f t="shared" si="0"/>
        <v>6445</v>
      </c>
      <c r="W29" s="57"/>
    </row>
    <row r="30" spans="1:23" x14ac:dyDescent="0.25">
      <c r="A30" s="48" t="s">
        <v>16</v>
      </c>
      <c r="B30" s="49">
        <v>8470425</v>
      </c>
      <c r="C30" s="50" t="s">
        <v>254</v>
      </c>
      <c r="D30" s="51">
        <v>435350</v>
      </c>
      <c r="E30" s="50" t="s">
        <v>98</v>
      </c>
      <c r="F30" s="50" t="s">
        <v>261</v>
      </c>
      <c r="G30" s="52">
        <v>76000</v>
      </c>
      <c r="H30" s="53"/>
      <c r="I30" s="67"/>
      <c r="J30" s="65"/>
      <c r="K30" s="56">
        <v>76000</v>
      </c>
      <c r="L30" s="55"/>
      <c r="M30" s="54"/>
      <c r="N30" s="57"/>
      <c r="O30" s="57"/>
      <c r="P30" s="57"/>
      <c r="Q30" s="57"/>
      <c r="R30" s="57"/>
      <c r="S30" s="57"/>
      <c r="T30" s="57"/>
      <c r="U30" s="57"/>
      <c r="V30" s="58">
        <f t="shared" si="0"/>
        <v>76000</v>
      </c>
      <c r="W30" s="57"/>
    </row>
    <row r="31" spans="1:23" x14ac:dyDescent="0.25">
      <c r="A31" s="48" t="s">
        <v>16</v>
      </c>
      <c r="B31" s="49">
        <v>8470425</v>
      </c>
      <c r="C31" s="50" t="s">
        <v>254</v>
      </c>
      <c r="D31" s="51">
        <v>435508</v>
      </c>
      <c r="E31" s="50" t="s">
        <v>100</v>
      </c>
      <c r="F31" s="50" t="s">
        <v>262</v>
      </c>
      <c r="G31" s="52">
        <v>169693</v>
      </c>
      <c r="H31" s="53"/>
      <c r="I31" s="67">
        <v>1500</v>
      </c>
      <c r="J31" s="65">
        <v>5500</v>
      </c>
      <c r="K31" s="56">
        <v>162693</v>
      </c>
      <c r="L31" s="55"/>
      <c r="M31" s="54"/>
      <c r="N31" s="57"/>
      <c r="O31" s="57"/>
      <c r="P31" s="57"/>
      <c r="Q31" s="57"/>
      <c r="R31" s="57"/>
      <c r="S31" s="57"/>
      <c r="T31" s="57"/>
      <c r="U31" s="57"/>
      <c r="V31" s="58">
        <f t="shared" si="0"/>
        <v>162693</v>
      </c>
      <c r="W31" s="57"/>
    </row>
    <row r="32" spans="1:23" x14ac:dyDescent="0.25">
      <c r="A32" s="48" t="s">
        <v>16</v>
      </c>
      <c r="B32" s="49">
        <v>8470430</v>
      </c>
      <c r="C32" s="50" t="s">
        <v>263</v>
      </c>
      <c r="D32" s="51">
        <v>425763</v>
      </c>
      <c r="E32" s="50" t="s">
        <v>53</v>
      </c>
      <c r="F32" s="50" t="s">
        <v>264</v>
      </c>
      <c r="G32" s="52">
        <v>25238</v>
      </c>
      <c r="H32" s="53"/>
      <c r="I32" s="67"/>
      <c r="J32" s="65"/>
      <c r="K32" s="56">
        <v>25238</v>
      </c>
      <c r="L32" s="55"/>
      <c r="M32" s="54"/>
      <c r="N32" s="57"/>
      <c r="O32" s="57"/>
      <c r="P32" s="57"/>
      <c r="Q32" s="57"/>
      <c r="R32" s="57"/>
      <c r="S32" s="57"/>
      <c r="T32" s="57"/>
      <c r="U32" s="57"/>
      <c r="V32" s="58">
        <f t="shared" si="0"/>
        <v>25238</v>
      </c>
      <c r="W32" s="57"/>
    </row>
    <row r="33" spans="1:23" x14ac:dyDescent="0.25">
      <c r="A33" s="48" t="s">
        <v>16</v>
      </c>
      <c r="B33" s="49">
        <v>8470430</v>
      </c>
      <c r="C33" s="50" t="s">
        <v>263</v>
      </c>
      <c r="D33" s="51">
        <v>425770</v>
      </c>
      <c r="E33" s="50" t="s">
        <v>119</v>
      </c>
      <c r="F33" s="50" t="s">
        <v>265</v>
      </c>
      <c r="G33" s="52">
        <v>19486</v>
      </c>
      <c r="H33" s="59">
        <v>19485.36</v>
      </c>
      <c r="I33" s="67"/>
      <c r="J33" s="65"/>
      <c r="K33" s="56">
        <v>0.63999999999941803</v>
      </c>
      <c r="L33" s="55"/>
      <c r="M33" s="54"/>
      <c r="N33" s="57"/>
      <c r="O33" s="57"/>
      <c r="P33" s="57"/>
      <c r="Q33" s="57"/>
      <c r="R33" s="57"/>
      <c r="S33" s="57"/>
      <c r="T33" s="57"/>
      <c r="U33" s="57"/>
      <c r="V33" s="58">
        <f t="shared" si="0"/>
        <v>0.63999999999941803</v>
      </c>
      <c r="W33" s="57"/>
    </row>
    <row r="34" spans="1:23" x14ac:dyDescent="0.25">
      <c r="A34" s="48" t="s">
        <v>16</v>
      </c>
      <c r="B34" s="49">
        <v>8470430</v>
      </c>
      <c r="C34" s="50" t="s">
        <v>263</v>
      </c>
      <c r="D34" s="51">
        <v>426610</v>
      </c>
      <c r="E34" s="50" t="s">
        <v>39</v>
      </c>
      <c r="F34" s="50" t="s">
        <v>266</v>
      </c>
      <c r="G34" s="52">
        <v>22981</v>
      </c>
      <c r="H34" s="53"/>
      <c r="I34" s="67">
        <v>0</v>
      </c>
      <c r="J34" s="65">
        <v>6482.85</v>
      </c>
      <c r="K34" s="56">
        <v>16498.150000000001</v>
      </c>
      <c r="L34" s="55"/>
      <c r="M34" s="54"/>
      <c r="N34" s="57"/>
      <c r="O34" s="57"/>
      <c r="P34" s="57"/>
      <c r="Q34" s="57"/>
      <c r="R34" s="57"/>
      <c r="S34" s="57"/>
      <c r="T34" s="57"/>
      <c r="U34" s="57"/>
      <c r="V34" s="58">
        <f t="shared" si="0"/>
        <v>16498.150000000001</v>
      </c>
      <c r="W34" s="57"/>
    </row>
    <row r="35" spans="1:23" x14ac:dyDescent="0.25">
      <c r="A35" s="48" t="s">
        <v>16</v>
      </c>
      <c r="B35" s="49">
        <v>8470430</v>
      </c>
      <c r="C35" s="50" t="s">
        <v>263</v>
      </c>
      <c r="D35" s="51">
        <v>432209</v>
      </c>
      <c r="E35" s="50" t="s">
        <v>124</v>
      </c>
      <c r="F35" s="50" t="s">
        <v>267</v>
      </c>
      <c r="G35" s="52">
        <v>1500</v>
      </c>
      <c r="H35" s="59">
        <v>878.9</v>
      </c>
      <c r="I35" s="67"/>
      <c r="J35" s="65"/>
      <c r="K35" s="56">
        <v>621.1</v>
      </c>
      <c r="L35" s="55"/>
      <c r="M35" s="54"/>
      <c r="N35" s="57"/>
      <c r="O35" s="57"/>
      <c r="P35" s="57"/>
      <c r="Q35" s="57"/>
      <c r="R35" s="57"/>
      <c r="S35" s="57"/>
      <c r="T35" s="57"/>
      <c r="U35" s="57"/>
      <c r="V35" s="58">
        <f t="shared" si="0"/>
        <v>621.1</v>
      </c>
      <c r="W35" s="57"/>
    </row>
    <row r="36" spans="1:23" x14ac:dyDescent="0.25">
      <c r="A36" s="48" t="s">
        <v>16</v>
      </c>
      <c r="B36" s="49">
        <v>8470430</v>
      </c>
      <c r="C36" s="50" t="s">
        <v>263</v>
      </c>
      <c r="D36" s="51">
        <v>435508</v>
      </c>
      <c r="E36" s="50" t="s">
        <v>100</v>
      </c>
      <c r="F36" s="50" t="s">
        <v>268</v>
      </c>
      <c r="G36" s="52">
        <v>9790</v>
      </c>
      <c r="H36" s="53"/>
      <c r="I36" s="67"/>
      <c r="J36" s="65"/>
      <c r="K36" s="56">
        <v>9790</v>
      </c>
      <c r="L36" s="55"/>
      <c r="M36" s="54"/>
      <c r="N36" s="57"/>
      <c r="O36" s="57"/>
      <c r="P36" s="57"/>
      <c r="Q36" s="57"/>
      <c r="R36" s="57"/>
      <c r="S36" s="57"/>
      <c r="T36" s="57"/>
      <c r="U36" s="57"/>
      <c r="V36" s="58">
        <f t="shared" si="0"/>
        <v>9790</v>
      </c>
      <c r="W36" s="57"/>
    </row>
    <row r="37" spans="1:23" x14ac:dyDescent="0.25">
      <c r="A37" s="48" t="s">
        <v>16</v>
      </c>
      <c r="B37" s="49">
        <v>8470435</v>
      </c>
      <c r="C37" s="50" t="s">
        <v>269</v>
      </c>
      <c r="D37" s="51">
        <v>429900</v>
      </c>
      <c r="E37" s="50" t="s">
        <v>270</v>
      </c>
      <c r="F37" s="50" t="s">
        <v>271</v>
      </c>
      <c r="G37" s="52">
        <v>2000</v>
      </c>
      <c r="H37" s="53"/>
      <c r="I37" s="67"/>
      <c r="J37" s="65"/>
      <c r="K37" s="56">
        <v>2000</v>
      </c>
      <c r="L37" s="55"/>
      <c r="M37" s="54"/>
      <c r="N37" s="57"/>
      <c r="O37" s="57"/>
      <c r="P37" s="57"/>
      <c r="Q37" s="57"/>
      <c r="R37" s="57"/>
      <c r="S37" s="57"/>
      <c r="T37" s="57"/>
      <c r="U37" s="57"/>
      <c r="V37" s="58">
        <f t="shared" si="0"/>
        <v>2000</v>
      </c>
      <c r="W37" s="57"/>
    </row>
    <row r="38" spans="1:23" x14ac:dyDescent="0.25">
      <c r="A38" s="48" t="s">
        <v>16</v>
      </c>
      <c r="B38" s="49">
        <v>8470440</v>
      </c>
      <c r="C38" s="50" t="s">
        <v>272</v>
      </c>
      <c r="D38" s="51">
        <v>420550</v>
      </c>
      <c r="E38" s="50" t="s">
        <v>18</v>
      </c>
      <c r="F38" s="50" t="s">
        <v>273</v>
      </c>
      <c r="G38" s="52">
        <v>20593</v>
      </c>
      <c r="H38" s="53"/>
      <c r="I38" s="67">
        <v>20593</v>
      </c>
      <c r="J38" s="65"/>
      <c r="K38" s="56">
        <v>0</v>
      </c>
      <c r="L38" s="55"/>
      <c r="M38" s="54"/>
      <c r="N38" s="57"/>
      <c r="O38" s="57"/>
      <c r="P38" s="57"/>
      <c r="Q38" s="57"/>
      <c r="R38" s="57"/>
      <c r="S38" s="57"/>
      <c r="T38" s="57"/>
      <c r="U38" s="57"/>
      <c r="V38" s="58">
        <f t="shared" si="0"/>
        <v>0</v>
      </c>
      <c r="W38" s="57"/>
    </row>
    <row r="39" spans="1:23" x14ac:dyDescent="0.25">
      <c r="A39" s="48" t="s">
        <v>16</v>
      </c>
      <c r="B39" s="49">
        <v>8470440</v>
      </c>
      <c r="C39" s="50" t="s">
        <v>272</v>
      </c>
      <c r="D39" s="51">
        <v>425510</v>
      </c>
      <c r="E39" s="50" t="s">
        <v>20</v>
      </c>
      <c r="F39" s="50" t="s">
        <v>274</v>
      </c>
      <c r="G39" s="52">
        <v>11270</v>
      </c>
      <c r="H39" s="53"/>
      <c r="I39" s="67">
        <v>11270</v>
      </c>
      <c r="J39" s="65"/>
      <c r="K39" s="56">
        <v>0</v>
      </c>
      <c r="L39" s="55"/>
      <c r="M39" s="54"/>
      <c r="N39" s="57"/>
      <c r="O39" s="57"/>
      <c r="P39" s="57"/>
      <c r="Q39" s="57"/>
      <c r="R39" s="57"/>
      <c r="S39" s="57"/>
      <c r="T39" s="57"/>
      <c r="U39" s="57"/>
      <c r="V39" s="58">
        <f t="shared" si="0"/>
        <v>0</v>
      </c>
      <c r="W39" s="57"/>
    </row>
    <row r="40" spans="1:23" x14ac:dyDescent="0.25">
      <c r="A40" s="48" t="s">
        <v>16</v>
      </c>
      <c r="B40" s="49">
        <v>8470440</v>
      </c>
      <c r="C40" s="50" t="s">
        <v>272</v>
      </c>
      <c r="D40" s="51">
        <v>425550</v>
      </c>
      <c r="E40" s="50" t="s">
        <v>22</v>
      </c>
      <c r="F40" s="50" t="s">
        <v>275</v>
      </c>
      <c r="G40" s="52">
        <v>25688</v>
      </c>
      <c r="H40" s="59">
        <v>7049.25</v>
      </c>
      <c r="I40" s="67"/>
      <c r="J40" s="65"/>
      <c r="K40" s="56">
        <v>18638.75</v>
      </c>
      <c r="L40" s="55"/>
      <c r="M40" s="54"/>
      <c r="N40" s="57"/>
      <c r="O40" s="57"/>
      <c r="P40" s="57"/>
      <c r="Q40" s="57"/>
      <c r="R40" s="57"/>
      <c r="S40" s="57"/>
      <c r="T40" s="57"/>
      <c r="U40" s="57"/>
      <c r="V40" s="58">
        <f t="shared" si="0"/>
        <v>18638.75</v>
      </c>
      <c r="W40" s="57"/>
    </row>
    <row r="41" spans="1:23" x14ac:dyDescent="0.25">
      <c r="A41" s="48" t="s">
        <v>16</v>
      </c>
      <c r="B41" s="49">
        <v>8470440</v>
      </c>
      <c r="C41" s="50" t="s">
        <v>272</v>
      </c>
      <c r="D41" s="51">
        <v>425770</v>
      </c>
      <c r="E41" s="50" t="s">
        <v>119</v>
      </c>
      <c r="F41" s="50" t="s">
        <v>276</v>
      </c>
      <c r="G41" s="52">
        <v>82500</v>
      </c>
      <c r="H41" s="59">
        <v>11956.31</v>
      </c>
      <c r="I41" s="67"/>
      <c r="J41" s="65"/>
      <c r="K41" s="56">
        <v>70543.69</v>
      </c>
      <c r="L41" s="55"/>
      <c r="M41" s="54"/>
      <c r="N41" s="57"/>
      <c r="O41" s="57"/>
      <c r="P41" s="57"/>
      <c r="Q41" s="57"/>
      <c r="R41" s="57"/>
      <c r="S41" s="57"/>
      <c r="T41" s="57"/>
      <c r="U41" s="57"/>
      <c r="V41" s="58">
        <f t="shared" si="0"/>
        <v>70543.69</v>
      </c>
      <c r="W41" s="57"/>
    </row>
    <row r="42" spans="1:23" x14ac:dyDescent="0.25">
      <c r="A42" s="48" t="s">
        <v>16</v>
      </c>
      <c r="B42" s="49">
        <v>8470440</v>
      </c>
      <c r="C42" s="50" t="s">
        <v>272</v>
      </c>
      <c r="D42" s="51">
        <v>426610</v>
      </c>
      <c r="E42" s="50" t="s">
        <v>39</v>
      </c>
      <c r="F42" s="50" t="s">
        <v>277</v>
      </c>
      <c r="G42" s="52">
        <v>22589</v>
      </c>
      <c r="H42" s="59">
        <v>27190.1</v>
      </c>
      <c r="I42" s="67">
        <v>-13590.1</v>
      </c>
      <c r="J42" s="65">
        <v>0</v>
      </c>
      <c r="K42" s="56">
        <v>8989</v>
      </c>
      <c r="L42" s="55"/>
      <c r="M42" s="54"/>
      <c r="N42" s="57"/>
      <c r="O42" s="57"/>
      <c r="P42" s="57"/>
      <c r="Q42" s="57"/>
      <c r="R42" s="57"/>
      <c r="S42" s="57"/>
      <c r="T42" s="57"/>
      <c r="U42" s="57"/>
      <c r="V42" s="58">
        <f t="shared" si="0"/>
        <v>8989</v>
      </c>
      <c r="W42" s="57"/>
    </row>
    <row r="43" spans="1:23" x14ac:dyDescent="0.25">
      <c r="A43" s="48" t="s">
        <v>16</v>
      </c>
      <c r="B43" s="49">
        <v>8470440</v>
      </c>
      <c r="C43" s="50" t="s">
        <v>272</v>
      </c>
      <c r="D43" s="51">
        <v>427710</v>
      </c>
      <c r="E43" s="50" t="s">
        <v>45</v>
      </c>
      <c r="F43" s="50" t="s">
        <v>278</v>
      </c>
      <c r="G43" s="52">
        <v>1942</v>
      </c>
      <c r="H43" s="53"/>
      <c r="I43" s="67">
        <v>0</v>
      </c>
      <c r="J43" s="65"/>
      <c r="K43" s="56">
        <v>1942</v>
      </c>
      <c r="L43" s="55"/>
      <c r="M43" s="54"/>
      <c r="N43" s="57"/>
      <c r="O43" s="57"/>
      <c r="P43" s="57"/>
      <c r="Q43" s="57"/>
      <c r="R43" s="57"/>
      <c r="S43" s="57"/>
      <c r="T43" s="57"/>
      <c r="U43" s="57"/>
      <c r="V43" s="58">
        <f t="shared" si="0"/>
        <v>1942</v>
      </c>
      <c r="W43" s="57"/>
    </row>
    <row r="44" spans="1:23" x14ac:dyDescent="0.25">
      <c r="A44" s="48" t="s">
        <v>16</v>
      </c>
      <c r="B44" s="49">
        <v>8470440</v>
      </c>
      <c r="C44" s="50" t="s">
        <v>272</v>
      </c>
      <c r="D44" s="51">
        <v>428090</v>
      </c>
      <c r="E44" s="50" t="s">
        <v>26</v>
      </c>
      <c r="F44" s="50" t="s">
        <v>279</v>
      </c>
      <c r="G44" s="52">
        <v>4219</v>
      </c>
      <c r="H44" s="53"/>
      <c r="I44" s="67">
        <v>4219</v>
      </c>
      <c r="J44" s="65"/>
      <c r="K44" s="56">
        <v>0</v>
      </c>
      <c r="L44" s="55"/>
      <c r="M44" s="54"/>
      <c r="N44" s="57"/>
      <c r="O44" s="57"/>
      <c r="P44" s="57"/>
      <c r="Q44" s="57"/>
      <c r="R44" s="57"/>
      <c r="S44" s="57"/>
      <c r="T44" s="57"/>
      <c r="U44" s="57"/>
      <c r="V44" s="58">
        <f t="shared" si="0"/>
        <v>0</v>
      </c>
      <c r="W44" s="57"/>
    </row>
    <row r="45" spans="1:23" x14ac:dyDescent="0.25">
      <c r="A45" s="48" t="s">
        <v>16</v>
      </c>
      <c r="B45" s="49">
        <v>8470440</v>
      </c>
      <c r="C45" s="50" t="s">
        <v>272</v>
      </c>
      <c r="D45" s="51">
        <v>428640</v>
      </c>
      <c r="E45" s="50" t="s">
        <v>59</v>
      </c>
      <c r="F45" s="50" t="s">
        <v>280</v>
      </c>
      <c r="G45" s="52">
        <v>2174</v>
      </c>
      <c r="H45" s="53"/>
      <c r="I45" s="67">
        <v>2174</v>
      </c>
      <c r="J45" s="65"/>
      <c r="K45" s="56">
        <v>0</v>
      </c>
      <c r="L45" s="55"/>
      <c r="M45" s="54"/>
      <c r="N45" s="57"/>
      <c r="O45" s="57"/>
      <c r="P45" s="57"/>
      <c r="Q45" s="57"/>
      <c r="R45" s="57"/>
      <c r="S45" s="57"/>
      <c r="T45" s="57"/>
      <c r="U45" s="57"/>
      <c r="V45" s="58">
        <f t="shared" si="0"/>
        <v>0</v>
      </c>
      <c r="W45" s="57"/>
    </row>
    <row r="46" spans="1:23" x14ac:dyDescent="0.25">
      <c r="A46" s="48" t="s">
        <v>16</v>
      </c>
      <c r="B46" s="49">
        <v>8470440</v>
      </c>
      <c r="C46" s="50" t="s">
        <v>272</v>
      </c>
      <c r="D46" s="51">
        <v>435350</v>
      </c>
      <c r="E46" s="50" t="s">
        <v>98</v>
      </c>
      <c r="F46" s="50" t="s">
        <v>281</v>
      </c>
      <c r="G46" s="52">
        <v>29600</v>
      </c>
      <c r="H46" s="53"/>
      <c r="I46" s="67">
        <v>29600</v>
      </c>
      <c r="J46" s="65"/>
      <c r="K46" s="56">
        <v>0</v>
      </c>
      <c r="L46" s="55"/>
      <c r="M46" s="54"/>
      <c r="N46" s="57"/>
      <c r="O46" s="57"/>
      <c r="P46" s="57"/>
      <c r="Q46" s="57"/>
      <c r="R46" s="57"/>
      <c r="S46" s="57"/>
      <c r="T46" s="57"/>
      <c r="U46" s="57"/>
      <c r="V46" s="58">
        <f t="shared" si="0"/>
        <v>0</v>
      </c>
      <c r="W46" s="57"/>
    </row>
    <row r="47" spans="1:23" x14ac:dyDescent="0.25">
      <c r="A47" s="48" t="s">
        <v>16</v>
      </c>
      <c r="B47" s="49">
        <v>8470440</v>
      </c>
      <c r="C47" s="50" t="s">
        <v>272</v>
      </c>
      <c r="D47" s="51">
        <v>436600</v>
      </c>
      <c r="E47" s="50" t="s">
        <v>160</v>
      </c>
      <c r="F47" s="50" t="s">
        <v>282</v>
      </c>
      <c r="G47" s="52">
        <v>4195</v>
      </c>
      <c r="H47" s="53"/>
      <c r="I47" s="67">
        <v>4195</v>
      </c>
      <c r="J47" s="65"/>
      <c r="K47" s="56">
        <v>0</v>
      </c>
      <c r="L47" s="55"/>
      <c r="M47" s="54"/>
      <c r="N47" s="57"/>
      <c r="O47" s="57"/>
      <c r="P47" s="57"/>
      <c r="Q47" s="57"/>
      <c r="R47" s="57"/>
      <c r="S47" s="57"/>
      <c r="T47" s="57"/>
      <c r="U47" s="57"/>
      <c r="V47" s="58">
        <f t="shared" si="0"/>
        <v>0</v>
      </c>
      <c r="W47" s="57"/>
    </row>
    <row r="48" spans="1:23" x14ac:dyDescent="0.25">
      <c r="A48" s="48" t="s">
        <v>16</v>
      </c>
      <c r="B48" s="49">
        <v>8470445</v>
      </c>
      <c r="C48" s="50" t="s">
        <v>283</v>
      </c>
      <c r="D48" s="51">
        <v>425510</v>
      </c>
      <c r="E48" s="50" t="s">
        <v>20</v>
      </c>
      <c r="F48" s="50" t="s">
        <v>284</v>
      </c>
      <c r="G48" s="52">
        <v>20000</v>
      </c>
      <c r="H48" s="59">
        <v>6467</v>
      </c>
      <c r="I48" s="67"/>
      <c r="J48" s="65"/>
      <c r="K48" s="56">
        <v>13533</v>
      </c>
      <c r="L48" s="55"/>
      <c r="M48" s="54"/>
      <c r="N48" s="57"/>
      <c r="O48" s="57"/>
      <c r="P48" s="57"/>
      <c r="Q48" s="57"/>
      <c r="R48" s="57"/>
      <c r="S48" s="57"/>
      <c r="T48" s="57"/>
      <c r="U48" s="57"/>
      <c r="V48" s="58">
        <f t="shared" si="0"/>
        <v>13533</v>
      </c>
      <c r="W48" s="57"/>
    </row>
    <row r="49" spans="1:23" x14ac:dyDescent="0.25">
      <c r="A49" s="48" t="s">
        <v>16</v>
      </c>
      <c r="B49" s="49">
        <v>8470445</v>
      </c>
      <c r="C49" s="50" t="s">
        <v>283</v>
      </c>
      <c r="D49" s="51">
        <v>425720</v>
      </c>
      <c r="E49" s="50" t="s">
        <v>185</v>
      </c>
      <c r="F49" s="50" t="s">
        <v>285</v>
      </c>
      <c r="G49" s="52">
        <v>19190</v>
      </c>
      <c r="H49" s="59">
        <v>36730</v>
      </c>
      <c r="I49" s="67">
        <v>-18365</v>
      </c>
      <c r="J49" s="65">
        <v>0</v>
      </c>
      <c r="K49" s="56">
        <v>825</v>
      </c>
      <c r="L49" s="55"/>
      <c r="M49" s="54"/>
      <c r="N49" s="57"/>
      <c r="O49" s="57"/>
      <c r="P49" s="57"/>
      <c r="Q49" s="57"/>
      <c r="R49" s="57"/>
      <c r="S49" s="57"/>
      <c r="T49" s="57"/>
      <c r="U49" s="57"/>
      <c r="V49" s="58">
        <f t="shared" si="0"/>
        <v>825</v>
      </c>
      <c r="W49" s="57"/>
    </row>
    <row r="50" spans="1:23" x14ac:dyDescent="0.25">
      <c r="A50" s="48" t="s">
        <v>16</v>
      </c>
      <c r="B50" s="49">
        <v>8470445</v>
      </c>
      <c r="C50" s="50" t="s">
        <v>283</v>
      </c>
      <c r="D50" s="51">
        <v>425770</v>
      </c>
      <c r="E50" s="50" t="s">
        <v>119</v>
      </c>
      <c r="F50" s="50" t="s">
        <v>286</v>
      </c>
      <c r="G50" s="52">
        <v>382177</v>
      </c>
      <c r="H50" s="59">
        <v>16040.64</v>
      </c>
      <c r="I50" s="67"/>
      <c r="J50" s="65"/>
      <c r="K50" s="56">
        <v>366136.36</v>
      </c>
      <c r="L50" s="55"/>
      <c r="M50" s="54"/>
      <c r="N50" s="57"/>
      <c r="O50" s="57"/>
      <c r="P50" s="57"/>
      <c r="Q50" s="57"/>
      <c r="R50" s="57"/>
      <c r="S50" s="57"/>
      <c r="T50" s="57"/>
      <c r="U50" s="57"/>
      <c r="V50" s="58">
        <f t="shared" si="0"/>
        <v>366136.36</v>
      </c>
      <c r="W50" s="57"/>
    </row>
    <row r="51" spans="1:23" x14ac:dyDescent="0.25">
      <c r="A51" s="48" t="s">
        <v>16</v>
      </c>
      <c r="B51" s="49">
        <v>8470445</v>
      </c>
      <c r="C51" s="50" t="s">
        <v>283</v>
      </c>
      <c r="D51" s="51">
        <v>426610</v>
      </c>
      <c r="E51" s="50" t="s">
        <v>39</v>
      </c>
      <c r="F51" s="50" t="s">
        <v>287</v>
      </c>
      <c r="G51" s="52">
        <v>21928</v>
      </c>
      <c r="H51" s="53"/>
      <c r="I51" s="67">
        <v>12249.46</v>
      </c>
      <c r="J51" s="65"/>
      <c r="K51" s="56">
        <v>9678.5400000000009</v>
      </c>
      <c r="L51" s="55"/>
      <c r="M51" s="54"/>
      <c r="N51" s="57"/>
      <c r="O51" s="57"/>
      <c r="P51" s="57"/>
      <c r="Q51" s="57"/>
      <c r="R51" s="57"/>
      <c r="S51" s="57"/>
      <c r="T51" s="57"/>
      <c r="U51" s="57"/>
      <c r="V51" s="58">
        <f t="shared" si="0"/>
        <v>9678.5400000000009</v>
      </c>
      <c r="W51" s="57"/>
    </row>
    <row r="52" spans="1:23" x14ac:dyDescent="0.25">
      <c r="A52" s="48" t="s">
        <v>16</v>
      </c>
      <c r="B52" s="49">
        <v>8470445</v>
      </c>
      <c r="C52" s="50" t="s">
        <v>283</v>
      </c>
      <c r="D52" s="51">
        <v>435350</v>
      </c>
      <c r="E52" s="50" t="s">
        <v>98</v>
      </c>
      <c r="F52" s="50" t="s">
        <v>288</v>
      </c>
      <c r="G52" s="52">
        <v>202000</v>
      </c>
      <c r="H52" s="59">
        <v>36296.080000000002</v>
      </c>
      <c r="I52" s="67"/>
      <c r="J52" s="65"/>
      <c r="K52" s="56">
        <v>165703.92000000001</v>
      </c>
      <c r="L52" s="55"/>
      <c r="M52" s="54"/>
      <c r="N52" s="57"/>
      <c r="O52" s="57"/>
      <c r="P52" s="57"/>
      <c r="Q52" s="57"/>
      <c r="R52" s="57"/>
      <c r="S52" s="57"/>
      <c r="T52" s="57"/>
      <c r="U52" s="57"/>
      <c r="V52" s="58">
        <f t="shared" si="0"/>
        <v>165703.92000000001</v>
      </c>
      <c r="W52" s="57"/>
    </row>
    <row r="53" spans="1:23" x14ac:dyDescent="0.25">
      <c r="A53" s="48" t="s">
        <v>16</v>
      </c>
      <c r="B53" s="49">
        <v>8470450</v>
      </c>
      <c r="C53" s="50" t="s">
        <v>289</v>
      </c>
      <c r="D53" s="51">
        <v>420550</v>
      </c>
      <c r="E53" s="50" t="s">
        <v>18</v>
      </c>
      <c r="F53" s="50" t="s">
        <v>290</v>
      </c>
      <c r="G53" s="52">
        <v>0</v>
      </c>
      <c r="H53" s="53"/>
      <c r="I53" s="67"/>
      <c r="J53" s="65"/>
      <c r="K53" s="56">
        <v>0</v>
      </c>
      <c r="L53" s="55"/>
      <c r="M53" s="54"/>
      <c r="N53" s="57"/>
      <c r="O53" s="57"/>
      <c r="P53" s="57"/>
      <c r="Q53" s="57"/>
      <c r="R53" s="57"/>
      <c r="S53" s="57"/>
      <c r="T53" s="57"/>
      <c r="U53" s="57"/>
      <c r="V53" s="58">
        <f t="shared" si="0"/>
        <v>0</v>
      </c>
      <c r="W53" s="57"/>
    </row>
    <row r="54" spans="1:23" x14ac:dyDescent="0.25">
      <c r="A54" s="48" t="s">
        <v>16</v>
      </c>
      <c r="B54" s="49">
        <v>8470450</v>
      </c>
      <c r="C54" s="50" t="s">
        <v>289</v>
      </c>
      <c r="D54" s="51">
        <v>421700</v>
      </c>
      <c r="E54" s="50" t="s">
        <v>36</v>
      </c>
      <c r="F54" s="50" t="s">
        <v>291</v>
      </c>
      <c r="G54" s="52">
        <v>0</v>
      </c>
      <c r="H54" s="53"/>
      <c r="I54" s="67"/>
      <c r="J54" s="65"/>
      <c r="K54" s="56">
        <v>0</v>
      </c>
      <c r="L54" s="55"/>
      <c r="M54" s="54"/>
      <c r="N54" s="57"/>
      <c r="O54" s="57"/>
      <c r="P54" s="57"/>
      <c r="Q54" s="57"/>
      <c r="R54" s="57"/>
      <c r="S54" s="57"/>
      <c r="T54" s="57"/>
      <c r="U54" s="57"/>
      <c r="V54" s="58">
        <f t="shared" si="0"/>
        <v>0</v>
      </c>
      <c r="W54" s="57"/>
    </row>
    <row r="55" spans="1:23" x14ac:dyDescent="0.25">
      <c r="A55" s="48" t="s">
        <v>16</v>
      </c>
      <c r="B55" s="49">
        <v>8470450</v>
      </c>
      <c r="C55" s="50" t="s">
        <v>289</v>
      </c>
      <c r="D55" s="51">
        <v>425510</v>
      </c>
      <c r="E55" s="50" t="s">
        <v>20</v>
      </c>
      <c r="F55" s="50" t="s">
        <v>292</v>
      </c>
      <c r="G55" s="52">
        <v>9100</v>
      </c>
      <c r="H55" s="53"/>
      <c r="I55" s="67"/>
      <c r="J55" s="65"/>
      <c r="K55" s="56">
        <v>9100</v>
      </c>
      <c r="L55" s="55"/>
      <c r="M55" s="54"/>
      <c r="N55" s="57"/>
      <c r="O55" s="57"/>
      <c r="P55" s="57"/>
      <c r="Q55" s="57"/>
      <c r="R55" s="57"/>
      <c r="S55" s="57"/>
      <c r="T55" s="57"/>
      <c r="U55" s="57"/>
      <c r="V55" s="58">
        <f t="shared" si="0"/>
        <v>9100</v>
      </c>
      <c r="W55" s="57"/>
    </row>
    <row r="56" spans="1:23" x14ac:dyDescent="0.25">
      <c r="A56" s="48" t="s">
        <v>16</v>
      </c>
      <c r="B56" s="49">
        <v>8470450</v>
      </c>
      <c r="C56" s="50" t="s">
        <v>289</v>
      </c>
      <c r="D56" s="51">
        <v>425761</v>
      </c>
      <c r="E56" s="50" t="s">
        <v>212</v>
      </c>
      <c r="F56" s="50" t="s">
        <v>293</v>
      </c>
      <c r="G56" s="52">
        <v>52244</v>
      </c>
      <c r="H56" s="59">
        <v>9400</v>
      </c>
      <c r="I56" s="67"/>
      <c r="J56" s="65"/>
      <c r="K56" s="56">
        <v>42844</v>
      </c>
      <c r="L56" s="55"/>
      <c r="M56" s="54"/>
      <c r="N56" s="57"/>
      <c r="O56" s="57"/>
      <c r="P56" s="57"/>
      <c r="Q56" s="57"/>
      <c r="R56" s="57"/>
      <c r="S56" s="57"/>
      <c r="T56" s="57"/>
      <c r="U56" s="57"/>
      <c r="V56" s="58">
        <f t="shared" si="0"/>
        <v>42844</v>
      </c>
      <c r="W56" s="57"/>
    </row>
    <row r="57" spans="1:23" x14ac:dyDescent="0.25">
      <c r="A57" s="48" t="s">
        <v>16</v>
      </c>
      <c r="B57" s="49">
        <v>8470450</v>
      </c>
      <c r="C57" s="50" t="s">
        <v>289</v>
      </c>
      <c r="D57" s="51">
        <v>425763</v>
      </c>
      <c r="E57" s="50" t="s">
        <v>53</v>
      </c>
      <c r="F57" s="50" t="s">
        <v>294</v>
      </c>
      <c r="G57" s="52">
        <v>0</v>
      </c>
      <c r="H57" s="53"/>
      <c r="I57" s="67"/>
      <c r="J57" s="65"/>
      <c r="K57" s="56">
        <v>0</v>
      </c>
      <c r="L57" s="55"/>
      <c r="M57" s="54"/>
      <c r="N57" s="57"/>
      <c r="O57" s="57"/>
      <c r="P57" s="57"/>
      <c r="Q57" s="57"/>
      <c r="R57" s="57"/>
      <c r="S57" s="57"/>
      <c r="T57" s="57"/>
      <c r="U57" s="57"/>
      <c r="V57" s="58">
        <f t="shared" si="0"/>
        <v>0</v>
      </c>
      <c r="W57" s="57"/>
    </row>
    <row r="58" spans="1:23" x14ac:dyDescent="0.25">
      <c r="A58" s="48" t="s">
        <v>16</v>
      </c>
      <c r="B58" s="49">
        <v>8470450</v>
      </c>
      <c r="C58" s="50" t="s">
        <v>289</v>
      </c>
      <c r="D58" s="51">
        <v>425770</v>
      </c>
      <c r="E58" s="50" t="s">
        <v>119</v>
      </c>
      <c r="F58" s="50" t="s">
        <v>295</v>
      </c>
      <c r="G58" s="52">
        <v>110000</v>
      </c>
      <c r="H58" s="53"/>
      <c r="I58" s="67"/>
      <c r="J58" s="65"/>
      <c r="K58" s="56">
        <v>110000</v>
      </c>
      <c r="L58" s="55"/>
      <c r="M58" s="54"/>
      <c r="N58" s="57"/>
      <c r="O58" s="57"/>
      <c r="P58" s="57"/>
      <c r="Q58" s="57"/>
      <c r="R58" s="57"/>
      <c r="S58" s="57"/>
      <c r="T58" s="57"/>
      <c r="U58" s="57"/>
      <c r="V58" s="58">
        <f t="shared" si="0"/>
        <v>110000</v>
      </c>
      <c r="W58" s="57"/>
    </row>
    <row r="59" spans="1:23" x14ac:dyDescent="0.25">
      <c r="A59" s="48" t="s">
        <v>16</v>
      </c>
      <c r="B59" s="49">
        <v>8470450</v>
      </c>
      <c r="C59" s="50" t="s">
        <v>289</v>
      </c>
      <c r="D59" s="51">
        <v>426610</v>
      </c>
      <c r="E59" s="50" t="s">
        <v>39</v>
      </c>
      <c r="F59" s="50" t="s">
        <v>296</v>
      </c>
      <c r="G59" s="52">
        <v>35628</v>
      </c>
      <c r="H59" s="53"/>
      <c r="I59" s="67"/>
      <c r="J59" s="65"/>
      <c r="K59" s="56">
        <v>35628</v>
      </c>
      <c r="L59" s="55"/>
      <c r="M59" s="54"/>
      <c r="N59" s="57"/>
      <c r="O59" s="57"/>
      <c r="P59" s="57"/>
      <c r="Q59" s="57"/>
      <c r="R59" s="57"/>
      <c r="S59" s="57"/>
      <c r="T59" s="57"/>
      <c r="U59" s="57"/>
      <c r="V59" s="58">
        <f t="shared" si="0"/>
        <v>35628</v>
      </c>
      <c r="W59" s="57"/>
    </row>
    <row r="60" spans="1:23" x14ac:dyDescent="0.25">
      <c r="A60" s="48" t="s">
        <v>16</v>
      </c>
      <c r="B60" s="49">
        <v>8470450</v>
      </c>
      <c r="C60" s="50" t="s">
        <v>289</v>
      </c>
      <c r="D60" s="51">
        <v>432209</v>
      </c>
      <c r="E60" s="50" t="s">
        <v>124</v>
      </c>
      <c r="F60" s="50" t="s">
        <v>297</v>
      </c>
      <c r="G60" s="52">
        <v>34643</v>
      </c>
      <c r="H60" s="53"/>
      <c r="I60" s="67"/>
      <c r="J60" s="65"/>
      <c r="K60" s="56">
        <v>34643</v>
      </c>
      <c r="L60" s="55"/>
      <c r="M60" s="54"/>
      <c r="N60" s="57"/>
      <c r="O60" s="57"/>
      <c r="P60" s="57"/>
      <c r="Q60" s="57"/>
      <c r="R60" s="57"/>
      <c r="S60" s="57"/>
      <c r="T60" s="57"/>
      <c r="U60" s="57"/>
      <c r="V60" s="58">
        <f t="shared" si="0"/>
        <v>34643</v>
      </c>
      <c r="W60" s="57"/>
    </row>
    <row r="61" spans="1:23" x14ac:dyDescent="0.25">
      <c r="A61" s="48" t="s">
        <v>16</v>
      </c>
      <c r="B61" s="49">
        <v>8470450</v>
      </c>
      <c r="C61" s="50" t="s">
        <v>289</v>
      </c>
      <c r="D61" s="51">
        <v>435350</v>
      </c>
      <c r="E61" s="50" t="s">
        <v>98</v>
      </c>
      <c r="F61" s="50" t="s">
        <v>298</v>
      </c>
      <c r="G61" s="52">
        <v>20000</v>
      </c>
      <c r="H61" s="53"/>
      <c r="I61" s="67"/>
      <c r="J61" s="65"/>
      <c r="K61" s="56">
        <v>20000</v>
      </c>
      <c r="L61" s="55"/>
      <c r="M61" s="54"/>
      <c r="N61" s="57"/>
      <c r="O61" s="57"/>
      <c r="P61" s="57"/>
      <c r="Q61" s="57"/>
      <c r="R61" s="57"/>
      <c r="S61" s="57"/>
      <c r="T61" s="57"/>
      <c r="U61" s="57"/>
      <c r="V61" s="58">
        <f t="shared" si="0"/>
        <v>20000</v>
      </c>
      <c r="W61" s="57"/>
    </row>
    <row r="62" spans="1:23" x14ac:dyDescent="0.25">
      <c r="A62" s="48" t="s">
        <v>16</v>
      </c>
      <c r="B62" s="49">
        <v>8470455</v>
      </c>
      <c r="C62" s="50" t="s">
        <v>299</v>
      </c>
      <c r="D62" s="51">
        <v>425770</v>
      </c>
      <c r="E62" s="50" t="s">
        <v>119</v>
      </c>
      <c r="F62" s="50" t="s">
        <v>300</v>
      </c>
      <c r="G62" s="52">
        <v>74285</v>
      </c>
      <c r="H62" s="53"/>
      <c r="I62" s="67"/>
      <c r="J62" s="65"/>
      <c r="K62" s="56">
        <v>74285</v>
      </c>
      <c r="L62" s="55"/>
      <c r="M62" s="54"/>
      <c r="N62" s="57"/>
      <c r="O62" s="57"/>
      <c r="P62" s="57"/>
      <c r="Q62" s="57"/>
      <c r="R62" s="57"/>
      <c r="S62" s="57"/>
      <c r="T62" s="57"/>
      <c r="U62" s="57"/>
      <c r="V62" s="58">
        <f t="shared" si="0"/>
        <v>74285</v>
      </c>
      <c r="W62" s="57"/>
    </row>
    <row r="63" spans="1:23" x14ac:dyDescent="0.25">
      <c r="A63" s="48" t="s">
        <v>16</v>
      </c>
      <c r="B63" s="49">
        <v>8470455</v>
      </c>
      <c r="C63" s="50" t="s">
        <v>299</v>
      </c>
      <c r="D63" s="51">
        <v>425900</v>
      </c>
      <c r="E63" s="50" t="s">
        <v>24</v>
      </c>
      <c r="F63" s="50" t="s">
        <v>301</v>
      </c>
      <c r="G63" s="52">
        <v>5020</v>
      </c>
      <c r="H63" s="53"/>
      <c r="I63" s="67"/>
      <c r="J63" s="65"/>
      <c r="K63" s="56">
        <v>5020</v>
      </c>
      <c r="L63" s="55"/>
      <c r="M63" s="54"/>
      <c r="N63" s="57"/>
      <c r="O63" s="57"/>
      <c r="P63" s="57"/>
      <c r="Q63" s="57"/>
      <c r="R63" s="57"/>
      <c r="S63" s="57"/>
      <c r="T63" s="57"/>
      <c r="U63" s="57"/>
      <c r="V63" s="58">
        <f t="shared" si="0"/>
        <v>5020</v>
      </c>
      <c r="W63" s="57"/>
    </row>
    <row r="64" spans="1:23" x14ac:dyDescent="0.25">
      <c r="A64" s="48" t="s">
        <v>16</v>
      </c>
      <c r="B64" s="49">
        <v>8470455</v>
      </c>
      <c r="C64" s="50" t="s">
        <v>299</v>
      </c>
      <c r="D64" s="51">
        <v>426610</v>
      </c>
      <c r="E64" s="50" t="s">
        <v>39</v>
      </c>
      <c r="F64" s="50" t="s">
        <v>302</v>
      </c>
      <c r="G64" s="52">
        <v>30436</v>
      </c>
      <c r="H64" s="53"/>
      <c r="I64" s="67"/>
      <c r="J64" s="65"/>
      <c r="K64" s="56">
        <v>30436</v>
      </c>
      <c r="L64" s="55"/>
      <c r="M64" s="54"/>
      <c r="N64" s="57"/>
      <c r="O64" s="57"/>
      <c r="P64" s="57"/>
      <c r="Q64" s="57"/>
      <c r="R64" s="57"/>
      <c r="S64" s="57"/>
      <c r="T64" s="57"/>
      <c r="U64" s="57"/>
      <c r="V64" s="58">
        <f t="shared" si="0"/>
        <v>30436</v>
      </c>
      <c r="W64" s="57"/>
    </row>
    <row r="65" spans="1:23" x14ac:dyDescent="0.25">
      <c r="A65" s="48" t="s">
        <v>16</v>
      </c>
      <c r="B65" s="49">
        <v>8470455</v>
      </c>
      <c r="C65" s="50" t="s">
        <v>299</v>
      </c>
      <c r="D65" s="51">
        <v>432209</v>
      </c>
      <c r="E65" s="50" t="s">
        <v>124</v>
      </c>
      <c r="F65" s="50" t="s">
        <v>303</v>
      </c>
      <c r="G65" s="52">
        <v>291800</v>
      </c>
      <c r="H65" s="53"/>
      <c r="I65" s="67"/>
      <c r="J65" s="65"/>
      <c r="K65" s="56">
        <v>291800</v>
      </c>
      <c r="L65" s="55"/>
      <c r="M65" s="54"/>
      <c r="N65" s="57"/>
      <c r="O65" s="57"/>
      <c r="P65" s="57"/>
      <c r="Q65" s="57"/>
      <c r="R65" s="57"/>
      <c r="S65" s="57"/>
      <c r="T65" s="57"/>
      <c r="U65" s="57"/>
      <c r="V65" s="58">
        <f t="shared" si="0"/>
        <v>291800</v>
      </c>
      <c r="W65" s="57"/>
    </row>
    <row r="66" spans="1:23" x14ac:dyDescent="0.25">
      <c r="A66" s="48" t="s">
        <v>16</v>
      </c>
      <c r="B66" s="49">
        <v>8470455</v>
      </c>
      <c r="C66" s="50" t="s">
        <v>299</v>
      </c>
      <c r="D66" s="51">
        <v>435350</v>
      </c>
      <c r="E66" s="50" t="s">
        <v>98</v>
      </c>
      <c r="F66" s="50" t="s">
        <v>304</v>
      </c>
      <c r="G66" s="52">
        <v>40510</v>
      </c>
      <c r="H66" s="59">
        <v>6747.11</v>
      </c>
      <c r="I66" s="67"/>
      <c r="J66" s="65"/>
      <c r="K66" s="56">
        <v>33762.89</v>
      </c>
      <c r="L66" s="55"/>
      <c r="M66" s="54"/>
      <c r="N66" s="57"/>
      <c r="O66" s="57"/>
      <c r="P66" s="57"/>
      <c r="Q66" s="57"/>
      <c r="R66" s="57"/>
      <c r="S66" s="57"/>
      <c r="T66" s="57"/>
      <c r="U66" s="57"/>
      <c r="V66" s="58">
        <f t="shared" si="0"/>
        <v>33762.89</v>
      </c>
      <c r="W66" s="57"/>
    </row>
    <row r="67" spans="1:23" x14ac:dyDescent="0.25">
      <c r="A67" s="48" t="s">
        <v>16</v>
      </c>
      <c r="B67" s="49">
        <v>8470455</v>
      </c>
      <c r="C67" s="50" t="s">
        <v>299</v>
      </c>
      <c r="D67" s="51">
        <v>435508</v>
      </c>
      <c r="E67" s="50" t="s">
        <v>100</v>
      </c>
      <c r="F67" s="50" t="s">
        <v>305</v>
      </c>
      <c r="G67" s="52">
        <v>234440</v>
      </c>
      <c r="H67" s="59">
        <v>75643.399999999994</v>
      </c>
      <c r="I67" s="67">
        <v>-64818</v>
      </c>
      <c r="J67" s="65">
        <v>38600</v>
      </c>
      <c r="K67" s="56">
        <v>185014.6</v>
      </c>
      <c r="L67" s="55"/>
      <c r="M67" s="54"/>
      <c r="N67" s="57"/>
      <c r="O67" s="57"/>
      <c r="P67" s="57"/>
      <c r="Q67" s="57"/>
      <c r="R67" s="57"/>
      <c r="S67" s="57"/>
      <c r="T67" s="57"/>
      <c r="U67" s="57"/>
      <c r="V67" s="58">
        <f t="shared" si="0"/>
        <v>185014.6</v>
      </c>
      <c r="W67" s="57"/>
    </row>
    <row r="68" spans="1:23" x14ac:dyDescent="0.25">
      <c r="A68" s="48" t="s">
        <v>561</v>
      </c>
      <c r="B68" s="49">
        <v>8470405</v>
      </c>
      <c r="C68" s="50" t="s">
        <v>230</v>
      </c>
      <c r="D68" s="51">
        <v>492316</v>
      </c>
      <c r="E68" s="50" t="s">
        <v>124</v>
      </c>
      <c r="F68" s="50" t="s">
        <v>575</v>
      </c>
      <c r="G68" s="52">
        <v>2200000</v>
      </c>
      <c r="H68" s="53"/>
      <c r="I68" s="67"/>
      <c r="J68" s="65"/>
      <c r="K68" s="56">
        <v>2200000</v>
      </c>
      <c r="L68" s="55"/>
      <c r="M68" s="54"/>
      <c r="N68" s="57"/>
      <c r="O68" s="57"/>
      <c r="P68" s="57"/>
      <c r="Q68" s="57"/>
      <c r="R68" s="57"/>
      <c r="S68" s="57"/>
      <c r="T68" s="57"/>
      <c r="U68" s="57"/>
      <c r="V68" s="58">
        <f t="shared" ref="V68:V72" si="1">K68-(SUM(L68:T68))</f>
        <v>2200000</v>
      </c>
      <c r="W68" s="57"/>
    </row>
    <row r="69" spans="1:23" x14ac:dyDescent="0.25">
      <c r="A69" s="48" t="s">
        <v>561</v>
      </c>
      <c r="B69" s="49">
        <v>8470415</v>
      </c>
      <c r="C69" s="50" t="s">
        <v>246</v>
      </c>
      <c r="D69" s="51">
        <v>492316</v>
      </c>
      <c r="E69" s="50" t="s">
        <v>124</v>
      </c>
      <c r="F69" s="50" t="s">
        <v>576</v>
      </c>
      <c r="G69" s="52">
        <v>488654</v>
      </c>
      <c r="H69" s="59">
        <v>41859.1</v>
      </c>
      <c r="I69" s="67">
        <v>-41859.1</v>
      </c>
      <c r="J69" s="65">
        <v>349866</v>
      </c>
      <c r="K69" s="56">
        <v>138788</v>
      </c>
      <c r="L69" s="55"/>
      <c r="M69" s="54"/>
      <c r="N69" s="57"/>
      <c r="O69" s="57"/>
      <c r="P69" s="57"/>
      <c r="Q69" s="57"/>
      <c r="R69" s="57"/>
      <c r="S69" s="57"/>
      <c r="T69" s="57"/>
      <c r="U69" s="57"/>
      <c r="V69" s="58">
        <f t="shared" si="1"/>
        <v>138788</v>
      </c>
      <c r="W69" s="57"/>
    </row>
    <row r="70" spans="1:23" x14ac:dyDescent="0.25">
      <c r="A70" s="48" t="s">
        <v>561</v>
      </c>
      <c r="B70" s="49">
        <v>8470425</v>
      </c>
      <c r="C70" s="50" t="s">
        <v>254</v>
      </c>
      <c r="D70" s="51">
        <v>492316</v>
      </c>
      <c r="E70" s="50" t="s">
        <v>124</v>
      </c>
      <c r="F70" s="50" t="s">
        <v>577</v>
      </c>
      <c r="G70" s="52">
        <v>224882</v>
      </c>
      <c r="H70" s="59">
        <v>131146.73000000001</v>
      </c>
      <c r="I70" s="67">
        <v>-143081.73000000001</v>
      </c>
      <c r="J70" s="65">
        <v>7.2759576141834308E-12</v>
      </c>
      <c r="K70" s="56">
        <v>236817</v>
      </c>
      <c r="L70" s="55"/>
      <c r="M70" s="54"/>
      <c r="N70" s="57"/>
      <c r="O70" s="57"/>
      <c r="P70" s="57"/>
      <c r="Q70" s="57"/>
      <c r="R70" s="57"/>
      <c r="S70" s="57"/>
      <c r="T70" s="57"/>
      <c r="U70" s="57"/>
      <c r="V70" s="58">
        <f t="shared" si="1"/>
        <v>236817</v>
      </c>
      <c r="W70" s="57"/>
    </row>
    <row r="71" spans="1:23" x14ac:dyDescent="0.25">
      <c r="A71" s="48" t="s">
        <v>561</v>
      </c>
      <c r="B71" s="49">
        <v>8470450</v>
      </c>
      <c r="C71" s="50" t="s">
        <v>289</v>
      </c>
      <c r="D71" s="51">
        <v>492316</v>
      </c>
      <c r="E71" s="50" t="s">
        <v>124</v>
      </c>
      <c r="F71" s="50" t="s">
        <v>578</v>
      </c>
      <c r="G71" s="52">
        <v>25100</v>
      </c>
      <c r="H71" s="59">
        <v>47150</v>
      </c>
      <c r="I71" s="67">
        <v>-22050</v>
      </c>
      <c r="J71" s="65">
        <v>0</v>
      </c>
      <c r="K71" s="56">
        <v>0</v>
      </c>
      <c r="L71" s="55"/>
      <c r="M71" s="54"/>
      <c r="N71" s="57"/>
      <c r="O71" s="57"/>
      <c r="P71" s="57"/>
      <c r="Q71" s="57"/>
      <c r="R71" s="57"/>
      <c r="S71" s="57"/>
      <c r="T71" s="57"/>
      <c r="U71" s="57"/>
      <c r="V71" s="58">
        <f t="shared" si="1"/>
        <v>0</v>
      </c>
      <c r="W71" s="57"/>
    </row>
    <row r="72" spans="1:23" x14ac:dyDescent="0.25">
      <c r="A72" s="48" t="s">
        <v>561</v>
      </c>
      <c r="B72" s="49">
        <v>8470455</v>
      </c>
      <c r="C72" s="50" t="s">
        <v>299</v>
      </c>
      <c r="D72" s="51">
        <v>492316</v>
      </c>
      <c r="E72" s="50" t="s">
        <v>124</v>
      </c>
      <c r="F72" s="50" t="s">
        <v>579</v>
      </c>
      <c r="G72" s="52">
        <v>12968</v>
      </c>
      <c r="H72" s="59">
        <v>2808.8</v>
      </c>
      <c r="I72" s="67"/>
      <c r="J72" s="65"/>
      <c r="K72" s="56">
        <v>10159.200000000001</v>
      </c>
      <c r="L72" s="55"/>
      <c r="M72" s="54"/>
      <c r="N72" s="57"/>
      <c r="O72" s="57"/>
      <c r="P72" s="57"/>
      <c r="Q72" s="57"/>
      <c r="R72" s="57"/>
      <c r="S72" s="57"/>
      <c r="T72" s="57"/>
      <c r="U72" s="57"/>
      <c r="V72" s="58">
        <f t="shared" si="1"/>
        <v>10159.200000000001</v>
      </c>
      <c r="W72" s="57"/>
    </row>
    <row r="73" spans="1:23" x14ac:dyDescent="0.25">
      <c r="G73" s="71"/>
    </row>
  </sheetData>
  <conditionalFormatting sqref="A3 A4:U72 W4:W72">
    <cfRule type="expression" dxfId="9" priority="3" stopIfTrue="1">
      <formula>MOD(ROW(),2)=0</formula>
    </cfRule>
  </conditionalFormatting>
  <conditionalFormatting sqref="V4:V72">
    <cfRule type="expression" dxfId="8" priority="1" stopIfTrue="1">
      <formula>MOD(ROW(),2)=0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5"/>
  <sheetViews>
    <sheetView topLeftCell="A46" workbookViewId="0">
      <selection activeCell="G4" sqref="G4:G64"/>
    </sheetView>
  </sheetViews>
  <sheetFormatPr defaultRowHeight="15" x14ac:dyDescent="0.25"/>
  <cols>
    <col min="1" max="1" width="21.5703125" customWidth="1"/>
    <col min="2" max="2" width="16.42578125" bestFit="1" customWidth="1"/>
    <col min="3" max="3" width="21.42578125" customWidth="1"/>
    <col min="4" max="4" width="13.28515625" bestFit="1" customWidth="1"/>
    <col min="5" max="5" width="30.28515625" customWidth="1"/>
    <col min="6" max="6" width="39.5703125" bestFit="1" customWidth="1"/>
    <col min="7" max="7" width="12.42578125" bestFit="1" customWidth="1"/>
    <col min="8" max="8" width="14.42578125" bestFit="1" customWidth="1"/>
    <col min="9" max="9" width="10" bestFit="1" customWidth="1"/>
    <col min="10" max="10" width="11.140625" bestFit="1" customWidth="1"/>
    <col min="11" max="11" width="14.425781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629</v>
      </c>
      <c r="B4" s="49">
        <v>8471260</v>
      </c>
      <c r="C4" s="50" t="s">
        <v>500</v>
      </c>
      <c r="D4" s="51">
        <v>413310</v>
      </c>
      <c r="E4" s="50" t="s">
        <v>630</v>
      </c>
      <c r="F4" s="50" t="s">
        <v>637</v>
      </c>
      <c r="G4" s="65">
        <v>1491908</v>
      </c>
      <c r="H4" s="66">
        <v>355354.55</v>
      </c>
      <c r="I4" s="67"/>
      <c r="J4" s="65">
        <v>176985</v>
      </c>
      <c r="K4" s="67">
        <v>959568.45</v>
      </c>
      <c r="L4" s="55"/>
      <c r="M4" s="54"/>
      <c r="N4" s="57"/>
      <c r="O4" s="57"/>
      <c r="P4" s="57"/>
      <c r="Q4" s="57"/>
      <c r="R4" s="57"/>
      <c r="S4" s="57"/>
      <c r="T4" s="57"/>
      <c r="U4" s="57"/>
      <c r="V4" s="58">
        <f t="shared" ref="V4:V64" si="0">K4-(SUM(L4:T4))</f>
        <v>959568.45</v>
      </c>
      <c r="W4" s="57"/>
    </row>
    <row r="5" spans="1:23" x14ac:dyDescent="0.25">
      <c r="A5" s="48" t="s">
        <v>16</v>
      </c>
      <c r="B5" s="49">
        <v>8470230</v>
      </c>
      <c r="C5" s="50" t="s">
        <v>102</v>
      </c>
      <c r="D5" s="51">
        <v>420550</v>
      </c>
      <c r="E5" s="50" t="s">
        <v>18</v>
      </c>
      <c r="F5" s="50" t="s">
        <v>103</v>
      </c>
      <c r="G5" s="52">
        <v>93666</v>
      </c>
      <c r="H5" s="59">
        <v>59022.98</v>
      </c>
      <c r="I5" s="67"/>
      <c r="J5" s="65"/>
      <c r="K5" s="56">
        <v>34643.019999999997</v>
      </c>
      <c r="L5" s="55"/>
      <c r="M5" s="54"/>
      <c r="N5" s="57"/>
      <c r="O5" s="57"/>
      <c r="P5" s="57"/>
      <c r="Q5" s="57"/>
      <c r="R5" s="57"/>
      <c r="S5" s="57"/>
      <c r="T5" s="57"/>
      <c r="U5" s="57"/>
      <c r="V5" s="58">
        <f t="shared" si="0"/>
        <v>34643.019999999997</v>
      </c>
      <c r="W5" s="57"/>
    </row>
    <row r="6" spans="1:23" x14ac:dyDescent="0.25">
      <c r="A6" s="48" t="s">
        <v>16</v>
      </c>
      <c r="B6" s="49">
        <v>8470230</v>
      </c>
      <c r="C6" s="50" t="s">
        <v>102</v>
      </c>
      <c r="D6" s="51">
        <v>425510</v>
      </c>
      <c r="E6" s="50" t="s">
        <v>20</v>
      </c>
      <c r="F6" s="50" t="s">
        <v>104</v>
      </c>
      <c r="G6" s="52">
        <v>9463</v>
      </c>
      <c r="H6" s="59">
        <v>4980</v>
      </c>
      <c r="I6" s="67"/>
      <c r="J6" s="65"/>
      <c r="K6" s="56">
        <v>4483</v>
      </c>
      <c r="L6" s="55"/>
      <c r="M6" s="54"/>
      <c r="N6" s="57"/>
      <c r="O6" s="57"/>
      <c r="P6" s="57"/>
      <c r="Q6" s="57"/>
      <c r="R6" s="57"/>
      <c r="S6" s="57"/>
      <c r="T6" s="57"/>
      <c r="U6" s="57"/>
      <c r="V6" s="58">
        <f t="shared" si="0"/>
        <v>4483</v>
      </c>
      <c r="W6" s="57"/>
    </row>
    <row r="7" spans="1:23" x14ac:dyDescent="0.25">
      <c r="A7" s="48" t="s">
        <v>16</v>
      </c>
      <c r="B7" s="49">
        <v>8470230</v>
      </c>
      <c r="C7" s="50" t="s">
        <v>102</v>
      </c>
      <c r="D7" s="51">
        <v>425550</v>
      </c>
      <c r="E7" s="50" t="s">
        <v>22</v>
      </c>
      <c r="F7" s="50" t="s">
        <v>105</v>
      </c>
      <c r="G7" s="52">
        <v>133200</v>
      </c>
      <c r="H7" s="59">
        <v>37712.85</v>
      </c>
      <c r="I7" s="67"/>
      <c r="J7" s="65"/>
      <c r="K7" s="56">
        <v>95487.15</v>
      </c>
      <c r="L7" s="55"/>
      <c r="M7" s="54"/>
      <c r="N7" s="57"/>
      <c r="O7" s="57"/>
      <c r="P7" s="57"/>
      <c r="Q7" s="57"/>
      <c r="R7" s="57"/>
      <c r="S7" s="57"/>
      <c r="T7" s="57"/>
      <c r="U7" s="57"/>
      <c r="V7" s="58">
        <f t="shared" si="0"/>
        <v>95487.15</v>
      </c>
      <c r="W7" s="57"/>
    </row>
    <row r="8" spans="1:23" x14ac:dyDescent="0.25">
      <c r="A8" s="48" t="s">
        <v>16</v>
      </c>
      <c r="B8" s="49">
        <v>8470230</v>
      </c>
      <c r="C8" s="50" t="s">
        <v>102</v>
      </c>
      <c r="D8" s="51">
        <v>425744</v>
      </c>
      <c r="E8" s="50" t="s">
        <v>106</v>
      </c>
      <c r="F8" s="50" t="s">
        <v>107</v>
      </c>
      <c r="G8" s="52">
        <v>3512600</v>
      </c>
      <c r="H8" s="59">
        <v>-100</v>
      </c>
      <c r="I8" s="67"/>
      <c r="J8" s="65"/>
      <c r="K8" s="56">
        <v>3512700</v>
      </c>
      <c r="L8" s="55"/>
      <c r="M8" s="54"/>
      <c r="N8" s="57"/>
      <c r="O8" s="57"/>
      <c r="P8" s="57"/>
      <c r="Q8" s="57"/>
      <c r="R8" s="57"/>
      <c r="S8" s="57"/>
      <c r="T8" s="57"/>
      <c r="U8" s="57"/>
      <c r="V8" s="58">
        <f t="shared" si="0"/>
        <v>3512700</v>
      </c>
      <c r="W8" s="57"/>
    </row>
    <row r="9" spans="1:23" x14ac:dyDescent="0.25">
      <c r="A9" s="48" t="s">
        <v>16</v>
      </c>
      <c r="B9" s="49">
        <v>8470230</v>
      </c>
      <c r="C9" s="50" t="s">
        <v>102</v>
      </c>
      <c r="D9" s="51">
        <v>425745</v>
      </c>
      <c r="E9" s="50" t="s">
        <v>108</v>
      </c>
      <c r="F9" s="50" t="s">
        <v>109</v>
      </c>
      <c r="G9" s="52">
        <v>1183248</v>
      </c>
      <c r="H9" s="59">
        <v>160141.4</v>
      </c>
      <c r="I9" s="67"/>
      <c r="J9" s="65"/>
      <c r="K9" s="56">
        <v>1023106.6</v>
      </c>
      <c r="L9" s="55"/>
      <c r="M9" s="54"/>
      <c r="N9" s="57"/>
      <c r="O9" s="57"/>
      <c r="P9" s="57"/>
      <c r="Q9" s="57"/>
      <c r="R9" s="57"/>
      <c r="S9" s="57"/>
      <c r="T9" s="57"/>
      <c r="U9" s="57"/>
      <c r="V9" s="58">
        <f t="shared" si="0"/>
        <v>1023106.6</v>
      </c>
      <c r="W9" s="57"/>
    </row>
    <row r="10" spans="1:23" x14ac:dyDescent="0.25">
      <c r="A10" s="48" t="s">
        <v>16</v>
      </c>
      <c r="B10" s="49">
        <v>8470230</v>
      </c>
      <c r="C10" s="50" t="s">
        <v>102</v>
      </c>
      <c r="D10" s="51">
        <v>425749</v>
      </c>
      <c r="E10" s="50" t="s">
        <v>82</v>
      </c>
      <c r="F10" s="50" t="s">
        <v>110</v>
      </c>
      <c r="G10" s="52">
        <v>159750000</v>
      </c>
      <c r="H10" s="59">
        <v>34938992.899999999</v>
      </c>
      <c r="I10" s="67"/>
      <c r="J10" s="65"/>
      <c r="K10" s="56">
        <v>124811007.09999999</v>
      </c>
      <c r="L10" s="55"/>
      <c r="M10" s="54"/>
      <c r="N10" s="57"/>
      <c r="O10" s="57"/>
      <c r="P10" s="57"/>
      <c r="Q10" s="57"/>
      <c r="R10" s="57"/>
      <c r="S10" s="57"/>
      <c r="T10" s="57"/>
      <c r="U10" s="57"/>
      <c r="V10" s="58">
        <f t="shared" si="0"/>
        <v>124811007.09999999</v>
      </c>
      <c r="W10" s="57"/>
    </row>
    <row r="11" spans="1:23" x14ac:dyDescent="0.25">
      <c r="A11" s="48" t="s">
        <v>16</v>
      </c>
      <c r="B11" s="49">
        <v>8470230</v>
      </c>
      <c r="C11" s="50" t="s">
        <v>102</v>
      </c>
      <c r="D11" s="51">
        <v>425762</v>
      </c>
      <c r="E11" s="50" t="s">
        <v>111</v>
      </c>
      <c r="F11" s="50" t="s">
        <v>112</v>
      </c>
      <c r="G11" s="52">
        <v>197200</v>
      </c>
      <c r="H11" s="59">
        <v>28580</v>
      </c>
      <c r="I11" s="67"/>
      <c r="J11" s="65"/>
      <c r="K11" s="56">
        <v>168620</v>
      </c>
      <c r="L11" s="55"/>
      <c r="M11" s="54"/>
      <c r="N11" s="57"/>
      <c r="O11" s="57"/>
      <c r="P11" s="57"/>
      <c r="Q11" s="57"/>
      <c r="R11" s="57"/>
      <c r="S11" s="57"/>
      <c r="T11" s="57"/>
      <c r="U11" s="57"/>
      <c r="V11" s="58">
        <f t="shared" si="0"/>
        <v>168620</v>
      </c>
      <c r="W11" s="57"/>
    </row>
    <row r="12" spans="1:23" x14ac:dyDescent="0.25">
      <c r="A12" s="48" t="s">
        <v>16</v>
      </c>
      <c r="B12" s="49">
        <v>8470230</v>
      </c>
      <c r="C12" s="50" t="s">
        <v>102</v>
      </c>
      <c r="D12" s="51">
        <v>425900</v>
      </c>
      <c r="E12" s="50" t="s">
        <v>24</v>
      </c>
      <c r="F12" s="50" t="s">
        <v>113</v>
      </c>
      <c r="G12" s="52">
        <v>20000</v>
      </c>
      <c r="H12" s="53"/>
      <c r="I12" s="67"/>
      <c r="J12" s="65"/>
      <c r="K12" s="56">
        <v>20000</v>
      </c>
      <c r="L12" s="55"/>
      <c r="M12" s="54"/>
      <c r="N12" s="57"/>
      <c r="O12" s="57"/>
      <c r="P12" s="57"/>
      <c r="Q12" s="57"/>
      <c r="R12" s="57"/>
      <c r="S12" s="57"/>
      <c r="T12" s="57"/>
      <c r="U12" s="57"/>
      <c r="V12" s="58">
        <f t="shared" si="0"/>
        <v>20000</v>
      </c>
      <c r="W12" s="57"/>
    </row>
    <row r="13" spans="1:23" x14ac:dyDescent="0.25">
      <c r="A13" s="48" t="s">
        <v>16</v>
      </c>
      <c r="B13" s="49">
        <v>8471210</v>
      </c>
      <c r="C13" s="50" t="s">
        <v>464</v>
      </c>
      <c r="D13" s="51">
        <v>425900</v>
      </c>
      <c r="E13" s="50" t="s">
        <v>24</v>
      </c>
      <c r="F13" s="50" t="s">
        <v>465</v>
      </c>
      <c r="G13" s="52">
        <v>30000</v>
      </c>
      <c r="H13" s="59">
        <v>525</v>
      </c>
      <c r="I13" s="67"/>
      <c r="J13" s="65"/>
      <c r="K13" s="56">
        <v>29475</v>
      </c>
      <c r="L13" s="55"/>
      <c r="M13" s="54"/>
      <c r="N13" s="57"/>
      <c r="O13" s="57"/>
      <c r="P13" s="57"/>
      <c r="Q13" s="57"/>
      <c r="R13" s="57"/>
      <c r="S13" s="57"/>
      <c r="T13" s="57"/>
      <c r="U13" s="57"/>
      <c r="V13" s="58">
        <f t="shared" si="0"/>
        <v>29475</v>
      </c>
      <c r="W13" s="57"/>
    </row>
    <row r="14" spans="1:23" x14ac:dyDescent="0.25">
      <c r="A14" s="48" t="s">
        <v>16</v>
      </c>
      <c r="B14" s="49">
        <v>8471210</v>
      </c>
      <c r="C14" s="50" t="s">
        <v>464</v>
      </c>
      <c r="D14" s="51">
        <v>428090</v>
      </c>
      <c r="E14" s="50" t="s">
        <v>26</v>
      </c>
      <c r="F14" s="50" t="s">
        <v>466</v>
      </c>
      <c r="G14" s="52">
        <v>200000</v>
      </c>
      <c r="H14" s="59">
        <v>1650</v>
      </c>
      <c r="I14" s="67"/>
      <c r="J14" s="65"/>
      <c r="K14" s="56">
        <v>198350</v>
      </c>
      <c r="L14" s="55"/>
      <c r="M14" s="54"/>
      <c r="N14" s="57"/>
      <c r="O14" s="57"/>
      <c r="P14" s="57"/>
      <c r="Q14" s="57"/>
      <c r="R14" s="57"/>
      <c r="S14" s="57"/>
      <c r="T14" s="57"/>
      <c r="U14" s="57"/>
      <c r="V14" s="58">
        <f t="shared" si="0"/>
        <v>198350</v>
      </c>
      <c r="W14" s="57"/>
    </row>
    <row r="15" spans="1:23" x14ac:dyDescent="0.25">
      <c r="A15" s="48" t="s">
        <v>16</v>
      </c>
      <c r="B15" s="49">
        <v>8471220</v>
      </c>
      <c r="C15" s="50" t="s">
        <v>467</v>
      </c>
      <c r="D15" s="51">
        <v>425510</v>
      </c>
      <c r="E15" s="50" t="s">
        <v>20</v>
      </c>
      <c r="F15" s="50" t="s">
        <v>468</v>
      </c>
      <c r="G15" s="52">
        <v>1820</v>
      </c>
      <c r="H15" s="53"/>
      <c r="I15" s="67"/>
      <c r="J15" s="65"/>
      <c r="K15" s="56">
        <v>1820</v>
      </c>
      <c r="L15" s="55"/>
      <c r="M15" s="54"/>
      <c r="N15" s="57"/>
      <c r="O15" s="57"/>
      <c r="P15" s="57"/>
      <c r="Q15" s="57"/>
      <c r="R15" s="57"/>
      <c r="S15" s="57"/>
      <c r="T15" s="57"/>
      <c r="U15" s="57"/>
      <c r="V15" s="58">
        <f t="shared" si="0"/>
        <v>1820</v>
      </c>
      <c r="W15" s="57"/>
    </row>
    <row r="16" spans="1:23" x14ac:dyDescent="0.25">
      <c r="A16" s="48" t="s">
        <v>16</v>
      </c>
      <c r="B16" s="49">
        <v>8471220</v>
      </c>
      <c r="C16" s="50" t="s">
        <v>467</v>
      </c>
      <c r="D16" s="51">
        <v>425741</v>
      </c>
      <c r="E16" s="50" t="s">
        <v>469</v>
      </c>
      <c r="F16" s="50" t="s">
        <v>470</v>
      </c>
      <c r="G16" s="52">
        <v>89952604</v>
      </c>
      <c r="H16" s="59">
        <v>25849282</v>
      </c>
      <c r="I16" s="67"/>
      <c r="J16" s="65"/>
      <c r="K16" s="56">
        <v>64103322</v>
      </c>
      <c r="L16" s="55"/>
      <c r="M16" s="54"/>
      <c r="N16" s="57"/>
      <c r="O16" s="57"/>
      <c r="P16" s="57"/>
      <c r="Q16" s="57"/>
      <c r="R16" s="57"/>
      <c r="S16" s="57"/>
      <c r="T16" s="57"/>
      <c r="U16" s="57"/>
      <c r="V16" s="58">
        <f t="shared" si="0"/>
        <v>64103322</v>
      </c>
      <c r="W16" s="57"/>
    </row>
    <row r="17" spans="1:23" x14ac:dyDescent="0.25">
      <c r="A17" s="48" t="s">
        <v>16</v>
      </c>
      <c r="B17" s="49">
        <v>8471220</v>
      </c>
      <c r="C17" s="50" t="s">
        <v>467</v>
      </c>
      <c r="D17" s="51">
        <v>425745</v>
      </c>
      <c r="E17" s="50" t="s">
        <v>108</v>
      </c>
      <c r="F17" s="50" t="s">
        <v>471</v>
      </c>
      <c r="G17" s="55"/>
      <c r="H17" s="59">
        <v>-14210.95</v>
      </c>
      <c r="I17" s="67"/>
      <c r="J17" s="65"/>
      <c r="K17" s="56">
        <v>14210.95</v>
      </c>
      <c r="L17" s="55"/>
      <c r="M17" s="54"/>
      <c r="N17" s="57"/>
      <c r="O17" s="57"/>
      <c r="P17" s="57"/>
      <c r="Q17" s="57"/>
      <c r="R17" s="57"/>
      <c r="S17" s="57"/>
      <c r="T17" s="57"/>
      <c r="U17" s="57"/>
      <c r="V17" s="58">
        <f t="shared" si="0"/>
        <v>14210.95</v>
      </c>
      <c r="W17" s="57"/>
    </row>
    <row r="18" spans="1:23" x14ac:dyDescent="0.25">
      <c r="A18" s="48" t="s">
        <v>16</v>
      </c>
      <c r="B18" s="49">
        <v>8471220</v>
      </c>
      <c r="C18" s="50" t="s">
        <v>467</v>
      </c>
      <c r="D18" s="51">
        <v>435340</v>
      </c>
      <c r="E18" s="50" t="s">
        <v>472</v>
      </c>
      <c r="F18" s="50" t="s">
        <v>473</v>
      </c>
      <c r="G18" s="52">
        <v>10982706</v>
      </c>
      <c r="H18" s="59">
        <v>0</v>
      </c>
      <c r="I18" s="67">
        <v>0</v>
      </c>
      <c r="J18" s="65">
        <v>5442872.8099999996</v>
      </c>
      <c r="K18" s="56">
        <v>5539833.1900000004</v>
      </c>
      <c r="L18" s="55"/>
      <c r="M18" s="54"/>
      <c r="N18" s="57"/>
      <c r="O18" s="57"/>
      <c r="P18" s="57"/>
      <c r="Q18" s="57"/>
      <c r="R18" s="57"/>
      <c r="S18" s="57"/>
      <c r="T18" s="57"/>
      <c r="U18" s="57"/>
      <c r="V18" s="58">
        <f t="shared" si="0"/>
        <v>5539833.1900000004</v>
      </c>
      <c r="W18" s="57"/>
    </row>
    <row r="19" spans="1:23" x14ac:dyDescent="0.25">
      <c r="A19" s="48" t="s">
        <v>16</v>
      </c>
      <c r="B19" s="49">
        <v>8471220</v>
      </c>
      <c r="C19" s="50" t="s">
        <v>467</v>
      </c>
      <c r="D19" s="51">
        <v>436110</v>
      </c>
      <c r="E19" s="50" t="s">
        <v>158</v>
      </c>
      <c r="F19" s="50" t="s">
        <v>474</v>
      </c>
      <c r="G19" s="52">
        <v>131300</v>
      </c>
      <c r="H19" s="53"/>
      <c r="I19" s="67"/>
      <c r="J19" s="65"/>
      <c r="K19" s="56">
        <v>131300</v>
      </c>
      <c r="L19" s="55"/>
      <c r="M19" s="54"/>
      <c r="N19" s="57"/>
      <c r="O19" s="57"/>
      <c r="P19" s="57"/>
      <c r="Q19" s="57"/>
      <c r="R19" s="57"/>
      <c r="S19" s="57"/>
      <c r="T19" s="57"/>
      <c r="U19" s="57"/>
      <c r="V19" s="58">
        <f t="shared" si="0"/>
        <v>131300</v>
      </c>
      <c r="W19" s="57"/>
    </row>
    <row r="20" spans="1:23" x14ac:dyDescent="0.25">
      <c r="A20" s="48" t="s">
        <v>16</v>
      </c>
      <c r="B20" s="49">
        <v>8471230</v>
      </c>
      <c r="C20" s="50" t="s">
        <v>475</v>
      </c>
      <c r="D20" s="51">
        <v>425742</v>
      </c>
      <c r="E20" s="50" t="s">
        <v>476</v>
      </c>
      <c r="F20" s="50" t="s">
        <v>477</v>
      </c>
      <c r="G20" s="52">
        <v>1286117</v>
      </c>
      <c r="H20" s="59">
        <v>165671.23000000001</v>
      </c>
      <c r="I20" s="67">
        <v>-48572.43</v>
      </c>
      <c r="J20" s="65">
        <v>159251.43</v>
      </c>
      <c r="K20" s="56">
        <v>1009766.77</v>
      </c>
      <c r="L20" s="55"/>
      <c r="M20" s="54"/>
      <c r="N20" s="57"/>
      <c r="O20" s="57"/>
      <c r="P20" s="57"/>
      <c r="Q20" s="57"/>
      <c r="R20" s="57"/>
      <c r="S20" s="57"/>
      <c r="T20" s="57"/>
      <c r="U20" s="57"/>
      <c r="V20" s="58">
        <f t="shared" si="0"/>
        <v>1009766.77</v>
      </c>
      <c r="W20" s="57"/>
    </row>
    <row r="21" spans="1:23" x14ac:dyDescent="0.25">
      <c r="A21" s="48" t="s">
        <v>16</v>
      </c>
      <c r="B21" s="49">
        <v>8471230</v>
      </c>
      <c r="C21" s="50" t="s">
        <v>475</v>
      </c>
      <c r="D21" s="51">
        <v>426610</v>
      </c>
      <c r="E21" s="50" t="s">
        <v>39</v>
      </c>
      <c r="F21" s="50" t="s">
        <v>478</v>
      </c>
      <c r="G21" s="52">
        <v>14480</v>
      </c>
      <c r="H21" s="53"/>
      <c r="I21" s="67"/>
      <c r="J21" s="65"/>
      <c r="K21" s="56">
        <v>14480</v>
      </c>
      <c r="L21" s="55"/>
      <c r="M21" s="54"/>
      <c r="N21" s="57"/>
      <c r="O21" s="57"/>
      <c r="P21" s="57"/>
      <c r="Q21" s="57"/>
      <c r="R21" s="57"/>
      <c r="S21" s="57"/>
      <c r="T21" s="57"/>
      <c r="U21" s="57"/>
      <c r="V21" s="58">
        <f t="shared" si="0"/>
        <v>14480</v>
      </c>
      <c r="W21" s="57"/>
    </row>
    <row r="22" spans="1:23" x14ac:dyDescent="0.25">
      <c r="A22" s="48" t="s">
        <v>16</v>
      </c>
      <c r="B22" s="49">
        <v>8471240</v>
      </c>
      <c r="C22" s="50" t="s">
        <v>479</v>
      </c>
      <c r="D22" s="51">
        <v>425510</v>
      </c>
      <c r="E22" s="50" t="s">
        <v>20</v>
      </c>
      <c r="F22" s="50" t="s">
        <v>480</v>
      </c>
      <c r="G22" s="52">
        <v>72587</v>
      </c>
      <c r="H22" s="59">
        <v>8756.25</v>
      </c>
      <c r="I22" s="67">
        <v>0</v>
      </c>
      <c r="J22" s="65">
        <v>44020</v>
      </c>
      <c r="K22" s="56">
        <v>19810.75</v>
      </c>
      <c r="L22" s="55"/>
      <c r="M22" s="54"/>
      <c r="N22" s="57"/>
      <c r="O22" s="57"/>
      <c r="P22" s="57"/>
      <c r="Q22" s="57"/>
      <c r="R22" s="57"/>
      <c r="S22" s="57"/>
      <c r="T22" s="57"/>
      <c r="U22" s="57"/>
      <c r="V22" s="58">
        <f t="shared" si="0"/>
        <v>19810.75</v>
      </c>
      <c r="W22" s="57"/>
    </row>
    <row r="23" spans="1:23" x14ac:dyDescent="0.25">
      <c r="A23" s="48" t="s">
        <v>16</v>
      </c>
      <c r="B23" s="49">
        <v>8471240</v>
      </c>
      <c r="C23" s="50" t="s">
        <v>479</v>
      </c>
      <c r="D23" s="51">
        <v>425720</v>
      </c>
      <c r="E23" s="50" t="s">
        <v>185</v>
      </c>
      <c r="F23" s="50" t="s">
        <v>481</v>
      </c>
      <c r="G23" s="52">
        <v>59520</v>
      </c>
      <c r="H23" s="53"/>
      <c r="I23" s="67"/>
      <c r="J23" s="65"/>
      <c r="K23" s="56">
        <v>59520</v>
      </c>
      <c r="L23" s="55"/>
      <c r="M23" s="54"/>
      <c r="N23" s="57"/>
      <c r="O23" s="57"/>
      <c r="P23" s="57"/>
      <c r="Q23" s="57"/>
      <c r="R23" s="57"/>
      <c r="S23" s="57"/>
      <c r="T23" s="57"/>
      <c r="U23" s="57"/>
      <c r="V23" s="58">
        <f t="shared" si="0"/>
        <v>59520</v>
      </c>
      <c r="W23" s="57"/>
    </row>
    <row r="24" spans="1:23" x14ac:dyDescent="0.25">
      <c r="A24" s="48" t="s">
        <v>16</v>
      </c>
      <c r="B24" s="49">
        <v>8471240</v>
      </c>
      <c r="C24" s="50" t="s">
        <v>479</v>
      </c>
      <c r="D24" s="51">
        <v>425761</v>
      </c>
      <c r="E24" s="50" t="s">
        <v>212</v>
      </c>
      <c r="F24" s="50" t="s">
        <v>482</v>
      </c>
      <c r="G24" s="52">
        <v>700000</v>
      </c>
      <c r="H24" s="53"/>
      <c r="I24" s="67"/>
      <c r="J24" s="65"/>
      <c r="K24" s="56">
        <v>700000</v>
      </c>
      <c r="L24" s="55"/>
      <c r="M24" s="54"/>
      <c r="N24" s="57"/>
      <c r="O24" s="57"/>
      <c r="P24" s="57"/>
      <c r="Q24" s="57"/>
      <c r="R24" s="57"/>
      <c r="S24" s="57"/>
      <c r="T24" s="57"/>
      <c r="U24" s="57"/>
      <c r="V24" s="58">
        <f t="shared" si="0"/>
        <v>700000</v>
      </c>
      <c r="W24" s="57"/>
    </row>
    <row r="25" spans="1:23" x14ac:dyDescent="0.25">
      <c r="A25" s="48" t="s">
        <v>16</v>
      </c>
      <c r="B25" s="49">
        <v>8471240</v>
      </c>
      <c r="C25" s="50" t="s">
        <v>479</v>
      </c>
      <c r="D25" s="51">
        <v>425761</v>
      </c>
      <c r="E25" s="50" t="s">
        <v>212</v>
      </c>
      <c r="F25" s="50" t="s">
        <v>483</v>
      </c>
      <c r="G25" s="52">
        <v>610000</v>
      </c>
      <c r="H25" s="59">
        <v>13930</v>
      </c>
      <c r="I25" s="67"/>
      <c r="J25" s="65"/>
      <c r="K25" s="56">
        <v>596070</v>
      </c>
      <c r="L25" s="55"/>
      <c r="M25" s="54"/>
      <c r="N25" s="57"/>
      <c r="O25" s="57"/>
      <c r="P25" s="57"/>
      <c r="Q25" s="57"/>
      <c r="R25" s="57"/>
      <c r="S25" s="57"/>
      <c r="T25" s="57"/>
      <c r="U25" s="57"/>
      <c r="V25" s="58">
        <f t="shared" si="0"/>
        <v>596070</v>
      </c>
      <c r="W25" s="57"/>
    </row>
    <row r="26" spans="1:23" x14ac:dyDescent="0.25">
      <c r="A26" s="48" t="s">
        <v>16</v>
      </c>
      <c r="B26" s="49">
        <v>8471240</v>
      </c>
      <c r="C26" s="50" t="s">
        <v>479</v>
      </c>
      <c r="D26" s="51">
        <v>425762</v>
      </c>
      <c r="E26" s="50" t="s">
        <v>111</v>
      </c>
      <c r="F26" s="50" t="s">
        <v>484</v>
      </c>
      <c r="G26" s="52">
        <v>567351</v>
      </c>
      <c r="H26" s="59">
        <v>41019</v>
      </c>
      <c r="I26" s="67"/>
      <c r="J26" s="65"/>
      <c r="K26" s="56">
        <v>526332</v>
      </c>
      <c r="L26" s="55"/>
      <c r="M26" s="54"/>
      <c r="N26" s="57"/>
      <c r="O26" s="57"/>
      <c r="P26" s="57"/>
      <c r="Q26" s="57"/>
      <c r="R26" s="57"/>
      <c r="S26" s="57"/>
      <c r="T26" s="57"/>
      <c r="U26" s="57"/>
      <c r="V26" s="58">
        <f t="shared" si="0"/>
        <v>526332</v>
      </c>
      <c r="W26" s="57"/>
    </row>
    <row r="27" spans="1:23" x14ac:dyDescent="0.25">
      <c r="A27" s="48" t="s">
        <v>16</v>
      </c>
      <c r="B27" s="49">
        <v>8471240</v>
      </c>
      <c r="C27" s="50" t="s">
        <v>479</v>
      </c>
      <c r="D27" s="51">
        <v>425900</v>
      </c>
      <c r="E27" s="50" t="s">
        <v>24</v>
      </c>
      <c r="F27" s="50" t="s">
        <v>485</v>
      </c>
      <c r="G27" s="52">
        <v>3840</v>
      </c>
      <c r="H27" s="59">
        <v>3280.2</v>
      </c>
      <c r="I27" s="67"/>
      <c r="J27" s="65"/>
      <c r="K27" s="56">
        <v>559.79999999999995</v>
      </c>
      <c r="L27" s="55"/>
      <c r="M27" s="54"/>
      <c r="N27" s="57"/>
      <c r="O27" s="57"/>
      <c r="P27" s="57"/>
      <c r="Q27" s="57"/>
      <c r="R27" s="57"/>
      <c r="S27" s="57"/>
      <c r="T27" s="57"/>
      <c r="U27" s="57"/>
      <c r="V27" s="58">
        <f t="shared" si="0"/>
        <v>559.79999999999995</v>
      </c>
      <c r="W27" s="57"/>
    </row>
    <row r="28" spans="1:23" x14ac:dyDescent="0.25">
      <c r="A28" s="48" t="s">
        <v>16</v>
      </c>
      <c r="B28" s="49">
        <v>8471240</v>
      </c>
      <c r="C28" s="50" t="s">
        <v>479</v>
      </c>
      <c r="D28" s="51">
        <v>426610</v>
      </c>
      <c r="E28" s="50" t="s">
        <v>39</v>
      </c>
      <c r="F28" s="50" t="s">
        <v>486</v>
      </c>
      <c r="G28" s="52">
        <v>362782</v>
      </c>
      <c r="H28" s="59">
        <v>362782.21</v>
      </c>
      <c r="I28" s="67">
        <v>-217669.33</v>
      </c>
      <c r="J28" s="65">
        <v>72556.45</v>
      </c>
      <c r="K28" s="56">
        <v>145112.67000000001</v>
      </c>
      <c r="L28" s="55"/>
      <c r="M28" s="54"/>
      <c r="N28" s="57"/>
      <c r="O28" s="57"/>
      <c r="P28" s="57"/>
      <c r="Q28" s="57"/>
      <c r="R28" s="57"/>
      <c r="S28" s="57"/>
      <c r="T28" s="57"/>
      <c r="U28" s="57"/>
      <c r="V28" s="58">
        <f t="shared" si="0"/>
        <v>145112.67000000001</v>
      </c>
      <c r="W28" s="57"/>
    </row>
    <row r="29" spans="1:23" x14ac:dyDescent="0.25">
      <c r="A29" s="48" t="s">
        <v>16</v>
      </c>
      <c r="B29" s="49">
        <v>8471240</v>
      </c>
      <c r="C29" s="50" t="s">
        <v>479</v>
      </c>
      <c r="D29" s="51">
        <v>427710</v>
      </c>
      <c r="E29" s="50" t="s">
        <v>45</v>
      </c>
      <c r="F29" s="50" t="s">
        <v>487</v>
      </c>
      <c r="G29" s="52">
        <v>11019</v>
      </c>
      <c r="H29" s="53"/>
      <c r="I29" s="67"/>
      <c r="J29" s="65"/>
      <c r="K29" s="56">
        <v>11019</v>
      </c>
      <c r="L29" s="55"/>
      <c r="M29" s="54"/>
      <c r="N29" s="57"/>
      <c r="O29" s="57"/>
      <c r="P29" s="57"/>
      <c r="Q29" s="57"/>
      <c r="R29" s="57"/>
      <c r="S29" s="57"/>
      <c r="T29" s="57"/>
      <c r="U29" s="57"/>
      <c r="V29" s="58">
        <f t="shared" si="0"/>
        <v>11019</v>
      </c>
      <c r="W29" s="57"/>
    </row>
    <row r="30" spans="1:23" x14ac:dyDescent="0.25">
      <c r="A30" s="48" t="s">
        <v>16</v>
      </c>
      <c r="B30" s="49">
        <v>8471240</v>
      </c>
      <c r="C30" s="50" t="s">
        <v>479</v>
      </c>
      <c r="D30" s="51">
        <v>428090</v>
      </c>
      <c r="E30" s="50" t="s">
        <v>26</v>
      </c>
      <c r="F30" s="50" t="s">
        <v>488</v>
      </c>
      <c r="G30" s="52">
        <v>20092</v>
      </c>
      <c r="H30" s="59">
        <v>8069.2</v>
      </c>
      <c r="I30" s="67"/>
      <c r="J30" s="65"/>
      <c r="K30" s="56">
        <v>12022.8</v>
      </c>
      <c r="L30" s="55"/>
      <c r="M30" s="54"/>
      <c r="N30" s="57"/>
      <c r="O30" s="57"/>
      <c r="P30" s="57"/>
      <c r="Q30" s="57"/>
      <c r="R30" s="57"/>
      <c r="S30" s="57"/>
      <c r="T30" s="57"/>
      <c r="U30" s="57"/>
      <c r="V30" s="58">
        <f t="shared" si="0"/>
        <v>12022.8</v>
      </c>
      <c r="W30" s="57"/>
    </row>
    <row r="31" spans="1:23" x14ac:dyDescent="0.25">
      <c r="A31" s="48" t="s">
        <v>16</v>
      </c>
      <c r="B31" s="49">
        <v>8471250</v>
      </c>
      <c r="C31" s="50" t="s">
        <v>489</v>
      </c>
      <c r="D31" s="51">
        <v>425510</v>
      </c>
      <c r="E31" s="50" t="s">
        <v>20</v>
      </c>
      <c r="F31" s="50" t="s">
        <v>490</v>
      </c>
      <c r="G31" s="52">
        <v>300000</v>
      </c>
      <c r="H31" s="53"/>
      <c r="I31" s="67"/>
      <c r="J31" s="65"/>
      <c r="K31" s="56">
        <v>300000</v>
      </c>
      <c r="L31" s="55"/>
      <c r="M31" s="54"/>
      <c r="N31" s="57"/>
      <c r="O31" s="57"/>
      <c r="P31" s="57"/>
      <c r="Q31" s="57"/>
      <c r="R31" s="57"/>
      <c r="S31" s="57"/>
      <c r="T31" s="57"/>
      <c r="U31" s="57"/>
      <c r="V31" s="58">
        <f t="shared" si="0"/>
        <v>300000</v>
      </c>
      <c r="W31" s="57"/>
    </row>
    <row r="32" spans="1:23" x14ac:dyDescent="0.25">
      <c r="A32" s="48" t="s">
        <v>16</v>
      </c>
      <c r="B32" s="49">
        <v>8471250</v>
      </c>
      <c r="C32" s="50" t="s">
        <v>489</v>
      </c>
      <c r="D32" s="51">
        <v>425510</v>
      </c>
      <c r="E32" s="50" t="s">
        <v>20</v>
      </c>
      <c r="F32" s="50" t="s">
        <v>491</v>
      </c>
      <c r="G32" s="52">
        <v>350000</v>
      </c>
      <c r="H32" s="53"/>
      <c r="I32" s="67"/>
      <c r="J32" s="65"/>
      <c r="K32" s="56">
        <v>350000</v>
      </c>
      <c r="L32" s="55"/>
      <c r="M32" s="54"/>
      <c r="N32" s="57"/>
      <c r="O32" s="57"/>
      <c r="P32" s="57"/>
      <c r="Q32" s="57"/>
      <c r="R32" s="57"/>
      <c r="S32" s="57"/>
      <c r="T32" s="57"/>
      <c r="U32" s="57"/>
      <c r="V32" s="58">
        <f t="shared" si="0"/>
        <v>350000</v>
      </c>
      <c r="W32" s="57"/>
    </row>
    <row r="33" spans="1:23" x14ac:dyDescent="0.25">
      <c r="A33" s="48" t="s">
        <v>16</v>
      </c>
      <c r="B33" s="49">
        <v>8471250</v>
      </c>
      <c r="C33" s="50" t="s">
        <v>489</v>
      </c>
      <c r="D33" s="51">
        <v>425510</v>
      </c>
      <c r="E33" s="50" t="s">
        <v>20</v>
      </c>
      <c r="F33" s="50" t="s">
        <v>492</v>
      </c>
      <c r="G33" s="52">
        <v>1277041</v>
      </c>
      <c r="H33" s="59">
        <v>3349.5</v>
      </c>
      <c r="I33" s="67">
        <v>0</v>
      </c>
      <c r="J33" s="65">
        <v>86000</v>
      </c>
      <c r="K33" s="56">
        <v>1187691.5</v>
      </c>
      <c r="L33" s="55"/>
      <c r="M33" s="54"/>
      <c r="N33" s="57"/>
      <c r="O33" s="57"/>
      <c r="P33" s="57"/>
      <c r="Q33" s="57"/>
      <c r="R33" s="57"/>
      <c r="S33" s="57"/>
      <c r="T33" s="57"/>
      <c r="U33" s="57"/>
      <c r="V33" s="58">
        <f t="shared" si="0"/>
        <v>1187691.5</v>
      </c>
      <c r="W33" s="57"/>
    </row>
    <row r="34" spans="1:23" x14ac:dyDescent="0.25">
      <c r="A34" s="48" t="s">
        <v>16</v>
      </c>
      <c r="B34" s="49">
        <v>8471250</v>
      </c>
      <c r="C34" s="50" t="s">
        <v>489</v>
      </c>
      <c r="D34" s="51">
        <v>425762</v>
      </c>
      <c r="E34" s="50" t="s">
        <v>111</v>
      </c>
      <c r="F34" s="50" t="s">
        <v>493</v>
      </c>
      <c r="G34" s="52">
        <v>750000</v>
      </c>
      <c r="H34" s="53"/>
      <c r="I34" s="67"/>
      <c r="J34" s="65"/>
      <c r="K34" s="56">
        <v>750000</v>
      </c>
      <c r="L34" s="55"/>
      <c r="M34" s="54"/>
      <c r="N34" s="57"/>
      <c r="O34" s="57"/>
      <c r="P34" s="57"/>
      <c r="Q34" s="57"/>
      <c r="R34" s="57"/>
      <c r="S34" s="57"/>
      <c r="T34" s="57"/>
      <c r="U34" s="57"/>
      <c r="V34" s="58">
        <f t="shared" si="0"/>
        <v>750000</v>
      </c>
      <c r="W34" s="57"/>
    </row>
    <row r="35" spans="1:23" x14ac:dyDescent="0.25">
      <c r="A35" s="48" t="s">
        <v>16</v>
      </c>
      <c r="B35" s="49">
        <v>8471250</v>
      </c>
      <c r="C35" s="50" t="s">
        <v>489</v>
      </c>
      <c r="D35" s="51">
        <v>425762</v>
      </c>
      <c r="E35" s="50" t="s">
        <v>111</v>
      </c>
      <c r="F35" s="50" t="s">
        <v>494</v>
      </c>
      <c r="G35" s="52">
        <v>1233338</v>
      </c>
      <c r="H35" s="53"/>
      <c r="I35" s="67"/>
      <c r="J35" s="65"/>
      <c r="K35" s="56">
        <v>1233338</v>
      </c>
      <c r="L35" s="55"/>
      <c r="M35" s="54"/>
      <c r="N35" s="57"/>
      <c r="O35" s="57"/>
      <c r="P35" s="57"/>
      <c r="Q35" s="57"/>
      <c r="R35" s="57"/>
      <c r="S35" s="57"/>
      <c r="T35" s="57"/>
      <c r="U35" s="57"/>
      <c r="V35" s="58">
        <f t="shared" si="0"/>
        <v>1233338</v>
      </c>
      <c r="W35" s="57"/>
    </row>
    <row r="36" spans="1:23" x14ac:dyDescent="0.25">
      <c r="A36" s="48" t="s">
        <v>16</v>
      </c>
      <c r="B36" s="49">
        <v>8471250</v>
      </c>
      <c r="C36" s="50" t="s">
        <v>489</v>
      </c>
      <c r="D36" s="51">
        <v>425900</v>
      </c>
      <c r="E36" s="50" t="s">
        <v>24</v>
      </c>
      <c r="F36" s="50" t="s">
        <v>495</v>
      </c>
      <c r="G36" s="52">
        <v>0</v>
      </c>
      <c r="H36" s="53"/>
      <c r="I36" s="67"/>
      <c r="J36" s="65"/>
      <c r="K36" s="56">
        <v>0</v>
      </c>
      <c r="L36" s="55"/>
      <c r="M36" s="54"/>
      <c r="N36" s="57"/>
      <c r="O36" s="57"/>
      <c r="P36" s="57"/>
      <c r="Q36" s="57"/>
      <c r="R36" s="57"/>
      <c r="S36" s="57"/>
      <c r="T36" s="57"/>
      <c r="U36" s="57"/>
      <c r="V36" s="58">
        <f t="shared" si="0"/>
        <v>0</v>
      </c>
      <c r="W36" s="57"/>
    </row>
    <row r="37" spans="1:23" x14ac:dyDescent="0.25">
      <c r="A37" s="48" t="s">
        <v>16</v>
      </c>
      <c r="B37" s="49">
        <v>8471250</v>
      </c>
      <c r="C37" s="50" t="s">
        <v>489</v>
      </c>
      <c r="D37" s="51">
        <v>426610</v>
      </c>
      <c r="E37" s="50" t="s">
        <v>39</v>
      </c>
      <c r="F37" s="50" t="s">
        <v>496</v>
      </c>
      <c r="G37" s="52">
        <v>300000</v>
      </c>
      <c r="H37" s="53"/>
      <c r="I37" s="67"/>
      <c r="J37" s="65"/>
      <c r="K37" s="56">
        <v>300000</v>
      </c>
      <c r="L37" s="55"/>
      <c r="M37" s="54"/>
      <c r="N37" s="57"/>
      <c r="O37" s="57"/>
      <c r="P37" s="57"/>
      <c r="Q37" s="57"/>
      <c r="R37" s="57"/>
      <c r="S37" s="57"/>
      <c r="T37" s="57"/>
      <c r="U37" s="57"/>
      <c r="V37" s="58">
        <f t="shared" si="0"/>
        <v>300000</v>
      </c>
      <c r="W37" s="57"/>
    </row>
    <row r="38" spans="1:23" x14ac:dyDescent="0.25">
      <c r="A38" s="48" t="s">
        <v>16</v>
      </c>
      <c r="B38" s="49">
        <v>8471250</v>
      </c>
      <c r="C38" s="50" t="s">
        <v>489</v>
      </c>
      <c r="D38" s="51">
        <v>426610</v>
      </c>
      <c r="E38" s="50" t="s">
        <v>39</v>
      </c>
      <c r="F38" s="50" t="s">
        <v>497</v>
      </c>
      <c r="G38" s="52">
        <v>340605</v>
      </c>
      <c r="H38" s="53"/>
      <c r="I38" s="67"/>
      <c r="J38" s="65"/>
      <c r="K38" s="56">
        <v>340605</v>
      </c>
      <c r="L38" s="55"/>
      <c r="M38" s="54"/>
      <c r="N38" s="57"/>
      <c r="O38" s="57"/>
      <c r="P38" s="57"/>
      <c r="Q38" s="57"/>
      <c r="R38" s="57"/>
      <c r="S38" s="57"/>
      <c r="T38" s="57"/>
      <c r="U38" s="57"/>
      <c r="V38" s="58">
        <f t="shared" si="0"/>
        <v>340605</v>
      </c>
      <c r="W38" s="57"/>
    </row>
    <row r="39" spans="1:23" x14ac:dyDescent="0.25">
      <c r="A39" s="48" t="s">
        <v>16</v>
      </c>
      <c r="B39" s="49">
        <v>8471250</v>
      </c>
      <c r="C39" s="50" t="s">
        <v>489</v>
      </c>
      <c r="D39" s="51">
        <v>428090</v>
      </c>
      <c r="E39" s="50" t="s">
        <v>26</v>
      </c>
      <c r="F39" s="50" t="s">
        <v>498</v>
      </c>
      <c r="G39" s="52">
        <v>20000</v>
      </c>
      <c r="H39" s="59">
        <v>10917.67</v>
      </c>
      <c r="I39" s="67"/>
      <c r="J39" s="65"/>
      <c r="K39" s="56">
        <v>9082.33</v>
      </c>
      <c r="L39" s="55"/>
      <c r="M39" s="54"/>
      <c r="N39" s="57"/>
      <c r="O39" s="57"/>
      <c r="P39" s="57"/>
      <c r="Q39" s="57"/>
      <c r="R39" s="57"/>
      <c r="S39" s="57"/>
      <c r="T39" s="57"/>
      <c r="U39" s="57"/>
      <c r="V39" s="58">
        <f t="shared" si="0"/>
        <v>9082.33</v>
      </c>
      <c r="W39" s="57"/>
    </row>
    <row r="40" spans="1:23" x14ac:dyDescent="0.25">
      <c r="A40" s="48" t="s">
        <v>16</v>
      </c>
      <c r="B40" s="49">
        <v>8471250</v>
      </c>
      <c r="C40" s="50" t="s">
        <v>489</v>
      </c>
      <c r="D40" s="51">
        <v>436110</v>
      </c>
      <c r="E40" s="50" t="s">
        <v>158</v>
      </c>
      <c r="F40" s="50" t="s">
        <v>499</v>
      </c>
      <c r="G40" s="52">
        <v>12375</v>
      </c>
      <c r="H40" s="53"/>
      <c r="I40" s="67">
        <v>12167.5</v>
      </c>
      <c r="J40" s="65"/>
      <c r="K40" s="56">
        <v>207.5</v>
      </c>
      <c r="L40" s="55"/>
      <c r="M40" s="54"/>
      <c r="N40" s="57"/>
      <c r="O40" s="57"/>
      <c r="P40" s="57"/>
      <c r="Q40" s="57"/>
      <c r="R40" s="57"/>
      <c r="S40" s="57"/>
      <c r="T40" s="57"/>
      <c r="U40" s="57"/>
      <c r="V40" s="58">
        <f t="shared" si="0"/>
        <v>207.5</v>
      </c>
      <c r="W40" s="57"/>
    </row>
    <row r="41" spans="1:23" x14ac:dyDescent="0.25">
      <c r="A41" s="48" t="s">
        <v>16</v>
      </c>
      <c r="B41" s="49">
        <v>8471260</v>
      </c>
      <c r="C41" s="50" t="s">
        <v>500</v>
      </c>
      <c r="D41" s="51">
        <v>425510</v>
      </c>
      <c r="E41" s="50" t="s">
        <v>20</v>
      </c>
      <c r="F41" s="50" t="s">
        <v>501</v>
      </c>
      <c r="G41" s="52">
        <v>83642</v>
      </c>
      <c r="H41" s="59">
        <v>787.5</v>
      </c>
      <c r="I41" s="67"/>
      <c r="J41" s="65"/>
      <c r="K41" s="56">
        <v>82854.5</v>
      </c>
      <c r="L41" s="55"/>
      <c r="M41" s="54"/>
      <c r="N41" s="57"/>
      <c r="O41" s="57"/>
      <c r="P41" s="57"/>
      <c r="Q41" s="57"/>
      <c r="R41" s="57"/>
      <c r="S41" s="57"/>
      <c r="T41" s="57"/>
      <c r="U41" s="57"/>
      <c r="V41" s="58">
        <f t="shared" si="0"/>
        <v>82854.5</v>
      </c>
      <c r="W41" s="57"/>
    </row>
    <row r="42" spans="1:23" x14ac:dyDescent="0.25">
      <c r="A42" s="48" t="s">
        <v>16</v>
      </c>
      <c r="B42" s="49">
        <v>8471260</v>
      </c>
      <c r="C42" s="50" t="s">
        <v>500</v>
      </c>
      <c r="D42" s="51">
        <v>425746</v>
      </c>
      <c r="E42" s="50" t="s">
        <v>502</v>
      </c>
      <c r="F42" s="50" t="s">
        <v>503</v>
      </c>
      <c r="G42" s="52">
        <v>13916828</v>
      </c>
      <c r="H42" s="59">
        <v>29290.86</v>
      </c>
      <c r="I42" s="67">
        <v>0</v>
      </c>
      <c r="J42" s="65">
        <v>13000000</v>
      </c>
      <c r="K42" s="56">
        <v>887537.14000000095</v>
      </c>
      <c r="L42" s="55"/>
      <c r="M42" s="54"/>
      <c r="N42" s="57"/>
      <c r="O42" s="57"/>
      <c r="P42" s="57"/>
      <c r="Q42" s="57"/>
      <c r="R42" s="57"/>
      <c r="S42" s="57"/>
      <c r="T42" s="57"/>
      <c r="U42" s="57"/>
      <c r="V42" s="58">
        <f t="shared" si="0"/>
        <v>887537.14000000095</v>
      </c>
      <c r="W42" s="57"/>
    </row>
    <row r="43" spans="1:23" x14ac:dyDescent="0.25">
      <c r="A43" s="48" t="s">
        <v>16</v>
      </c>
      <c r="B43" s="49">
        <v>8471260</v>
      </c>
      <c r="C43" s="50" t="s">
        <v>500</v>
      </c>
      <c r="D43" s="51">
        <v>425747</v>
      </c>
      <c r="E43" s="50" t="s">
        <v>80</v>
      </c>
      <c r="F43" s="50" t="s">
        <v>504</v>
      </c>
      <c r="G43" s="52">
        <v>540994</v>
      </c>
      <c r="H43" s="53"/>
      <c r="I43" s="67">
        <v>0</v>
      </c>
      <c r="J43" s="65"/>
      <c r="K43" s="56">
        <v>540994</v>
      </c>
      <c r="L43" s="55"/>
      <c r="M43" s="54"/>
      <c r="N43" s="57"/>
      <c r="O43" s="57"/>
      <c r="P43" s="57"/>
      <c r="Q43" s="57"/>
      <c r="R43" s="57"/>
      <c r="S43" s="57"/>
      <c r="T43" s="57"/>
      <c r="U43" s="57"/>
      <c r="V43" s="58">
        <f t="shared" si="0"/>
        <v>540994</v>
      </c>
      <c r="W43" s="57"/>
    </row>
    <row r="44" spans="1:23" x14ac:dyDescent="0.25">
      <c r="A44" s="48" t="s">
        <v>16</v>
      </c>
      <c r="B44" s="49">
        <v>8471260</v>
      </c>
      <c r="C44" s="50" t="s">
        <v>500</v>
      </c>
      <c r="D44" s="51">
        <v>425760</v>
      </c>
      <c r="E44" s="50" t="s">
        <v>116</v>
      </c>
      <c r="F44" s="50" t="s">
        <v>505</v>
      </c>
      <c r="G44" s="52">
        <v>508333</v>
      </c>
      <c r="H44" s="59">
        <v>100904.95</v>
      </c>
      <c r="I44" s="67">
        <v>-12000</v>
      </c>
      <c r="J44" s="65">
        <v>94600</v>
      </c>
      <c r="K44" s="56">
        <v>324828.05</v>
      </c>
      <c r="L44" s="55"/>
      <c r="M44" s="54"/>
      <c r="N44" s="57"/>
      <c r="O44" s="57"/>
      <c r="P44" s="57"/>
      <c r="Q44" s="57"/>
      <c r="R44" s="57"/>
      <c r="S44" s="57"/>
      <c r="T44" s="57"/>
      <c r="U44" s="57"/>
      <c r="V44" s="58">
        <f t="shared" si="0"/>
        <v>324828.05</v>
      </c>
      <c r="W44" s="57"/>
    </row>
    <row r="45" spans="1:23" x14ac:dyDescent="0.25">
      <c r="A45" s="48" t="s">
        <v>16</v>
      </c>
      <c r="B45" s="49">
        <v>8471260</v>
      </c>
      <c r="C45" s="50" t="s">
        <v>500</v>
      </c>
      <c r="D45" s="51">
        <v>425900</v>
      </c>
      <c r="E45" s="50" t="s">
        <v>24</v>
      </c>
      <c r="F45" s="50" t="s">
        <v>506</v>
      </c>
      <c r="G45" s="52">
        <v>67460</v>
      </c>
      <c r="H45" s="59">
        <v>37774.65</v>
      </c>
      <c r="I45" s="67"/>
      <c r="J45" s="65"/>
      <c r="K45" s="56">
        <v>29685.35</v>
      </c>
      <c r="L45" s="55"/>
      <c r="M45" s="54"/>
      <c r="N45" s="57"/>
      <c r="O45" s="57"/>
      <c r="P45" s="57"/>
      <c r="Q45" s="57"/>
      <c r="R45" s="57"/>
      <c r="S45" s="57"/>
      <c r="T45" s="57"/>
      <c r="U45" s="57"/>
      <c r="V45" s="58">
        <f t="shared" si="0"/>
        <v>29685.35</v>
      </c>
      <c r="W45" s="57"/>
    </row>
    <row r="46" spans="1:23" x14ac:dyDescent="0.25">
      <c r="A46" s="48" t="s">
        <v>16</v>
      </c>
      <c r="B46" s="49">
        <v>8471260</v>
      </c>
      <c r="C46" s="50" t="s">
        <v>500</v>
      </c>
      <c r="D46" s="51">
        <v>428640</v>
      </c>
      <c r="E46" s="50" t="s">
        <v>59</v>
      </c>
      <c r="F46" s="50" t="s">
        <v>507</v>
      </c>
      <c r="G46" s="52">
        <v>12800</v>
      </c>
      <c r="H46" s="59">
        <v>857.14</v>
      </c>
      <c r="I46" s="67"/>
      <c r="J46" s="65"/>
      <c r="K46" s="56">
        <v>11942.86</v>
      </c>
      <c r="L46" s="55"/>
      <c r="M46" s="54"/>
      <c r="N46" s="57"/>
      <c r="O46" s="57"/>
      <c r="P46" s="57"/>
      <c r="Q46" s="57"/>
      <c r="R46" s="57"/>
      <c r="S46" s="57"/>
      <c r="T46" s="57"/>
      <c r="U46" s="57"/>
      <c r="V46" s="58">
        <f t="shared" si="0"/>
        <v>11942.86</v>
      </c>
      <c r="W46" s="57"/>
    </row>
    <row r="47" spans="1:23" x14ac:dyDescent="0.25">
      <c r="A47" s="48" t="s">
        <v>16</v>
      </c>
      <c r="B47" s="49">
        <v>8471260</v>
      </c>
      <c r="C47" s="50" t="s">
        <v>500</v>
      </c>
      <c r="D47" s="51">
        <v>429900</v>
      </c>
      <c r="E47" s="50" t="s">
        <v>270</v>
      </c>
      <c r="F47" s="50" t="s">
        <v>508</v>
      </c>
      <c r="G47" s="52">
        <v>250000</v>
      </c>
      <c r="H47" s="59">
        <v>27782.5</v>
      </c>
      <c r="I47" s="67"/>
      <c r="J47" s="65"/>
      <c r="K47" s="56">
        <v>222217.5</v>
      </c>
      <c r="L47" s="55"/>
      <c r="M47" s="54"/>
      <c r="N47" s="57"/>
      <c r="O47" s="57"/>
      <c r="P47" s="57"/>
      <c r="Q47" s="57"/>
      <c r="R47" s="57"/>
      <c r="S47" s="57"/>
      <c r="T47" s="57"/>
      <c r="U47" s="57"/>
      <c r="V47" s="58">
        <f t="shared" si="0"/>
        <v>222217.5</v>
      </c>
      <c r="W47" s="57"/>
    </row>
    <row r="48" spans="1:23" x14ac:dyDescent="0.25">
      <c r="A48" s="48" t="s">
        <v>16</v>
      </c>
      <c r="B48" s="49">
        <v>8471260</v>
      </c>
      <c r="C48" s="50" t="s">
        <v>500</v>
      </c>
      <c r="D48" s="51">
        <v>435530</v>
      </c>
      <c r="E48" s="50" t="s">
        <v>509</v>
      </c>
      <c r="F48" s="50" t="s">
        <v>510</v>
      </c>
      <c r="G48" s="52">
        <v>8518</v>
      </c>
      <c r="H48" s="59">
        <v>1022.86</v>
      </c>
      <c r="I48" s="67">
        <v>0</v>
      </c>
      <c r="J48" s="65">
        <v>0</v>
      </c>
      <c r="K48" s="56">
        <v>7495.14</v>
      </c>
      <c r="L48" s="55"/>
      <c r="M48" s="54"/>
      <c r="N48" s="57"/>
      <c r="O48" s="57"/>
      <c r="P48" s="57"/>
      <c r="Q48" s="57"/>
      <c r="R48" s="57"/>
      <c r="S48" s="57"/>
      <c r="T48" s="57"/>
      <c r="U48" s="57"/>
      <c r="V48" s="58">
        <f t="shared" si="0"/>
        <v>7495.14</v>
      </c>
      <c r="W48" s="57"/>
    </row>
    <row r="49" spans="1:23" x14ac:dyDescent="0.25">
      <c r="A49" s="48" t="s">
        <v>16</v>
      </c>
      <c r="B49" s="49">
        <v>8471260</v>
      </c>
      <c r="C49" s="50" t="s">
        <v>500</v>
      </c>
      <c r="D49" s="51">
        <v>436110</v>
      </c>
      <c r="E49" s="50" t="s">
        <v>158</v>
      </c>
      <c r="F49" s="50" t="s">
        <v>511</v>
      </c>
      <c r="G49" s="52">
        <v>5952</v>
      </c>
      <c r="H49" s="59">
        <v>1014.91</v>
      </c>
      <c r="I49" s="67"/>
      <c r="J49" s="65"/>
      <c r="K49" s="56">
        <v>4937.09</v>
      </c>
      <c r="L49" s="55"/>
      <c r="M49" s="54"/>
      <c r="N49" s="57"/>
      <c r="O49" s="57"/>
      <c r="P49" s="57"/>
      <c r="Q49" s="57"/>
      <c r="R49" s="57"/>
      <c r="S49" s="57"/>
      <c r="T49" s="57"/>
      <c r="U49" s="57"/>
      <c r="V49" s="58">
        <f t="shared" si="0"/>
        <v>4937.09</v>
      </c>
      <c r="W49" s="57"/>
    </row>
    <row r="50" spans="1:23" x14ac:dyDescent="0.25">
      <c r="A50" s="48" t="s">
        <v>16</v>
      </c>
      <c r="B50" s="49">
        <v>8471270</v>
      </c>
      <c r="C50" s="50" t="s">
        <v>512</v>
      </c>
      <c r="D50" s="51">
        <v>425900</v>
      </c>
      <c r="E50" s="50" t="s">
        <v>24</v>
      </c>
      <c r="F50" s="50" t="s">
        <v>513</v>
      </c>
      <c r="G50" s="52">
        <v>2961</v>
      </c>
      <c r="H50" s="53"/>
      <c r="I50" s="67"/>
      <c r="J50" s="65"/>
      <c r="K50" s="56">
        <v>2961</v>
      </c>
      <c r="L50" s="55"/>
      <c r="M50" s="54"/>
      <c r="N50" s="57"/>
      <c r="O50" s="57"/>
      <c r="P50" s="57"/>
      <c r="Q50" s="57"/>
      <c r="R50" s="57"/>
      <c r="S50" s="57"/>
      <c r="T50" s="57"/>
      <c r="U50" s="57"/>
      <c r="V50" s="58">
        <f t="shared" si="0"/>
        <v>2961</v>
      </c>
      <c r="W50" s="57"/>
    </row>
    <row r="51" spans="1:23" x14ac:dyDescent="0.25">
      <c r="A51" s="48" t="s">
        <v>16</v>
      </c>
      <c r="B51" s="49">
        <v>8471270</v>
      </c>
      <c r="C51" s="50" t="s">
        <v>512</v>
      </c>
      <c r="D51" s="51">
        <v>435330</v>
      </c>
      <c r="E51" s="50" t="s">
        <v>514</v>
      </c>
      <c r="F51" s="50" t="s">
        <v>515</v>
      </c>
      <c r="G51" s="52">
        <v>14472062</v>
      </c>
      <c r="H51" s="59">
        <v>300353.99</v>
      </c>
      <c r="I51" s="67">
        <v>8503417.5700000003</v>
      </c>
      <c r="J51" s="65">
        <v>4315397.12</v>
      </c>
      <c r="K51" s="56">
        <v>1352893.32</v>
      </c>
      <c r="L51" s="55"/>
      <c r="M51" s="54"/>
      <c r="N51" s="57"/>
      <c r="O51" s="57"/>
      <c r="P51" s="57"/>
      <c r="Q51" s="57"/>
      <c r="R51" s="57"/>
      <c r="S51" s="57"/>
      <c r="T51" s="57"/>
      <c r="U51" s="57"/>
      <c r="V51" s="58">
        <f t="shared" si="0"/>
        <v>1352893.32</v>
      </c>
      <c r="W51" s="57"/>
    </row>
    <row r="52" spans="1:23" x14ac:dyDescent="0.25">
      <c r="A52" s="48" t="s">
        <v>16</v>
      </c>
      <c r="B52" s="49">
        <v>8471280</v>
      </c>
      <c r="C52" s="50" t="s">
        <v>516</v>
      </c>
      <c r="D52" s="51">
        <v>425100</v>
      </c>
      <c r="E52" s="50" t="s">
        <v>49</v>
      </c>
      <c r="F52" s="50" t="s">
        <v>517</v>
      </c>
      <c r="G52" s="52">
        <v>10000</v>
      </c>
      <c r="H52" s="53"/>
      <c r="I52" s="67"/>
      <c r="J52" s="65"/>
      <c r="K52" s="56">
        <v>10000</v>
      </c>
      <c r="L52" s="55"/>
      <c r="M52" s="54"/>
      <c r="N52" s="57"/>
      <c r="O52" s="57"/>
      <c r="P52" s="57"/>
      <c r="Q52" s="57"/>
      <c r="R52" s="57"/>
      <c r="S52" s="57"/>
      <c r="T52" s="57"/>
      <c r="U52" s="57"/>
      <c r="V52" s="58">
        <f t="shared" si="0"/>
        <v>10000</v>
      </c>
      <c r="W52" s="57"/>
    </row>
    <row r="53" spans="1:23" x14ac:dyDescent="0.25">
      <c r="A53" s="48" t="s">
        <v>16</v>
      </c>
      <c r="B53" s="49">
        <v>8471280</v>
      </c>
      <c r="C53" s="50" t="s">
        <v>516</v>
      </c>
      <c r="D53" s="51">
        <v>425510</v>
      </c>
      <c r="E53" s="50" t="s">
        <v>20</v>
      </c>
      <c r="F53" s="50" t="s">
        <v>518</v>
      </c>
      <c r="G53" s="52">
        <v>104637</v>
      </c>
      <c r="H53" s="59">
        <v>38551.25</v>
      </c>
      <c r="I53" s="67"/>
      <c r="J53" s="65"/>
      <c r="K53" s="56">
        <v>66085.75</v>
      </c>
      <c r="L53" s="55"/>
      <c r="M53" s="54"/>
      <c r="N53" s="57"/>
      <c r="O53" s="57"/>
      <c r="P53" s="57"/>
      <c r="Q53" s="57"/>
      <c r="R53" s="57"/>
      <c r="S53" s="57"/>
      <c r="T53" s="57"/>
      <c r="U53" s="57"/>
      <c r="V53" s="58">
        <f t="shared" si="0"/>
        <v>66085.75</v>
      </c>
      <c r="W53" s="57"/>
    </row>
    <row r="54" spans="1:23" x14ac:dyDescent="0.25">
      <c r="A54" s="48" t="s">
        <v>16</v>
      </c>
      <c r="B54" s="49">
        <v>8471280</v>
      </c>
      <c r="C54" s="50" t="s">
        <v>516</v>
      </c>
      <c r="D54" s="51">
        <v>425550</v>
      </c>
      <c r="E54" s="50" t="s">
        <v>22</v>
      </c>
      <c r="F54" s="50" t="s">
        <v>519</v>
      </c>
      <c r="G54" s="52">
        <v>28417</v>
      </c>
      <c r="H54" s="53"/>
      <c r="I54" s="67"/>
      <c r="J54" s="65"/>
      <c r="K54" s="56">
        <v>28417</v>
      </c>
      <c r="L54" s="55"/>
      <c r="M54" s="54"/>
      <c r="N54" s="57"/>
      <c r="O54" s="57"/>
      <c r="P54" s="57"/>
      <c r="Q54" s="57"/>
      <c r="R54" s="57"/>
      <c r="S54" s="57"/>
      <c r="T54" s="57"/>
      <c r="U54" s="57"/>
      <c r="V54" s="58">
        <f t="shared" si="0"/>
        <v>28417</v>
      </c>
      <c r="W54" s="57"/>
    </row>
    <row r="55" spans="1:23" x14ac:dyDescent="0.25">
      <c r="A55" s="48" t="s">
        <v>16</v>
      </c>
      <c r="B55" s="49">
        <v>8471280</v>
      </c>
      <c r="C55" s="50" t="s">
        <v>516</v>
      </c>
      <c r="D55" s="51">
        <v>425710</v>
      </c>
      <c r="E55" s="50" t="s">
        <v>520</v>
      </c>
      <c r="F55" s="50" t="s">
        <v>521</v>
      </c>
      <c r="G55" s="52">
        <v>112500</v>
      </c>
      <c r="H55" s="53"/>
      <c r="I55" s="67"/>
      <c r="J55" s="65"/>
      <c r="K55" s="56">
        <v>112500</v>
      </c>
      <c r="L55" s="55"/>
      <c r="M55" s="54"/>
      <c r="N55" s="57"/>
      <c r="O55" s="57"/>
      <c r="P55" s="57"/>
      <c r="Q55" s="57"/>
      <c r="R55" s="57"/>
      <c r="S55" s="57"/>
      <c r="T55" s="57"/>
      <c r="U55" s="57"/>
      <c r="V55" s="58">
        <f t="shared" si="0"/>
        <v>112500</v>
      </c>
      <c r="W55" s="57"/>
    </row>
    <row r="56" spans="1:23" x14ac:dyDescent="0.25">
      <c r="A56" s="48" t="s">
        <v>16</v>
      </c>
      <c r="B56" s="49">
        <v>8471280</v>
      </c>
      <c r="C56" s="50" t="s">
        <v>516</v>
      </c>
      <c r="D56" s="51">
        <v>425720</v>
      </c>
      <c r="E56" s="50" t="s">
        <v>185</v>
      </c>
      <c r="F56" s="50" t="s">
        <v>522</v>
      </c>
      <c r="G56" s="52">
        <v>12628</v>
      </c>
      <c r="H56" s="53"/>
      <c r="I56" s="67"/>
      <c r="J56" s="65"/>
      <c r="K56" s="56">
        <v>12628</v>
      </c>
      <c r="L56" s="55"/>
      <c r="M56" s="54"/>
      <c r="N56" s="57"/>
      <c r="O56" s="57"/>
      <c r="P56" s="57"/>
      <c r="Q56" s="57"/>
      <c r="R56" s="57"/>
      <c r="S56" s="57"/>
      <c r="T56" s="57"/>
      <c r="U56" s="57"/>
      <c r="V56" s="58">
        <f t="shared" si="0"/>
        <v>12628</v>
      </c>
      <c r="W56" s="57"/>
    </row>
    <row r="57" spans="1:23" x14ac:dyDescent="0.25">
      <c r="A57" s="48" t="s">
        <v>16</v>
      </c>
      <c r="B57" s="49">
        <v>8471280</v>
      </c>
      <c r="C57" s="50" t="s">
        <v>516</v>
      </c>
      <c r="D57" s="51">
        <v>425760</v>
      </c>
      <c r="E57" s="50" t="s">
        <v>116</v>
      </c>
      <c r="F57" s="50" t="s">
        <v>523</v>
      </c>
      <c r="G57" s="52">
        <v>13140</v>
      </c>
      <c r="H57" s="53"/>
      <c r="I57" s="67"/>
      <c r="J57" s="65"/>
      <c r="K57" s="56">
        <v>13140</v>
      </c>
      <c r="L57" s="55"/>
      <c r="M57" s="54"/>
      <c r="N57" s="57"/>
      <c r="O57" s="57"/>
      <c r="P57" s="57"/>
      <c r="Q57" s="57"/>
      <c r="R57" s="57"/>
      <c r="S57" s="57"/>
      <c r="T57" s="57"/>
      <c r="U57" s="57"/>
      <c r="V57" s="58">
        <f t="shared" si="0"/>
        <v>13140</v>
      </c>
      <c r="W57" s="57"/>
    </row>
    <row r="58" spans="1:23" x14ac:dyDescent="0.25">
      <c r="A58" s="48" t="s">
        <v>16</v>
      </c>
      <c r="B58" s="49">
        <v>8471280</v>
      </c>
      <c r="C58" s="50" t="s">
        <v>516</v>
      </c>
      <c r="D58" s="51">
        <v>425770</v>
      </c>
      <c r="E58" s="50" t="s">
        <v>119</v>
      </c>
      <c r="F58" s="50" t="s">
        <v>524</v>
      </c>
      <c r="G58" s="52">
        <v>0</v>
      </c>
      <c r="H58" s="53"/>
      <c r="I58" s="67"/>
      <c r="J58" s="65"/>
      <c r="K58" s="56">
        <v>0</v>
      </c>
      <c r="L58" s="55"/>
      <c r="M58" s="54"/>
      <c r="N58" s="57"/>
      <c r="O58" s="57"/>
      <c r="P58" s="57"/>
      <c r="Q58" s="57"/>
      <c r="R58" s="57"/>
      <c r="S58" s="57"/>
      <c r="T58" s="57"/>
      <c r="U58" s="57"/>
      <c r="V58" s="58">
        <f t="shared" si="0"/>
        <v>0</v>
      </c>
      <c r="W58" s="57"/>
    </row>
    <row r="59" spans="1:23" x14ac:dyDescent="0.25">
      <c r="A59" s="48" t="s">
        <v>16</v>
      </c>
      <c r="B59" s="49">
        <v>8471280</v>
      </c>
      <c r="C59" s="50" t="s">
        <v>516</v>
      </c>
      <c r="D59" s="51">
        <v>425900</v>
      </c>
      <c r="E59" s="50" t="s">
        <v>24</v>
      </c>
      <c r="F59" s="50" t="s">
        <v>525</v>
      </c>
      <c r="G59" s="52">
        <v>38359</v>
      </c>
      <c r="H59" s="59">
        <v>35059.5</v>
      </c>
      <c r="I59" s="67"/>
      <c r="J59" s="65"/>
      <c r="K59" s="56">
        <v>3299.5</v>
      </c>
      <c r="L59" s="55"/>
      <c r="M59" s="54"/>
      <c r="N59" s="57"/>
      <c r="O59" s="57"/>
      <c r="P59" s="57"/>
      <c r="Q59" s="57"/>
      <c r="R59" s="57"/>
      <c r="S59" s="57"/>
      <c r="T59" s="57"/>
      <c r="U59" s="57"/>
      <c r="V59" s="58">
        <f t="shared" si="0"/>
        <v>3299.5</v>
      </c>
      <c r="W59" s="57"/>
    </row>
    <row r="60" spans="1:23" x14ac:dyDescent="0.25">
      <c r="A60" s="48" t="s">
        <v>16</v>
      </c>
      <c r="B60" s="49">
        <v>8471280</v>
      </c>
      <c r="C60" s="50" t="s">
        <v>516</v>
      </c>
      <c r="D60" s="51">
        <v>426610</v>
      </c>
      <c r="E60" s="50" t="s">
        <v>39</v>
      </c>
      <c r="F60" s="50" t="s">
        <v>526</v>
      </c>
      <c r="G60" s="52">
        <v>282200</v>
      </c>
      <c r="H60" s="59">
        <v>1387.18</v>
      </c>
      <c r="I60" s="67">
        <v>17068.93</v>
      </c>
      <c r="J60" s="65">
        <v>4559.29</v>
      </c>
      <c r="K60" s="56">
        <v>259184.6</v>
      </c>
      <c r="L60" s="55"/>
      <c r="M60" s="54"/>
      <c r="N60" s="57"/>
      <c r="O60" s="57"/>
      <c r="P60" s="57"/>
      <c r="Q60" s="57"/>
      <c r="R60" s="57"/>
      <c r="S60" s="57"/>
      <c r="T60" s="57"/>
      <c r="U60" s="57"/>
      <c r="V60" s="58">
        <f t="shared" si="0"/>
        <v>259184.6</v>
      </c>
      <c r="W60" s="57"/>
    </row>
    <row r="61" spans="1:23" x14ac:dyDescent="0.25">
      <c r="A61" s="48" t="s">
        <v>16</v>
      </c>
      <c r="B61" s="49">
        <v>8471280</v>
      </c>
      <c r="C61" s="50" t="s">
        <v>516</v>
      </c>
      <c r="D61" s="51">
        <v>428640</v>
      </c>
      <c r="E61" s="50" t="s">
        <v>59</v>
      </c>
      <c r="F61" s="50" t="s">
        <v>527</v>
      </c>
      <c r="G61" s="52">
        <v>30000</v>
      </c>
      <c r="H61" s="53"/>
      <c r="I61" s="67"/>
      <c r="J61" s="65"/>
      <c r="K61" s="56">
        <v>30000</v>
      </c>
      <c r="L61" s="55"/>
      <c r="M61" s="54"/>
      <c r="N61" s="57"/>
      <c r="O61" s="57"/>
      <c r="P61" s="57"/>
      <c r="Q61" s="57"/>
      <c r="R61" s="57"/>
      <c r="S61" s="57"/>
      <c r="T61" s="57"/>
      <c r="U61" s="57"/>
      <c r="V61" s="58">
        <f t="shared" si="0"/>
        <v>30000</v>
      </c>
      <c r="W61" s="57"/>
    </row>
    <row r="62" spans="1:23" x14ac:dyDescent="0.25">
      <c r="A62" s="48" t="s">
        <v>16</v>
      </c>
      <c r="B62" s="49">
        <v>8471280</v>
      </c>
      <c r="C62" s="50" t="s">
        <v>516</v>
      </c>
      <c r="D62" s="51">
        <v>435530</v>
      </c>
      <c r="E62" s="50" t="s">
        <v>509</v>
      </c>
      <c r="F62" s="50" t="s">
        <v>528</v>
      </c>
      <c r="G62" s="52">
        <v>763</v>
      </c>
      <c r="H62" s="53"/>
      <c r="I62" s="67"/>
      <c r="J62" s="65"/>
      <c r="K62" s="56">
        <v>763</v>
      </c>
      <c r="L62" s="55"/>
      <c r="M62" s="54"/>
      <c r="N62" s="57"/>
      <c r="O62" s="57"/>
      <c r="P62" s="57"/>
      <c r="Q62" s="57"/>
      <c r="R62" s="57"/>
      <c r="S62" s="57"/>
      <c r="T62" s="57"/>
      <c r="U62" s="57"/>
      <c r="V62" s="58">
        <f t="shared" si="0"/>
        <v>763</v>
      </c>
      <c r="W62" s="57"/>
    </row>
    <row r="63" spans="1:23" x14ac:dyDescent="0.25">
      <c r="A63" s="48" t="s">
        <v>16</v>
      </c>
      <c r="B63" s="49">
        <v>8471280</v>
      </c>
      <c r="C63" s="50" t="s">
        <v>516</v>
      </c>
      <c r="D63" s="51">
        <v>436110</v>
      </c>
      <c r="E63" s="50" t="s">
        <v>158</v>
      </c>
      <c r="F63" s="50" t="s">
        <v>529</v>
      </c>
      <c r="G63" s="52">
        <v>6200</v>
      </c>
      <c r="H63" s="53"/>
      <c r="I63" s="67"/>
      <c r="J63" s="65"/>
      <c r="K63" s="56">
        <v>6200</v>
      </c>
      <c r="L63" s="55"/>
      <c r="M63" s="54"/>
      <c r="N63" s="57"/>
      <c r="O63" s="57"/>
      <c r="P63" s="57"/>
      <c r="Q63" s="57"/>
      <c r="R63" s="57"/>
      <c r="S63" s="57"/>
      <c r="T63" s="57"/>
      <c r="U63" s="57"/>
      <c r="V63" s="58">
        <f t="shared" si="0"/>
        <v>6200</v>
      </c>
      <c r="W63" s="57"/>
    </row>
    <row r="64" spans="1:23" x14ac:dyDescent="0.25">
      <c r="A64" s="48" t="s">
        <v>561</v>
      </c>
      <c r="B64" s="49">
        <v>8470230</v>
      </c>
      <c r="C64" s="50" t="s">
        <v>102</v>
      </c>
      <c r="D64" s="51">
        <v>492310</v>
      </c>
      <c r="E64" s="50" t="s">
        <v>564</v>
      </c>
      <c r="F64" s="50" t="s">
        <v>568</v>
      </c>
      <c r="G64" s="52">
        <v>1333260</v>
      </c>
      <c r="H64" s="53"/>
      <c r="I64" s="67">
        <v>1302264.76</v>
      </c>
      <c r="J64" s="65"/>
      <c r="K64" s="56">
        <v>30995.24</v>
      </c>
      <c r="L64" s="55"/>
      <c r="M64" s="54"/>
      <c r="N64" s="57"/>
      <c r="O64" s="57"/>
      <c r="P64" s="57"/>
      <c r="Q64" s="57"/>
      <c r="R64" s="57"/>
      <c r="S64" s="57"/>
      <c r="T64" s="57"/>
      <c r="U64" s="57"/>
      <c r="V64" s="58">
        <f t="shared" si="0"/>
        <v>30995.24</v>
      </c>
      <c r="W64" s="57"/>
    </row>
    <row r="65" spans="7:7" x14ac:dyDescent="0.25">
      <c r="G65" s="70"/>
    </row>
  </sheetData>
  <conditionalFormatting sqref="A3 A5:U64 W5:W64">
    <cfRule type="expression" dxfId="7" priority="5" stopIfTrue="1">
      <formula>MOD(ROW(),2)=0</formula>
    </cfRule>
  </conditionalFormatting>
  <conditionalFormatting sqref="V4:V64">
    <cfRule type="expression" dxfId="6" priority="3" stopIfTrue="1">
      <formula>MOD(ROW(),2)=0</formula>
    </cfRule>
  </conditionalFormatting>
  <conditionalFormatting sqref="A4:U4 W4">
    <cfRule type="expression" dxfId="5" priority="2" stopIfTrue="1">
      <formula>MOD(ROW(),2)=0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topLeftCell="C19" workbookViewId="0">
      <selection activeCell="G4" sqref="G4:G34"/>
    </sheetView>
  </sheetViews>
  <sheetFormatPr defaultRowHeight="15" x14ac:dyDescent="0.25"/>
  <cols>
    <col min="1" max="1" width="21.140625" customWidth="1"/>
    <col min="2" max="2" width="16.42578125" bestFit="1" customWidth="1"/>
    <col min="3" max="3" width="37.28515625" bestFit="1" customWidth="1"/>
    <col min="4" max="4" width="13.28515625" bestFit="1" customWidth="1"/>
    <col min="5" max="5" width="28.42578125" customWidth="1"/>
    <col min="6" max="6" width="39.5703125" bestFit="1" customWidth="1"/>
    <col min="7" max="7" width="10.7109375" bestFit="1" customWidth="1"/>
    <col min="8" max="8" width="14.28515625" bestFit="1" customWidth="1"/>
    <col min="9" max="10" width="10" bestFit="1" customWidth="1"/>
    <col min="11" max="11" width="14.28515625" bestFit="1" customWidth="1"/>
    <col min="12" max="12" width="31.140625" bestFit="1" customWidth="1"/>
    <col min="13" max="13" width="31.85546875" bestFit="1" customWidth="1"/>
    <col min="14" max="14" width="31" bestFit="1" customWidth="1"/>
    <col min="15" max="16" width="31.42578125" bestFit="1" customWidth="1"/>
    <col min="17" max="17" width="31.28515625" bestFit="1" customWidth="1"/>
    <col min="18" max="18" width="31" bestFit="1" customWidth="1"/>
    <col min="19" max="19" width="31.5703125" bestFit="1" customWidth="1"/>
    <col min="20" max="20" width="31.28515625" bestFit="1" customWidth="1"/>
    <col min="21" max="21" width="21.85546875" bestFit="1" customWidth="1"/>
    <col min="22" max="22" width="22.28515625" bestFit="1" customWidth="1"/>
    <col min="23" max="23" width="19" bestFit="1" customWidth="1"/>
  </cols>
  <sheetData>
    <row r="1" spans="1:23" ht="15.75" x14ac:dyDescent="0.25">
      <c r="A1" s="39" t="s">
        <v>608</v>
      </c>
      <c r="B1" s="40"/>
      <c r="C1" s="41"/>
      <c r="D1" s="40"/>
      <c r="E1" s="40"/>
      <c r="F1" s="40"/>
      <c r="G1" s="40"/>
      <c r="H1" s="40"/>
      <c r="I1" s="40"/>
      <c r="J1" s="40"/>
      <c r="K1" s="40"/>
      <c r="L1" s="40"/>
      <c r="M1" s="40"/>
      <c r="N1" s="40"/>
      <c r="O1" s="40"/>
      <c r="P1" s="40"/>
      <c r="Q1" s="40"/>
      <c r="R1" s="40"/>
      <c r="S1" s="40"/>
      <c r="T1" s="40"/>
      <c r="U1" s="40"/>
      <c r="V1" s="40"/>
      <c r="W1" s="40"/>
    </row>
    <row r="2" spans="1:23" x14ac:dyDescent="0.25">
      <c r="A2" s="42" t="s">
        <v>0</v>
      </c>
      <c r="B2" s="40"/>
      <c r="C2" s="40"/>
      <c r="D2" s="40"/>
      <c r="E2" s="40"/>
      <c r="F2" s="40"/>
      <c r="G2" s="40"/>
      <c r="H2" s="40"/>
      <c r="I2" s="40"/>
      <c r="J2" s="40"/>
      <c r="K2" s="40"/>
      <c r="L2" s="40"/>
      <c r="M2" s="40"/>
      <c r="N2" s="40"/>
      <c r="O2" s="40"/>
      <c r="P2" s="40"/>
      <c r="Q2" s="40"/>
      <c r="R2" s="40"/>
      <c r="S2" s="40"/>
      <c r="T2" s="40"/>
      <c r="U2" s="40"/>
      <c r="V2" s="40"/>
      <c r="W2" s="40"/>
    </row>
    <row r="3" spans="1:23" x14ac:dyDescent="0.25">
      <c r="A3" s="43" t="s">
        <v>1</v>
      </c>
      <c r="B3" s="44" t="s">
        <v>2</v>
      </c>
      <c r="C3" s="45" t="s">
        <v>3</v>
      </c>
      <c r="D3" s="46" t="s">
        <v>4</v>
      </c>
      <c r="E3" s="44" t="s">
        <v>5</v>
      </c>
      <c r="F3" s="47" t="s">
        <v>6</v>
      </c>
      <c r="G3" s="47" t="s">
        <v>618</v>
      </c>
      <c r="H3" s="47" t="s">
        <v>9</v>
      </c>
      <c r="I3" s="47" t="s">
        <v>10</v>
      </c>
      <c r="J3" s="47" t="s">
        <v>11</v>
      </c>
      <c r="K3" s="45" t="s">
        <v>12</v>
      </c>
      <c r="L3" s="46" t="s">
        <v>619</v>
      </c>
      <c r="M3" s="46" t="s">
        <v>620</v>
      </c>
      <c r="N3" s="46" t="s">
        <v>621</v>
      </c>
      <c r="O3" s="46" t="s">
        <v>622</v>
      </c>
      <c r="P3" s="46" t="s">
        <v>623</v>
      </c>
      <c r="Q3" s="46" t="s">
        <v>624</v>
      </c>
      <c r="R3" s="46" t="s">
        <v>625</v>
      </c>
      <c r="S3" s="46" t="s">
        <v>626</v>
      </c>
      <c r="T3" s="46" t="s">
        <v>627</v>
      </c>
      <c r="U3" s="46" t="s">
        <v>13</v>
      </c>
      <c r="V3" s="46" t="s">
        <v>14</v>
      </c>
      <c r="W3" s="46" t="s">
        <v>15</v>
      </c>
    </row>
    <row r="4" spans="1:23" x14ac:dyDescent="0.25">
      <c r="A4" s="48" t="s">
        <v>16</v>
      </c>
      <c r="B4" s="49">
        <v>8471110</v>
      </c>
      <c r="C4" s="50" t="s">
        <v>431</v>
      </c>
      <c r="D4" s="51">
        <v>425900</v>
      </c>
      <c r="E4" s="50" t="s">
        <v>24</v>
      </c>
      <c r="F4" s="50" t="s">
        <v>432</v>
      </c>
      <c r="G4" s="52">
        <v>30000</v>
      </c>
      <c r="H4" s="53"/>
      <c r="I4" s="67"/>
      <c r="J4" s="65"/>
      <c r="K4" s="56">
        <v>30000</v>
      </c>
      <c r="L4" s="55"/>
      <c r="M4" s="54"/>
      <c r="N4" s="57"/>
      <c r="O4" s="57"/>
      <c r="P4" s="57"/>
      <c r="Q4" s="57"/>
      <c r="R4" s="57"/>
      <c r="S4" s="57"/>
      <c r="T4" s="57"/>
      <c r="U4" s="57"/>
      <c r="V4" s="58">
        <f t="shared" ref="V4:V34" si="0">K4-(SUM(L4:T4))</f>
        <v>30000</v>
      </c>
      <c r="W4" s="57"/>
    </row>
    <row r="5" spans="1:23" x14ac:dyDescent="0.25">
      <c r="A5" s="48" t="s">
        <v>16</v>
      </c>
      <c r="B5" s="49">
        <v>8471110</v>
      </c>
      <c r="C5" s="50" t="s">
        <v>431</v>
      </c>
      <c r="D5" s="51">
        <v>427710</v>
      </c>
      <c r="E5" s="50" t="s">
        <v>45</v>
      </c>
      <c r="F5" s="50" t="s">
        <v>433</v>
      </c>
      <c r="G5" s="52">
        <v>350707</v>
      </c>
      <c r="H5" s="53"/>
      <c r="I5" s="67">
        <v>332272.18</v>
      </c>
      <c r="J5" s="65">
        <v>15426.6</v>
      </c>
      <c r="K5" s="56">
        <v>3008.2199999999698</v>
      </c>
      <c r="L5" s="55"/>
      <c r="M5" s="54"/>
      <c r="N5" s="57"/>
      <c r="O5" s="57"/>
      <c r="P5" s="57"/>
      <c r="Q5" s="57"/>
      <c r="R5" s="57"/>
      <c r="S5" s="57"/>
      <c r="T5" s="57"/>
      <c r="U5" s="57"/>
      <c r="V5" s="58">
        <f t="shared" si="0"/>
        <v>3008.2199999999698</v>
      </c>
      <c r="W5" s="57"/>
    </row>
    <row r="6" spans="1:23" x14ac:dyDescent="0.25">
      <c r="A6" s="48" t="s">
        <v>16</v>
      </c>
      <c r="B6" s="49">
        <v>8471110</v>
      </c>
      <c r="C6" s="50" t="s">
        <v>431</v>
      </c>
      <c r="D6" s="51">
        <v>428090</v>
      </c>
      <c r="E6" s="50" t="s">
        <v>26</v>
      </c>
      <c r="F6" s="50" t="s">
        <v>434</v>
      </c>
      <c r="G6" s="52">
        <v>100000</v>
      </c>
      <c r="H6" s="53"/>
      <c r="I6" s="67"/>
      <c r="J6" s="65"/>
      <c r="K6" s="56">
        <v>100000</v>
      </c>
      <c r="L6" s="55"/>
      <c r="M6" s="54"/>
      <c r="N6" s="57"/>
      <c r="O6" s="57"/>
      <c r="P6" s="57"/>
      <c r="Q6" s="57"/>
      <c r="R6" s="57"/>
      <c r="S6" s="57"/>
      <c r="T6" s="57"/>
      <c r="U6" s="57"/>
      <c r="V6" s="58">
        <f t="shared" si="0"/>
        <v>100000</v>
      </c>
      <c r="W6" s="57"/>
    </row>
    <row r="7" spans="1:23" x14ac:dyDescent="0.25">
      <c r="A7" s="48" t="s">
        <v>16</v>
      </c>
      <c r="B7" s="49">
        <v>8471130</v>
      </c>
      <c r="C7" s="50" t="s">
        <v>435</v>
      </c>
      <c r="D7" s="51">
        <v>420811</v>
      </c>
      <c r="E7" s="50" t="s">
        <v>77</v>
      </c>
      <c r="F7" s="50" t="s">
        <v>436</v>
      </c>
      <c r="G7" s="52">
        <v>310000</v>
      </c>
      <c r="H7" s="53"/>
      <c r="I7" s="67">
        <v>306328.2</v>
      </c>
      <c r="J7" s="65"/>
      <c r="K7" s="56">
        <v>3671.7999999999902</v>
      </c>
      <c r="L7" s="55"/>
      <c r="M7" s="54"/>
      <c r="N7" s="57"/>
      <c r="O7" s="57"/>
      <c r="P7" s="57"/>
      <c r="Q7" s="57"/>
      <c r="R7" s="57"/>
      <c r="S7" s="57"/>
      <c r="T7" s="57"/>
      <c r="U7" s="57"/>
      <c r="V7" s="58">
        <f t="shared" si="0"/>
        <v>3671.7999999999902</v>
      </c>
      <c r="W7" s="57"/>
    </row>
    <row r="8" spans="1:23" x14ac:dyDescent="0.25">
      <c r="A8" s="48" t="s">
        <v>16</v>
      </c>
      <c r="B8" s="49">
        <v>8471130</v>
      </c>
      <c r="C8" s="50" t="s">
        <v>435</v>
      </c>
      <c r="D8" s="51">
        <v>426610</v>
      </c>
      <c r="E8" s="50" t="s">
        <v>39</v>
      </c>
      <c r="F8" s="50" t="s">
        <v>437</v>
      </c>
      <c r="G8" s="52">
        <v>171713</v>
      </c>
      <c r="H8" s="53"/>
      <c r="I8" s="67">
        <v>1505</v>
      </c>
      <c r="J8" s="65"/>
      <c r="K8" s="56">
        <v>170208</v>
      </c>
      <c r="L8" s="55"/>
      <c r="M8" s="54"/>
      <c r="N8" s="57"/>
      <c r="O8" s="57"/>
      <c r="P8" s="57"/>
      <c r="Q8" s="57"/>
      <c r="R8" s="57"/>
      <c r="S8" s="57"/>
      <c r="T8" s="57"/>
      <c r="U8" s="57"/>
      <c r="V8" s="58">
        <f t="shared" si="0"/>
        <v>170208</v>
      </c>
      <c r="W8" s="57"/>
    </row>
    <row r="9" spans="1:23" x14ac:dyDescent="0.25">
      <c r="A9" s="48" t="s">
        <v>16</v>
      </c>
      <c r="B9" s="49">
        <v>8471130</v>
      </c>
      <c r="C9" s="50" t="s">
        <v>435</v>
      </c>
      <c r="D9" s="51">
        <v>428090</v>
      </c>
      <c r="E9" s="50" t="s">
        <v>26</v>
      </c>
      <c r="F9" s="50" t="s">
        <v>438</v>
      </c>
      <c r="G9" s="52">
        <v>23760</v>
      </c>
      <c r="H9" s="53"/>
      <c r="I9" s="67"/>
      <c r="J9" s="65"/>
      <c r="K9" s="56">
        <v>23760</v>
      </c>
      <c r="L9" s="55"/>
      <c r="M9" s="54"/>
      <c r="N9" s="57"/>
      <c r="O9" s="57"/>
      <c r="P9" s="57"/>
      <c r="Q9" s="57"/>
      <c r="R9" s="57"/>
      <c r="S9" s="57"/>
      <c r="T9" s="57"/>
      <c r="U9" s="57"/>
      <c r="V9" s="58">
        <f t="shared" si="0"/>
        <v>23760</v>
      </c>
      <c r="W9" s="57"/>
    </row>
    <row r="10" spans="1:23" x14ac:dyDescent="0.25">
      <c r="A10" s="48" t="s">
        <v>16</v>
      </c>
      <c r="B10" s="49">
        <v>8471130</v>
      </c>
      <c r="C10" s="50" t="s">
        <v>435</v>
      </c>
      <c r="D10" s="51">
        <v>435523</v>
      </c>
      <c r="E10" s="50" t="s">
        <v>74</v>
      </c>
      <c r="F10" s="50" t="s">
        <v>439</v>
      </c>
      <c r="G10" s="52">
        <v>157190</v>
      </c>
      <c r="H10" s="59">
        <v>20242.95</v>
      </c>
      <c r="I10" s="67"/>
      <c r="J10" s="65"/>
      <c r="K10" s="56">
        <v>136947.04999999999</v>
      </c>
      <c r="L10" s="55"/>
      <c r="M10" s="54"/>
      <c r="N10" s="57"/>
      <c r="O10" s="57"/>
      <c r="P10" s="57"/>
      <c r="Q10" s="57"/>
      <c r="R10" s="57"/>
      <c r="S10" s="57"/>
      <c r="T10" s="57"/>
      <c r="U10" s="57"/>
      <c r="V10" s="58">
        <f t="shared" si="0"/>
        <v>136947.04999999999</v>
      </c>
      <c r="W10" s="57"/>
    </row>
    <row r="11" spans="1:23" x14ac:dyDescent="0.25">
      <c r="A11" s="48" t="s">
        <v>16</v>
      </c>
      <c r="B11" s="49">
        <v>8471140</v>
      </c>
      <c r="C11" s="50" t="s">
        <v>440</v>
      </c>
      <c r="D11" s="51">
        <v>420570</v>
      </c>
      <c r="E11" s="50" t="s">
        <v>87</v>
      </c>
      <c r="F11" s="50" t="s">
        <v>441</v>
      </c>
      <c r="G11" s="52">
        <v>4818360</v>
      </c>
      <c r="H11" s="59">
        <v>918250</v>
      </c>
      <c r="I11" s="67"/>
      <c r="J11" s="65"/>
      <c r="K11" s="56">
        <v>3900110</v>
      </c>
      <c r="L11" s="55"/>
      <c r="M11" s="54"/>
      <c r="N11" s="57"/>
      <c r="O11" s="57"/>
      <c r="P11" s="57"/>
      <c r="Q11" s="57"/>
      <c r="R11" s="57"/>
      <c r="S11" s="57"/>
      <c r="T11" s="57"/>
      <c r="U11" s="57"/>
      <c r="V11" s="58">
        <f t="shared" si="0"/>
        <v>3900110</v>
      </c>
      <c r="W11" s="57"/>
    </row>
    <row r="12" spans="1:23" x14ac:dyDescent="0.25">
      <c r="A12" s="48" t="s">
        <v>16</v>
      </c>
      <c r="B12" s="49">
        <v>8471140</v>
      </c>
      <c r="C12" s="50" t="s">
        <v>440</v>
      </c>
      <c r="D12" s="51">
        <v>420570</v>
      </c>
      <c r="E12" s="50" t="s">
        <v>87</v>
      </c>
      <c r="F12" s="50" t="s">
        <v>442</v>
      </c>
      <c r="G12" s="52">
        <v>290123</v>
      </c>
      <c r="H12" s="53"/>
      <c r="I12" s="67"/>
      <c r="J12" s="65"/>
      <c r="K12" s="56">
        <v>290123</v>
      </c>
      <c r="L12" s="55"/>
      <c r="M12" s="54"/>
      <c r="N12" s="57"/>
      <c r="O12" s="57"/>
      <c r="P12" s="57"/>
      <c r="Q12" s="57"/>
      <c r="R12" s="57"/>
      <c r="S12" s="57"/>
      <c r="T12" s="57"/>
      <c r="U12" s="57"/>
      <c r="V12" s="58">
        <f t="shared" si="0"/>
        <v>290123</v>
      </c>
      <c r="W12" s="57"/>
    </row>
    <row r="13" spans="1:23" x14ac:dyDescent="0.25">
      <c r="A13" s="48" t="s">
        <v>16</v>
      </c>
      <c r="B13" s="49">
        <v>8471140</v>
      </c>
      <c r="C13" s="50" t="s">
        <v>440</v>
      </c>
      <c r="D13" s="51">
        <v>421000</v>
      </c>
      <c r="E13" s="50" t="s">
        <v>34</v>
      </c>
      <c r="F13" s="50" t="s">
        <v>443</v>
      </c>
      <c r="G13" s="52">
        <v>551250</v>
      </c>
      <c r="H13" s="53"/>
      <c r="I13" s="67">
        <v>205688</v>
      </c>
      <c r="J13" s="65"/>
      <c r="K13" s="56">
        <v>345562</v>
      </c>
      <c r="L13" s="55"/>
      <c r="M13" s="54"/>
      <c r="N13" s="57"/>
      <c r="O13" s="57"/>
      <c r="P13" s="57"/>
      <c r="Q13" s="57"/>
      <c r="R13" s="57"/>
      <c r="S13" s="57"/>
      <c r="T13" s="57"/>
      <c r="U13" s="57"/>
      <c r="V13" s="58">
        <f t="shared" si="0"/>
        <v>345562</v>
      </c>
      <c r="W13" s="57"/>
    </row>
    <row r="14" spans="1:23" x14ac:dyDescent="0.25">
      <c r="A14" s="48" t="s">
        <v>16</v>
      </c>
      <c r="B14" s="49">
        <v>8471140</v>
      </c>
      <c r="C14" s="50" t="s">
        <v>440</v>
      </c>
      <c r="D14" s="51">
        <v>428090</v>
      </c>
      <c r="E14" s="50" t="s">
        <v>26</v>
      </c>
      <c r="F14" s="50" t="s">
        <v>444</v>
      </c>
      <c r="G14" s="52">
        <v>100000</v>
      </c>
      <c r="H14" s="53"/>
      <c r="I14" s="67"/>
      <c r="J14" s="65"/>
      <c r="K14" s="56">
        <v>100000</v>
      </c>
      <c r="L14" s="55"/>
      <c r="M14" s="54"/>
      <c r="N14" s="57"/>
      <c r="O14" s="57"/>
      <c r="P14" s="57"/>
      <c r="Q14" s="57"/>
      <c r="R14" s="57"/>
      <c r="S14" s="57"/>
      <c r="T14" s="57"/>
      <c r="U14" s="57"/>
      <c r="V14" s="58">
        <f t="shared" si="0"/>
        <v>100000</v>
      </c>
      <c r="W14" s="57"/>
    </row>
    <row r="15" spans="1:23" x14ac:dyDescent="0.25">
      <c r="A15" s="48" t="s">
        <v>16</v>
      </c>
      <c r="B15" s="49">
        <v>8471140</v>
      </c>
      <c r="C15" s="50" t="s">
        <v>440</v>
      </c>
      <c r="D15" s="51">
        <v>435523</v>
      </c>
      <c r="E15" s="50" t="s">
        <v>74</v>
      </c>
      <c r="F15" s="50" t="s">
        <v>445</v>
      </c>
      <c r="G15" s="52">
        <v>37853390</v>
      </c>
      <c r="H15" s="59">
        <v>6132778</v>
      </c>
      <c r="I15" s="67">
        <v>601502.93999999994</v>
      </c>
      <c r="J15" s="65">
        <v>246298.13</v>
      </c>
      <c r="K15" s="56">
        <v>30872810.93</v>
      </c>
      <c r="L15" s="55"/>
      <c r="M15" s="54"/>
      <c r="N15" s="57"/>
      <c r="O15" s="57"/>
      <c r="P15" s="57"/>
      <c r="Q15" s="57"/>
      <c r="R15" s="57"/>
      <c r="S15" s="57"/>
      <c r="T15" s="57"/>
      <c r="U15" s="57"/>
      <c r="V15" s="58">
        <f t="shared" si="0"/>
        <v>30872810.93</v>
      </c>
      <c r="W15" s="57"/>
    </row>
    <row r="16" spans="1:23" x14ac:dyDescent="0.25">
      <c r="A16" s="48" t="s">
        <v>16</v>
      </c>
      <c r="B16" s="49">
        <v>8471140</v>
      </c>
      <c r="C16" s="50" t="s">
        <v>440</v>
      </c>
      <c r="D16" s="51">
        <v>435523</v>
      </c>
      <c r="E16" s="50" t="s">
        <v>74</v>
      </c>
      <c r="F16" s="50" t="s">
        <v>446</v>
      </c>
      <c r="G16" s="52">
        <v>42856513</v>
      </c>
      <c r="H16" s="59">
        <v>11344571.25</v>
      </c>
      <c r="I16" s="67">
        <v>-790740.86000000103</v>
      </c>
      <c r="J16" s="65">
        <v>1046846.09</v>
      </c>
      <c r="K16" s="56">
        <v>31256352.449999999</v>
      </c>
      <c r="L16" s="55"/>
      <c r="M16" s="54"/>
      <c r="N16" s="57"/>
      <c r="O16" s="57"/>
      <c r="P16" s="57"/>
      <c r="Q16" s="57"/>
      <c r="R16" s="57"/>
      <c r="S16" s="57"/>
      <c r="T16" s="57"/>
      <c r="U16" s="57"/>
      <c r="V16" s="58">
        <f t="shared" si="0"/>
        <v>31256352.449999999</v>
      </c>
      <c r="W16" s="57"/>
    </row>
    <row r="17" spans="1:23" x14ac:dyDescent="0.25">
      <c r="A17" s="48" t="s">
        <v>16</v>
      </c>
      <c r="B17" s="49">
        <v>8471150</v>
      </c>
      <c r="C17" s="50" t="s">
        <v>447</v>
      </c>
      <c r="D17" s="51">
        <v>420900</v>
      </c>
      <c r="E17" s="50" t="s">
        <v>64</v>
      </c>
      <c r="F17" s="50" t="s">
        <v>448</v>
      </c>
      <c r="G17" s="52">
        <v>4979000</v>
      </c>
      <c r="H17" s="59">
        <v>33644.239999999998</v>
      </c>
      <c r="I17" s="67">
        <v>4578876</v>
      </c>
      <c r="J17" s="65"/>
      <c r="K17" s="56">
        <v>366479.76</v>
      </c>
      <c r="L17" s="55"/>
      <c r="M17" s="54"/>
      <c r="N17" s="57"/>
      <c r="O17" s="57"/>
      <c r="P17" s="57"/>
      <c r="Q17" s="57"/>
      <c r="R17" s="57"/>
      <c r="S17" s="57"/>
      <c r="T17" s="57"/>
      <c r="U17" s="57"/>
      <c r="V17" s="58">
        <f t="shared" si="0"/>
        <v>366479.76</v>
      </c>
      <c r="W17" s="57"/>
    </row>
    <row r="18" spans="1:23" x14ac:dyDescent="0.25">
      <c r="A18" s="48" t="s">
        <v>16</v>
      </c>
      <c r="B18" s="49">
        <v>8471150</v>
      </c>
      <c r="C18" s="50" t="s">
        <v>447</v>
      </c>
      <c r="D18" s="51">
        <v>420900</v>
      </c>
      <c r="E18" s="50" t="s">
        <v>64</v>
      </c>
      <c r="F18" s="50" t="s">
        <v>449</v>
      </c>
      <c r="G18" s="55"/>
      <c r="H18" s="59">
        <v>-1216.43</v>
      </c>
      <c r="I18" s="67"/>
      <c r="J18" s="65">
        <v>1216.43</v>
      </c>
      <c r="K18" s="56">
        <v>0</v>
      </c>
      <c r="L18" s="55"/>
      <c r="M18" s="54"/>
      <c r="N18" s="57"/>
      <c r="O18" s="57"/>
      <c r="P18" s="57"/>
      <c r="Q18" s="57"/>
      <c r="R18" s="57"/>
      <c r="S18" s="57"/>
      <c r="T18" s="57"/>
      <c r="U18" s="57"/>
      <c r="V18" s="58">
        <f t="shared" si="0"/>
        <v>0</v>
      </c>
      <c r="W18" s="57"/>
    </row>
    <row r="19" spans="1:23" x14ac:dyDescent="0.25">
      <c r="A19" s="48" t="s">
        <v>16</v>
      </c>
      <c r="B19" s="49">
        <v>8471150</v>
      </c>
      <c r="C19" s="50" t="s">
        <v>447</v>
      </c>
      <c r="D19" s="51">
        <v>425510</v>
      </c>
      <c r="E19" s="50" t="s">
        <v>20</v>
      </c>
      <c r="F19" s="50" t="s">
        <v>450</v>
      </c>
      <c r="G19" s="52">
        <v>2000</v>
      </c>
      <c r="H19" s="59">
        <v>918.75</v>
      </c>
      <c r="I19" s="67"/>
      <c r="J19" s="65"/>
      <c r="K19" s="56">
        <v>1081.25</v>
      </c>
      <c r="L19" s="55"/>
      <c r="M19" s="54"/>
      <c r="N19" s="57"/>
      <c r="O19" s="57"/>
      <c r="P19" s="57"/>
      <c r="Q19" s="57"/>
      <c r="R19" s="57"/>
      <c r="S19" s="57"/>
      <c r="T19" s="57"/>
      <c r="U19" s="57"/>
      <c r="V19" s="58">
        <f t="shared" si="0"/>
        <v>1081.25</v>
      </c>
      <c r="W19" s="57"/>
    </row>
    <row r="20" spans="1:23" x14ac:dyDescent="0.25">
      <c r="A20" s="48" t="s">
        <v>16</v>
      </c>
      <c r="B20" s="49">
        <v>8471150</v>
      </c>
      <c r="C20" s="50" t="s">
        <v>447</v>
      </c>
      <c r="D20" s="51">
        <v>425550</v>
      </c>
      <c r="E20" s="50" t="s">
        <v>22</v>
      </c>
      <c r="F20" s="50" t="s">
        <v>451</v>
      </c>
      <c r="G20" s="52">
        <v>26095</v>
      </c>
      <c r="H20" s="59">
        <v>12109.5</v>
      </c>
      <c r="I20" s="67"/>
      <c r="J20" s="65"/>
      <c r="K20" s="56">
        <v>13985.5</v>
      </c>
      <c r="L20" s="55"/>
      <c r="M20" s="54"/>
      <c r="N20" s="57"/>
      <c r="O20" s="57"/>
      <c r="P20" s="57"/>
      <c r="Q20" s="57"/>
      <c r="R20" s="57"/>
      <c r="S20" s="57"/>
      <c r="T20" s="57"/>
      <c r="U20" s="57"/>
      <c r="V20" s="58">
        <f t="shared" si="0"/>
        <v>13985.5</v>
      </c>
      <c r="W20" s="57"/>
    </row>
    <row r="21" spans="1:23" x14ac:dyDescent="0.25">
      <c r="A21" s="48" t="s">
        <v>16</v>
      </c>
      <c r="B21" s="49">
        <v>8471150</v>
      </c>
      <c r="C21" s="50" t="s">
        <v>447</v>
      </c>
      <c r="D21" s="51">
        <v>426610</v>
      </c>
      <c r="E21" s="50" t="s">
        <v>39</v>
      </c>
      <c r="F21" s="50" t="s">
        <v>452</v>
      </c>
      <c r="G21" s="52">
        <v>3881</v>
      </c>
      <c r="H21" s="53"/>
      <c r="I21" s="67"/>
      <c r="J21" s="65"/>
      <c r="K21" s="56">
        <v>3881</v>
      </c>
      <c r="L21" s="55"/>
      <c r="M21" s="54"/>
      <c r="N21" s="57"/>
      <c r="O21" s="57"/>
      <c r="P21" s="57"/>
      <c r="Q21" s="57"/>
      <c r="R21" s="57"/>
      <c r="S21" s="57"/>
      <c r="T21" s="57"/>
      <c r="U21" s="57"/>
      <c r="V21" s="58">
        <f t="shared" si="0"/>
        <v>3881</v>
      </c>
      <c r="W21" s="57"/>
    </row>
    <row r="22" spans="1:23" x14ac:dyDescent="0.25">
      <c r="A22" s="48" t="s">
        <v>16</v>
      </c>
      <c r="B22" s="49">
        <v>8471160</v>
      </c>
      <c r="C22" s="50" t="s">
        <v>453</v>
      </c>
      <c r="D22" s="51">
        <v>425900</v>
      </c>
      <c r="E22" s="50" t="s">
        <v>24</v>
      </c>
      <c r="F22" s="50" t="s">
        <v>454</v>
      </c>
      <c r="G22" s="52">
        <v>12000</v>
      </c>
      <c r="H22" s="59">
        <v>3780</v>
      </c>
      <c r="I22" s="67"/>
      <c r="J22" s="65"/>
      <c r="K22" s="56">
        <v>8220</v>
      </c>
      <c r="L22" s="55"/>
      <c r="M22" s="54"/>
      <c r="N22" s="57"/>
      <c r="O22" s="57"/>
      <c r="P22" s="57"/>
      <c r="Q22" s="57"/>
      <c r="R22" s="57"/>
      <c r="S22" s="57"/>
      <c r="T22" s="57"/>
      <c r="U22" s="57"/>
      <c r="V22" s="58">
        <f t="shared" si="0"/>
        <v>8220</v>
      </c>
      <c r="W22" s="57"/>
    </row>
    <row r="23" spans="1:23" x14ac:dyDescent="0.25">
      <c r="A23" s="48" t="s">
        <v>16</v>
      </c>
      <c r="B23" s="49">
        <v>8471160</v>
      </c>
      <c r="C23" s="50" t="s">
        <v>453</v>
      </c>
      <c r="D23" s="51">
        <v>426610</v>
      </c>
      <c r="E23" s="50" t="s">
        <v>39</v>
      </c>
      <c r="F23" s="50" t="s">
        <v>455</v>
      </c>
      <c r="G23" s="52">
        <v>140763</v>
      </c>
      <c r="H23" s="59">
        <v>194669</v>
      </c>
      <c r="I23" s="67">
        <v>24000</v>
      </c>
      <c r="J23" s="65">
        <v>-108169</v>
      </c>
      <c r="K23" s="56">
        <v>30263</v>
      </c>
      <c r="L23" s="55"/>
      <c r="M23" s="54"/>
      <c r="N23" s="57"/>
      <c r="O23" s="57"/>
      <c r="P23" s="57"/>
      <c r="Q23" s="57"/>
      <c r="R23" s="57"/>
      <c r="S23" s="57"/>
      <c r="T23" s="57"/>
      <c r="U23" s="57"/>
      <c r="V23" s="58">
        <f t="shared" si="0"/>
        <v>30263</v>
      </c>
      <c r="W23" s="57"/>
    </row>
    <row r="24" spans="1:23" x14ac:dyDescent="0.25">
      <c r="A24" s="48" t="s">
        <v>16</v>
      </c>
      <c r="B24" s="49">
        <v>8471160</v>
      </c>
      <c r="C24" s="50" t="s">
        <v>453</v>
      </c>
      <c r="D24" s="51">
        <v>428090</v>
      </c>
      <c r="E24" s="50" t="s">
        <v>26</v>
      </c>
      <c r="F24" s="50" t="s">
        <v>456</v>
      </c>
      <c r="G24" s="52">
        <v>300000</v>
      </c>
      <c r="H24" s="53"/>
      <c r="I24" s="67"/>
      <c r="J24" s="65"/>
      <c r="K24" s="56">
        <v>300000</v>
      </c>
      <c r="L24" s="55"/>
      <c r="M24" s="54"/>
      <c r="N24" s="57"/>
      <c r="O24" s="57"/>
      <c r="P24" s="57"/>
      <c r="Q24" s="57"/>
      <c r="R24" s="57"/>
      <c r="S24" s="57"/>
      <c r="T24" s="57"/>
      <c r="U24" s="57"/>
      <c r="V24" s="58">
        <f t="shared" si="0"/>
        <v>300000</v>
      </c>
      <c r="W24" s="57"/>
    </row>
    <row r="25" spans="1:23" x14ac:dyDescent="0.25">
      <c r="A25" s="48" t="s">
        <v>16</v>
      </c>
      <c r="B25" s="49">
        <v>8471160</v>
      </c>
      <c r="C25" s="50" t="s">
        <v>453</v>
      </c>
      <c r="D25" s="51">
        <v>432209</v>
      </c>
      <c r="E25" s="50" t="s">
        <v>124</v>
      </c>
      <c r="F25" s="50" t="s">
        <v>457</v>
      </c>
      <c r="G25" s="52">
        <v>9057075</v>
      </c>
      <c r="H25" s="59">
        <v>2643232.59</v>
      </c>
      <c r="I25" s="67">
        <v>3020864.97</v>
      </c>
      <c r="J25" s="65">
        <v>3216586.02</v>
      </c>
      <c r="K25" s="56">
        <v>176391.42</v>
      </c>
      <c r="L25" s="55"/>
      <c r="M25" s="54"/>
      <c r="N25" s="57"/>
      <c r="O25" s="57"/>
      <c r="P25" s="57"/>
      <c r="Q25" s="57"/>
      <c r="R25" s="57"/>
      <c r="S25" s="57"/>
      <c r="T25" s="57"/>
      <c r="U25" s="57"/>
      <c r="V25" s="58">
        <f t="shared" si="0"/>
        <v>176391.42</v>
      </c>
      <c r="W25" s="57"/>
    </row>
    <row r="26" spans="1:23" x14ac:dyDescent="0.25">
      <c r="A26" s="48" t="s">
        <v>16</v>
      </c>
      <c r="B26" s="49">
        <v>8471160</v>
      </c>
      <c r="C26" s="50" t="s">
        <v>453</v>
      </c>
      <c r="D26" s="51">
        <v>435508</v>
      </c>
      <c r="E26" s="50" t="s">
        <v>100</v>
      </c>
      <c r="F26" s="50" t="s">
        <v>458</v>
      </c>
      <c r="G26" s="52">
        <v>5364533</v>
      </c>
      <c r="H26" s="59">
        <v>1330112.71</v>
      </c>
      <c r="I26" s="67">
        <v>1170780.5</v>
      </c>
      <c r="J26" s="65">
        <v>1372684.65</v>
      </c>
      <c r="K26" s="56">
        <v>1490955.14</v>
      </c>
      <c r="L26" s="55"/>
      <c r="M26" s="54"/>
      <c r="N26" s="57"/>
      <c r="O26" s="57"/>
      <c r="P26" s="57"/>
      <c r="Q26" s="57"/>
      <c r="R26" s="57"/>
      <c r="S26" s="57"/>
      <c r="T26" s="57"/>
      <c r="U26" s="57"/>
      <c r="V26" s="58">
        <f t="shared" si="0"/>
        <v>1490955.14</v>
      </c>
      <c r="W26" s="57"/>
    </row>
    <row r="27" spans="1:23" x14ac:dyDescent="0.25">
      <c r="A27" s="48" t="s">
        <v>16</v>
      </c>
      <c r="B27" s="49">
        <v>8471160</v>
      </c>
      <c r="C27" s="50" t="s">
        <v>453</v>
      </c>
      <c r="D27" s="51">
        <v>436600</v>
      </c>
      <c r="E27" s="50" t="s">
        <v>160</v>
      </c>
      <c r="F27" s="50" t="s">
        <v>459</v>
      </c>
      <c r="G27" s="52">
        <v>1000</v>
      </c>
      <c r="H27" s="53"/>
      <c r="I27" s="67"/>
      <c r="J27" s="65"/>
      <c r="K27" s="56">
        <v>1000</v>
      </c>
      <c r="L27" s="55"/>
      <c r="M27" s="54"/>
      <c r="N27" s="57"/>
      <c r="O27" s="57"/>
      <c r="P27" s="57"/>
      <c r="Q27" s="57"/>
      <c r="R27" s="57"/>
      <c r="S27" s="57"/>
      <c r="T27" s="57"/>
      <c r="U27" s="57"/>
      <c r="V27" s="58">
        <f t="shared" si="0"/>
        <v>1000</v>
      </c>
      <c r="W27" s="57"/>
    </row>
    <row r="28" spans="1:23" x14ac:dyDescent="0.25">
      <c r="A28" s="48" t="s">
        <v>16</v>
      </c>
      <c r="B28" s="49">
        <v>8471170</v>
      </c>
      <c r="C28" s="50" t="s">
        <v>460</v>
      </c>
      <c r="D28" s="51">
        <v>420811</v>
      </c>
      <c r="E28" s="50" t="s">
        <v>77</v>
      </c>
      <c r="F28" s="50" t="s">
        <v>461</v>
      </c>
      <c r="G28" s="52">
        <v>871940</v>
      </c>
      <c r="H28" s="59">
        <v>551000</v>
      </c>
      <c r="I28" s="67">
        <v>-551000</v>
      </c>
      <c r="J28" s="65">
        <v>871932.8</v>
      </c>
      <c r="K28" s="56">
        <v>7.2000000000116398</v>
      </c>
      <c r="L28" s="55"/>
      <c r="M28" s="54"/>
      <c r="N28" s="57"/>
      <c r="O28" s="57"/>
      <c r="P28" s="57"/>
      <c r="Q28" s="57"/>
      <c r="R28" s="57"/>
      <c r="S28" s="57"/>
      <c r="T28" s="57"/>
      <c r="U28" s="57"/>
      <c r="V28" s="58">
        <f t="shared" si="0"/>
        <v>7.2000000000116398</v>
      </c>
      <c r="W28" s="57"/>
    </row>
    <row r="29" spans="1:23" x14ac:dyDescent="0.25">
      <c r="A29" s="48" t="s">
        <v>16</v>
      </c>
      <c r="B29" s="49">
        <v>8471170</v>
      </c>
      <c r="C29" s="50" t="s">
        <v>460</v>
      </c>
      <c r="D29" s="51">
        <v>426610</v>
      </c>
      <c r="E29" s="50" t="s">
        <v>39</v>
      </c>
      <c r="F29" s="50" t="s">
        <v>462</v>
      </c>
      <c r="G29" s="52">
        <v>1960909</v>
      </c>
      <c r="H29" s="59">
        <v>58915.86</v>
      </c>
      <c r="I29" s="67">
        <v>1157515.81</v>
      </c>
      <c r="J29" s="65">
        <v>95467.54</v>
      </c>
      <c r="K29" s="56">
        <v>649009.79</v>
      </c>
      <c r="L29" s="55"/>
      <c r="M29" s="54"/>
      <c r="N29" s="57"/>
      <c r="O29" s="57"/>
      <c r="P29" s="57"/>
      <c r="Q29" s="57"/>
      <c r="R29" s="57"/>
      <c r="S29" s="57"/>
      <c r="T29" s="57"/>
      <c r="U29" s="57"/>
      <c r="V29" s="58">
        <f t="shared" si="0"/>
        <v>649009.79</v>
      </c>
      <c r="W29" s="57"/>
    </row>
    <row r="30" spans="1:23" x14ac:dyDescent="0.25">
      <c r="A30" s="48" t="s">
        <v>16</v>
      </c>
      <c r="B30" s="49">
        <v>8471170</v>
      </c>
      <c r="C30" s="50" t="s">
        <v>460</v>
      </c>
      <c r="D30" s="51">
        <v>428090</v>
      </c>
      <c r="E30" s="50" t="s">
        <v>26</v>
      </c>
      <c r="F30" s="50" t="s">
        <v>463</v>
      </c>
      <c r="G30" s="52">
        <v>42585</v>
      </c>
      <c r="H30" s="53"/>
      <c r="I30" s="67"/>
      <c r="J30" s="65"/>
      <c r="K30" s="56">
        <v>42585</v>
      </c>
      <c r="L30" s="55"/>
      <c r="M30" s="54"/>
      <c r="N30" s="57"/>
      <c r="O30" s="57"/>
      <c r="P30" s="57"/>
      <c r="Q30" s="57"/>
      <c r="R30" s="57"/>
      <c r="S30" s="57"/>
      <c r="T30" s="57"/>
      <c r="U30" s="57"/>
      <c r="V30" s="58">
        <f t="shared" si="0"/>
        <v>42585</v>
      </c>
      <c r="W30" s="57"/>
    </row>
    <row r="31" spans="1:23" x14ac:dyDescent="0.25">
      <c r="A31" s="48" t="s">
        <v>561</v>
      </c>
      <c r="B31" s="49">
        <v>8471160</v>
      </c>
      <c r="C31" s="50" t="s">
        <v>453</v>
      </c>
      <c r="D31" s="51">
        <v>492200</v>
      </c>
      <c r="E31" s="50" t="s">
        <v>580</v>
      </c>
      <c r="F31" s="50" t="s">
        <v>599</v>
      </c>
      <c r="G31" s="52">
        <v>724500</v>
      </c>
      <c r="H31" s="59">
        <v>64500</v>
      </c>
      <c r="I31" s="67">
        <v>-32000</v>
      </c>
      <c r="J31" s="65">
        <v>0</v>
      </c>
      <c r="K31" s="56">
        <v>692000</v>
      </c>
      <c r="L31" s="55"/>
      <c r="M31" s="54"/>
      <c r="N31" s="57"/>
      <c r="O31" s="57"/>
      <c r="P31" s="57"/>
      <c r="Q31" s="57"/>
      <c r="R31" s="57"/>
      <c r="S31" s="57"/>
      <c r="T31" s="57"/>
      <c r="U31" s="57"/>
      <c r="V31" s="58">
        <f t="shared" si="0"/>
        <v>692000</v>
      </c>
      <c r="W31" s="57"/>
    </row>
    <row r="32" spans="1:23" x14ac:dyDescent="0.25">
      <c r="A32" s="48" t="s">
        <v>561</v>
      </c>
      <c r="B32" s="49">
        <v>8471160</v>
      </c>
      <c r="C32" s="50" t="s">
        <v>453</v>
      </c>
      <c r="D32" s="51">
        <v>492316</v>
      </c>
      <c r="E32" s="50" t="s">
        <v>124</v>
      </c>
      <c r="F32" s="50" t="s">
        <v>600</v>
      </c>
      <c r="G32" s="52">
        <v>67100050</v>
      </c>
      <c r="H32" s="59">
        <v>547715.42000000004</v>
      </c>
      <c r="I32" s="67">
        <v>-266760.96000000002</v>
      </c>
      <c r="J32" s="65">
        <v>631926</v>
      </c>
      <c r="K32" s="56">
        <v>66187169.539999999</v>
      </c>
      <c r="L32" s="55"/>
      <c r="M32" s="54"/>
      <c r="N32" s="57"/>
      <c r="O32" s="57"/>
      <c r="P32" s="57"/>
      <c r="Q32" s="57"/>
      <c r="R32" s="57"/>
      <c r="S32" s="57"/>
      <c r="T32" s="57"/>
      <c r="U32" s="57"/>
      <c r="V32" s="58">
        <f t="shared" si="0"/>
        <v>66187169.539999999</v>
      </c>
      <c r="W32" s="57"/>
    </row>
    <row r="33" spans="1:23" x14ac:dyDescent="0.25">
      <c r="A33" s="48" t="s">
        <v>561</v>
      </c>
      <c r="B33" s="49">
        <v>8471170</v>
      </c>
      <c r="C33" s="50" t="s">
        <v>460</v>
      </c>
      <c r="D33" s="51">
        <v>492316</v>
      </c>
      <c r="E33" s="50" t="s">
        <v>124</v>
      </c>
      <c r="F33" s="50" t="s">
        <v>601</v>
      </c>
      <c r="G33" s="52">
        <v>5000000</v>
      </c>
      <c r="H33" s="53"/>
      <c r="I33" s="67"/>
      <c r="J33" s="65"/>
      <c r="K33" s="56">
        <v>5000000</v>
      </c>
      <c r="L33" s="55"/>
      <c r="M33" s="54"/>
      <c r="N33" s="57"/>
      <c r="O33" s="57"/>
      <c r="P33" s="57"/>
      <c r="Q33" s="57"/>
      <c r="R33" s="57"/>
      <c r="S33" s="57"/>
      <c r="T33" s="57"/>
      <c r="U33" s="57"/>
      <c r="V33" s="58">
        <f t="shared" si="0"/>
        <v>5000000</v>
      </c>
      <c r="W33" s="57"/>
    </row>
    <row r="34" spans="1:23" x14ac:dyDescent="0.25">
      <c r="A34" s="48" t="s">
        <v>561</v>
      </c>
      <c r="B34" s="49">
        <v>8471170</v>
      </c>
      <c r="C34" s="50" t="s">
        <v>460</v>
      </c>
      <c r="D34" s="51">
        <v>495113</v>
      </c>
      <c r="E34" s="50" t="s">
        <v>597</v>
      </c>
      <c r="F34" s="50" t="s">
        <v>602</v>
      </c>
      <c r="G34" s="52">
        <v>240000</v>
      </c>
      <c r="H34" s="53"/>
      <c r="I34" s="67"/>
      <c r="J34" s="65"/>
      <c r="K34" s="56">
        <v>240000</v>
      </c>
      <c r="L34" s="55"/>
      <c r="M34" s="54"/>
      <c r="N34" s="57"/>
      <c r="O34" s="57"/>
      <c r="P34" s="57"/>
      <c r="Q34" s="57"/>
      <c r="R34" s="57"/>
      <c r="S34" s="57"/>
      <c r="T34" s="57"/>
      <c r="U34" s="57"/>
      <c r="V34" s="58">
        <f t="shared" si="0"/>
        <v>240000</v>
      </c>
      <c r="W34" s="57"/>
    </row>
    <row r="35" spans="1:23" x14ac:dyDescent="0.25">
      <c r="G35" s="71"/>
    </row>
  </sheetData>
  <conditionalFormatting sqref="A3 A4:U34 W4:W34">
    <cfRule type="expression" dxfId="4" priority="3" stopIfTrue="1">
      <formula>MOD(ROW(),2)=0</formula>
    </cfRule>
  </conditionalFormatting>
  <conditionalFormatting sqref="V4:V34">
    <cfRule type="expression" dxfId="3" priority="1" stopIfTrue="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working</vt:lpstr>
      <vt:lpstr>Office of the President</vt:lpstr>
      <vt:lpstr>EVP</vt:lpstr>
      <vt:lpstr>SVP-SS</vt:lpstr>
      <vt:lpstr>Administration-Facilities-EHS</vt:lpstr>
      <vt:lpstr>Procurement and Contracts</vt:lpstr>
      <vt:lpstr>Human Resources</vt:lpstr>
      <vt:lpstr>IT</vt:lpstr>
      <vt:lpstr>Contingency </vt:lpstr>
      <vt:lpstr>Finance &amp; Investment Office</vt:lpstr>
      <vt:lpstr>Provost</vt:lpstr>
      <vt:lpstr>College of Medicine</vt:lpstr>
      <vt:lpstr>College of Engineering</vt:lpstr>
      <vt:lpstr>College of Arts and Science </vt:lpstr>
      <vt:lpstr>Academic &amp; Student Services</vt:lpstr>
      <vt:lpstr>Research &amp; Development Office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2023-04-04T18:05:01Z</dcterms:created>
  <dcterms:modified xsi:type="dcterms:W3CDTF">2023-05-15T08:24:46Z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