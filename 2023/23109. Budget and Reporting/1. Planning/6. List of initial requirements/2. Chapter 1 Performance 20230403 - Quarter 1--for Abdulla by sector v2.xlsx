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tabRatio="658"/>
  </bookViews>
  <sheets>
    <sheet name="Detailed" sheetId="19" r:id="rId1"/>
    <sheet name="By Sector" sheetId="18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3" i="18" l="1"/>
  <c r="C30" i="19" l="1"/>
  <c r="C25" i="19"/>
  <c r="L14" i="19"/>
  <c r="L8" i="19"/>
  <c r="L15" i="19" s="1"/>
  <c r="L30" i="19" s="1"/>
  <c r="B8" i="19"/>
  <c r="C15" i="19" s="1"/>
  <c r="D15" i="19" s="1"/>
  <c r="D25" i="19" s="1"/>
  <c r="D30" i="19" s="1"/>
  <c r="C5" i="19"/>
</calcChain>
</file>

<file path=xl/sharedStrings.xml><?xml version="1.0" encoding="utf-8"?>
<sst xmlns="http://schemas.openxmlformats.org/spreadsheetml/2006/main" count="88" uniqueCount="73">
  <si>
    <t>Budget</t>
  </si>
  <si>
    <t>Office of the President</t>
  </si>
  <si>
    <t>Research and Development</t>
  </si>
  <si>
    <t>Office of the Executive Vice President</t>
  </si>
  <si>
    <t>Support Services</t>
  </si>
  <si>
    <t>Finance and Investment</t>
  </si>
  <si>
    <t>Grand Total</t>
  </si>
  <si>
    <t>Academic and Student Services</t>
  </si>
  <si>
    <t>Academic Sector</t>
  </si>
  <si>
    <t>Strategic Hires (Stars)</t>
  </si>
  <si>
    <t>Others</t>
  </si>
  <si>
    <t>ANKABUT</t>
  </si>
  <si>
    <t>Other Outsourced</t>
  </si>
  <si>
    <t>Promotions/ Increments</t>
  </si>
  <si>
    <t>Bonus</t>
  </si>
  <si>
    <t>Attrition</t>
  </si>
  <si>
    <t>Approved 2023</t>
  </si>
  <si>
    <t>Employee Count</t>
  </si>
  <si>
    <t>New</t>
  </si>
  <si>
    <t>Existing</t>
  </si>
  <si>
    <t>Central Budget (excluding Training)</t>
  </si>
  <si>
    <t>SubTotal</t>
  </si>
  <si>
    <t xml:space="preserve"> Employee Count</t>
  </si>
  <si>
    <t>Current (end of Q1)</t>
  </si>
  <si>
    <t>Actual in Q3</t>
  </si>
  <si>
    <t>Sources:</t>
  </si>
  <si>
    <t>BI Personnel Repoert 31 Mar 2023</t>
  </si>
  <si>
    <t>Personnel Budget Performance Report 4 Mar 2023</t>
  </si>
  <si>
    <t>2023 Budget - Account details v3.3 (DoF submission Mar 2023)</t>
  </si>
  <si>
    <t>2023 Manpower Details (Existing and new hiring) 3.3 (DoF Submission Mar 2023)</t>
  </si>
  <si>
    <t>Chapter One Budget 2023  Forecast</t>
  </si>
  <si>
    <t>Utilized to Date (4 Mar 2023)</t>
  </si>
  <si>
    <t>Total</t>
  </si>
  <si>
    <t>Counts</t>
  </si>
  <si>
    <t>Apr Payroll Total</t>
  </si>
  <si>
    <t>Expected Utilization</t>
  </si>
  <si>
    <t>Staff</t>
  </si>
  <si>
    <t>Faculty</t>
  </si>
  <si>
    <r>
      <t xml:space="preserve">Exisiting Employees </t>
    </r>
    <r>
      <rPr>
        <b/>
        <i/>
        <sz val="9"/>
        <color theme="1"/>
        <rFont val="Calibri"/>
        <family val="2"/>
        <scheme val="minor"/>
      </rPr>
      <t>(Apr - Dec)</t>
    </r>
  </si>
  <si>
    <t>(based on Apr Payroll)</t>
  </si>
  <si>
    <t>Current count</t>
  </si>
  <si>
    <t>Ankabut Payroll (Outsourced Chargeback)</t>
  </si>
  <si>
    <t>Other Outsourced Employees</t>
  </si>
  <si>
    <t>Education Assistance</t>
  </si>
  <si>
    <t>Employee travel costs - Fares</t>
  </si>
  <si>
    <t>Medical insurance premium</t>
  </si>
  <si>
    <t>Leavers Excess</t>
  </si>
  <si>
    <t>excluding Leavers</t>
  </si>
  <si>
    <t>Expected Utilization (Central Accounts)</t>
  </si>
  <si>
    <t>President's Temp Budget</t>
  </si>
  <si>
    <t>Board of Trustees fee</t>
  </si>
  <si>
    <t>Training Costs</t>
  </si>
  <si>
    <t>Recruitment expenses</t>
  </si>
  <si>
    <t>Relocation expenses</t>
  </si>
  <si>
    <t>UAE visa requirement costs</t>
  </si>
  <si>
    <r>
      <t xml:space="preserve">Gratuity </t>
    </r>
    <r>
      <rPr>
        <b/>
        <sz val="8"/>
        <color theme="1"/>
        <rFont val="Calibri"/>
        <family val="2"/>
        <scheme val="minor"/>
      </rPr>
      <t>and other payouts</t>
    </r>
  </si>
  <si>
    <t>New Hires cost</t>
  </si>
  <si>
    <t>Count</t>
  </si>
  <si>
    <t>Based on Associate Prof salary hired in Aug</t>
  </si>
  <si>
    <t>Count at end of year, including Hires</t>
  </si>
  <si>
    <t>Items not Calculated</t>
  </si>
  <si>
    <t>Promotion and Increments</t>
  </si>
  <si>
    <t>Bonuses</t>
  </si>
  <si>
    <t>Application of new Scale</t>
  </si>
  <si>
    <t>12 months count for new hires &amp; Leavers</t>
  </si>
  <si>
    <t>-</t>
  </si>
  <si>
    <t>Growth</t>
  </si>
  <si>
    <t>+5</t>
  </si>
  <si>
    <t>+1</t>
  </si>
  <si>
    <t>+3</t>
  </si>
  <si>
    <t>-1</t>
  </si>
  <si>
    <t>+11</t>
  </si>
  <si>
    <t>Total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</si>
</sst>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i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8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1" tint="0.249977111117893"/>
      </bottom>
      <diagonal/>
    </border>
    <border>
      <left style="thin">
        <color theme="0"/>
      </left>
      <right style="thin">
        <color theme="0"/>
      </right>
      <top style="thick">
        <color theme="1" tint="0.249977111117893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/>
      </left>
      <right/>
      <top style="thin">
        <color theme="0" tint="-0.499984740745262"/>
      </top>
      <bottom style="thick">
        <color theme="1" tint="0.249977111117893"/>
      </bottom>
      <diagonal/>
    </border>
    <border>
      <left/>
      <right/>
      <top style="thin">
        <color theme="0" tint="-0.499984740745262"/>
      </top>
      <bottom style="thick">
        <color theme="1" tint="0.24997711111789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theme="1" tint="0.249977111117893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6" fillId="0" borderId="0"/>
    <xf numFmtId="0" fontId="7" fillId="0" borderId="0"/>
    <xf numFmtId="9" fontId="1" fillId="0" borderId="0" applyFont="0" applyFill="0" applyBorder="0" applyAlignment="0" applyProtection="0"/>
    <xf numFmtId="0" fontId="1" fillId="0" borderId="0"/>
  </cellStyleXfs>
  <cellXfs count="7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/>
    <xf numFmtId="164" fontId="0" fillId="0" borderId="0" xfId="1" applyNumberFormat="1" applyFont="1"/>
    <xf numFmtId="164" fontId="5" fillId="3" borderId="0" xfId="1" applyNumberFormat="1" applyFont="1" applyFill="1"/>
    <xf numFmtId="0" fontId="5" fillId="5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5" borderId="0" xfId="0" applyFont="1" applyFill="1" applyAlignment="1">
      <alignment horizontal="center" vertical="center" wrapText="1"/>
    </xf>
    <xf numFmtId="164" fontId="0" fillId="0" borderId="0" xfId="0" applyNumberFormat="1"/>
    <xf numFmtId="164" fontId="0" fillId="2" borderId="0" xfId="1" applyNumberFormat="1" applyFont="1" applyFill="1"/>
    <xf numFmtId="9" fontId="3" fillId="2" borderId="0" xfId="5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7" borderId="0" xfId="0" applyFill="1"/>
    <xf numFmtId="0" fontId="0" fillId="8" borderId="0" xfId="0" applyFill="1" applyAlignment="1">
      <alignment horizontal="right" vertical="center"/>
    </xf>
    <xf numFmtId="0" fontId="0" fillId="8" borderId="0" xfId="0" applyFill="1" applyAlignment="1">
      <alignment horizontal="center" vertical="center"/>
    </xf>
    <xf numFmtId="17" fontId="10" fillId="0" borderId="0" xfId="0" applyNumberFormat="1" applyFont="1" applyAlignment="1">
      <alignment horizontal="center" vertical="center"/>
    </xf>
    <xf numFmtId="0" fontId="0" fillId="11" borderId="0" xfId="0" applyFill="1"/>
    <xf numFmtId="0" fontId="0" fillId="11" borderId="0" xfId="0" applyFill="1" applyBorder="1"/>
    <xf numFmtId="0" fontId="10" fillId="0" borderId="0" xfId="0" applyFont="1" applyAlignment="1">
      <alignment horizontal="center" vertical="center"/>
    </xf>
    <xf numFmtId="164" fontId="12" fillId="2" borderId="2" xfId="1" applyNumberFormat="1" applyFont="1" applyFill="1" applyBorder="1" applyAlignment="1">
      <alignment horizontal="center"/>
    </xf>
    <xf numFmtId="0" fontId="5" fillId="12" borderId="1" xfId="0" applyFont="1" applyFill="1" applyBorder="1" applyAlignment="1">
      <alignment horizontal="right" vertical="center" wrapText="1"/>
    </xf>
    <xf numFmtId="0" fontId="0" fillId="0" borderId="1" xfId="0" applyBorder="1"/>
    <xf numFmtId="164" fontId="3" fillId="13" borderId="4" xfId="1" applyNumberFormat="1" applyFont="1" applyFill="1" applyBorder="1" applyAlignment="1">
      <alignment horizontal="center"/>
    </xf>
    <xf numFmtId="0" fontId="10" fillId="11" borderId="5" xfId="0" applyFont="1" applyFill="1" applyBorder="1"/>
    <xf numFmtId="0" fontId="5" fillId="13" borderId="0" xfId="0" applyFont="1" applyFill="1" applyBorder="1" applyAlignment="1">
      <alignment horizontal="center" vertical="center"/>
    </xf>
    <xf numFmtId="164" fontId="5" fillId="13" borderId="4" xfId="1" applyNumberFormat="1" applyFont="1" applyFill="1" applyBorder="1" applyAlignment="1">
      <alignment horizontal="center"/>
    </xf>
    <xf numFmtId="0" fontId="5" fillId="12" borderId="0" xfId="0" applyFont="1" applyFill="1" applyAlignment="1">
      <alignment horizontal="right" vertical="center" wrapText="1"/>
    </xf>
    <xf numFmtId="43" fontId="5" fillId="13" borderId="6" xfId="1" applyNumberFormat="1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10" fillId="11" borderId="8" xfId="0" applyFont="1" applyFill="1" applyBorder="1"/>
    <xf numFmtId="0" fontId="0" fillId="11" borderId="8" xfId="0" applyFill="1" applyBorder="1"/>
    <xf numFmtId="0" fontId="14" fillId="11" borderId="8" xfId="0" applyFont="1" applyFill="1" applyBorder="1" applyAlignment="1">
      <alignment horizontal="center" vertical="center"/>
    </xf>
    <xf numFmtId="0" fontId="14" fillId="11" borderId="9" xfId="0" applyFont="1" applyFill="1" applyBorder="1" applyAlignment="1">
      <alignment horizontal="center" vertical="center"/>
    </xf>
    <xf numFmtId="0" fontId="15" fillId="11" borderId="0" xfId="0" applyFont="1" applyFill="1" applyBorder="1" applyAlignment="1">
      <alignment horizontal="left" vertical="center"/>
    </xf>
    <xf numFmtId="164" fontId="5" fillId="13" borderId="6" xfId="1" applyNumberFormat="1" applyFont="1" applyFill="1" applyBorder="1" applyAlignment="1">
      <alignment horizontal="center"/>
    </xf>
    <xf numFmtId="0" fontId="0" fillId="11" borderId="10" xfId="0" applyFill="1" applyBorder="1"/>
    <xf numFmtId="4" fontId="16" fillId="11" borderId="0" xfId="0" applyNumberFormat="1" applyFont="1" applyFill="1"/>
    <xf numFmtId="0" fontId="10" fillId="11" borderId="0" xfId="0" applyFont="1" applyFill="1"/>
    <xf numFmtId="0" fontId="0" fillId="0" borderId="11" xfId="0" applyFill="1" applyBorder="1"/>
    <xf numFmtId="0" fontId="0" fillId="0" borderId="12" xfId="0" applyFill="1" applyBorder="1"/>
    <xf numFmtId="0" fontId="0" fillId="0" borderId="8" xfId="0" applyFill="1" applyBorder="1"/>
    <xf numFmtId="0" fontId="14" fillId="0" borderId="8" xfId="0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horizontal="center" vertical="center"/>
    </xf>
    <xf numFmtId="0" fontId="0" fillId="11" borderId="7" xfId="0" applyFill="1" applyBorder="1"/>
    <xf numFmtId="0" fontId="3" fillId="11" borderId="9" xfId="0" applyFont="1" applyFill="1" applyBorder="1" applyAlignment="1">
      <alignment horizontal="center" vertical="center"/>
    </xf>
    <xf numFmtId="43" fontId="0" fillId="0" borderId="0" xfId="1" applyFont="1"/>
    <xf numFmtId="43" fontId="17" fillId="11" borderId="0" xfId="0" applyNumberFormat="1" applyFont="1" applyFill="1" applyBorder="1"/>
    <xf numFmtId="0" fontId="17" fillId="11" borderId="0" xfId="0" applyFont="1" applyFill="1" applyBorder="1"/>
    <xf numFmtId="0" fontId="0" fillId="0" borderId="0" xfId="0" applyBorder="1"/>
    <xf numFmtId="0" fontId="14" fillId="13" borderId="0" xfId="0" applyFont="1" applyFill="1" applyBorder="1" applyAlignment="1">
      <alignment horizontal="center" vertical="center"/>
    </xf>
    <xf numFmtId="164" fontId="5" fillId="13" borderId="6" xfId="1" applyNumberFormat="1" applyFont="1" applyFill="1" applyBorder="1" applyAlignment="1">
      <alignment horizontal="center" vertical="center"/>
    </xf>
    <xf numFmtId="0" fontId="14" fillId="15" borderId="8" xfId="0" applyFont="1" applyFill="1" applyBorder="1" applyAlignment="1">
      <alignment horizontal="center" vertical="center"/>
    </xf>
    <xf numFmtId="0" fontId="15" fillId="11" borderId="0" xfId="0" applyFont="1" applyFill="1" applyBorder="1" applyAlignment="1">
      <alignment horizontal="left" vertical="center" wrapText="1"/>
    </xf>
    <xf numFmtId="164" fontId="5" fillId="13" borderId="13" xfId="1" applyNumberFormat="1" applyFont="1" applyFill="1" applyBorder="1" applyAlignment="1">
      <alignment horizontal="center" vertical="center"/>
    </xf>
    <xf numFmtId="0" fontId="2" fillId="16" borderId="0" xfId="0" applyFont="1" applyFill="1" applyAlignment="1">
      <alignment vertical="center" wrapText="1"/>
    </xf>
    <xf numFmtId="0" fontId="5" fillId="15" borderId="0" xfId="0" applyFont="1" applyFill="1" applyAlignment="1">
      <alignment horizontal="left" vertical="center" wrapText="1" indent="2"/>
    </xf>
    <xf numFmtId="49" fontId="0" fillId="0" borderId="0" xfId="0" applyNumberFormat="1" applyAlignment="1">
      <alignment horizontal="center" vertical="center"/>
    </xf>
    <xf numFmtId="0" fontId="2" fillId="10" borderId="0" xfId="0" applyFont="1" applyFill="1" applyAlignment="1">
      <alignment horizontal="right" vertical="center" wrapText="1"/>
    </xf>
    <xf numFmtId="0" fontId="2" fillId="10" borderId="3" xfId="0" applyFont="1" applyFill="1" applyBorder="1" applyAlignment="1">
      <alignment horizontal="right" vertical="center" wrapText="1"/>
    </xf>
    <xf numFmtId="0" fontId="2" fillId="14" borderId="0" xfId="0" applyFont="1" applyFill="1" applyAlignment="1">
      <alignment horizontal="right" vertical="center" wrapText="1"/>
    </xf>
    <xf numFmtId="0" fontId="2" fillId="14" borderId="3" xfId="0" applyFont="1" applyFill="1" applyBorder="1" applyAlignment="1">
      <alignment horizontal="right" vertical="center" wrapText="1"/>
    </xf>
    <xf numFmtId="0" fontId="18" fillId="10" borderId="0" xfId="0" applyFont="1" applyFill="1" applyAlignment="1">
      <alignment horizontal="right" vertical="center" wrapText="1"/>
    </xf>
    <xf numFmtId="0" fontId="18" fillId="10" borderId="3" xfId="0" applyFont="1" applyFill="1" applyBorder="1" applyAlignment="1">
      <alignment horizontal="right" vertical="center" wrapText="1"/>
    </xf>
    <xf numFmtId="0" fontId="9" fillId="9" borderId="0" xfId="0" applyFont="1" applyFill="1" applyAlignment="1">
      <alignment horizontal="center" vertical="center" wrapText="1"/>
    </xf>
    <xf numFmtId="0" fontId="11" fillId="10" borderId="0" xfId="0" applyFont="1" applyFill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2" fillId="10" borderId="0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</cellXfs>
  <cellStyles count="7">
    <cellStyle name="Comma" xfId="1" builtinId="3"/>
    <cellStyle name="Normal" xfId="0" builtinId="0"/>
    <cellStyle name="Normal 11" xfId="6"/>
    <cellStyle name="Normal 2" xfId="2"/>
    <cellStyle name="Normal 3" xfId="3"/>
    <cellStyle name="Normal 4" xfId="4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7"/>
  <sheetViews>
    <sheetView tabSelected="1" topLeftCell="A10" zoomScale="115" zoomScaleNormal="115" workbookViewId="0">
      <selection activeCell="E34" sqref="E34"/>
    </sheetView>
  </sheetViews>
  <sheetFormatPr defaultRowHeight="15" x14ac:dyDescent="0.25"/>
  <cols>
    <col min="1" max="1" width="38" style="2" customWidth="1"/>
    <col min="2" max="2" width="15.28515625" style="2" bestFit="1" customWidth="1"/>
    <col min="3" max="3" width="15.28515625" style="2" customWidth="1"/>
    <col min="4" max="4" width="17" style="2" customWidth="1"/>
    <col min="5" max="8" width="4" style="2" customWidth="1"/>
    <col min="9" max="9" width="6.42578125" style="2" customWidth="1"/>
    <col min="10" max="10" width="6" style="2" customWidth="1"/>
    <col min="11" max="11" width="6.5703125" style="2" bestFit="1" customWidth="1"/>
    <col min="12" max="12" width="4.85546875" style="2" bestFit="1" customWidth="1"/>
    <col min="13" max="13" width="16.28515625" style="2" customWidth="1"/>
    <col min="14" max="14" width="6.28515625" style="2" customWidth="1"/>
    <col min="15" max="15" width="5.42578125" style="2" customWidth="1"/>
    <col min="16" max="16" width="14.140625" style="2" customWidth="1"/>
    <col min="17" max="17" width="12.42578125" style="2" customWidth="1"/>
    <col min="18" max="18" width="14.28515625" style="2" customWidth="1"/>
    <col min="19" max="19" width="11.85546875" style="2" customWidth="1"/>
    <col min="20" max="23" width="9" style="2" customWidth="1"/>
    <col min="24" max="16384" width="9.140625" style="2"/>
  </cols>
  <sheetData>
    <row r="1" spans="1:31" x14ac:dyDescent="0.25">
      <c r="A1" s="65" t="s">
        <v>30</v>
      </c>
      <c r="B1" s="16">
        <v>45019</v>
      </c>
      <c r="D1" s="66" t="s">
        <v>0</v>
      </c>
      <c r="E1" s="17"/>
      <c r="F1" s="17"/>
      <c r="G1" s="17"/>
      <c r="H1" s="17"/>
      <c r="I1" s="18"/>
      <c r="J1" s="18"/>
      <c r="K1" s="18"/>
      <c r="L1" s="18"/>
      <c r="M1" s="18"/>
      <c r="N1" s="18"/>
      <c r="O1" s="18"/>
      <c r="P1" s="18"/>
      <c r="Q1" s="18"/>
      <c r="R1" s="18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</row>
    <row r="2" spans="1:31" ht="18" customHeight="1" thickBot="1" x14ac:dyDescent="0.3">
      <c r="A2" s="65"/>
      <c r="B2" s="19"/>
      <c r="D2" s="67"/>
      <c r="E2" s="17"/>
      <c r="F2" s="17"/>
      <c r="G2" s="17"/>
      <c r="H2" s="17"/>
      <c r="I2" s="18"/>
      <c r="J2" s="18"/>
      <c r="K2" s="18"/>
      <c r="L2" s="18"/>
      <c r="M2" s="18"/>
      <c r="N2" s="18"/>
      <c r="O2" s="18"/>
      <c r="P2" s="18"/>
      <c r="Q2" s="18"/>
      <c r="R2" s="18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</row>
    <row r="3" spans="1:31" ht="15" customHeight="1" thickTop="1" x14ac:dyDescent="0.25">
      <c r="D3" s="20">
        <v>677000000</v>
      </c>
      <c r="E3" s="17"/>
      <c r="F3" s="17"/>
      <c r="G3" s="17"/>
      <c r="H3" s="17"/>
      <c r="I3" s="18"/>
      <c r="J3" s="18"/>
      <c r="K3" s="18"/>
      <c r="L3" s="18"/>
      <c r="M3" s="18"/>
      <c r="N3" s="18"/>
      <c r="O3" s="18"/>
      <c r="P3" s="18"/>
      <c r="Q3" s="18"/>
      <c r="R3" s="18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</row>
    <row r="4" spans="1:31" ht="15.75" thickBot="1" x14ac:dyDescent="0.3">
      <c r="A4" s="21" t="s">
        <v>31</v>
      </c>
      <c r="B4" s="22"/>
      <c r="C4" s="22"/>
      <c r="E4" s="17"/>
      <c r="F4" s="17"/>
      <c r="G4" s="17"/>
      <c r="H4" s="17"/>
      <c r="I4" s="18"/>
      <c r="J4" s="18"/>
      <c r="K4" s="18"/>
      <c r="L4" s="18"/>
      <c r="M4" s="18"/>
      <c r="N4" s="18"/>
      <c r="O4" s="18"/>
      <c r="P4" s="18"/>
      <c r="Q4" s="18"/>
      <c r="R4" s="18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</row>
    <row r="5" spans="1:31" ht="16.5" thickTop="1" x14ac:dyDescent="0.25">
      <c r="A5" s="59" t="s">
        <v>32</v>
      </c>
      <c r="B5" s="60"/>
      <c r="C5" s="23">
        <f>D3-D5</f>
        <v>156999151.85000002</v>
      </c>
      <c r="D5" s="20">
        <v>520000848.14999998</v>
      </c>
      <c r="E5" s="17"/>
      <c r="F5" s="17"/>
      <c r="G5" s="17"/>
      <c r="H5" s="17"/>
      <c r="I5" s="18"/>
      <c r="J5" s="18"/>
      <c r="K5" s="18"/>
      <c r="L5" s="18"/>
      <c r="M5" s="18"/>
      <c r="N5" s="18"/>
      <c r="O5" s="18"/>
      <c r="P5" s="18"/>
      <c r="Q5" s="18"/>
      <c r="R5" s="18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</row>
    <row r="6" spans="1:31" ht="10.5" customHeight="1" x14ac:dyDescent="0.25">
      <c r="E6" s="17"/>
      <c r="F6" s="17"/>
      <c r="G6" s="17"/>
      <c r="H6" s="17"/>
      <c r="I6" s="18"/>
      <c r="J6" s="68" t="s">
        <v>33</v>
      </c>
      <c r="K6" s="68"/>
      <c r="L6" s="68"/>
      <c r="M6" s="18"/>
      <c r="N6" s="18"/>
      <c r="O6" s="18"/>
      <c r="P6" s="24" t="s">
        <v>34</v>
      </c>
      <c r="Q6" s="18"/>
      <c r="R6" s="18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</row>
    <row r="7" spans="1:31" x14ac:dyDescent="0.25">
      <c r="A7" s="59" t="s">
        <v>35</v>
      </c>
      <c r="B7" s="60"/>
      <c r="E7" s="17"/>
      <c r="F7" s="17"/>
      <c r="G7" s="17"/>
      <c r="H7" s="17"/>
      <c r="I7" s="18"/>
      <c r="J7" s="25" t="s">
        <v>36</v>
      </c>
      <c r="K7" s="25" t="s">
        <v>37</v>
      </c>
      <c r="L7" s="25" t="s">
        <v>32</v>
      </c>
      <c r="M7" s="18"/>
      <c r="N7" s="18"/>
      <c r="O7" s="18"/>
      <c r="P7" s="26">
        <v>42631154.789999992</v>
      </c>
      <c r="Q7" s="18"/>
      <c r="R7" s="18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</row>
    <row r="8" spans="1:31" x14ac:dyDescent="0.25">
      <c r="A8" s="27" t="s">
        <v>38</v>
      </c>
      <c r="B8" s="28">
        <f>P7*9</f>
        <v>383680393.1099999</v>
      </c>
      <c r="C8" s="29"/>
      <c r="D8" s="30"/>
      <c r="E8" s="31" t="s">
        <v>39</v>
      </c>
      <c r="F8" s="32"/>
      <c r="G8" s="32"/>
      <c r="H8" s="32"/>
      <c r="I8" s="32"/>
      <c r="J8" s="33">
        <v>438</v>
      </c>
      <c r="K8" s="33">
        <v>400</v>
      </c>
      <c r="L8" s="34">
        <f>SUM(J8:K8)</f>
        <v>838</v>
      </c>
      <c r="M8" s="35" t="s">
        <v>40</v>
      </c>
      <c r="N8" s="18"/>
      <c r="O8" s="18"/>
      <c r="P8" s="18"/>
      <c r="Q8" s="18"/>
      <c r="R8" s="18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</row>
    <row r="9" spans="1:31" x14ac:dyDescent="0.25">
      <c r="A9" s="27" t="s">
        <v>41</v>
      </c>
      <c r="B9" s="36">
        <v>19205565.390000001</v>
      </c>
      <c r="E9" s="17"/>
      <c r="F9" s="17"/>
      <c r="G9" s="17"/>
      <c r="H9" s="17"/>
      <c r="I9" s="18"/>
      <c r="J9" s="18"/>
      <c r="K9" s="18"/>
      <c r="L9" s="37"/>
      <c r="M9" s="18"/>
      <c r="N9" s="18"/>
      <c r="O9" s="18"/>
      <c r="P9" s="18"/>
      <c r="Q9" s="18"/>
      <c r="R9" s="18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</row>
    <row r="10" spans="1:31" x14ac:dyDescent="0.25">
      <c r="A10" s="27" t="s">
        <v>42</v>
      </c>
      <c r="B10" s="36">
        <v>2564603.4500000002</v>
      </c>
      <c r="E10" s="17"/>
      <c r="F10" s="17"/>
      <c r="G10" s="17"/>
      <c r="H10" s="17"/>
      <c r="I10" s="18"/>
      <c r="J10" s="18"/>
      <c r="K10" s="18"/>
      <c r="L10" s="37"/>
      <c r="M10" s="18"/>
      <c r="N10" s="18"/>
      <c r="O10" s="18"/>
      <c r="P10" s="18"/>
      <c r="Q10" s="18"/>
      <c r="R10" s="18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</row>
    <row r="11" spans="1:31" x14ac:dyDescent="0.25">
      <c r="A11" s="27" t="s">
        <v>43</v>
      </c>
      <c r="B11" s="36">
        <v>16356143.960000001</v>
      </c>
      <c r="E11" s="17"/>
      <c r="F11" s="17"/>
      <c r="G11" s="17"/>
      <c r="H11" s="17"/>
      <c r="I11" s="18"/>
      <c r="J11" s="18"/>
      <c r="K11" s="18"/>
      <c r="L11" s="37"/>
      <c r="M11" s="18"/>
      <c r="N11" s="18"/>
      <c r="O11" s="18"/>
      <c r="P11" s="18"/>
      <c r="Q11" s="18"/>
      <c r="R11" s="18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</row>
    <row r="12" spans="1:31" ht="16.5" x14ac:dyDescent="0.3">
      <c r="A12" s="27" t="s">
        <v>44</v>
      </c>
      <c r="B12" s="36">
        <v>0</v>
      </c>
      <c r="E12" s="38"/>
      <c r="F12" s="38"/>
      <c r="G12" s="38"/>
      <c r="H12" s="38"/>
      <c r="I12" s="18"/>
      <c r="J12" s="18"/>
      <c r="K12" s="18"/>
      <c r="L12" s="37"/>
      <c r="M12" s="18"/>
      <c r="N12" s="18"/>
      <c r="O12" s="18"/>
      <c r="P12" s="18"/>
      <c r="Q12" s="18"/>
      <c r="R12" s="18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</row>
    <row r="13" spans="1:31" ht="16.5" x14ac:dyDescent="0.3">
      <c r="A13" s="27" t="s">
        <v>45</v>
      </c>
      <c r="B13" s="36">
        <v>16600000</v>
      </c>
      <c r="E13" s="39"/>
      <c r="F13" s="38"/>
      <c r="G13" s="38"/>
      <c r="H13" s="38"/>
      <c r="I13" s="18"/>
      <c r="J13" s="18"/>
      <c r="K13" s="18"/>
      <c r="L13" s="37"/>
      <c r="M13" s="18"/>
      <c r="N13" s="18"/>
      <c r="O13" s="18"/>
      <c r="P13" s="18"/>
      <c r="Q13" s="18"/>
      <c r="R13" s="18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</row>
    <row r="14" spans="1:31" ht="15.75" thickBot="1" x14ac:dyDescent="0.3">
      <c r="A14" s="21" t="s">
        <v>46</v>
      </c>
      <c r="B14" s="36">
        <v>-12000000</v>
      </c>
      <c r="C14" s="40"/>
      <c r="D14" s="41"/>
      <c r="E14" s="42"/>
      <c r="F14" s="42"/>
      <c r="G14" s="42"/>
      <c r="H14" s="42"/>
      <c r="I14" s="42"/>
      <c r="J14" s="43">
        <v>6</v>
      </c>
      <c r="K14" s="43">
        <v>32</v>
      </c>
      <c r="L14" s="44">
        <f>SUM(J14:K14)</f>
        <v>38</v>
      </c>
      <c r="M14" s="18"/>
      <c r="N14" s="18"/>
      <c r="O14" s="18"/>
      <c r="P14" s="18"/>
      <c r="Q14" s="18"/>
      <c r="R14" s="18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</row>
    <row r="15" spans="1:31" ht="16.5" thickTop="1" x14ac:dyDescent="0.25">
      <c r="A15" s="61" t="s">
        <v>32</v>
      </c>
      <c r="B15" s="62"/>
      <c r="C15" s="23">
        <f>SUM(B8:B14)</f>
        <v>426406705.90999985</v>
      </c>
      <c r="D15" s="20">
        <f>D5-C15</f>
        <v>93594142.240000129</v>
      </c>
      <c r="E15" s="45"/>
      <c r="F15" s="32"/>
      <c r="G15" s="32"/>
      <c r="H15" s="32"/>
      <c r="I15" s="32"/>
      <c r="J15" s="32"/>
      <c r="K15" s="32"/>
      <c r="L15" s="46">
        <f>L8-L14</f>
        <v>800</v>
      </c>
      <c r="M15" s="35" t="s">
        <v>47</v>
      </c>
      <c r="N15" s="18"/>
      <c r="O15" s="18"/>
      <c r="P15" s="18"/>
      <c r="Q15" s="18"/>
      <c r="R15" s="18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</row>
    <row r="16" spans="1:31" ht="9" customHeight="1" x14ac:dyDescent="0.25">
      <c r="E16" s="17"/>
      <c r="F16" s="17"/>
      <c r="G16" s="17"/>
      <c r="H16" s="17"/>
      <c r="I16" s="18"/>
      <c r="J16" s="18"/>
      <c r="K16" s="18"/>
      <c r="L16" s="37"/>
      <c r="M16" s="18"/>
      <c r="N16" s="18"/>
      <c r="O16" s="18"/>
      <c r="P16" s="18"/>
      <c r="Q16" s="18"/>
      <c r="R16" s="18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</row>
    <row r="17" spans="1:31" ht="15" customHeight="1" x14ac:dyDescent="0.25">
      <c r="A17" s="59" t="s">
        <v>48</v>
      </c>
      <c r="B17" s="60"/>
      <c r="E17" s="17"/>
      <c r="F17" s="17"/>
      <c r="G17" s="17"/>
      <c r="H17" s="17"/>
      <c r="I17" s="18"/>
      <c r="J17" s="18"/>
      <c r="K17" s="18"/>
      <c r="L17" s="37"/>
      <c r="M17" s="18"/>
      <c r="N17" s="18"/>
      <c r="O17" s="18"/>
      <c r="P17" s="18"/>
      <c r="Q17" s="18"/>
      <c r="R17" s="18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</row>
    <row r="18" spans="1:31" ht="15" customHeight="1" x14ac:dyDescent="0.25">
      <c r="A18" s="27" t="s">
        <v>49</v>
      </c>
      <c r="B18" s="36">
        <v>1583250</v>
      </c>
      <c r="E18" s="17"/>
      <c r="F18" s="17"/>
      <c r="G18" s="17"/>
      <c r="H18" s="17"/>
      <c r="I18" s="18"/>
      <c r="J18" s="18"/>
      <c r="K18" s="18"/>
      <c r="L18" s="37"/>
      <c r="M18" s="18"/>
      <c r="N18" s="18"/>
      <c r="O18" s="18"/>
      <c r="P18" s="18"/>
      <c r="Q18" s="18"/>
      <c r="R18" s="18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</row>
    <row r="19" spans="1:31" ht="15" customHeight="1" x14ac:dyDescent="0.25">
      <c r="A19" s="27" t="s">
        <v>50</v>
      </c>
      <c r="B19" s="36">
        <v>191316</v>
      </c>
      <c r="C19" s="47"/>
      <c r="E19" s="17"/>
      <c r="F19" s="17"/>
      <c r="G19" s="17"/>
      <c r="H19" s="17"/>
      <c r="I19" s="18"/>
      <c r="J19" s="18"/>
      <c r="K19" s="18"/>
      <c r="L19" s="37"/>
      <c r="M19" s="18"/>
      <c r="N19" s="18"/>
      <c r="O19" s="18"/>
      <c r="P19" s="18"/>
      <c r="Q19" s="18"/>
      <c r="R19" s="18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</row>
    <row r="20" spans="1:31" x14ac:dyDescent="0.25">
      <c r="A20" s="27" t="s">
        <v>51</v>
      </c>
      <c r="B20" s="36">
        <v>5513835.5999999996</v>
      </c>
      <c r="E20" s="17"/>
      <c r="F20" s="17"/>
      <c r="G20" s="17"/>
      <c r="H20" s="17"/>
      <c r="I20" s="18"/>
      <c r="J20" s="18"/>
      <c r="K20" s="18"/>
      <c r="L20" s="37"/>
      <c r="M20" s="18"/>
      <c r="N20" s="18"/>
      <c r="O20" s="18"/>
      <c r="P20" s="18"/>
      <c r="Q20" s="18"/>
      <c r="R20" s="18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</row>
    <row r="21" spans="1:31" x14ac:dyDescent="0.25">
      <c r="A21" s="27" t="s">
        <v>52</v>
      </c>
      <c r="B21" s="36">
        <v>2648667.67</v>
      </c>
      <c r="E21" s="17"/>
      <c r="F21" s="17"/>
      <c r="G21" s="17"/>
      <c r="H21" s="17"/>
      <c r="I21" s="18"/>
      <c r="J21" s="18"/>
      <c r="K21" s="18"/>
      <c r="L21" s="37"/>
      <c r="M21" s="18"/>
      <c r="N21" s="17"/>
      <c r="O21" s="17"/>
      <c r="P21" s="48"/>
      <c r="Q21" s="18"/>
      <c r="R21" s="49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</row>
    <row r="22" spans="1:31" x14ac:dyDescent="0.25">
      <c r="A22" s="27" t="s">
        <v>53</v>
      </c>
      <c r="B22" s="36">
        <v>1611605.16</v>
      </c>
      <c r="E22" s="17"/>
      <c r="F22" s="17"/>
      <c r="G22" s="17"/>
      <c r="H22" s="17"/>
      <c r="I22" s="18"/>
      <c r="J22" s="18"/>
      <c r="K22" s="18"/>
      <c r="L22" s="37"/>
      <c r="M22" s="18"/>
      <c r="N22" s="18"/>
      <c r="O22" s="18"/>
      <c r="P22" s="48"/>
      <c r="Q22" s="18"/>
      <c r="R22" s="49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</row>
    <row r="23" spans="1:31" x14ac:dyDescent="0.25">
      <c r="A23" s="27" t="s">
        <v>54</v>
      </c>
      <c r="B23" s="36">
        <v>1219790.2</v>
      </c>
      <c r="E23" s="17"/>
      <c r="F23" s="17"/>
      <c r="G23" s="17"/>
      <c r="H23" s="17"/>
      <c r="I23" s="18"/>
      <c r="J23" s="18"/>
      <c r="K23" s="18"/>
      <c r="L23" s="37"/>
      <c r="M23" s="18"/>
      <c r="N23" s="18"/>
      <c r="O23" s="18"/>
      <c r="P23" s="18"/>
      <c r="Q23" s="18"/>
      <c r="R23" s="49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</row>
    <row r="24" spans="1:31" ht="15.75" thickBot="1" x14ac:dyDescent="0.3">
      <c r="A24" s="21" t="s">
        <v>55</v>
      </c>
      <c r="B24" s="36">
        <v>4705118.7796722371</v>
      </c>
      <c r="C24" s="22"/>
      <c r="D24" s="22"/>
      <c r="E24" s="17"/>
      <c r="F24" s="17"/>
      <c r="G24" s="17"/>
      <c r="H24" s="17"/>
      <c r="I24" s="18"/>
      <c r="J24" s="18"/>
      <c r="K24" s="18"/>
      <c r="L24" s="37"/>
      <c r="M24" s="18"/>
      <c r="N24" s="18"/>
      <c r="O24" s="18"/>
      <c r="P24" s="18"/>
      <c r="Q24" s="18"/>
      <c r="R24" s="49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</row>
    <row r="25" spans="1:31" ht="16.5" thickTop="1" x14ac:dyDescent="0.25">
      <c r="A25" s="61" t="s">
        <v>32</v>
      </c>
      <c r="B25" s="62"/>
      <c r="C25" s="23">
        <f>SUM(B18:B24)</f>
        <v>17473583.409672238</v>
      </c>
      <c r="D25" s="20">
        <f>D15-C25</f>
        <v>76120558.830327898</v>
      </c>
      <c r="E25" s="17"/>
      <c r="F25" s="17"/>
      <c r="G25" s="17"/>
      <c r="H25" s="17"/>
      <c r="I25" s="18"/>
      <c r="J25" s="18"/>
      <c r="K25" s="18"/>
      <c r="L25" s="37"/>
      <c r="M25" s="18"/>
      <c r="N25" s="18"/>
      <c r="O25" s="18"/>
      <c r="P25" s="18"/>
      <c r="Q25" s="18"/>
      <c r="R25" s="49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</row>
    <row r="26" spans="1:31" ht="9" customHeight="1" x14ac:dyDescent="0.25">
      <c r="C26" s="50"/>
      <c r="E26" s="17"/>
      <c r="F26" s="17"/>
      <c r="G26" s="17"/>
      <c r="H26" s="17"/>
      <c r="I26" s="18"/>
      <c r="J26" s="18"/>
      <c r="K26" s="18"/>
      <c r="L26" s="37"/>
      <c r="M26" s="18"/>
      <c r="N26" s="18"/>
      <c r="O26" s="18"/>
      <c r="P26" s="18"/>
      <c r="Q26" s="18"/>
      <c r="R26" s="49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</row>
    <row r="27" spans="1:31" ht="23.25" customHeight="1" x14ac:dyDescent="0.25">
      <c r="A27" s="63" t="s">
        <v>56</v>
      </c>
      <c r="B27" s="64"/>
      <c r="E27" s="17"/>
      <c r="F27" s="17"/>
      <c r="G27" s="17"/>
      <c r="H27" s="17"/>
      <c r="I27" s="18"/>
      <c r="J27" s="51" t="s">
        <v>57</v>
      </c>
      <c r="K27" s="18"/>
      <c r="L27" s="37"/>
      <c r="N27" s="18"/>
      <c r="O27" s="18"/>
      <c r="P27" s="18"/>
      <c r="Q27" s="18"/>
      <c r="R27" s="18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</row>
    <row r="28" spans="1:31" ht="18.75" customHeight="1" x14ac:dyDescent="0.25">
      <c r="A28" s="27" t="s">
        <v>37</v>
      </c>
      <c r="B28" s="52">
        <v>12500000</v>
      </c>
      <c r="E28" s="39"/>
      <c r="F28" s="17"/>
      <c r="G28" s="17"/>
      <c r="H28" s="17"/>
      <c r="I28" s="51" t="s">
        <v>37</v>
      </c>
      <c r="J28" s="53">
        <v>50</v>
      </c>
      <c r="K28" s="18"/>
      <c r="L28" s="37"/>
      <c r="M28" s="54" t="s">
        <v>58</v>
      </c>
      <c r="N28" s="18"/>
      <c r="O28" s="18"/>
      <c r="P28" s="18"/>
      <c r="Q28" s="18"/>
      <c r="R28" s="18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</row>
    <row r="29" spans="1:31" ht="18.75" customHeight="1" thickBot="1" x14ac:dyDescent="0.3">
      <c r="A29" s="21" t="s">
        <v>36</v>
      </c>
      <c r="B29" s="55">
        <v>10790013.682191784</v>
      </c>
      <c r="C29" s="22"/>
      <c r="D29" s="22"/>
      <c r="E29" s="33"/>
      <c r="F29" s="33"/>
      <c r="G29" s="33"/>
      <c r="H29" s="33"/>
      <c r="I29" s="51" t="s">
        <v>36</v>
      </c>
      <c r="J29" s="53">
        <v>105</v>
      </c>
      <c r="K29" s="18"/>
      <c r="L29" s="37"/>
      <c r="N29" s="18"/>
      <c r="O29" s="18"/>
      <c r="P29" s="18"/>
      <c r="Q29" s="18"/>
      <c r="R29" s="18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</row>
    <row r="30" spans="1:31" ht="21" customHeight="1" thickTop="1" x14ac:dyDescent="0.25">
      <c r="A30" s="61" t="s">
        <v>32</v>
      </c>
      <c r="B30" s="62"/>
      <c r="C30" s="23">
        <f>SUM(B28:B29)</f>
        <v>23290013.682191782</v>
      </c>
      <c r="D30" s="20">
        <f>D25-C30</f>
        <v>52830545.148136117</v>
      </c>
      <c r="E30" s="29"/>
      <c r="F30" s="32"/>
      <c r="G30" s="32"/>
      <c r="H30" s="32"/>
      <c r="I30" s="32"/>
      <c r="J30" s="32"/>
      <c r="K30" s="32"/>
      <c r="L30" s="33">
        <f>L15+J28+J29</f>
        <v>955</v>
      </c>
      <c r="M30" s="54" t="s">
        <v>59</v>
      </c>
      <c r="N30" s="17"/>
      <c r="O30" s="17"/>
      <c r="P30" s="18"/>
      <c r="Q30" s="18"/>
      <c r="R30" s="18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</row>
    <row r="31" spans="1:31" x14ac:dyDescent="0.25">
      <c r="E31" s="17"/>
      <c r="F31" s="17"/>
      <c r="G31" s="17"/>
      <c r="H31" s="17"/>
      <c r="I31" s="18"/>
      <c r="J31" s="17"/>
      <c r="K31" s="18"/>
      <c r="L31" s="17"/>
      <c r="M31" s="18"/>
      <c r="N31" s="17"/>
      <c r="O31" s="17"/>
      <c r="P31" s="18"/>
      <c r="Q31" s="18"/>
      <c r="R31" s="18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</row>
    <row r="32" spans="1:31" x14ac:dyDescent="0.25">
      <c r="A32" s="56" t="s">
        <v>60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</row>
    <row r="33" spans="1:31" x14ac:dyDescent="0.25">
      <c r="A33" s="57" t="s">
        <v>61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</row>
    <row r="34" spans="1:31" x14ac:dyDescent="0.25">
      <c r="A34" s="57" t="s">
        <v>62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</row>
    <row r="35" spans="1:31" x14ac:dyDescent="0.25">
      <c r="A35" s="57" t="s">
        <v>63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</row>
    <row r="36" spans="1:31" x14ac:dyDescent="0.25">
      <c r="A36" s="57" t="s">
        <v>64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</row>
    <row r="37" spans="1:31" x14ac:dyDescent="0.25"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</row>
    <row r="38" spans="1:31" x14ac:dyDescent="0.25"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</row>
    <row r="39" spans="1:31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</row>
    <row r="40" spans="1:3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</row>
    <row r="41" spans="1:3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</row>
    <row r="42" spans="1:3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</row>
    <row r="43" spans="1:3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</row>
    <row r="44" spans="1:3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</row>
    <row r="45" spans="1:31" x14ac:dyDescent="0.25"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</row>
    <row r="46" spans="1:31" x14ac:dyDescent="0.25"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 spans="1:31" x14ac:dyDescent="0.25"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</row>
  </sheetData>
  <mergeCells count="10">
    <mergeCell ref="D1:D2"/>
    <mergeCell ref="A5:B5"/>
    <mergeCell ref="J6:L6"/>
    <mergeCell ref="A7:B7"/>
    <mergeCell ref="A15:B15"/>
    <mergeCell ref="A17:B17"/>
    <mergeCell ref="A25:B25"/>
    <mergeCell ref="A27:B27"/>
    <mergeCell ref="A30:B30"/>
    <mergeCell ref="A1:A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3"/>
  <sheetViews>
    <sheetView workbookViewId="0">
      <selection activeCell="A19" sqref="A19"/>
    </sheetView>
  </sheetViews>
  <sheetFormatPr defaultRowHeight="15" x14ac:dyDescent="0.25"/>
  <cols>
    <col min="1" max="1" width="38" customWidth="1"/>
    <col min="2" max="2" width="11.28515625" customWidth="1"/>
    <col min="3" max="3" width="11.28515625" style="2" customWidth="1"/>
    <col min="4" max="4" width="15.140625" bestFit="1" customWidth="1"/>
    <col min="5" max="5" width="15.140625" style="2" customWidth="1"/>
    <col min="6" max="6" width="2.28515625" customWidth="1"/>
    <col min="7" max="7" width="13.28515625" style="2" customWidth="1"/>
    <col min="8" max="8" width="18.85546875" customWidth="1"/>
    <col min="9" max="9" width="6.28515625" customWidth="1"/>
    <col min="10" max="10" width="12.7109375" customWidth="1"/>
    <col min="11" max="11" width="11" style="2" customWidth="1"/>
    <col min="12" max="12" width="12.5703125" bestFit="1" customWidth="1"/>
    <col min="16" max="16" width="26.140625" customWidth="1"/>
  </cols>
  <sheetData>
    <row r="1" spans="1:17" x14ac:dyDescent="0.25">
      <c r="I1" s="2"/>
      <c r="J1" s="2"/>
      <c r="N1" s="2"/>
      <c r="O1" s="2"/>
      <c r="P1" s="2"/>
      <c r="Q1" s="2"/>
    </row>
    <row r="2" spans="1:17" ht="15" customHeight="1" x14ac:dyDescent="0.25">
      <c r="B2" s="69" t="s">
        <v>16</v>
      </c>
      <c r="C2" s="69"/>
      <c r="D2" s="69"/>
      <c r="E2" s="69"/>
      <c r="F2" s="69"/>
      <c r="G2" s="69"/>
      <c r="H2" s="69"/>
      <c r="I2" s="2"/>
      <c r="J2" s="69" t="s">
        <v>23</v>
      </c>
      <c r="K2" s="69"/>
      <c r="L2" s="69"/>
      <c r="M2" s="69"/>
      <c r="N2" s="2"/>
      <c r="O2" s="2"/>
      <c r="P2" s="2"/>
      <c r="Q2" s="2"/>
    </row>
    <row r="3" spans="1:17" ht="22.5" customHeight="1" x14ac:dyDescent="0.25">
      <c r="B3" s="70" t="s">
        <v>17</v>
      </c>
      <c r="C3" s="70"/>
      <c r="D3" s="70" t="s">
        <v>0</v>
      </c>
      <c r="E3" s="70"/>
      <c r="F3" s="6"/>
      <c r="G3" s="5" t="s">
        <v>72</v>
      </c>
      <c r="H3" s="5" t="s">
        <v>0</v>
      </c>
      <c r="I3" s="2"/>
      <c r="J3" s="5" t="s">
        <v>22</v>
      </c>
      <c r="K3" s="7" t="s">
        <v>66</v>
      </c>
      <c r="L3" s="5" t="s">
        <v>24</v>
      </c>
      <c r="N3" s="2"/>
      <c r="O3" s="2"/>
      <c r="P3" s="2"/>
      <c r="Q3" s="2"/>
    </row>
    <row r="4" spans="1:17" x14ac:dyDescent="0.25">
      <c r="B4" s="1" t="s">
        <v>19</v>
      </c>
      <c r="C4" s="1" t="s">
        <v>18</v>
      </c>
      <c r="D4" s="1" t="s">
        <v>19</v>
      </c>
      <c r="E4" s="1" t="s">
        <v>18</v>
      </c>
      <c r="F4" s="2"/>
      <c r="I4" s="2"/>
      <c r="J4" s="2"/>
      <c r="L4" s="2"/>
      <c r="N4" s="2"/>
      <c r="O4" s="2"/>
      <c r="P4" s="2"/>
      <c r="Q4" s="2"/>
    </row>
    <row r="5" spans="1:17" x14ac:dyDescent="0.25">
      <c r="A5" s="13" t="s">
        <v>7</v>
      </c>
      <c r="B5" s="1">
        <v>84</v>
      </c>
      <c r="C5" s="1">
        <v>18</v>
      </c>
      <c r="D5" s="4">
        <v>46299378.079999998</v>
      </c>
      <c r="E5" s="4">
        <v>6519189.5999999996</v>
      </c>
      <c r="F5" s="2"/>
      <c r="G5" s="1">
        <v>102</v>
      </c>
      <c r="H5" s="4">
        <v>52818567.68</v>
      </c>
      <c r="I5" s="2"/>
      <c r="J5" s="1">
        <v>84</v>
      </c>
      <c r="K5" s="58" t="s">
        <v>65</v>
      </c>
      <c r="L5" s="4">
        <v>11461496.499999998</v>
      </c>
      <c r="M5" s="10">
        <v>0.21699748788038317</v>
      </c>
      <c r="N5" s="2"/>
      <c r="O5" s="2"/>
      <c r="P5" s="2"/>
      <c r="Q5" s="2"/>
    </row>
    <row r="6" spans="1:17" x14ac:dyDescent="0.25">
      <c r="A6" s="13" t="s">
        <v>8</v>
      </c>
      <c r="B6" s="1">
        <v>513</v>
      </c>
      <c r="C6" s="1">
        <v>62</v>
      </c>
      <c r="D6" s="4">
        <v>373028723.55000001</v>
      </c>
      <c r="E6" s="4">
        <v>36593120.55999998</v>
      </c>
      <c r="F6" s="2"/>
      <c r="G6" s="1">
        <v>575</v>
      </c>
      <c r="H6" s="4">
        <v>409621844.11000001</v>
      </c>
      <c r="I6" s="2"/>
      <c r="J6" s="1">
        <v>518</v>
      </c>
      <c r="K6" s="58" t="s">
        <v>67</v>
      </c>
      <c r="L6" s="4">
        <v>90105320.599999994</v>
      </c>
      <c r="M6" s="10">
        <v>0.21997196169011698</v>
      </c>
      <c r="N6" s="2"/>
      <c r="O6" s="2"/>
      <c r="P6" s="2"/>
      <c r="Q6" s="2"/>
    </row>
    <row r="7" spans="1:17" x14ac:dyDescent="0.25">
      <c r="A7" s="13" t="s">
        <v>5</v>
      </c>
      <c r="B7" s="1">
        <v>31</v>
      </c>
      <c r="C7" s="1">
        <v>4</v>
      </c>
      <c r="D7" s="4">
        <v>21338091.82</v>
      </c>
      <c r="E7" s="4">
        <v>1176968</v>
      </c>
      <c r="F7" s="2"/>
      <c r="G7" s="1">
        <v>35</v>
      </c>
      <c r="H7" s="4">
        <v>22515059.82</v>
      </c>
      <c r="I7" s="2"/>
      <c r="J7" s="1">
        <v>32</v>
      </c>
      <c r="K7" s="58" t="s">
        <v>68</v>
      </c>
      <c r="L7" s="4">
        <v>5738400.0499999998</v>
      </c>
      <c r="M7" s="10">
        <v>0.25486941166830085</v>
      </c>
      <c r="N7" s="2"/>
      <c r="O7" s="2"/>
      <c r="P7" s="2"/>
      <c r="Q7" s="2"/>
    </row>
    <row r="8" spans="1:17" x14ac:dyDescent="0.25">
      <c r="A8" s="13" t="s">
        <v>3</v>
      </c>
      <c r="B8" s="1">
        <v>30</v>
      </c>
      <c r="C8" s="1">
        <v>6</v>
      </c>
      <c r="D8" s="4">
        <v>18683417</v>
      </c>
      <c r="E8" s="4">
        <v>2723902.8</v>
      </c>
      <c r="F8" s="2"/>
      <c r="G8" s="1">
        <v>36</v>
      </c>
      <c r="H8" s="4">
        <v>21407319.800000001</v>
      </c>
      <c r="I8" s="3"/>
      <c r="J8" s="1">
        <v>33</v>
      </c>
      <c r="K8" s="58" t="s">
        <v>69</v>
      </c>
      <c r="L8" s="4">
        <v>6739204.5300000003</v>
      </c>
      <c r="M8" s="10">
        <v>0.31480842034227935</v>
      </c>
      <c r="N8" s="2"/>
      <c r="O8" s="2"/>
      <c r="P8" s="2"/>
      <c r="Q8" s="2"/>
    </row>
    <row r="9" spans="1:17" x14ac:dyDescent="0.25">
      <c r="A9" s="13" t="s">
        <v>1</v>
      </c>
      <c r="B9" s="1">
        <v>14</v>
      </c>
      <c r="C9" s="1"/>
      <c r="D9" s="4">
        <v>13148298.68</v>
      </c>
      <c r="E9" s="4"/>
      <c r="F9" s="2"/>
      <c r="G9" s="1">
        <v>14</v>
      </c>
      <c r="H9" s="4">
        <v>13148298.68</v>
      </c>
      <c r="I9" s="3"/>
      <c r="J9" s="1">
        <v>14</v>
      </c>
      <c r="K9" s="58" t="s">
        <v>65</v>
      </c>
      <c r="L9" s="4">
        <v>4579328.87</v>
      </c>
      <c r="M9" s="10">
        <v>0.3482829970211781</v>
      </c>
      <c r="N9" s="2"/>
      <c r="O9" s="2"/>
      <c r="P9" s="2"/>
      <c r="Q9" s="2"/>
    </row>
    <row r="10" spans="1:17" x14ac:dyDescent="0.25">
      <c r="A10" s="13" t="s">
        <v>2</v>
      </c>
      <c r="B10" s="1">
        <v>48</v>
      </c>
      <c r="C10" s="1">
        <v>23</v>
      </c>
      <c r="D10" s="4">
        <v>24144045.670000002</v>
      </c>
      <c r="E10" s="4">
        <v>8913454.6000000015</v>
      </c>
      <c r="F10" s="2"/>
      <c r="G10" s="1">
        <v>71</v>
      </c>
      <c r="H10" s="4">
        <v>33057500.270000003</v>
      </c>
      <c r="I10" s="3"/>
      <c r="J10" s="1">
        <v>47</v>
      </c>
      <c r="K10" s="58" t="s">
        <v>70</v>
      </c>
      <c r="L10" s="4">
        <v>6660263.0200000005</v>
      </c>
      <c r="M10" s="10">
        <v>0.2014750953823406</v>
      </c>
      <c r="P10" s="2"/>
      <c r="Q10" s="2"/>
    </row>
    <row r="11" spans="1:17" x14ac:dyDescent="0.25">
      <c r="A11" s="13" t="s">
        <v>4</v>
      </c>
      <c r="B11" s="1">
        <v>107</v>
      </c>
      <c r="C11" s="1">
        <v>14</v>
      </c>
      <c r="D11" s="4">
        <v>58938635.760000005</v>
      </c>
      <c r="E11" s="4">
        <v>4929506.8</v>
      </c>
      <c r="F11" s="2"/>
      <c r="G11" s="1">
        <v>121</v>
      </c>
      <c r="H11" s="4">
        <v>63868142.560000002</v>
      </c>
      <c r="I11" s="3"/>
      <c r="J11" s="1">
        <v>110</v>
      </c>
      <c r="K11" s="58" t="s">
        <v>69</v>
      </c>
      <c r="L11" s="4">
        <v>15943613.400000002</v>
      </c>
      <c r="M11" s="10">
        <v>0.24963327194026358</v>
      </c>
      <c r="P11" s="2"/>
      <c r="Q11" s="2"/>
    </row>
    <row r="12" spans="1:17" s="2" customFormat="1" x14ac:dyDescent="0.25">
      <c r="B12" s="1"/>
      <c r="C12" s="1"/>
      <c r="D12" s="3"/>
      <c r="E12" s="3"/>
      <c r="G12" s="3"/>
      <c r="H12" s="3"/>
      <c r="I12" s="3"/>
      <c r="J12" s="3"/>
      <c r="K12" s="3"/>
      <c r="L12" s="3"/>
    </row>
    <row r="13" spans="1:17" s="2" customFormat="1" x14ac:dyDescent="0.25">
      <c r="A13" s="14" t="s">
        <v>21</v>
      </c>
      <c r="B13" s="1">
        <v>827</v>
      </c>
      <c r="C13" s="1">
        <v>127</v>
      </c>
      <c r="D13" s="9">
        <v>555580590.56000006</v>
      </c>
      <c r="E13" s="9">
        <v>60856142.359999977</v>
      </c>
      <c r="G13" s="1">
        <v>954</v>
      </c>
      <c r="H13" s="9">
        <v>616436732.92000008</v>
      </c>
      <c r="I13" s="3"/>
      <c r="J13" s="1">
        <f>SUM(J5:J12)</f>
        <v>838</v>
      </c>
      <c r="K13" s="58" t="s">
        <v>71</v>
      </c>
      <c r="L13" s="9">
        <v>141227626.97</v>
      </c>
      <c r="M13" s="10">
        <v>0.22910319815144475</v>
      </c>
    </row>
    <row r="14" spans="1:17" x14ac:dyDescent="0.25">
      <c r="A14" s="2"/>
      <c r="B14" s="1"/>
      <c r="C14" s="1"/>
      <c r="D14" s="3"/>
      <c r="E14" s="3"/>
      <c r="F14" s="2"/>
      <c r="G14" s="3"/>
      <c r="H14" s="3"/>
      <c r="I14" s="3"/>
      <c r="J14" s="3"/>
      <c r="K14" s="3"/>
      <c r="L14" s="3"/>
      <c r="M14" s="2"/>
      <c r="P14" s="2"/>
      <c r="Q14" s="2"/>
    </row>
    <row r="15" spans="1:17" x14ac:dyDescent="0.25">
      <c r="A15" s="15" t="s">
        <v>10</v>
      </c>
      <c r="B15" s="1"/>
      <c r="C15" s="1"/>
      <c r="D15" s="3"/>
      <c r="E15" s="3"/>
      <c r="F15" s="2"/>
      <c r="G15" s="3"/>
      <c r="H15" s="3"/>
      <c r="I15" s="3"/>
      <c r="J15" s="3"/>
      <c r="K15" s="3"/>
      <c r="L15" s="3"/>
      <c r="M15" s="2"/>
      <c r="P15" s="2"/>
      <c r="Q15" s="2"/>
    </row>
    <row r="16" spans="1:17" x14ac:dyDescent="0.25">
      <c r="A16" s="13" t="s">
        <v>11</v>
      </c>
      <c r="B16" s="1">
        <v>40</v>
      </c>
      <c r="C16" s="1"/>
      <c r="D16" s="3">
        <v>20288000</v>
      </c>
      <c r="E16" s="3"/>
      <c r="F16" s="2"/>
      <c r="G16" s="1">
        <v>40</v>
      </c>
      <c r="H16" s="3">
        <v>20288000</v>
      </c>
      <c r="I16" s="3"/>
      <c r="J16" s="1">
        <v>40</v>
      </c>
      <c r="K16" s="1"/>
      <c r="L16" s="4">
        <v>5435854.5899999999</v>
      </c>
      <c r="M16" s="10">
        <v>0.26793447308753943</v>
      </c>
      <c r="P16" s="2"/>
      <c r="Q16" s="2"/>
    </row>
    <row r="17" spans="1:17" x14ac:dyDescent="0.25">
      <c r="A17" s="13" t="s">
        <v>12</v>
      </c>
      <c r="B17" s="1">
        <v>51</v>
      </c>
      <c r="C17" s="1"/>
      <c r="D17" s="3">
        <v>10664776</v>
      </c>
      <c r="E17" s="3"/>
      <c r="F17" s="2"/>
      <c r="G17" s="1">
        <v>51</v>
      </c>
      <c r="H17" s="3">
        <v>10664776</v>
      </c>
      <c r="I17" s="3"/>
      <c r="J17" s="1">
        <v>51</v>
      </c>
      <c r="K17" s="1"/>
      <c r="L17" s="4">
        <v>2050110.26</v>
      </c>
      <c r="M17" s="10">
        <v>0.19223190998104414</v>
      </c>
      <c r="P17" s="2"/>
      <c r="Q17" s="2"/>
    </row>
    <row r="18" spans="1:17" x14ac:dyDescent="0.25">
      <c r="A18" s="13" t="s">
        <v>9</v>
      </c>
      <c r="B18" s="1">
        <v>0</v>
      </c>
      <c r="C18" s="1">
        <v>25</v>
      </c>
      <c r="E18" s="3">
        <v>10000000</v>
      </c>
      <c r="F18" s="3"/>
      <c r="G18" s="1">
        <v>25</v>
      </c>
      <c r="H18" s="3">
        <v>10000000</v>
      </c>
      <c r="I18" s="3"/>
      <c r="J18" s="1">
        <v>0</v>
      </c>
      <c r="K18" s="1"/>
      <c r="L18" s="4">
        <v>0</v>
      </c>
      <c r="M18" s="10">
        <v>0</v>
      </c>
      <c r="P18" s="2"/>
      <c r="Q18" s="2"/>
    </row>
    <row r="19" spans="1:17" x14ac:dyDescent="0.25">
      <c r="B19" s="3"/>
      <c r="C19" s="3"/>
      <c r="D19" s="3"/>
      <c r="E19" s="3"/>
      <c r="F19" s="3"/>
      <c r="G19" s="3"/>
      <c r="H19" s="3"/>
      <c r="I19" s="3"/>
      <c r="J19" s="2"/>
      <c r="L19" s="2"/>
      <c r="M19" s="2"/>
      <c r="P19" s="2"/>
      <c r="Q19" s="2"/>
    </row>
    <row r="20" spans="1:17" x14ac:dyDescent="0.25">
      <c r="A20" s="13" t="s">
        <v>20</v>
      </c>
      <c r="B20" s="3"/>
      <c r="C20" s="3"/>
      <c r="D20" s="3">
        <v>12797712.68</v>
      </c>
      <c r="E20" s="3"/>
      <c r="F20" s="3"/>
      <c r="G20" s="3"/>
      <c r="H20" s="3">
        <v>12797712.68</v>
      </c>
      <c r="I20" s="3"/>
      <c r="J20" s="3"/>
      <c r="K20" s="3"/>
      <c r="L20" s="4">
        <v>1060736.3700000001</v>
      </c>
      <c r="M20" s="10">
        <v>8.2884840168172935E-2</v>
      </c>
    </row>
    <row r="21" spans="1:17" x14ac:dyDescent="0.25">
      <c r="A21" s="13" t="s">
        <v>13</v>
      </c>
      <c r="B21" s="3"/>
      <c r="C21" s="3"/>
      <c r="D21" s="3">
        <v>3000000</v>
      </c>
      <c r="E21" s="3"/>
      <c r="F21" s="3"/>
      <c r="G21" s="3"/>
      <c r="H21" s="3">
        <v>3000000</v>
      </c>
      <c r="I21" s="3"/>
      <c r="J21" s="3"/>
      <c r="K21" s="3"/>
      <c r="L21" s="4">
        <v>0</v>
      </c>
      <c r="M21" s="10">
        <v>0</v>
      </c>
    </row>
    <row r="22" spans="1:17" x14ac:dyDescent="0.25">
      <c r="A22" s="13" t="s">
        <v>14</v>
      </c>
      <c r="B22" s="3"/>
      <c r="C22" s="3"/>
      <c r="D22" s="3">
        <v>13812778.400000032</v>
      </c>
      <c r="E22" s="3"/>
      <c r="F22" s="3"/>
      <c r="G22" s="3"/>
      <c r="H22" s="3">
        <v>13812778.400000032</v>
      </c>
      <c r="I22" s="3"/>
      <c r="J22" s="3"/>
      <c r="K22" s="3"/>
      <c r="L22" s="4">
        <v>0</v>
      </c>
      <c r="M22" s="10">
        <v>0</v>
      </c>
    </row>
    <row r="23" spans="1:17" x14ac:dyDescent="0.25">
      <c r="A23" s="13" t="s">
        <v>15</v>
      </c>
      <c r="B23" s="3"/>
      <c r="C23" s="3"/>
      <c r="D23" s="3">
        <v>-10000000</v>
      </c>
      <c r="E23" s="3"/>
      <c r="F23" s="3"/>
      <c r="G23" s="3"/>
      <c r="H23" s="3">
        <v>-10000000</v>
      </c>
      <c r="I23" s="3"/>
      <c r="J23" s="3"/>
      <c r="K23" s="3"/>
      <c r="L23" s="4">
        <v>0</v>
      </c>
      <c r="M23" s="10">
        <v>0</v>
      </c>
    </row>
    <row r="24" spans="1:17" x14ac:dyDescent="0.25">
      <c r="B24" s="3"/>
      <c r="C24" s="3"/>
      <c r="D24" s="3"/>
      <c r="E24" s="3"/>
      <c r="F24" s="3"/>
      <c r="G24" s="3"/>
      <c r="H24" s="3"/>
      <c r="I24" s="3"/>
      <c r="J24" s="3"/>
      <c r="K24" s="3"/>
      <c r="L24" s="2"/>
      <c r="M24" s="2"/>
    </row>
    <row r="25" spans="1:17" x14ac:dyDescent="0.25">
      <c r="L25" s="2"/>
      <c r="M25" s="2"/>
    </row>
    <row r="26" spans="1:17" x14ac:dyDescent="0.25">
      <c r="G26" s="11" t="s">
        <v>6</v>
      </c>
      <c r="H26" s="8">
        <v>677000000.00000024</v>
      </c>
      <c r="I26" s="2"/>
      <c r="J26" s="11" t="s">
        <v>6</v>
      </c>
      <c r="K26" s="11"/>
      <c r="L26" s="8">
        <v>149774328.18999997</v>
      </c>
      <c r="M26" s="10">
        <v>0.22123239023633665</v>
      </c>
    </row>
    <row r="27" spans="1:17" x14ac:dyDescent="0.25">
      <c r="I27" s="2"/>
      <c r="J27" s="2"/>
      <c r="L27" s="2"/>
    </row>
    <row r="28" spans="1:17" x14ac:dyDescent="0.25">
      <c r="L28" s="2"/>
    </row>
    <row r="29" spans="1:17" x14ac:dyDescent="0.25">
      <c r="A29" t="s">
        <v>25</v>
      </c>
    </row>
    <row r="30" spans="1:17" x14ac:dyDescent="0.25">
      <c r="A30" s="12" t="s">
        <v>26</v>
      </c>
    </row>
    <row r="31" spans="1:17" x14ac:dyDescent="0.25">
      <c r="A31" s="12" t="s">
        <v>27</v>
      </c>
    </row>
    <row r="32" spans="1:17" x14ac:dyDescent="0.25">
      <c r="A32" s="12" t="s">
        <v>29</v>
      </c>
    </row>
    <row r="33" spans="1:1" x14ac:dyDescent="0.25">
      <c r="A33" s="12" t="s">
        <v>28</v>
      </c>
    </row>
  </sheetData>
  <mergeCells count="4">
    <mergeCell ref="J2:M2"/>
    <mergeCell ref="B3:C3"/>
    <mergeCell ref="D3:E3"/>
    <mergeCell ref="B2:H2"/>
  </mergeCells>
  <pageMargins left="0.7" right="0.7" top="0.75" bottom="0.75" header="0.3" footer="0.3"/>
  <ignoredErrors>
    <ignoredError sqref="K6:K11 K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</vt:lpstr>
      <vt:lpstr>By Sector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2023-10-06T06:01:59Z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