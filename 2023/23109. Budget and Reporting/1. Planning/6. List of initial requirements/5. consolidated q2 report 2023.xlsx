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kpmgare-my.sharepoint.com/personal/ramin3_kpmg_com/Documents/Desktop/work/Engagements/Khalifa University/6. Data/2/Updated request/"/>
    </mc:Choice>
  </mc:AlternateContent>
  <xr:revisionPtr revIDLastSave="17" documentId="11_813431B45FBAD56660FD324B90F4C66E0462A19F" xr6:coauthVersionLast="47" xr6:coauthVersionMax="47" xr10:uidLastSave="{149C1A4A-9399-49D8-B47B-AAF6C0DFB3EC}"/>
  <bookViews>
    <workbookView xWindow="-110" yWindow="-110" windowWidth="19420" windowHeight="10420" activeTab="1" xr2:uid="{00000000-000D-0000-FFFF-FFFF00000000}"/>
  </bookViews>
  <sheets>
    <sheet name="Sheet1" sheetId="2" r:id="rId1"/>
    <sheet name="consolidated" sheetId="1" r:id="rId2"/>
  </sheets>
  <definedNames>
    <definedName name="_xlnm._FilterDatabase" localSheetId="1" hidden="1">consolidated!$A$3:$V$481</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82" i="1" l="1"/>
  <c r="J482" i="1"/>
  <c r="K482" i="1"/>
  <c r="L482" i="1"/>
  <c r="M482" i="1"/>
  <c r="N482" i="1"/>
  <c r="O482" i="1"/>
  <c r="P482" i="1"/>
  <c r="Q482" i="1"/>
  <c r="H482" i="1"/>
  <c r="Q282" i="1"/>
  <c r="Q281" i="1"/>
  <c r="M281" i="1"/>
  <c r="C37" i="2"/>
  <c r="C20" i="2"/>
  <c r="R5" i="1" l="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 i="1"/>
  <c r="R482" i="1" l="1"/>
  <c r="T349" i="1"/>
  <c r="T480" i="1" l="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Khulood Al Ali</author>
  </authors>
  <commentList>
    <comment ref="Q282" authorId="0" shapeId="0" xr:uid="{00000000-0006-0000-0100-000001000000}">
      <text>
        <r>
          <rPr>
            <b/>
            <sz val="9"/>
            <color indexed="81"/>
            <rFont val="Tahoma"/>
            <family val="2"/>
          </rPr>
          <t>Khulood Al Ali:</t>
        </r>
        <r>
          <rPr>
            <sz val="9"/>
            <color indexed="81"/>
            <rFont val="Tahoma"/>
            <family val="2"/>
          </rPr>
          <t xml:space="preserve">
375k for impairment &amp; 95k for COSO remediation (50%)</t>
        </r>
      </text>
    </comment>
  </commentList>
</comments>
</file>

<file path=xl/sharedStrings.xml><?xml version="1.0" encoding="utf-8"?>
<sst xmlns="http://schemas.openxmlformats.org/spreadsheetml/2006/main" count="4099" uniqueCount="967">
  <si>
    <t/>
  </si>
  <si>
    <t>Budget Performance Quarter 02 - 2023</t>
  </si>
  <si>
    <t>Chapter Name</t>
  </si>
  <si>
    <t>Cost Center Code</t>
  </si>
  <si>
    <t>Cost Center Description</t>
  </si>
  <si>
    <t>Account Code</t>
  </si>
  <si>
    <t>Account Description</t>
  </si>
  <si>
    <t>GL Account Combination</t>
  </si>
  <si>
    <t>Actual Amount</t>
  </si>
  <si>
    <t>PR</t>
  </si>
  <si>
    <t>PO</t>
  </si>
  <si>
    <t>Utilization Justification</t>
  </si>
  <si>
    <t>Surplus Justification</t>
  </si>
  <si>
    <t>2 Other Operating Costs</t>
  </si>
  <si>
    <t>8470110</t>
  </si>
  <si>
    <t>KUST - Office of the President</t>
  </si>
  <si>
    <t>420550</t>
  </si>
  <si>
    <t>Academic Advisory Service</t>
  </si>
  <si>
    <t>847.8470110.1.420550.000000.847001.200179</t>
  </si>
  <si>
    <t>425510</t>
  </si>
  <si>
    <t>Conferences, seminars and exhibitions and other events: - Local Events</t>
  </si>
  <si>
    <t>847.8470110.1.425510.000000.847001.200179</t>
  </si>
  <si>
    <t>425550</t>
  </si>
  <si>
    <t>Conferences, seminars and exhibitions and other events: - Overseas event</t>
  </si>
  <si>
    <t>847.8470110.1.425550.000000.847001.200179</t>
  </si>
  <si>
    <t>425900</t>
  </si>
  <si>
    <t>Entertainment and hospitality</t>
  </si>
  <si>
    <t>847.8470110.1.425900.000000.847001.200179</t>
  </si>
  <si>
    <t>428090</t>
  </si>
  <si>
    <t>Business Travel - Combined expenses</t>
  </si>
  <si>
    <t>847.8470110.1.428090.000000.847001.200179</t>
  </si>
  <si>
    <t>8470120</t>
  </si>
  <si>
    <t>KUST - Audit</t>
  </si>
  <si>
    <t>420120</t>
  </si>
  <si>
    <t>Internal Audit service</t>
  </si>
  <si>
    <t>847.8470120.1.420120.000000.847001.200179</t>
  </si>
  <si>
    <t>847.8470120.1.425900.000000.847001.200179</t>
  </si>
  <si>
    <t>847.8470120.1.428090.000000.847001.200179</t>
  </si>
  <si>
    <t>8470121</t>
  </si>
  <si>
    <t>KUST - Compliance and Risk Management</t>
  </si>
  <si>
    <t>421000</t>
  </si>
  <si>
    <t>Management consultancy</t>
  </si>
  <si>
    <t>847.8470121.1.421000.000000.847001.200179</t>
  </si>
  <si>
    <t>421700</t>
  </si>
  <si>
    <t>Standards Certification Services (e.g. ISO)</t>
  </si>
  <si>
    <t>847.8470121.1.421700.000000.847001.200179</t>
  </si>
  <si>
    <t>847.8470121.1.425900.000000.847001.200179</t>
  </si>
  <si>
    <t>426610</t>
  </si>
  <si>
    <t>Computer software licenses-Software License Renewal</t>
  </si>
  <si>
    <t>847.8470121.1.426610.000000.847001.200179</t>
  </si>
  <si>
    <t>847.8470121.1.428090.000000.847001.200179</t>
  </si>
  <si>
    <t>8470130</t>
  </si>
  <si>
    <t>KUST - Institutional Research &amp; Planning</t>
  </si>
  <si>
    <t>847.8470130.1.421000.000000.847001.200179</t>
  </si>
  <si>
    <t>847.8470130.1.426610.000000.847001.200179</t>
  </si>
  <si>
    <t>427710</t>
  </si>
  <si>
    <t>Subscriptions and membership fees: Trade organisations</t>
  </si>
  <si>
    <t>847.8470130.1.427710.000000.847001.200179</t>
  </si>
  <si>
    <t>847.8470130.1.428090.000000.847001.200179</t>
  </si>
  <si>
    <t>8470140</t>
  </si>
  <si>
    <t>KUST - Communication</t>
  </si>
  <si>
    <t>425100</t>
  </si>
  <si>
    <t>Advertising Services (General)</t>
  </si>
  <si>
    <t>847.8470140.1.425100.000000.847001.200179</t>
  </si>
  <si>
    <t>847.8470140.1.425510.000000.847001.200179</t>
  </si>
  <si>
    <t>847.8470140.1.425550.000000.847001.200179</t>
  </si>
  <si>
    <t>425763</t>
  </si>
  <si>
    <t>Student Project Expenses</t>
  </si>
  <si>
    <t>847.8470140.1.425763.000000.847001.200179</t>
  </si>
  <si>
    <t>427100</t>
  </si>
  <si>
    <t>Public relations</t>
  </si>
  <si>
    <t>847.8470140.1.427100.000000.847001.200179</t>
  </si>
  <si>
    <t>427200</t>
  </si>
  <si>
    <t>Printing and publishing</t>
  </si>
  <si>
    <t>847.8470140.1.427200.000000.847001.200179</t>
  </si>
  <si>
    <t>428640</t>
  </si>
  <si>
    <t>Events - Awards, prizes &amp; gifts</t>
  </si>
  <si>
    <t>847.8470140.1.428640.000000.847001.200179</t>
  </si>
  <si>
    <t>435519</t>
  </si>
  <si>
    <t>Photography - Consumable materials /Tools</t>
  </si>
  <si>
    <t>847.8470140.1.435519.000000.847001.200179</t>
  </si>
  <si>
    <t>8470150</t>
  </si>
  <si>
    <t>KUST - General Counsel</t>
  </si>
  <si>
    <t>420900</t>
  </si>
  <si>
    <t>Legal services</t>
  </si>
  <si>
    <t>847.8470150.1.420900.000000.847001.200179</t>
  </si>
  <si>
    <t>847.8470150.1.426610.000000.847001.200179</t>
  </si>
  <si>
    <t>8470160</t>
  </si>
  <si>
    <t>KUST - SVP/ Support Services Office</t>
  </si>
  <si>
    <t>847.8470160.1.420900.000000.847001.200179</t>
  </si>
  <si>
    <t>847.8470160.1.425550.000000.847001.200179</t>
  </si>
  <si>
    <t>847.8470160.1.425900.000000.847001.200179</t>
  </si>
  <si>
    <t>847.8470160.1.426610.000000.847001.200179</t>
  </si>
  <si>
    <t>847.8470160.1.428090.000000.847001.200179</t>
  </si>
  <si>
    <t>847.8470160.1.428640.000000.847001.200179</t>
  </si>
  <si>
    <t>435523</t>
  </si>
  <si>
    <t>Scientific</t>
  </si>
  <si>
    <t>847.8470160.1.435523.000000.847001.200179</t>
  </si>
  <si>
    <t>8470210</t>
  </si>
  <si>
    <t>KUST - Khalifa University of Science &amp; Technology - General Administration</t>
  </si>
  <si>
    <t>420811</t>
  </si>
  <si>
    <t>IT Systems &amp; Support expenses-Application/Systems Operation</t>
  </si>
  <si>
    <t>847.8470210.1.420811.000000.847001.200179</t>
  </si>
  <si>
    <t>847.8470210.1.420900.000000.847001.200179</t>
  </si>
  <si>
    <t>425747</t>
  </si>
  <si>
    <t>Student Accommodation</t>
  </si>
  <si>
    <t>847.8470210.1.425747.000000.847001.200179</t>
  </si>
  <si>
    <t>425749</t>
  </si>
  <si>
    <t>Postgraduate Student Salaries</t>
  </si>
  <si>
    <t>847.8470210.1.425749.000000.847001.200179</t>
  </si>
  <si>
    <t>847.8470210.1.435523.000000.847001.200179</t>
  </si>
  <si>
    <t>8470220</t>
  </si>
  <si>
    <t>KUST - Office of the Provost</t>
  </si>
  <si>
    <t>847.8470220.1.420550.000000.847001.200179</t>
  </si>
  <si>
    <t>420570</t>
  </si>
  <si>
    <t>Academic Collaborative Partnership Services</t>
  </si>
  <si>
    <t>847.8470220.1.420570.000000.847001.200179</t>
  </si>
  <si>
    <t>847.8470220.1.421700.000000.847001.200179</t>
  </si>
  <si>
    <t>847.8470220.1.425510.000000.847001.200179</t>
  </si>
  <si>
    <t>847.8470220.1.425550.000000.847001.200179</t>
  </si>
  <si>
    <t>847.8470220.1.425900.000000.847001.200179</t>
  </si>
  <si>
    <t>847.8470220.1.428090.000000.847001.200179</t>
  </si>
  <si>
    <t>847.8470220.1.428640.000000.847001.200179</t>
  </si>
  <si>
    <t>847.8470220.1.428640.000000.847020.050589</t>
  </si>
  <si>
    <t>432205</t>
  </si>
  <si>
    <t>Maintenance: Computers and peripherals-End user and Infrastructure components maintenance and support</t>
  </si>
  <si>
    <t>847.8470220.1.432205.000000.847001.200179</t>
  </si>
  <si>
    <t>435350</t>
  </si>
  <si>
    <t>Academic Publications</t>
  </si>
  <si>
    <t>847.8470220.1.435350.000000.847020.050589</t>
  </si>
  <si>
    <t>435508</t>
  </si>
  <si>
    <t>Laboratory - Scientific</t>
  </si>
  <si>
    <t>847.8470220.1.435508.000000.847001.200179</t>
  </si>
  <si>
    <t>8470230</t>
  </si>
  <si>
    <t>KUST - Graduate Studies</t>
  </si>
  <si>
    <t>847.8470230.1.420550.000000.847001.200179</t>
  </si>
  <si>
    <t>847.8470230.1.425510.000000.847001.200179</t>
  </si>
  <si>
    <t>847.8470230.1.425550.000000.847001.200179</t>
  </si>
  <si>
    <t>425744</t>
  </si>
  <si>
    <t>Student medical insurance</t>
  </si>
  <si>
    <t>847.8470230.1.425744.000000.847001.200179</t>
  </si>
  <si>
    <t>425745</t>
  </si>
  <si>
    <t>Student relocation &amp; travel exps</t>
  </si>
  <si>
    <t>847.8470230.1.425745.000000.847001.200179</t>
  </si>
  <si>
    <t>847.8470230.1.425749.000000.847001.200179</t>
  </si>
  <si>
    <t>425762</t>
  </si>
  <si>
    <t>Student Internship</t>
  </si>
  <si>
    <t>847.8470230.1.425762.000000.847001.200179</t>
  </si>
  <si>
    <t>847.8470230.1.425900.000000.847001.200179</t>
  </si>
  <si>
    <t>8470305</t>
  </si>
  <si>
    <t>KUST - Dean Of Engineering</t>
  </si>
  <si>
    <t>847.8470305.1.420550.000000.847001.200179</t>
  </si>
  <si>
    <t>847.8470305.1.425510.000000.847001.200179</t>
  </si>
  <si>
    <t>425760</t>
  </si>
  <si>
    <t>Student activities &amp; field trip expenses</t>
  </si>
  <si>
    <t>847.8470305.1.425760.000000.847001.200179</t>
  </si>
  <si>
    <t>847.8470305.1.425763.000000.847001.200179</t>
  </si>
  <si>
    <t>425770</t>
  </si>
  <si>
    <t>Academic Missions - Combined expenses</t>
  </si>
  <si>
    <t>847.8470305.1.425770.000000.847001.200179</t>
  </si>
  <si>
    <t>847.8470305.1.425900.000000.847001.200179</t>
  </si>
  <si>
    <t>847.8470305.1.426610.000000.847001.200179</t>
  </si>
  <si>
    <t>847.8470305.1.428090.000000.847001.200179</t>
  </si>
  <si>
    <t>432209</t>
  </si>
  <si>
    <t>Laboratory Equipment maintenance</t>
  </si>
  <si>
    <t>847.8470305.1.432209.000000.847001.200179</t>
  </si>
  <si>
    <t>847.8470305.1.435350.000000.847001.200179</t>
  </si>
  <si>
    <t>847.8470305.1.435508.000000.847001.200179</t>
  </si>
  <si>
    <t>8470310</t>
  </si>
  <si>
    <t>KUST - Aerospace Engineering</t>
  </si>
  <si>
    <t>847.8470310.1.420550.000000.847001.200179</t>
  </si>
  <si>
    <t>847.8470310.1.425510.000000.847001.200179</t>
  </si>
  <si>
    <t>847.8470310.1.425760.000000.847001.200179</t>
  </si>
  <si>
    <t>847.8470310.1.425763.000000.847001.200179</t>
  </si>
  <si>
    <t>847.8470310.1.425770.000000.847001.200179</t>
  </si>
  <si>
    <t>847.8470310.1.425900.000000.847001.200179</t>
  </si>
  <si>
    <t>847.8470310.1.426610.000000.847001.200179</t>
  </si>
  <si>
    <t>847.8470310.1.435350.000000.847001.200179</t>
  </si>
  <si>
    <t>847.8470310.1.435508.000000.847001.200179</t>
  </si>
  <si>
    <t>8470315</t>
  </si>
  <si>
    <t>KUST - Biomedical Engineering</t>
  </si>
  <si>
    <t>847.8470315.1.420550.000000.847001.200179</t>
  </si>
  <si>
    <t>847.8470315.1.425510.000000.847001.200179</t>
  </si>
  <si>
    <t>847.8470315.1.425763.000000.847001.200179</t>
  </si>
  <si>
    <t>847.8470315.1.425770.000000.847001.200179</t>
  </si>
  <si>
    <t>847.8470315.1.425900.000000.847001.200179</t>
  </si>
  <si>
    <t>847.8470315.1.426610.000000.847001.200179</t>
  </si>
  <si>
    <t>847.8470315.1.428090.000000.847001.200179</t>
  </si>
  <si>
    <t>847.8470315.1.432209.000000.847001.200179</t>
  </si>
  <si>
    <t>847.8470315.1.435350.000000.847001.200179</t>
  </si>
  <si>
    <t>847.8470315.1.435508.000000.847001.200179</t>
  </si>
  <si>
    <t>8470320</t>
  </si>
  <si>
    <t>KUST - Chemical Engineering</t>
  </si>
  <si>
    <t>847.8470320.1.425510.000000.847001.200179</t>
  </si>
  <si>
    <t>847.8470320.1.425760.000000.847001.200179</t>
  </si>
  <si>
    <t>847.8470320.1.425763.000000.847001.200179</t>
  </si>
  <si>
    <t>847.8470320.1.425770.000000.847001.200179</t>
  </si>
  <si>
    <t>847.8470320.1.425900.000000.847001.200179</t>
  </si>
  <si>
    <t>847.8470320.1.426610.000000.847001.200179</t>
  </si>
  <si>
    <t>847.8470320.1.435350.000000.847001.200179</t>
  </si>
  <si>
    <t>847.8470320.1.435508.000000.847001.200179</t>
  </si>
  <si>
    <t>436110</t>
  </si>
  <si>
    <t>Printing supplies</t>
  </si>
  <si>
    <t>847.8470320.1.436110.000000.847001.200179</t>
  </si>
  <si>
    <t>436600</t>
  </si>
  <si>
    <t>Training/Teaching equipment and other educational aid</t>
  </si>
  <si>
    <t>847.8470320.1.436600.000000.847001.200179</t>
  </si>
  <si>
    <t>8470325</t>
  </si>
  <si>
    <t>KUST - Civil Engineering</t>
  </si>
  <si>
    <t>847.8470325.1.425510.000000.847001.200179</t>
  </si>
  <si>
    <t>847.8470325.1.425763.000000.847001.200179</t>
  </si>
  <si>
    <t>847.8470325.1.425770.000000.847001.200179</t>
  </si>
  <si>
    <t>847.8470325.1.425900.000000.847001.200179</t>
  </si>
  <si>
    <t>847.8470325.1.426610.000000.847001.200179</t>
  </si>
  <si>
    <t>847.8470325.1.432209.000000.847001.200179</t>
  </si>
  <si>
    <t>847.8470325.1.435350.000000.847001.200179</t>
  </si>
  <si>
    <t>847.8470325.1.435508.000000.847001.200179</t>
  </si>
  <si>
    <t>847.8470325.1.436600.000000.847001.200179</t>
  </si>
  <si>
    <t>8470330</t>
  </si>
  <si>
    <t>KUST - Electrical &amp; Computer Engineering</t>
  </si>
  <si>
    <t>847.8470330.1.420550.000000.847001.200179</t>
  </si>
  <si>
    <t>847.8470330.1.425510.000000.847001.200179</t>
  </si>
  <si>
    <t>847.8470330.1.425760.000000.847001.200179</t>
  </si>
  <si>
    <t>847.8470330.1.425763.000000.847001.200179</t>
  </si>
  <si>
    <t>847.8470330.1.425770.000000.847001.200179</t>
  </si>
  <si>
    <t>847.8470330.1.425900.000000.847001.200179</t>
  </si>
  <si>
    <t>847.8470330.1.426610.000000.847001.200179</t>
  </si>
  <si>
    <t>847.8470330.1.432209.000000.847001.200179</t>
  </si>
  <si>
    <t>847.8470330.1.435350.000000.847001.200179</t>
  </si>
  <si>
    <t>847.8470330.1.435508.000000.847001.200179</t>
  </si>
  <si>
    <t>8470335</t>
  </si>
  <si>
    <t>KUST - Industrial &amp; Systems Engineering</t>
  </si>
  <si>
    <t>847.8470335.1.425510.000000.847001.200179</t>
  </si>
  <si>
    <t>425720</t>
  </si>
  <si>
    <t>Education-Outsourced training service</t>
  </si>
  <si>
    <t>847.8470335.1.425720.000000.847001.200179</t>
  </si>
  <si>
    <t>847.8470335.1.425760.000000.847001.200179</t>
  </si>
  <si>
    <t>847.8470335.1.425763.000000.847001.200179</t>
  </si>
  <si>
    <t>847.8470335.1.425770.000000.847001.200179</t>
  </si>
  <si>
    <t>847.8470335.1.425900.000000.847001.200179</t>
  </si>
  <si>
    <t>847.8470335.1.426610.000000.847001.200179</t>
  </si>
  <si>
    <t>847.8470335.1.435350.000000.847001.200179</t>
  </si>
  <si>
    <t>847.8470335.1.435508.000000.847001.200179</t>
  </si>
  <si>
    <t>847.8470335.1.436600.000000.847001.200179</t>
  </si>
  <si>
    <t>8470340</t>
  </si>
  <si>
    <t>KUST - Mechanical Engineering</t>
  </si>
  <si>
    <t>847.8470340.1.425510.000000.847001.200179</t>
  </si>
  <si>
    <t>847.8470340.1.425720.000000.847001.200179</t>
  </si>
  <si>
    <t>847.8470340.1.425760.000000.847001.200179</t>
  </si>
  <si>
    <t>847.8470340.1.425763.000000.847001.200179</t>
  </si>
  <si>
    <t>847.8470340.1.425770.000000.847001.200179</t>
  </si>
  <si>
    <t>847.8470340.1.425900.000000.847001.200179</t>
  </si>
  <si>
    <t>847.8470340.1.426610.000000.847001.200179</t>
  </si>
  <si>
    <t>847.8470340.1.428090.000000.847001.200179</t>
  </si>
  <si>
    <t>847.8470340.1.432209.000000.847001.200179</t>
  </si>
  <si>
    <t>847.8470340.1.435350.000000.847001.200179</t>
  </si>
  <si>
    <t>847.8470340.1.435508.000000.847001.200179</t>
  </si>
  <si>
    <t>847.8470340.1.436110.000000.847001.200179</t>
  </si>
  <si>
    <t>847.8470340.1.436600.000000.847001.200179</t>
  </si>
  <si>
    <t>8470345</t>
  </si>
  <si>
    <t>KUST - Nuclear Engineering</t>
  </si>
  <si>
    <t>847.8470345.1.425510.000000.847001.200179</t>
  </si>
  <si>
    <t>847.8470345.1.425760.000000.847001.200179</t>
  </si>
  <si>
    <t>425761</t>
  </si>
  <si>
    <t>Student Field trips</t>
  </si>
  <si>
    <t>847.8470345.1.425761.000000.847001.200179</t>
  </si>
  <si>
    <t>847.8470345.1.425770.000000.847001.200179</t>
  </si>
  <si>
    <t>847.8470345.1.425900.000000.847001.200179</t>
  </si>
  <si>
    <t>847.8470345.1.426610.000000.847001.200179</t>
  </si>
  <si>
    <t>847.8470345.1.435350.000000.847001.200179</t>
  </si>
  <si>
    <t>847.8470345.1.435508.000000.847001.200179</t>
  </si>
  <si>
    <t>847.8470345.1.436600.000000.847001.200179</t>
  </si>
  <si>
    <t>8470350</t>
  </si>
  <si>
    <t>KUST - Petroleum Engineering</t>
  </si>
  <si>
    <t>847.8470350.1.425510.000000.847001.200179</t>
  </si>
  <si>
    <t>847.8470350.1.425763.000000.847001.200179</t>
  </si>
  <si>
    <t>847.8470350.1.425770.000000.847001.200179</t>
  </si>
  <si>
    <t>847.8470350.1.425900.000000.847001.200179</t>
  </si>
  <si>
    <t>847.8470350.1.426610.000000.847001.200179</t>
  </si>
  <si>
    <t>847.8470350.1.427710.000000.847001.200179</t>
  </si>
  <si>
    <t>847.8470350.1.432209.000000.847001.200179</t>
  </si>
  <si>
    <t>847.8470350.1.435350.000000.847001.200179</t>
  </si>
  <si>
    <t>847.8470350.1.435508.000000.847001.200179</t>
  </si>
  <si>
    <t>847.8470350.1.436600.000000.847001.200179</t>
  </si>
  <si>
    <t>8470405</t>
  </si>
  <si>
    <t>KUST - Dean Of Arts &amp; Science</t>
  </si>
  <si>
    <t>847.8470405.1.420550.000000.847001.200179</t>
  </si>
  <si>
    <t>847.8470405.1.421700.000000.847001.200179</t>
  </si>
  <si>
    <t>847.8470405.1.425510.000000.847001.200179</t>
  </si>
  <si>
    <t>847.8470405.1.425550.000000.847001.200179</t>
  </si>
  <si>
    <t>847.8470405.1.425720.000000.847001.200179</t>
  </si>
  <si>
    <t>847.8470405.1.425770.000000.847001.200179</t>
  </si>
  <si>
    <t>847.8470405.1.425900.000000.847001.200179</t>
  </si>
  <si>
    <t>847.8470405.1.427710.000000.847001.200179</t>
  </si>
  <si>
    <t>847.8470405.1.428090.000000.847001.200179</t>
  </si>
  <si>
    <t>847.8470405.1.435350.000000.847001.200179</t>
  </si>
  <si>
    <t>847.8470405.1.436600.000000.847001.200179</t>
  </si>
  <si>
    <t>8470410</t>
  </si>
  <si>
    <t>KUST - Institute of International &amp; Civil Security</t>
  </si>
  <si>
    <t>847.8470410.1.425770.000000.847001.200179</t>
  </si>
  <si>
    <t>847.8470410.1.426610.000000.847001.200179</t>
  </si>
  <si>
    <t>847.8470410.1.428090.000000.847001.200179</t>
  </si>
  <si>
    <t>435310</t>
  </si>
  <si>
    <t>Newspapers, magazines, journals, etc</t>
  </si>
  <si>
    <t>847.8470410.1.435310.000000.847001.200179</t>
  </si>
  <si>
    <t>847.8470410.1.435350.000000.847001.200179</t>
  </si>
  <si>
    <t>8470415</t>
  </si>
  <si>
    <t>KUST - Chemistry</t>
  </si>
  <si>
    <t>847.8470415.1.425510.000000.847001.200179</t>
  </si>
  <si>
    <t>847.8470415.1.425763.000000.847001.200179</t>
  </si>
  <si>
    <t>847.8470415.1.425770.000000.847001.200179</t>
  </si>
  <si>
    <t>847.8470415.1.425900.000000.847001.200179</t>
  </si>
  <si>
    <t>847.8470415.1.426610.000000.847001.200179</t>
  </si>
  <si>
    <t>847.8470415.1.428090.000000.847001.200179</t>
  </si>
  <si>
    <t>847.8470415.1.432209.000000.847001.200179</t>
  </si>
  <si>
    <t>847.8470415.1.435350.000000.847001.200179</t>
  </si>
  <si>
    <t>847.8470415.1.435508.000000.847001.200179</t>
  </si>
  <si>
    <t>8470425</t>
  </si>
  <si>
    <t>KUST - Physics</t>
  </si>
  <si>
    <t>847.8470425.1.425510.000000.847001.200179</t>
  </si>
  <si>
    <t>847.8470425.1.425550.000000.847001.200179</t>
  </si>
  <si>
    <t>847.8470425.1.425770.000000.847001.200179</t>
  </si>
  <si>
    <t>847.8470425.1.425900.000000.847001.200179</t>
  </si>
  <si>
    <t>847.8470425.1.426610.000000.847001.200179</t>
  </si>
  <si>
    <t>847.8470425.1.428090.000000.847001.200179</t>
  </si>
  <si>
    <t>847.8470425.1.435350.000000.847001.200179</t>
  </si>
  <si>
    <t>847.8470425.1.435508.000000.847001.200179</t>
  </si>
  <si>
    <t>8470430</t>
  </si>
  <si>
    <t>KUST - Preparatory Program</t>
  </si>
  <si>
    <t>847.8470430.1.425763.000000.847001.200179</t>
  </si>
  <si>
    <t>847.8470430.1.425770.000000.847001.200179</t>
  </si>
  <si>
    <t>847.8470430.1.426610.000000.847001.200179</t>
  </si>
  <si>
    <t>847.8470430.1.432209.000000.847001.200179</t>
  </si>
  <si>
    <t>847.8470430.1.435508.000000.847001.200179</t>
  </si>
  <si>
    <t>8470435</t>
  </si>
  <si>
    <t>KUST - Department of English</t>
  </si>
  <si>
    <t>429900</t>
  </si>
  <si>
    <t>Other services, not specifically mentioned elsewhere</t>
  </si>
  <si>
    <t>847.8470435.1.429900.000000.847001.200179</t>
  </si>
  <si>
    <t>8470440</t>
  </si>
  <si>
    <t>KUST - Humanities &amp; Social Sciences</t>
  </si>
  <si>
    <t>847.8470440.1.420550.000000.847001.200179</t>
  </si>
  <si>
    <t>847.8470440.1.425510.000000.847001.200179</t>
  </si>
  <si>
    <t>847.8470440.1.425550.000000.847001.200179</t>
  </si>
  <si>
    <t>847.8470440.1.425770.000000.847001.200179</t>
  </si>
  <si>
    <t>847.8470440.1.426610.000000.847001.200179</t>
  </si>
  <si>
    <t>847.8470440.1.427710.000000.847001.200179</t>
  </si>
  <si>
    <t>847.8470440.1.428090.000000.847001.200179</t>
  </si>
  <si>
    <t>847.8470440.1.428640.000000.847001.200179</t>
  </si>
  <si>
    <t>847.8470440.1.435350.000000.847001.200179</t>
  </si>
  <si>
    <t>847.8470440.1.436600.000000.847001.200179</t>
  </si>
  <si>
    <t>8470445</t>
  </si>
  <si>
    <t>KUST - Mathematics</t>
  </si>
  <si>
    <t>847.8470445.1.425510.000000.847001.200179</t>
  </si>
  <si>
    <t>847.8470445.1.425720.000000.847001.200179</t>
  </si>
  <si>
    <t>847.8470445.1.425770.000000.847001.200179</t>
  </si>
  <si>
    <t>847.8470445.1.426610.000000.847001.200179</t>
  </si>
  <si>
    <t>847.8470445.1.435350.000000.847001.200179</t>
  </si>
  <si>
    <t>8470450</t>
  </si>
  <si>
    <t>KUST - Earth Science</t>
  </si>
  <si>
    <t>847.8470450.1.420550.000000.847001.200179</t>
  </si>
  <si>
    <t>847.8470450.1.421700.000000.847001.200179</t>
  </si>
  <si>
    <t>847.8470450.1.425510.000000.847001.200179</t>
  </si>
  <si>
    <t>847.8470450.1.425761.000000.847001.200179</t>
  </si>
  <si>
    <t>847.8470450.1.425763.000000.847001.200179</t>
  </si>
  <si>
    <t>847.8470450.1.425770.000000.847001.200179</t>
  </si>
  <si>
    <t>847.8470450.1.426610.000000.847001.200179</t>
  </si>
  <si>
    <t>847.8470450.1.432209.000000.847001.200179</t>
  </si>
  <si>
    <t>847.8470450.1.435350.000000.847001.200179</t>
  </si>
  <si>
    <t>8470455</t>
  </si>
  <si>
    <t>KUST – Biology</t>
  </si>
  <si>
    <t>847.8470455.1.425770.000000.847001.200179</t>
  </si>
  <si>
    <t>847.8470455.1.425900.000000.847001.200179</t>
  </si>
  <si>
    <t>847.8470455.1.426610.000000.847001.200179</t>
  </si>
  <si>
    <t>847.8470455.1.432209.000000.847001.200179</t>
  </si>
  <si>
    <t>847.8470455.1.435350.000000.847001.200179</t>
  </si>
  <si>
    <t>847.8470455.1.435508.000000.847001.200179</t>
  </si>
  <si>
    <t>8470520</t>
  </si>
  <si>
    <t>KUST - Environment, Health &amp; Safety</t>
  </si>
  <si>
    <t>847.8470520.1.425510.000000.847001.200179</t>
  </si>
  <si>
    <t>847.8470520.1.427710.000000.847001.200179</t>
  </si>
  <si>
    <t>428200</t>
  </si>
  <si>
    <t>Health,safety&amp;environment awareness</t>
  </si>
  <si>
    <t>847.8470520.1.428200.000000.847001.200179</t>
  </si>
  <si>
    <t>8470530</t>
  </si>
  <si>
    <t>KUST - Facilities Management</t>
  </si>
  <si>
    <t>420310</t>
  </si>
  <si>
    <t>Cleaning Services: Business premises</t>
  </si>
  <si>
    <t>847.8470530.1.420310.000000.847010.200179</t>
  </si>
  <si>
    <t>847.8470530.1.420310.000000.847015.200179</t>
  </si>
  <si>
    <t>847.8470530.1.420310.000000.847020.200179</t>
  </si>
  <si>
    <t>847.8470530.1.421000.000000.847010.200179</t>
  </si>
  <si>
    <t>421600</t>
  </si>
  <si>
    <t>Security service</t>
  </si>
  <si>
    <t>847.8470530.1.421600.000000.847010.200179</t>
  </si>
  <si>
    <t>847.8470530.1.421600.000000.847015.200179</t>
  </si>
  <si>
    <t>847.8470530.1.421600.000000.847020.200179</t>
  </si>
  <si>
    <t>847.8470530.1.421600.000000.847030.200179</t>
  </si>
  <si>
    <t>847.8470530.1.421700.000000.847010.200179</t>
  </si>
  <si>
    <t>847.8470530.1.425510.000000.847010.200179</t>
  </si>
  <si>
    <t>847.8470530.1.425747.000000.847015.200179</t>
  </si>
  <si>
    <t>847.8470530.1.425900.000000.847010.200179</t>
  </si>
  <si>
    <t>426220</t>
  </si>
  <si>
    <t>Insurance - Fire and allied perils</t>
  </si>
  <si>
    <t>847.8470530.1.426220.000000.847010.200179</t>
  </si>
  <si>
    <t>426900</t>
  </si>
  <si>
    <t>Postal, courier and other document delivery expenses</t>
  </si>
  <si>
    <t>847.8470530.1.426900.000000.847010.200179</t>
  </si>
  <si>
    <t>847.8470530.1.428090.000000.847001.200179</t>
  </si>
  <si>
    <t>847.8470530.1.429900.000000.847010.200179</t>
  </si>
  <si>
    <t>430110</t>
  </si>
  <si>
    <t>Rental - Land</t>
  </si>
  <si>
    <t>847.8470530.1.430110.000000.847020.200179</t>
  </si>
  <si>
    <t>432120</t>
  </si>
  <si>
    <t>Bldg maintenance-Business premises</t>
  </si>
  <si>
    <t>847.8470530.1.432120.000000.847010.200179</t>
  </si>
  <si>
    <t>847.8470530.1.432120.000000.847015.200179</t>
  </si>
  <si>
    <t>847.8470530.1.432120.000000.847020.200179</t>
  </si>
  <si>
    <t>847.8470530.1.432120.000000.847030.200179</t>
  </si>
  <si>
    <t>432170</t>
  </si>
  <si>
    <t>Bldg decoration &amp; minor improvements</t>
  </si>
  <si>
    <t>847.8470530.1.432170.000000.847010.200179</t>
  </si>
  <si>
    <t>432320</t>
  </si>
  <si>
    <t>Maintenance: Residential Furniture and fixtures</t>
  </si>
  <si>
    <t>847.8470530.1.432320.000000.847001.200179</t>
  </si>
  <si>
    <t>847.8470530.1.432320.000000.847010.200179</t>
  </si>
  <si>
    <t>432540</t>
  </si>
  <si>
    <t>Motor vehicles (non-military)</t>
  </si>
  <si>
    <t>847.8470530.1.432540.000000.847010.200179</t>
  </si>
  <si>
    <t>435410</t>
  </si>
  <si>
    <t>Catering supplies: Offices</t>
  </si>
  <si>
    <t>847.8470530.1.435410.000000.847020.200179</t>
  </si>
  <si>
    <t>8470540</t>
  </si>
  <si>
    <t>KUST - Administration</t>
  </si>
  <si>
    <t>421100</t>
  </si>
  <si>
    <t>Manpower supply "Other Than IT Related"</t>
  </si>
  <si>
    <t>847.8470540.1.421100.000000.847010.200179</t>
  </si>
  <si>
    <t>426800</t>
  </si>
  <si>
    <t>Motor vehicle registration and inspection charges</t>
  </si>
  <si>
    <t>847.8470540.1.426800.000000.847001.200179</t>
  </si>
  <si>
    <t>847.8470540.1.427710.000000.847001.200179</t>
  </si>
  <si>
    <t>428111</t>
  </si>
  <si>
    <t>Electricity consumption charges</t>
  </si>
  <si>
    <t>847.8470540.1.428111.000000.847010.200179</t>
  </si>
  <si>
    <t>847.8470540.1.428111.000000.847015.200179</t>
  </si>
  <si>
    <t>847.8470540.1.428111.000000.847020.200179</t>
  </si>
  <si>
    <t>428112</t>
  </si>
  <si>
    <t>Water consumption charges</t>
  </si>
  <si>
    <t>847.8470540.1.428112.000000.847010.200179</t>
  </si>
  <si>
    <t>847.8470540.1.428112.000000.847015.200179</t>
  </si>
  <si>
    <t>847.8470540.1.428112.000000.847020.200179</t>
  </si>
  <si>
    <t>430330</t>
  </si>
  <si>
    <t>Rental - Motor vehicles</t>
  </si>
  <si>
    <t>847.8470540.1.430330.000000.847010.200179</t>
  </si>
  <si>
    <t>847.8470540.1.432540.000000.847010.200179</t>
  </si>
  <si>
    <t>847.8470540.1.435410.000000.847020.200179</t>
  </si>
  <si>
    <t>435740</t>
  </si>
  <si>
    <t>Fuel, oil and lubricants: Motor vehicles</t>
  </si>
  <si>
    <t>847.8470540.1.435740.000000.847010.200179</t>
  </si>
  <si>
    <t>847.8470540.1.436110.000000.847010.200179</t>
  </si>
  <si>
    <t>8470605</t>
  </si>
  <si>
    <t>KUST - SVP / Finance &amp; Investment Office</t>
  </si>
  <si>
    <t>847.8470605.1.421000.000000.847001.200179</t>
  </si>
  <si>
    <t>847.8470605.1.425720.000000.847001.200179</t>
  </si>
  <si>
    <t>847.8470605.1.425900.000000.847001.200179</t>
  </si>
  <si>
    <t>847.8470605.1.428090.000000.847001.200179</t>
  </si>
  <si>
    <t>847.8470605.1.429900.000000.847001.200179</t>
  </si>
  <si>
    <t>8470620</t>
  </si>
  <si>
    <t>KUST - Finance Operations</t>
  </si>
  <si>
    <t>420130</t>
  </si>
  <si>
    <t>External Audit service</t>
  </si>
  <si>
    <t>847.8470620.1.420130.000000.847001.200179</t>
  </si>
  <si>
    <t>422900</t>
  </si>
  <si>
    <t>Other specialised professional services, not mentioned elsewhere</t>
  </si>
  <si>
    <t>847.8470620.1.422900.000000.847001.200179</t>
  </si>
  <si>
    <t>425300</t>
  </si>
  <si>
    <t>Banking service charges / Fees</t>
  </si>
  <si>
    <t>847.8470620.1.425300.000000.847001.200179</t>
  </si>
  <si>
    <t>425350</t>
  </si>
  <si>
    <t>Fees for processing e-payments-e-Payment operation</t>
  </si>
  <si>
    <t>847.8470620.1.425350.000000.847001.200179</t>
  </si>
  <si>
    <t>847.8470620.1.425900.000000.847001.200179</t>
  </si>
  <si>
    <t>847.8470620.1.426610.000000.847001.200179</t>
  </si>
  <si>
    <t>8470720</t>
  </si>
  <si>
    <t>KUST - Procurement and Contracts</t>
  </si>
  <si>
    <t>847.8470720.1.421000.000000.847001.200179</t>
  </si>
  <si>
    <t>847.8470720.1.421700.000000.847001.200179</t>
  </si>
  <si>
    <t>847.8470720.1.422900.000000.847001.200179</t>
  </si>
  <si>
    <t>847.8470720.1.425900.000000.847001.200179</t>
  </si>
  <si>
    <t>847.8470720.1.426610.000000.847001.200179</t>
  </si>
  <si>
    <t>847.8470720.1.426900.000000.847001.200179</t>
  </si>
  <si>
    <t>847.8470720.1.428090.000000.847001.200179</t>
  </si>
  <si>
    <t>847.8470720.1.428200.000000.847001.200179</t>
  </si>
  <si>
    <t>847.8470720.1.428640.000000.847001.200179</t>
  </si>
  <si>
    <t>847.8470720.1.435410.000000.847001.200179</t>
  </si>
  <si>
    <t>847.8470720.1.436110.000000.847001.200179</t>
  </si>
  <si>
    <t>436120</t>
  </si>
  <si>
    <t>Stationery</t>
  </si>
  <si>
    <t>847.8470720.1.436120.000000.847001.200179</t>
  </si>
  <si>
    <t>8470730</t>
  </si>
  <si>
    <t>KUST - Human Resources</t>
  </si>
  <si>
    <t>847.8470730.1.421000.000000.847001.200179</t>
  </si>
  <si>
    <t>847.8470730.1.425900.000000.847001.200179</t>
  </si>
  <si>
    <t>847.8470730.1.426610.000000.847001.200179</t>
  </si>
  <si>
    <t>847.8470730.1.428090.000000.847001.200179</t>
  </si>
  <si>
    <t>847.8470730.1.428640.000000.847001.200179</t>
  </si>
  <si>
    <t>847.8470730.1.436110.000000.847001.200179</t>
  </si>
  <si>
    <t>8470810</t>
  </si>
  <si>
    <t>KUST - Ankabut office</t>
  </si>
  <si>
    <t>847.8470810.1.420811.000000.847001.200179</t>
  </si>
  <si>
    <t>847.8470810.1.421100.000000.847001.200179</t>
  </si>
  <si>
    <t>847.8470810.1.425900.000000.847001.200179</t>
  </si>
  <si>
    <t>847.8470810.1.426610.000000.847001.200179</t>
  </si>
  <si>
    <t>427810</t>
  </si>
  <si>
    <t>Telephone and telefax charges-Telecommunication, Satellite services</t>
  </si>
  <si>
    <t>847.8470810.1.427810.000000.847001.200179</t>
  </si>
  <si>
    <t>427850</t>
  </si>
  <si>
    <t>Data Transmission charges-Data Transmission charges</t>
  </si>
  <si>
    <t>847.8470810.1.427850.000000.847001.200179</t>
  </si>
  <si>
    <t>847.8470810.1.428090.000000.847001.200179</t>
  </si>
  <si>
    <t>430230</t>
  </si>
  <si>
    <t>Rental - Equipment</t>
  </si>
  <si>
    <t>847.8470810.1.430230.000000.847001.200179</t>
  </si>
  <si>
    <t>430250</t>
  </si>
  <si>
    <t>Rental - Computer hardware-Rental/Subscription - Computer hardware</t>
  </si>
  <si>
    <t>847.8470810.1.430250.000000.847001.200179</t>
  </si>
  <si>
    <t>847.8470810.1.432205.000000.847001.200179</t>
  </si>
  <si>
    <t>432226</t>
  </si>
  <si>
    <t>Computers and peripherals-Printers maintenance and support</t>
  </si>
  <si>
    <t>847.8470810.1.432226.000000.847001.200179</t>
  </si>
  <si>
    <t>8470910</t>
  </si>
  <si>
    <t>KUST - Executive Vice President Office</t>
  </si>
  <si>
    <t>847.8470910.1.425900.000000.847001.200179</t>
  </si>
  <si>
    <t>847.8470910.1.428090.000000.847001.200179</t>
  </si>
  <si>
    <t>8471010</t>
  </si>
  <si>
    <t>KUST - Continuing Education Office</t>
  </si>
  <si>
    <t>847.8471010.1.425100.000000.847001.200179</t>
  </si>
  <si>
    <t>847.8471010.1.425510.000000.847001.200179</t>
  </si>
  <si>
    <t>847.8471010.1.425720.000000.847001.200179</t>
  </si>
  <si>
    <t>847.8471010.1.425900.000000.847001.200179</t>
  </si>
  <si>
    <t>847.8471010.1.436110.000000.847001.200179</t>
  </si>
  <si>
    <t>8471110</t>
  </si>
  <si>
    <t>KUST - SVP/ Research &amp; Development Office</t>
  </si>
  <si>
    <t>847.8471110.1.425900.000000.847001.200179</t>
  </si>
  <si>
    <t>847.8471110.1.427710.000000.847001.200179</t>
  </si>
  <si>
    <t>847.8471110.1.428090.000000.847001.200179</t>
  </si>
  <si>
    <t>8471130</t>
  </si>
  <si>
    <t>KUST - Research Service</t>
  </si>
  <si>
    <t>847.8471130.1.420811.000000.847001.200179</t>
  </si>
  <si>
    <t>847.8471130.1.426610.000000.847001.200179</t>
  </si>
  <si>
    <t>847.8471130.1.428090.000000.847001.200179</t>
  </si>
  <si>
    <t>847.8471130.1.435523.000000.847001.200179</t>
  </si>
  <si>
    <t>8471140</t>
  </si>
  <si>
    <t>KUST - University Sponsored Research</t>
  </si>
  <si>
    <t>847.8471140.1.420570.000000.847001.050583</t>
  </si>
  <si>
    <t>847.8471140.1.420570.000000.847001.200179</t>
  </si>
  <si>
    <t>847.8471140.1.421000.000000.847001.050583</t>
  </si>
  <si>
    <t>847.8471140.1.428090.000000.847001.200179</t>
  </si>
  <si>
    <t>435330</t>
  </si>
  <si>
    <t>Library books</t>
  </si>
  <si>
    <t>847.8471140.1.435330.000000.847001.050583</t>
  </si>
  <si>
    <t>847.8471140.1.435523.000000.847001.050583</t>
  </si>
  <si>
    <t>847.8471140.1.435523.000000.847001.200179</t>
  </si>
  <si>
    <t>8471150</t>
  </si>
  <si>
    <t>KUST - Technology Management &amp; Innovation</t>
  </si>
  <si>
    <t>847.8471150.1.420900.000000.847001.050587</t>
  </si>
  <si>
    <t>847.8471150.1.420900.000000.847001.200179</t>
  </si>
  <si>
    <t>847.8471150.1.425510.000000.847001.200179</t>
  </si>
  <si>
    <t>847.8471150.1.425550.000000.847001.200179</t>
  </si>
  <si>
    <t>847.8471150.1.426610.000000.847001.200179</t>
  </si>
  <si>
    <t>8471160</t>
  </si>
  <si>
    <t>KUST - Research Laboratories</t>
  </si>
  <si>
    <t>422100</t>
  </si>
  <si>
    <t>Waste management service</t>
  </si>
  <si>
    <t>847.8471160.1.422100.000000.847001.200179</t>
  </si>
  <si>
    <t>847.8471160.1.425900.000000.847001.200179</t>
  </si>
  <si>
    <t>847.8471160.1.426610.000000.847001.200179</t>
  </si>
  <si>
    <t>847.8471160.1.428090.000000.847001.200179</t>
  </si>
  <si>
    <t>847.8471160.1.432209.000000.847001.200179</t>
  </si>
  <si>
    <t>847.8471160.1.435508.000000.847001.200179</t>
  </si>
  <si>
    <t>847.8471160.1.436600.000000.847001.200179</t>
  </si>
  <si>
    <t>8471170</t>
  </si>
  <si>
    <t>KUST - Research Computing</t>
  </si>
  <si>
    <t>847.8471170.1.420811.000000.847001.200179</t>
  </si>
  <si>
    <t>847.8471170.1.426610.000000.847001.200179</t>
  </si>
  <si>
    <t>847.8471170.1.428090.000000.847001.200179</t>
  </si>
  <si>
    <t>8471210</t>
  </si>
  <si>
    <t>KUST - SVP/ Academic &amp; Student Services Office</t>
  </si>
  <si>
    <t>847.8471210.1.425900.000000.847001.200179</t>
  </si>
  <si>
    <t>847.8471210.1.428090.000000.847001.200179</t>
  </si>
  <si>
    <t>8471220</t>
  </si>
  <si>
    <t>KUST - Registrar</t>
  </si>
  <si>
    <t>847.8471220.1.425510.000000.847001.200179</t>
  </si>
  <si>
    <t>425741</t>
  </si>
  <si>
    <t>Student stipend</t>
  </si>
  <si>
    <t>847.8471220.1.425741.000000.847001.200179</t>
  </si>
  <si>
    <t>847.8471220.1.425745.000000.847001.200179</t>
  </si>
  <si>
    <t>847.8471220.1.425762.000000.847001.200179</t>
  </si>
  <si>
    <t>435340</t>
  </si>
  <si>
    <t>Text books and library books</t>
  </si>
  <si>
    <t>847.8471220.1.435340.000000.847001.200179</t>
  </si>
  <si>
    <t>847.8471220.1.436110.000000.847001.200179</t>
  </si>
  <si>
    <t>8471230</t>
  </si>
  <si>
    <t>KUST - Student Enrollment</t>
  </si>
  <si>
    <t>425742</t>
  </si>
  <si>
    <t>Enrollment expenses</t>
  </si>
  <si>
    <t>847.8471230.1.425742.000000.847001.200179</t>
  </si>
  <si>
    <t>847.8471230.1.426610.000000.847001.200179</t>
  </si>
  <si>
    <t>8471240</t>
  </si>
  <si>
    <t>KUST - Student Success</t>
  </si>
  <si>
    <t>847.8471240.1.425510.000000.847001.200179</t>
  </si>
  <si>
    <t>847.8471240.1.425720.000000.847001.200179</t>
  </si>
  <si>
    <t>847.8471240.1.425761.000000.847001.050584</t>
  </si>
  <si>
    <t>847.8471240.1.425761.000000.847001.200179</t>
  </si>
  <si>
    <t>847.8471240.1.425762.000000.847001.050584</t>
  </si>
  <si>
    <t>847.8471240.1.425762.000000.847001.200179</t>
  </si>
  <si>
    <t>847.8471240.1.425900.000000.847001.200179</t>
  </si>
  <si>
    <t>847.8471240.1.426610.000000.847001.200179</t>
  </si>
  <si>
    <t>847.8471240.1.427710.000000.847001.200179</t>
  </si>
  <si>
    <t>847.8471240.1.428090.000000.847001.200179</t>
  </si>
  <si>
    <t>8471250</t>
  </si>
  <si>
    <t>KUST - Career Services</t>
  </si>
  <si>
    <t>847.8471250.1.425510.000000.847001.050584</t>
  </si>
  <si>
    <t>847.8471250.1.425510.000000.847001.050585</t>
  </si>
  <si>
    <t>847.8471250.1.425510.000000.847001.200179</t>
  </si>
  <si>
    <t>847.8471250.1.425761.000000.847001.200179</t>
  </si>
  <si>
    <t>847.8471250.1.425762.000000.847001.050584</t>
  </si>
  <si>
    <t>847.8471250.1.425762.000000.847001.200179</t>
  </si>
  <si>
    <t>847.8471250.1.425900.000000.847001.200179</t>
  </si>
  <si>
    <t>847.8471250.1.426610.000000.847001.050585</t>
  </si>
  <si>
    <t>847.8471250.1.426610.000000.847001.200179</t>
  </si>
  <si>
    <t>847.8471250.1.428090.000000.847001.200179</t>
  </si>
  <si>
    <t>847.8471250.1.436110.000000.847001.200179</t>
  </si>
  <si>
    <t>8471260</t>
  </si>
  <si>
    <t>KUST - Student Life</t>
  </si>
  <si>
    <t>847.8471260.1.421100.000000.847001.200179</t>
  </si>
  <si>
    <t>847.8471260.1.425510.000000.847001.200179</t>
  </si>
  <si>
    <t>425746</t>
  </si>
  <si>
    <t>Student Transport</t>
  </si>
  <si>
    <t>847.8471260.1.425746.000000.847001.200179</t>
  </si>
  <si>
    <t>847.8471260.1.425747.000000.847001.200179</t>
  </si>
  <si>
    <t>847.8471260.1.425760.000000.847001.200179</t>
  </si>
  <si>
    <t>847.8471260.1.425900.000000.847001.200179</t>
  </si>
  <si>
    <t>847.8471260.1.428640.000000.847001.200179</t>
  </si>
  <si>
    <t>847.8471260.1.429900.000000.847001.200179</t>
  </si>
  <si>
    <t>435530</t>
  </si>
  <si>
    <t>School consumables, not specifically mentioned elsewhere</t>
  </si>
  <si>
    <t>847.8471260.1.435530.000000.847001.200179</t>
  </si>
  <si>
    <t>847.8471260.1.436110.000000.847001.200179</t>
  </si>
  <si>
    <t>8471270</t>
  </si>
  <si>
    <t>KUST - Libraries</t>
  </si>
  <si>
    <t>847.8471270.1.425900.000000.847001.200179</t>
  </si>
  <si>
    <t>847.8471270.1.435330.000000.847001.050589</t>
  </si>
  <si>
    <t>847.8471270.1.435330.000000.847001.200179</t>
  </si>
  <si>
    <t>8471280</t>
  </si>
  <si>
    <t>KUST - Center for Teaching &amp; Learning</t>
  </si>
  <si>
    <t>847.8471280.1.425100.000000.847001.200179</t>
  </si>
  <si>
    <t>847.8471280.1.425510.000000.847001.200179</t>
  </si>
  <si>
    <t>847.8471280.1.425550.000000.847001.200179</t>
  </si>
  <si>
    <t>425710</t>
  </si>
  <si>
    <t>Higher education and specialisation incentives</t>
  </si>
  <si>
    <t>847.8471280.1.425710.000000.847001.200179</t>
  </si>
  <si>
    <t>847.8471280.1.425720.000000.847001.200179</t>
  </si>
  <si>
    <t>847.8471280.1.425760.000000.847001.200179</t>
  </si>
  <si>
    <t>847.8471280.1.425770.000000.847001.200179</t>
  </si>
  <si>
    <t>847.8471280.1.425900.000000.847001.200179</t>
  </si>
  <si>
    <t>847.8471280.1.426610.000000.847001.200179</t>
  </si>
  <si>
    <t>847.8471280.1.427710.000000.847001.200179</t>
  </si>
  <si>
    <t>847.8471280.1.428640.000000.847001.200179</t>
  </si>
  <si>
    <t>847.8471280.1.435340.000000.847001.200179</t>
  </si>
  <si>
    <t>847.8471280.1.435530.000000.847001.200179</t>
  </si>
  <si>
    <t>847.8471280.1.436110.000000.847001.200179</t>
  </si>
  <si>
    <t>8471305</t>
  </si>
  <si>
    <t>KUST - Dean Of Medicine</t>
  </si>
  <si>
    <t>847.8471305.1.420570.000000.847001.200179</t>
  </si>
  <si>
    <t>847.8471305.1.421000.000000.847001.200179</t>
  </si>
  <si>
    <t>847.8471305.1.421700.000000.847001.200179</t>
  </si>
  <si>
    <t>847.8471305.1.425510.000000.847001.200179</t>
  </si>
  <si>
    <t>847.8471305.1.425550.000000.847001.200179</t>
  </si>
  <si>
    <t>847.8471305.1.425720.000000.847001.200179</t>
  </si>
  <si>
    <t>847.8471305.1.425742.000000.847001.200179</t>
  </si>
  <si>
    <t>847.8471305.1.425744.000000.847001.200179</t>
  </si>
  <si>
    <t>847.8471305.1.425745.000000.847001.200179</t>
  </si>
  <si>
    <t>847.8471305.1.425749.000000.847001.200179</t>
  </si>
  <si>
    <t>425750</t>
  </si>
  <si>
    <t>Skill assessment service</t>
  </si>
  <si>
    <t>847.8471305.1.425750.000000.847001.200179</t>
  </si>
  <si>
    <t>847.8471305.1.425762.000000.847001.200179</t>
  </si>
  <si>
    <t>847.8471305.1.425763.000000.847001.200179</t>
  </si>
  <si>
    <t>847.8471305.1.425770.000000.847001.200179</t>
  </si>
  <si>
    <t>847.8471305.1.425900.000000.847001.200179</t>
  </si>
  <si>
    <t>847.8471305.1.426610.000000.847001.200179</t>
  </si>
  <si>
    <t>847.8471305.1.426900.000000.847001.200179</t>
  </si>
  <si>
    <t>847.8471305.1.427710.000000.847001.200179</t>
  </si>
  <si>
    <t>847.8471305.1.428090.000000.847001.200179</t>
  </si>
  <si>
    <t>847.8471305.1.428640.000000.847001.200179</t>
  </si>
  <si>
    <t>847.8471305.1.432205.000000.847001.200179</t>
  </si>
  <si>
    <t>847.8471305.1.432209.000000.847001.200179</t>
  </si>
  <si>
    <t>847.8471305.1.435330.000000.847001.200179</t>
  </si>
  <si>
    <t>847.8471305.1.435340.000000.847001.200179</t>
  </si>
  <si>
    <t>847.8471305.1.435350.000000.847001.200179</t>
  </si>
  <si>
    <t>847.8471305.1.435508.000000.847001.200179</t>
  </si>
  <si>
    <t>847.8471305.1.435530.000000.847001.200179</t>
  </si>
  <si>
    <t>847.8471305.1.436120.000000.847001.200179</t>
  </si>
  <si>
    <t>3 Capital Payments</t>
  </si>
  <si>
    <t>492316</t>
  </si>
  <si>
    <t>Laboratory equipment</t>
  </si>
  <si>
    <t>847.8470110.1.492316.000000.847001.300180</t>
  </si>
  <si>
    <t>847.8470120.1.492316.000000.847001.300180</t>
  </si>
  <si>
    <t>495113</t>
  </si>
  <si>
    <t>Computer software-Application, Platform</t>
  </si>
  <si>
    <t>847.8470120.1.495113.000000.847001.300180</t>
  </si>
  <si>
    <t>847.8470210.1.492316.000000.847001.300180</t>
  </si>
  <si>
    <t>492310</t>
  </si>
  <si>
    <t>Hardware &amp; peripherals</t>
  </si>
  <si>
    <t>847.8470220.1.492310.000000.847001.300180</t>
  </si>
  <si>
    <t>847.8470220.1.492316.000000.847001.300180</t>
  </si>
  <si>
    <t>847.8470220.1.492316.000000.847020.050589</t>
  </si>
  <si>
    <t>847.8470230.1.492310.000000.847001.300180</t>
  </si>
  <si>
    <t>847.8470305.1.492316.000000.847001.300180</t>
  </si>
  <si>
    <t>847.8470310.1.492316.000000.847001.300180</t>
  </si>
  <si>
    <t>847.8470320.1.492316.000000.847001.300180</t>
  </si>
  <si>
    <t>847.8470325.1.492316.000000.847001.300180</t>
  </si>
  <si>
    <t>847.8470335.1.492316.000000.847001.300180</t>
  </si>
  <si>
    <t>847.8470345.1.492316.000000.847001.300180</t>
  </si>
  <si>
    <t>847.8470405.1.492316.000000.847001.300180</t>
  </si>
  <si>
    <t>847.8470415.1.492316.000000.847001.300180</t>
  </si>
  <si>
    <t>847.8470425.1.492316.000000.847001.300180</t>
  </si>
  <si>
    <t>847.8470445.1.492316.000000.847001.300180</t>
  </si>
  <si>
    <t>847.8470450.1.492310.000000.847001.300180</t>
  </si>
  <si>
    <t>847.8470450.1.492316.000000.847001.300180</t>
  </si>
  <si>
    <t>847.8470455.1.492316.000000.847001.300180</t>
  </si>
  <si>
    <t>492200</t>
  </si>
  <si>
    <t>Capital expense - Buildings</t>
  </si>
  <si>
    <t>847.8470530.1.492200.000000.847001.300180</t>
  </si>
  <si>
    <t>847.8470530.1.492200.000000.847010.300180</t>
  </si>
  <si>
    <t>847.8470530.1.492200.000000.847020.050640</t>
  </si>
  <si>
    <t>847.8470530.1.492200.000000.847020.300180</t>
  </si>
  <si>
    <t>492610</t>
  </si>
  <si>
    <t>Furniture &amp; Fixtures - Offices</t>
  </si>
  <si>
    <t>847.8470530.1.492610.000000.847010.050640</t>
  </si>
  <si>
    <t>847.8470530.1.492610.000000.847010.300180</t>
  </si>
  <si>
    <t>847.8470530.1.492610.000000.847015.300180</t>
  </si>
  <si>
    <t>847.8470530.1.492610.000000.847020.050640</t>
  </si>
  <si>
    <t>847.8470530.1.492610.000000.847020.300180</t>
  </si>
  <si>
    <t>847.8470530.1.495113.000000.847010.300180</t>
  </si>
  <si>
    <t>847.8470810.1.492310.000000.847001.300180</t>
  </si>
  <si>
    <t>492352</t>
  </si>
  <si>
    <t>Hardware &amp; peripherals-Network Devices</t>
  </si>
  <si>
    <t>847.8470810.1.492352.000000.847001.300180</t>
  </si>
  <si>
    <t>492354</t>
  </si>
  <si>
    <t>Hardware &amp; peripherals-Peripherals &amp; Infrastructure Components</t>
  </si>
  <si>
    <t>847.8470810.1.492354.000000.847001.300180</t>
  </si>
  <si>
    <t>492356</t>
  </si>
  <si>
    <t>Hardware &amp; peripherals-Conferencing &amp; AV</t>
  </si>
  <si>
    <t>847.8470810.1.492356.000000.847001.300180</t>
  </si>
  <si>
    <t>847.8470810.1.495113.000000.847001.300180</t>
  </si>
  <si>
    <t>847.8471140.1.495113.000000.847001.300180</t>
  </si>
  <si>
    <t>847.8471160.1.492200.000000.847001.300180</t>
  </si>
  <si>
    <t>847.8471160.1.492316.000000.847001.300180</t>
  </si>
  <si>
    <t>847.8471170.1.492316.000000.847001.300180</t>
  </si>
  <si>
    <t>847.8471170.1.495113.000000.847001.300180</t>
  </si>
  <si>
    <t>847.8471305.1.492310.000000.847001.300180</t>
  </si>
  <si>
    <t>847.8471305.1.492316.000000.847001.300180</t>
  </si>
  <si>
    <t>July-23 Utilization Plan</t>
  </si>
  <si>
    <t>Aug-23 Utilization Plan</t>
  </si>
  <si>
    <t>Sep-23 Utilization Plan</t>
  </si>
  <si>
    <t>Oct-23 Utilization Plan</t>
  </si>
  <si>
    <t>Nov-23 Utilization Plan</t>
  </si>
  <si>
    <t>Dec-23 Utilization Plan</t>
  </si>
  <si>
    <t>Software License purchase</t>
  </si>
  <si>
    <t xml:space="preserve">Payment of outstanding telecom bills </t>
  </si>
  <si>
    <t>Payment of outstanding Internet bills</t>
  </si>
  <si>
    <t>Expected DTRs</t>
  </si>
  <si>
    <t>PR already issued in July for laptop refresh PR # 8471113664</t>
  </si>
  <si>
    <t>Audio Visual renovation project (Opex) and SAN DC migration at Habshan</t>
  </si>
  <si>
    <t>Audio Visual renovation project (Capex items)</t>
  </si>
  <si>
    <t>Budget</t>
  </si>
  <si>
    <t>Honorarium expenses for S23, SM23 and F23 external examiners. Estimated 3 in-person PhD defenses in F23.</t>
  </si>
  <si>
    <t>Budget shortfall.</t>
  </si>
  <si>
    <t>Budget shortfall likely.</t>
  </si>
  <si>
    <t>Students apply for conference on "as needed" basis.</t>
  </si>
  <si>
    <t>New insurance/renewal for students sponsored by KU on "as needed" basis.</t>
  </si>
  <si>
    <t>185 students will be paid travel allowance in F23 / 103 Mobilization ticket for new intake students F23/ 38 CMDRTS S23 travel allowance.</t>
  </si>
  <si>
    <t>Monthly stipend/pension for current and new F23 students.</t>
  </si>
  <si>
    <t>Students apply for internship on "as needed" basis.</t>
  </si>
  <si>
    <t>Event for PG students (Gathering). Coffee break/lunch for 3 in-person PhD defenses in F23.</t>
  </si>
  <si>
    <t>F23 admission cycle is ongoing, number of students on new scholarship scheme is estimated.</t>
  </si>
  <si>
    <t>PR for student laptops is pending.</t>
  </si>
  <si>
    <r>
      <t>The amount will be used for the period Sep to December 23</t>
    </r>
    <r>
      <rPr>
        <sz val="11"/>
        <color rgb="FF000000"/>
        <rFont val="Calibri"/>
        <family val="2"/>
      </rPr>
      <t> </t>
    </r>
  </si>
  <si>
    <t>Internatational Education Expo sharjah, Najah Abu Dhabi, Social Media Campaign, Recruitment Mission, Open day, Printing, Outreach activites.</t>
  </si>
  <si>
    <t>slate Training</t>
  </si>
  <si>
    <t>Honors Day</t>
  </si>
  <si>
    <t>Study Abroad outbound students</t>
  </si>
  <si>
    <t>Student Success events</t>
  </si>
  <si>
    <t>EAB Navigate</t>
  </si>
  <si>
    <t>ILM</t>
  </si>
  <si>
    <t>NACADA Annual Conference</t>
  </si>
  <si>
    <t>Will utilized on organizing events and purchasing career assessments</t>
  </si>
  <si>
    <t>Will utilized on organizing events</t>
  </si>
  <si>
    <t>Will utilized on organizing events and support alumni initiatives</t>
  </si>
  <si>
    <t>Expenses of students international internship</t>
  </si>
  <si>
    <t>Support students experiential learning and field trips</t>
  </si>
  <si>
    <t>Purchasing new system</t>
  </si>
  <si>
    <t>Renew the current system, Develop a tool for alumni database and Collaborate with Comms Dept on Social Media Campaign</t>
  </si>
  <si>
    <t>Staff travel expenses</t>
  </si>
  <si>
    <t>Might be used on the event organization</t>
  </si>
  <si>
    <t>Might be used on the purchases</t>
  </si>
  <si>
    <t>Rmaining amount from last ID Card purchase</t>
  </si>
  <si>
    <t>National Day Petty Cash, gatherings and student participation in conferences.</t>
  </si>
  <si>
    <t>Payment for utilization of student transportation services like, weekend trips, daily shuttle buses, field and recreational trips.
Payment for the fuel variation.
Pending payments from March to December 2023.</t>
  </si>
  <si>
    <t xml:space="preserve">PR (mattresses, ,mattress cover, carpets, sofas), Sports Equipment for the Dorms, Miscellaneous Items (mirrors, ironing device, boiler..etc), Renting Additional Rooms Outside KU and Petty Cash (students trips and activities in the dorm). </t>
  </si>
  <si>
    <t xml:space="preserve">Petty Cash for Club Fair, Sports Coaches, Sports Day, Recreational/Sports/ Local Trips, Petty Cash settlements every month for clubs' activities and Field Trip to Japan. </t>
  </si>
  <si>
    <t>Catering for Winter Night Gathering in the Residences for Fall 2023, catering for the 3-day UG/PG New Student Orientation Fall 2023,  catering for Clubs/Chapter events for Fall 2023, and catering for National Day Fall 2023.</t>
  </si>
  <si>
    <t>Winners of the comptetitions, student participation and recognition in Fall 2023.</t>
  </si>
  <si>
    <t>On campus employment pending payments for Spring, &amp; Summer 2023 and payments for the Fall 2023.</t>
  </si>
  <si>
    <t>Sports uniforms/training suits for Sports Teams and Coordinators and personal tools for sport teams (racket, knee pads, goalkeeper gloves, drawstring bags..etc...)</t>
  </si>
  <si>
    <t xml:space="preserve">Printing materials for New Student Orientation Program 2023, Club Fair and National Day. </t>
  </si>
  <si>
    <t>NA</t>
  </si>
  <si>
    <t xml:space="preserve">Even with the additional budget of 1,500,000 that was credited to the account, we still expect shortage in this account for the fourth quarter after raising the PR in August 2023. </t>
  </si>
  <si>
    <t xml:space="preserve">We expect a deficit in this account as we want to have sports coaches' services for 9 months, and the total anticipated cost for this is around AED 507,000. Still, to ensure we are also covering the other expenses such as Club Fair, National Day, club activities, etc., we may need to split the sport coaches payment in two. </t>
  </si>
  <si>
    <t xml:space="preserve">We expect a deficit in this account as we have some important events in Fall 2023 which we have to provide catering for like the New Student Orientation Program for students/parents and National Day which is open to the public. </t>
  </si>
  <si>
    <t xml:space="preserve">Additional funds was added to the account to cover the deficit. The surplus amount of 3,899 is expected to be spent as usually more departments are in need of student support in Fall 2023. </t>
  </si>
  <si>
    <t>We expect a deficit in this account as we are out of stock of sports uniforms and some items that need replacing.</t>
  </si>
  <si>
    <t>We expect a deficit in this budget account as we have some important materials to be printed for the upcoming New Student Orientation Program, Club Fair and National Day .</t>
  </si>
  <si>
    <t xml:space="preserve">To be used for an event "Open access awareness day" planned in October </t>
  </si>
  <si>
    <t xml:space="preserve">This amount to be used for funding open access agreements, Forntiers and IEEE. Working with the publishers. </t>
  </si>
  <si>
    <t xml:space="preserve">Already generated 2 PRs and rest of the money used for credit card payments. </t>
  </si>
  <si>
    <t>7700 for DT July
3 DTs to Dubai/Sharjah
3 k to be transferred to Acad. Pub.</t>
  </si>
  <si>
    <t>3 Acad. Pub * 5 k</t>
  </si>
  <si>
    <t>Consumables and Sample analysis</t>
  </si>
  <si>
    <t>10,7 k to be transferred to Lab Scientific &amp; 7 k to Acad. Pub. (according to the needs)</t>
  </si>
  <si>
    <t xml:space="preserve">Installation of a safety protective device in Lab 8326 </t>
  </si>
  <si>
    <t>Some of the faculty members used their own resarch grants for travel realted expenses</t>
  </si>
  <si>
    <t>CTL offered to help with the purchase of a teahcing software (Labster)</t>
  </si>
  <si>
    <t>Some of the instrument-related (maintenance-related) were previously purhcased through research grants</t>
  </si>
  <si>
    <t>Some of the faculty members used their own resarch grants for publications charges</t>
  </si>
  <si>
    <t>Renewal of Research Software. This is being processed via IT.</t>
  </si>
  <si>
    <t>Arranging guest workshop and conference atten</t>
  </si>
  <si>
    <t>Will be utilizedd via BTR to support lab ancillaries</t>
  </si>
  <si>
    <t>Will be transferred and utilized toward essential lab supply purchases</t>
  </si>
  <si>
    <t>Will be utilized as the requirement comes up</t>
  </si>
  <si>
    <t>Student Senior Design Projects, Design Competions, Student Class Projects, ASME events. Activities take place throuhout the year. Amounts are entered in the utization months as being representative of cumulative funds settlement for preceeding months.</t>
  </si>
  <si>
    <t>Will be utilized via BTR to support Lab accessories purchase</t>
  </si>
  <si>
    <t>Will be used for any pending software renewals/updates</t>
  </si>
  <si>
    <t>Will be utilized via BTR mechanism to fund purchase of miscellaneous Lab supplies such as gases</t>
  </si>
  <si>
    <t xml:space="preserve">Ongoing </t>
  </si>
  <si>
    <t>Solid Mechanics Lab Supplies for Fall '23 semester</t>
  </si>
  <si>
    <t>Will be utilized via BTR mechanism to fund purchase for Solid Mechanics Lab spares</t>
  </si>
  <si>
    <t>Not applicable</t>
  </si>
  <si>
    <t>We plan to purchase supporting lab supplies and kits for existing and new Fall 2023 UG student research projects</t>
  </si>
  <si>
    <t>The fund will be used to support DTRs for several faculty members throughout the second half of the year.</t>
  </si>
  <si>
    <t xml:space="preserve">The fund will support an upcoming "majors day" event in September and one end-of-year departmental meeting </t>
  </si>
  <si>
    <t>The fund will support two pending software catalog requests.</t>
  </si>
  <si>
    <t xml:space="preserve">Part of the amount is needed to cover the extra funds required for updating the open PR "8471112729" of the NMR spectrometer maintenance contract as a result of the adjustment of the scope of work by the local supplier.
The remaining funds will be used to aquire a maintenance contract for the separate UPS system that is connected to the NMR. This system experienced a sudden fault by the end of June due to failure of three battery units.    </t>
  </si>
  <si>
    <t>budget will support one open-access Q1 publication in the second half of the year. The estimated spending timeline is on indicative basis</t>
  </si>
  <si>
    <t xml:space="preserve">We plan to transfer approx. 33k from the maintenance account (432209)due to shortage in lab supplies budget for replacing/upgrading small teaching kits </t>
  </si>
  <si>
    <t xml:space="preserve">We will use part of the fund to acquire the ICDD database for the department’s p-XRD equipment to improve the delivery of UG labs and student projects </t>
  </si>
  <si>
    <t>The value of the remaining amount is difficult to spend toward local events. The surplus will be transferred to another OPEX account to cover any shortage in budget.</t>
  </si>
  <si>
    <t xml:space="preserve">This is an estimated surplus, any remaining value will depend on the actual DTR costs. DTRs planned in the last quarter of the year may be raised by October. An updated spending profile can be provided by August/September </t>
  </si>
  <si>
    <t>The surplus amount is dependent on the actual values of the pending software renewal PRs that will be raised.</t>
  </si>
  <si>
    <t xml:space="preserve">An amount will be transferred to the "laboratory scientific" due to shortage in funds to cover the cost of lab supplies needed for fall 2023.  </t>
  </si>
  <si>
    <t>No surplus.</t>
  </si>
  <si>
    <t xml:space="preserve">This is an unspent returning capex budget from processed PRs. The remaining amount may be used to cover any unforeseen PO adjustments for the current open capex PRs </t>
  </si>
  <si>
    <t>We are utilising the existing service contract with KPMG, under which the services are being rendered, and the corresponding payment will be made from August to November 2023</t>
  </si>
  <si>
    <t>We are reserving the remaining budget for unforeseen ad hoc requests</t>
  </si>
  <si>
    <t>None</t>
  </si>
  <si>
    <t>The remaining budget will be utilized by November for the procurement of audit licenses</t>
  </si>
  <si>
    <t>CU_LASP invoice.  Need to transfer funds from Scientific (847.8471140.1.435523.000000.847001.050583)</t>
  </si>
  <si>
    <t>Deficit to be taken from   847.8471140.1.435523.000000.847001.200179</t>
  </si>
  <si>
    <t>Research Academy Impact  Workshops</t>
  </si>
  <si>
    <t>DTR5/18/2023-3065, DTR4/18/2023-2800, DTR4/13/2023-2766, + 1 more under process</t>
  </si>
  <si>
    <t xml:space="preserve">Category researched in error by finance. </t>
  </si>
  <si>
    <t>Note - this is a per current burn rate but there is a new center starting in August which will consume funds. Also, some researchers from Scientific Opex will be transferred to centers towards end of the year.</t>
  </si>
  <si>
    <t>Note - this is a per current burn rate but there are  external sub-award payments, consumables and publications. There will be a deficit.</t>
  </si>
  <si>
    <t xml:space="preserve">Minimal (exchange rate) </t>
  </si>
  <si>
    <t>This is required for the SVP office events</t>
  </si>
  <si>
    <t>Subscriptions and membership fees</t>
  </si>
  <si>
    <t>Business Travels</t>
  </si>
  <si>
    <t>No Surplus</t>
  </si>
  <si>
    <t xml:space="preserve">This amount is needed to cover the Business travels in  Q3 &amp; Q4 ( air tickets, hotels, and other expenses..etc) </t>
  </si>
  <si>
    <t>POs have been raised, further discussions with Chairs by Research will determine focus and spending Q2-Q4 - CAPEX is closed and funds return once PO is finalized.</t>
  </si>
  <si>
    <t>Q2 Invoice from Academic Partner  Pending - Funding  transfes to cover unexpected faculty departures and other gaps this quarter.</t>
  </si>
  <si>
    <t>Q2 Invoice from consultants still in process . Funds to be transfeered from agreements to cover thiese expenses.</t>
  </si>
  <si>
    <t xml:space="preserve">submission of fees Q3  and sumulation certiffica CAA related expenses. </t>
  </si>
  <si>
    <t>Local events are now being organized and advertised.  One attendeance has been noted.</t>
  </si>
  <si>
    <t xml:space="preserve">Several faculty are planning for quarter for presentations and attendeance.  Some will be attended in November. </t>
  </si>
  <si>
    <t>OME and Clinical Affairs are planning for 2nd quarter onsites for faculty/staff and students.  Funds will be expended starting this month.</t>
  </si>
  <si>
    <t xml:space="preserve">Submissions pending new student onboarding may require more funding transferred dependiing on Expat Candadates. </t>
  </si>
  <si>
    <t xml:space="preserve">new policies and renewal pending  student onboarding and renewal dates.  Depends on total number of expast students. 25 new P1 students expected. </t>
  </si>
  <si>
    <t>student onboarding in July/August  150,000 will be required if all accepted onboard.</t>
  </si>
  <si>
    <t xml:space="preserve">Current students and new student onboarding in August Revauation process currently inplace and will inform on untilizated funds. </t>
  </si>
  <si>
    <t xml:space="preserve">NBME and IFOM  across all quarters assessment per OME - revision upwawrds possible. </t>
  </si>
  <si>
    <t xml:space="preserve">On target for student applications and ongong experiences </t>
  </si>
  <si>
    <t xml:space="preserve">Shoud be reflected in next quarter as students present locally internally and regionally - if required for research will move funding to suport. </t>
  </si>
  <si>
    <t xml:space="preserve">will be expended in the next three quarters, more heavilty in Q 3 and Q4.  Internationally confrenece for AAMC and other high level programs later in year. </t>
  </si>
  <si>
    <t>Funds will be expeneded for Graduation and other events for Med School onboarding. On Target and may required tranfer from other area before end of year.</t>
  </si>
  <si>
    <t xml:space="preserve">renewal programs cost determined and will be uploaded Q3 by Anatomy and OME student learning platforms.   </t>
  </si>
  <si>
    <t>shipping items locally regionall or internationlly TBD and expended Q3/Q4</t>
  </si>
  <si>
    <t>renewal and applications per faculty and staff in review process.</t>
  </si>
  <si>
    <t xml:space="preserve">Expenditures planned in Q3 and Q4 others may be established for Q2 </t>
  </si>
  <si>
    <t xml:space="preserve">Will be expended in Q2 and Q3 as new student onboard and events are planned and executed for recogntion and celebration </t>
  </si>
  <si>
    <t xml:space="preserve">Major Computer concerns will be addressed and enterd Q2, Q3 and Q4 by enduser </t>
  </si>
  <si>
    <t>End users have been informed of the amounts they are allocated for use.  This should be expended before the end of Q3 or Early Q4</t>
  </si>
  <si>
    <t>OME has this under discussion.  Q2 and Q3 application for payment expected.</t>
  </si>
  <si>
    <t>Purchases underway departmentally</t>
  </si>
  <si>
    <t xml:space="preserve">Articles have been published and paid more output per faculty and staff pendind publication acceptance.   Q1 top quartile journals only. </t>
  </si>
  <si>
    <t xml:space="preserve">Minor equipement items will  need to be continually reviewed by Chairs and allocated accordingy  Q 3- Q 4  </t>
  </si>
  <si>
    <t xml:space="preserve">will be expended over the next 3 qyarters by OME and Falcon Communites as well as Balsam. </t>
  </si>
  <si>
    <t xml:space="preserve">Order Pending Q2 </t>
  </si>
  <si>
    <t xml:space="preserve">May require more funding and trasnfer before end of Q3 </t>
  </si>
  <si>
    <t>Funds will be successfully committed/utlized. Arab Health and other. If required transferin  of funds to meet requirements.</t>
  </si>
  <si>
    <t>Funds will be successfully committed/utlized. Funds to be trasnfered to  this expense acct..</t>
  </si>
  <si>
    <t>Funds will be successfully committed/utlized.</t>
  </si>
  <si>
    <t>Funds will be successfully committed/utlized and more requried if onboarding 25 students.</t>
  </si>
  <si>
    <t>More funds may be required in this category.</t>
  </si>
  <si>
    <t>Funds for student salary will be successfully committed/utlized.</t>
  </si>
  <si>
    <t>Funds will be successfully committed/utlized. May require more funds/transfer based on new opportunities.</t>
  </si>
  <si>
    <t xml:space="preserve">Ongoing evaluation of these funds per Office of the Dean.  </t>
  </si>
  <si>
    <t xml:space="preserve">Will require more funding for this area based on events, brand recognition items and gifts.  </t>
  </si>
  <si>
    <t>depending on provier quote may reqrie more funding.  Risk to laboratory equipment and personell health issues scope.</t>
  </si>
  <si>
    <t>325,000 estimated in recent PR submission for   instrurment andatomy and faciltation of externa training.</t>
  </si>
  <si>
    <t>Osmosis, Amboss and Complete anatomy  PR entry.  Uworld also pending.</t>
  </si>
  <si>
    <t>Submissions in evaluationa and review process.</t>
  </si>
  <si>
    <t>submitted</t>
  </si>
  <si>
    <t>no</t>
  </si>
  <si>
    <t>yes</t>
  </si>
  <si>
    <t>Grand Total</t>
  </si>
  <si>
    <t>total forecasted utilization to DEC-2023</t>
  </si>
  <si>
    <t>Cost center Group</t>
  </si>
  <si>
    <t>Academic &amp; student service office</t>
  </si>
  <si>
    <t>College of medicine</t>
  </si>
  <si>
    <t>Administrations, Facilities &amp; EHS office</t>
  </si>
  <si>
    <t>Contingency</t>
  </si>
  <si>
    <t>office of the president</t>
  </si>
  <si>
    <t>SVP/Finance &amp; Investment Office</t>
  </si>
  <si>
    <t>College of Art &amp; science</t>
  </si>
  <si>
    <t>Research &amp; development office</t>
  </si>
  <si>
    <t>Provost office</t>
  </si>
  <si>
    <t>EVP office</t>
  </si>
  <si>
    <t>College of engineering</t>
  </si>
  <si>
    <t>Procurement office</t>
  </si>
  <si>
    <t>HR office</t>
  </si>
  <si>
    <t>Ankabut office</t>
  </si>
  <si>
    <t xml:space="preserve"> Actual Amount</t>
  </si>
  <si>
    <t xml:space="preserve"> PR</t>
  </si>
  <si>
    <t xml:space="preserve"> PO</t>
  </si>
  <si>
    <t xml:space="preserve"> total forecasted utilization to DEC-2023</t>
  </si>
  <si>
    <t xml:space="preserve"> Budget</t>
  </si>
  <si>
    <t>Cost Center Group</t>
  </si>
  <si>
    <t>not utilized amount until date</t>
  </si>
  <si>
    <t>budget surplus before</t>
  </si>
  <si>
    <t>* yearend AED 90,900 + 50,500 addition 
* midyear AED 35,350
* midyear consolidation report (KUA, KUST &amp; KUX) expected AED 30,300
*internal control (ICFR) AED 60,600
* 50% advance for 2023 audit plus consolidation FS (KUA, KUST &amp; KUX) expected AED 30,300</t>
  </si>
  <si>
    <t>*Gap assessment for the internal control over financial reporting - COSO framework 1*290000
* COSO remediation AED 95,000 (50%)
* Impairment loss implementation AED 375,000</t>
  </si>
  <si>
    <t>Bank charges/transaction during the year</t>
  </si>
  <si>
    <t>35 staff * AED 400 for finance retreat</t>
  </si>
  <si>
    <t>extra budget not requered</t>
  </si>
  <si>
    <t>Deficit to be covered from the surplus</t>
  </si>
  <si>
    <t xml:space="preserve">Local conference </t>
  </si>
  <si>
    <t>International Travel</t>
  </si>
  <si>
    <t>Academic Travel</t>
  </si>
  <si>
    <t>Department Seminar</t>
  </si>
  <si>
    <t>Software License</t>
  </si>
  <si>
    <t>Busniness Travel</t>
  </si>
  <si>
    <t>Publications</t>
  </si>
  <si>
    <t>Opex Items</t>
  </si>
  <si>
    <t>Capex Items for Physics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</si>
</sst>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 #,##0_-;_-* &quot;-&quot;??_-;_-@_-"/>
  </numFmts>
  <fonts count="15" x14ac:knownFonts="1">
    <font>
      <sz val="11"/>
      <color theme="1"/>
      <name val="Calibri"/>
    </font>
    <font>
      <b/>
      <sz val="12"/>
      <color theme="1"/>
      <name val="Calibri"/>
      <family val="2"/>
    </font>
    <font>
      <sz val="8"/>
      <color theme="1"/>
      <name val="Calibri"/>
      <family val="2"/>
    </font>
    <font>
      <sz val="11"/>
      <color theme="1"/>
      <name val="Calibri"/>
      <family val="2"/>
    </font>
    <font>
      <sz val="11"/>
      <color theme="1"/>
      <name val="Calibri"/>
      <family val="2"/>
    </font>
    <font>
      <sz val="8"/>
      <color theme="1"/>
      <name val="Calibri"/>
      <family val="2"/>
    </font>
    <font>
      <sz val="10"/>
      <color theme="1"/>
      <name val="Calibri"/>
      <family val="2"/>
      <scheme val="minor"/>
    </font>
    <font>
      <sz val="11"/>
      <color rgb="FF000000"/>
      <name val="Calibri"/>
      <family val="2"/>
    </font>
    <font>
      <sz val="10"/>
      <name val="Calibri"/>
      <family val="2"/>
      <scheme val="minor"/>
    </font>
    <font>
      <sz val="9"/>
      <color rgb="FF000000"/>
      <name val="Calibri"/>
      <family val="2"/>
    </font>
    <font>
      <sz val="9"/>
      <color theme="1"/>
      <name val="Calibri"/>
      <family val="2"/>
    </font>
    <font>
      <sz val="11"/>
      <color rgb="FFFF0000"/>
      <name val="Calibri"/>
      <family val="2"/>
    </font>
    <font>
      <b/>
      <sz val="9"/>
      <color indexed="81"/>
      <name val="Tahoma"/>
      <family val="2"/>
    </font>
    <font>
      <sz val="9"/>
      <color indexed="81"/>
      <name val="Tahoma"/>
      <family val="2"/>
    </font>
    <font>
      <sz val="10"/>
      <color theme="1"/>
      <name val="Calibri"/>
      <family val="2"/>
    </font>
  </fonts>
  <fills count="5">
    <fill>
      <patternFill patternType="none"/>
    </fill>
    <fill>
      <patternFill patternType="gray125"/>
    </fill>
    <fill>
      <patternFill patternType="solid">
        <fgColor rgb="FFF0F4FA"/>
      </patternFill>
    </fill>
    <fill>
      <patternFill patternType="solid">
        <fgColor rgb="FFFFFFFF"/>
      </patternFill>
    </fill>
    <fill>
      <patternFill patternType="solid">
        <fgColor theme="0"/>
        <bgColor indexed="64"/>
      </patternFill>
    </fill>
  </fills>
  <borders count="15">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rgb="FF000000"/>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bottom style="thin">
        <color rgb="FF000000"/>
      </bottom>
      <diagonal/>
    </border>
  </borders>
  <cellStyleXfs count="2">
    <xf numFmtId="0" fontId="0" fillId="0" borderId="0"/>
    <xf numFmtId="43" fontId="3" fillId="0" borderId="0" applyFont="0" applyFill="0" applyBorder="0" applyAlignment="0" applyProtection="0"/>
  </cellStyleXfs>
  <cellXfs count="74">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applyAlignment="1">
      <alignment horizontal="center"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3" fontId="2" fillId="3" borderId="9" xfId="0" applyNumberFormat="1" applyFont="1" applyFill="1" applyBorder="1" applyAlignment="1">
      <alignment horizontal="right" vertical="top" wrapText="1"/>
    </xf>
    <xf numFmtId="0" fontId="0" fillId="3" borderId="6" xfId="0" applyFill="1" applyBorder="1" applyAlignment="1">
      <alignment horizontal="right" vertical="top" wrapText="1"/>
    </xf>
    <xf numFmtId="0" fontId="0" fillId="3" borderId="7" xfId="0" applyFill="1" applyBorder="1" applyAlignment="1">
      <alignment horizontal="right" vertical="top" wrapText="1"/>
    </xf>
    <xf numFmtId="0" fontId="0" fillId="3" borderId="9" xfId="0" applyFill="1" applyBorder="1" applyAlignment="1">
      <alignment horizontal="right" vertical="top" wrapText="1"/>
    </xf>
    <xf numFmtId="0" fontId="0" fillId="3" borderId="10" xfId="0" applyFill="1" applyBorder="1" applyAlignment="1">
      <alignment horizontal="right" vertical="top" wrapText="1"/>
    </xf>
    <xf numFmtId="0" fontId="0" fillId="3" borderId="8" xfId="0" applyFill="1" applyBorder="1" applyAlignment="1">
      <alignment horizontal="right" vertical="top" wrapText="1"/>
    </xf>
    <xf numFmtId="3" fontId="0" fillId="3" borderId="8" xfId="0" applyNumberFormat="1" applyFill="1" applyBorder="1" applyAlignment="1">
      <alignment horizontal="right" vertical="top" wrapText="1"/>
    </xf>
    <xf numFmtId="3" fontId="2" fillId="3" borderId="6" xfId="0" applyNumberFormat="1" applyFont="1" applyFill="1" applyBorder="1" applyAlignment="1">
      <alignment horizontal="right" vertical="top" wrapText="1"/>
    </xf>
    <xf numFmtId="1" fontId="2" fillId="3" borderId="7" xfId="0" applyNumberFormat="1" applyFont="1" applyFill="1" applyBorder="1" applyAlignment="1">
      <alignment horizontal="right" vertical="top" wrapText="1"/>
    </xf>
    <xf numFmtId="0" fontId="2" fillId="2" borderId="5" xfId="0" applyFont="1" applyFill="1" applyBorder="1" applyAlignment="1">
      <alignment horizontal="left" vertical="center" wrapText="1"/>
    </xf>
    <xf numFmtId="0" fontId="2" fillId="2" borderId="3" xfId="0" applyFont="1" applyFill="1" applyBorder="1" applyAlignment="1">
      <alignment horizontal="left" vertical="center" wrapText="1"/>
    </xf>
    <xf numFmtId="164" fontId="5" fillId="3" borderId="8" xfId="1" applyNumberFormat="1" applyFont="1" applyFill="1" applyBorder="1" applyAlignment="1">
      <alignment horizontal="right" vertical="center" wrapText="1"/>
    </xf>
    <xf numFmtId="164" fontId="5" fillId="3" borderId="10" xfId="1" applyNumberFormat="1" applyFont="1" applyFill="1" applyBorder="1" applyAlignment="1">
      <alignment horizontal="right" vertical="center" wrapText="1"/>
    </xf>
    <xf numFmtId="0" fontId="2" fillId="2" borderId="3" xfId="0" applyFont="1" applyFill="1" applyBorder="1" applyAlignment="1">
      <alignment horizontal="center" vertical="center" wrapText="1"/>
    </xf>
    <xf numFmtId="164" fontId="5" fillId="3" borderId="8" xfId="1"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165" fontId="6" fillId="4" borderId="10" xfId="1" applyNumberFormat="1" applyFont="1" applyFill="1" applyBorder="1" applyAlignment="1">
      <alignment horizontal="left" vertical="center"/>
    </xf>
    <xf numFmtId="165" fontId="6" fillId="4" borderId="8" xfId="1" applyNumberFormat="1" applyFont="1" applyFill="1" applyBorder="1" applyAlignment="1">
      <alignment horizontal="left" vertical="center"/>
    </xf>
    <xf numFmtId="0" fontId="6" fillId="4" borderId="8" xfId="0" applyFont="1" applyFill="1" applyBorder="1" applyAlignment="1">
      <alignment horizontal="left" vertical="center" wrapText="1"/>
    </xf>
    <xf numFmtId="0" fontId="0" fillId="0" borderId="0" xfId="0" applyAlignment="1">
      <alignment wrapText="1"/>
    </xf>
    <xf numFmtId="165" fontId="6" fillId="4" borderId="7" xfId="1" applyNumberFormat="1" applyFont="1" applyFill="1" applyBorder="1" applyAlignment="1">
      <alignment horizontal="left" vertical="center"/>
    </xf>
    <xf numFmtId="0" fontId="6" fillId="4" borderId="8" xfId="0" applyFont="1" applyFill="1" applyBorder="1" applyAlignment="1">
      <alignment horizontal="left" vertical="top" wrapText="1"/>
    </xf>
    <xf numFmtId="0" fontId="6" fillId="4" borderId="10" xfId="0" applyFont="1" applyFill="1" applyBorder="1" applyAlignment="1">
      <alignment horizontal="left" vertical="top" wrapText="1"/>
    </xf>
    <xf numFmtId="4" fontId="6" fillId="4" borderId="8" xfId="0" applyNumberFormat="1" applyFont="1" applyFill="1" applyBorder="1" applyAlignment="1">
      <alignment horizontal="left" vertical="top" wrapText="1"/>
    </xf>
    <xf numFmtId="3" fontId="6" fillId="4" borderId="10" xfId="0" applyNumberFormat="1" applyFont="1" applyFill="1" applyBorder="1" applyAlignment="1">
      <alignment horizontal="left" vertical="top" wrapText="1"/>
    </xf>
    <xf numFmtId="3" fontId="6" fillId="4" borderId="8" xfId="0" applyNumberFormat="1" applyFont="1" applyFill="1" applyBorder="1" applyAlignment="1">
      <alignment horizontal="left" vertical="top" wrapText="1"/>
    </xf>
    <xf numFmtId="0" fontId="8" fillId="4" borderId="8" xfId="0" applyFont="1" applyFill="1" applyBorder="1" applyAlignment="1">
      <alignment horizontal="left" vertical="top" wrapText="1"/>
    </xf>
    <xf numFmtId="0" fontId="6" fillId="4" borderId="10" xfId="0" applyFont="1" applyFill="1" applyBorder="1" applyAlignment="1">
      <alignment horizontal="left" vertical="center" wrapText="1"/>
    </xf>
    <xf numFmtId="3" fontId="6" fillId="4" borderId="8" xfId="0" applyNumberFormat="1" applyFont="1" applyFill="1" applyBorder="1" applyAlignment="1">
      <alignment horizontal="left" vertical="center" wrapText="1"/>
    </xf>
    <xf numFmtId="3" fontId="6" fillId="4" borderId="11" xfId="0" applyNumberFormat="1" applyFont="1" applyFill="1" applyBorder="1" applyAlignment="1">
      <alignment horizontal="left" vertical="center" wrapText="1"/>
    </xf>
    <xf numFmtId="0" fontId="6" fillId="4" borderId="9" xfId="0" applyFont="1" applyFill="1" applyBorder="1" applyAlignment="1">
      <alignment horizontal="left" vertical="center" wrapText="1"/>
    </xf>
    <xf numFmtId="3" fontId="6" fillId="4" borderId="12" xfId="0" applyNumberFormat="1" applyFont="1" applyFill="1" applyBorder="1" applyAlignment="1">
      <alignment horizontal="left" vertical="center" wrapText="1"/>
    </xf>
    <xf numFmtId="0" fontId="6" fillId="4" borderId="12" xfId="0" applyFont="1" applyFill="1" applyBorder="1" applyAlignment="1">
      <alignment horizontal="left" vertical="center"/>
    </xf>
    <xf numFmtId="0" fontId="6" fillId="4" borderId="11"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8" fillId="4" borderId="10" xfId="0" applyFont="1" applyFill="1" applyBorder="1" applyAlignment="1">
      <alignment horizontal="left" vertical="top" wrapText="1"/>
    </xf>
    <xf numFmtId="164" fontId="0" fillId="0" borderId="10" xfId="1" applyNumberFormat="1" applyFont="1" applyFill="1" applyBorder="1" applyAlignment="1">
      <alignment horizontal="right" vertical="top" wrapText="1"/>
    </xf>
    <xf numFmtId="164" fontId="0" fillId="0" borderId="8" xfId="0" applyNumberFormat="1" applyFill="1" applyBorder="1" applyAlignment="1">
      <alignment horizontal="right" vertical="top" wrapText="1"/>
    </xf>
    <xf numFmtId="0" fontId="0" fillId="0" borderId="8" xfId="0" applyFill="1" applyBorder="1" applyAlignment="1">
      <alignment horizontal="right" vertical="top" wrapText="1"/>
    </xf>
    <xf numFmtId="0" fontId="4" fillId="0" borderId="8" xfId="0" applyFont="1" applyFill="1" applyBorder="1" applyAlignment="1">
      <alignment horizontal="left" vertical="top" wrapText="1"/>
    </xf>
    <xf numFmtId="0" fontId="0" fillId="0" borderId="10" xfId="0" applyFill="1" applyBorder="1" applyAlignment="1">
      <alignment horizontal="right" vertical="top" wrapText="1"/>
    </xf>
    <xf numFmtId="3" fontId="0" fillId="0" borderId="8" xfId="0" applyNumberFormat="1" applyFill="1" applyBorder="1" applyAlignment="1">
      <alignment horizontal="right" vertical="top" wrapText="1"/>
    </xf>
    <xf numFmtId="3" fontId="0" fillId="3" borderId="10" xfId="0" applyNumberFormat="1" applyFill="1" applyBorder="1" applyAlignment="1">
      <alignment horizontal="right" vertical="top" wrapText="1"/>
    </xf>
    <xf numFmtId="3" fontId="9" fillId="0" borderId="0" xfId="0" applyNumberFormat="1" applyFont="1"/>
    <xf numFmtId="3" fontId="10" fillId="3" borderId="8" xfId="0" applyNumberFormat="1" applyFont="1" applyFill="1" applyBorder="1" applyAlignment="1">
      <alignment horizontal="right" vertical="top" wrapText="1"/>
    </xf>
    <xf numFmtId="3" fontId="10" fillId="3" borderId="10" xfId="0" applyNumberFormat="1" applyFont="1" applyFill="1" applyBorder="1" applyAlignment="1">
      <alignment horizontal="right" vertical="top" wrapText="1"/>
    </xf>
    <xf numFmtId="164" fontId="11" fillId="3" borderId="8" xfId="1" applyNumberFormat="1" applyFont="1" applyFill="1" applyBorder="1" applyAlignment="1">
      <alignment horizontal="right" vertical="top" wrapText="1"/>
    </xf>
    <xf numFmtId="0" fontId="0" fillId="0" borderId="0" xfId="0" pivotButton="1"/>
    <xf numFmtId="0" fontId="0" fillId="0" borderId="0" xfId="0" applyAlignment="1">
      <alignment horizontal="left"/>
    </xf>
    <xf numFmtId="0" fontId="0" fillId="0" borderId="12" xfId="0" applyFill="1" applyBorder="1" applyAlignment="1">
      <alignment wrapText="1"/>
    </xf>
    <xf numFmtId="0" fontId="0" fillId="4" borderId="12" xfId="0" applyFill="1" applyBorder="1" applyAlignment="1">
      <alignment wrapText="1"/>
    </xf>
    <xf numFmtId="43" fontId="0" fillId="0" borderId="0" xfId="0" applyNumberFormat="1"/>
    <xf numFmtId="3" fontId="2" fillId="3" borderId="13" xfId="0" applyNumberFormat="1" applyFont="1" applyFill="1" applyBorder="1" applyAlignment="1">
      <alignment horizontal="right" vertical="top" wrapText="1"/>
    </xf>
    <xf numFmtId="0" fontId="0" fillId="3" borderId="14" xfId="0" applyFill="1" applyBorder="1" applyAlignment="1">
      <alignment horizontal="right" vertical="top" wrapText="1"/>
    </xf>
    <xf numFmtId="0" fontId="0" fillId="0" borderId="12" xfId="0" applyBorder="1"/>
    <xf numFmtId="3" fontId="2" fillId="3" borderId="0" xfId="0" applyNumberFormat="1" applyFont="1" applyFill="1" applyBorder="1" applyAlignment="1">
      <alignment horizontal="right" vertical="top" wrapText="1"/>
    </xf>
    <xf numFmtId="3" fontId="2" fillId="3" borderId="12" xfId="0" applyNumberFormat="1" applyFont="1" applyFill="1" applyBorder="1" applyAlignment="1">
      <alignment horizontal="right" vertical="top" wrapText="1"/>
    </xf>
    <xf numFmtId="0" fontId="0" fillId="3" borderId="5" xfId="0" applyFill="1" applyBorder="1" applyAlignment="1">
      <alignment horizontal="left" vertical="center" wrapText="1"/>
    </xf>
    <xf numFmtId="0" fontId="0" fillId="3" borderId="8" xfId="0" applyFill="1" applyBorder="1" applyAlignment="1">
      <alignment horizontal="left" vertical="center" wrapText="1"/>
    </xf>
    <xf numFmtId="0" fontId="14" fillId="3" borderId="8" xfId="0" applyFont="1" applyFill="1" applyBorder="1" applyAlignment="1">
      <alignment horizontal="left" vertical="center" wrapText="1"/>
    </xf>
    <xf numFmtId="0" fontId="4" fillId="3" borderId="8" xfId="0" applyFont="1" applyFill="1" applyBorder="1" applyAlignment="1">
      <alignment horizontal="right" vertical="top"/>
    </xf>
    <xf numFmtId="0" fontId="4" fillId="3" borderId="8" xfId="0" applyFont="1" applyFill="1" applyBorder="1" applyAlignment="1">
      <alignment horizontal="right" vertical="top" wrapText="1"/>
    </xf>
    <xf numFmtId="164" fontId="10" fillId="0" borderId="0" xfId="1" applyNumberFormat="1" applyFont="1"/>
  </cellXfs>
  <cellStyles count="2">
    <cellStyle name="Comma" xfId="1" builtinId="3"/>
    <cellStyle name="Normal" xfId="0" builtinId="0"/>
  </cellStyles>
  <dxfs count="7">
    <dxf>
      <fill>
        <patternFill>
          <bgColor theme="4" tint="0.79998168889431442"/>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6350</xdr:rowOff>
    </xdr:from>
    <xdr:ext cx="2409825" cy="609600"/>
    <xdr:pic>
      <xdr:nvPicPr>
        <xdr:cNvPr id="2" name="image1.jpeg" descr="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6350"/>
          <a:ext cx="2409825" cy="609600"/>
        </a:xfrm>
        <a:prstGeom prst="rect">
          <a:avLst/>
        </a:prstGeom>
      </xdr:spPr>
    </xdr:pic>
    <xdr:clientData/>
  </xdr:oneCellAnchor>
  <xdr:twoCellAnchor editAs="oneCell">
    <xdr:from>
      <xdr:col>0</xdr:col>
      <xdr:colOff>0</xdr:colOff>
      <xdr:row>0</xdr:row>
      <xdr:rowOff>9525</xdr:rowOff>
    </xdr:from>
    <xdr:to>
      <xdr:col>0</xdr:col>
      <xdr:colOff>2409825</xdr:colOff>
      <xdr:row>1</xdr:row>
      <xdr:rowOff>9525</xdr:rowOff>
    </xdr:to>
    <xdr:pic>
      <xdr:nvPicPr>
        <xdr:cNvPr id="3" name="image1.jpeg" descr="image1.jpe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25"/>
          <a:ext cx="240982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9525</xdr:rowOff>
    </xdr:from>
    <xdr:to>
      <xdr:col>0</xdr:col>
      <xdr:colOff>2409825</xdr:colOff>
      <xdr:row>1</xdr:row>
      <xdr:rowOff>9525</xdr:rowOff>
    </xdr:to>
    <xdr:pic>
      <xdr:nvPicPr>
        <xdr:cNvPr id="4" name="Picture 2" descr="image1.jpeg">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25"/>
          <a:ext cx="240982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 Anood Al Khoori" refreshedDate="45131.584106365743" createdVersion="6" refreshedVersion="6" minRefreshableVersion="3" recordCount="477" xr:uid="{00000000-000A-0000-FFFF-FFFF18000000}">
  <cacheSource type="worksheet">
    <worksheetSource ref="A3:V480" sheet="consolidated"/>
  </cacheSource>
  <cacheFields count="22">
    <cacheField name="Chapter Name" numFmtId="0">
      <sharedItems count="2">
        <s v="2 Other Operating Costs"/>
        <s v="3 Capital Payments"/>
      </sharedItems>
    </cacheField>
    <cacheField name="Cost center Group" numFmtId="0">
      <sharedItems count="14">
        <s v="office of the president"/>
        <s v="EVP office"/>
        <s v="Contingency"/>
        <s v="Provost office"/>
        <s v="Academic &amp; student service office"/>
        <s v="College of engineering"/>
        <s v="College of Art &amp; science"/>
        <s v="Administrations, Facilities &amp; EHS office"/>
        <s v="SVP/Finance &amp; Investment Office"/>
        <s v="Procurement office"/>
        <s v="HR office"/>
        <s v="Ankabut office"/>
        <s v="Research &amp; development office"/>
        <s v="College of medicine"/>
      </sharedItems>
    </cacheField>
    <cacheField name="Cost Center Code" numFmtId="0">
      <sharedItems/>
    </cacheField>
    <cacheField name="Cost Center Description" numFmtId="0">
      <sharedItems count="55">
        <s v="KUST - Office of the President"/>
        <s v="KUST - Audit"/>
        <s v="KUST - Compliance and Risk Management"/>
        <s v="KUST - Institutional Research &amp; Planning"/>
        <s v="KUST - Communication"/>
        <s v="KUST - General Counsel"/>
        <s v="KUST - SVP/ Support Services Office"/>
        <s v="KUST - Khalifa University of Science &amp; Technology - General Administration"/>
        <s v="KUST - Office of the Provost"/>
        <s v="KUST - Graduate Studies"/>
        <s v="KUST - Dean Of Engineering"/>
        <s v="KUST - Aerospace Engineering"/>
        <s v="KUST - Biomedical Engineering"/>
        <s v="KUST - Chemical Engineering"/>
        <s v="KUST - Civil Engineering"/>
        <s v="KUST - Electrical &amp; Computer Engineering"/>
        <s v="KUST - Industrial &amp; Systems Engineering"/>
        <s v="KUST - Mechanical Engineering"/>
        <s v="KUST - Nuclear Engineering"/>
        <s v="KUST - Petroleum Engineering"/>
        <s v="KUST - Dean Of Arts &amp; Science"/>
        <s v="KUST - Institute of International &amp; Civil Security"/>
        <s v="KUST - Chemistry"/>
        <s v="KUST - Physics"/>
        <s v="KUST - Preparatory Program"/>
        <s v="KUST - Department of English"/>
        <s v="KUST - Humanities &amp; Social Sciences"/>
        <s v="KUST - Mathematics"/>
        <s v="KUST - Earth Science"/>
        <s v="KUST – Biology"/>
        <s v="KUST - Environment, Health &amp; Safety"/>
        <s v="KUST - Facilities Management"/>
        <s v="KUST - Administration"/>
        <s v="KUST - SVP / Finance &amp; Investment Office"/>
        <s v="KUST - Finance Operations"/>
        <s v="KUST - Procurement and Contracts"/>
        <s v="KUST - Human Resources"/>
        <s v="KUST - Ankabut office"/>
        <s v="KUST - Executive Vice President Office"/>
        <s v="KUST - Continuing Education Office"/>
        <s v="KUST - SVP/ Research &amp; Development Office"/>
        <s v="KUST - Research Service"/>
        <s v="KUST - University Sponsored Research"/>
        <s v="KUST - Technology Management &amp; Innovation"/>
        <s v="KUST - Research Laboratories"/>
        <s v="KUST - Research Computing"/>
        <s v="KUST - SVP/ Academic &amp; Student Services Office"/>
        <s v="KUST - Registrar"/>
        <s v="KUST - Student Enrollment"/>
        <s v="KUST - Student Success"/>
        <s v="KUST - Career Services"/>
        <s v="KUST - Student Life"/>
        <s v="KUST - Libraries"/>
        <s v="KUST - Center for Teaching &amp; Learning"/>
        <s v="KUST - Dean Of Medicine"/>
      </sharedItems>
    </cacheField>
    <cacheField name="Account Code" numFmtId="0">
      <sharedItems/>
    </cacheField>
    <cacheField name="Account Description" numFmtId="0">
      <sharedItems/>
    </cacheField>
    <cacheField name="GL Account Combination" numFmtId="0">
      <sharedItems/>
    </cacheField>
    <cacheField name="Budget" numFmtId="0">
      <sharedItems containsString="0" containsBlank="1" containsNumber="1" containsInteger="1" minValue="0" maxValue="159456650"/>
    </cacheField>
    <cacheField name="Actual Amount" numFmtId="0">
      <sharedItems containsString="0" containsBlank="1" containsNumber="1" minValue="-26280.05" maxValue="69743393.230000004"/>
    </cacheField>
    <cacheField name="PR" numFmtId="0">
      <sharedItems containsString="0" containsBlank="1" containsNumber="1" minValue="-805100" maxValue="16575938"/>
    </cacheField>
    <cacheField name="PO" numFmtId="0">
      <sharedItems containsString="0" containsBlank="1" containsNumber="1" minValue="-112147.15" maxValue="11119206.550000001"/>
    </cacheField>
    <cacheField name="July-23 Utilization Plan" numFmtId="0">
      <sharedItems containsString="0" containsBlank="1" containsNumber="1" minValue="-10700" maxValue="11000000"/>
    </cacheField>
    <cacheField name="Aug-23 Utilization Plan" numFmtId="0">
      <sharedItems containsString="0" containsBlank="1" containsNumber="1" minValue="0" maxValue="11050000"/>
    </cacheField>
    <cacheField name="Sep-23 Utilization Plan" numFmtId="0">
      <sharedItems containsString="0" containsBlank="1" containsNumber="1" minValue="0" maxValue="14500000"/>
    </cacheField>
    <cacheField name="Oct-23 Utilization Plan" numFmtId="0">
      <sharedItems containsString="0" containsBlank="1" containsNumber="1" minValue="0" maxValue="14500000"/>
    </cacheField>
    <cacheField name="Nov-23 Utilization Plan" numFmtId="0">
      <sharedItems containsString="0" containsBlank="1" containsNumber="1" minValue="0" maxValue="14500000"/>
    </cacheField>
    <cacheField name="Dec-23 Utilization Plan" numFmtId="0">
      <sharedItems containsString="0" containsBlank="1" containsNumber="1" containsInteger="1" minValue="0" maxValue="47856585"/>
    </cacheField>
    <cacheField name="total forecasted utilization to DEC-2023" numFmtId="0">
      <sharedItems containsSemiMixedTypes="0" containsString="0" containsNumber="1" minValue="0" maxValue="80050000"/>
    </cacheField>
    <cacheField name="Utilization Justification" numFmtId="0">
      <sharedItems containsBlank="1" longText="1"/>
    </cacheField>
    <cacheField name="not utilized amount until date" numFmtId="3">
      <sharedItems containsSemiMixedTypes="0" containsString="0" containsNumber="1" minValue="-4984469.33" maxValue="71082413.599999994"/>
    </cacheField>
    <cacheField name="Surplus Justification" numFmtId="0">
      <sharedItems containsBlank="1" longText="1"/>
    </cacheField>
    <cacheField name="submitted"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77">
  <r>
    <x v="0"/>
    <x v="0"/>
    <s v="8470110"/>
    <x v="0"/>
    <s v="420550"/>
    <s v="Academic Advisory Service"/>
    <s v="847.8470110.1.420550.000000.847001.200179"/>
    <n v="500000"/>
    <m/>
    <m/>
    <m/>
    <m/>
    <m/>
    <m/>
    <m/>
    <m/>
    <m/>
    <n v="0"/>
    <m/>
    <n v="500000"/>
    <m/>
    <x v="0"/>
  </r>
  <r>
    <x v="0"/>
    <x v="0"/>
    <s v="8470110"/>
    <x v="0"/>
    <s v="425510"/>
    <s v="Conferences, seminars and exhibitions and other events: - Local Events"/>
    <s v="847.8470110.1.425510.000000.847001.200179"/>
    <n v="52920"/>
    <n v="10530"/>
    <m/>
    <m/>
    <m/>
    <m/>
    <m/>
    <m/>
    <m/>
    <m/>
    <n v="0"/>
    <m/>
    <n v="42390"/>
    <m/>
    <x v="0"/>
  </r>
  <r>
    <x v="0"/>
    <x v="0"/>
    <s v="8470110"/>
    <x v="0"/>
    <s v="425550"/>
    <s v="Conferences, seminars and exhibitions and other events: - Overseas event"/>
    <s v="847.8470110.1.425550.000000.847001.200179"/>
    <n v="22225"/>
    <n v="3300"/>
    <m/>
    <m/>
    <m/>
    <m/>
    <m/>
    <m/>
    <m/>
    <m/>
    <n v="0"/>
    <m/>
    <n v="18925"/>
    <m/>
    <x v="0"/>
  </r>
  <r>
    <x v="0"/>
    <x v="0"/>
    <s v="8470110"/>
    <x v="0"/>
    <s v="425900"/>
    <s v="Entertainment and hospitality"/>
    <s v="847.8470110.1.425900.000000.847001.200179"/>
    <n v="320000"/>
    <n v="42154.25"/>
    <m/>
    <m/>
    <m/>
    <m/>
    <m/>
    <m/>
    <m/>
    <m/>
    <n v="0"/>
    <m/>
    <n v="277845.75"/>
    <m/>
    <x v="0"/>
  </r>
  <r>
    <x v="0"/>
    <x v="0"/>
    <s v="8470110"/>
    <x v="0"/>
    <s v="428090"/>
    <s v="Business Travel - Combined expenses"/>
    <s v="847.8470110.1.428090.000000.847001.200179"/>
    <n v="1079941"/>
    <n v="284798"/>
    <m/>
    <m/>
    <m/>
    <m/>
    <m/>
    <m/>
    <m/>
    <m/>
    <n v="0"/>
    <m/>
    <n v="795143"/>
    <m/>
    <x v="0"/>
  </r>
  <r>
    <x v="0"/>
    <x v="0"/>
    <s v="8470120"/>
    <x v="1"/>
    <s v="420120"/>
    <s v="Internal Audit service"/>
    <s v="847.8470120.1.420120.000000.847001.200179"/>
    <n v="550028"/>
    <n v="425925.92"/>
    <n v="-242128.46"/>
    <n v="366229.54"/>
    <m/>
    <m/>
    <m/>
    <m/>
    <m/>
    <m/>
    <n v="0"/>
    <m/>
    <n v="1.0000000000582077"/>
    <s v="We are utilising the existing service contract with KPMG, under which the services are being rendered, and the corresponding payment will be made from August to November 2023"/>
    <x v="1"/>
  </r>
  <r>
    <x v="0"/>
    <x v="0"/>
    <s v="8470120"/>
    <x v="1"/>
    <s v="425900"/>
    <s v="Entertainment and hospitality"/>
    <s v="847.8470120.1.425900.000000.847001.200179"/>
    <n v="20000"/>
    <m/>
    <m/>
    <m/>
    <m/>
    <m/>
    <m/>
    <m/>
    <m/>
    <m/>
    <n v="0"/>
    <m/>
    <n v="20000"/>
    <s v="We are reserving the remaining budget for unforeseen ad hoc requests"/>
    <x v="1"/>
  </r>
  <r>
    <x v="0"/>
    <x v="0"/>
    <s v="8470120"/>
    <x v="1"/>
    <s v="428090"/>
    <s v="Business Travel - Combined expenses"/>
    <s v="847.8470120.1.428090.000000.847001.200179"/>
    <n v="100000"/>
    <n v="13760.45"/>
    <m/>
    <m/>
    <m/>
    <m/>
    <n v="10000"/>
    <m/>
    <m/>
    <m/>
    <n v="10000"/>
    <m/>
    <n v="76239.55"/>
    <s v="We are reserving the remaining budget for unforeseen ad hoc requests"/>
    <x v="1"/>
  </r>
  <r>
    <x v="0"/>
    <x v="0"/>
    <s v="8470121"/>
    <x v="2"/>
    <s v="421000"/>
    <s v="Management consultancy"/>
    <s v="847.8470121.1.421000.000000.847001.200179"/>
    <n v="650000"/>
    <m/>
    <n v="500000"/>
    <m/>
    <m/>
    <m/>
    <m/>
    <m/>
    <m/>
    <m/>
    <n v="0"/>
    <m/>
    <n v="150000"/>
    <s v="None"/>
    <x v="1"/>
  </r>
  <r>
    <x v="0"/>
    <x v="0"/>
    <s v="8470121"/>
    <x v="2"/>
    <s v="421700"/>
    <s v="Standards Certification Services (e.g. ISO)"/>
    <s v="847.8470121.1.421700.000000.847001.200179"/>
    <n v="0"/>
    <m/>
    <m/>
    <m/>
    <m/>
    <m/>
    <m/>
    <m/>
    <m/>
    <m/>
    <n v="0"/>
    <m/>
    <n v="0"/>
    <s v="The remaining budget will be utilized by November for the procurement of audit licenses"/>
    <x v="1"/>
  </r>
  <r>
    <x v="0"/>
    <x v="0"/>
    <s v="8470121"/>
    <x v="2"/>
    <s v="425900"/>
    <s v="Entertainment and hospitality"/>
    <s v="847.8470121.1.425900.000000.847001.200179"/>
    <n v="32000"/>
    <m/>
    <m/>
    <m/>
    <m/>
    <m/>
    <m/>
    <m/>
    <m/>
    <m/>
    <n v="0"/>
    <m/>
    <n v="32000"/>
    <m/>
    <x v="0"/>
  </r>
  <r>
    <x v="0"/>
    <x v="0"/>
    <s v="8470121"/>
    <x v="2"/>
    <s v="426610"/>
    <s v="Computer software licenses-Software License Renewal"/>
    <s v="847.8470121.1.426610.000000.847001.200179"/>
    <n v="173000"/>
    <m/>
    <n v="0"/>
    <n v="52467.6"/>
    <m/>
    <m/>
    <m/>
    <m/>
    <m/>
    <m/>
    <n v="0"/>
    <m/>
    <n v="120532.4"/>
    <m/>
    <x v="0"/>
  </r>
  <r>
    <x v="0"/>
    <x v="0"/>
    <s v="8470121"/>
    <x v="2"/>
    <s v="428090"/>
    <s v="Business Travel - Combined expenses"/>
    <s v="847.8470121.1.428090.000000.847001.200179"/>
    <n v="100000"/>
    <m/>
    <m/>
    <m/>
    <m/>
    <m/>
    <m/>
    <m/>
    <m/>
    <m/>
    <n v="0"/>
    <m/>
    <n v="100000"/>
    <m/>
    <x v="0"/>
  </r>
  <r>
    <x v="0"/>
    <x v="1"/>
    <s v="8470130"/>
    <x v="3"/>
    <s v="421000"/>
    <s v="Management consultancy"/>
    <s v="847.8470130.1.421000.000000.847001.200179"/>
    <n v="202500"/>
    <m/>
    <m/>
    <m/>
    <m/>
    <m/>
    <m/>
    <m/>
    <m/>
    <m/>
    <n v="0"/>
    <m/>
    <n v="202500"/>
    <m/>
    <x v="0"/>
  </r>
  <r>
    <x v="0"/>
    <x v="1"/>
    <s v="8470130"/>
    <x v="3"/>
    <s v="426610"/>
    <s v="Computer software licenses-Software License Renewal"/>
    <s v="847.8470130.1.426610.000000.847001.200179"/>
    <n v="647100"/>
    <m/>
    <n v="0"/>
    <n v="297513"/>
    <m/>
    <m/>
    <m/>
    <m/>
    <m/>
    <m/>
    <n v="0"/>
    <m/>
    <n v="349587"/>
    <m/>
    <x v="0"/>
  </r>
  <r>
    <x v="0"/>
    <x v="1"/>
    <s v="8470130"/>
    <x v="3"/>
    <s v="427710"/>
    <s v="Subscriptions and membership fees: Trade organisations"/>
    <s v="847.8470130.1.427710.000000.847001.200179"/>
    <n v="114759"/>
    <n v="114759"/>
    <m/>
    <m/>
    <m/>
    <m/>
    <m/>
    <m/>
    <m/>
    <m/>
    <n v="0"/>
    <m/>
    <n v="0"/>
    <m/>
    <x v="0"/>
  </r>
  <r>
    <x v="0"/>
    <x v="1"/>
    <s v="8470130"/>
    <x v="3"/>
    <s v="428090"/>
    <s v="Business Travel - Combined expenses"/>
    <s v="847.8470130.1.428090.000000.847001.200179"/>
    <n v="20000"/>
    <m/>
    <m/>
    <m/>
    <m/>
    <m/>
    <m/>
    <m/>
    <m/>
    <m/>
    <n v="0"/>
    <m/>
    <n v="20000"/>
    <m/>
    <x v="0"/>
  </r>
  <r>
    <x v="0"/>
    <x v="1"/>
    <s v="8470140"/>
    <x v="4"/>
    <s v="425100"/>
    <s v="Advertising Services (General)"/>
    <s v="847.8470140.1.425100.000000.847001.200179"/>
    <n v="6995531"/>
    <n v="2211877.81"/>
    <n v="1516266.5"/>
    <n v="746220.15"/>
    <n v="124038"/>
    <n v="500000"/>
    <n v="500000"/>
    <n v="500000"/>
    <n v="500000"/>
    <n v="396500"/>
    <n v="2520538"/>
    <m/>
    <n v="628.53999999957159"/>
    <m/>
    <x v="1"/>
  </r>
  <r>
    <x v="0"/>
    <x v="1"/>
    <s v="8470140"/>
    <x v="4"/>
    <s v="425510"/>
    <s v="Conferences, seminars and exhibitions and other events: - Local Events"/>
    <s v="847.8470140.1.425510.000000.847001.200179"/>
    <n v="8685826"/>
    <n v="4041467.01"/>
    <n v="383977.38"/>
    <n v="1721703.9"/>
    <n v="1977263"/>
    <n v="250000"/>
    <n v="280000"/>
    <n v="20000"/>
    <n v="11000"/>
    <m/>
    <n v="2538263"/>
    <m/>
    <n v="414.71000000042841"/>
    <m/>
    <x v="1"/>
  </r>
  <r>
    <x v="0"/>
    <x v="1"/>
    <s v="8470140"/>
    <x v="4"/>
    <s v="425550"/>
    <s v="Conferences, seminars and exhibitions and other events: - Overseas event"/>
    <s v="847.8470140.1.425550.000000.847001.200179"/>
    <n v="64327"/>
    <n v="-5201.42"/>
    <m/>
    <m/>
    <m/>
    <m/>
    <n v="30000"/>
    <m/>
    <n v="39000"/>
    <m/>
    <n v="69000"/>
    <m/>
    <n v="528.41999999999825"/>
    <m/>
    <x v="1"/>
  </r>
  <r>
    <x v="0"/>
    <x v="1"/>
    <s v="8470140"/>
    <x v="4"/>
    <s v="425763"/>
    <s v="Student Project Expenses"/>
    <s v="847.8470140.1.425763.000000.847001.200179"/>
    <n v="154663"/>
    <m/>
    <m/>
    <m/>
    <m/>
    <m/>
    <m/>
    <m/>
    <n v="154600"/>
    <m/>
    <n v="154600"/>
    <m/>
    <n v="63"/>
    <m/>
    <x v="1"/>
  </r>
  <r>
    <x v="0"/>
    <x v="1"/>
    <s v="8470140"/>
    <x v="4"/>
    <s v="427100"/>
    <s v="Public relations"/>
    <s v="847.8470140.1.427100.000000.847001.200179"/>
    <n v="662002"/>
    <n v="712427.38"/>
    <n v="-432001.91"/>
    <n v="151576.44"/>
    <m/>
    <n v="200000"/>
    <m/>
    <n v="15000"/>
    <n v="15000"/>
    <m/>
    <n v="230000"/>
    <m/>
    <n v="8.999999996740371E-2"/>
    <m/>
    <x v="1"/>
  </r>
  <r>
    <x v="0"/>
    <x v="1"/>
    <s v="8470140"/>
    <x v="4"/>
    <s v="427200"/>
    <s v="Printing and publishing"/>
    <s v="847.8470140.1.427200.000000.847001.200179"/>
    <n v="23653"/>
    <m/>
    <m/>
    <m/>
    <m/>
    <m/>
    <m/>
    <n v="23000"/>
    <m/>
    <m/>
    <n v="23000"/>
    <m/>
    <n v="653"/>
    <m/>
    <x v="1"/>
  </r>
  <r>
    <x v="0"/>
    <x v="1"/>
    <s v="8470140"/>
    <x v="4"/>
    <s v="428640"/>
    <s v="Events - Awards, prizes &amp; gifts"/>
    <s v="847.8470140.1.428640.000000.847001.200179"/>
    <n v="45999"/>
    <n v="2205"/>
    <m/>
    <m/>
    <m/>
    <m/>
    <m/>
    <m/>
    <n v="44000"/>
    <m/>
    <n v="44000"/>
    <m/>
    <n v="-206"/>
    <m/>
    <x v="1"/>
  </r>
  <r>
    <x v="0"/>
    <x v="1"/>
    <s v="8470140"/>
    <x v="4"/>
    <s v="435519"/>
    <s v="Photography - Consumable materials /Tools"/>
    <s v="847.8470140.1.435519.000000.847001.200179"/>
    <n v="58125"/>
    <m/>
    <m/>
    <m/>
    <m/>
    <m/>
    <m/>
    <m/>
    <n v="60000"/>
    <m/>
    <n v="60000"/>
    <m/>
    <n v="-1875"/>
    <m/>
    <x v="1"/>
  </r>
  <r>
    <x v="0"/>
    <x v="0"/>
    <s v="8470150"/>
    <x v="5"/>
    <s v="420900"/>
    <s v="Legal services"/>
    <s v="847.8470150.1.420900.000000.847001.200179"/>
    <n v="353692"/>
    <n v="41640.21"/>
    <n v="0"/>
    <m/>
    <m/>
    <m/>
    <m/>
    <m/>
    <m/>
    <m/>
    <n v="0"/>
    <m/>
    <n v="312051.78999999998"/>
    <m/>
    <x v="0"/>
  </r>
  <r>
    <x v="0"/>
    <x v="0"/>
    <s v="8470150"/>
    <x v="5"/>
    <s v="426610"/>
    <s v="Computer software licenses-Software License Renewal"/>
    <s v="847.8470150.1.426610.000000.847001.200179"/>
    <n v="25000"/>
    <n v="15000"/>
    <m/>
    <m/>
    <m/>
    <m/>
    <m/>
    <m/>
    <m/>
    <m/>
    <n v="0"/>
    <m/>
    <n v="10000"/>
    <m/>
    <x v="0"/>
  </r>
  <r>
    <x v="0"/>
    <x v="0"/>
    <s v="8470160"/>
    <x v="6"/>
    <s v="420900"/>
    <s v="Legal services"/>
    <s v="847.8470160.1.420900.000000.847001.200179"/>
    <n v="0"/>
    <m/>
    <m/>
    <m/>
    <m/>
    <m/>
    <m/>
    <m/>
    <m/>
    <m/>
    <n v="0"/>
    <m/>
    <n v="0"/>
    <m/>
    <x v="1"/>
  </r>
  <r>
    <x v="0"/>
    <x v="0"/>
    <s v="8470160"/>
    <x v="6"/>
    <s v="425550"/>
    <s v="Conferences, seminars and exhibitions and other events: - Overseas event"/>
    <s v="847.8470160.1.425550.000000.847001.200179"/>
    <n v="37000"/>
    <m/>
    <m/>
    <m/>
    <m/>
    <m/>
    <m/>
    <m/>
    <m/>
    <m/>
    <n v="0"/>
    <m/>
    <n v="37000"/>
    <m/>
    <x v="1"/>
  </r>
  <r>
    <x v="0"/>
    <x v="0"/>
    <s v="8470160"/>
    <x v="6"/>
    <s v="425900"/>
    <s v="Entertainment and hospitality"/>
    <s v="847.8470160.1.425900.000000.847001.200179"/>
    <n v="195000"/>
    <n v="2231.25"/>
    <m/>
    <m/>
    <m/>
    <n v="126400"/>
    <m/>
    <m/>
    <n v="66369"/>
    <m/>
    <n v="192769"/>
    <m/>
    <n v="-0.25"/>
    <m/>
    <x v="1"/>
  </r>
  <r>
    <x v="0"/>
    <x v="0"/>
    <s v="8470160"/>
    <x v="6"/>
    <s v="426610"/>
    <s v="Computer software licenses-Software License Renewal"/>
    <s v="847.8470160.1.426610.000000.847001.200179"/>
    <n v="1"/>
    <m/>
    <n v="1"/>
    <m/>
    <m/>
    <m/>
    <m/>
    <m/>
    <m/>
    <m/>
    <n v="0"/>
    <m/>
    <n v="0"/>
    <m/>
    <x v="1"/>
  </r>
  <r>
    <x v="0"/>
    <x v="0"/>
    <s v="8470160"/>
    <x v="6"/>
    <s v="428090"/>
    <s v="Business Travel - Combined expenses"/>
    <s v="847.8470160.1.428090.000000.847001.200179"/>
    <n v="100000"/>
    <n v="1650"/>
    <m/>
    <m/>
    <m/>
    <m/>
    <m/>
    <m/>
    <m/>
    <m/>
    <n v="0"/>
    <m/>
    <n v="98350"/>
    <m/>
    <x v="1"/>
  </r>
  <r>
    <x v="0"/>
    <x v="0"/>
    <s v="8470160"/>
    <x v="6"/>
    <s v="428640"/>
    <s v="Events - Awards, prizes &amp; gifts"/>
    <s v="847.8470160.1.428640.000000.847001.200179"/>
    <n v="4600"/>
    <m/>
    <m/>
    <m/>
    <m/>
    <m/>
    <m/>
    <m/>
    <n v="4600"/>
    <m/>
    <n v="4600"/>
    <m/>
    <n v="0"/>
    <m/>
    <x v="1"/>
  </r>
  <r>
    <x v="0"/>
    <x v="0"/>
    <s v="8470160"/>
    <x v="6"/>
    <s v="435523"/>
    <s v="Scientific"/>
    <s v="847.8470160.1.435523.000000.847001.200179"/>
    <n v="650000"/>
    <m/>
    <m/>
    <m/>
    <n v="110172"/>
    <n v="367240"/>
    <m/>
    <m/>
    <m/>
    <n v="172588"/>
    <n v="650000"/>
    <m/>
    <n v="0"/>
    <m/>
    <x v="1"/>
  </r>
  <r>
    <x v="0"/>
    <x v="2"/>
    <s v="8470210"/>
    <x v="7"/>
    <s v="420811"/>
    <s v="IT Systems &amp; Support expenses-Application/Systems Operation"/>
    <s v="847.8470210.1.420811.000000.847001.200179"/>
    <n v="10905900"/>
    <m/>
    <m/>
    <m/>
    <m/>
    <m/>
    <m/>
    <m/>
    <m/>
    <m/>
    <n v="0"/>
    <m/>
    <n v="10905900"/>
    <m/>
    <x v="0"/>
  </r>
  <r>
    <x v="0"/>
    <x v="2"/>
    <s v="8470210"/>
    <x v="7"/>
    <s v="420900"/>
    <s v="Legal services"/>
    <s v="847.8470210.1.420900.000000.847001.200179"/>
    <n v="1000000"/>
    <m/>
    <m/>
    <m/>
    <m/>
    <m/>
    <m/>
    <m/>
    <m/>
    <m/>
    <n v="0"/>
    <m/>
    <n v="1000000"/>
    <m/>
    <x v="0"/>
  </r>
  <r>
    <x v="0"/>
    <x v="2"/>
    <s v="8470210"/>
    <x v="7"/>
    <s v="425747"/>
    <s v="Student Accommodation"/>
    <s v="847.8470210.1.425747.000000.847001.200179"/>
    <n v="12350000"/>
    <m/>
    <m/>
    <m/>
    <m/>
    <m/>
    <m/>
    <m/>
    <m/>
    <m/>
    <n v="0"/>
    <m/>
    <n v="12350000"/>
    <m/>
    <x v="0"/>
  </r>
  <r>
    <x v="0"/>
    <x v="2"/>
    <s v="8470210"/>
    <x v="7"/>
    <s v="425749"/>
    <s v="Postgraduate Student Salaries"/>
    <s v="847.8470210.1.425749.000000.847001.200179"/>
    <n v="13348425"/>
    <m/>
    <m/>
    <m/>
    <m/>
    <m/>
    <m/>
    <m/>
    <m/>
    <m/>
    <n v="0"/>
    <m/>
    <n v="13348425"/>
    <m/>
    <x v="0"/>
  </r>
  <r>
    <x v="0"/>
    <x v="2"/>
    <s v="8470210"/>
    <x v="7"/>
    <s v="435523"/>
    <s v="Scientific"/>
    <s v="847.8470210.1.435523.000000.847001.200179"/>
    <n v="9000000"/>
    <m/>
    <m/>
    <m/>
    <m/>
    <m/>
    <m/>
    <m/>
    <m/>
    <m/>
    <n v="0"/>
    <m/>
    <n v="9000000"/>
    <m/>
    <x v="0"/>
  </r>
  <r>
    <x v="0"/>
    <x v="3"/>
    <s v="8470220"/>
    <x v="8"/>
    <s v="420550"/>
    <s v="Academic Advisory Service"/>
    <s v="847.8470220.1.420550.000000.847001.200179"/>
    <n v="26159"/>
    <m/>
    <m/>
    <m/>
    <m/>
    <m/>
    <m/>
    <m/>
    <m/>
    <m/>
    <n v="0"/>
    <m/>
    <n v="26159"/>
    <m/>
    <x v="0"/>
  </r>
  <r>
    <x v="0"/>
    <x v="3"/>
    <s v="8470220"/>
    <x v="8"/>
    <s v="420570"/>
    <s v="Academic Collaborative Partnership Services"/>
    <s v="847.8470220.1.420570.000000.847001.200179"/>
    <n v="185000"/>
    <n v="183640.84"/>
    <n v="0"/>
    <m/>
    <m/>
    <m/>
    <m/>
    <m/>
    <m/>
    <m/>
    <n v="0"/>
    <m/>
    <n v="1359.1600000000035"/>
    <m/>
    <x v="0"/>
  </r>
  <r>
    <x v="0"/>
    <x v="3"/>
    <s v="8470220"/>
    <x v="8"/>
    <s v="421700"/>
    <s v="Standards Certification Services (e.g. ISO)"/>
    <s v="847.8470220.1.421700.000000.847001.200179"/>
    <n v="1337497"/>
    <n v="50006"/>
    <m/>
    <m/>
    <m/>
    <m/>
    <m/>
    <m/>
    <m/>
    <m/>
    <n v="0"/>
    <m/>
    <n v="1287491"/>
    <m/>
    <x v="0"/>
  </r>
  <r>
    <x v="0"/>
    <x v="3"/>
    <s v="8470220"/>
    <x v="8"/>
    <s v="425510"/>
    <s v="Conferences, seminars and exhibitions and other events: - Local Events"/>
    <s v="847.8470220.1.425510.000000.847001.200179"/>
    <n v="1389058"/>
    <n v="39300"/>
    <n v="734600"/>
    <n v="0"/>
    <m/>
    <m/>
    <m/>
    <m/>
    <m/>
    <m/>
    <n v="0"/>
    <m/>
    <n v="615158"/>
    <m/>
    <x v="0"/>
  </r>
  <r>
    <x v="0"/>
    <x v="3"/>
    <s v="8470220"/>
    <x v="8"/>
    <s v="425550"/>
    <s v="Conferences, seminars and exhibitions and other events: - Overseas event"/>
    <s v="847.8470220.1.425550.000000.847001.200179"/>
    <n v="13790"/>
    <m/>
    <m/>
    <m/>
    <m/>
    <m/>
    <m/>
    <m/>
    <m/>
    <m/>
    <n v="0"/>
    <m/>
    <n v="13790"/>
    <m/>
    <x v="0"/>
  </r>
  <r>
    <x v="0"/>
    <x v="3"/>
    <s v="8470220"/>
    <x v="8"/>
    <s v="425900"/>
    <s v="Entertainment and hospitality"/>
    <s v="847.8470220.1.425900.000000.847001.200179"/>
    <n v="21378"/>
    <n v="8751.35"/>
    <n v="12035"/>
    <m/>
    <m/>
    <m/>
    <m/>
    <m/>
    <m/>
    <m/>
    <n v="0"/>
    <m/>
    <n v="591.64999999999964"/>
    <m/>
    <x v="0"/>
  </r>
  <r>
    <x v="0"/>
    <x v="3"/>
    <s v="8470220"/>
    <x v="8"/>
    <s v="428090"/>
    <s v="Business Travel - Combined expenses"/>
    <s v="847.8470220.1.428090.000000.847001.200179"/>
    <n v="551900"/>
    <n v="7269.52"/>
    <m/>
    <m/>
    <m/>
    <m/>
    <m/>
    <m/>
    <m/>
    <m/>
    <n v="0"/>
    <m/>
    <n v="544630.48"/>
    <m/>
    <x v="0"/>
  </r>
  <r>
    <x v="0"/>
    <x v="3"/>
    <s v="8470220"/>
    <x v="8"/>
    <s v="428640"/>
    <s v="Events - Awards, prizes &amp; gifts"/>
    <s v="847.8470220.1.428640.000000.847001.200179"/>
    <n v="261820"/>
    <n v="5503"/>
    <n v="0"/>
    <n v="0"/>
    <m/>
    <m/>
    <m/>
    <m/>
    <m/>
    <m/>
    <n v="0"/>
    <m/>
    <n v="256317"/>
    <m/>
    <x v="0"/>
  </r>
  <r>
    <x v="0"/>
    <x v="3"/>
    <s v="8470220"/>
    <x v="8"/>
    <s v="428640"/>
    <s v="Events - Awards, prizes &amp; gifts"/>
    <s v="847.8470220.1.428640.000000.847020.050589"/>
    <n v="2000000"/>
    <n v="25200"/>
    <m/>
    <m/>
    <m/>
    <m/>
    <m/>
    <m/>
    <m/>
    <m/>
    <n v="0"/>
    <m/>
    <n v="1974800"/>
    <m/>
    <x v="0"/>
  </r>
  <r>
    <x v="0"/>
    <x v="3"/>
    <s v="8470220"/>
    <x v="8"/>
    <s v="432205"/>
    <s v="Maintenance: Computers and peripherals-End user and Infrastructure components maintenance and support"/>
    <s v="847.8470220.1.432205.000000.847001.200179"/>
    <n v="4648"/>
    <m/>
    <m/>
    <m/>
    <m/>
    <m/>
    <m/>
    <m/>
    <m/>
    <m/>
    <n v="0"/>
    <m/>
    <n v="4648"/>
    <m/>
    <x v="0"/>
  </r>
  <r>
    <x v="0"/>
    <x v="3"/>
    <s v="8470220"/>
    <x v="8"/>
    <s v="435350"/>
    <s v="Academic Publications"/>
    <s v="847.8470220.1.435350.000000.847020.050589"/>
    <n v="3000000"/>
    <n v="158920.24"/>
    <m/>
    <m/>
    <m/>
    <m/>
    <m/>
    <m/>
    <m/>
    <m/>
    <n v="0"/>
    <m/>
    <n v="2841079.76"/>
    <m/>
    <x v="0"/>
  </r>
  <r>
    <x v="0"/>
    <x v="3"/>
    <s v="8470220"/>
    <x v="8"/>
    <s v="435508"/>
    <s v="Laboratory - Scientific"/>
    <s v="847.8470220.1.435508.000000.847001.200179"/>
    <n v="300000"/>
    <n v="19660"/>
    <n v="9747"/>
    <n v="70051"/>
    <m/>
    <m/>
    <m/>
    <m/>
    <m/>
    <m/>
    <n v="0"/>
    <m/>
    <n v="200542"/>
    <m/>
    <x v="0"/>
  </r>
  <r>
    <x v="0"/>
    <x v="4"/>
    <s v="8470230"/>
    <x v="9"/>
    <s v="420550"/>
    <s v="Academic Advisory Service"/>
    <s v="847.8470230.1.420550.000000.847001.200179"/>
    <n v="193666"/>
    <n v="178893.98"/>
    <m/>
    <m/>
    <n v="52704"/>
    <n v="52704"/>
    <n v="0"/>
    <n v="0"/>
    <n v="0"/>
    <n v="255000"/>
    <n v="360408"/>
    <s v="Honorarium expenses for S23, SM23 and F23 external examiners. Estimated 3 in-person PhD defenses in F23."/>
    <n v="-345635.98"/>
    <s v="Budget shortfall."/>
    <x v="1"/>
  </r>
  <r>
    <x v="0"/>
    <x v="4"/>
    <s v="8470230"/>
    <x v="9"/>
    <s v="425510"/>
    <s v="Conferences, seminars and exhibitions and other events: - Local Events"/>
    <s v="847.8470230.1.425510.000000.847001.200179"/>
    <n v="9463"/>
    <n v="4980"/>
    <m/>
    <m/>
    <n v="0"/>
    <n v="897"/>
    <n v="897"/>
    <n v="897"/>
    <n v="897"/>
    <n v="897"/>
    <n v="4485"/>
    <s v="Students apply for conference on &quot;as needed&quot; basis."/>
    <n v="-2"/>
    <s v="Budget shortfall likely."/>
    <x v="1"/>
  </r>
  <r>
    <x v="0"/>
    <x v="4"/>
    <s v="8470230"/>
    <x v="9"/>
    <s v="425550"/>
    <s v="Conferences, seminars and exhibitions and other events: - Overseas event"/>
    <s v="847.8470230.1.425550.000000.847001.200179"/>
    <n v="333200"/>
    <n v="293587.63"/>
    <m/>
    <m/>
    <n v="0"/>
    <n v="7922"/>
    <n v="7922"/>
    <n v="7922"/>
    <n v="7922"/>
    <n v="7922"/>
    <n v="39610"/>
    <s v="Students apply for conference on &quot;as needed&quot; basis."/>
    <n v="2.3699999999953434"/>
    <s v="Budget shortfall likely."/>
    <x v="1"/>
  </r>
  <r>
    <x v="0"/>
    <x v="4"/>
    <s v="8470230"/>
    <x v="9"/>
    <s v="425744"/>
    <s v="Student medical insurance"/>
    <s v="847.8470230.1.425744.000000.847001.200179"/>
    <n v="3412600"/>
    <n v="3172976.15"/>
    <m/>
    <m/>
    <n v="0"/>
    <n v="0"/>
    <n v="59906"/>
    <n v="59906"/>
    <n v="59906"/>
    <n v="59906"/>
    <n v="239624"/>
    <s v="New insurance/renewal for students sponsored by KU on &quot;as needed&quot; basis."/>
    <n v="-0.14999999990686774"/>
    <m/>
    <x v="1"/>
  </r>
  <r>
    <x v="0"/>
    <x v="4"/>
    <s v="8470230"/>
    <x v="9"/>
    <s v="425745"/>
    <s v="Student relocation &amp; travel exps"/>
    <s v="847.8470230.1.425745.000000.847001.200179"/>
    <n v="1306598"/>
    <n v="1266670.72"/>
    <m/>
    <m/>
    <n v="0"/>
    <n v="150000"/>
    <n v="114000"/>
    <n v="0"/>
    <n v="555000"/>
    <n v="0"/>
    <n v="819000"/>
    <s v="185 students will be paid travel allowance in F23 / 103 Mobilization ticket for new intake students F23/ 38 CMDRTS S23 travel allowance."/>
    <n v="-779072.72"/>
    <s v="Budget shortfall."/>
    <x v="1"/>
  </r>
  <r>
    <x v="0"/>
    <x v="4"/>
    <s v="8470230"/>
    <x v="9"/>
    <s v="425749"/>
    <s v="Postgraduate Student Salaries"/>
    <s v="847.8470230.1.425749.000000.847001.200179"/>
    <n v="159456650"/>
    <n v="69743393.230000004"/>
    <m/>
    <m/>
    <n v="11000000"/>
    <n v="11050000"/>
    <n v="14500000"/>
    <n v="14500000"/>
    <n v="14500000"/>
    <n v="14500000"/>
    <n v="80050000"/>
    <s v="Monthly stipend/pension for current and new F23 students."/>
    <n v="9663256.7699999958"/>
    <s v="F23 admission cycle is ongoing, number of students on new scholarship scheme is estimated."/>
    <x v="1"/>
  </r>
  <r>
    <x v="0"/>
    <x v="4"/>
    <s v="8470230"/>
    <x v="9"/>
    <s v="425762"/>
    <s v="Student Internship"/>
    <s v="847.8470230.1.425762.000000.847001.200179"/>
    <n v="197200"/>
    <n v="191965.04"/>
    <m/>
    <m/>
    <n v="0"/>
    <n v="1047"/>
    <n v="1047"/>
    <n v="1047"/>
    <n v="1047"/>
    <n v="1047"/>
    <n v="5235"/>
    <s v="Students apply for internship on &quot;as needed&quot; basis."/>
    <n v="-4.0000000008149073E-2"/>
    <s v="Budget shortfall likely."/>
    <x v="1"/>
  </r>
  <r>
    <x v="0"/>
    <x v="4"/>
    <s v="8470230"/>
    <x v="9"/>
    <s v="425900"/>
    <s v="Entertainment and hospitality"/>
    <s v="847.8470230.1.425900.000000.847001.200179"/>
    <n v="20000"/>
    <n v="2107.25"/>
    <m/>
    <m/>
    <n v="0"/>
    <n v="0"/>
    <n v="0"/>
    <n v="0"/>
    <n v="17107"/>
    <n v="786"/>
    <n v="17893"/>
    <s v="Event for PG students (Gathering). Coffee break/lunch for 3 in-person PhD defenses in F23."/>
    <n v="-0.25"/>
    <m/>
    <x v="1"/>
  </r>
  <r>
    <x v="0"/>
    <x v="5"/>
    <s v="8470305"/>
    <x v="10"/>
    <s v="420550"/>
    <s v="Academic Advisory Service"/>
    <s v="847.8470305.1.420550.000000.847001.200179"/>
    <m/>
    <n v="0"/>
    <m/>
    <m/>
    <m/>
    <m/>
    <m/>
    <m/>
    <m/>
    <m/>
    <n v="0"/>
    <m/>
    <n v="0"/>
    <m/>
    <x v="0"/>
  </r>
  <r>
    <x v="0"/>
    <x v="5"/>
    <s v="8470305"/>
    <x v="10"/>
    <s v="425510"/>
    <s v="Conferences, seminars and exhibitions and other events: - Local Events"/>
    <s v="847.8470305.1.425510.000000.847001.200179"/>
    <n v="9100"/>
    <n v="8807.6"/>
    <m/>
    <m/>
    <m/>
    <m/>
    <m/>
    <m/>
    <m/>
    <m/>
    <n v="0"/>
    <m/>
    <n v="292.39999999999964"/>
    <m/>
    <x v="0"/>
  </r>
  <r>
    <x v="0"/>
    <x v="5"/>
    <s v="8470305"/>
    <x v="10"/>
    <s v="425760"/>
    <s v="Student activities &amp; field trip expenses"/>
    <s v="847.8470305.1.425760.000000.847001.200179"/>
    <n v="30000"/>
    <m/>
    <m/>
    <m/>
    <m/>
    <m/>
    <m/>
    <m/>
    <m/>
    <m/>
    <n v="0"/>
    <m/>
    <n v="30000"/>
    <m/>
    <x v="0"/>
  </r>
  <r>
    <x v="0"/>
    <x v="5"/>
    <s v="8470305"/>
    <x v="10"/>
    <s v="425763"/>
    <s v="Student Project Expenses"/>
    <s v="847.8470305.1.425763.000000.847001.200179"/>
    <n v="190000"/>
    <n v="80000"/>
    <m/>
    <m/>
    <m/>
    <m/>
    <m/>
    <m/>
    <m/>
    <m/>
    <n v="0"/>
    <m/>
    <n v="110000"/>
    <m/>
    <x v="0"/>
  </r>
  <r>
    <x v="0"/>
    <x v="5"/>
    <s v="8470305"/>
    <x v="10"/>
    <s v="425770"/>
    <s v="Academic Missions - Combined expenses"/>
    <s v="847.8470305.1.425770.000000.847001.200179"/>
    <n v="144895"/>
    <m/>
    <m/>
    <m/>
    <m/>
    <m/>
    <m/>
    <m/>
    <m/>
    <m/>
    <n v="0"/>
    <m/>
    <n v="144895"/>
    <m/>
    <x v="0"/>
  </r>
  <r>
    <x v="0"/>
    <x v="5"/>
    <s v="8470305"/>
    <x v="10"/>
    <s v="425900"/>
    <s v="Entertainment and hospitality"/>
    <s v="847.8470305.1.425900.000000.847001.200179"/>
    <n v="20000"/>
    <n v="19976.25"/>
    <m/>
    <m/>
    <m/>
    <m/>
    <m/>
    <m/>
    <m/>
    <m/>
    <n v="0"/>
    <m/>
    <n v="23.75"/>
    <m/>
    <x v="0"/>
  </r>
  <r>
    <x v="0"/>
    <x v="5"/>
    <s v="8470305"/>
    <x v="10"/>
    <s v="426610"/>
    <s v="Computer software licenses-Software License Renewal"/>
    <s v="847.8470305.1.426610.000000.847001.200179"/>
    <n v="46943"/>
    <n v="18769.03"/>
    <n v="0"/>
    <n v="4500"/>
    <m/>
    <m/>
    <m/>
    <m/>
    <m/>
    <m/>
    <n v="0"/>
    <m/>
    <n v="23673.97"/>
    <m/>
    <x v="0"/>
  </r>
  <r>
    <x v="0"/>
    <x v="5"/>
    <s v="8470305"/>
    <x v="10"/>
    <s v="428090"/>
    <s v="Business Travel - Combined expenses"/>
    <s v="847.8470305.1.428090.000000.847001.200179"/>
    <n v="100000"/>
    <m/>
    <m/>
    <m/>
    <m/>
    <m/>
    <m/>
    <m/>
    <m/>
    <m/>
    <n v="0"/>
    <m/>
    <n v="100000"/>
    <m/>
    <x v="0"/>
  </r>
  <r>
    <x v="0"/>
    <x v="5"/>
    <s v="8470305"/>
    <x v="10"/>
    <s v="432209"/>
    <s v="Laboratory Equipment maintenance"/>
    <s v="847.8470305.1.432209.000000.847001.200179"/>
    <n v="43796"/>
    <m/>
    <n v="0"/>
    <n v="3550"/>
    <m/>
    <m/>
    <m/>
    <m/>
    <m/>
    <m/>
    <n v="0"/>
    <m/>
    <n v="40246"/>
    <m/>
    <x v="0"/>
  </r>
  <r>
    <x v="0"/>
    <x v="5"/>
    <s v="8470305"/>
    <x v="10"/>
    <s v="435350"/>
    <s v="Academic Publications"/>
    <s v="847.8470305.1.435350.000000.847001.200179"/>
    <n v="83040"/>
    <n v="18144.62"/>
    <m/>
    <m/>
    <m/>
    <m/>
    <m/>
    <m/>
    <m/>
    <m/>
    <n v="0"/>
    <m/>
    <n v="64895.380000000005"/>
    <m/>
    <x v="0"/>
  </r>
  <r>
    <x v="0"/>
    <x v="5"/>
    <s v="8470305"/>
    <x v="10"/>
    <s v="435508"/>
    <s v="Laboratory - Scientific"/>
    <s v="847.8470305.1.435508.000000.847001.200179"/>
    <n v="19087"/>
    <n v="12250"/>
    <n v="0"/>
    <n v="0"/>
    <m/>
    <m/>
    <m/>
    <m/>
    <m/>
    <m/>
    <n v="0"/>
    <m/>
    <n v="6837"/>
    <m/>
    <x v="0"/>
  </r>
  <r>
    <x v="0"/>
    <x v="5"/>
    <s v="8470310"/>
    <x v="11"/>
    <s v="420550"/>
    <s v="Academic Advisory Service"/>
    <s v="847.8470310.1.420550.000000.847001.200179"/>
    <n v="1610"/>
    <m/>
    <m/>
    <m/>
    <m/>
    <m/>
    <m/>
    <m/>
    <m/>
    <m/>
    <n v="0"/>
    <m/>
    <n v="1610"/>
    <m/>
    <x v="0"/>
  </r>
  <r>
    <x v="0"/>
    <x v="5"/>
    <s v="8470310"/>
    <x v="11"/>
    <s v="425510"/>
    <s v="Conferences, seminars and exhibitions and other events: - Local Events"/>
    <s v="847.8470310.1.425510.000000.847001.200179"/>
    <n v="5918"/>
    <n v="264.60000000000002"/>
    <m/>
    <m/>
    <m/>
    <m/>
    <m/>
    <m/>
    <m/>
    <m/>
    <n v="0"/>
    <m/>
    <n v="5653.4"/>
    <m/>
    <x v="0"/>
  </r>
  <r>
    <x v="0"/>
    <x v="5"/>
    <s v="8470310"/>
    <x v="11"/>
    <s v="425760"/>
    <s v="Student activities &amp; field trip expenses"/>
    <s v="847.8470310.1.425760.000000.847001.200179"/>
    <n v="103514"/>
    <n v="1200"/>
    <m/>
    <m/>
    <m/>
    <m/>
    <m/>
    <m/>
    <m/>
    <m/>
    <n v="0"/>
    <m/>
    <n v="102314"/>
    <m/>
    <x v="0"/>
  </r>
  <r>
    <x v="0"/>
    <x v="5"/>
    <s v="8470310"/>
    <x v="11"/>
    <s v="425763"/>
    <s v="Student Project Expenses"/>
    <s v="847.8470310.1.425763.000000.847001.200179"/>
    <n v="268594"/>
    <n v="205884.03"/>
    <m/>
    <m/>
    <m/>
    <m/>
    <m/>
    <m/>
    <m/>
    <m/>
    <n v="0"/>
    <m/>
    <n v="62709.97"/>
    <m/>
    <x v="0"/>
  </r>
  <r>
    <x v="0"/>
    <x v="5"/>
    <s v="8470310"/>
    <x v="11"/>
    <s v="425770"/>
    <s v="Academic Missions - Combined expenses"/>
    <s v="847.8470310.1.425770.000000.847001.200179"/>
    <n v="130689"/>
    <n v="30145.47"/>
    <m/>
    <m/>
    <m/>
    <m/>
    <m/>
    <m/>
    <m/>
    <m/>
    <n v="0"/>
    <m/>
    <n v="100543.53"/>
    <m/>
    <x v="0"/>
  </r>
  <r>
    <x v="0"/>
    <x v="5"/>
    <s v="8470310"/>
    <x v="11"/>
    <s v="425900"/>
    <s v="Entertainment and hospitality"/>
    <s v="847.8470310.1.425900.000000.847001.200179"/>
    <n v="1360"/>
    <m/>
    <m/>
    <m/>
    <m/>
    <m/>
    <m/>
    <m/>
    <m/>
    <m/>
    <n v="0"/>
    <m/>
    <n v="1360"/>
    <m/>
    <x v="0"/>
  </r>
  <r>
    <x v="0"/>
    <x v="5"/>
    <s v="8470310"/>
    <x v="11"/>
    <s v="426610"/>
    <s v="Computer software licenses-Software License Renewal"/>
    <s v="847.8470310.1.426610.000000.847001.200179"/>
    <n v="8896"/>
    <n v="792.62"/>
    <n v="0"/>
    <n v="5436.04"/>
    <m/>
    <m/>
    <m/>
    <m/>
    <m/>
    <m/>
    <n v="0"/>
    <m/>
    <n v="2667.34"/>
    <m/>
    <x v="0"/>
  </r>
  <r>
    <x v="0"/>
    <x v="5"/>
    <s v="8470310"/>
    <x v="11"/>
    <s v="435350"/>
    <s v="Academic Publications"/>
    <s v="847.8470310.1.435350.000000.847001.200179"/>
    <n v="78000"/>
    <n v="11100.87"/>
    <m/>
    <m/>
    <m/>
    <m/>
    <m/>
    <m/>
    <m/>
    <m/>
    <n v="0"/>
    <m/>
    <n v="66899.13"/>
    <m/>
    <x v="0"/>
  </r>
  <r>
    <x v="0"/>
    <x v="5"/>
    <s v="8470310"/>
    <x v="11"/>
    <s v="435508"/>
    <s v="Laboratory - Scientific"/>
    <s v="847.8470310.1.435508.000000.847001.200179"/>
    <n v="38173"/>
    <n v="4978.3500000000004"/>
    <n v="0"/>
    <n v="24944"/>
    <m/>
    <m/>
    <m/>
    <m/>
    <m/>
    <m/>
    <n v="0"/>
    <m/>
    <n v="8250.6500000000015"/>
    <m/>
    <x v="0"/>
  </r>
  <r>
    <x v="0"/>
    <x v="5"/>
    <s v="8470315"/>
    <x v="12"/>
    <s v="420550"/>
    <s v="Academic Advisory Service"/>
    <s v="847.8470315.1.420550.000000.847001.200179"/>
    <n v="2363"/>
    <m/>
    <m/>
    <m/>
    <m/>
    <m/>
    <m/>
    <m/>
    <m/>
    <m/>
    <n v="0"/>
    <m/>
    <n v="2363"/>
    <m/>
    <x v="0"/>
  </r>
  <r>
    <x v="0"/>
    <x v="5"/>
    <s v="8470315"/>
    <x v="12"/>
    <s v="425510"/>
    <s v="Conferences, seminars and exhibitions and other events: - Local Events"/>
    <s v="847.8470315.1.425510.000000.847001.200179"/>
    <n v="6712"/>
    <n v="6712"/>
    <m/>
    <m/>
    <m/>
    <m/>
    <m/>
    <m/>
    <m/>
    <m/>
    <n v="0"/>
    <m/>
    <n v="0"/>
    <m/>
    <x v="0"/>
  </r>
  <r>
    <x v="0"/>
    <x v="5"/>
    <s v="8470315"/>
    <x v="12"/>
    <s v="425763"/>
    <s v="Student Project Expenses"/>
    <s v="847.8470315.1.425763.000000.847001.200179"/>
    <n v="107045"/>
    <m/>
    <m/>
    <m/>
    <m/>
    <m/>
    <m/>
    <m/>
    <m/>
    <m/>
    <n v="0"/>
    <m/>
    <n v="107045"/>
    <m/>
    <x v="0"/>
  </r>
  <r>
    <x v="0"/>
    <x v="5"/>
    <s v="8470315"/>
    <x v="12"/>
    <s v="425770"/>
    <s v="Academic Missions - Combined expenses"/>
    <s v="847.8470315.1.425770.000000.847001.200179"/>
    <n v="198383"/>
    <n v="70137.11"/>
    <m/>
    <m/>
    <m/>
    <m/>
    <m/>
    <m/>
    <m/>
    <m/>
    <n v="0"/>
    <m/>
    <n v="128245.89"/>
    <m/>
    <x v="0"/>
  </r>
  <r>
    <x v="0"/>
    <x v="5"/>
    <s v="8470315"/>
    <x v="12"/>
    <s v="425900"/>
    <s v="Entertainment and hospitality"/>
    <s v="847.8470315.1.425900.000000.847001.200179"/>
    <n v="3072"/>
    <n v="2388.75"/>
    <m/>
    <m/>
    <m/>
    <m/>
    <m/>
    <m/>
    <m/>
    <m/>
    <n v="0"/>
    <m/>
    <n v="683.25"/>
    <m/>
    <x v="0"/>
  </r>
  <r>
    <x v="0"/>
    <x v="5"/>
    <s v="8470315"/>
    <x v="12"/>
    <s v="426610"/>
    <s v="Computer software licenses-Software License Renewal"/>
    <s v="847.8470315.1.426610.000000.847001.200179"/>
    <n v="12742"/>
    <n v="3386.51"/>
    <m/>
    <m/>
    <m/>
    <m/>
    <m/>
    <m/>
    <m/>
    <m/>
    <n v="0"/>
    <m/>
    <n v="9355.49"/>
    <m/>
    <x v="0"/>
  </r>
  <r>
    <x v="0"/>
    <x v="5"/>
    <s v="8470315"/>
    <x v="12"/>
    <s v="428090"/>
    <s v="Business Travel - Combined expenses"/>
    <s v="847.8470315.1.428090.000000.847001.200179"/>
    <n v="10400"/>
    <m/>
    <m/>
    <m/>
    <m/>
    <m/>
    <m/>
    <m/>
    <m/>
    <m/>
    <n v="0"/>
    <m/>
    <n v="10400"/>
    <m/>
    <x v="0"/>
  </r>
  <r>
    <x v="0"/>
    <x v="5"/>
    <s v="8470315"/>
    <x v="12"/>
    <s v="432209"/>
    <s v="Laboratory Equipment maintenance"/>
    <s v="847.8470315.1.432209.000000.847001.200179"/>
    <n v="103144"/>
    <n v="16000"/>
    <n v="-26517.8"/>
    <n v="111157.8"/>
    <m/>
    <m/>
    <m/>
    <m/>
    <m/>
    <m/>
    <n v="0"/>
    <m/>
    <n v="2504"/>
    <m/>
    <x v="0"/>
  </r>
  <r>
    <x v="0"/>
    <x v="5"/>
    <s v="8470315"/>
    <x v="12"/>
    <s v="435350"/>
    <s v="Academic Publications"/>
    <s v="847.8470315.1.435350.000000.847001.200179"/>
    <n v="42246"/>
    <n v="16669.650000000001"/>
    <m/>
    <m/>
    <m/>
    <m/>
    <m/>
    <m/>
    <m/>
    <m/>
    <n v="0"/>
    <m/>
    <n v="25576.35"/>
    <m/>
    <x v="0"/>
  </r>
  <r>
    <x v="0"/>
    <x v="5"/>
    <s v="8470315"/>
    <x v="12"/>
    <s v="435508"/>
    <s v="Laboratory - Scientific"/>
    <s v="847.8470315.1.435508.000000.847001.200179"/>
    <n v="93000"/>
    <n v="12491.38"/>
    <n v="-1191.78000000001"/>
    <n v="34332.07"/>
    <m/>
    <m/>
    <m/>
    <m/>
    <m/>
    <m/>
    <n v="0"/>
    <m/>
    <n v="47368.330000000009"/>
    <m/>
    <x v="0"/>
  </r>
  <r>
    <x v="0"/>
    <x v="5"/>
    <s v="8470320"/>
    <x v="13"/>
    <s v="425510"/>
    <s v="Conferences, seminars and exhibitions and other events: - Local Events"/>
    <s v="847.8470320.1.425510.000000.847001.200179"/>
    <n v="13650"/>
    <n v="11094.75"/>
    <m/>
    <m/>
    <m/>
    <m/>
    <m/>
    <m/>
    <m/>
    <m/>
    <n v="0"/>
    <m/>
    <n v="2555.25"/>
    <m/>
    <x v="0"/>
  </r>
  <r>
    <x v="0"/>
    <x v="5"/>
    <s v="8470320"/>
    <x v="13"/>
    <s v="425760"/>
    <s v="Student activities &amp; field trip expenses"/>
    <s v="847.8470320.1.425760.000000.847001.200179"/>
    <n v="5390"/>
    <m/>
    <m/>
    <m/>
    <m/>
    <m/>
    <m/>
    <m/>
    <m/>
    <m/>
    <n v="0"/>
    <m/>
    <n v="5390"/>
    <m/>
    <x v="0"/>
  </r>
  <r>
    <x v="0"/>
    <x v="5"/>
    <s v="8470320"/>
    <x v="13"/>
    <s v="425763"/>
    <s v="Student Project Expenses"/>
    <s v="847.8470320.1.425763.000000.847001.200179"/>
    <n v="45000"/>
    <n v="30000"/>
    <n v="0"/>
    <n v="12209.05"/>
    <m/>
    <m/>
    <m/>
    <m/>
    <m/>
    <m/>
    <n v="0"/>
    <m/>
    <n v="2790.9500000000007"/>
    <m/>
    <x v="0"/>
  </r>
  <r>
    <x v="0"/>
    <x v="5"/>
    <s v="8470320"/>
    <x v="13"/>
    <s v="425770"/>
    <s v="Academic Missions - Combined expenses"/>
    <s v="847.8470320.1.425770.000000.847001.200179"/>
    <n v="236600"/>
    <n v="103039.97"/>
    <m/>
    <m/>
    <m/>
    <m/>
    <m/>
    <m/>
    <m/>
    <m/>
    <n v="0"/>
    <m/>
    <n v="133560.03"/>
    <m/>
    <x v="0"/>
  </r>
  <r>
    <x v="0"/>
    <x v="5"/>
    <s v="8470320"/>
    <x v="13"/>
    <s v="425900"/>
    <s v="Entertainment and hospitality"/>
    <s v="847.8470320.1.425900.000000.847001.200179"/>
    <n v="4750"/>
    <n v="2415"/>
    <m/>
    <m/>
    <m/>
    <m/>
    <m/>
    <m/>
    <m/>
    <m/>
    <n v="0"/>
    <m/>
    <n v="2335"/>
    <m/>
    <x v="0"/>
  </r>
  <r>
    <x v="0"/>
    <x v="5"/>
    <s v="8470320"/>
    <x v="13"/>
    <s v="426610"/>
    <s v="Computer software licenses-Software License Renewal"/>
    <s v="847.8470320.1.426610.000000.847001.200179"/>
    <n v="60384"/>
    <n v="26776.17"/>
    <n v="6250"/>
    <n v="7026.45"/>
    <m/>
    <m/>
    <m/>
    <m/>
    <m/>
    <m/>
    <n v="0"/>
    <m/>
    <n v="20331.38"/>
    <m/>
    <x v="0"/>
  </r>
  <r>
    <x v="0"/>
    <x v="5"/>
    <s v="8470320"/>
    <x v="13"/>
    <s v="435350"/>
    <s v="Academic Publications"/>
    <s v="847.8470320.1.435350.000000.847001.200179"/>
    <n v="35857"/>
    <n v="6374"/>
    <m/>
    <m/>
    <m/>
    <m/>
    <m/>
    <m/>
    <m/>
    <m/>
    <n v="0"/>
    <m/>
    <n v="29483"/>
    <m/>
    <x v="0"/>
  </r>
  <r>
    <x v="0"/>
    <x v="5"/>
    <s v="8470320"/>
    <x v="13"/>
    <s v="435508"/>
    <s v="Laboratory - Scientific"/>
    <s v="847.8470320.1.435508.000000.847001.200179"/>
    <n v="43050"/>
    <n v="6473.28"/>
    <n v="5001.3"/>
    <n v="2261.84"/>
    <m/>
    <m/>
    <m/>
    <m/>
    <m/>
    <m/>
    <n v="0"/>
    <m/>
    <n v="29313.58"/>
    <m/>
    <x v="0"/>
  </r>
  <r>
    <x v="0"/>
    <x v="5"/>
    <s v="8470320"/>
    <x v="13"/>
    <s v="436110"/>
    <s v="Printing supplies"/>
    <s v="847.8470320.1.436110.000000.847001.200179"/>
    <n v="10850"/>
    <m/>
    <m/>
    <m/>
    <m/>
    <m/>
    <m/>
    <m/>
    <m/>
    <m/>
    <n v="0"/>
    <m/>
    <n v="10850"/>
    <m/>
    <x v="0"/>
  </r>
  <r>
    <x v="0"/>
    <x v="5"/>
    <s v="8470320"/>
    <x v="13"/>
    <s v="436600"/>
    <s v="Training/Teaching equipment and other educational aid"/>
    <s v="847.8470320.1.436600.000000.847001.200179"/>
    <n v="5175"/>
    <m/>
    <m/>
    <m/>
    <m/>
    <m/>
    <m/>
    <m/>
    <m/>
    <m/>
    <n v="0"/>
    <m/>
    <n v="5175"/>
    <m/>
    <x v="0"/>
  </r>
  <r>
    <x v="0"/>
    <x v="5"/>
    <s v="8470325"/>
    <x v="14"/>
    <s v="425510"/>
    <s v="Conferences, seminars and exhibitions and other events: - Local Events"/>
    <s v="847.8470325.1.425510.000000.847001.200179"/>
    <n v="3003"/>
    <n v="1218.3599999999999"/>
    <m/>
    <m/>
    <m/>
    <m/>
    <m/>
    <m/>
    <n v="1200"/>
    <n v="550"/>
    <n v="1750"/>
    <m/>
    <n v="34.6400000000001"/>
    <m/>
    <x v="1"/>
  </r>
  <r>
    <x v="0"/>
    <x v="5"/>
    <s v="8470325"/>
    <x v="14"/>
    <s v="425763"/>
    <s v="Student Project Expenses"/>
    <s v="847.8470325.1.425763.000000.847001.200179"/>
    <n v="45000"/>
    <n v="11211.13"/>
    <m/>
    <m/>
    <m/>
    <m/>
    <m/>
    <n v="10000"/>
    <n v="10000"/>
    <n v="13700"/>
    <n v="33700"/>
    <m/>
    <n v="88.870000000002619"/>
    <m/>
    <x v="1"/>
  </r>
  <r>
    <x v="0"/>
    <x v="5"/>
    <s v="8470325"/>
    <x v="14"/>
    <s v="425770"/>
    <s v="Academic Missions - Combined expenses"/>
    <s v="847.8470325.1.425770.000000.847001.200179"/>
    <n v="264435"/>
    <n v="171931.63"/>
    <n v="0"/>
    <m/>
    <m/>
    <m/>
    <m/>
    <n v="20000"/>
    <n v="36000"/>
    <n v="36500"/>
    <n v="92500"/>
    <m/>
    <n v="3.3699999999953434"/>
    <m/>
    <x v="1"/>
  </r>
  <r>
    <x v="0"/>
    <x v="5"/>
    <s v="8470325"/>
    <x v="14"/>
    <s v="425900"/>
    <s v="Entertainment and hospitality"/>
    <s v="847.8470325.1.425900.000000.847001.200179"/>
    <n v="9600"/>
    <n v="472.5"/>
    <m/>
    <m/>
    <m/>
    <m/>
    <n v="2500"/>
    <n v="2500"/>
    <n v="2500"/>
    <n v="1600"/>
    <n v="9100"/>
    <m/>
    <n v="27.5"/>
    <m/>
    <x v="1"/>
  </r>
  <r>
    <x v="0"/>
    <x v="5"/>
    <s v="8470325"/>
    <x v="14"/>
    <s v="426610"/>
    <s v="Computer software licenses-Software License Renewal"/>
    <s v="847.8470325.1.426610.000000.847001.200179"/>
    <n v="24683"/>
    <n v="6362.36"/>
    <n v="7376.24"/>
    <n v="8992"/>
    <m/>
    <m/>
    <m/>
    <m/>
    <m/>
    <n v="1900"/>
    <n v="1900"/>
    <m/>
    <n v="52.399999999999636"/>
    <m/>
    <x v="1"/>
  </r>
  <r>
    <x v="0"/>
    <x v="5"/>
    <s v="8470325"/>
    <x v="14"/>
    <s v="432209"/>
    <s v="Laboratory Equipment maintenance"/>
    <s v="847.8470325.1.432209.000000.847001.200179"/>
    <n v="177182"/>
    <n v="7755"/>
    <n v="-7755"/>
    <n v="8800"/>
    <m/>
    <m/>
    <m/>
    <n v="40000"/>
    <n v="60000"/>
    <n v="68300"/>
    <n v="168300"/>
    <m/>
    <n v="82"/>
    <m/>
    <x v="1"/>
  </r>
  <r>
    <x v="0"/>
    <x v="5"/>
    <s v="8470325"/>
    <x v="14"/>
    <s v="435350"/>
    <s v="Academic Publications"/>
    <s v="847.8470325.1.435350.000000.847001.200179"/>
    <n v="38400"/>
    <n v="15676.44"/>
    <m/>
    <m/>
    <m/>
    <m/>
    <m/>
    <n v="12000"/>
    <m/>
    <n v="10700"/>
    <n v="22700"/>
    <m/>
    <n v="23.559999999997672"/>
    <m/>
    <x v="1"/>
  </r>
  <r>
    <x v="0"/>
    <x v="5"/>
    <s v="8470325"/>
    <x v="14"/>
    <s v="435508"/>
    <s v="Laboratory - Scientific"/>
    <s v="847.8470325.1.435508.000000.847001.200179"/>
    <n v="65766"/>
    <n v="14773.8"/>
    <n v="-13455"/>
    <n v="33229.800000000003"/>
    <m/>
    <m/>
    <n v="10000"/>
    <n v="10000"/>
    <m/>
    <n v="11200"/>
    <n v="31200"/>
    <m/>
    <n v="17.399999999994179"/>
    <m/>
    <x v="1"/>
  </r>
  <r>
    <x v="0"/>
    <x v="5"/>
    <s v="8470325"/>
    <x v="14"/>
    <s v="436600"/>
    <s v="Training/Teaching equipment and other educational aid"/>
    <s v="847.8470325.1.436600.000000.847001.200179"/>
    <n v="0"/>
    <m/>
    <m/>
    <m/>
    <m/>
    <m/>
    <m/>
    <m/>
    <m/>
    <m/>
    <n v="0"/>
    <m/>
    <n v="0"/>
    <m/>
    <x v="0"/>
  </r>
  <r>
    <x v="0"/>
    <x v="5"/>
    <s v="8470330"/>
    <x v="15"/>
    <s v="420550"/>
    <s v="Academic Advisory Service"/>
    <s v="847.8470330.1.420550.000000.847001.200179"/>
    <n v="5520"/>
    <m/>
    <m/>
    <m/>
    <m/>
    <m/>
    <m/>
    <m/>
    <m/>
    <m/>
    <n v="0"/>
    <m/>
    <n v="5520"/>
    <m/>
    <x v="0"/>
  </r>
  <r>
    <x v="0"/>
    <x v="5"/>
    <s v="8470330"/>
    <x v="15"/>
    <s v="425510"/>
    <s v="Conferences, seminars and exhibitions and other events: - Local Events"/>
    <s v="847.8470330.1.425510.000000.847001.200179"/>
    <n v="4550"/>
    <n v="4520.25"/>
    <m/>
    <m/>
    <m/>
    <m/>
    <m/>
    <m/>
    <m/>
    <m/>
    <n v="0"/>
    <m/>
    <n v="29.75"/>
    <m/>
    <x v="0"/>
  </r>
  <r>
    <x v="0"/>
    <x v="5"/>
    <s v="8470330"/>
    <x v="15"/>
    <s v="425760"/>
    <s v="Student activities &amp; field trip expenses"/>
    <s v="847.8470330.1.425760.000000.847001.200179"/>
    <n v="23634"/>
    <m/>
    <m/>
    <m/>
    <m/>
    <m/>
    <m/>
    <m/>
    <m/>
    <m/>
    <n v="0"/>
    <m/>
    <n v="23634"/>
    <m/>
    <x v="0"/>
  </r>
  <r>
    <x v="0"/>
    <x v="5"/>
    <s v="8470330"/>
    <x v="15"/>
    <s v="425763"/>
    <s v="Student Project Expenses"/>
    <s v="847.8470330.1.425763.000000.847001.200179"/>
    <n v="175809"/>
    <n v="107250"/>
    <m/>
    <m/>
    <m/>
    <m/>
    <m/>
    <m/>
    <m/>
    <m/>
    <n v="0"/>
    <m/>
    <n v="68559"/>
    <m/>
    <x v="0"/>
  </r>
  <r>
    <x v="0"/>
    <x v="5"/>
    <s v="8470330"/>
    <x v="15"/>
    <s v="425770"/>
    <s v="Academic Missions - Combined expenses"/>
    <s v="847.8470330.1.425770.000000.847001.200179"/>
    <n v="356489"/>
    <n v="200363.83"/>
    <m/>
    <m/>
    <m/>
    <m/>
    <m/>
    <m/>
    <m/>
    <m/>
    <n v="0"/>
    <m/>
    <n v="156125.17000000001"/>
    <m/>
    <x v="0"/>
  </r>
  <r>
    <x v="0"/>
    <x v="5"/>
    <s v="8470330"/>
    <x v="15"/>
    <s v="425900"/>
    <s v="Entertainment and hospitality"/>
    <s v="847.8470330.1.425900.000000.847001.200179"/>
    <n v="11400"/>
    <n v="11340"/>
    <m/>
    <m/>
    <m/>
    <m/>
    <m/>
    <m/>
    <m/>
    <m/>
    <n v="0"/>
    <m/>
    <n v="60"/>
    <m/>
    <x v="0"/>
  </r>
  <r>
    <x v="0"/>
    <x v="5"/>
    <s v="8470330"/>
    <x v="15"/>
    <s v="426610"/>
    <s v="Computer software licenses-Software License Renewal"/>
    <s v="847.8470330.1.426610.000000.847001.200179"/>
    <n v="342733"/>
    <n v="83313.84"/>
    <n v="-23310"/>
    <n v="15000"/>
    <m/>
    <m/>
    <m/>
    <m/>
    <m/>
    <m/>
    <n v="0"/>
    <m/>
    <n v="267729.16000000003"/>
    <m/>
    <x v="0"/>
  </r>
  <r>
    <x v="0"/>
    <x v="5"/>
    <s v="8470330"/>
    <x v="15"/>
    <s v="432209"/>
    <s v="Laboratory Equipment maintenance"/>
    <s v="847.8470330.1.432209.000000.847001.200179"/>
    <n v="18994"/>
    <m/>
    <m/>
    <m/>
    <m/>
    <m/>
    <m/>
    <m/>
    <m/>
    <m/>
    <n v="0"/>
    <m/>
    <n v="18994"/>
    <m/>
    <x v="0"/>
  </r>
  <r>
    <x v="0"/>
    <x v="5"/>
    <s v="8470330"/>
    <x v="15"/>
    <s v="435350"/>
    <s v="Academic Publications"/>
    <s v="847.8470330.1.435350.000000.847001.200179"/>
    <n v="123640"/>
    <n v="42634.13"/>
    <m/>
    <m/>
    <m/>
    <m/>
    <m/>
    <m/>
    <m/>
    <m/>
    <n v="0"/>
    <m/>
    <n v="81005.87"/>
    <m/>
    <x v="0"/>
  </r>
  <r>
    <x v="0"/>
    <x v="5"/>
    <s v="8470330"/>
    <x v="15"/>
    <s v="435508"/>
    <s v="Laboratory - Scientific"/>
    <s v="847.8470330.1.435508.000000.847001.200179"/>
    <n v="74960"/>
    <n v="814"/>
    <n v="32204"/>
    <n v="9693.1200000000008"/>
    <m/>
    <m/>
    <m/>
    <m/>
    <m/>
    <m/>
    <n v="0"/>
    <m/>
    <n v="32248.879999999997"/>
    <m/>
    <x v="0"/>
  </r>
  <r>
    <x v="0"/>
    <x v="5"/>
    <s v="8470335"/>
    <x v="16"/>
    <s v="425510"/>
    <s v="Conferences, seminars and exhibitions and other events: - Local Events"/>
    <s v="847.8470335.1.425510.000000.847001.200179"/>
    <n v="3750"/>
    <n v="350"/>
    <m/>
    <m/>
    <m/>
    <m/>
    <m/>
    <m/>
    <m/>
    <m/>
    <n v="0"/>
    <m/>
    <n v="3400"/>
    <m/>
    <x v="0"/>
  </r>
  <r>
    <x v="0"/>
    <x v="5"/>
    <s v="8470335"/>
    <x v="16"/>
    <s v="425720"/>
    <s v="Education-Outsourced training service"/>
    <s v="847.8470335.1.425720.000000.847001.200179"/>
    <n v="14000"/>
    <m/>
    <m/>
    <m/>
    <m/>
    <m/>
    <m/>
    <m/>
    <m/>
    <m/>
    <n v="0"/>
    <m/>
    <n v="14000"/>
    <m/>
    <x v="0"/>
  </r>
  <r>
    <x v="0"/>
    <x v="5"/>
    <s v="8470335"/>
    <x v="16"/>
    <s v="425760"/>
    <s v="Student activities &amp; field trip expenses"/>
    <s v="847.8470335.1.425760.000000.847001.200179"/>
    <n v="7330"/>
    <n v="5040"/>
    <m/>
    <m/>
    <m/>
    <m/>
    <m/>
    <m/>
    <m/>
    <m/>
    <n v="0"/>
    <m/>
    <n v="2290"/>
    <m/>
    <x v="0"/>
  </r>
  <r>
    <x v="0"/>
    <x v="5"/>
    <s v="8470335"/>
    <x v="16"/>
    <s v="425763"/>
    <s v="Student Project Expenses"/>
    <s v="847.8470335.1.425763.000000.847001.200179"/>
    <n v="60000"/>
    <n v="8948"/>
    <n v="7346"/>
    <m/>
    <m/>
    <m/>
    <m/>
    <m/>
    <m/>
    <m/>
    <n v="0"/>
    <m/>
    <n v="43706"/>
    <m/>
    <x v="0"/>
  </r>
  <r>
    <x v="0"/>
    <x v="5"/>
    <s v="8470335"/>
    <x v="16"/>
    <s v="425770"/>
    <s v="Academic Missions - Combined expenses"/>
    <s v="847.8470335.1.425770.000000.847001.200179"/>
    <n v="247550"/>
    <n v="117899.59"/>
    <m/>
    <m/>
    <m/>
    <m/>
    <m/>
    <m/>
    <m/>
    <m/>
    <n v="0"/>
    <m/>
    <n v="129650.41"/>
    <m/>
    <x v="0"/>
  </r>
  <r>
    <x v="0"/>
    <x v="5"/>
    <s v="8470335"/>
    <x v="16"/>
    <s v="425900"/>
    <s v="Entertainment and hospitality"/>
    <s v="847.8470335.1.425900.000000.847001.200179"/>
    <n v="6095"/>
    <n v="5670"/>
    <m/>
    <m/>
    <m/>
    <m/>
    <m/>
    <m/>
    <m/>
    <m/>
    <n v="0"/>
    <m/>
    <n v="425"/>
    <m/>
    <x v="0"/>
  </r>
  <r>
    <x v="0"/>
    <x v="5"/>
    <s v="8470335"/>
    <x v="16"/>
    <s v="426610"/>
    <s v="Computer software licenses-Software License Renewal"/>
    <s v="847.8470335.1.426610.000000.847001.200179"/>
    <n v="154616"/>
    <n v="80173.570000000007"/>
    <n v="26786.2"/>
    <n v="29914.13"/>
    <m/>
    <m/>
    <m/>
    <m/>
    <m/>
    <m/>
    <n v="0"/>
    <m/>
    <n v="17742.099999999995"/>
    <m/>
    <x v="0"/>
  </r>
  <r>
    <x v="0"/>
    <x v="5"/>
    <s v="8470335"/>
    <x v="16"/>
    <s v="435350"/>
    <s v="Academic Publications"/>
    <s v="847.8470335.1.435350.000000.847001.200179"/>
    <n v="70000"/>
    <n v="28599.33"/>
    <m/>
    <m/>
    <m/>
    <m/>
    <m/>
    <m/>
    <m/>
    <m/>
    <n v="0"/>
    <m/>
    <n v="41400.67"/>
    <m/>
    <x v="0"/>
  </r>
  <r>
    <x v="0"/>
    <x v="5"/>
    <s v="8470335"/>
    <x v="16"/>
    <s v="435508"/>
    <s v="Laboratory - Scientific"/>
    <s v="847.8470335.1.435508.000000.847001.200179"/>
    <n v="70880"/>
    <n v="45034.46"/>
    <n v="-9834.4599999999991"/>
    <n v="11138.38"/>
    <m/>
    <m/>
    <m/>
    <m/>
    <m/>
    <m/>
    <n v="0"/>
    <m/>
    <n v="24541.620000000003"/>
    <m/>
    <x v="0"/>
  </r>
  <r>
    <x v="0"/>
    <x v="5"/>
    <s v="8470335"/>
    <x v="16"/>
    <s v="436600"/>
    <s v="Training/Teaching equipment and other educational aid"/>
    <s v="847.8470335.1.436600.000000.847001.200179"/>
    <n v="2760"/>
    <m/>
    <m/>
    <m/>
    <m/>
    <m/>
    <m/>
    <m/>
    <m/>
    <m/>
    <n v="0"/>
    <m/>
    <n v="2760"/>
    <m/>
    <x v="0"/>
  </r>
  <r>
    <x v="0"/>
    <x v="5"/>
    <s v="8470340"/>
    <x v="17"/>
    <s v="425510"/>
    <s v="Conferences, seminars and exhibitions and other events: - Local Events"/>
    <s v="847.8470340.1.425510.000000.847001.200179"/>
    <n v="10500"/>
    <n v="10462.700000000001"/>
    <m/>
    <m/>
    <n v="37"/>
    <m/>
    <m/>
    <m/>
    <m/>
    <m/>
    <n v="37"/>
    <s v="Will be utilizedd via BTR to support lab ancillaries"/>
    <n v="0.2999999999992724"/>
    <m/>
    <x v="1"/>
  </r>
  <r>
    <x v="0"/>
    <x v="5"/>
    <s v="8470340"/>
    <x v="17"/>
    <s v="425720"/>
    <s v="Education-Outsourced training service"/>
    <s v="847.8470340.1.425720.000000.847001.200179"/>
    <n v="30000"/>
    <n v="58820.18"/>
    <n v="-29766.77"/>
    <n v="0"/>
    <n v="947"/>
    <m/>
    <m/>
    <m/>
    <m/>
    <m/>
    <n v="947"/>
    <s v="Will be transferred and utilized toward essential lab supply purchases"/>
    <n v="-0.40999999999985448"/>
    <m/>
    <x v="1"/>
  </r>
  <r>
    <x v="0"/>
    <x v="5"/>
    <s v="8470340"/>
    <x v="17"/>
    <s v="425760"/>
    <s v="Student activities &amp; field trip expenses"/>
    <s v="847.8470340.1.425760.000000.847001.200179"/>
    <n v="3400"/>
    <n v="1181.25"/>
    <m/>
    <m/>
    <m/>
    <m/>
    <n v="740"/>
    <n v="740"/>
    <n v="739"/>
    <m/>
    <n v="2219"/>
    <s v="Will be utilized as the requirement comes up"/>
    <n v="-0.25"/>
    <m/>
    <x v="1"/>
  </r>
  <r>
    <x v="0"/>
    <x v="5"/>
    <s v="8470340"/>
    <x v="17"/>
    <s v="425763"/>
    <s v="Student Project Expenses"/>
    <s v="847.8470340.1.425763.000000.847001.200179"/>
    <n v="225000"/>
    <n v="147690.03"/>
    <m/>
    <m/>
    <m/>
    <m/>
    <m/>
    <n v="50000"/>
    <n v="27310"/>
    <m/>
    <n v="77310"/>
    <s v="Student Senior Design Projects, Design Competions, Student Class Projects, ASME events. Activities take place throuhout the year. Amounts are entered in the utization months as being representative of cumulative funds settlement for preceeding months."/>
    <n v="-2.9999999998835847E-2"/>
    <m/>
    <x v="1"/>
  </r>
  <r>
    <x v="0"/>
    <x v="5"/>
    <s v="8470340"/>
    <x v="17"/>
    <s v="425770"/>
    <s v="Academic Missions - Combined expenses"/>
    <s v="847.8470340.1.425770.000000.847001.200179"/>
    <n v="188500"/>
    <n v="106703.64"/>
    <m/>
    <m/>
    <n v="13500"/>
    <n v="13500"/>
    <n v="13500"/>
    <n v="13500"/>
    <n v="13500"/>
    <n v="14296"/>
    <n v="81796"/>
    <m/>
    <n v="0.36000000000058208"/>
    <m/>
    <x v="1"/>
  </r>
  <r>
    <x v="0"/>
    <x v="5"/>
    <s v="8470340"/>
    <x v="17"/>
    <s v="425900"/>
    <s v="Entertainment and hospitality"/>
    <s v="847.8470340.1.425900.000000.847001.200179"/>
    <n v="19700"/>
    <n v="11250"/>
    <n v="8305.5"/>
    <n v="0"/>
    <n v="144"/>
    <m/>
    <m/>
    <m/>
    <m/>
    <m/>
    <n v="144"/>
    <s v="Will be utilized via BTR to support Lab accessories purchase"/>
    <n v="0.5"/>
    <m/>
    <x v="1"/>
  </r>
  <r>
    <x v="0"/>
    <x v="5"/>
    <s v="8470340"/>
    <x v="17"/>
    <s v="426610"/>
    <s v="Computer software licenses-Software License Renewal"/>
    <s v="847.8470340.1.426610.000000.847001.200179"/>
    <n v="192090"/>
    <n v="12115.3"/>
    <n v="18365"/>
    <n v="148413.85999999999"/>
    <n v="5000"/>
    <n v="4098"/>
    <n v="4098"/>
    <m/>
    <m/>
    <m/>
    <n v="13196"/>
    <s v="Will be used for any pending software renewals/updates"/>
    <n v="-0.15999999997438863"/>
    <m/>
    <x v="1"/>
  </r>
  <r>
    <x v="0"/>
    <x v="5"/>
    <s v="8470340"/>
    <x v="17"/>
    <s v="428090"/>
    <s v="Business Travel - Combined expenses"/>
    <s v="847.8470340.1.428090.000000.847001.200179"/>
    <n v="543"/>
    <m/>
    <m/>
    <m/>
    <n v="543"/>
    <m/>
    <m/>
    <m/>
    <m/>
    <m/>
    <n v="543"/>
    <s v="Will be utilized via BTR mechanism to fund purchase of miscellaneous Lab supplies such as gases"/>
    <n v="0"/>
    <m/>
    <x v="1"/>
  </r>
  <r>
    <x v="0"/>
    <x v="5"/>
    <s v="8470340"/>
    <x v="17"/>
    <s v="432209"/>
    <s v="Laboratory Equipment maintenance"/>
    <s v="847.8470340.1.432209.000000.847001.200179"/>
    <n v="75500"/>
    <n v="800"/>
    <n v="0"/>
    <n v="74500"/>
    <n v="200"/>
    <m/>
    <m/>
    <m/>
    <m/>
    <m/>
    <n v="200"/>
    <s v="Will be utilized via BTR mechanism to fund purchase of miscellaneous Lab supplies such as gases"/>
    <n v="0"/>
    <m/>
    <x v="1"/>
  </r>
  <r>
    <x v="0"/>
    <x v="5"/>
    <s v="8470340"/>
    <x v="17"/>
    <s v="435350"/>
    <s v="Academic Publications"/>
    <s v="847.8470340.1.435350.000000.847001.200179"/>
    <n v="138403"/>
    <n v="41131.620000000003"/>
    <m/>
    <m/>
    <n v="16211"/>
    <n v="16211"/>
    <n v="16211"/>
    <n v="16211"/>
    <n v="16211"/>
    <n v="16216"/>
    <n v="97271"/>
    <s v="Ongoing "/>
    <n v="0.38000000000465661"/>
    <m/>
    <x v="1"/>
  </r>
  <r>
    <x v="0"/>
    <x v="5"/>
    <s v="8470340"/>
    <x v="17"/>
    <s v="435508"/>
    <s v="Laboratory - Scientific"/>
    <s v="847.8470340.1.435508.000000.847001.200179"/>
    <n v="72954"/>
    <n v="23886.89"/>
    <n v="-21000"/>
    <n v="67631"/>
    <n v="2436"/>
    <m/>
    <m/>
    <m/>
    <m/>
    <m/>
    <n v="2436"/>
    <s v="Solid Mechanics Lab Supplies for Fall '23 semester"/>
    <n v="0.11000000000058208"/>
    <m/>
    <x v="1"/>
  </r>
  <r>
    <x v="0"/>
    <x v="5"/>
    <s v="8470340"/>
    <x v="17"/>
    <s v="436110"/>
    <s v="Printing supplies"/>
    <s v="847.8470340.1.436110.000000.847001.200179"/>
    <n v="1860"/>
    <m/>
    <m/>
    <m/>
    <n v="1860"/>
    <m/>
    <m/>
    <m/>
    <m/>
    <m/>
    <n v="1860"/>
    <s v="Will be utilized via BTR mechanism to fund purchase of miscellaneous Lab supplies such as gases"/>
    <n v="0"/>
    <m/>
    <x v="1"/>
  </r>
  <r>
    <x v="0"/>
    <x v="5"/>
    <s v="8470340"/>
    <x v="17"/>
    <s v="436600"/>
    <s v="Training/Teaching equipment and other educational aid"/>
    <s v="847.8470340.1.436600.000000.847001.200179"/>
    <n v="7998"/>
    <m/>
    <m/>
    <m/>
    <n v="7998"/>
    <m/>
    <m/>
    <m/>
    <m/>
    <m/>
    <n v="7998"/>
    <s v="Will be utilized via BTR mechanism to fund purchase for Solid Mechanics Lab spares"/>
    <n v="0"/>
    <m/>
    <x v="1"/>
  </r>
  <r>
    <x v="0"/>
    <x v="5"/>
    <s v="8470345"/>
    <x v="18"/>
    <s v="425510"/>
    <s v="Conferences, seminars and exhibitions and other events: - Local Events"/>
    <s v="847.8470345.1.425510.000000.847001.200179"/>
    <n v="0"/>
    <m/>
    <m/>
    <m/>
    <m/>
    <m/>
    <m/>
    <m/>
    <m/>
    <m/>
    <n v="0"/>
    <m/>
    <n v="0"/>
    <m/>
    <x v="1"/>
  </r>
  <r>
    <x v="0"/>
    <x v="5"/>
    <s v="8470345"/>
    <x v="18"/>
    <s v="425760"/>
    <s v="Student activities &amp; field trip expenses"/>
    <s v="847.8470345.1.425760.000000.847001.200179"/>
    <n v="0"/>
    <n v="0"/>
    <m/>
    <m/>
    <m/>
    <m/>
    <m/>
    <m/>
    <m/>
    <m/>
    <n v="0"/>
    <m/>
    <n v="0"/>
    <m/>
    <x v="1"/>
  </r>
  <r>
    <x v="0"/>
    <x v="5"/>
    <s v="8470345"/>
    <x v="18"/>
    <s v="425761"/>
    <s v="Student Field trips"/>
    <s v="847.8470345.1.425761.000000.847001.200179"/>
    <n v="25720"/>
    <n v="25720"/>
    <m/>
    <m/>
    <m/>
    <m/>
    <m/>
    <m/>
    <m/>
    <m/>
    <n v="0"/>
    <m/>
    <n v="0"/>
    <m/>
    <x v="1"/>
  </r>
  <r>
    <x v="0"/>
    <x v="5"/>
    <s v="8470345"/>
    <x v="18"/>
    <s v="425770"/>
    <s v="Academic Missions - Combined expenses"/>
    <s v="847.8470345.1.425770.000000.847001.200179"/>
    <n v="63201"/>
    <n v="51412.45"/>
    <m/>
    <m/>
    <n v="7700"/>
    <n v="3000"/>
    <n v="350"/>
    <n v="350"/>
    <n v="350"/>
    <m/>
    <n v="11750"/>
    <s v="7700 for DT July_x000a_3 DTs to Dubai/Sharjah_x000a_3 k to be transferred to Acad. Pub."/>
    <n v="38.55000000000291"/>
    <m/>
    <x v="1"/>
  </r>
  <r>
    <x v="0"/>
    <x v="5"/>
    <s v="8470345"/>
    <x v="18"/>
    <s v="425900"/>
    <s v="Entertainment and hospitality"/>
    <s v="847.8470345.1.425900.000000.847001.200179"/>
    <n v="0"/>
    <m/>
    <m/>
    <m/>
    <m/>
    <m/>
    <m/>
    <m/>
    <m/>
    <m/>
    <n v="0"/>
    <m/>
    <n v="0"/>
    <m/>
    <x v="1"/>
  </r>
  <r>
    <x v="0"/>
    <x v="5"/>
    <s v="8470345"/>
    <x v="18"/>
    <s v="426610"/>
    <s v="Computer software licenses-Software License Renewal"/>
    <s v="847.8470345.1.426610.000000.847001.200179"/>
    <n v="99804"/>
    <n v="116317.69"/>
    <n v="-23860.5"/>
    <n v="7346"/>
    <m/>
    <m/>
    <m/>
    <m/>
    <m/>
    <m/>
    <n v="0"/>
    <m/>
    <n v="0.80999999999767169"/>
    <m/>
    <x v="1"/>
  </r>
  <r>
    <x v="0"/>
    <x v="5"/>
    <s v="8470345"/>
    <x v="18"/>
    <s v="435350"/>
    <s v="Academic Publications"/>
    <s v="847.8470345.1.435350.000000.847001.200179"/>
    <n v="24371"/>
    <n v="19361.47"/>
    <m/>
    <m/>
    <n v="-10000"/>
    <n v="5000"/>
    <m/>
    <n v="5000"/>
    <m/>
    <n v="5000"/>
    <n v="5000"/>
    <s v="3 Acad. Pub * 5 k"/>
    <n v="9.5299999999988358"/>
    <m/>
    <x v="1"/>
  </r>
  <r>
    <x v="0"/>
    <x v="5"/>
    <s v="8470345"/>
    <x v="18"/>
    <s v="435508"/>
    <s v="Laboratory - Scientific"/>
    <s v="847.8470345.1.435508.000000.847001.200179"/>
    <n v="64014"/>
    <n v="94174.56"/>
    <n v="-47590.95"/>
    <n v="16894.55"/>
    <n v="-10700"/>
    <m/>
    <n v="4000"/>
    <n v="4000"/>
    <n v="3200"/>
    <m/>
    <n v="500"/>
    <s v="Consumables and Sample analysis"/>
    <n v="35.840000000000146"/>
    <m/>
    <x v="1"/>
  </r>
  <r>
    <x v="0"/>
    <x v="5"/>
    <s v="8470345"/>
    <x v="18"/>
    <s v="436600"/>
    <s v="Training/Teaching equipment and other educational aid"/>
    <s v="847.8470345.1.436600.000000.847001.200179"/>
    <n v="17716"/>
    <m/>
    <m/>
    <m/>
    <n v="17700"/>
    <m/>
    <m/>
    <m/>
    <m/>
    <m/>
    <n v="17700"/>
    <s v="10,7 k to be transferred to Lab Scientific &amp; 7 k to Acad. Pub. (according to the needs)"/>
    <n v="16"/>
    <m/>
    <x v="1"/>
  </r>
  <r>
    <x v="0"/>
    <x v="5"/>
    <s v="8470350"/>
    <x v="19"/>
    <s v="425510"/>
    <s v="Conferences, seminars and exhibitions and other events: - Local Events"/>
    <s v="847.8470350.1.425510.000000.847001.200179"/>
    <n v="15169"/>
    <n v="6318.1"/>
    <m/>
    <m/>
    <m/>
    <m/>
    <m/>
    <m/>
    <m/>
    <m/>
    <n v="0"/>
    <m/>
    <n v="8850.9"/>
    <m/>
    <x v="0"/>
  </r>
  <r>
    <x v="0"/>
    <x v="5"/>
    <s v="8470350"/>
    <x v="19"/>
    <s v="425763"/>
    <s v="Student Project Expenses"/>
    <s v="847.8470350.1.425763.000000.847001.200179"/>
    <n v="3618"/>
    <m/>
    <m/>
    <m/>
    <m/>
    <m/>
    <m/>
    <m/>
    <m/>
    <m/>
    <n v="0"/>
    <m/>
    <n v="3618"/>
    <m/>
    <x v="0"/>
  </r>
  <r>
    <x v="0"/>
    <x v="5"/>
    <s v="8470350"/>
    <x v="19"/>
    <s v="425770"/>
    <s v="Academic Missions - Combined expenses"/>
    <s v="847.8470350.1.425770.000000.847001.200179"/>
    <n v="120199"/>
    <n v="38565.47"/>
    <m/>
    <m/>
    <m/>
    <m/>
    <m/>
    <m/>
    <m/>
    <m/>
    <n v="0"/>
    <m/>
    <n v="81633.53"/>
    <m/>
    <x v="0"/>
  </r>
  <r>
    <x v="0"/>
    <x v="5"/>
    <s v="8470350"/>
    <x v="19"/>
    <s v="425900"/>
    <s v="Entertainment and hospitality"/>
    <s v="847.8470350.1.425900.000000.847001.200179"/>
    <n v="9578"/>
    <n v="5985"/>
    <m/>
    <m/>
    <m/>
    <m/>
    <m/>
    <m/>
    <m/>
    <m/>
    <n v="0"/>
    <m/>
    <n v="3593"/>
    <m/>
    <x v="0"/>
  </r>
  <r>
    <x v="0"/>
    <x v="5"/>
    <s v="8470350"/>
    <x v="19"/>
    <s v="426610"/>
    <s v="Computer software licenses-Software License Renewal"/>
    <s v="847.8470350.1.426610.000000.847001.200179"/>
    <n v="160762"/>
    <n v="7964.53"/>
    <n v="3941.7"/>
    <n v="0"/>
    <m/>
    <m/>
    <m/>
    <m/>
    <m/>
    <m/>
    <n v="0"/>
    <m/>
    <n v="148855.76999999999"/>
    <m/>
    <x v="0"/>
  </r>
  <r>
    <x v="0"/>
    <x v="5"/>
    <s v="8470350"/>
    <x v="19"/>
    <s v="427710"/>
    <s v="Subscriptions and membership fees: Trade organisations"/>
    <s v="847.8470350.1.427710.000000.847001.200179"/>
    <n v="0"/>
    <m/>
    <m/>
    <m/>
    <m/>
    <m/>
    <m/>
    <m/>
    <m/>
    <m/>
    <n v="0"/>
    <m/>
    <n v="0"/>
    <m/>
    <x v="0"/>
  </r>
  <r>
    <x v="0"/>
    <x v="5"/>
    <s v="8470350"/>
    <x v="19"/>
    <s v="432209"/>
    <s v="Laboratory Equipment maintenance"/>
    <s v="847.8470350.1.432209.000000.847001.200179"/>
    <n v="1024505"/>
    <n v="370506.3"/>
    <n v="-9000"/>
    <n v="662648.38"/>
    <m/>
    <m/>
    <m/>
    <m/>
    <m/>
    <m/>
    <n v="0"/>
    <m/>
    <n v="350.31999999994878"/>
    <m/>
    <x v="0"/>
  </r>
  <r>
    <x v="0"/>
    <x v="5"/>
    <s v="8470350"/>
    <x v="19"/>
    <s v="435350"/>
    <s v="Academic Publications"/>
    <s v="847.8470350.1.435350.000000.847001.200179"/>
    <n v="28176"/>
    <n v="7603.11"/>
    <m/>
    <m/>
    <m/>
    <m/>
    <m/>
    <m/>
    <m/>
    <m/>
    <n v="0"/>
    <m/>
    <n v="20572.89"/>
    <m/>
    <x v="0"/>
  </r>
  <r>
    <x v="0"/>
    <x v="5"/>
    <s v="8470350"/>
    <x v="19"/>
    <s v="435508"/>
    <s v="Laboratory - Scientific"/>
    <s v="847.8470350.1.435508.000000.847001.200179"/>
    <n v="31570"/>
    <n v="350"/>
    <n v="-3976.22"/>
    <n v="3976.22"/>
    <m/>
    <m/>
    <m/>
    <m/>
    <m/>
    <m/>
    <n v="0"/>
    <m/>
    <n v="31220"/>
    <m/>
    <x v="0"/>
  </r>
  <r>
    <x v="0"/>
    <x v="5"/>
    <s v="8470350"/>
    <x v="19"/>
    <s v="436600"/>
    <s v="Training/Teaching equipment and other educational aid"/>
    <s v="847.8470350.1.436600.000000.847001.200179"/>
    <n v="18220"/>
    <n v="36432"/>
    <n v="-18216"/>
    <n v="0"/>
    <m/>
    <m/>
    <m/>
    <m/>
    <m/>
    <m/>
    <n v="0"/>
    <m/>
    <n v="4"/>
    <m/>
    <x v="0"/>
  </r>
  <r>
    <x v="0"/>
    <x v="6"/>
    <s v="8470405"/>
    <x v="20"/>
    <s v="420550"/>
    <s v="Academic Advisory Service"/>
    <s v="847.8470405.1.420550.000000.847001.200179"/>
    <n v="20250"/>
    <n v="14698.72"/>
    <m/>
    <m/>
    <m/>
    <m/>
    <m/>
    <m/>
    <m/>
    <m/>
    <n v="0"/>
    <m/>
    <n v="5551.2800000000007"/>
    <m/>
    <x v="0"/>
  </r>
  <r>
    <x v="0"/>
    <x v="6"/>
    <s v="8470405"/>
    <x v="20"/>
    <s v="421700"/>
    <s v="Standards Certification Services (e.g. ISO)"/>
    <s v="847.8470405.1.421700.000000.847001.200179"/>
    <n v="90156"/>
    <m/>
    <m/>
    <m/>
    <m/>
    <m/>
    <m/>
    <m/>
    <m/>
    <m/>
    <n v="0"/>
    <m/>
    <n v="90156"/>
    <m/>
    <x v="0"/>
  </r>
  <r>
    <x v="0"/>
    <x v="6"/>
    <s v="8470405"/>
    <x v="20"/>
    <s v="425510"/>
    <s v="Conferences, seminars and exhibitions and other events: - Local Events"/>
    <s v="847.8470405.1.425510.000000.847001.200179"/>
    <n v="6825"/>
    <m/>
    <n v="0"/>
    <n v="5450.16"/>
    <m/>
    <m/>
    <m/>
    <m/>
    <m/>
    <m/>
    <n v="0"/>
    <m/>
    <n v="1374.8400000000001"/>
    <m/>
    <x v="0"/>
  </r>
  <r>
    <x v="0"/>
    <x v="6"/>
    <s v="8470405"/>
    <x v="20"/>
    <s v="425550"/>
    <s v="Conferences, seminars and exhibitions and other events: - Overseas event"/>
    <s v="847.8470405.1.425550.000000.847001.200179"/>
    <n v="5625"/>
    <m/>
    <m/>
    <m/>
    <m/>
    <m/>
    <m/>
    <m/>
    <m/>
    <m/>
    <n v="0"/>
    <m/>
    <n v="5625"/>
    <m/>
    <x v="0"/>
  </r>
  <r>
    <x v="0"/>
    <x v="6"/>
    <s v="8470405"/>
    <x v="20"/>
    <s v="425720"/>
    <s v="Education-Outsourced training service"/>
    <s v="847.8470405.1.425720.000000.847001.200179"/>
    <n v="19340"/>
    <n v="19340"/>
    <m/>
    <m/>
    <m/>
    <m/>
    <m/>
    <m/>
    <m/>
    <m/>
    <n v="0"/>
    <m/>
    <n v="0"/>
    <m/>
    <x v="0"/>
  </r>
  <r>
    <x v="0"/>
    <x v="6"/>
    <s v="8470405"/>
    <x v="20"/>
    <s v="425770"/>
    <s v="Academic Missions - Combined expenses"/>
    <s v="847.8470405.1.425770.000000.847001.200179"/>
    <n v="24435"/>
    <n v="14411.53"/>
    <m/>
    <m/>
    <m/>
    <m/>
    <m/>
    <m/>
    <m/>
    <m/>
    <n v="0"/>
    <m/>
    <n v="10023.469999999999"/>
    <m/>
    <x v="0"/>
  </r>
  <r>
    <x v="0"/>
    <x v="6"/>
    <s v="8470405"/>
    <x v="20"/>
    <s v="425900"/>
    <s v="Entertainment and hospitality"/>
    <s v="847.8470405.1.425900.000000.847001.200179"/>
    <n v="20000"/>
    <n v="5040"/>
    <m/>
    <m/>
    <m/>
    <m/>
    <m/>
    <m/>
    <m/>
    <m/>
    <n v="0"/>
    <m/>
    <n v="14960"/>
    <m/>
    <x v="0"/>
  </r>
  <r>
    <x v="0"/>
    <x v="6"/>
    <s v="8470405"/>
    <x v="20"/>
    <s v="427710"/>
    <s v="Subscriptions and membership fees: Trade organisations"/>
    <s v="847.8470405.1.427710.000000.847001.200179"/>
    <n v="11875"/>
    <n v="0"/>
    <m/>
    <m/>
    <m/>
    <m/>
    <m/>
    <m/>
    <m/>
    <m/>
    <n v="0"/>
    <m/>
    <n v="11875"/>
    <m/>
    <x v="0"/>
  </r>
  <r>
    <x v="0"/>
    <x v="6"/>
    <s v="8470405"/>
    <x v="20"/>
    <s v="428090"/>
    <s v="Business Travel - Combined expenses"/>
    <s v="847.8470405.1.428090.000000.847001.200179"/>
    <n v="35870"/>
    <n v="11420.96"/>
    <n v="0"/>
    <m/>
    <m/>
    <m/>
    <m/>
    <m/>
    <m/>
    <m/>
    <n v="0"/>
    <m/>
    <n v="24449.040000000001"/>
    <m/>
    <x v="0"/>
  </r>
  <r>
    <x v="0"/>
    <x v="6"/>
    <s v="8470405"/>
    <x v="20"/>
    <s v="435350"/>
    <s v="Academic Publications"/>
    <s v="847.8470405.1.435350.000000.847001.200179"/>
    <n v="9400"/>
    <n v="4965.95"/>
    <m/>
    <m/>
    <m/>
    <m/>
    <m/>
    <m/>
    <m/>
    <m/>
    <n v="0"/>
    <m/>
    <n v="4434.05"/>
    <m/>
    <x v="0"/>
  </r>
  <r>
    <x v="0"/>
    <x v="6"/>
    <s v="8470405"/>
    <x v="20"/>
    <s v="436600"/>
    <s v="Training/Teaching equipment and other educational aid"/>
    <s v="847.8470405.1.436600.000000.847001.200179"/>
    <n v="54190"/>
    <n v="54190"/>
    <m/>
    <m/>
    <m/>
    <m/>
    <m/>
    <m/>
    <m/>
    <m/>
    <n v="0"/>
    <m/>
    <n v="0"/>
    <m/>
    <x v="0"/>
  </r>
  <r>
    <x v="0"/>
    <x v="6"/>
    <s v="8470410"/>
    <x v="21"/>
    <s v="425770"/>
    <s v="Academic Missions - Combined expenses"/>
    <s v="847.8470410.1.425770.000000.847001.200179"/>
    <n v="76900"/>
    <n v="42453.22"/>
    <m/>
    <m/>
    <m/>
    <m/>
    <m/>
    <m/>
    <m/>
    <m/>
    <n v="0"/>
    <m/>
    <n v="34446.78"/>
    <m/>
    <x v="0"/>
  </r>
  <r>
    <x v="0"/>
    <x v="6"/>
    <s v="8470410"/>
    <x v="21"/>
    <s v="426610"/>
    <s v="Computer software licenses-Software License Renewal"/>
    <s v="847.8470410.1.426610.000000.847001.200179"/>
    <n v="5579"/>
    <n v="2985.02"/>
    <n v="0"/>
    <n v="1124"/>
    <m/>
    <m/>
    <m/>
    <m/>
    <m/>
    <m/>
    <n v="0"/>
    <m/>
    <n v="1469.98"/>
    <m/>
    <x v="0"/>
  </r>
  <r>
    <x v="0"/>
    <x v="6"/>
    <s v="8470410"/>
    <x v="21"/>
    <s v="428090"/>
    <s v="Business Travel - Combined expenses"/>
    <s v="847.8470410.1.428090.000000.847001.200179"/>
    <n v="7700"/>
    <n v="7700"/>
    <m/>
    <m/>
    <m/>
    <m/>
    <m/>
    <m/>
    <m/>
    <m/>
    <n v="0"/>
    <m/>
    <n v="0"/>
    <m/>
    <x v="0"/>
  </r>
  <r>
    <x v="0"/>
    <x v="6"/>
    <s v="8470410"/>
    <x v="21"/>
    <s v="435310"/>
    <s v="Newspapers, magazines, journals, etc"/>
    <s v="847.8470410.1.435310.000000.847001.200179"/>
    <n v="13288"/>
    <n v="10743.53"/>
    <n v="0"/>
    <m/>
    <m/>
    <m/>
    <m/>
    <m/>
    <m/>
    <m/>
    <n v="0"/>
    <m/>
    <n v="2544.4699999999993"/>
    <m/>
    <x v="0"/>
  </r>
  <r>
    <x v="0"/>
    <x v="6"/>
    <s v="8470410"/>
    <x v="21"/>
    <s v="435350"/>
    <s v="Academic Publications"/>
    <s v="847.8470410.1.435350.000000.847001.200179"/>
    <n v="29966"/>
    <n v="29899.52"/>
    <m/>
    <m/>
    <m/>
    <m/>
    <m/>
    <m/>
    <m/>
    <m/>
    <n v="0"/>
    <m/>
    <n v="66.479999999999563"/>
    <m/>
    <x v="0"/>
  </r>
  <r>
    <x v="0"/>
    <x v="6"/>
    <s v="8470415"/>
    <x v="22"/>
    <s v="425510"/>
    <s v="Conferences, seminars and exhibitions and other events: - Local Events"/>
    <s v="847.8470415.1.425510.000000.847001.200179"/>
    <n v="237"/>
    <n v="225"/>
    <m/>
    <m/>
    <n v="0"/>
    <n v="0"/>
    <n v="0"/>
    <n v="0"/>
    <n v="0"/>
    <n v="0"/>
    <n v="0"/>
    <s v="Not applicable"/>
    <n v="12"/>
    <s v="The value of the remaining amount is difficult to spend toward local events. The surplus will be transferred to another OPEX account to cover any shortage in budget."/>
    <x v="1"/>
  </r>
  <r>
    <x v="0"/>
    <x v="6"/>
    <s v="8470415"/>
    <x v="22"/>
    <s v="425763"/>
    <s v="Student Project Expenses"/>
    <s v="847.8470415.1.425763.000000.847001.200179"/>
    <n v="48844"/>
    <n v="13491.5"/>
    <n v="-1711.5"/>
    <n v="-5197.75"/>
    <n v="20000"/>
    <n v="22262"/>
    <n v="0"/>
    <n v="0"/>
    <n v="0"/>
    <n v="0"/>
    <n v="42262"/>
    <s v="We plan to purchase supporting lab supplies and kits for existing and new Fall 2023 UG student research projects"/>
    <n v="-0.25"/>
    <s v="NA"/>
    <x v="1"/>
  </r>
  <r>
    <x v="0"/>
    <x v="6"/>
    <s v="8470415"/>
    <x v="22"/>
    <s v="425770"/>
    <s v="Academic Missions - Combined expenses"/>
    <s v="847.8470415.1.425770.000000.847001.200179"/>
    <n v="246775"/>
    <n v="132266.70000000001"/>
    <m/>
    <m/>
    <n v="18000"/>
    <n v="30000"/>
    <n v="30000"/>
    <n v="18000"/>
    <n v="18000"/>
    <n v="0"/>
    <n v="114000"/>
    <s v="The fund will be used to support DTRs for several faculty members throughout the second half of the year."/>
    <n v="508.29999999998836"/>
    <s v="This is an estimated surplus, any remaining value will depend on the actual DTR costs. DTRs planned in the last quarter of the year may be raised by October. An updated spending profile can be provided by August/September "/>
    <x v="1"/>
  </r>
  <r>
    <x v="0"/>
    <x v="6"/>
    <s v="8470415"/>
    <x v="22"/>
    <s v="425900"/>
    <s v="Entertainment and hospitality"/>
    <s v="847.8470415.1.425900.000000.847001.200179"/>
    <n v="9340"/>
    <m/>
    <m/>
    <m/>
    <n v="0"/>
    <n v="0"/>
    <n v="5000"/>
    <n v="0"/>
    <n v="0"/>
    <n v="4340"/>
    <n v="9340"/>
    <s v="The fund will support an upcoming &quot;majors day&quot; event in September and one end-of-year departmental meeting "/>
    <n v="0"/>
    <s v="NA"/>
    <x v="1"/>
  </r>
  <r>
    <x v="0"/>
    <x v="6"/>
    <s v="8470415"/>
    <x v="22"/>
    <s v="426610"/>
    <s v="Computer software licenses-Software License Renewal"/>
    <s v="847.8470415.1.426610.000000.847001.200179"/>
    <n v="130504"/>
    <n v="75613.960000000006"/>
    <n v="6676.93"/>
    <n v="0"/>
    <n v="48000"/>
    <n v="0"/>
    <n v="0"/>
    <n v="0"/>
    <n v="0"/>
    <n v="0"/>
    <n v="48000"/>
    <s v="The fund will support two pending software catalog requests."/>
    <n v="213.10999999999331"/>
    <s v="The surplus amount is dependent on the actual values of the pending software renewal PRs that will be raised."/>
    <x v="1"/>
  </r>
  <r>
    <x v="0"/>
    <x v="6"/>
    <s v="8470415"/>
    <x v="22"/>
    <s v="428090"/>
    <s v="Business Travel - Combined expenses"/>
    <s v="847.8470415.1.428090.000000.847001.200179"/>
    <n v="7850"/>
    <n v="7850"/>
    <m/>
    <m/>
    <n v="0"/>
    <n v="0"/>
    <n v="0"/>
    <n v="0"/>
    <n v="0"/>
    <n v="0"/>
    <n v="0"/>
    <s v="NA"/>
    <n v="0"/>
    <s v="NA"/>
    <x v="1"/>
  </r>
  <r>
    <x v="0"/>
    <x v="6"/>
    <s v="8470415"/>
    <x v="22"/>
    <s v="432209"/>
    <s v="Laboratory Equipment maintenance"/>
    <s v="847.8470415.1.432209.000000.847001.200179"/>
    <n v="765063"/>
    <n v="3300"/>
    <n v="556421.37"/>
    <n v="104778"/>
    <n v="67194"/>
    <n v="0"/>
    <n v="0"/>
    <n v="0"/>
    <n v="0"/>
    <n v="0"/>
    <n v="67194"/>
    <s v="Part of the amount is needed to cover the extra funds required for updating the open PR &quot;8471112729&quot; of the NMR spectrometer maintenance contract as a result of the adjustment of the scope of work by the local supplier._x000a__x000a_The remaining funds will be used to aquire a maintenance contract for the separate UPS system that is connected to the NMR. This system experienced a sudden fault by the end of June due to failure of three battery units.    "/>
    <n v="33369.630000000005"/>
    <s v="An amount will be transferred to the &quot;laboratory scientific&quot; due to shortage in funds to cover the cost of lab supplies needed for fall 2023.  "/>
    <x v="1"/>
  </r>
  <r>
    <x v="0"/>
    <x v="6"/>
    <s v="8470415"/>
    <x v="22"/>
    <s v="435350"/>
    <s v="Academic Publications"/>
    <s v="847.8470415.1.435350.000000.847001.200179"/>
    <n v="35138"/>
    <n v="27726.1"/>
    <m/>
    <m/>
    <n v="0"/>
    <n v="0"/>
    <n v="7412"/>
    <n v="0"/>
    <n v="0"/>
    <n v="0"/>
    <n v="7412"/>
    <s v="budget will support one open-access Q1 publication in the second half of the year. The estimated spending timeline is on indicative basis"/>
    <n v="-9.9999999998544808E-2"/>
    <s v="NA"/>
    <x v="1"/>
  </r>
  <r>
    <x v="0"/>
    <x v="6"/>
    <s v="8470415"/>
    <x v="22"/>
    <s v="435508"/>
    <s v="Laboratory - Scientific"/>
    <s v="847.8470415.1.435508.000000.847001.200179"/>
    <n v="594190"/>
    <n v="392644.18"/>
    <n v="-48215.23"/>
    <n v="92148.87"/>
    <n v="140982"/>
    <n v="50000"/>
    <n v="0"/>
    <n v="0"/>
    <n v="0"/>
    <n v="0"/>
    <n v="190982"/>
    <s v="We plan to transfer approx. 33k from the maintenance account (432209)due to shortage in lab supplies budget for replacing/upgrading small teaching kits "/>
    <n v="-33369.819999999978"/>
    <s v="No surplus."/>
    <x v="1"/>
  </r>
  <r>
    <x v="0"/>
    <x v="6"/>
    <s v="8470425"/>
    <x v="23"/>
    <s v="425510"/>
    <s v="Conferences, seminars and exhibitions and other events: - Local Events"/>
    <s v="847.8470425.1.425510.000000.847001.200179"/>
    <n v="21259"/>
    <n v="31267.56"/>
    <n v="-11600"/>
    <n v="0"/>
    <m/>
    <m/>
    <m/>
    <m/>
    <n v="1591"/>
    <m/>
    <n v="1591"/>
    <s v="Local conference "/>
    <n v="0.43999999999869033"/>
    <m/>
    <x v="1"/>
  </r>
  <r>
    <x v="0"/>
    <x v="6"/>
    <s v="8470425"/>
    <x v="23"/>
    <s v="425550"/>
    <s v="Conferences, seminars and exhibitions and other events: - Overseas event"/>
    <s v="847.8470425.1.425550.000000.847001.200179"/>
    <n v="54661"/>
    <n v="9746.14"/>
    <m/>
    <m/>
    <m/>
    <m/>
    <n v="14000"/>
    <n v="10000"/>
    <n v="10000"/>
    <n v="10915"/>
    <n v="44915"/>
    <s v="International Travel"/>
    <n v="-0.13999999999941792"/>
    <m/>
    <x v="1"/>
  </r>
  <r>
    <x v="0"/>
    <x v="6"/>
    <s v="8470425"/>
    <x v="23"/>
    <s v="425770"/>
    <s v="Academic Missions - Combined expenses"/>
    <s v="847.8470425.1.425770.000000.847001.200179"/>
    <n v="159895"/>
    <n v="17998.96"/>
    <m/>
    <m/>
    <n v="25000"/>
    <m/>
    <n v="50000"/>
    <m/>
    <n v="50000"/>
    <n v="16896"/>
    <n v="141896"/>
    <s v="Academic Travel"/>
    <n v="4.0000000008149073E-2"/>
    <m/>
    <x v="1"/>
  </r>
  <r>
    <x v="0"/>
    <x v="6"/>
    <s v="8470425"/>
    <x v="23"/>
    <s v="425900"/>
    <s v="Entertainment and hospitality"/>
    <s v="847.8470425.1.425900.000000.847001.200179"/>
    <n v="2973"/>
    <n v="1249"/>
    <m/>
    <m/>
    <m/>
    <m/>
    <m/>
    <n v="1724"/>
    <m/>
    <m/>
    <n v="1724"/>
    <s v="Department Seminar"/>
    <n v="0"/>
    <m/>
    <x v="1"/>
  </r>
  <r>
    <x v="0"/>
    <x v="6"/>
    <s v="8470425"/>
    <x v="23"/>
    <s v="426610"/>
    <s v="Computer software licenses-Software License Renewal"/>
    <s v="847.8470425.1.426610.000000.847001.200179"/>
    <n v="22498"/>
    <m/>
    <n v="0"/>
    <n v="3010"/>
    <m/>
    <m/>
    <n v="15000"/>
    <m/>
    <n v="4488"/>
    <m/>
    <n v="19488"/>
    <s v="Software License"/>
    <n v="0"/>
    <m/>
    <x v="1"/>
  </r>
  <r>
    <x v="0"/>
    <x v="6"/>
    <s v="8470425"/>
    <x v="23"/>
    <s v="428090"/>
    <s v="Business Travel - Combined expenses"/>
    <s v="847.8470425.1.428090.000000.847001.200179"/>
    <n v="6445"/>
    <m/>
    <m/>
    <m/>
    <m/>
    <m/>
    <m/>
    <n v="6445"/>
    <m/>
    <m/>
    <n v="6445"/>
    <s v="Busniness Travel"/>
    <n v="0"/>
    <m/>
    <x v="1"/>
  </r>
  <r>
    <x v="0"/>
    <x v="6"/>
    <s v="8470425"/>
    <x v="23"/>
    <s v="435350"/>
    <s v="Academic Publications"/>
    <s v="847.8470425.1.435350.000000.847001.200179"/>
    <n v="76000"/>
    <n v="47142.27"/>
    <m/>
    <m/>
    <m/>
    <n v="8000"/>
    <n v="8858"/>
    <n v="6000"/>
    <n v="6000"/>
    <m/>
    <n v="28858"/>
    <s v="Publications"/>
    <n v="-0.26999999999679858"/>
    <m/>
    <x v="1"/>
  </r>
  <r>
    <x v="0"/>
    <x v="6"/>
    <s v="8470425"/>
    <x v="23"/>
    <s v="435508"/>
    <s v="Laboratory - Scientific"/>
    <s v="847.8470425.1.435508.000000.847001.200179"/>
    <n v="169693"/>
    <n v="5900"/>
    <n v="67300"/>
    <n v="28400"/>
    <n v="68093"/>
    <m/>
    <m/>
    <m/>
    <m/>
    <m/>
    <n v="68093"/>
    <s v="Opex Items"/>
    <n v="0"/>
    <m/>
    <x v="1"/>
  </r>
  <r>
    <x v="0"/>
    <x v="6"/>
    <s v="8470430"/>
    <x v="24"/>
    <s v="425763"/>
    <s v="Student Project Expenses"/>
    <s v="847.8470430.1.425763.000000.847001.200179"/>
    <n v="6238"/>
    <m/>
    <m/>
    <m/>
    <m/>
    <m/>
    <m/>
    <m/>
    <m/>
    <m/>
    <n v="0"/>
    <s v="Capex Items for Physics Lab"/>
    <n v="6238"/>
    <m/>
    <x v="0"/>
  </r>
  <r>
    <x v="0"/>
    <x v="6"/>
    <s v="8470430"/>
    <x v="24"/>
    <s v="425770"/>
    <s v="Academic Missions - Combined expenses"/>
    <s v="847.8470430.1.425770.000000.847001.200179"/>
    <n v="38486"/>
    <n v="19485.36"/>
    <m/>
    <m/>
    <m/>
    <m/>
    <m/>
    <m/>
    <m/>
    <m/>
    <n v="0"/>
    <m/>
    <n v="19000.64"/>
    <m/>
    <x v="0"/>
  </r>
  <r>
    <x v="0"/>
    <x v="6"/>
    <s v="8470430"/>
    <x v="24"/>
    <s v="426610"/>
    <s v="Computer software licenses-Software License Renewal"/>
    <s v="847.8470430.1.426610.000000.847001.200179"/>
    <n v="22981"/>
    <n v="7644.21"/>
    <n v="0"/>
    <n v="0"/>
    <m/>
    <m/>
    <m/>
    <m/>
    <m/>
    <m/>
    <n v="0"/>
    <m/>
    <n v="15336.79"/>
    <m/>
    <x v="0"/>
  </r>
  <r>
    <x v="0"/>
    <x v="6"/>
    <s v="8470430"/>
    <x v="24"/>
    <s v="432209"/>
    <s v="Laboratory Equipment maintenance"/>
    <s v="847.8470430.1.432209.000000.847001.200179"/>
    <n v="1500"/>
    <n v="878.9"/>
    <m/>
    <m/>
    <m/>
    <m/>
    <m/>
    <m/>
    <m/>
    <m/>
    <n v="0"/>
    <m/>
    <n v="621.1"/>
    <m/>
    <x v="0"/>
  </r>
  <r>
    <x v="0"/>
    <x v="6"/>
    <s v="8470430"/>
    <x v="24"/>
    <s v="435508"/>
    <s v="Laboratory - Scientific"/>
    <s v="847.8470430.1.435508.000000.847001.200179"/>
    <n v="9790"/>
    <m/>
    <m/>
    <m/>
    <m/>
    <m/>
    <m/>
    <m/>
    <m/>
    <m/>
    <n v="0"/>
    <m/>
    <n v="9790"/>
    <m/>
    <x v="0"/>
  </r>
  <r>
    <x v="0"/>
    <x v="6"/>
    <s v="8470435"/>
    <x v="25"/>
    <s v="429900"/>
    <s v="Other services, not specifically mentioned elsewhere"/>
    <s v="847.8470435.1.429900.000000.847001.200179"/>
    <n v="2000"/>
    <m/>
    <m/>
    <m/>
    <m/>
    <m/>
    <m/>
    <m/>
    <m/>
    <m/>
    <n v="0"/>
    <m/>
    <n v="2000"/>
    <m/>
    <x v="0"/>
  </r>
  <r>
    <x v="0"/>
    <x v="6"/>
    <s v="8470440"/>
    <x v="26"/>
    <s v="420550"/>
    <s v="Academic Advisory Service"/>
    <s v="847.8470440.1.420550.000000.847001.200179"/>
    <n v="20593"/>
    <m/>
    <n v="0"/>
    <m/>
    <m/>
    <m/>
    <m/>
    <m/>
    <m/>
    <m/>
    <n v="0"/>
    <m/>
    <n v="20593"/>
    <m/>
    <x v="0"/>
  </r>
  <r>
    <x v="0"/>
    <x v="6"/>
    <s v="8470440"/>
    <x v="26"/>
    <s v="425510"/>
    <s v="Conferences, seminars and exhibitions and other events: - Local Events"/>
    <s v="847.8470440.1.425510.000000.847001.200179"/>
    <n v="11270"/>
    <m/>
    <n v="0"/>
    <m/>
    <m/>
    <m/>
    <m/>
    <m/>
    <m/>
    <m/>
    <n v="0"/>
    <m/>
    <n v="11270"/>
    <m/>
    <x v="0"/>
  </r>
  <r>
    <x v="0"/>
    <x v="6"/>
    <s v="8470440"/>
    <x v="26"/>
    <s v="425550"/>
    <s v="Conferences, seminars and exhibitions and other events: - Overseas event"/>
    <s v="847.8470440.1.425550.000000.847001.200179"/>
    <n v="25688"/>
    <n v="15644.27"/>
    <m/>
    <m/>
    <m/>
    <m/>
    <m/>
    <m/>
    <m/>
    <m/>
    <n v="0"/>
    <m/>
    <n v="10043.73"/>
    <m/>
    <x v="0"/>
  </r>
  <r>
    <x v="0"/>
    <x v="6"/>
    <s v="8470440"/>
    <x v="26"/>
    <s v="425770"/>
    <s v="Academic Missions - Combined expenses"/>
    <s v="847.8470440.1.425770.000000.847001.200179"/>
    <n v="82500"/>
    <n v="29708.66"/>
    <m/>
    <m/>
    <m/>
    <m/>
    <m/>
    <m/>
    <m/>
    <m/>
    <n v="0"/>
    <m/>
    <n v="52791.34"/>
    <m/>
    <x v="0"/>
  </r>
  <r>
    <x v="0"/>
    <x v="6"/>
    <s v="8470440"/>
    <x v="26"/>
    <s v="426610"/>
    <s v="Computer software licenses-Software License Renewal"/>
    <s v="847.8470440.1.426610.000000.847001.200179"/>
    <n v="22589"/>
    <n v="27190.1"/>
    <n v="-13590.1"/>
    <n v="0"/>
    <m/>
    <m/>
    <m/>
    <m/>
    <m/>
    <m/>
    <n v="0"/>
    <m/>
    <n v="8989.0000000000018"/>
    <m/>
    <x v="0"/>
  </r>
  <r>
    <x v="0"/>
    <x v="6"/>
    <s v="8470440"/>
    <x v="26"/>
    <s v="427710"/>
    <s v="Subscriptions and membership fees: Trade organisations"/>
    <s v="847.8470440.1.427710.000000.847001.200179"/>
    <n v="1942"/>
    <m/>
    <n v="0"/>
    <m/>
    <m/>
    <m/>
    <m/>
    <m/>
    <m/>
    <m/>
    <n v="0"/>
    <m/>
    <n v="1942"/>
    <m/>
    <x v="0"/>
  </r>
  <r>
    <x v="0"/>
    <x v="6"/>
    <s v="8470440"/>
    <x v="26"/>
    <s v="428090"/>
    <s v="Business Travel - Combined expenses"/>
    <s v="847.8470440.1.428090.000000.847001.200179"/>
    <n v="4219"/>
    <m/>
    <n v="0"/>
    <m/>
    <m/>
    <m/>
    <m/>
    <m/>
    <m/>
    <m/>
    <n v="0"/>
    <m/>
    <n v="4219"/>
    <m/>
    <x v="0"/>
  </r>
  <r>
    <x v="0"/>
    <x v="6"/>
    <s v="8470440"/>
    <x v="26"/>
    <s v="428640"/>
    <s v="Events - Awards, prizes &amp; gifts"/>
    <s v="847.8470440.1.428640.000000.847001.200179"/>
    <n v="2174"/>
    <m/>
    <n v="0"/>
    <m/>
    <m/>
    <m/>
    <m/>
    <m/>
    <m/>
    <m/>
    <n v="0"/>
    <m/>
    <n v="2174"/>
    <m/>
    <x v="0"/>
  </r>
  <r>
    <x v="0"/>
    <x v="6"/>
    <s v="8470440"/>
    <x v="26"/>
    <s v="435350"/>
    <s v="Academic Publications"/>
    <s v="847.8470440.1.435350.000000.847001.200179"/>
    <n v="29600"/>
    <n v="1092.1300000000001"/>
    <n v="0"/>
    <m/>
    <m/>
    <m/>
    <m/>
    <m/>
    <m/>
    <m/>
    <n v="0"/>
    <m/>
    <n v="28507.87"/>
    <m/>
    <x v="0"/>
  </r>
  <r>
    <x v="0"/>
    <x v="6"/>
    <s v="8470440"/>
    <x v="26"/>
    <s v="436600"/>
    <s v="Training/Teaching equipment and other educational aid"/>
    <s v="847.8470440.1.436600.000000.847001.200179"/>
    <n v="4195"/>
    <m/>
    <n v="0"/>
    <m/>
    <m/>
    <m/>
    <m/>
    <m/>
    <m/>
    <m/>
    <n v="0"/>
    <m/>
    <n v="4195"/>
    <m/>
    <x v="0"/>
  </r>
  <r>
    <x v="0"/>
    <x v="6"/>
    <s v="8470445"/>
    <x v="27"/>
    <s v="425510"/>
    <s v="Conferences, seminars and exhibitions and other events: - Local Events"/>
    <s v="847.8470445.1.425510.000000.847001.200179"/>
    <n v="20000"/>
    <n v="15428.01"/>
    <m/>
    <m/>
    <m/>
    <m/>
    <m/>
    <m/>
    <m/>
    <m/>
    <n v="0"/>
    <m/>
    <n v="4571.99"/>
    <m/>
    <x v="0"/>
  </r>
  <r>
    <x v="0"/>
    <x v="6"/>
    <s v="8470445"/>
    <x v="27"/>
    <s v="425720"/>
    <s v="Education-Outsourced training service"/>
    <s v="847.8470445.1.425720.000000.847001.200179"/>
    <n v="19190"/>
    <n v="36730"/>
    <n v="-18365"/>
    <n v="0"/>
    <m/>
    <m/>
    <m/>
    <m/>
    <m/>
    <m/>
    <n v="0"/>
    <m/>
    <n v="825"/>
    <m/>
    <x v="0"/>
  </r>
  <r>
    <x v="0"/>
    <x v="6"/>
    <s v="8470445"/>
    <x v="27"/>
    <s v="425770"/>
    <s v="Academic Missions - Combined expenses"/>
    <s v="847.8470445.1.425770.000000.847001.200179"/>
    <n v="382177"/>
    <n v="56401.919999999998"/>
    <m/>
    <m/>
    <m/>
    <m/>
    <m/>
    <m/>
    <m/>
    <m/>
    <n v="0"/>
    <m/>
    <n v="325775.08"/>
    <m/>
    <x v="0"/>
  </r>
  <r>
    <x v="0"/>
    <x v="6"/>
    <s v="8470445"/>
    <x v="27"/>
    <s v="426610"/>
    <s v="Computer software licenses-Software License Renewal"/>
    <s v="847.8470445.1.426610.000000.847001.200179"/>
    <n v="21928"/>
    <n v="13636.64"/>
    <n v="1875"/>
    <n v="0"/>
    <m/>
    <m/>
    <m/>
    <m/>
    <m/>
    <m/>
    <n v="0"/>
    <m/>
    <n v="6416.3600000000006"/>
    <m/>
    <x v="0"/>
  </r>
  <r>
    <x v="0"/>
    <x v="6"/>
    <s v="8470445"/>
    <x v="27"/>
    <s v="435350"/>
    <s v="Academic Publications"/>
    <s v="847.8470445.1.435350.000000.847001.200179"/>
    <n v="202000"/>
    <n v="75369.95"/>
    <m/>
    <m/>
    <m/>
    <m/>
    <m/>
    <m/>
    <m/>
    <m/>
    <n v="0"/>
    <m/>
    <n v="126630.05"/>
    <m/>
    <x v="0"/>
  </r>
  <r>
    <x v="0"/>
    <x v="6"/>
    <s v="8470450"/>
    <x v="28"/>
    <s v="420550"/>
    <s v="Academic Advisory Service"/>
    <s v="847.8470450.1.420550.000000.847001.200179"/>
    <n v="0"/>
    <m/>
    <m/>
    <m/>
    <m/>
    <m/>
    <m/>
    <m/>
    <m/>
    <m/>
    <n v="0"/>
    <m/>
    <n v="0"/>
    <m/>
    <x v="0"/>
  </r>
  <r>
    <x v="0"/>
    <x v="6"/>
    <s v="8470450"/>
    <x v="28"/>
    <s v="421700"/>
    <s v="Standards Certification Services (e.g. ISO)"/>
    <s v="847.8470450.1.421700.000000.847001.200179"/>
    <n v="0"/>
    <m/>
    <m/>
    <m/>
    <m/>
    <m/>
    <m/>
    <m/>
    <m/>
    <m/>
    <n v="0"/>
    <m/>
    <n v="0"/>
    <m/>
    <x v="0"/>
  </r>
  <r>
    <x v="0"/>
    <x v="6"/>
    <s v="8470450"/>
    <x v="28"/>
    <s v="425510"/>
    <s v="Conferences, seminars and exhibitions and other events: - Local Events"/>
    <s v="847.8470450.1.425510.000000.847001.200179"/>
    <n v="9100"/>
    <n v="4135"/>
    <m/>
    <m/>
    <m/>
    <m/>
    <m/>
    <m/>
    <m/>
    <m/>
    <n v="0"/>
    <m/>
    <n v="4965"/>
    <m/>
    <x v="0"/>
  </r>
  <r>
    <x v="0"/>
    <x v="6"/>
    <s v="8470450"/>
    <x v="28"/>
    <s v="425761"/>
    <s v="Student Field trips"/>
    <s v="847.8470450.1.425761.000000.847001.200179"/>
    <n v="302244"/>
    <n v="83215"/>
    <m/>
    <m/>
    <m/>
    <m/>
    <m/>
    <m/>
    <m/>
    <m/>
    <n v="0"/>
    <m/>
    <n v="219029"/>
    <m/>
    <x v="0"/>
  </r>
  <r>
    <x v="0"/>
    <x v="6"/>
    <s v="8470450"/>
    <x v="28"/>
    <s v="425763"/>
    <s v="Student Project Expenses"/>
    <s v="847.8470450.1.425763.000000.847001.200179"/>
    <n v="745"/>
    <n v="743.33"/>
    <m/>
    <m/>
    <m/>
    <m/>
    <m/>
    <m/>
    <m/>
    <m/>
    <n v="0"/>
    <m/>
    <n v="1.6699999999999591"/>
    <m/>
    <x v="0"/>
  </r>
  <r>
    <x v="0"/>
    <x v="6"/>
    <s v="8470450"/>
    <x v="28"/>
    <s v="425770"/>
    <s v="Academic Missions - Combined expenses"/>
    <s v="847.8470450.1.425770.000000.847001.200179"/>
    <n v="110000"/>
    <n v="38762.949999999997"/>
    <m/>
    <m/>
    <m/>
    <m/>
    <m/>
    <m/>
    <m/>
    <m/>
    <n v="0"/>
    <m/>
    <n v="71237.05"/>
    <m/>
    <x v="0"/>
  </r>
  <r>
    <x v="0"/>
    <x v="6"/>
    <s v="8470450"/>
    <x v="28"/>
    <s v="426610"/>
    <s v="Computer software licenses-Software License Renewal"/>
    <s v="847.8470450.1.426610.000000.847001.200179"/>
    <n v="35628"/>
    <m/>
    <m/>
    <m/>
    <m/>
    <m/>
    <m/>
    <m/>
    <m/>
    <m/>
    <n v="0"/>
    <m/>
    <n v="35628"/>
    <m/>
    <x v="0"/>
  </r>
  <r>
    <x v="0"/>
    <x v="6"/>
    <s v="8470450"/>
    <x v="28"/>
    <s v="432209"/>
    <s v="Laboratory Equipment maintenance"/>
    <s v="847.8470450.1.432209.000000.847001.200179"/>
    <n v="33898"/>
    <m/>
    <n v="4987.5"/>
    <n v="15000"/>
    <m/>
    <m/>
    <m/>
    <m/>
    <m/>
    <m/>
    <n v="0"/>
    <m/>
    <n v="13910.5"/>
    <m/>
    <x v="0"/>
  </r>
  <r>
    <x v="0"/>
    <x v="6"/>
    <s v="8470450"/>
    <x v="28"/>
    <s v="435350"/>
    <s v="Academic Publications"/>
    <s v="847.8470450.1.435350.000000.847001.200179"/>
    <n v="20000"/>
    <m/>
    <m/>
    <m/>
    <m/>
    <m/>
    <m/>
    <m/>
    <m/>
    <m/>
    <n v="0"/>
    <m/>
    <n v="20000"/>
    <m/>
    <x v="0"/>
  </r>
  <r>
    <x v="0"/>
    <x v="6"/>
    <s v="8470455"/>
    <x v="29"/>
    <s v="425770"/>
    <s v="Academic Missions - Combined expenses"/>
    <s v="847.8470455.1.425770.000000.847001.200179"/>
    <n v="74285"/>
    <n v="8711.9699999999993"/>
    <m/>
    <m/>
    <m/>
    <m/>
    <n v="12500"/>
    <n v="14800"/>
    <n v="16500"/>
    <n v="18000"/>
    <n v="61800"/>
    <m/>
    <n v="3773.0299999999988"/>
    <s v="Some of the faculty members used their own resarch grants for travel realted expenses"/>
    <x v="1"/>
  </r>
  <r>
    <x v="0"/>
    <x v="6"/>
    <s v="8470455"/>
    <x v="29"/>
    <s v="425900"/>
    <s v="Entertainment and hospitality"/>
    <s v="847.8470455.1.425900.000000.847001.200179"/>
    <n v="5020"/>
    <n v="2700"/>
    <m/>
    <m/>
    <m/>
    <m/>
    <n v="2300"/>
    <m/>
    <m/>
    <m/>
    <n v="2300"/>
    <m/>
    <n v="20"/>
    <m/>
    <x v="1"/>
  </r>
  <r>
    <x v="0"/>
    <x v="6"/>
    <s v="8470455"/>
    <x v="29"/>
    <s v="426610"/>
    <s v="Computer software licenses-Software License Renewal"/>
    <s v="847.8470455.1.426610.000000.847001.200179"/>
    <n v="30436"/>
    <m/>
    <n v="2600"/>
    <m/>
    <m/>
    <m/>
    <n v="18850"/>
    <m/>
    <m/>
    <m/>
    <n v="18850"/>
    <m/>
    <n v="8986"/>
    <s v="CTL offered to help with the purchase of a teahcing software (Labster)"/>
    <x v="1"/>
  </r>
  <r>
    <x v="0"/>
    <x v="6"/>
    <s v="8470455"/>
    <x v="29"/>
    <s v="432209"/>
    <s v="Laboratory Equipment maintenance"/>
    <s v="847.8470455.1.432209.000000.847001.200179"/>
    <n v="291800"/>
    <m/>
    <n v="233932"/>
    <m/>
    <m/>
    <n v="55000"/>
    <m/>
    <m/>
    <m/>
    <m/>
    <n v="55000"/>
    <m/>
    <n v="2868"/>
    <s v="Some of the instrument-related (maintenance-related) were previously purhcased through research grants"/>
    <x v="1"/>
  </r>
  <r>
    <x v="0"/>
    <x v="6"/>
    <s v="8470455"/>
    <x v="29"/>
    <s v="435350"/>
    <s v="Academic Publications"/>
    <s v="847.8470455.1.435350.000000.847001.200179"/>
    <n v="40510"/>
    <n v="6747.11"/>
    <m/>
    <m/>
    <m/>
    <m/>
    <m/>
    <n v="9500"/>
    <n v="10500"/>
    <n v="11500"/>
    <n v="31500"/>
    <m/>
    <n v="2262.8899999999994"/>
    <s v="Some of the faculty members used their own resarch grants for publications charges"/>
    <x v="1"/>
  </r>
  <r>
    <x v="0"/>
    <x v="6"/>
    <s v="8470455"/>
    <x v="29"/>
    <s v="435508"/>
    <s v="Laboratory - Scientific"/>
    <s v="847.8470455.1.435508.000000.847001.200179"/>
    <n v="234440"/>
    <n v="95295.26"/>
    <n v="-28721"/>
    <n v="106162.5"/>
    <m/>
    <n v="61500"/>
    <m/>
    <m/>
    <m/>
    <m/>
    <n v="61500"/>
    <m/>
    <n v="203.23999999999069"/>
    <m/>
    <x v="1"/>
  </r>
  <r>
    <x v="0"/>
    <x v="7"/>
    <s v="8470520"/>
    <x v="30"/>
    <s v="425510"/>
    <s v="Conferences, seminars and exhibitions and other events: - Local Events"/>
    <s v="847.8470520.1.425510.000000.847001.200179"/>
    <n v="7162"/>
    <n v="1659"/>
    <m/>
    <m/>
    <m/>
    <m/>
    <m/>
    <m/>
    <m/>
    <m/>
    <n v="0"/>
    <m/>
    <n v="5503"/>
    <m/>
    <x v="0"/>
  </r>
  <r>
    <x v="0"/>
    <x v="7"/>
    <s v="8470520"/>
    <x v="30"/>
    <s v="427710"/>
    <s v="Subscriptions and membership fees: Trade organisations"/>
    <s v="847.8470520.1.427710.000000.847001.200179"/>
    <n v="10510"/>
    <m/>
    <n v="0"/>
    <m/>
    <m/>
    <m/>
    <m/>
    <m/>
    <m/>
    <m/>
    <n v="0"/>
    <m/>
    <n v="10510"/>
    <m/>
    <x v="0"/>
  </r>
  <r>
    <x v="0"/>
    <x v="7"/>
    <s v="8470520"/>
    <x v="30"/>
    <s v="428200"/>
    <s v="Health,safety&amp;environment awareness"/>
    <s v="847.8470520.1.428200.000000.847001.200179"/>
    <n v="333750"/>
    <n v="39176.61"/>
    <n v="58537.15"/>
    <n v="96085.01"/>
    <m/>
    <m/>
    <m/>
    <m/>
    <m/>
    <m/>
    <n v="0"/>
    <m/>
    <n v="139951.23000000004"/>
    <m/>
    <x v="0"/>
  </r>
  <r>
    <x v="0"/>
    <x v="7"/>
    <s v="8470530"/>
    <x v="31"/>
    <s v="420310"/>
    <s v="Cleaning Services: Business premises"/>
    <s v="847.8470530.1.420310.000000.847010.200179"/>
    <n v="4200474"/>
    <n v="1348857.19"/>
    <n v="0"/>
    <n v="2851616.25"/>
    <m/>
    <m/>
    <m/>
    <m/>
    <m/>
    <m/>
    <n v="0"/>
    <m/>
    <n v="0.56000000005587935"/>
    <m/>
    <x v="0"/>
  </r>
  <r>
    <x v="0"/>
    <x v="7"/>
    <s v="8470530"/>
    <x v="31"/>
    <s v="420310"/>
    <s v="Cleaning Services: Business premises"/>
    <s v="847.8470530.1.420310.000000.847015.200179"/>
    <n v="2486010"/>
    <n v="819022.46"/>
    <n v="0"/>
    <n v="1666987.54"/>
    <m/>
    <m/>
    <m/>
    <m/>
    <m/>
    <m/>
    <n v="0"/>
    <m/>
    <n v="0"/>
    <m/>
    <x v="0"/>
  </r>
  <r>
    <x v="0"/>
    <x v="7"/>
    <s v="8470530"/>
    <x v="31"/>
    <s v="420310"/>
    <s v="Cleaning Services: Business premises"/>
    <s v="847.8470530.1.420310.000000.847020.200179"/>
    <n v="2486253"/>
    <n v="796039.75"/>
    <n v="40000"/>
    <n v="1594960.51"/>
    <m/>
    <m/>
    <m/>
    <m/>
    <m/>
    <m/>
    <n v="0"/>
    <m/>
    <n v="55252.739999999991"/>
    <m/>
    <x v="0"/>
  </r>
  <r>
    <x v="0"/>
    <x v="7"/>
    <s v="8470530"/>
    <x v="31"/>
    <s v="421000"/>
    <s v="Management consultancy"/>
    <s v="847.8470530.1.421000.000000.847010.200179"/>
    <n v="833500"/>
    <m/>
    <n v="750000"/>
    <m/>
    <m/>
    <m/>
    <m/>
    <m/>
    <m/>
    <m/>
    <n v="0"/>
    <m/>
    <n v="83500"/>
    <m/>
    <x v="0"/>
  </r>
  <r>
    <x v="0"/>
    <x v="7"/>
    <s v="8470530"/>
    <x v="31"/>
    <s v="421600"/>
    <s v="Security service"/>
    <s v="847.8470530.1.421600.000000.847010.200179"/>
    <n v="3615061"/>
    <n v="1674250.08"/>
    <n v="332200"/>
    <n v="409713.33"/>
    <m/>
    <m/>
    <m/>
    <m/>
    <m/>
    <m/>
    <n v="0"/>
    <m/>
    <n v="1198897.5899999999"/>
    <m/>
    <x v="0"/>
  </r>
  <r>
    <x v="0"/>
    <x v="7"/>
    <s v="8470530"/>
    <x v="31"/>
    <s v="421600"/>
    <s v="Security service"/>
    <s v="847.8470530.1.421600.000000.847015.200179"/>
    <n v="2421018"/>
    <n v="611384.02"/>
    <n v="0"/>
    <n v="701192.98"/>
    <m/>
    <m/>
    <m/>
    <m/>
    <m/>
    <m/>
    <n v="0"/>
    <m/>
    <n v="1108441"/>
    <m/>
    <x v="0"/>
  </r>
  <r>
    <x v="0"/>
    <x v="7"/>
    <s v="8470530"/>
    <x v="31"/>
    <s v="421600"/>
    <s v="Security service"/>
    <s v="847.8470530.1.421600.000000.847020.200179"/>
    <n v="1972180"/>
    <n v="878111.79"/>
    <n v="-161217.89000000001"/>
    <n v="548064.72"/>
    <m/>
    <m/>
    <m/>
    <m/>
    <m/>
    <m/>
    <n v="0"/>
    <m/>
    <n v="707221.38000000012"/>
    <m/>
    <x v="0"/>
  </r>
  <r>
    <x v="0"/>
    <x v="7"/>
    <s v="8470530"/>
    <x v="31"/>
    <s v="421600"/>
    <s v="Security service"/>
    <s v="847.8470530.1.421600.000000.847030.200179"/>
    <n v="592937"/>
    <n v="279943.89"/>
    <n v="2.91038304567337E-11"/>
    <n v="34040"/>
    <m/>
    <m/>
    <m/>
    <m/>
    <m/>
    <m/>
    <n v="0"/>
    <m/>
    <n v="278953.11"/>
    <m/>
    <x v="0"/>
  </r>
  <r>
    <x v="0"/>
    <x v="7"/>
    <s v="8470530"/>
    <x v="31"/>
    <s v="421700"/>
    <s v="Standards Certification Services (e.g. ISO)"/>
    <s v="847.8470530.1.421700.000000.847010.200179"/>
    <n v="0"/>
    <m/>
    <m/>
    <m/>
    <m/>
    <m/>
    <m/>
    <m/>
    <m/>
    <m/>
    <n v="0"/>
    <m/>
    <n v="0"/>
    <m/>
    <x v="0"/>
  </r>
  <r>
    <x v="0"/>
    <x v="7"/>
    <s v="8470530"/>
    <x v="31"/>
    <s v="425510"/>
    <s v="Conferences, seminars and exhibitions and other events: - Local Events"/>
    <s v="847.8470530.1.425510.000000.847010.200179"/>
    <n v="21793"/>
    <n v="3239.25"/>
    <m/>
    <m/>
    <m/>
    <m/>
    <m/>
    <m/>
    <m/>
    <m/>
    <n v="0"/>
    <m/>
    <n v="18553.75"/>
    <m/>
    <x v="0"/>
  </r>
  <r>
    <x v="0"/>
    <x v="7"/>
    <s v="8470530"/>
    <x v="31"/>
    <s v="425747"/>
    <s v="Student Accommodation"/>
    <s v="847.8470530.1.425747.000000.847015.200179"/>
    <n v="8473395"/>
    <n v="8473395"/>
    <m/>
    <m/>
    <m/>
    <m/>
    <m/>
    <m/>
    <m/>
    <m/>
    <n v="0"/>
    <m/>
    <n v="0"/>
    <m/>
    <x v="0"/>
  </r>
  <r>
    <x v="0"/>
    <x v="7"/>
    <s v="8470530"/>
    <x v="31"/>
    <s v="425900"/>
    <s v="Entertainment and hospitality"/>
    <s v="847.8470530.1.425900.000000.847010.200179"/>
    <n v="20000"/>
    <n v="5234.25"/>
    <m/>
    <m/>
    <m/>
    <m/>
    <m/>
    <m/>
    <m/>
    <m/>
    <n v="0"/>
    <m/>
    <n v="14765.75"/>
    <m/>
    <x v="0"/>
  </r>
  <r>
    <x v="0"/>
    <x v="7"/>
    <s v="8470530"/>
    <x v="31"/>
    <s v="426220"/>
    <s v="Insurance - Fire and allied perils"/>
    <s v="847.8470530.1.426220.000000.847010.200179"/>
    <n v="879708"/>
    <n v="56099.61"/>
    <m/>
    <m/>
    <m/>
    <m/>
    <m/>
    <m/>
    <m/>
    <m/>
    <n v="0"/>
    <m/>
    <n v="823608.39"/>
    <m/>
    <x v="0"/>
  </r>
  <r>
    <x v="0"/>
    <x v="7"/>
    <s v="8470530"/>
    <x v="31"/>
    <s v="426900"/>
    <s v="Postal, courier and other document delivery expenses"/>
    <s v="847.8470530.1.426900.000000.847010.200179"/>
    <n v="6000"/>
    <n v="5800"/>
    <m/>
    <m/>
    <m/>
    <m/>
    <m/>
    <m/>
    <m/>
    <m/>
    <n v="0"/>
    <m/>
    <n v="200"/>
    <m/>
    <x v="0"/>
  </r>
  <r>
    <x v="0"/>
    <x v="7"/>
    <s v="8470530"/>
    <x v="31"/>
    <s v="428090"/>
    <s v="Business Travel - Combined expenses"/>
    <s v="847.8470530.1.428090.000000.847001.200179"/>
    <n v="100000"/>
    <m/>
    <m/>
    <m/>
    <m/>
    <m/>
    <m/>
    <m/>
    <m/>
    <m/>
    <n v="0"/>
    <m/>
    <n v="100000"/>
    <m/>
    <x v="0"/>
  </r>
  <r>
    <x v="0"/>
    <x v="7"/>
    <s v="8470530"/>
    <x v="31"/>
    <s v="429900"/>
    <s v="Other services, not specifically mentioned elsewhere"/>
    <s v="847.8470530.1.429900.000000.847010.200179"/>
    <n v="1776"/>
    <m/>
    <m/>
    <m/>
    <m/>
    <m/>
    <m/>
    <m/>
    <m/>
    <m/>
    <n v="0"/>
    <m/>
    <n v="1776"/>
    <m/>
    <x v="0"/>
  </r>
  <r>
    <x v="0"/>
    <x v="7"/>
    <s v="8470530"/>
    <x v="31"/>
    <s v="430110"/>
    <s v="Rental - Land"/>
    <s v="847.8470530.1.430110.000000.847020.200179"/>
    <n v="199500"/>
    <n v="199212.79999999999"/>
    <m/>
    <m/>
    <m/>
    <m/>
    <m/>
    <m/>
    <m/>
    <m/>
    <n v="0"/>
    <m/>
    <n v="287.20000000001164"/>
    <m/>
    <x v="0"/>
  </r>
  <r>
    <x v="0"/>
    <x v="7"/>
    <s v="8470530"/>
    <x v="31"/>
    <s v="432120"/>
    <s v="Bldg maintenance-Business premises"/>
    <s v="847.8470530.1.432120.000000.847010.200179"/>
    <n v="14141275"/>
    <n v="3291079.38"/>
    <n v="7232808.5"/>
    <n v="518858.53"/>
    <m/>
    <m/>
    <m/>
    <m/>
    <m/>
    <m/>
    <n v="0"/>
    <m/>
    <n v="3098528.5900000008"/>
    <m/>
    <x v="0"/>
  </r>
  <r>
    <x v="0"/>
    <x v="7"/>
    <s v="8470530"/>
    <x v="31"/>
    <s v="432120"/>
    <s v="Bldg maintenance-Business premises"/>
    <s v="847.8470530.1.432120.000000.847015.200179"/>
    <n v="8106876"/>
    <n v="1585361.24"/>
    <n v="2962785.45"/>
    <n v="296457.93"/>
    <m/>
    <m/>
    <m/>
    <m/>
    <m/>
    <m/>
    <n v="0"/>
    <m/>
    <n v="3262271.3799999994"/>
    <m/>
    <x v="0"/>
  </r>
  <r>
    <x v="0"/>
    <x v="7"/>
    <s v="8470530"/>
    <x v="31"/>
    <s v="432120"/>
    <s v="Bldg maintenance-Business premises"/>
    <s v="847.8470530.1.432120.000000.847020.200179"/>
    <n v="8486059"/>
    <n v="1346309.26"/>
    <n v="4913905.8"/>
    <n v="921887.95"/>
    <m/>
    <m/>
    <m/>
    <m/>
    <m/>
    <m/>
    <n v="0"/>
    <m/>
    <n v="1303955.9900000005"/>
    <m/>
    <x v="0"/>
  </r>
  <r>
    <x v="0"/>
    <x v="7"/>
    <s v="8470530"/>
    <x v="31"/>
    <s v="432120"/>
    <s v="Bldg maintenance-Business premises"/>
    <s v="847.8470530.1.432120.000000.847030.200179"/>
    <n v="1164983"/>
    <n v="308276.03000000003"/>
    <n v="101593"/>
    <n v="10331.049999999999"/>
    <m/>
    <m/>
    <m/>
    <m/>
    <m/>
    <m/>
    <n v="0"/>
    <m/>
    <n v="744782.91999999993"/>
    <m/>
    <x v="0"/>
  </r>
  <r>
    <x v="0"/>
    <x v="7"/>
    <s v="8470530"/>
    <x v="31"/>
    <s v="432170"/>
    <s v="Bldg decoration &amp; minor improvements"/>
    <s v="847.8470530.1.432170.000000.847010.200179"/>
    <n v="19200"/>
    <n v="17784.759999999998"/>
    <m/>
    <m/>
    <m/>
    <m/>
    <m/>
    <m/>
    <m/>
    <m/>
    <n v="0"/>
    <m/>
    <n v="1415.2400000000016"/>
    <m/>
    <x v="0"/>
  </r>
  <r>
    <x v="0"/>
    <x v="7"/>
    <s v="8470530"/>
    <x v="31"/>
    <s v="432320"/>
    <s v="Maintenance: Residential Furniture and fixtures"/>
    <s v="847.8470530.1.432320.000000.847001.200179"/>
    <n v="8248"/>
    <m/>
    <n v="3600"/>
    <m/>
    <m/>
    <m/>
    <m/>
    <m/>
    <m/>
    <m/>
    <n v="0"/>
    <m/>
    <n v="4648"/>
    <m/>
    <x v="0"/>
  </r>
  <r>
    <x v="0"/>
    <x v="7"/>
    <s v="8470530"/>
    <x v="31"/>
    <s v="432320"/>
    <s v="Maintenance: Residential Furniture and fixtures"/>
    <s v="847.8470530.1.432320.000000.847010.200179"/>
    <n v="0"/>
    <n v="-9.0949470177292804E-13"/>
    <m/>
    <m/>
    <m/>
    <m/>
    <m/>
    <m/>
    <m/>
    <m/>
    <n v="0"/>
    <m/>
    <n v="9.0949470177292804E-13"/>
    <m/>
    <x v="0"/>
  </r>
  <r>
    <x v="0"/>
    <x v="7"/>
    <s v="8470530"/>
    <x v="31"/>
    <s v="432540"/>
    <s v="Motor vehicles (non-military)"/>
    <s v="847.8470530.1.432540.000000.847010.200179"/>
    <n v="10000"/>
    <n v="10000"/>
    <m/>
    <m/>
    <m/>
    <m/>
    <m/>
    <m/>
    <m/>
    <m/>
    <n v="0"/>
    <m/>
    <n v="0"/>
    <m/>
    <x v="0"/>
  </r>
  <r>
    <x v="0"/>
    <x v="7"/>
    <s v="8470530"/>
    <x v="31"/>
    <s v="435410"/>
    <s v="Catering supplies: Offices"/>
    <s v="847.8470530.1.435410.000000.847020.200179"/>
    <n v="43914"/>
    <n v="43913.55"/>
    <n v="0"/>
    <n v="0"/>
    <m/>
    <m/>
    <m/>
    <m/>
    <m/>
    <m/>
    <n v="0"/>
    <m/>
    <n v="0.44999999999708962"/>
    <m/>
    <x v="0"/>
  </r>
  <r>
    <x v="0"/>
    <x v="7"/>
    <s v="8470540"/>
    <x v="32"/>
    <s v="421100"/>
    <s v="Manpower supply &quot;Other Than IT Related&quot;"/>
    <s v="847.8470540.1.421100.000000.847010.200179"/>
    <n v="9417"/>
    <m/>
    <m/>
    <m/>
    <m/>
    <m/>
    <m/>
    <m/>
    <m/>
    <m/>
    <n v="0"/>
    <m/>
    <n v="9417"/>
    <m/>
    <x v="0"/>
  </r>
  <r>
    <x v="0"/>
    <x v="7"/>
    <s v="8470540"/>
    <x v="32"/>
    <s v="426800"/>
    <s v="Motor vehicle registration and inspection charges"/>
    <s v="847.8470540.1.426800.000000.847001.200179"/>
    <n v="848"/>
    <n v="350"/>
    <m/>
    <m/>
    <m/>
    <m/>
    <m/>
    <m/>
    <m/>
    <m/>
    <n v="0"/>
    <m/>
    <n v="498"/>
    <m/>
    <x v="0"/>
  </r>
  <r>
    <x v="0"/>
    <x v="7"/>
    <s v="8470540"/>
    <x v="32"/>
    <s v="427710"/>
    <s v="Subscriptions and membership fees: Trade organisations"/>
    <s v="847.8470540.1.427710.000000.847001.200179"/>
    <n v="4000"/>
    <m/>
    <m/>
    <m/>
    <m/>
    <m/>
    <m/>
    <m/>
    <m/>
    <m/>
    <n v="0"/>
    <m/>
    <n v="4000"/>
    <m/>
    <x v="0"/>
  </r>
  <r>
    <x v="0"/>
    <x v="7"/>
    <s v="8470540"/>
    <x v="32"/>
    <s v="428111"/>
    <s v="Electricity consumption charges"/>
    <s v="847.8470540.1.428111.000000.847010.200179"/>
    <n v="11609542"/>
    <n v="2308775.73"/>
    <m/>
    <m/>
    <m/>
    <m/>
    <m/>
    <m/>
    <m/>
    <m/>
    <n v="0"/>
    <m/>
    <n v="9300766.2699999996"/>
    <m/>
    <x v="0"/>
  </r>
  <r>
    <x v="0"/>
    <x v="7"/>
    <s v="8470540"/>
    <x v="32"/>
    <s v="428111"/>
    <s v="Electricity consumption charges"/>
    <s v="847.8470540.1.428111.000000.847015.200179"/>
    <n v="4835641"/>
    <n v="1247690.1599999999"/>
    <m/>
    <m/>
    <m/>
    <m/>
    <m/>
    <m/>
    <m/>
    <m/>
    <n v="0"/>
    <m/>
    <n v="3587950.84"/>
    <m/>
    <x v="0"/>
  </r>
  <r>
    <x v="0"/>
    <x v="7"/>
    <s v="8470540"/>
    <x v="32"/>
    <s v="428111"/>
    <s v="Electricity consumption charges"/>
    <s v="847.8470540.1.428111.000000.847020.200179"/>
    <n v="5255311"/>
    <n v="1229738.76"/>
    <m/>
    <m/>
    <m/>
    <m/>
    <m/>
    <m/>
    <m/>
    <m/>
    <n v="0"/>
    <m/>
    <n v="4025572.24"/>
    <m/>
    <x v="0"/>
  </r>
  <r>
    <x v="0"/>
    <x v="7"/>
    <s v="8470540"/>
    <x v="32"/>
    <s v="428112"/>
    <s v="Water consumption charges"/>
    <s v="847.8470540.1.428112.000000.847010.200179"/>
    <n v="1687672"/>
    <n v="296776.68"/>
    <m/>
    <m/>
    <m/>
    <m/>
    <m/>
    <m/>
    <m/>
    <m/>
    <n v="0"/>
    <m/>
    <n v="1390895.32"/>
    <m/>
    <x v="0"/>
  </r>
  <r>
    <x v="0"/>
    <x v="7"/>
    <s v="8470540"/>
    <x v="32"/>
    <s v="428112"/>
    <s v="Water consumption charges"/>
    <s v="847.8470540.1.428112.000000.847015.200179"/>
    <n v="1479473"/>
    <n v="393988.21"/>
    <m/>
    <m/>
    <m/>
    <m/>
    <m/>
    <m/>
    <m/>
    <m/>
    <n v="0"/>
    <m/>
    <n v="1085484.79"/>
    <m/>
    <x v="0"/>
  </r>
  <r>
    <x v="0"/>
    <x v="7"/>
    <s v="8470540"/>
    <x v="32"/>
    <s v="428112"/>
    <s v="Water consumption charges"/>
    <s v="847.8470540.1.428112.000000.847020.200179"/>
    <n v="1523249"/>
    <n v="369522.71"/>
    <m/>
    <m/>
    <m/>
    <m/>
    <m/>
    <m/>
    <m/>
    <m/>
    <n v="0"/>
    <m/>
    <n v="1153726.29"/>
    <m/>
    <x v="0"/>
  </r>
  <r>
    <x v="0"/>
    <x v="7"/>
    <s v="8470540"/>
    <x v="32"/>
    <s v="430330"/>
    <s v="Rental - Motor vehicles"/>
    <s v="847.8470540.1.430330.000000.847010.200179"/>
    <n v="1228068"/>
    <n v="10730"/>
    <n v="936310"/>
    <n v="280310"/>
    <m/>
    <m/>
    <m/>
    <m/>
    <m/>
    <m/>
    <n v="0"/>
    <m/>
    <n v="718"/>
    <m/>
    <x v="0"/>
  </r>
  <r>
    <x v="0"/>
    <x v="7"/>
    <s v="8470540"/>
    <x v="32"/>
    <s v="432540"/>
    <s v="Motor vehicles (non-military)"/>
    <s v="847.8470540.1.432540.000000.847010.200179"/>
    <n v="79602"/>
    <n v="28559.54"/>
    <n v="0"/>
    <n v="23232"/>
    <m/>
    <m/>
    <m/>
    <m/>
    <m/>
    <m/>
    <n v="0"/>
    <m/>
    <n v="27810.46"/>
    <m/>
    <x v="0"/>
  </r>
  <r>
    <x v="0"/>
    <x v="7"/>
    <s v="8470540"/>
    <x v="32"/>
    <s v="435410"/>
    <s v="Catering supplies: Offices"/>
    <s v="847.8470540.1.435410.000000.847020.200179"/>
    <n v="597472"/>
    <n v="20754.830000000002"/>
    <n v="73722.14"/>
    <n v="283628.65000000002"/>
    <m/>
    <m/>
    <m/>
    <m/>
    <m/>
    <m/>
    <n v="0"/>
    <m/>
    <n v="219366.38"/>
    <m/>
    <x v="0"/>
  </r>
  <r>
    <x v="0"/>
    <x v="7"/>
    <s v="8470540"/>
    <x v="32"/>
    <s v="435740"/>
    <s v="Fuel, oil and lubricants: Motor vehicles"/>
    <s v="847.8470540.1.435740.000000.847010.200179"/>
    <n v="252000"/>
    <n v="7565.86"/>
    <m/>
    <m/>
    <m/>
    <m/>
    <m/>
    <m/>
    <m/>
    <m/>
    <n v="0"/>
    <m/>
    <n v="244434.14"/>
    <m/>
    <x v="0"/>
  </r>
  <r>
    <x v="0"/>
    <x v="7"/>
    <s v="8470540"/>
    <x v="32"/>
    <s v="436110"/>
    <s v="Printing supplies"/>
    <s v="847.8470540.1.436110.000000.847010.200179"/>
    <n v="65619"/>
    <n v="11100"/>
    <n v="28624.05"/>
    <m/>
    <m/>
    <m/>
    <m/>
    <m/>
    <m/>
    <m/>
    <n v="0"/>
    <m/>
    <n v="25894.95"/>
    <m/>
    <x v="0"/>
  </r>
  <r>
    <x v="0"/>
    <x v="8"/>
    <s v="8470605"/>
    <x v="33"/>
    <s v="421000"/>
    <s v="Management consultancy"/>
    <s v="847.8470605.1.421000.000000.847001.200179"/>
    <n v="860913"/>
    <n v="245000"/>
    <n v="0"/>
    <n v="122500"/>
    <m/>
    <m/>
    <m/>
    <m/>
    <m/>
    <m/>
    <n v="0"/>
    <m/>
    <n v="493413"/>
    <m/>
    <x v="0"/>
  </r>
  <r>
    <x v="0"/>
    <x v="8"/>
    <s v="8470605"/>
    <x v="33"/>
    <s v="425720"/>
    <s v="Education-Outsourced training service"/>
    <s v="847.8470605.1.425720.000000.847001.200179"/>
    <n v="500000"/>
    <m/>
    <m/>
    <m/>
    <m/>
    <m/>
    <m/>
    <m/>
    <m/>
    <m/>
    <n v="0"/>
    <m/>
    <n v="500000"/>
    <m/>
    <x v="0"/>
  </r>
  <r>
    <x v="0"/>
    <x v="8"/>
    <s v="8470605"/>
    <x v="33"/>
    <s v="425900"/>
    <s v="Entertainment and hospitality"/>
    <s v="847.8470605.1.425900.000000.847001.200179"/>
    <n v="780442"/>
    <m/>
    <m/>
    <m/>
    <m/>
    <m/>
    <m/>
    <m/>
    <m/>
    <m/>
    <n v="0"/>
    <m/>
    <n v="780442"/>
    <m/>
    <x v="0"/>
  </r>
  <r>
    <x v="0"/>
    <x v="8"/>
    <s v="8470605"/>
    <x v="33"/>
    <s v="428090"/>
    <s v="Business Travel - Combined expenses"/>
    <s v="847.8470605.1.428090.000000.847001.200179"/>
    <n v="962922"/>
    <n v="67845"/>
    <m/>
    <m/>
    <m/>
    <m/>
    <m/>
    <m/>
    <m/>
    <m/>
    <n v="0"/>
    <m/>
    <n v="895077"/>
    <m/>
    <x v="0"/>
  </r>
  <r>
    <x v="0"/>
    <x v="8"/>
    <s v="8470605"/>
    <x v="33"/>
    <s v="429900"/>
    <s v="Other services, not specifically mentioned elsewhere"/>
    <s v="847.8470605.1.429900.000000.847001.200179"/>
    <n v="500000"/>
    <m/>
    <m/>
    <m/>
    <m/>
    <m/>
    <m/>
    <m/>
    <m/>
    <m/>
    <n v="0"/>
    <m/>
    <n v="500000"/>
    <m/>
    <x v="0"/>
  </r>
  <r>
    <x v="0"/>
    <x v="8"/>
    <s v="8470620"/>
    <x v="34"/>
    <s v="420130"/>
    <s v="External Audit service"/>
    <s v="847.8470620.1.420130.000000.847001.200179"/>
    <n v="383200"/>
    <n v="101000"/>
    <m/>
    <m/>
    <m/>
    <n v="65650"/>
    <m/>
    <m/>
    <m/>
    <n v="131300"/>
    <n v="196950"/>
    <s v="* yearend AED 90,900 + 50,500 addition _x000a_* midyear AED 35,350_x000a_* midyear consolidation report (KUA, KUST &amp; KUX) expected AED 30,300_x000a_*internal control (ICFR) AED 60,600_x000a_* 50% advance for 2023 audit plus consolidation FS (KUA, KUST &amp; KUX) expected AED 30,300"/>
    <n v="85250"/>
    <s v="extra budget not requered"/>
    <x v="1"/>
  </r>
  <r>
    <x v="0"/>
    <x v="8"/>
    <s v="8470620"/>
    <x v="34"/>
    <s v="422900"/>
    <s v="Other specialised professional services, not mentioned elsewhere"/>
    <s v="847.8470620.1.422900.000000.847001.200179"/>
    <n v="1119170"/>
    <n v="422860"/>
    <n v="-132860"/>
    <n v="132860"/>
    <m/>
    <m/>
    <m/>
    <m/>
    <m/>
    <n v="470000"/>
    <n v="470000"/>
    <s v="*Gap assessment for the internal control over financial reporting - COSO framework 1*290000_x000a_* COSO remediation AED 95,000 (50%)_x000a_* Impairment loss implementation AED 375,000"/>
    <n v="226310"/>
    <s v="extra budget not requered"/>
    <x v="1"/>
  </r>
  <r>
    <x v="0"/>
    <x v="8"/>
    <s v="8470620"/>
    <x v="34"/>
    <s v="425300"/>
    <s v="Banking service charges / Fees"/>
    <s v="847.8470620.1.425300.000000.847001.200179"/>
    <n v="537"/>
    <n v="562.08000000000004"/>
    <m/>
    <m/>
    <n v="100"/>
    <n v="100"/>
    <n v="100"/>
    <n v="100"/>
    <n v="100"/>
    <n v="100"/>
    <n v="600"/>
    <s v="Bank charges/transaction during the year"/>
    <n v="-625.08000000000004"/>
    <s v="Deficit to be covered from the surplus"/>
    <x v="1"/>
  </r>
  <r>
    <x v="0"/>
    <x v="8"/>
    <s v="8470620"/>
    <x v="34"/>
    <s v="425350"/>
    <s v="Fees for processing e-payments-e-Payment operation"/>
    <s v="847.8470620.1.425350.000000.847001.200179"/>
    <n v="96524"/>
    <n v="49209.25"/>
    <m/>
    <m/>
    <n v="10000"/>
    <n v="10000"/>
    <n v="10000"/>
    <n v="10000"/>
    <n v="10000"/>
    <n v="10000"/>
    <n v="60000"/>
    <s v="Bank charges/transaction during the year"/>
    <n v="-12685.25"/>
    <s v="Deficit to be covered from the surplus"/>
    <x v="1"/>
  </r>
  <r>
    <x v="0"/>
    <x v="8"/>
    <s v="8470620"/>
    <x v="34"/>
    <s v="425900"/>
    <s v="Entertainment and hospitality"/>
    <s v="847.8470620.1.425900.000000.847001.200179"/>
    <n v="2176"/>
    <m/>
    <m/>
    <m/>
    <m/>
    <m/>
    <m/>
    <m/>
    <n v="14400"/>
    <m/>
    <n v="14400"/>
    <s v="35 staff * AED 400 for finance retreat"/>
    <n v="-12224"/>
    <s v="Deficit to be covered from the surplus"/>
    <x v="1"/>
  </r>
  <r>
    <x v="0"/>
    <x v="8"/>
    <s v="8470620"/>
    <x v="34"/>
    <s v="426610"/>
    <s v="Computer software licenses-Software License Renewal"/>
    <s v="847.8470620.1.426610.000000.847001.200179"/>
    <n v="34380"/>
    <n v="2676.89"/>
    <n v="0"/>
    <n v="31680"/>
    <m/>
    <m/>
    <m/>
    <m/>
    <m/>
    <m/>
    <n v="0"/>
    <m/>
    <n v="23.110000000000582"/>
    <m/>
    <x v="1"/>
  </r>
  <r>
    <x v="0"/>
    <x v="9"/>
    <s v="8470720"/>
    <x v="35"/>
    <s v="421000"/>
    <s v="Management consultancy"/>
    <s v="847.8470720.1.421000.000000.847001.200179"/>
    <n v="300000"/>
    <m/>
    <n v="300000"/>
    <m/>
    <m/>
    <m/>
    <m/>
    <m/>
    <m/>
    <m/>
    <n v="0"/>
    <m/>
    <n v="0"/>
    <m/>
    <x v="0"/>
  </r>
  <r>
    <x v="0"/>
    <x v="9"/>
    <s v="8470720"/>
    <x v="35"/>
    <s v="421700"/>
    <s v="Standards Certification Services (e.g. ISO)"/>
    <s v="847.8470720.1.421700.000000.847001.200179"/>
    <n v="10000"/>
    <n v="1706.25"/>
    <m/>
    <m/>
    <m/>
    <m/>
    <m/>
    <m/>
    <m/>
    <m/>
    <n v="0"/>
    <m/>
    <n v="8293.75"/>
    <m/>
    <x v="0"/>
  </r>
  <r>
    <x v="0"/>
    <x v="9"/>
    <s v="8470720"/>
    <x v="35"/>
    <s v="422900"/>
    <s v="Other specialised professional services, not mentioned elsewhere"/>
    <s v="847.8470720.1.422900.000000.847001.200179"/>
    <n v="0"/>
    <m/>
    <m/>
    <m/>
    <m/>
    <m/>
    <m/>
    <m/>
    <m/>
    <m/>
    <n v="0"/>
    <m/>
    <n v="0"/>
    <m/>
    <x v="0"/>
  </r>
  <r>
    <x v="0"/>
    <x v="9"/>
    <s v="8470720"/>
    <x v="35"/>
    <s v="425900"/>
    <s v="Entertainment and hospitality"/>
    <s v="847.8470720.1.425900.000000.847001.200179"/>
    <n v="20000"/>
    <n v="15750"/>
    <m/>
    <m/>
    <m/>
    <m/>
    <m/>
    <m/>
    <m/>
    <m/>
    <n v="0"/>
    <m/>
    <n v="4250"/>
    <m/>
    <x v="0"/>
  </r>
  <r>
    <x v="0"/>
    <x v="9"/>
    <s v="8470720"/>
    <x v="35"/>
    <s v="426610"/>
    <s v="Computer software licenses-Software License Renewal"/>
    <s v="847.8470720.1.426610.000000.847001.200179"/>
    <n v="5000"/>
    <m/>
    <m/>
    <m/>
    <m/>
    <m/>
    <m/>
    <m/>
    <m/>
    <m/>
    <n v="0"/>
    <m/>
    <n v="5000"/>
    <m/>
    <x v="0"/>
  </r>
  <r>
    <x v="0"/>
    <x v="9"/>
    <s v="8470720"/>
    <x v="35"/>
    <s v="426900"/>
    <s v="Postal, courier and other document delivery expenses"/>
    <s v="847.8470720.1.426900.000000.847001.200179"/>
    <n v="10000"/>
    <n v="3083.79"/>
    <m/>
    <m/>
    <m/>
    <m/>
    <m/>
    <m/>
    <m/>
    <m/>
    <n v="0"/>
    <m/>
    <n v="6916.21"/>
    <m/>
    <x v="0"/>
  </r>
  <r>
    <x v="0"/>
    <x v="9"/>
    <s v="8470720"/>
    <x v="35"/>
    <s v="428090"/>
    <s v="Business Travel - Combined expenses"/>
    <s v="847.8470720.1.428090.000000.847001.200179"/>
    <n v="100000"/>
    <m/>
    <m/>
    <m/>
    <m/>
    <m/>
    <m/>
    <m/>
    <m/>
    <m/>
    <n v="0"/>
    <m/>
    <n v="100000"/>
    <m/>
    <x v="0"/>
  </r>
  <r>
    <x v="0"/>
    <x v="9"/>
    <s v="8470720"/>
    <x v="35"/>
    <s v="428200"/>
    <s v="Health,safety&amp;environment awareness"/>
    <s v="847.8470720.1.428200.000000.847001.200179"/>
    <n v="298700"/>
    <n v="95642"/>
    <n v="11148.2"/>
    <n v="0"/>
    <m/>
    <m/>
    <m/>
    <m/>
    <m/>
    <m/>
    <n v="0"/>
    <m/>
    <n v="191909.8"/>
    <m/>
    <x v="0"/>
  </r>
  <r>
    <x v="0"/>
    <x v="9"/>
    <s v="8470720"/>
    <x v="35"/>
    <s v="428640"/>
    <s v="Events - Awards, prizes &amp; gifts"/>
    <s v="847.8470720.1.428640.000000.847001.200179"/>
    <n v="405"/>
    <n v="0"/>
    <m/>
    <m/>
    <m/>
    <m/>
    <m/>
    <m/>
    <m/>
    <m/>
    <n v="0"/>
    <m/>
    <n v="405"/>
    <m/>
    <x v="0"/>
  </r>
  <r>
    <x v="0"/>
    <x v="9"/>
    <s v="8470720"/>
    <x v="35"/>
    <s v="435410"/>
    <s v="Catering supplies: Offices"/>
    <s v="847.8470720.1.435410.000000.847001.200179"/>
    <n v="1750"/>
    <m/>
    <m/>
    <m/>
    <m/>
    <m/>
    <m/>
    <m/>
    <m/>
    <m/>
    <n v="0"/>
    <m/>
    <n v="1750"/>
    <m/>
    <x v="0"/>
  </r>
  <r>
    <x v="0"/>
    <x v="9"/>
    <s v="8470720"/>
    <x v="35"/>
    <s v="436110"/>
    <s v="Printing supplies"/>
    <s v="847.8470720.1.436110.000000.847001.200179"/>
    <n v="24595"/>
    <n v="567"/>
    <m/>
    <m/>
    <m/>
    <m/>
    <m/>
    <m/>
    <m/>
    <m/>
    <n v="0"/>
    <m/>
    <n v="24028"/>
    <m/>
    <x v="0"/>
  </r>
  <r>
    <x v="0"/>
    <x v="9"/>
    <s v="8470720"/>
    <x v="35"/>
    <s v="436120"/>
    <s v="Stationery"/>
    <s v="847.8470720.1.436120.000000.847001.200179"/>
    <n v="168681"/>
    <n v="78642.100000000006"/>
    <n v="15500"/>
    <n v="-3.6379788070917101E-12"/>
    <m/>
    <m/>
    <m/>
    <m/>
    <m/>
    <m/>
    <n v="0"/>
    <m/>
    <n v="74538.899999999994"/>
    <m/>
    <x v="0"/>
  </r>
  <r>
    <x v="0"/>
    <x v="10"/>
    <s v="8470730"/>
    <x v="36"/>
    <s v="421000"/>
    <s v="Management consultancy"/>
    <s v="847.8470730.1.421000.000000.847001.200179"/>
    <n v="132579"/>
    <n v="175272.73"/>
    <n v="-132578.07"/>
    <n v="89883.41"/>
    <m/>
    <m/>
    <m/>
    <m/>
    <m/>
    <m/>
    <n v="0"/>
    <m/>
    <n v="0.92999999999301508"/>
    <m/>
    <x v="0"/>
  </r>
  <r>
    <x v="0"/>
    <x v="10"/>
    <s v="8470730"/>
    <x v="36"/>
    <s v="425900"/>
    <s v="Entertainment and hospitality"/>
    <s v="847.8470730.1.425900.000000.847001.200179"/>
    <n v="12770"/>
    <n v="7140"/>
    <n v="-7140"/>
    <n v="7140"/>
    <m/>
    <m/>
    <m/>
    <m/>
    <m/>
    <m/>
    <n v="0"/>
    <m/>
    <n v="5630"/>
    <m/>
    <x v="0"/>
  </r>
  <r>
    <x v="0"/>
    <x v="10"/>
    <s v="8470730"/>
    <x v="36"/>
    <s v="426610"/>
    <s v="Computer software licenses-Software License Renewal"/>
    <s v="847.8470730.1.426610.000000.847001.200179"/>
    <n v="74069"/>
    <n v="17850"/>
    <n v="-17850"/>
    <n v="18000"/>
    <m/>
    <m/>
    <m/>
    <m/>
    <m/>
    <m/>
    <n v="0"/>
    <m/>
    <n v="56069"/>
    <m/>
    <x v="0"/>
  </r>
  <r>
    <x v="0"/>
    <x v="10"/>
    <s v="8470730"/>
    <x v="36"/>
    <s v="428090"/>
    <s v="Business Travel - Combined expenses"/>
    <s v="847.8470730.1.428090.000000.847001.200179"/>
    <n v="0"/>
    <m/>
    <m/>
    <m/>
    <m/>
    <m/>
    <m/>
    <m/>
    <m/>
    <m/>
    <n v="0"/>
    <m/>
    <n v="0"/>
    <m/>
    <x v="0"/>
  </r>
  <r>
    <x v="0"/>
    <x v="10"/>
    <s v="8470730"/>
    <x v="36"/>
    <s v="428640"/>
    <s v="Events - Awards, prizes &amp; gifts"/>
    <s v="847.8470730.1.428640.000000.847001.200179"/>
    <n v="421493"/>
    <n v="445542.5"/>
    <n v="-24050"/>
    <n v="0"/>
    <m/>
    <m/>
    <m/>
    <m/>
    <m/>
    <m/>
    <n v="0"/>
    <m/>
    <n v="0.5"/>
    <m/>
    <x v="0"/>
  </r>
  <r>
    <x v="0"/>
    <x v="10"/>
    <s v="8470730"/>
    <x v="36"/>
    <s v="436110"/>
    <s v="Printing supplies"/>
    <s v="847.8470730.1.436110.000000.847001.200179"/>
    <n v="51945"/>
    <n v="72219"/>
    <n v="-32875"/>
    <n v="0"/>
    <m/>
    <m/>
    <m/>
    <m/>
    <m/>
    <m/>
    <n v="0"/>
    <m/>
    <n v="12601"/>
    <m/>
    <x v="0"/>
  </r>
  <r>
    <x v="0"/>
    <x v="11"/>
    <s v="8470810"/>
    <x v="37"/>
    <s v="420811"/>
    <s v="IT Systems &amp; Support expenses-Application/Systems Operation"/>
    <s v="847.8470810.1.420811.000000.847001.200179"/>
    <n v="7162263"/>
    <n v="7162262.5"/>
    <m/>
    <m/>
    <m/>
    <m/>
    <m/>
    <m/>
    <m/>
    <m/>
    <n v="0"/>
    <m/>
    <n v="0.5"/>
    <m/>
    <x v="1"/>
  </r>
  <r>
    <x v="0"/>
    <x v="11"/>
    <s v="8470810"/>
    <x v="37"/>
    <s v="421100"/>
    <s v="Manpower supply &quot;Other Than IT Related&quot;"/>
    <s v="847.8470810.1.421100.000000.847001.200179"/>
    <n v="0"/>
    <m/>
    <m/>
    <m/>
    <m/>
    <m/>
    <m/>
    <m/>
    <m/>
    <m/>
    <n v="0"/>
    <m/>
    <n v="0"/>
    <m/>
    <x v="1"/>
  </r>
  <r>
    <x v="0"/>
    <x v="11"/>
    <s v="8470810"/>
    <x v="37"/>
    <s v="425900"/>
    <s v="Entertainment and hospitality"/>
    <s v="847.8470810.1.425900.000000.847001.200179"/>
    <n v="20000"/>
    <m/>
    <m/>
    <m/>
    <m/>
    <m/>
    <n v="20000"/>
    <m/>
    <m/>
    <m/>
    <n v="20000"/>
    <m/>
    <n v="0"/>
    <m/>
    <x v="1"/>
  </r>
  <r>
    <x v="0"/>
    <x v="11"/>
    <s v="8470810"/>
    <x v="37"/>
    <s v="426610"/>
    <s v="Computer software licenses-Software License Renewal"/>
    <s v="847.8470810.1.426610.000000.847001.200179"/>
    <n v="9523213"/>
    <n v="1509967.08"/>
    <n v="5521589.1799999997"/>
    <n v="2136191.11"/>
    <n v="355466"/>
    <m/>
    <m/>
    <m/>
    <m/>
    <m/>
    <n v="355466"/>
    <s v="Software License purchase"/>
    <n v="-0.36999999964609742"/>
    <m/>
    <x v="1"/>
  </r>
  <r>
    <x v="0"/>
    <x v="11"/>
    <s v="8470810"/>
    <x v="37"/>
    <s v="427810"/>
    <s v="Telephone and telefax charges-Telecommunication, Satellite services"/>
    <s v="847.8470810.1.427810.000000.847001.200179"/>
    <n v="787507"/>
    <n v="231959.76"/>
    <m/>
    <m/>
    <n v="160000"/>
    <n v="80000"/>
    <n v="80000"/>
    <n v="80000"/>
    <n v="80000"/>
    <n v="75547"/>
    <n v="555547"/>
    <s v="Payment of outstanding telecom bills "/>
    <n v="0.23999999999068677"/>
    <m/>
    <x v="1"/>
  </r>
  <r>
    <x v="0"/>
    <x v="11"/>
    <s v="8470810"/>
    <x v="37"/>
    <s v="427850"/>
    <s v="Data Transmission charges-Data Transmission charges"/>
    <s v="847.8470810.1.427850.000000.847001.200179"/>
    <n v="2078611"/>
    <n v="981742.38"/>
    <m/>
    <m/>
    <n v="202000"/>
    <n v="202000"/>
    <n v="202000"/>
    <n v="202000"/>
    <n v="202000"/>
    <n v="86869"/>
    <n v="1096869"/>
    <s v="Payment of outstanding Internet bills"/>
    <n v="-0.37999999988824129"/>
    <m/>
    <x v="1"/>
  </r>
  <r>
    <x v="0"/>
    <x v="11"/>
    <s v="8470810"/>
    <x v="37"/>
    <s v="428090"/>
    <s v="Business Travel - Combined expenses"/>
    <s v="847.8470810.1.428090.000000.847001.200179"/>
    <n v="141460"/>
    <n v="29919"/>
    <m/>
    <m/>
    <m/>
    <m/>
    <n v="70000"/>
    <m/>
    <m/>
    <m/>
    <n v="70000"/>
    <s v="Expected DTRs"/>
    <n v="41541"/>
    <m/>
    <x v="1"/>
  </r>
  <r>
    <x v="0"/>
    <x v="11"/>
    <s v="8470810"/>
    <x v="37"/>
    <s v="430230"/>
    <s v="Rental - Equipment"/>
    <s v="847.8470810.1.430230.000000.847001.200179"/>
    <m/>
    <n v="0"/>
    <m/>
    <m/>
    <m/>
    <m/>
    <m/>
    <m/>
    <m/>
    <m/>
    <n v="0"/>
    <m/>
    <n v="0"/>
    <m/>
    <x v="1"/>
  </r>
  <r>
    <x v="0"/>
    <x v="11"/>
    <s v="8470810"/>
    <x v="37"/>
    <s v="430250"/>
    <s v="Rental - Computer hardware-Rental/Subscription - Computer hardware"/>
    <s v="847.8470810.1.430250.000000.847001.200179"/>
    <n v="2018541"/>
    <n v="1118450.8899999999"/>
    <n v="-239413.69"/>
    <n v="0"/>
    <n v="1132164"/>
    <m/>
    <m/>
    <m/>
    <m/>
    <m/>
    <n v="1132164"/>
    <s v="PR already issued in July for laptop refresh PR # 8471113664"/>
    <n v="7339.8000000000466"/>
    <m/>
    <x v="1"/>
  </r>
  <r>
    <x v="0"/>
    <x v="11"/>
    <s v="8470810"/>
    <x v="37"/>
    <s v="432205"/>
    <s v="Maintenance: Computers and peripherals-End user and Infrastructure components maintenance and support"/>
    <s v="847.8470810.1.432205.000000.847001.200179"/>
    <n v="5318171"/>
    <n v="182530"/>
    <n v="3594106.48"/>
    <n v="549325"/>
    <n v="700000"/>
    <n v="180000"/>
    <n v="100000"/>
    <n v="5000"/>
    <n v="7210"/>
    <m/>
    <n v="992210"/>
    <s v="Audio Visual renovation project (Opex) and SAN DC migration at Habshan"/>
    <n v="-0.47999999998137355"/>
    <m/>
    <x v="1"/>
  </r>
  <r>
    <x v="0"/>
    <x v="11"/>
    <s v="8470810"/>
    <x v="37"/>
    <s v="432226"/>
    <s v="Computers and peripherals-Printers maintenance and support"/>
    <s v="847.8470810.1.432226.000000.847001.200179"/>
    <n v="451700"/>
    <n v="126521.47"/>
    <n v="0"/>
    <n v="325000"/>
    <m/>
    <m/>
    <m/>
    <m/>
    <m/>
    <m/>
    <n v="0"/>
    <m/>
    <n v="178.53000000002794"/>
    <m/>
    <x v="1"/>
  </r>
  <r>
    <x v="0"/>
    <x v="1"/>
    <s v="8470910"/>
    <x v="38"/>
    <s v="425900"/>
    <s v="Entertainment and hospitality"/>
    <s v="847.8470910.1.425900.000000.847001.200179"/>
    <n v="30000"/>
    <m/>
    <m/>
    <m/>
    <m/>
    <m/>
    <m/>
    <m/>
    <m/>
    <m/>
    <n v="0"/>
    <m/>
    <n v="30000"/>
    <m/>
    <x v="0"/>
  </r>
  <r>
    <x v="0"/>
    <x v="1"/>
    <s v="8470910"/>
    <x v="38"/>
    <s v="428090"/>
    <s v="Business Travel - Combined expenses"/>
    <s v="847.8470910.1.428090.000000.847001.200179"/>
    <n v="211000"/>
    <n v="31800"/>
    <m/>
    <m/>
    <m/>
    <m/>
    <m/>
    <m/>
    <m/>
    <m/>
    <n v="0"/>
    <m/>
    <n v="179200"/>
    <m/>
    <x v="0"/>
  </r>
  <r>
    <x v="0"/>
    <x v="4"/>
    <s v="8471010"/>
    <x v="39"/>
    <s v="425100"/>
    <s v="Advertising Services (General)"/>
    <s v="847.8471010.1.425100.000000.847001.200179"/>
    <n v="0"/>
    <m/>
    <m/>
    <m/>
    <m/>
    <m/>
    <m/>
    <m/>
    <m/>
    <m/>
    <n v="0"/>
    <m/>
    <n v="0"/>
    <m/>
    <x v="0"/>
  </r>
  <r>
    <x v="0"/>
    <x v="4"/>
    <s v="8471010"/>
    <x v="39"/>
    <s v="425510"/>
    <s v="Conferences, seminars and exhibitions and other events: - Local Events"/>
    <s v="847.8471010.1.425510.000000.847001.200179"/>
    <n v="0"/>
    <m/>
    <m/>
    <m/>
    <m/>
    <m/>
    <m/>
    <m/>
    <m/>
    <m/>
    <n v="0"/>
    <m/>
    <n v="0"/>
    <m/>
    <x v="0"/>
  </r>
  <r>
    <x v="0"/>
    <x v="4"/>
    <s v="8471010"/>
    <x v="39"/>
    <s v="425720"/>
    <s v="Education-Outsourced training service"/>
    <s v="847.8471010.1.425720.000000.847001.200179"/>
    <n v="2768"/>
    <n v="2768"/>
    <m/>
    <m/>
    <m/>
    <m/>
    <m/>
    <m/>
    <m/>
    <m/>
    <n v="0"/>
    <m/>
    <n v="0"/>
    <m/>
    <x v="0"/>
  </r>
  <r>
    <x v="0"/>
    <x v="4"/>
    <s v="8471010"/>
    <x v="39"/>
    <s v="425900"/>
    <s v="Entertainment and hospitality"/>
    <s v="847.8471010.1.425900.000000.847001.200179"/>
    <n v="46227"/>
    <n v="46226.25"/>
    <m/>
    <m/>
    <m/>
    <m/>
    <m/>
    <m/>
    <m/>
    <m/>
    <n v="0"/>
    <m/>
    <n v="0.75"/>
    <m/>
    <x v="0"/>
  </r>
  <r>
    <x v="0"/>
    <x v="4"/>
    <s v="8471010"/>
    <x v="39"/>
    <s v="436110"/>
    <s v="Printing supplies"/>
    <s v="847.8471010.1.436110.000000.847001.200179"/>
    <n v="0"/>
    <m/>
    <m/>
    <m/>
    <m/>
    <m/>
    <m/>
    <m/>
    <m/>
    <m/>
    <n v="0"/>
    <m/>
    <n v="0"/>
    <m/>
    <x v="0"/>
  </r>
  <r>
    <x v="0"/>
    <x v="12"/>
    <s v="8471110"/>
    <x v="40"/>
    <s v="425900"/>
    <s v="Entertainment and hospitality"/>
    <s v="847.8471110.1.425900.000000.847001.200179"/>
    <n v="30000"/>
    <n v="4641"/>
    <m/>
    <m/>
    <m/>
    <m/>
    <n v="5000"/>
    <n v="5000"/>
    <n v="10000"/>
    <n v="5359"/>
    <n v="25359"/>
    <s v="This is required for the SVP office events"/>
    <n v="0"/>
    <s v="No Surplus"/>
    <x v="1"/>
  </r>
  <r>
    <x v="0"/>
    <x v="12"/>
    <s v="8471110"/>
    <x v="40"/>
    <s v="427710"/>
    <s v="Subscriptions and membership fees: Trade organisations"/>
    <s v="847.8471110.1.427710.000000.847001.200179"/>
    <n v="395707"/>
    <n v="343812.69"/>
    <n v="32977.760000000002"/>
    <n v="18915.95"/>
    <m/>
    <m/>
    <m/>
    <m/>
    <m/>
    <m/>
    <n v="0"/>
    <s v="Subscriptions and membership fees"/>
    <n v="0.59999999999490683"/>
    <s v="No Surplus"/>
    <x v="1"/>
  </r>
  <r>
    <x v="0"/>
    <x v="12"/>
    <s v="8471110"/>
    <x v="40"/>
    <s v="428090"/>
    <s v="Business Travel - Combined expenses"/>
    <s v="847.8471110.1.428090.000000.847001.200179"/>
    <n v="100000"/>
    <m/>
    <m/>
    <m/>
    <m/>
    <m/>
    <n v="50000"/>
    <m/>
    <n v="50000"/>
    <m/>
    <n v="100000"/>
    <s v="Business Travels"/>
    <n v="0"/>
    <s v="This amount is needed to cover the Business travels in  Q3 &amp; Q4 ( air tickets, hotels, and other expenses..etc) "/>
    <x v="1"/>
  </r>
  <r>
    <x v="0"/>
    <x v="12"/>
    <s v="8471130"/>
    <x v="41"/>
    <s v="420811"/>
    <s v="IT Systems &amp; Support expenses-Application/Systems Operation"/>
    <s v="847.8471130.1.420811.000000.847001.200179"/>
    <n v="18365"/>
    <n v="18365"/>
    <n v="0"/>
    <n v="0"/>
    <m/>
    <m/>
    <m/>
    <m/>
    <m/>
    <m/>
    <n v="0"/>
    <m/>
    <n v="0"/>
    <m/>
    <x v="0"/>
  </r>
  <r>
    <x v="0"/>
    <x v="12"/>
    <s v="8471130"/>
    <x v="41"/>
    <s v="426610"/>
    <s v="Computer software licenses-Software License Renewal"/>
    <s v="847.8471130.1.426610.000000.847001.200179"/>
    <n v="171713"/>
    <m/>
    <n v="0"/>
    <n v="1124"/>
    <m/>
    <m/>
    <m/>
    <m/>
    <m/>
    <m/>
    <n v="0"/>
    <m/>
    <n v="170589"/>
    <m/>
    <x v="0"/>
  </r>
  <r>
    <x v="0"/>
    <x v="12"/>
    <s v="8471130"/>
    <x v="41"/>
    <s v="428090"/>
    <s v="Business Travel - Combined expenses"/>
    <s v="847.8471130.1.428090.000000.847001.200179"/>
    <n v="115395"/>
    <m/>
    <m/>
    <m/>
    <m/>
    <m/>
    <m/>
    <m/>
    <m/>
    <m/>
    <n v="0"/>
    <m/>
    <n v="115395"/>
    <m/>
    <x v="0"/>
  </r>
  <r>
    <x v="0"/>
    <x v="12"/>
    <s v="8471130"/>
    <x v="41"/>
    <s v="435523"/>
    <s v="Scientific"/>
    <s v="847.8471130.1.435523.000000.847001.200179"/>
    <n v="357190"/>
    <n v="169976.6"/>
    <m/>
    <n v="1.45519152283669E-11"/>
    <m/>
    <m/>
    <m/>
    <m/>
    <m/>
    <m/>
    <n v="0"/>
    <m/>
    <n v="187213.39999999997"/>
    <m/>
    <x v="0"/>
  </r>
  <r>
    <x v="0"/>
    <x v="12"/>
    <s v="8471140"/>
    <x v="42"/>
    <s v="420570"/>
    <s v="Academic Collaborative Partnership Services"/>
    <s v="847.8471140.1.420570.000000.847001.050583"/>
    <n v="2715876"/>
    <n v="1718250"/>
    <m/>
    <m/>
    <m/>
    <m/>
    <m/>
    <m/>
    <m/>
    <n v="1470000"/>
    <n v="1470000"/>
    <m/>
    <n v="-472374"/>
    <s v="CU_LASP invoice.  Need to transfer funds from Scientific (847.8471140.1.435523.000000.847001.050583)"/>
    <x v="1"/>
  </r>
  <r>
    <x v="0"/>
    <x v="12"/>
    <s v="8471140"/>
    <x v="42"/>
    <s v="420570"/>
    <s v="Academic Collaborative Partnership Services"/>
    <s v="847.8471140.1.420570.000000.847001.200179"/>
    <n v="290123"/>
    <n v="28466.28"/>
    <m/>
    <m/>
    <m/>
    <n v="150000"/>
    <n v="150000"/>
    <m/>
    <m/>
    <m/>
    <n v="300000"/>
    <m/>
    <n v="-38343.279999999999"/>
    <s v="Deficit to be taken from   847.8471140.1.435523.000000.847001.200179"/>
    <x v="1"/>
  </r>
  <r>
    <x v="0"/>
    <x v="12"/>
    <s v="8471140"/>
    <x v="42"/>
    <s v="421000"/>
    <s v="Management consultancy"/>
    <s v="847.8471140.1.421000.000000.847001.050583"/>
    <n v="551250"/>
    <m/>
    <n v="205688"/>
    <m/>
    <m/>
    <m/>
    <m/>
    <m/>
    <n v="115500"/>
    <m/>
    <n v="115500"/>
    <m/>
    <n v="230062"/>
    <s v="Research Academy Impact  Workshops"/>
    <x v="1"/>
  </r>
  <r>
    <x v="0"/>
    <x v="12"/>
    <s v="8471140"/>
    <x v="42"/>
    <s v="428090"/>
    <s v="Business Travel - Combined expenses"/>
    <s v="847.8471140.1.428090.000000.847001.200179"/>
    <n v="100000"/>
    <n v="11470.82"/>
    <m/>
    <m/>
    <n v="0"/>
    <n v="18500"/>
    <n v="0"/>
    <n v="67000"/>
    <n v="0"/>
    <n v="0"/>
    <n v="85500"/>
    <m/>
    <n v="3029.179999999993"/>
    <s v="DTR5/18/2023-3065, DTR4/18/2023-2800, DTR4/13/2023-2766, + 1 more under process"/>
    <x v="1"/>
  </r>
  <r>
    <x v="0"/>
    <x v="12"/>
    <s v="8471140"/>
    <x v="42"/>
    <s v="435330"/>
    <s v="Library books"/>
    <s v="847.8471140.1.435330.000000.847001.050583"/>
    <n v="0"/>
    <m/>
    <m/>
    <m/>
    <n v="0"/>
    <n v="0"/>
    <n v="0"/>
    <n v="0"/>
    <n v="0"/>
    <n v="0"/>
    <n v="0"/>
    <m/>
    <n v="0"/>
    <s v="Category researched in error by finance. "/>
    <x v="1"/>
  </r>
  <r>
    <x v="0"/>
    <x v="12"/>
    <s v="8471140"/>
    <x v="42"/>
    <s v="435523"/>
    <s v="Scientific"/>
    <s v="847.8471140.1.435523.000000.847001.050583"/>
    <n v="39955874"/>
    <n v="12730680.15"/>
    <n v="523086.57"/>
    <n v="1113781.8400000001"/>
    <n v="1773087"/>
    <n v="1773087"/>
    <n v="1773087"/>
    <n v="1773087"/>
    <n v="1773087"/>
    <n v="1773087"/>
    <n v="10638522"/>
    <m/>
    <n v="14949803.440000001"/>
    <s v="Note - this is a per current burn rate but there is a new center starting in August which will consume funds. Also, some researchers from Scientific Opex will be transferred to centers towards end of the year."/>
    <x v="1"/>
  </r>
  <r>
    <x v="0"/>
    <x v="12"/>
    <s v="8471140"/>
    <x v="42"/>
    <s v="435523"/>
    <s v="Scientific"/>
    <s v="847.8471140.1.435523.000000.847001.200179"/>
    <n v="43419763"/>
    <n v="24242088.059999902"/>
    <n v="-374023.56"/>
    <n v="2504371.96"/>
    <n v="2792241"/>
    <n v="2792241"/>
    <n v="2792241"/>
    <n v="2792241"/>
    <n v="2792241"/>
    <n v="2792241"/>
    <n v="16753446"/>
    <m/>
    <n v="293880.54000009596"/>
    <s v="Note - this is a per current burn rate but there are  external sub-award payments, consumables and publications. There will be a deficit."/>
    <x v="1"/>
  </r>
  <r>
    <x v="0"/>
    <x v="12"/>
    <s v="8471150"/>
    <x v="43"/>
    <s v="420900"/>
    <s v="Legal services"/>
    <s v="847.8471150.1.420900.000000.847001.050587"/>
    <n v="4979000"/>
    <n v="87621.41"/>
    <n v="1352075.94"/>
    <n v="3333402.47"/>
    <m/>
    <m/>
    <m/>
    <m/>
    <m/>
    <m/>
    <n v="0"/>
    <m/>
    <n v="205900.1799999997"/>
    <m/>
    <x v="0"/>
  </r>
  <r>
    <x v="0"/>
    <x v="12"/>
    <s v="8471150"/>
    <x v="43"/>
    <s v="420900"/>
    <s v="Legal services"/>
    <s v="847.8471150.1.420900.000000.847001.200179"/>
    <m/>
    <n v="-1216.43"/>
    <m/>
    <n v="1216.43"/>
    <m/>
    <m/>
    <m/>
    <m/>
    <m/>
    <m/>
    <n v="0"/>
    <m/>
    <n v="0"/>
    <m/>
    <x v="0"/>
  </r>
  <r>
    <x v="0"/>
    <x v="12"/>
    <s v="8471150"/>
    <x v="43"/>
    <s v="425510"/>
    <s v="Conferences, seminars and exhibitions and other events: - Local Events"/>
    <s v="847.8471150.1.425510.000000.847001.200179"/>
    <n v="2000"/>
    <n v="2283.75"/>
    <m/>
    <m/>
    <m/>
    <m/>
    <m/>
    <m/>
    <m/>
    <m/>
    <n v="0"/>
    <m/>
    <n v="-283.75"/>
    <m/>
    <x v="0"/>
  </r>
  <r>
    <x v="0"/>
    <x v="12"/>
    <s v="8471150"/>
    <x v="43"/>
    <s v="425550"/>
    <s v="Conferences, seminars and exhibitions and other events: - Overseas event"/>
    <s v="847.8471150.1.425550.000000.847001.200179"/>
    <n v="26095"/>
    <n v="20122.400000000001"/>
    <m/>
    <m/>
    <m/>
    <m/>
    <m/>
    <m/>
    <m/>
    <m/>
    <n v="0"/>
    <m/>
    <n v="5972.5999999999985"/>
    <m/>
    <x v="0"/>
  </r>
  <r>
    <x v="0"/>
    <x v="12"/>
    <s v="8471150"/>
    <x v="43"/>
    <s v="426610"/>
    <s v="Computer software licenses-Software License Renewal"/>
    <s v="847.8471150.1.426610.000000.847001.200179"/>
    <n v="3881"/>
    <m/>
    <m/>
    <m/>
    <m/>
    <m/>
    <m/>
    <m/>
    <m/>
    <m/>
    <n v="0"/>
    <m/>
    <n v="3881"/>
    <m/>
    <x v="0"/>
  </r>
  <r>
    <x v="0"/>
    <x v="12"/>
    <s v="8471160"/>
    <x v="44"/>
    <s v="422100"/>
    <s v="Waste management service"/>
    <s v="847.8471160.1.422100.000000.847001.200179"/>
    <n v="16000"/>
    <m/>
    <m/>
    <m/>
    <m/>
    <m/>
    <m/>
    <m/>
    <m/>
    <m/>
    <n v="0"/>
    <m/>
    <n v="16000"/>
    <m/>
    <x v="0"/>
  </r>
  <r>
    <x v="0"/>
    <x v="12"/>
    <s v="8471160"/>
    <x v="44"/>
    <s v="425900"/>
    <s v="Entertainment and hospitality"/>
    <s v="847.8471160.1.425900.000000.847001.200179"/>
    <n v="12000"/>
    <n v="8368.5"/>
    <m/>
    <m/>
    <m/>
    <m/>
    <m/>
    <m/>
    <m/>
    <m/>
    <n v="0"/>
    <m/>
    <n v="3631.5"/>
    <m/>
    <x v="0"/>
  </r>
  <r>
    <x v="0"/>
    <x v="12"/>
    <s v="8471160"/>
    <x v="44"/>
    <s v="426610"/>
    <s v="Computer software licenses-Software License Renewal"/>
    <s v="847.8471160.1.426610.000000.847001.200179"/>
    <n v="140763"/>
    <n v="218669"/>
    <n v="10294.64"/>
    <n v="-112147.15"/>
    <m/>
    <m/>
    <m/>
    <m/>
    <m/>
    <m/>
    <n v="0"/>
    <m/>
    <n v="23946.509999999995"/>
    <m/>
    <x v="0"/>
  </r>
  <r>
    <x v="0"/>
    <x v="12"/>
    <s v="8471160"/>
    <x v="44"/>
    <s v="428090"/>
    <s v="Business Travel - Combined expenses"/>
    <s v="847.8471160.1.428090.000000.847001.200179"/>
    <n v="300000"/>
    <n v="298240"/>
    <m/>
    <m/>
    <m/>
    <m/>
    <m/>
    <m/>
    <m/>
    <m/>
    <n v="0"/>
    <m/>
    <n v="1760"/>
    <m/>
    <x v="0"/>
  </r>
  <r>
    <x v="0"/>
    <x v="12"/>
    <s v="8471160"/>
    <x v="44"/>
    <s v="432209"/>
    <s v="Laboratory Equipment maintenance"/>
    <s v="847.8471160.1.432209.000000.847001.200179"/>
    <n v="10518075"/>
    <n v="5537162.5199999996"/>
    <n v="-715309.94999999902"/>
    <n v="5478493.8600000003"/>
    <m/>
    <m/>
    <m/>
    <m/>
    <m/>
    <m/>
    <n v="0"/>
    <m/>
    <n v="217728.56999999937"/>
    <m/>
    <x v="0"/>
  </r>
  <r>
    <x v="0"/>
    <x v="12"/>
    <s v="8471160"/>
    <x v="44"/>
    <s v="435508"/>
    <s v="Laboratory - Scientific"/>
    <s v="847.8471160.1.435508.000000.847001.200179"/>
    <n v="3882533"/>
    <n v="2018092.5"/>
    <n v="-452833.51"/>
    <n v="1559202.42"/>
    <m/>
    <m/>
    <m/>
    <m/>
    <m/>
    <m/>
    <n v="0"/>
    <m/>
    <n v="758071.58999999985"/>
    <m/>
    <x v="0"/>
  </r>
  <r>
    <x v="0"/>
    <x v="12"/>
    <s v="8471160"/>
    <x v="44"/>
    <s v="436600"/>
    <s v="Training/Teaching equipment and other educational aid"/>
    <s v="847.8471160.1.436600.000000.847001.200179"/>
    <n v="6000"/>
    <n v="1220"/>
    <m/>
    <m/>
    <m/>
    <m/>
    <m/>
    <m/>
    <m/>
    <m/>
    <n v="0"/>
    <m/>
    <n v="4780"/>
    <m/>
    <x v="0"/>
  </r>
  <r>
    <x v="0"/>
    <x v="12"/>
    <s v="8471170"/>
    <x v="45"/>
    <s v="420811"/>
    <s v="IT Systems &amp; Support expenses-Application/Systems Operation"/>
    <s v="847.8471170.1.420811.000000.847001.200179"/>
    <n v="871940"/>
    <n v="1102000"/>
    <n v="-551000"/>
    <n v="320932.8"/>
    <m/>
    <m/>
    <m/>
    <m/>
    <m/>
    <m/>
    <n v="0"/>
    <m/>
    <n v="7.2000000000116415"/>
    <m/>
    <x v="1"/>
  </r>
  <r>
    <x v="0"/>
    <x v="12"/>
    <s v="8471170"/>
    <x v="45"/>
    <s v="426610"/>
    <s v="Computer software licenses-Software License Renewal"/>
    <s v="847.8471170.1.426610.000000.847001.200179"/>
    <n v="2240909"/>
    <n v="606973.80000000005"/>
    <n v="223316.45"/>
    <n v="1092763.6399999999"/>
    <n v="79463.777500000026"/>
    <n v="79463.777500000026"/>
    <n v="79463.777500000026"/>
    <n v="79463.777500000026"/>
    <m/>
    <m/>
    <n v="317855.1100000001"/>
    <s v="Renewal of Research Software. This is being processed via IT."/>
    <n v="0"/>
    <m/>
    <x v="1"/>
  </r>
  <r>
    <x v="0"/>
    <x v="12"/>
    <s v="8471170"/>
    <x v="45"/>
    <s v="428090"/>
    <s v="Business Travel - Combined expenses"/>
    <s v="847.8471170.1.428090.000000.847001.200179"/>
    <n v="42585"/>
    <m/>
    <m/>
    <m/>
    <m/>
    <n v="42585"/>
    <m/>
    <m/>
    <m/>
    <m/>
    <n v="42585"/>
    <s v="Arranging guest workshop and conference atten"/>
    <n v="0"/>
    <m/>
    <x v="1"/>
  </r>
  <r>
    <x v="0"/>
    <x v="4"/>
    <s v="8471210"/>
    <x v="46"/>
    <s v="425900"/>
    <s v="Entertainment and hospitality"/>
    <s v="847.8471210.1.425900.000000.847001.200179"/>
    <n v="30000"/>
    <n v="525"/>
    <m/>
    <m/>
    <m/>
    <m/>
    <m/>
    <m/>
    <m/>
    <m/>
    <n v="0"/>
    <m/>
    <n v="29475"/>
    <m/>
    <x v="0"/>
  </r>
  <r>
    <x v="0"/>
    <x v="4"/>
    <s v="8471210"/>
    <x v="46"/>
    <s v="428090"/>
    <s v="Business Travel - Combined expenses"/>
    <s v="847.8471210.1.428090.000000.847001.200179"/>
    <n v="200000"/>
    <n v="17370"/>
    <m/>
    <m/>
    <m/>
    <m/>
    <m/>
    <m/>
    <m/>
    <m/>
    <n v="0"/>
    <m/>
    <n v="182630"/>
    <m/>
    <x v="0"/>
  </r>
  <r>
    <x v="0"/>
    <x v="4"/>
    <s v="8471220"/>
    <x v="47"/>
    <s v="425510"/>
    <s v="Conferences, seminars and exhibitions and other events: - Local Events"/>
    <s v="847.8471220.1.425510.000000.847001.200179"/>
    <n v="1820"/>
    <m/>
    <m/>
    <m/>
    <m/>
    <m/>
    <m/>
    <m/>
    <m/>
    <m/>
    <n v="0"/>
    <m/>
    <n v="1820"/>
    <m/>
    <x v="1"/>
  </r>
  <r>
    <x v="0"/>
    <x v="4"/>
    <s v="8471220"/>
    <x v="47"/>
    <s v="425741"/>
    <s v="Student stipend"/>
    <s v="847.8471220.1.425741.000000.847001.200179"/>
    <n v="89952604"/>
    <n v="42096019"/>
    <m/>
    <m/>
    <m/>
    <m/>
    <m/>
    <m/>
    <m/>
    <n v="47856585"/>
    <n v="47856585"/>
    <s v="The amount will be used for the period Sep to December 23 "/>
    <n v="0"/>
    <m/>
    <x v="1"/>
  </r>
  <r>
    <x v="0"/>
    <x v="4"/>
    <s v="8471220"/>
    <x v="47"/>
    <s v="425745"/>
    <s v="Student relocation &amp; travel exps"/>
    <s v="847.8471220.1.425745.000000.847001.200179"/>
    <m/>
    <n v="-26280.05"/>
    <m/>
    <m/>
    <m/>
    <m/>
    <m/>
    <m/>
    <m/>
    <m/>
    <n v="0"/>
    <m/>
    <n v="26280.05"/>
    <m/>
    <x v="1"/>
  </r>
  <r>
    <x v="0"/>
    <x v="4"/>
    <s v="8471220"/>
    <x v="47"/>
    <s v="425762"/>
    <s v="Student Internship"/>
    <s v="847.8471220.1.425762.000000.847001.200179"/>
    <m/>
    <n v="0"/>
    <m/>
    <m/>
    <m/>
    <m/>
    <m/>
    <m/>
    <m/>
    <m/>
    <n v="0"/>
    <m/>
    <n v="0"/>
    <m/>
    <x v="1"/>
  </r>
  <r>
    <x v="0"/>
    <x v="4"/>
    <s v="8471220"/>
    <x v="47"/>
    <s v="435340"/>
    <s v="Text books and library books"/>
    <s v="847.8471220.1.435340.000000.847001.200179"/>
    <n v="5442873"/>
    <n v="5342783.42"/>
    <n v="0"/>
    <n v="97844.389999999694"/>
    <m/>
    <m/>
    <m/>
    <m/>
    <m/>
    <m/>
    <n v="0"/>
    <m/>
    <n v="2245.1900000003807"/>
    <m/>
    <x v="1"/>
  </r>
  <r>
    <x v="0"/>
    <x v="4"/>
    <s v="8471220"/>
    <x v="47"/>
    <s v="436110"/>
    <s v="Printing supplies"/>
    <s v="847.8471220.1.436110.000000.847001.200179"/>
    <n v="131300"/>
    <m/>
    <m/>
    <m/>
    <m/>
    <m/>
    <m/>
    <m/>
    <m/>
    <m/>
    <n v="0"/>
    <m/>
    <n v="131300"/>
    <m/>
    <x v="1"/>
  </r>
  <r>
    <x v="0"/>
    <x v="4"/>
    <s v="8471230"/>
    <x v="48"/>
    <s v="425742"/>
    <s v="Enrollment expenses"/>
    <s v="847.8471230.1.425742.000000.847001.200179"/>
    <n v="1286117"/>
    <n v="529925.96"/>
    <n v="-94651.33"/>
    <n v="-7.2759576141834308E-12"/>
    <n v="60000"/>
    <n v="72206"/>
    <n v="200000"/>
    <n v="318636"/>
    <n v="100000"/>
    <n v="100000"/>
    <n v="850842"/>
    <s v="Internatational Education Expo sharjah, Najah Abu Dhabi, Social Media Campaign, Recruitment Mission, Open day, Printing, Outreach activites."/>
    <n v="0.36999999999534339"/>
    <m/>
    <x v="1"/>
  </r>
  <r>
    <x v="0"/>
    <x v="4"/>
    <s v="8471230"/>
    <x v="48"/>
    <s v="426610"/>
    <s v="Computer software licenses-Software License Renewal"/>
    <s v="847.8471230.1.426610.000000.847001.200179"/>
    <n v="14480"/>
    <m/>
    <m/>
    <m/>
    <m/>
    <m/>
    <m/>
    <m/>
    <n v="14480"/>
    <m/>
    <n v="14480"/>
    <s v="slate Training"/>
    <n v="0"/>
    <m/>
    <x v="1"/>
  </r>
  <r>
    <x v="0"/>
    <x v="4"/>
    <s v="8471240"/>
    <x v="49"/>
    <s v="425510"/>
    <s v="Conferences, seminars and exhibitions and other events: - Local Events"/>
    <s v="847.8471240.1.425510.000000.847001.200179"/>
    <n v="72587"/>
    <n v="72508.75"/>
    <n v="0"/>
    <n v="0"/>
    <m/>
    <m/>
    <m/>
    <n v="78"/>
    <m/>
    <m/>
    <n v="78"/>
    <s v="Honors Day"/>
    <n v="0.25"/>
    <m/>
    <x v="1"/>
  </r>
  <r>
    <x v="0"/>
    <x v="4"/>
    <s v="8471240"/>
    <x v="49"/>
    <s v="425720"/>
    <s v="Education-Outsourced training service"/>
    <s v="847.8471240.1.425720.000000.847001.200179"/>
    <n v="13091"/>
    <n v="13090.9"/>
    <n v="0"/>
    <n v="1.8189894035458601E-12"/>
    <m/>
    <m/>
    <m/>
    <m/>
    <m/>
    <m/>
    <n v="0"/>
    <m/>
    <n v="9.9999999998544808E-2"/>
    <m/>
    <x v="1"/>
  </r>
  <r>
    <x v="0"/>
    <x v="4"/>
    <s v="8471240"/>
    <x v="49"/>
    <s v="425761"/>
    <s v="Student Field trips"/>
    <s v="847.8471240.1.425761.000000.847001.050584"/>
    <n v="0"/>
    <m/>
    <m/>
    <m/>
    <m/>
    <m/>
    <m/>
    <m/>
    <m/>
    <m/>
    <n v="0"/>
    <m/>
    <n v="0"/>
    <m/>
    <x v="1"/>
  </r>
  <r>
    <x v="0"/>
    <x v="4"/>
    <s v="8471240"/>
    <x v="49"/>
    <s v="425761"/>
    <s v="Student Field trips"/>
    <s v="847.8471240.1.425761.000000.847001.200179"/>
    <n v="343722"/>
    <n v="43722"/>
    <m/>
    <m/>
    <n v="50000"/>
    <n v="50000"/>
    <n v="50000"/>
    <n v="50000"/>
    <n v="50000"/>
    <n v="50000"/>
    <n v="300000"/>
    <s v="Study Abroad outbound students"/>
    <n v="0"/>
    <m/>
    <x v="1"/>
  </r>
  <r>
    <x v="0"/>
    <x v="4"/>
    <s v="8471240"/>
    <x v="49"/>
    <s v="425762"/>
    <s v="Student Internship"/>
    <s v="847.8471240.1.425762.000000.847001.050584"/>
    <n v="700000"/>
    <m/>
    <m/>
    <m/>
    <n v="50000"/>
    <n v="50000"/>
    <n v="150000"/>
    <n v="150000"/>
    <n v="150000"/>
    <n v="150000"/>
    <n v="700000"/>
    <s v="Study Abroad outbound students"/>
    <n v="0"/>
    <m/>
    <x v="1"/>
  </r>
  <r>
    <x v="0"/>
    <x v="4"/>
    <s v="8471240"/>
    <x v="49"/>
    <s v="425762"/>
    <s v="Student Internship"/>
    <s v="847.8471240.1.425762.000000.847001.200179"/>
    <n v="557351"/>
    <n v="81019"/>
    <m/>
    <m/>
    <n v="50000"/>
    <n v="50000"/>
    <n v="100000"/>
    <n v="100000"/>
    <n v="100000"/>
    <n v="76332"/>
    <n v="476332"/>
    <s v="Study Abroad outbound students"/>
    <n v="0"/>
    <m/>
    <x v="1"/>
  </r>
  <r>
    <x v="0"/>
    <x v="4"/>
    <s v="8471240"/>
    <x v="49"/>
    <s v="425900"/>
    <s v="Entertainment and hospitality"/>
    <s v="847.8471240.1.425900.000000.847001.200179"/>
    <n v="30118"/>
    <n v="17224.2"/>
    <m/>
    <m/>
    <m/>
    <m/>
    <n v="5000"/>
    <n v="5000"/>
    <n v="2894"/>
    <m/>
    <n v="12894"/>
    <s v="Student Success events"/>
    <n v="-0.2000000000007276"/>
    <m/>
    <x v="1"/>
  </r>
  <r>
    <x v="0"/>
    <x v="4"/>
    <s v="8471240"/>
    <x v="49"/>
    <s v="426610"/>
    <s v="Computer software licenses-Software License Renewal"/>
    <s v="847.8471240.1.426610.000000.847001.200179"/>
    <n v="649211"/>
    <n v="362782.21"/>
    <n v="-162574.32999999999"/>
    <n v="446221.76"/>
    <m/>
    <m/>
    <m/>
    <m/>
    <m/>
    <n v="2781"/>
    <n v="2781"/>
    <s v="EAB Navigate"/>
    <n v="0.35999999998603016"/>
    <m/>
    <x v="1"/>
  </r>
  <r>
    <x v="0"/>
    <x v="4"/>
    <s v="8471240"/>
    <x v="49"/>
    <s v="427710"/>
    <s v="Subscriptions and membership fees: Trade organisations"/>
    <s v="847.8471240.1.427710.000000.847001.200179"/>
    <n v="11019"/>
    <m/>
    <m/>
    <m/>
    <m/>
    <m/>
    <m/>
    <m/>
    <n v="11019"/>
    <m/>
    <n v="11019"/>
    <s v="ILM"/>
    <n v="0"/>
    <m/>
    <x v="1"/>
  </r>
  <r>
    <x v="0"/>
    <x v="4"/>
    <s v="8471240"/>
    <x v="49"/>
    <s v="428090"/>
    <s v="Business Travel - Combined expenses"/>
    <s v="847.8471240.1.428090.000000.847001.200179"/>
    <n v="30092"/>
    <n v="22524.2"/>
    <m/>
    <m/>
    <m/>
    <m/>
    <m/>
    <n v="7568"/>
    <m/>
    <m/>
    <n v="7568"/>
    <s v="NACADA Annual Conference"/>
    <n v="-0.2000000000007276"/>
    <m/>
    <x v="1"/>
  </r>
  <r>
    <x v="0"/>
    <x v="4"/>
    <s v="8471250"/>
    <x v="50"/>
    <s v="425510"/>
    <s v="Conferences, seminars and exhibitions and other events: - Local Events"/>
    <s v="847.8471250.1.425510.000000.847001.050584"/>
    <n v="300000"/>
    <m/>
    <n v="250000"/>
    <m/>
    <m/>
    <m/>
    <n v="7350"/>
    <n v="2500"/>
    <m/>
    <n v="40000"/>
    <n v="49850"/>
    <s v="Will utilized on organizing events and purchasing career assessments"/>
    <n v="150"/>
    <s v="Might be used on the event organization"/>
    <x v="1"/>
  </r>
  <r>
    <x v="0"/>
    <x v="4"/>
    <s v="8471250"/>
    <x v="50"/>
    <s v="425510"/>
    <s v="Conferences, seminars and exhibitions and other events: - Local Events"/>
    <s v="847.8471250.1.425510.000000.847001.050585"/>
    <n v="350000"/>
    <m/>
    <n v="295000"/>
    <m/>
    <m/>
    <m/>
    <n v="17000"/>
    <n v="38000"/>
    <m/>
    <m/>
    <n v="55000"/>
    <s v="Will utilized on organizing events"/>
    <n v="0"/>
    <m/>
    <x v="1"/>
  </r>
  <r>
    <x v="0"/>
    <x v="4"/>
    <s v="8471250"/>
    <x v="50"/>
    <s v="425510"/>
    <s v="Conferences, seminars and exhibitions and other events: - Local Events"/>
    <s v="847.8471250.1.425510.000000.847001.200179"/>
    <n v="1239541"/>
    <n v="110819.25"/>
    <n v="890000"/>
    <n v="0"/>
    <n v="3450"/>
    <n v="94402"/>
    <m/>
    <n v="33870"/>
    <n v="90000"/>
    <n v="17000"/>
    <n v="238722"/>
    <s v="Will utilized on organizing events and support alumni initiatives"/>
    <n v="-0.25"/>
    <m/>
    <x v="1"/>
  </r>
  <r>
    <x v="0"/>
    <x v="4"/>
    <s v="8471250"/>
    <x v="50"/>
    <s v="425761"/>
    <s v="Student Field trips"/>
    <s v="847.8471250.1.425761.000000.847001.200179"/>
    <n v="4335"/>
    <n v="4335"/>
    <m/>
    <m/>
    <m/>
    <m/>
    <m/>
    <m/>
    <m/>
    <m/>
    <n v="0"/>
    <m/>
    <n v="0"/>
    <m/>
    <x v="1"/>
  </r>
  <r>
    <x v="0"/>
    <x v="4"/>
    <s v="8471250"/>
    <x v="50"/>
    <s v="425762"/>
    <s v="Student Internship"/>
    <s v="847.8471250.1.425762.000000.847001.050584"/>
    <n v="750000"/>
    <m/>
    <m/>
    <m/>
    <m/>
    <m/>
    <m/>
    <m/>
    <m/>
    <n v="750000"/>
    <n v="750000"/>
    <s v="Expenses of students international internship"/>
    <n v="0"/>
    <m/>
    <x v="1"/>
  </r>
  <r>
    <x v="0"/>
    <x v="4"/>
    <s v="8471250"/>
    <x v="50"/>
    <s v="425762"/>
    <s v="Student Internship"/>
    <s v="847.8471250.1.425762.000000.847001.200179"/>
    <n v="958003"/>
    <n v="743550"/>
    <m/>
    <m/>
    <m/>
    <m/>
    <m/>
    <m/>
    <n v="214453"/>
    <m/>
    <n v="214453"/>
    <s v="Support students experiential learning and field trips"/>
    <n v="0"/>
    <m/>
    <x v="1"/>
  </r>
  <r>
    <x v="0"/>
    <x v="4"/>
    <s v="8471250"/>
    <x v="50"/>
    <s v="425900"/>
    <s v="Entertainment and hospitality"/>
    <s v="847.8471250.1.425900.000000.847001.200179"/>
    <n v="1050"/>
    <n v="1050"/>
    <m/>
    <m/>
    <m/>
    <m/>
    <m/>
    <m/>
    <m/>
    <m/>
    <n v="0"/>
    <m/>
    <n v="0"/>
    <m/>
    <x v="1"/>
  </r>
  <r>
    <x v="0"/>
    <x v="4"/>
    <s v="8471250"/>
    <x v="50"/>
    <s v="426610"/>
    <s v="Computer software licenses-Software License Renewal"/>
    <s v="847.8471250.1.426610.000000.847001.050585"/>
    <n v="300000"/>
    <m/>
    <n v="300000"/>
    <m/>
    <m/>
    <m/>
    <m/>
    <m/>
    <m/>
    <m/>
    <n v="0"/>
    <s v="Purchasing new system"/>
    <n v="0"/>
    <m/>
    <x v="1"/>
  </r>
  <r>
    <x v="0"/>
    <x v="4"/>
    <s v="8471250"/>
    <x v="50"/>
    <s v="426610"/>
    <s v="Computer software licenses-Software License Renewal"/>
    <s v="847.8471250.1.426610.000000.847001.200179"/>
    <n v="340605"/>
    <m/>
    <n v="125000"/>
    <m/>
    <m/>
    <m/>
    <m/>
    <m/>
    <m/>
    <n v="215390"/>
    <n v="215390"/>
    <s v="Renew the current system, Develop a tool for alumni database and Collaborate with Comms Dept on Social Media Campaign"/>
    <n v="215"/>
    <s v="Might be used on the purchases"/>
    <x v="1"/>
  </r>
  <r>
    <x v="0"/>
    <x v="4"/>
    <s v="8471250"/>
    <x v="50"/>
    <s v="428090"/>
    <s v="Business Travel - Combined expenses"/>
    <s v="847.8471250.1.428090.000000.847001.200179"/>
    <n v="88000"/>
    <n v="28008.85"/>
    <m/>
    <m/>
    <m/>
    <m/>
    <m/>
    <m/>
    <m/>
    <n v="59991"/>
    <n v="59991"/>
    <s v="Staff travel expenses"/>
    <n v="0.15000000000145519"/>
    <m/>
    <x v="1"/>
  </r>
  <r>
    <x v="0"/>
    <x v="4"/>
    <s v="8471250"/>
    <x v="50"/>
    <s v="436110"/>
    <s v="Printing supplies"/>
    <s v="847.8471250.1.436110.000000.847001.200179"/>
    <n v="11890"/>
    <n v="11775"/>
    <n v="0"/>
    <n v="0"/>
    <m/>
    <m/>
    <m/>
    <m/>
    <m/>
    <m/>
    <n v="0"/>
    <m/>
    <n v="115"/>
    <s v="Rmaining amount from last ID Card purchase"/>
    <x v="1"/>
  </r>
  <r>
    <x v="0"/>
    <x v="4"/>
    <s v="8471260"/>
    <x v="51"/>
    <s v="421100"/>
    <s v="Manpower supply &quot;Other Than IT Related&quot;"/>
    <s v="847.8471260.1.421100.000000.847001.200179"/>
    <m/>
    <n v="0"/>
    <m/>
    <m/>
    <m/>
    <m/>
    <m/>
    <m/>
    <m/>
    <m/>
    <n v="0"/>
    <m/>
    <n v="0"/>
    <m/>
    <x v="1"/>
  </r>
  <r>
    <x v="0"/>
    <x v="4"/>
    <s v="8471260"/>
    <x v="51"/>
    <s v="425510"/>
    <s v="Conferences, seminars and exhibitions and other events: - Local Events"/>
    <s v="847.8471260.1.425510.000000.847001.200179"/>
    <n v="83642"/>
    <n v="787.5"/>
    <n v="0"/>
    <n v="24500"/>
    <n v="0"/>
    <n v="0"/>
    <n v="2650"/>
    <n v="2650"/>
    <n v="53054.5"/>
    <n v="0"/>
    <n v="58354.5"/>
    <s v="National Day Petty Cash, gatherings and student participation in conferences."/>
    <n v="0"/>
    <s v="NA"/>
    <x v="1"/>
  </r>
  <r>
    <x v="0"/>
    <x v="4"/>
    <s v="8471260"/>
    <x v="51"/>
    <s v="425746"/>
    <s v="Student Transport"/>
    <s v="847.8471260.1.425746.000000.847001.200179"/>
    <n v="15416828"/>
    <n v="2847842.53"/>
    <n v="0"/>
    <n v="10358436.800000001"/>
    <n v="900000"/>
    <n v="900000"/>
    <n v="1297060"/>
    <n v="1365986"/>
    <n v="1365986"/>
    <n v="1365986"/>
    <n v="7195018"/>
    <s v="Payment for utilization of student transportation services like, weekend trips, daily shuttle buses, field and recreational trips._x000a_Payment for the fuel variation._x000a_Pending payments from March to December 2023."/>
    <n v="-4984469.33"/>
    <s v="Even with the additional budget of 1,500,000 that was credited to the account, we still expect shortage in this account for the fourth quarter after raising the PR in August 2023. "/>
    <x v="1"/>
  </r>
  <r>
    <x v="0"/>
    <x v="4"/>
    <s v="8471260"/>
    <x v="51"/>
    <s v="425747"/>
    <s v="Student Accommodation"/>
    <s v="847.8471260.1.425747.000000.847001.200179"/>
    <n v="540994"/>
    <n v="36237.160000000003"/>
    <n v="0"/>
    <n v="93362.4"/>
    <n v="21000"/>
    <n v="300000"/>
    <n v="15197"/>
    <n v="15197"/>
    <n v="40000"/>
    <n v="20000"/>
    <n v="411394"/>
    <s v="PR (mattresses, ,mattress cover, carpets, sofas), Sports Equipment for the Dorms, Miscellaneous Items (mirrors, ironing device, boiler..etc), Renting Additional Rooms Outside KU and Petty Cash (students trips and activities in the dorm). "/>
    <n v="0.43999999994412065"/>
    <s v="NA"/>
    <x v="1"/>
  </r>
  <r>
    <x v="0"/>
    <x v="4"/>
    <s v="8471260"/>
    <x v="51"/>
    <s v="425760"/>
    <s v="Student activities &amp; field trip expenses"/>
    <s v="847.8471260.1.425760.000000.847001.200179"/>
    <n v="584211"/>
    <n v="272162.25"/>
    <n v="-12000"/>
    <n v="111540"/>
    <m/>
    <n v="200000"/>
    <n v="55000"/>
    <n v="65000"/>
    <n v="15000"/>
    <n v="5000"/>
    <n v="340000"/>
    <s v="Petty Cash for Club Fair, Sports Coaches, Sports Day, Recreational/Sports/ Local Trips, Petty Cash settlements every month for clubs' activities and Field Trip to Japan. "/>
    <n v="-127491.25"/>
    <s v="We expect a deficit in this account as we want to have sports coaches' services for 9 months, and the total anticipated cost for this is around AED 507,000. Still, to ensure we are also covering the other expenses such as Club Fair, National Day, club activities, etc., we may need to split the sport coaches payment in two. "/>
    <x v="1"/>
  </r>
  <r>
    <x v="0"/>
    <x v="4"/>
    <s v="8471260"/>
    <x v="51"/>
    <s v="425900"/>
    <s v="Entertainment and hospitality"/>
    <s v="847.8471260.1.425900.000000.847001.200179"/>
    <n v="135910"/>
    <n v="79031.5"/>
    <m/>
    <m/>
    <m/>
    <n v="35000"/>
    <n v="5000"/>
    <n v="5000"/>
    <n v="15000"/>
    <m/>
    <n v="60000"/>
    <s v="Catering for Winter Night Gathering in the Residences for Fall 2023, catering for the 3-day UG/PG New Student Orientation Fall 2023,  catering for Clubs/Chapter events for Fall 2023, and catering for National Day Fall 2023."/>
    <n v="-3121.5"/>
    <s v="We expect a deficit in this account as we have some important events in Fall 2023 which we have to provide catering for like the New Student Orientation Program for students/parents and National Day which is open to the public. "/>
    <x v="1"/>
  </r>
  <r>
    <x v="0"/>
    <x v="4"/>
    <s v="8471260"/>
    <x v="51"/>
    <s v="428640"/>
    <s v="Events - Awards, prizes &amp; gifts"/>
    <s v="847.8471260.1.428640.000000.847001.200179"/>
    <n v="12800"/>
    <n v="8221.34"/>
    <m/>
    <m/>
    <n v="0"/>
    <n v="0"/>
    <n v="1500"/>
    <n v="1500"/>
    <n v="1500"/>
    <n v="0"/>
    <n v="4500"/>
    <s v="Winners of the comptetitions, student participation and recognition in Fall 2023."/>
    <n v="78.659999999999854"/>
    <s v="NA"/>
    <x v="1"/>
  </r>
  <r>
    <x v="0"/>
    <x v="4"/>
    <s v="8471260"/>
    <x v="51"/>
    <s v="429900"/>
    <s v="Other services, not specifically mentioned elsewhere"/>
    <s v="847.8471260.1.429900.000000.847001.200179"/>
    <n v="324000"/>
    <n v="118505"/>
    <m/>
    <m/>
    <n v="67000"/>
    <n v="23000"/>
    <n v="0"/>
    <n v="25532"/>
    <n v="25532"/>
    <n v="60532"/>
    <n v="201596"/>
    <s v="On campus employment pending payments for Spring, &amp; Summer 2023 and payments for the Fall 2023."/>
    <n v="3899"/>
    <s v="Additional funds was added to the account to cover the deficit. The surplus amount of 3,899 is expected to be spent as usually more departments are in need of student support in Fall 2023. "/>
    <x v="1"/>
  </r>
  <r>
    <x v="0"/>
    <x v="4"/>
    <s v="8471260"/>
    <x v="51"/>
    <s v="435530"/>
    <s v="School consumables, not specifically mentioned elsewhere"/>
    <s v="847.8471260.1.435530.000000.847001.200179"/>
    <n v="8518"/>
    <n v="3142.71"/>
    <n v="0"/>
    <n v="0"/>
    <n v="0"/>
    <n v="0"/>
    <n v="50000"/>
    <n v="7495"/>
    <n v="0"/>
    <n v="0"/>
    <n v="57495"/>
    <s v="Sports uniforms/training suits for Sports Teams and Coordinators and personal tools for sport teams (racket, knee pads, goalkeeper gloves, drawstring bags..etc...)"/>
    <n v="-52119.71"/>
    <s v="We expect a deficit in this account as we are out of stock of sports uniforms and some items that need replacing."/>
    <x v="1"/>
  </r>
  <r>
    <x v="0"/>
    <x v="4"/>
    <s v="8471260"/>
    <x v="51"/>
    <s v="436110"/>
    <s v="Printing supplies"/>
    <s v="847.8471260.1.436110.000000.847001.200179"/>
    <n v="5952"/>
    <n v="5088.51"/>
    <m/>
    <m/>
    <n v="0"/>
    <n v="1000"/>
    <n v="2000"/>
    <n v="0"/>
    <n v="2500"/>
    <n v="0"/>
    <n v="5500"/>
    <s v="Printing materials for New Student Orientation Program 2023, Club Fair and National Day. "/>
    <n v="-4636.51"/>
    <s v="We expect a deficit in this budget account as we have some important materials to be printed for the upcoming New Student Orientation Program, Club Fair and National Day ."/>
    <x v="1"/>
  </r>
  <r>
    <x v="0"/>
    <x v="4"/>
    <s v="8471270"/>
    <x v="52"/>
    <s v="425900"/>
    <s v="Entertainment and hospitality"/>
    <s v="847.8471270.1.425900.000000.847001.200179"/>
    <n v="2961"/>
    <n v="708.75"/>
    <m/>
    <m/>
    <m/>
    <m/>
    <m/>
    <n v="2252"/>
    <m/>
    <m/>
    <n v="2252"/>
    <m/>
    <n v="0.25"/>
    <s v="To be used for an event &quot;Open access awareness day&quot; planned in October "/>
    <x v="1"/>
  </r>
  <r>
    <x v="0"/>
    <x v="4"/>
    <s v="8471270"/>
    <x v="52"/>
    <s v="435330"/>
    <s v="Library books"/>
    <s v="847.8471270.1.435330.000000.847001.050589"/>
    <n v="500000"/>
    <m/>
    <n v="246832"/>
    <m/>
    <n v="253168"/>
    <m/>
    <m/>
    <m/>
    <m/>
    <m/>
    <n v="253168"/>
    <m/>
    <n v="0"/>
    <s v="This amount to be used for funding open access agreements, Forntiers and IEEE. Working with the publishers. "/>
    <x v="1"/>
  </r>
  <r>
    <x v="0"/>
    <x v="4"/>
    <s v="8471270"/>
    <x v="52"/>
    <s v="435330"/>
    <s v="Library books"/>
    <s v="847.8471270.1.435330.000000.847001.200179"/>
    <n v="14972062"/>
    <n v="12029617.380000001"/>
    <n v="700994.11"/>
    <n v="2019597"/>
    <n v="221854"/>
    <m/>
    <m/>
    <m/>
    <m/>
    <m/>
    <n v="221854"/>
    <m/>
    <n v="-0.49000000068917871"/>
    <s v="Already generated 2 PRs and rest of the money used for credit card payments. "/>
    <x v="1"/>
  </r>
  <r>
    <x v="0"/>
    <x v="4"/>
    <s v="8471280"/>
    <x v="53"/>
    <s v="425100"/>
    <s v="Advertising Services (General)"/>
    <s v="847.8471280.1.425100.000000.847001.200179"/>
    <n v="110000"/>
    <m/>
    <m/>
    <m/>
    <m/>
    <m/>
    <m/>
    <m/>
    <m/>
    <m/>
    <n v="0"/>
    <m/>
    <n v="110000"/>
    <m/>
    <x v="0"/>
  </r>
  <r>
    <x v="0"/>
    <x v="4"/>
    <s v="8471280"/>
    <x v="53"/>
    <s v="425510"/>
    <s v="Conferences, seminars and exhibitions and other events: - Local Events"/>
    <s v="847.8471280.1.425510.000000.847001.200179"/>
    <n v="310637"/>
    <n v="85994.73"/>
    <m/>
    <m/>
    <m/>
    <m/>
    <m/>
    <m/>
    <m/>
    <m/>
    <n v="0"/>
    <m/>
    <n v="224642.27000000002"/>
    <m/>
    <x v="0"/>
  </r>
  <r>
    <x v="0"/>
    <x v="4"/>
    <s v="8471280"/>
    <x v="53"/>
    <s v="425550"/>
    <s v="Conferences, seminars and exhibitions and other events: - Overseas event"/>
    <s v="847.8471280.1.425550.000000.847001.200179"/>
    <n v="28417"/>
    <n v="7833.92"/>
    <m/>
    <m/>
    <m/>
    <m/>
    <m/>
    <m/>
    <m/>
    <m/>
    <n v="0"/>
    <m/>
    <n v="20583.080000000002"/>
    <m/>
    <x v="0"/>
  </r>
  <r>
    <x v="0"/>
    <x v="4"/>
    <s v="8471280"/>
    <x v="53"/>
    <s v="425710"/>
    <s v="Higher education and specialisation incentives"/>
    <s v="847.8471280.1.425710.000000.847001.200179"/>
    <n v="112500"/>
    <m/>
    <m/>
    <m/>
    <m/>
    <m/>
    <m/>
    <m/>
    <m/>
    <m/>
    <n v="0"/>
    <m/>
    <n v="112500"/>
    <m/>
    <x v="0"/>
  </r>
  <r>
    <x v="0"/>
    <x v="4"/>
    <s v="8471280"/>
    <x v="53"/>
    <s v="425720"/>
    <s v="Education-Outsourced training service"/>
    <s v="847.8471280.1.425720.000000.847001.200179"/>
    <n v="664480"/>
    <m/>
    <m/>
    <m/>
    <m/>
    <m/>
    <m/>
    <m/>
    <m/>
    <m/>
    <n v="0"/>
    <m/>
    <n v="664480"/>
    <m/>
    <x v="0"/>
  </r>
  <r>
    <x v="0"/>
    <x v="4"/>
    <s v="8471280"/>
    <x v="53"/>
    <s v="425760"/>
    <s v="Student activities &amp; field trip expenses"/>
    <s v="847.8471280.1.425760.000000.847001.200179"/>
    <n v="13140"/>
    <n v="4914"/>
    <m/>
    <m/>
    <m/>
    <m/>
    <m/>
    <m/>
    <m/>
    <m/>
    <n v="0"/>
    <m/>
    <n v="8226"/>
    <m/>
    <x v="0"/>
  </r>
  <r>
    <x v="0"/>
    <x v="4"/>
    <s v="8471280"/>
    <x v="53"/>
    <s v="425770"/>
    <s v="Academic Missions - Combined expenses"/>
    <s v="847.8471280.1.425770.000000.847001.200179"/>
    <n v="0"/>
    <m/>
    <m/>
    <m/>
    <m/>
    <m/>
    <m/>
    <m/>
    <m/>
    <m/>
    <n v="0"/>
    <m/>
    <n v="0"/>
    <m/>
    <x v="0"/>
  </r>
  <r>
    <x v="0"/>
    <x v="4"/>
    <s v="8471280"/>
    <x v="53"/>
    <s v="425900"/>
    <s v="Entertainment and hospitality"/>
    <s v="847.8471280.1.425900.000000.847001.200179"/>
    <n v="535844"/>
    <n v="72759.75"/>
    <m/>
    <m/>
    <m/>
    <m/>
    <m/>
    <m/>
    <m/>
    <m/>
    <n v="0"/>
    <m/>
    <n v="463084.25"/>
    <m/>
    <x v="0"/>
  </r>
  <r>
    <x v="0"/>
    <x v="4"/>
    <s v="8471280"/>
    <x v="53"/>
    <s v="426610"/>
    <s v="Computer software licenses-Software License Renewal"/>
    <s v="847.8471280.1.426610.000000.847001.200179"/>
    <n v="282200"/>
    <n v="49743"/>
    <n v="43400"/>
    <n v="158312.74"/>
    <m/>
    <m/>
    <m/>
    <m/>
    <m/>
    <m/>
    <n v="0"/>
    <m/>
    <n v="30744.260000000009"/>
    <m/>
    <x v="0"/>
  </r>
  <r>
    <x v="0"/>
    <x v="4"/>
    <s v="8471280"/>
    <x v="53"/>
    <s v="427710"/>
    <s v="Subscriptions and membership fees: Trade organisations"/>
    <s v="847.8471280.1.427710.000000.847001.200179"/>
    <n v="5000"/>
    <m/>
    <m/>
    <m/>
    <m/>
    <m/>
    <m/>
    <m/>
    <m/>
    <m/>
    <n v="0"/>
    <m/>
    <n v="5000"/>
    <m/>
    <x v="0"/>
  </r>
  <r>
    <x v="0"/>
    <x v="4"/>
    <s v="8471280"/>
    <x v="53"/>
    <s v="428640"/>
    <s v="Events - Awards, prizes &amp; gifts"/>
    <s v="847.8471280.1.428640.000000.847001.200179"/>
    <n v="40000"/>
    <m/>
    <m/>
    <m/>
    <m/>
    <m/>
    <m/>
    <m/>
    <m/>
    <m/>
    <n v="0"/>
    <m/>
    <n v="40000"/>
    <m/>
    <x v="0"/>
  </r>
  <r>
    <x v="0"/>
    <x v="4"/>
    <s v="8471280"/>
    <x v="53"/>
    <s v="435340"/>
    <s v="Text books and library books"/>
    <s v="847.8471280.1.435340.000000.847001.200179"/>
    <n v="5539833"/>
    <m/>
    <n v="2"/>
    <m/>
    <m/>
    <m/>
    <m/>
    <m/>
    <m/>
    <m/>
    <n v="0"/>
    <m/>
    <n v="5539831"/>
    <m/>
    <x v="0"/>
  </r>
  <r>
    <x v="0"/>
    <x v="4"/>
    <s v="8471280"/>
    <x v="53"/>
    <s v="435530"/>
    <s v="School consumables, not specifically mentioned elsewhere"/>
    <s v="847.8471280.1.435530.000000.847001.200179"/>
    <n v="763"/>
    <m/>
    <m/>
    <m/>
    <m/>
    <m/>
    <m/>
    <m/>
    <m/>
    <m/>
    <n v="0"/>
    <m/>
    <n v="763"/>
    <m/>
    <x v="0"/>
  </r>
  <r>
    <x v="0"/>
    <x v="4"/>
    <s v="8471280"/>
    <x v="53"/>
    <s v="436110"/>
    <s v="Printing supplies"/>
    <s v="847.8471280.1.436110.000000.847001.200179"/>
    <n v="154200"/>
    <m/>
    <m/>
    <m/>
    <m/>
    <m/>
    <m/>
    <m/>
    <m/>
    <m/>
    <n v="0"/>
    <m/>
    <n v="154200"/>
    <m/>
    <x v="0"/>
  </r>
  <r>
    <x v="0"/>
    <x v="13"/>
    <s v="8471305"/>
    <x v="54"/>
    <s v="420570"/>
    <s v="Academic Collaborative Partnership Services"/>
    <s v="847.8471305.1.420570.000000.847001.200179"/>
    <n v="32430240"/>
    <m/>
    <m/>
    <m/>
    <m/>
    <m/>
    <m/>
    <m/>
    <m/>
    <m/>
    <n v="0"/>
    <m/>
    <n v="32430240"/>
    <s v="Q2 Invoice from Academic Partner  Pending - Funding  transfes to cover unexpected faculty departures and other gaps this quarter."/>
    <x v="1"/>
  </r>
  <r>
    <x v="0"/>
    <x v="13"/>
    <s v="8471305"/>
    <x v="54"/>
    <s v="421000"/>
    <s v="Management consultancy"/>
    <s v="847.8471305.1.421000.000000.847001.200179"/>
    <n v="147834"/>
    <n v="118270.6"/>
    <n v="0"/>
    <n v="0"/>
    <m/>
    <m/>
    <m/>
    <m/>
    <m/>
    <m/>
    <n v="0"/>
    <s v="May require more funding and trasnfer before end of Q3 "/>
    <n v="29563.399999999994"/>
    <s v="Q2 Invoice from consultants still in process . Funds to be transfeered from agreements to cover thiese expenses."/>
    <x v="1"/>
  </r>
  <r>
    <x v="0"/>
    <x v="13"/>
    <s v="8471305"/>
    <x v="54"/>
    <s v="421700"/>
    <s v="Standards Certification Services (e.g. ISO)"/>
    <s v="847.8471305.1.421700.000000.847001.200179"/>
    <n v="73837"/>
    <m/>
    <m/>
    <m/>
    <m/>
    <m/>
    <m/>
    <m/>
    <m/>
    <m/>
    <n v="0"/>
    <m/>
    <n v="73837"/>
    <s v="submission of fees Q3  and sumulation certiffica CAA related expenses. "/>
    <x v="1"/>
  </r>
  <r>
    <x v="0"/>
    <x v="13"/>
    <s v="8471305"/>
    <x v="54"/>
    <s v="425510"/>
    <s v="Conferences, seminars and exhibitions and other events: - Local Events"/>
    <s v="847.8471305.1.425510.000000.847001.200179"/>
    <n v="1043341"/>
    <n v="180127.39"/>
    <n v="0"/>
    <n v="0"/>
    <m/>
    <m/>
    <m/>
    <m/>
    <m/>
    <m/>
    <n v="0"/>
    <s v="Funds will be successfully committed/utlized. Arab Health and other. If required transferin  of funds to meet requirements."/>
    <n v="863213.61"/>
    <s v="Local events are now being organized and advertised.  One attendeance has been noted."/>
    <x v="1"/>
  </r>
  <r>
    <x v="0"/>
    <x v="13"/>
    <s v="8471305"/>
    <x v="54"/>
    <s v="425550"/>
    <s v="Conferences, seminars and exhibitions and other events: - Overseas event"/>
    <s v="847.8471305.1.425550.000000.847001.200179"/>
    <n v="388107"/>
    <n v="284893.78999999998"/>
    <m/>
    <m/>
    <m/>
    <m/>
    <m/>
    <m/>
    <m/>
    <m/>
    <n v="0"/>
    <s v="Funds will be successfully committed/utlized. Funds to be trasnfered to  this expense acct.."/>
    <n v="103213.21000000002"/>
    <s v="Several faculty are planning for quarter for presentations and attendeance.  Some will be attended in November. "/>
    <x v="1"/>
  </r>
  <r>
    <x v="0"/>
    <x v="13"/>
    <s v="8471305"/>
    <x v="54"/>
    <s v="425720"/>
    <s v="Education-Outsourced training service"/>
    <s v="847.8471305.1.425720.000000.847001.200179"/>
    <n v="1856965"/>
    <n v="1400479.01"/>
    <n v="-400579.26"/>
    <n v="101500"/>
    <m/>
    <m/>
    <n v="250000"/>
    <n v="320000"/>
    <m/>
    <m/>
    <n v="570000"/>
    <s v="Funds will be successfully committed/utlized."/>
    <n v="185565.25"/>
    <s v="OME and Clinical Affairs are planning for 2nd quarter onsites for faculty/staff and students.  Funds will be expended starting this month."/>
    <x v="1"/>
  </r>
  <r>
    <x v="0"/>
    <x v="13"/>
    <s v="8471305"/>
    <x v="54"/>
    <s v="425742"/>
    <s v="Enrollment expenses"/>
    <s v="847.8471305.1.425742.000000.847001.200179"/>
    <n v="178785"/>
    <n v="24306.44"/>
    <m/>
    <m/>
    <m/>
    <n v="150000"/>
    <m/>
    <m/>
    <m/>
    <m/>
    <n v="150000"/>
    <s v="Funds will be successfully committed/utlized."/>
    <n v="4478.5599999999977"/>
    <s v="Submissions pending new student onboarding may require more funding transferred dependiing on Expat Candadates. "/>
    <x v="1"/>
  </r>
  <r>
    <x v="0"/>
    <x v="13"/>
    <s v="8471305"/>
    <x v="54"/>
    <s v="425744"/>
    <s v="Student medical insurance"/>
    <s v="847.8471305.1.425744.000000.847001.200179"/>
    <n v="193002"/>
    <n v="193002"/>
    <m/>
    <m/>
    <m/>
    <m/>
    <m/>
    <m/>
    <m/>
    <m/>
    <n v="0"/>
    <s v="Funds will be successfully committed/utlized and more requried if onboarding 25 students."/>
    <n v="0"/>
    <s v="new policies and renewal pending  student onboarding and renewal dates.  Depends on total number of expast students. 25 new P1 students expected. "/>
    <x v="1"/>
  </r>
  <r>
    <x v="0"/>
    <x v="13"/>
    <s v="8471305"/>
    <x v="54"/>
    <s v="425745"/>
    <s v="Student relocation &amp; travel exps"/>
    <s v="847.8471305.1.425745.000000.847001.200179"/>
    <n v="54543"/>
    <m/>
    <m/>
    <m/>
    <m/>
    <m/>
    <m/>
    <m/>
    <m/>
    <m/>
    <n v="0"/>
    <s v="More funds may be required in this category."/>
    <n v="54543"/>
    <s v="student onboarding in July/August  150,000 will be required if all accepted onboard."/>
    <x v="1"/>
  </r>
  <r>
    <x v="0"/>
    <x v="13"/>
    <s v="8471305"/>
    <x v="54"/>
    <s v="425749"/>
    <s v="Postgraduate Student Salaries"/>
    <s v="847.8471305.1.425749.000000.847001.200179"/>
    <n v="32783000"/>
    <n v="15576666.710000001"/>
    <m/>
    <m/>
    <m/>
    <m/>
    <m/>
    <m/>
    <m/>
    <m/>
    <n v="0"/>
    <s v="Funds for student salary will be successfully committed/utlized."/>
    <n v="17206333.289999999"/>
    <s v="Current students and new student onboarding in August Revauation process currently inplace and will inform on untilizated funds. "/>
    <x v="1"/>
  </r>
  <r>
    <x v="0"/>
    <x v="13"/>
    <s v="8471305"/>
    <x v="54"/>
    <s v="425750"/>
    <s v="Skill assessment service"/>
    <s v="847.8471305.1.425750.000000.847001.200179"/>
    <n v="179593"/>
    <n v="132036.62"/>
    <m/>
    <m/>
    <m/>
    <m/>
    <m/>
    <m/>
    <m/>
    <m/>
    <n v="0"/>
    <s v="Funds will be successfully committed/utlized."/>
    <n v="47556.380000000005"/>
    <s v="NBME and IFOM  across all quarters assessment per OME - revision upwawrds possible. "/>
    <x v="1"/>
  </r>
  <r>
    <x v="0"/>
    <x v="13"/>
    <s v="8471305"/>
    <x v="54"/>
    <s v="425762"/>
    <s v="Student Internship"/>
    <s v="847.8471305.1.425762.000000.847001.200179"/>
    <n v="1200000"/>
    <n v="685828.59"/>
    <m/>
    <m/>
    <n v="50000"/>
    <m/>
    <n v="51491"/>
    <n v="100000"/>
    <m/>
    <m/>
    <n v="201491"/>
    <s v="Funds will be successfully committed/utlized. May require more funds/transfer based on new opportunities."/>
    <n v="312680.41000000003"/>
    <s v="On target for student applications and ongong experiences "/>
    <x v="1"/>
  </r>
  <r>
    <x v="0"/>
    <x v="13"/>
    <s v="8471305"/>
    <x v="54"/>
    <s v="425763"/>
    <s v="Student Project Expenses"/>
    <s v="847.8471305.1.425763.000000.847001.200179"/>
    <n v="2940"/>
    <m/>
    <m/>
    <m/>
    <m/>
    <m/>
    <m/>
    <m/>
    <m/>
    <m/>
    <n v="0"/>
    <m/>
    <n v="2940"/>
    <s v="Shoud be reflected in next quarter as students present locally internally and regionally - if required for research will move funding to suport. "/>
    <x v="1"/>
  </r>
  <r>
    <x v="0"/>
    <x v="13"/>
    <s v="8471305"/>
    <x v="54"/>
    <s v="425770"/>
    <s v="Academic Missions - Combined expenses"/>
    <s v="847.8471305.1.425770.000000.847001.200179"/>
    <n v="350000"/>
    <m/>
    <m/>
    <m/>
    <m/>
    <m/>
    <m/>
    <m/>
    <m/>
    <m/>
    <n v="0"/>
    <m/>
    <n v="350000"/>
    <s v="will be expended in the next three quarters, more heavilty in Q 3 and Q4.  Internationally confrenece for AAMC and other high level programs later in year. "/>
    <x v="1"/>
  </r>
  <r>
    <x v="0"/>
    <x v="13"/>
    <s v="8471305"/>
    <x v="54"/>
    <s v="425900"/>
    <s v="Entertainment and hospitality"/>
    <s v="847.8471305.1.425900.000000.847001.200179"/>
    <n v="58984"/>
    <n v="40566.47"/>
    <m/>
    <m/>
    <m/>
    <n v="5000"/>
    <n v="5000"/>
    <n v="5000"/>
    <n v="5000"/>
    <n v="3865"/>
    <n v="23865"/>
    <m/>
    <n v="-5447.4700000000012"/>
    <s v="Funds will be expeneded for Graduation and other events for Med School onboarding. On Target and may required tranfer from other area before end of year."/>
    <x v="1"/>
  </r>
  <r>
    <x v="0"/>
    <x v="13"/>
    <s v="8471305"/>
    <x v="54"/>
    <s v="426610"/>
    <s v="Computer software licenses-Software License Renewal"/>
    <s v="847.8471305.1.426610.000000.847001.200179"/>
    <n v="977363"/>
    <n v="364.45"/>
    <n v="228348.08"/>
    <n v="342435.96"/>
    <m/>
    <n v="924323.55"/>
    <m/>
    <m/>
    <m/>
    <m/>
    <n v="924323.55"/>
    <m/>
    <n v="-518109.04"/>
    <s v="renewal programs cost determined and will be uploaded Q3 by Anatomy and OME student learning platforms.   "/>
    <x v="1"/>
  </r>
  <r>
    <x v="0"/>
    <x v="13"/>
    <s v="8471305"/>
    <x v="54"/>
    <s v="426900"/>
    <s v="Postal, courier and other document delivery expenses"/>
    <s v="847.8471305.1.426900.000000.847001.200179"/>
    <n v="5000"/>
    <m/>
    <n v="1512"/>
    <m/>
    <m/>
    <m/>
    <m/>
    <m/>
    <n v="5000"/>
    <m/>
    <n v="5000"/>
    <m/>
    <n v="-1512"/>
    <s v="shipping items locally regionall or internationlly TBD and expended Q3/Q4"/>
    <x v="1"/>
  </r>
  <r>
    <x v="0"/>
    <x v="13"/>
    <s v="8471305"/>
    <x v="54"/>
    <s v="427710"/>
    <s v="Subscriptions and membership fees: Trade organisations"/>
    <s v="847.8471305.1.427710.000000.847001.200179"/>
    <n v="50517"/>
    <n v="-10660.58"/>
    <n v="18500"/>
    <n v="8640"/>
    <m/>
    <m/>
    <n v="8640"/>
    <n v="8640"/>
    <m/>
    <m/>
    <n v="17280"/>
    <s v="Ongoing evaluation of these funds per Office of the Dean.  "/>
    <n v="16757.580000000002"/>
    <s v="renewal and applications per faculty and staff in review process."/>
    <x v="1"/>
  </r>
  <r>
    <x v="0"/>
    <x v="13"/>
    <s v="8471305"/>
    <x v="54"/>
    <s v="428090"/>
    <s v="Business Travel - Combined expenses"/>
    <s v="847.8471305.1.428090.000000.847001.200179"/>
    <n v="100000"/>
    <n v="12252.61"/>
    <m/>
    <m/>
    <m/>
    <n v="25000"/>
    <n v="25000"/>
    <m/>
    <n v="25000"/>
    <n v="24052"/>
    <n v="99052"/>
    <m/>
    <n v="-11304.61"/>
    <s v="Expenditures planned in Q3 and Q4 others may be established for Q2 "/>
    <x v="1"/>
  </r>
  <r>
    <x v="0"/>
    <x v="13"/>
    <s v="8471305"/>
    <x v="54"/>
    <s v="428640"/>
    <s v="Events - Awards, prizes &amp; gifts"/>
    <s v="847.8471305.1.428640.000000.847001.200179"/>
    <n v="2820"/>
    <n v="1040"/>
    <m/>
    <m/>
    <m/>
    <m/>
    <m/>
    <m/>
    <n v="1780"/>
    <m/>
    <n v="1780"/>
    <s v="Will require more funding for this area based on events, brand recognition items and gifts.  "/>
    <n v="0"/>
    <s v="Will be expended in Q2 and Q3 as new student onboard and events are planned and executed for recogntion and celebration "/>
    <x v="1"/>
  </r>
  <r>
    <x v="0"/>
    <x v="13"/>
    <s v="8471305"/>
    <x v="54"/>
    <s v="432205"/>
    <s v="Maintenance: Computers and peripherals-End user and Infrastructure components maintenance and support"/>
    <s v="847.8471305.1.432205.000000.847001.200179"/>
    <n v="897981"/>
    <m/>
    <m/>
    <m/>
    <m/>
    <n v="522981"/>
    <m/>
    <m/>
    <m/>
    <m/>
    <n v="522981"/>
    <s v="depending on provier quote may reqrie more funding.  Risk to laboratory equipment and personell health issues scope."/>
    <n v="375000"/>
    <s v="Major Computer concerns will be addressed and enterd Q2, Q3 and Q4 by enduser "/>
    <x v="1"/>
  </r>
  <r>
    <x v="0"/>
    <x v="13"/>
    <s v="8471305"/>
    <x v="54"/>
    <s v="432209"/>
    <s v="Laboratory Equipment maintenance"/>
    <s v="847.8471305.1.432209.000000.847001.200179"/>
    <n v="570373"/>
    <n v="7014.5"/>
    <n v="-4021"/>
    <n v="35710"/>
    <m/>
    <m/>
    <m/>
    <m/>
    <m/>
    <m/>
    <n v="0"/>
    <s v="325,000 estimated in recent PR submission for   instrurment andatomy and faciltation of externa training."/>
    <n v="531669.5"/>
    <s v="End users have been informed of the amounts they are allocated for use.  This should be expended before the end of Q3 or Early Q4"/>
    <x v="1"/>
  </r>
  <r>
    <x v="0"/>
    <x v="13"/>
    <s v="8471305"/>
    <x v="54"/>
    <s v="435330"/>
    <s v="Library books"/>
    <s v="847.8471305.1.435330.000000.847001.200179"/>
    <n v="1291904"/>
    <n v="161432.14000000001"/>
    <n v="92077.35"/>
    <n v="560962.78"/>
    <m/>
    <m/>
    <n v="158317.16"/>
    <m/>
    <m/>
    <m/>
    <n v="158317.16"/>
    <s v="Osmosis, Amboss and Complete anatomy  PR entry.  Uworld also pending."/>
    <n v="319114.56999999983"/>
    <s v="OME has this under discussion.  Q2 and Q3 application for payment expected."/>
    <x v="1"/>
  </r>
  <r>
    <x v="0"/>
    <x v="13"/>
    <s v="8471305"/>
    <x v="54"/>
    <s v="435340"/>
    <s v="Text books and library books"/>
    <s v="847.8471305.1.435340.000000.847001.200179"/>
    <n v="306"/>
    <m/>
    <m/>
    <m/>
    <m/>
    <m/>
    <m/>
    <n v="306"/>
    <m/>
    <m/>
    <n v="306"/>
    <m/>
    <n v="0"/>
    <s v="Purchases underway departmentally"/>
    <x v="1"/>
  </r>
  <r>
    <x v="0"/>
    <x v="13"/>
    <s v="8471305"/>
    <x v="54"/>
    <s v="435350"/>
    <s v="Academic Publications"/>
    <s v="847.8471305.1.435350.000000.847001.200179"/>
    <n v="357401"/>
    <n v="150263.43"/>
    <n v="0"/>
    <m/>
    <n v="25000"/>
    <n v="25000"/>
    <n v="25000"/>
    <n v="25000"/>
    <m/>
    <m/>
    <n v="100000"/>
    <s v="Submissions in evaluationa and review process."/>
    <n v="107137.57"/>
    <s v="Articles have been published and paid more output per faculty and staff pendind publication acceptance.   Q1 top quartile journals only. "/>
    <x v="1"/>
  </r>
  <r>
    <x v="0"/>
    <x v="13"/>
    <s v="8471305"/>
    <x v="54"/>
    <s v="435508"/>
    <s v="Laboratory - Scientific"/>
    <s v="847.8471305.1.435508.000000.847001.200179"/>
    <n v="1800000"/>
    <n v="319813.02"/>
    <n v="236432.12"/>
    <n v="809726.37"/>
    <m/>
    <n v="100000"/>
    <n v="100000"/>
    <m/>
    <m/>
    <m/>
    <n v="200000"/>
    <m/>
    <n v="234028.48999999987"/>
    <s v="Minor equipement items will  need to be continually reviewed by Chairs and allocated accordingy  Q 3- Q 4  "/>
    <x v="1"/>
  </r>
  <r>
    <x v="0"/>
    <x v="13"/>
    <s v="8471305"/>
    <x v="54"/>
    <s v="435530"/>
    <s v="School consumables, not specifically mentioned elsewhere"/>
    <s v="847.8471305.1.435530.000000.847001.200179"/>
    <n v="5000"/>
    <n v="240"/>
    <m/>
    <m/>
    <n v="1000"/>
    <n v="1000"/>
    <m/>
    <n v="1000"/>
    <n v="1000"/>
    <n v="1000"/>
    <n v="5000"/>
    <m/>
    <n v="-240"/>
    <s v="will be expended over the next 3 qyarters by OME and Falcon Communites as well as Balsam. "/>
    <x v="1"/>
  </r>
  <r>
    <x v="0"/>
    <x v="13"/>
    <s v="8471305"/>
    <x v="54"/>
    <s v="436120"/>
    <s v="Stationery"/>
    <s v="847.8471305.1.436120.000000.847001.200179"/>
    <n v="3166"/>
    <n v="535.9"/>
    <m/>
    <m/>
    <m/>
    <m/>
    <m/>
    <m/>
    <m/>
    <m/>
    <n v="0"/>
    <m/>
    <n v="2630.1"/>
    <s v="Order Pending Q2 "/>
    <x v="1"/>
  </r>
  <r>
    <x v="1"/>
    <x v="0"/>
    <s v="8470110"/>
    <x v="0"/>
    <s v="492316"/>
    <s v="Laboratory equipment"/>
    <s v="847.8470110.1.492316.000000.847001.300180"/>
    <n v="0"/>
    <m/>
    <m/>
    <m/>
    <m/>
    <m/>
    <m/>
    <m/>
    <m/>
    <m/>
    <n v="0"/>
    <m/>
    <n v="0"/>
    <m/>
    <x v="0"/>
  </r>
  <r>
    <x v="1"/>
    <x v="0"/>
    <s v="8470120"/>
    <x v="1"/>
    <s v="492316"/>
    <s v="Laboratory equipment"/>
    <s v="847.8470120.1.492316.000000.847001.300180"/>
    <n v="0"/>
    <m/>
    <m/>
    <m/>
    <m/>
    <m/>
    <m/>
    <m/>
    <m/>
    <m/>
    <n v="0"/>
    <m/>
    <n v="0"/>
    <m/>
    <x v="1"/>
  </r>
  <r>
    <x v="1"/>
    <x v="0"/>
    <s v="8470120"/>
    <x v="1"/>
    <s v="495113"/>
    <s v="Computer software-Application, Platform"/>
    <s v="847.8470120.1.495113.000000.847001.300180"/>
    <n v="44351"/>
    <m/>
    <n v="0"/>
    <n v="21854.35"/>
    <m/>
    <m/>
    <m/>
    <m/>
    <n v="22497"/>
    <m/>
    <n v="22497"/>
    <m/>
    <n v="-0.34999999999854481"/>
    <s v="The remaining budget will be utilized by November for the procurement of audit licenses"/>
    <x v="1"/>
  </r>
  <r>
    <x v="1"/>
    <x v="2"/>
    <s v="8470210"/>
    <x v="7"/>
    <s v="492316"/>
    <s v="Laboratory equipment"/>
    <s v="847.8470210.1.492316.000000.847001.300180"/>
    <n v="895302"/>
    <m/>
    <m/>
    <m/>
    <m/>
    <m/>
    <m/>
    <m/>
    <m/>
    <m/>
    <n v="0"/>
    <m/>
    <n v="895302"/>
    <m/>
    <x v="0"/>
  </r>
  <r>
    <x v="1"/>
    <x v="3"/>
    <s v="8470220"/>
    <x v="8"/>
    <s v="492310"/>
    <s v="Hardware &amp; peripherals"/>
    <s v="847.8470220.1.492310.000000.847001.300180"/>
    <n v="244323"/>
    <n v="135000"/>
    <n v="32911"/>
    <n v="0"/>
    <m/>
    <m/>
    <m/>
    <m/>
    <m/>
    <m/>
    <n v="0"/>
    <m/>
    <n v="76412"/>
    <m/>
    <x v="0"/>
  </r>
  <r>
    <x v="1"/>
    <x v="3"/>
    <s v="8470220"/>
    <x v="8"/>
    <s v="492316"/>
    <s v="Laboratory equipment"/>
    <s v="847.8470220.1.492316.000000.847001.300180"/>
    <n v="697"/>
    <m/>
    <m/>
    <m/>
    <m/>
    <m/>
    <m/>
    <m/>
    <m/>
    <m/>
    <n v="0"/>
    <m/>
    <n v="697"/>
    <m/>
    <x v="0"/>
  </r>
  <r>
    <x v="1"/>
    <x v="3"/>
    <s v="8470220"/>
    <x v="8"/>
    <s v="492316"/>
    <s v="Laboratory equipment"/>
    <s v="847.8470220.1.492316.000000.847020.050589"/>
    <n v="15000000"/>
    <n v="75000"/>
    <n v="11884279.42"/>
    <n v="2930492.74"/>
    <m/>
    <m/>
    <m/>
    <m/>
    <m/>
    <m/>
    <n v="0"/>
    <m/>
    <n v="110227.83999999985"/>
    <m/>
    <x v="0"/>
  </r>
  <r>
    <x v="1"/>
    <x v="4"/>
    <s v="8470230"/>
    <x v="9"/>
    <s v="492310"/>
    <s v="Hardware &amp; peripherals"/>
    <s v="847.8470230.1.492310.000000.847001.300180"/>
    <n v="1333260"/>
    <m/>
    <n v="1326000"/>
    <m/>
    <m/>
    <m/>
    <m/>
    <m/>
    <m/>
    <m/>
    <n v="0"/>
    <s v="PR for student laptops is pending."/>
    <n v="7260"/>
    <m/>
    <x v="1"/>
  </r>
  <r>
    <x v="1"/>
    <x v="5"/>
    <s v="8470305"/>
    <x v="10"/>
    <s v="492316"/>
    <s v="Laboratory equipment"/>
    <s v="847.8470305.1.492316.000000.847001.300180"/>
    <n v="1000000"/>
    <m/>
    <n v="599389"/>
    <n v="394197"/>
    <m/>
    <m/>
    <m/>
    <m/>
    <m/>
    <m/>
    <n v="0"/>
    <m/>
    <n v="6414"/>
    <m/>
    <x v="0"/>
  </r>
  <r>
    <x v="1"/>
    <x v="5"/>
    <s v="8470310"/>
    <x v="11"/>
    <s v="492316"/>
    <s v="Laboratory equipment"/>
    <s v="847.8470310.1.492316.000000.847001.300180"/>
    <n v="805100"/>
    <n v="800481"/>
    <n v="-805100"/>
    <n v="805100"/>
    <m/>
    <m/>
    <m/>
    <m/>
    <m/>
    <m/>
    <n v="0"/>
    <m/>
    <n v="4619"/>
    <m/>
    <x v="0"/>
  </r>
  <r>
    <x v="1"/>
    <x v="5"/>
    <s v="8470320"/>
    <x v="13"/>
    <s v="492316"/>
    <s v="Laboratory equipment"/>
    <s v="847.8470320.1.492316.000000.847001.300180"/>
    <n v="433322"/>
    <n v="380756"/>
    <n v="-380756"/>
    <n v="430000"/>
    <m/>
    <m/>
    <m/>
    <m/>
    <m/>
    <m/>
    <n v="0"/>
    <m/>
    <n v="3322"/>
    <m/>
    <x v="0"/>
  </r>
  <r>
    <x v="1"/>
    <x v="5"/>
    <s v="8470325"/>
    <x v="14"/>
    <s v="492316"/>
    <s v="Laboratory equipment"/>
    <s v="847.8470325.1.492316.000000.847001.300180"/>
    <n v="13410"/>
    <m/>
    <m/>
    <m/>
    <m/>
    <m/>
    <n v="13400"/>
    <m/>
    <m/>
    <m/>
    <n v="13400"/>
    <m/>
    <n v="10"/>
    <m/>
    <x v="1"/>
  </r>
  <r>
    <x v="1"/>
    <x v="5"/>
    <s v="8470335"/>
    <x v="16"/>
    <s v="492316"/>
    <s v="Laboratory equipment"/>
    <s v="847.8470335.1.492316.000000.847001.300180"/>
    <n v="223066"/>
    <n v="35669.660000000003"/>
    <n v="-43554"/>
    <n v="227970"/>
    <m/>
    <m/>
    <m/>
    <m/>
    <m/>
    <m/>
    <n v="0"/>
    <m/>
    <n v="2980.3399999999965"/>
    <m/>
    <x v="0"/>
  </r>
  <r>
    <x v="1"/>
    <x v="5"/>
    <s v="8470345"/>
    <x v="18"/>
    <s v="492316"/>
    <s v="Laboratory equipment"/>
    <s v="847.8470345.1.492316.000000.847001.300180"/>
    <n v="192399"/>
    <n v="330370.78999999998"/>
    <n v="-139309.26999999999"/>
    <n v="2.91038304567337E-11"/>
    <m/>
    <m/>
    <n v="1337"/>
    <m/>
    <m/>
    <m/>
    <n v="1337"/>
    <s v="Installation of a safety protective device in Lab 8326 "/>
    <n v="0.47999999998137355"/>
    <m/>
    <x v="1"/>
  </r>
  <r>
    <x v="1"/>
    <x v="6"/>
    <s v="8470405"/>
    <x v="20"/>
    <s v="492316"/>
    <s v="Laboratory equipment"/>
    <s v="847.8470405.1.492316.000000.847001.300180"/>
    <n v="1"/>
    <m/>
    <m/>
    <m/>
    <m/>
    <m/>
    <m/>
    <m/>
    <m/>
    <m/>
    <n v="0"/>
    <m/>
    <n v="1"/>
    <m/>
    <x v="0"/>
  </r>
  <r>
    <x v="1"/>
    <x v="6"/>
    <s v="8470415"/>
    <x v="22"/>
    <s v="492316"/>
    <s v="Laboratory equipment"/>
    <s v="847.8470415.1.492316.000000.847001.300180"/>
    <n v="1158260"/>
    <n v="54159.1"/>
    <n v="518307.21"/>
    <n v="533770"/>
    <n v="28245"/>
    <n v="0"/>
    <n v="0"/>
    <n v="0"/>
    <n v="0"/>
    <n v="0"/>
    <n v="28245"/>
    <s v="We will use part of the fund to acquire the ICDD database for the department’s p-XRD equipment to improve the delivery of UG labs and student projects "/>
    <n v="23778.689999999944"/>
    <s v="This is an unspent returning capex budget from processed PRs. The remaining amount may be used to cover any unforeseen PO adjustments for the current open capex PRs "/>
    <x v="1"/>
  </r>
  <r>
    <x v="1"/>
    <x v="6"/>
    <s v="8470425"/>
    <x v="23"/>
    <s v="492316"/>
    <s v="Laboratory equipment"/>
    <s v="847.8470425.1.492316.000000.847001.300180"/>
    <n v="894488"/>
    <n v="131146.73000000001"/>
    <n v="276108.79999999999"/>
    <n v="289712.83"/>
    <n v="100000"/>
    <n v="97520"/>
    <m/>
    <m/>
    <m/>
    <m/>
    <n v="197520"/>
    <s v="Capex Items for Physics Lab"/>
    <n v="-0.35999999998603016"/>
    <m/>
    <x v="1"/>
  </r>
  <r>
    <x v="1"/>
    <x v="6"/>
    <s v="8470445"/>
    <x v="27"/>
    <s v="492316"/>
    <s v="Laboratory equipment"/>
    <s v="847.8470445.1.492316.000000.847001.300180"/>
    <n v="68000"/>
    <m/>
    <m/>
    <m/>
    <m/>
    <m/>
    <m/>
    <m/>
    <m/>
    <m/>
    <n v="0"/>
    <m/>
    <n v="68000"/>
    <m/>
    <x v="0"/>
  </r>
  <r>
    <x v="1"/>
    <x v="6"/>
    <s v="8470450"/>
    <x v="28"/>
    <s v="492310"/>
    <s v="Hardware &amp; peripherals"/>
    <s v="847.8470450.1.492310.000000.847001.300180"/>
    <m/>
    <n v="0"/>
    <m/>
    <m/>
    <m/>
    <m/>
    <m/>
    <m/>
    <m/>
    <m/>
    <n v="0"/>
    <m/>
    <n v="0"/>
    <m/>
    <x v="0"/>
  </r>
  <r>
    <x v="1"/>
    <x v="6"/>
    <s v="8470450"/>
    <x v="28"/>
    <s v="492316"/>
    <s v="Laboratory equipment"/>
    <s v="847.8470450.1.492316.000000.847001.300180"/>
    <n v="285100"/>
    <n v="47150"/>
    <n v="237648.56"/>
    <n v="0"/>
    <m/>
    <m/>
    <m/>
    <m/>
    <m/>
    <m/>
    <n v="0"/>
    <m/>
    <n v="301.44000000000233"/>
    <m/>
    <x v="0"/>
  </r>
  <r>
    <x v="1"/>
    <x v="6"/>
    <s v="8470455"/>
    <x v="29"/>
    <s v="492316"/>
    <s v="Laboratory equipment"/>
    <s v="847.8470455.1.492316.000000.847001.300180"/>
    <n v="545755"/>
    <n v="2808.8"/>
    <n v="298299"/>
    <n v="203840"/>
    <m/>
    <n v="40500"/>
    <m/>
    <m/>
    <m/>
    <m/>
    <n v="40500"/>
    <m/>
    <n v="307.19999999995343"/>
    <m/>
    <x v="1"/>
  </r>
  <r>
    <x v="1"/>
    <x v="7"/>
    <s v="8470530"/>
    <x v="31"/>
    <s v="492200"/>
    <s v="Capital expense - Buildings"/>
    <s v="847.8470530.1.492200.000000.847001.300180"/>
    <n v="1443208"/>
    <n v="8480"/>
    <n v="587776"/>
    <n v="0"/>
    <m/>
    <m/>
    <m/>
    <m/>
    <m/>
    <m/>
    <n v="0"/>
    <m/>
    <n v="846952"/>
    <m/>
    <x v="0"/>
  </r>
  <r>
    <x v="1"/>
    <x v="7"/>
    <s v="8470530"/>
    <x v="31"/>
    <s v="492200"/>
    <s v="Capital expense - Buildings"/>
    <s v="847.8470530.1.492200.000000.847010.300180"/>
    <n v="29208099"/>
    <n v="989346.6"/>
    <n v="16508529.35"/>
    <n v="11119206.550000001"/>
    <m/>
    <m/>
    <m/>
    <m/>
    <m/>
    <m/>
    <n v="0"/>
    <m/>
    <n v="591016.49999999814"/>
    <m/>
    <x v="0"/>
  </r>
  <r>
    <x v="1"/>
    <x v="7"/>
    <s v="8470530"/>
    <x v="31"/>
    <s v="492200"/>
    <s v="Capital expense - Buildings"/>
    <s v="847.8470530.1.492200.000000.847020.050640"/>
    <n v="1000000"/>
    <m/>
    <m/>
    <m/>
    <m/>
    <m/>
    <m/>
    <m/>
    <m/>
    <m/>
    <n v="0"/>
    <m/>
    <n v="1000000"/>
    <m/>
    <x v="0"/>
  </r>
  <r>
    <x v="1"/>
    <x v="7"/>
    <s v="8470530"/>
    <x v="31"/>
    <s v="492200"/>
    <s v="Capital expense - Buildings"/>
    <s v="847.8470530.1.492200.000000.847020.300180"/>
    <n v="19109546"/>
    <n v="549326.5"/>
    <n v="16575938"/>
    <n v="1326313.75"/>
    <m/>
    <m/>
    <m/>
    <m/>
    <m/>
    <m/>
    <n v="0"/>
    <m/>
    <n v="657967.75"/>
    <m/>
    <x v="0"/>
  </r>
  <r>
    <x v="1"/>
    <x v="7"/>
    <s v="8470530"/>
    <x v="31"/>
    <s v="492610"/>
    <s v="Furniture &amp; Fixtures - Offices"/>
    <s v="847.8470530.1.492610.000000.847010.050640"/>
    <n v="1000000"/>
    <m/>
    <n v="0"/>
    <n v="187300"/>
    <m/>
    <m/>
    <m/>
    <m/>
    <m/>
    <m/>
    <n v="0"/>
    <m/>
    <n v="812700"/>
    <m/>
    <x v="0"/>
  </r>
  <r>
    <x v="1"/>
    <x v="7"/>
    <s v="8470530"/>
    <x v="31"/>
    <s v="492610"/>
    <s v="Furniture &amp; Fixtures - Offices"/>
    <s v="847.8470530.1.492610.000000.847010.300180"/>
    <n v="289920"/>
    <m/>
    <n v="289920"/>
    <m/>
    <m/>
    <m/>
    <m/>
    <m/>
    <m/>
    <m/>
    <n v="0"/>
    <m/>
    <n v="0"/>
    <m/>
    <x v="0"/>
  </r>
  <r>
    <x v="1"/>
    <x v="7"/>
    <s v="8470530"/>
    <x v="31"/>
    <s v="492610"/>
    <s v="Furniture &amp; Fixtures - Offices"/>
    <s v="847.8470530.1.492610.000000.847015.300180"/>
    <n v="31488"/>
    <m/>
    <n v="0"/>
    <m/>
    <m/>
    <m/>
    <m/>
    <m/>
    <m/>
    <m/>
    <n v="0"/>
    <m/>
    <n v="31488"/>
    <m/>
    <x v="0"/>
  </r>
  <r>
    <x v="1"/>
    <x v="7"/>
    <s v="8470530"/>
    <x v="31"/>
    <s v="492610"/>
    <s v="Furniture &amp; Fixtures - Offices"/>
    <s v="847.8470530.1.492610.000000.847020.050640"/>
    <n v="4000000"/>
    <m/>
    <n v="836993.5"/>
    <n v="149800"/>
    <m/>
    <m/>
    <m/>
    <m/>
    <m/>
    <m/>
    <n v="0"/>
    <m/>
    <n v="3013206.5"/>
    <m/>
    <x v="0"/>
  </r>
  <r>
    <x v="1"/>
    <x v="7"/>
    <s v="8470530"/>
    <x v="31"/>
    <s v="492610"/>
    <s v="Furniture &amp; Fixtures - Offices"/>
    <s v="847.8470530.1.492610.000000.847020.300180"/>
    <n v="41141"/>
    <m/>
    <n v="1"/>
    <m/>
    <m/>
    <m/>
    <m/>
    <m/>
    <m/>
    <m/>
    <n v="0"/>
    <m/>
    <n v="41140"/>
    <m/>
    <x v="0"/>
  </r>
  <r>
    <x v="1"/>
    <x v="7"/>
    <s v="8470530"/>
    <x v="31"/>
    <s v="495113"/>
    <s v="Computer software-Application, Platform"/>
    <s v="847.8470530.1.495113.000000.847010.300180"/>
    <n v="181000"/>
    <n v="30302.25"/>
    <n v="150000"/>
    <n v="0"/>
    <m/>
    <m/>
    <m/>
    <m/>
    <m/>
    <m/>
    <n v="0"/>
    <m/>
    <n v="697.75"/>
    <m/>
    <x v="0"/>
  </r>
  <r>
    <x v="1"/>
    <x v="11"/>
    <s v="8470810"/>
    <x v="37"/>
    <s v="492310"/>
    <s v="Hardware &amp; peripherals"/>
    <s v="847.8470810.1.492310.000000.847001.300180"/>
    <n v="274935"/>
    <n v="10775"/>
    <n v="0"/>
    <n v="264160"/>
    <m/>
    <m/>
    <m/>
    <m/>
    <m/>
    <m/>
    <n v="0"/>
    <m/>
    <n v="0"/>
    <m/>
    <x v="1"/>
  </r>
  <r>
    <x v="1"/>
    <x v="11"/>
    <s v="8470810"/>
    <x v="37"/>
    <s v="492352"/>
    <s v="Hardware &amp; peripherals-Network Devices"/>
    <s v="847.8470810.1.492352.000000.847001.300180"/>
    <n v="687864"/>
    <m/>
    <n v="202306"/>
    <n v="485558"/>
    <m/>
    <m/>
    <m/>
    <m/>
    <m/>
    <m/>
    <n v="0"/>
    <m/>
    <n v="0"/>
    <m/>
    <x v="1"/>
  </r>
  <r>
    <x v="1"/>
    <x v="11"/>
    <s v="8470810"/>
    <x v="37"/>
    <s v="492354"/>
    <s v="Hardware &amp; peripherals-Peripherals &amp; Infrastructure Components"/>
    <s v="847.8470810.1.492354.000000.847001.300180"/>
    <n v="24560"/>
    <n v="24560"/>
    <n v="0"/>
    <n v="0"/>
    <m/>
    <m/>
    <m/>
    <m/>
    <m/>
    <m/>
    <n v="0"/>
    <m/>
    <n v="0"/>
    <m/>
    <x v="1"/>
  </r>
  <r>
    <x v="1"/>
    <x v="11"/>
    <s v="8470810"/>
    <x v="37"/>
    <s v="492356"/>
    <s v="Hardware &amp; peripherals-Conferencing &amp; AV"/>
    <s v="847.8470810.1.492356.000000.847001.300180"/>
    <n v="2430092"/>
    <n v="2"/>
    <n v="1767433"/>
    <n v="2"/>
    <n v="662655"/>
    <m/>
    <m/>
    <m/>
    <m/>
    <m/>
    <n v="662655"/>
    <s v="Audio Visual renovation project (Capex items)"/>
    <n v="0"/>
    <m/>
    <x v="1"/>
  </r>
  <r>
    <x v="1"/>
    <x v="11"/>
    <s v="8470810"/>
    <x v="37"/>
    <s v="495113"/>
    <s v="Computer software-Application, Platform"/>
    <s v="847.8470810.1.495113.000000.847001.300180"/>
    <n v="0"/>
    <m/>
    <m/>
    <m/>
    <m/>
    <m/>
    <m/>
    <m/>
    <m/>
    <m/>
    <n v="0"/>
    <m/>
    <n v="0"/>
    <m/>
    <x v="1"/>
  </r>
  <r>
    <x v="1"/>
    <x v="12"/>
    <s v="8471140"/>
    <x v="42"/>
    <s v="495113"/>
    <s v="Computer software-Application, Platform"/>
    <s v="847.8471140.1.495113.000000.847001.300180"/>
    <n v="289000"/>
    <n v="287963.2"/>
    <m/>
    <m/>
    <m/>
    <m/>
    <m/>
    <m/>
    <m/>
    <m/>
    <n v="0"/>
    <m/>
    <n v="1036.7999999999884"/>
    <s v="Minimal (exchange rate) "/>
    <x v="1"/>
  </r>
  <r>
    <x v="1"/>
    <x v="12"/>
    <s v="8471160"/>
    <x v="44"/>
    <s v="492200"/>
    <s v="Capital expense - Buildings"/>
    <s v="847.8471160.1.492200.000000.847001.300180"/>
    <n v="724500"/>
    <n v="64500"/>
    <n v="-32000"/>
    <n v="0"/>
    <m/>
    <m/>
    <m/>
    <m/>
    <m/>
    <m/>
    <n v="0"/>
    <m/>
    <n v="692000"/>
    <m/>
    <x v="0"/>
  </r>
  <r>
    <x v="1"/>
    <x v="12"/>
    <s v="8471160"/>
    <x v="44"/>
    <s v="492316"/>
    <s v="Laboratory equipment"/>
    <s v="847.8471160.1.492316.000000.847001.300180"/>
    <n v="72051050"/>
    <n v="547715.42000000004"/>
    <n v="-354955.02"/>
    <n v="775876"/>
    <m/>
    <m/>
    <m/>
    <m/>
    <m/>
    <m/>
    <n v="0"/>
    <m/>
    <n v="71082413.599999994"/>
    <m/>
    <x v="0"/>
  </r>
  <r>
    <x v="1"/>
    <x v="12"/>
    <s v="8471170"/>
    <x v="45"/>
    <s v="492316"/>
    <s v="Laboratory equipment"/>
    <s v="847.8471170.1.492316.000000.847001.300180"/>
    <n v="0"/>
    <m/>
    <m/>
    <m/>
    <m/>
    <m/>
    <m/>
    <m/>
    <m/>
    <m/>
    <n v="0"/>
    <m/>
    <n v="0"/>
    <m/>
    <x v="1"/>
  </r>
  <r>
    <x v="1"/>
    <x v="12"/>
    <s v="8471170"/>
    <x v="45"/>
    <s v="495113"/>
    <s v="Computer software-Application, Platform"/>
    <s v="847.8471170.1.495113.000000.847001.300180"/>
    <n v="0"/>
    <m/>
    <m/>
    <m/>
    <m/>
    <m/>
    <m/>
    <m/>
    <m/>
    <m/>
    <n v="0"/>
    <m/>
    <n v="0"/>
    <m/>
    <x v="1"/>
  </r>
  <r>
    <x v="1"/>
    <x v="13"/>
    <s v="8471305"/>
    <x v="54"/>
    <s v="492310"/>
    <s v="Hardware &amp; peripherals"/>
    <s v="847.8471305.1.492310.000000.847001.300180"/>
    <m/>
    <n v="-1341.2"/>
    <m/>
    <m/>
    <m/>
    <m/>
    <m/>
    <m/>
    <m/>
    <m/>
    <n v="0"/>
    <m/>
    <n v="1341.2"/>
    <m/>
    <x v="1"/>
  </r>
  <r>
    <x v="1"/>
    <x v="13"/>
    <s v="8471305"/>
    <x v="54"/>
    <s v="492316"/>
    <s v="Laboratory equipment"/>
    <s v="847.8471305.1.492316.000000.847001.300180"/>
    <n v="4876763"/>
    <n v="1742003.7"/>
    <n v="1116456.1000000001"/>
    <n v="1677731.7"/>
    <m/>
    <m/>
    <m/>
    <m/>
    <m/>
    <m/>
    <n v="0"/>
    <m/>
    <n v="340571.49999999977"/>
    <s v="POs have been raised, further discussions with Chairs by Research will determine focus and spending Q2-Q4 - CAPEX is closed and funds return once PO is finalize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st Center Group">
  <location ref="A41:F54" firstHeaderRow="0" firstDataRow="1" firstDataCol="1" rowPageCount="1" colPageCount="1"/>
  <pivotFields count="22">
    <pivotField multipleItemSelectionAllowed="1" showAll="0"/>
    <pivotField axis="axisRow" showAll="0" defaultSubtotal="0">
      <items count="14">
        <item sd="0" x="4"/>
        <item sd="0" x="7"/>
        <item sd="0" x="11"/>
        <item sd="0" x="6"/>
        <item sd="0" x="5"/>
        <item sd="0" x="13"/>
        <item sd="0" x="2"/>
        <item sd="0" x="1"/>
        <item sd="0" x="10"/>
        <item sd="0" x="0"/>
        <item sd="0" x="9"/>
        <item sd="0" x="3"/>
        <item sd="0" x="12"/>
        <item sd="0" x="8"/>
      </items>
    </pivotField>
    <pivotField showAll="0"/>
    <pivotField axis="axisRow" showAll="0">
      <items count="56">
        <item x="32"/>
        <item x="11"/>
        <item x="37"/>
        <item x="1"/>
        <item x="29"/>
        <item x="12"/>
        <item x="50"/>
        <item x="53"/>
        <item x="13"/>
        <item x="22"/>
        <item x="14"/>
        <item x="4"/>
        <item x="2"/>
        <item x="39"/>
        <item x="20"/>
        <item x="10"/>
        <item x="54"/>
        <item x="25"/>
        <item x="28"/>
        <item x="15"/>
        <item x="30"/>
        <item x="38"/>
        <item x="31"/>
        <item x="34"/>
        <item x="5"/>
        <item x="9"/>
        <item x="36"/>
        <item x="26"/>
        <item x="16"/>
        <item x="21"/>
        <item x="3"/>
        <item x="7"/>
        <item x="52"/>
        <item x="27"/>
        <item x="17"/>
        <item x="18"/>
        <item x="0"/>
        <item x="8"/>
        <item x="19"/>
        <item x="23"/>
        <item x="24"/>
        <item x="35"/>
        <item x="47"/>
        <item x="45"/>
        <item x="44"/>
        <item x="41"/>
        <item x="48"/>
        <item x="51"/>
        <item x="49"/>
        <item x="33"/>
        <item x="46"/>
        <item x="40"/>
        <item x="6"/>
        <item x="43"/>
        <item x="42"/>
        <item t="default"/>
      </items>
    </pivotField>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dataField="1" showAll="0" defaultSubtotal="0"/>
    <pivotField showAll="0"/>
    <pivotField numFmtId="3" showAll="0" defaultSubtotal="0"/>
    <pivotField showAll="0"/>
    <pivotField axis="axisPage" multipleItemSelectionAllowed="1" showAll="0">
      <items count="3">
        <item x="0"/>
        <item h="1" x="1"/>
        <item t="default"/>
      </items>
    </pivotField>
  </pivotFields>
  <rowFields count="2">
    <field x="1"/>
    <field x="3"/>
  </rowFields>
  <rowItems count="13">
    <i>
      <x/>
    </i>
    <i>
      <x v="1"/>
    </i>
    <i>
      <x v="3"/>
    </i>
    <i>
      <x v="4"/>
    </i>
    <i>
      <x v="6"/>
    </i>
    <i>
      <x v="7"/>
    </i>
    <i>
      <x v="8"/>
    </i>
    <i>
      <x v="9"/>
    </i>
    <i>
      <x v="10"/>
    </i>
    <i>
      <x v="11"/>
    </i>
    <i>
      <x v="12"/>
    </i>
    <i>
      <x v="13"/>
    </i>
    <i t="grand">
      <x/>
    </i>
  </rowItems>
  <colFields count="1">
    <field x="-2"/>
  </colFields>
  <colItems count="5">
    <i>
      <x/>
    </i>
    <i i="1">
      <x v="1"/>
    </i>
    <i i="2">
      <x v="2"/>
    </i>
    <i i="3">
      <x v="3"/>
    </i>
    <i i="4">
      <x v="4"/>
    </i>
  </colItems>
  <pageFields count="1">
    <pageField fld="21" hier="-1"/>
  </pageFields>
  <dataFields count="5">
    <dataField name=" Budget" fld="7" baseField="1" baseItem="0"/>
    <dataField name=" Actual Amount" fld="8" baseField="1" baseItem="0"/>
    <dataField name=" PR" fld="9" baseField="1" baseItem="0"/>
    <dataField name=" PO" fld="10" baseField="1" baseItem="0"/>
    <dataField name=" total forecasted utilization to DEC-2023" fld="17" baseField="1" baseItem="0"/>
  </dataFields>
  <formats count="2">
    <format dxfId="2">
      <pivotArea outline="0" collapsedLevelsAreSubtotals="1" fieldPosition="0"/>
    </format>
    <format dxfId="1">
      <pivotArea dataOnly="0" labelOnly="1" outline="0" fieldPosition="0">
        <references count="1">
          <reference field="4294967294"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st Center Group">
  <location ref="A24:F35" firstHeaderRow="0" firstDataRow="1" firstDataCol="1" rowPageCount="1" colPageCount="1"/>
  <pivotFields count="22">
    <pivotField axis="axisPage" multipleItemSelectionAllowed="1" showAll="0">
      <items count="3">
        <item h="1" x="0"/>
        <item x="1"/>
        <item t="default"/>
      </items>
    </pivotField>
    <pivotField axis="axisRow" showAll="0" defaultSubtotal="0">
      <items count="14">
        <item x="4"/>
        <item x="7"/>
        <item x="11"/>
        <item x="6"/>
        <item x="5"/>
        <item x="13"/>
        <item x="2"/>
        <item x="1"/>
        <item x="10"/>
        <item x="0"/>
        <item x="9"/>
        <item x="3"/>
        <item x="12"/>
        <item x="8"/>
      </items>
    </pivotField>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dataField="1" showAll="0" defaultSubtotal="0"/>
    <pivotField showAll="0"/>
    <pivotField numFmtId="3" showAll="0" defaultSubtotal="0"/>
    <pivotField showAll="0"/>
    <pivotField showAll="0"/>
  </pivotFields>
  <rowFields count="1">
    <field x="1"/>
  </rowFields>
  <rowItems count="11">
    <i>
      <x/>
    </i>
    <i>
      <x v="1"/>
    </i>
    <i>
      <x v="2"/>
    </i>
    <i>
      <x v="3"/>
    </i>
    <i>
      <x v="4"/>
    </i>
    <i>
      <x v="5"/>
    </i>
    <i>
      <x v="6"/>
    </i>
    <i>
      <x v="9"/>
    </i>
    <i>
      <x v="11"/>
    </i>
    <i>
      <x v="12"/>
    </i>
    <i t="grand">
      <x/>
    </i>
  </rowItems>
  <colFields count="1">
    <field x="-2"/>
  </colFields>
  <colItems count="5">
    <i>
      <x/>
    </i>
    <i i="1">
      <x v="1"/>
    </i>
    <i i="2">
      <x v="2"/>
    </i>
    <i i="3">
      <x v="3"/>
    </i>
    <i i="4">
      <x v="4"/>
    </i>
  </colItems>
  <pageFields count="1">
    <pageField fld="0" hier="-1"/>
  </pageFields>
  <dataFields count="5">
    <dataField name=" Budget" fld="7" baseField="1" baseItem="0"/>
    <dataField name=" Actual Amount" fld="8" baseField="1" baseItem="0"/>
    <dataField name=" PR" fld="9" baseField="1" baseItem="0"/>
    <dataField name=" PO" fld="10" baseField="1" baseItem="0"/>
    <dataField name=" total forecasted utilization to DEC-2023" fld="17" baseField="1" baseItem="0"/>
  </dataFields>
  <formats count="2">
    <format dxfId="4">
      <pivotArea outline="0" collapsedLevelsAreSubtotals="1" fieldPosition="0"/>
    </format>
    <format dxfId="3">
      <pivotArea dataOnly="0" labelOnly="1" outline="0" fieldPosition="0">
        <references count="1">
          <reference field="4294967294"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st Center Group">
  <location ref="A3:F18" firstHeaderRow="0" firstDataRow="1" firstDataCol="1" rowPageCount="1" colPageCount="1"/>
  <pivotFields count="22">
    <pivotField axis="axisPage" multipleItemSelectionAllowed="1" showAll="0">
      <items count="3">
        <item x="0"/>
        <item h="1" x="1"/>
        <item t="default"/>
      </items>
    </pivotField>
    <pivotField axis="axisRow" showAll="0" defaultSubtotal="0">
      <items count="14">
        <item x="4"/>
        <item x="7"/>
        <item x="11"/>
        <item x="6"/>
        <item x="5"/>
        <item x="13"/>
        <item x="2"/>
        <item x="1"/>
        <item x="10"/>
        <item x="0"/>
        <item x="9"/>
        <item x="3"/>
        <item x="12"/>
        <item x="8"/>
      </items>
    </pivotField>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dataField="1" showAll="0" defaultSubtotal="0"/>
    <pivotField showAll="0"/>
    <pivotField numFmtId="3" showAll="0" defaultSubtotal="0"/>
    <pivotField showAll="0"/>
    <pivotField showAll="0"/>
  </pivotFields>
  <rowFields count="1">
    <field x="1"/>
  </rowFields>
  <rowItems count="15">
    <i>
      <x/>
    </i>
    <i>
      <x v="1"/>
    </i>
    <i>
      <x v="2"/>
    </i>
    <i>
      <x v="3"/>
    </i>
    <i>
      <x v="4"/>
    </i>
    <i>
      <x v="5"/>
    </i>
    <i>
      <x v="6"/>
    </i>
    <i>
      <x v="7"/>
    </i>
    <i>
      <x v="8"/>
    </i>
    <i>
      <x v="9"/>
    </i>
    <i>
      <x v="10"/>
    </i>
    <i>
      <x v="11"/>
    </i>
    <i>
      <x v="12"/>
    </i>
    <i>
      <x v="13"/>
    </i>
    <i t="grand">
      <x/>
    </i>
  </rowItems>
  <colFields count="1">
    <field x="-2"/>
  </colFields>
  <colItems count="5">
    <i>
      <x/>
    </i>
    <i i="1">
      <x v="1"/>
    </i>
    <i i="2">
      <x v="2"/>
    </i>
    <i i="3">
      <x v="3"/>
    </i>
    <i i="4">
      <x v="4"/>
    </i>
  </colItems>
  <pageFields count="1">
    <pageField fld="0" hier="-1"/>
  </pageFields>
  <dataFields count="5">
    <dataField name=" Budget" fld="7" baseField="1" baseItem="0"/>
    <dataField name=" Actual Amount" fld="8" baseField="1" baseItem="0"/>
    <dataField name=" PR" fld="9" baseField="1" baseItem="0"/>
    <dataField name=" PO" fld="10" baseField="1" baseItem="0"/>
    <dataField name=" total forecasted utilization to DEC-2023" fld="17" baseField="1" baseItem="0"/>
  </dataFields>
  <formats count="2">
    <format dxfId="6">
      <pivotArea outline="0" collapsedLevelsAreSubtotals="1" fieldPosition="0"/>
    </format>
    <format dxfId="5">
      <pivotArea dataOnly="0" labelOnly="1" outline="0" fieldPosition="0">
        <references count="1">
          <reference field="4294967294"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workbookViewId="0">
      <selection activeCell="A6" sqref="A6"/>
    </sheetView>
  </sheetViews>
  <sheetFormatPr defaultRowHeight="14.5" x14ac:dyDescent="0.35"/>
  <cols>
    <col min="1" max="1" width="38" customWidth="1"/>
    <col min="2" max="2" width="15.26953125" customWidth="1"/>
    <col min="3" max="3" width="16.1796875" customWidth="1"/>
    <col min="4" max="4" width="14.26953125" bestFit="1" customWidth="1"/>
    <col min="5" max="5" width="14.26953125" customWidth="1"/>
    <col min="6" max="6" width="38.1796875" customWidth="1"/>
    <col min="7" max="7" width="20" customWidth="1"/>
  </cols>
  <sheetData>
    <row r="1" spans="1:6" x14ac:dyDescent="0.35">
      <c r="A1" s="58" t="s">
        <v>2</v>
      </c>
      <c r="B1" t="s">
        <v>13</v>
      </c>
    </row>
    <row r="3" spans="1:6" x14ac:dyDescent="0.35">
      <c r="A3" s="58" t="s">
        <v>949</v>
      </c>
      <c r="B3" t="s">
        <v>948</v>
      </c>
      <c r="C3" s="62" t="s">
        <v>944</v>
      </c>
      <c r="D3" s="62" t="s">
        <v>945</v>
      </c>
      <c r="E3" s="62" t="s">
        <v>946</v>
      </c>
      <c r="F3" s="62" t="s">
        <v>947</v>
      </c>
    </row>
    <row r="4" spans="1:6" x14ac:dyDescent="0.35">
      <c r="A4" s="59" t="s">
        <v>930</v>
      </c>
      <c r="B4" s="62">
        <v>309173073</v>
      </c>
      <c r="C4" s="62">
        <v>139998910.97</v>
      </c>
      <c r="D4" s="62">
        <v>2582002.4500000002</v>
      </c>
      <c r="E4" s="62">
        <v>13309815.090000002</v>
      </c>
      <c r="F4" s="62">
        <v>142163371.5</v>
      </c>
    </row>
    <row r="5" spans="1:6" x14ac:dyDescent="0.35">
      <c r="A5" s="59" t="s">
        <v>932</v>
      </c>
      <c r="B5" s="62">
        <v>89269496</v>
      </c>
      <c r="C5" s="62">
        <v>27719702.400000002</v>
      </c>
      <c r="D5" s="62">
        <v>17272868.200000003</v>
      </c>
      <c r="E5" s="62">
        <v>10237366.449999999</v>
      </c>
      <c r="F5" s="62">
        <v>0</v>
      </c>
    </row>
    <row r="6" spans="1:6" x14ac:dyDescent="0.35">
      <c r="A6" s="59" t="s">
        <v>943</v>
      </c>
      <c r="B6" s="62">
        <v>27501466</v>
      </c>
      <c r="C6" s="62">
        <v>11343353.080000002</v>
      </c>
      <c r="D6" s="62">
        <v>8876281.9699999988</v>
      </c>
      <c r="E6" s="62">
        <v>3010516.11</v>
      </c>
      <c r="F6" s="62">
        <v>4222256</v>
      </c>
    </row>
    <row r="7" spans="1:6" x14ac:dyDescent="0.35">
      <c r="A7" s="59" t="s">
        <v>936</v>
      </c>
      <c r="B7" s="62">
        <v>4901930</v>
      </c>
      <c r="C7" s="62">
        <v>1523790.5899999999</v>
      </c>
      <c r="D7" s="62">
        <v>751589.97000000009</v>
      </c>
      <c r="E7" s="62">
        <v>350875.78</v>
      </c>
      <c r="F7" s="62">
        <v>1023150</v>
      </c>
    </row>
    <row r="8" spans="1:6" x14ac:dyDescent="0.35">
      <c r="A8" s="59" t="s">
        <v>940</v>
      </c>
      <c r="B8" s="62">
        <v>7439278</v>
      </c>
      <c r="C8" s="62">
        <v>2892376.5200000005</v>
      </c>
      <c r="D8" s="62">
        <v>-119898.54000000001</v>
      </c>
      <c r="E8" s="62">
        <v>1303594.6900000002</v>
      </c>
      <c r="F8" s="62">
        <v>682057</v>
      </c>
    </row>
    <row r="9" spans="1:6" x14ac:dyDescent="0.35">
      <c r="A9" s="59" t="s">
        <v>931</v>
      </c>
      <c r="B9" s="62">
        <v>77003002</v>
      </c>
      <c r="C9" s="62">
        <v>19278473.09</v>
      </c>
      <c r="D9" s="62">
        <v>172269.28999999998</v>
      </c>
      <c r="E9" s="62">
        <v>1858975.1099999999</v>
      </c>
      <c r="F9" s="62">
        <v>2979395.71</v>
      </c>
    </row>
    <row r="10" spans="1:6" x14ac:dyDescent="0.35">
      <c r="A10" s="59" t="s">
        <v>933</v>
      </c>
      <c r="B10" s="62">
        <v>46604325</v>
      </c>
      <c r="C10" s="62"/>
      <c r="D10" s="62"/>
      <c r="E10" s="62"/>
      <c r="F10" s="62">
        <v>0</v>
      </c>
    </row>
    <row r="11" spans="1:6" x14ac:dyDescent="0.35">
      <c r="A11" s="59" t="s">
        <v>939</v>
      </c>
      <c r="B11" s="62">
        <v>17915485</v>
      </c>
      <c r="C11" s="62">
        <v>7109334.7800000003</v>
      </c>
      <c r="D11" s="62">
        <v>1468241.97</v>
      </c>
      <c r="E11" s="62">
        <v>2917013.4899999998</v>
      </c>
      <c r="F11" s="62">
        <v>5639401</v>
      </c>
    </row>
    <row r="12" spans="1:6" x14ac:dyDescent="0.35">
      <c r="A12" s="59" t="s">
        <v>942</v>
      </c>
      <c r="B12" s="62">
        <v>692856</v>
      </c>
      <c r="C12" s="62">
        <v>718024.23</v>
      </c>
      <c r="D12" s="62">
        <v>-214493.07</v>
      </c>
      <c r="E12" s="62">
        <v>115023.41</v>
      </c>
      <c r="F12" s="62">
        <v>0</v>
      </c>
    </row>
    <row r="13" spans="1:6" x14ac:dyDescent="0.35">
      <c r="A13" s="59" t="s">
        <v>934</v>
      </c>
      <c r="B13" s="62">
        <v>4965407</v>
      </c>
      <c r="C13" s="62">
        <v>840990.07999999984</v>
      </c>
      <c r="D13" s="62">
        <v>257872.54</v>
      </c>
      <c r="E13" s="62">
        <v>418697.13999999996</v>
      </c>
      <c r="F13" s="62">
        <v>857369</v>
      </c>
    </row>
    <row r="14" spans="1:6" x14ac:dyDescent="0.35">
      <c r="A14" s="59" t="s">
        <v>941</v>
      </c>
      <c r="B14" s="62">
        <v>939131</v>
      </c>
      <c r="C14" s="62">
        <v>195391.14</v>
      </c>
      <c r="D14" s="62">
        <v>326648.2</v>
      </c>
      <c r="E14" s="62">
        <v>-3.6379788070917101E-12</v>
      </c>
      <c r="F14" s="62">
        <v>0</v>
      </c>
    </row>
    <row r="15" spans="1:6" x14ac:dyDescent="0.35">
      <c r="A15" s="59" t="s">
        <v>938</v>
      </c>
      <c r="B15" s="62">
        <v>9091250</v>
      </c>
      <c r="C15" s="62">
        <v>498250.94999999995</v>
      </c>
      <c r="D15" s="62">
        <v>756382</v>
      </c>
      <c r="E15" s="62">
        <v>70051</v>
      </c>
      <c r="F15" s="62">
        <v>0</v>
      </c>
    </row>
    <row r="16" spans="1:6" x14ac:dyDescent="0.35">
      <c r="A16" s="59" t="s">
        <v>937</v>
      </c>
      <c r="B16" s="62">
        <v>111263037</v>
      </c>
      <c r="C16" s="62">
        <v>49167288.049999893</v>
      </c>
      <c r="D16" s="62">
        <v>254272.34000000084</v>
      </c>
      <c r="E16" s="62">
        <v>15312058.220000001</v>
      </c>
      <c r="F16" s="62">
        <v>29848767.109999999</v>
      </c>
    </row>
    <row r="17" spans="1:6" x14ac:dyDescent="0.35">
      <c r="A17" s="59" t="s">
        <v>935</v>
      </c>
      <c r="B17" s="62">
        <v>5240264</v>
      </c>
      <c r="C17" s="62">
        <v>889153.22</v>
      </c>
      <c r="D17" s="62">
        <v>-132860</v>
      </c>
      <c r="E17" s="62">
        <v>287040</v>
      </c>
      <c r="F17" s="62">
        <v>741950</v>
      </c>
    </row>
    <row r="18" spans="1:6" x14ac:dyDescent="0.35">
      <c r="A18" s="59" t="s">
        <v>927</v>
      </c>
      <c r="B18" s="62">
        <v>712000000</v>
      </c>
      <c r="C18" s="62">
        <v>262175039.0999999</v>
      </c>
      <c r="D18" s="62">
        <v>32251177.319999997</v>
      </c>
      <c r="E18" s="62">
        <v>49191026.489999995</v>
      </c>
      <c r="F18" s="62">
        <v>188157717.31999999</v>
      </c>
    </row>
    <row r="20" spans="1:6" x14ac:dyDescent="0.35">
      <c r="C20">
        <f>GETPIVOTDATA(" Actual Amount",$A$3)+GETPIVOTDATA(" PR",$A$3)+GETPIVOTDATA(" PO",$A$3)</f>
        <v>343617242.90999991</v>
      </c>
    </row>
    <row r="22" spans="1:6" x14ac:dyDescent="0.35">
      <c r="A22" s="58" t="s">
        <v>2</v>
      </c>
      <c r="B22" t="s">
        <v>704</v>
      </c>
    </row>
    <row r="24" spans="1:6" x14ac:dyDescent="0.35">
      <c r="A24" s="58" t="s">
        <v>949</v>
      </c>
      <c r="B24" t="s">
        <v>948</v>
      </c>
      <c r="C24" s="62" t="s">
        <v>944</v>
      </c>
      <c r="D24" s="62" t="s">
        <v>945</v>
      </c>
      <c r="E24" s="62" t="s">
        <v>946</v>
      </c>
      <c r="F24" s="62" t="s">
        <v>947</v>
      </c>
    </row>
    <row r="25" spans="1:6" x14ac:dyDescent="0.35">
      <c r="A25" s="59" t="s">
        <v>930</v>
      </c>
      <c r="B25" s="62">
        <v>1333260</v>
      </c>
      <c r="C25" s="62"/>
      <c r="D25" s="62">
        <v>1326000</v>
      </c>
      <c r="E25" s="62"/>
      <c r="F25" s="62">
        <v>0</v>
      </c>
    </row>
    <row r="26" spans="1:6" x14ac:dyDescent="0.35">
      <c r="A26" s="59" t="s">
        <v>932</v>
      </c>
      <c r="B26" s="62">
        <v>56304402</v>
      </c>
      <c r="C26" s="62">
        <v>1577455.35</v>
      </c>
      <c r="D26" s="62">
        <v>34949157.850000001</v>
      </c>
      <c r="E26" s="62">
        <v>12782620.300000001</v>
      </c>
      <c r="F26" s="62">
        <v>0</v>
      </c>
    </row>
    <row r="27" spans="1:6" x14ac:dyDescent="0.35">
      <c r="A27" s="59" t="s">
        <v>943</v>
      </c>
      <c r="B27" s="62">
        <v>3417451</v>
      </c>
      <c r="C27" s="62">
        <v>35337</v>
      </c>
      <c r="D27" s="62">
        <v>1969739</v>
      </c>
      <c r="E27" s="62">
        <v>749720</v>
      </c>
      <c r="F27" s="62">
        <v>662655</v>
      </c>
    </row>
    <row r="28" spans="1:6" x14ac:dyDescent="0.35">
      <c r="A28" s="59" t="s">
        <v>936</v>
      </c>
      <c r="B28" s="62">
        <v>2951604</v>
      </c>
      <c r="C28" s="62">
        <v>235264.63000000003</v>
      </c>
      <c r="D28" s="62">
        <v>1330363.57</v>
      </c>
      <c r="E28" s="62">
        <v>1027322.8300000001</v>
      </c>
      <c r="F28" s="62">
        <v>266265</v>
      </c>
    </row>
    <row r="29" spans="1:6" x14ac:dyDescent="0.35">
      <c r="A29" s="59" t="s">
        <v>940</v>
      </c>
      <c r="B29" s="62">
        <v>2667297</v>
      </c>
      <c r="C29" s="62">
        <v>1547277.45</v>
      </c>
      <c r="D29" s="62">
        <v>-769330.27</v>
      </c>
      <c r="E29" s="62">
        <v>1857267</v>
      </c>
      <c r="F29" s="62">
        <v>14737</v>
      </c>
    </row>
    <row r="30" spans="1:6" x14ac:dyDescent="0.35">
      <c r="A30" s="59" t="s">
        <v>931</v>
      </c>
      <c r="B30" s="62">
        <v>4876763</v>
      </c>
      <c r="C30" s="62">
        <v>1740662.5</v>
      </c>
      <c r="D30" s="62">
        <v>1116456.1000000001</v>
      </c>
      <c r="E30" s="62">
        <v>1677731.7</v>
      </c>
      <c r="F30" s="62">
        <v>0</v>
      </c>
    </row>
    <row r="31" spans="1:6" x14ac:dyDescent="0.35">
      <c r="A31" s="59" t="s">
        <v>933</v>
      </c>
      <c r="B31" s="62">
        <v>895302</v>
      </c>
      <c r="C31" s="62"/>
      <c r="D31" s="62"/>
      <c r="E31" s="62"/>
      <c r="F31" s="62">
        <v>0</v>
      </c>
    </row>
    <row r="32" spans="1:6" x14ac:dyDescent="0.35">
      <c r="A32" s="59" t="s">
        <v>934</v>
      </c>
      <c r="B32" s="62">
        <v>44351</v>
      </c>
      <c r="C32" s="62"/>
      <c r="D32" s="62">
        <v>0</v>
      </c>
      <c r="E32" s="62">
        <v>21854.35</v>
      </c>
      <c r="F32" s="62">
        <v>22497</v>
      </c>
    </row>
    <row r="33" spans="1:6" x14ac:dyDescent="0.35">
      <c r="A33" s="59" t="s">
        <v>938</v>
      </c>
      <c r="B33" s="62">
        <v>15245020</v>
      </c>
      <c r="C33" s="62">
        <v>210000</v>
      </c>
      <c r="D33" s="62">
        <v>11917190.42</v>
      </c>
      <c r="E33" s="62">
        <v>2930492.74</v>
      </c>
      <c r="F33" s="62">
        <v>0</v>
      </c>
    </row>
    <row r="34" spans="1:6" x14ac:dyDescent="0.35">
      <c r="A34" s="59" t="s">
        <v>937</v>
      </c>
      <c r="B34" s="62">
        <v>73064550</v>
      </c>
      <c r="C34" s="62">
        <v>900178.62000000011</v>
      </c>
      <c r="D34" s="62">
        <v>-386955.02</v>
      </c>
      <c r="E34" s="62">
        <v>775876</v>
      </c>
      <c r="F34" s="62">
        <v>0</v>
      </c>
    </row>
    <row r="35" spans="1:6" x14ac:dyDescent="0.35">
      <c r="A35" s="59" t="s">
        <v>927</v>
      </c>
      <c r="B35" s="62">
        <v>160800000</v>
      </c>
      <c r="C35" s="62">
        <v>6246175.5499999998</v>
      </c>
      <c r="D35" s="62">
        <v>51452621.649999999</v>
      </c>
      <c r="E35" s="62">
        <v>21822884.920000002</v>
      </c>
      <c r="F35" s="62">
        <v>966154</v>
      </c>
    </row>
    <row r="37" spans="1:6" x14ac:dyDescent="0.35">
      <c r="C37">
        <f>GETPIVOTDATA(" Actual Amount",$A$24)+GETPIVOTDATA(" PR",$A$24)+GETPIVOTDATA(" PO",$A$24)</f>
        <v>79521682.120000005</v>
      </c>
    </row>
    <row r="39" spans="1:6" x14ac:dyDescent="0.35">
      <c r="A39" s="58" t="s">
        <v>924</v>
      </c>
      <c r="B39" t="s">
        <v>925</v>
      </c>
    </row>
    <row r="41" spans="1:6" x14ac:dyDescent="0.35">
      <c r="A41" s="58" t="s">
        <v>949</v>
      </c>
      <c r="B41" t="s">
        <v>948</v>
      </c>
      <c r="C41" s="62" t="s">
        <v>944</v>
      </c>
      <c r="D41" s="62" t="s">
        <v>945</v>
      </c>
      <c r="E41" s="62" t="s">
        <v>946</v>
      </c>
      <c r="F41" s="62" t="s">
        <v>947</v>
      </c>
    </row>
    <row r="42" spans="1:6" x14ac:dyDescent="0.35">
      <c r="A42" s="59" t="s">
        <v>930</v>
      </c>
      <c r="B42" s="62">
        <v>8076009</v>
      </c>
      <c r="C42" s="62">
        <v>288134.65000000002</v>
      </c>
      <c r="D42" s="62">
        <v>43402</v>
      </c>
      <c r="E42" s="62">
        <v>158312.74</v>
      </c>
      <c r="F42" s="62">
        <v>0</v>
      </c>
    </row>
    <row r="43" spans="1:6" x14ac:dyDescent="0.35">
      <c r="A43" s="59" t="s">
        <v>932</v>
      </c>
      <c r="B43" s="62">
        <v>145573898</v>
      </c>
      <c r="C43" s="62">
        <v>29297157.750000004</v>
      </c>
      <c r="D43" s="62">
        <v>52222026.049999997</v>
      </c>
      <c r="E43" s="62">
        <v>23019986.75</v>
      </c>
      <c r="F43" s="62">
        <v>0</v>
      </c>
    </row>
    <row r="44" spans="1:6" x14ac:dyDescent="0.35">
      <c r="A44" s="59" t="s">
        <v>936</v>
      </c>
      <c r="B44" s="62">
        <v>2227175</v>
      </c>
      <c r="C44" s="62">
        <v>691064.87999999989</v>
      </c>
      <c r="D44" s="62">
        <v>212555.96</v>
      </c>
      <c r="E44" s="62">
        <v>21574.16</v>
      </c>
      <c r="F44" s="62">
        <v>0</v>
      </c>
    </row>
    <row r="45" spans="1:6" x14ac:dyDescent="0.35">
      <c r="A45" s="59" t="s">
        <v>940</v>
      </c>
      <c r="B45" s="62">
        <v>8011423</v>
      </c>
      <c r="C45" s="62">
        <v>3158854.1799999997</v>
      </c>
      <c r="D45" s="62">
        <v>-640538.06000000006</v>
      </c>
      <c r="E45" s="62">
        <v>2795054.4800000004</v>
      </c>
      <c r="F45" s="62">
        <v>0</v>
      </c>
    </row>
    <row r="46" spans="1:6" x14ac:dyDescent="0.35">
      <c r="A46" s="59" t="s">
        <v>933</v>
      </c>
      <c r="B46" s="62">
        <v>47499627</v>
      </c>
      <c r="C46" s="62"/>
      <c r="D46" s="62"/>
      <c r="E46" s="62"/>
      <c r="F46" s="62">
        <v>0</v>
      </c>
    </row>
    <row r="47" spans="1:6" x14ac:dyDescent="0.35">
      <c r="A47" s="59" t="s">
        <v>939</v>
      </c>
      <c r="B47" s="62">
        <v>1225359</v>
      </c>
      <c r="C47" s="62">
        <v>146559</v>
      </c>
      <c r="D47" s="62">
        <v>0</v>
      </c>
      <c r="E47" s="62">
        <v>297513</v>
      </c>
      <c r="F47" s="62">
        <v>0</v>
      </c>
    </row>
    <row r="48" spans="1:6" x14ac:dyDescent="0.35">
      <c r="A48" s="59" t="s">
        <v>942</v>
      </c>
      <c r="B48" s="62">
        <v>692856</v>
      </c>
      <c r="C48" s="62">
        <v>718024.23</v>
      </c>
      <c r="D48" s="62">
        <v>-214493.07</v>
      </c>
      <c r="E48" s="62">
        <v>115023.41</v>
      </c>
      <c r="F48" s="62">
        <v>0</v>
      </c>
    </row>
    <row r="49" spans="1:6" x14ac:dyDescent="0.35">
      <c r="A49" s="59" t="s">
        <v>934</v>
      </c>
      <c r="B49" s="62">
        <v>2658778</v>
      </c>
      <c r="C49" s="62">
        <v>397422.46</v>
      </c>
      <c r="D49" s="62">
        <v>0</v>
      </c>
      <c r="E49" s="62">
        <v>52467.6</v>
      </c>
      <c r="F49" s="62">
        <v>0</v>
      </c>
    </row>
    <row r="50" spans="1:6" x14ac:dyDescent="0.35">
      <c r="A50" s="59" t="s">
        <v>941</v>
      </c>
      <c r="B50" s="62">
        <v>939131</v>
      </c>
      <c r="C50" s="62">
        <v>195391.14</v>
      </c>
      <c r="D50" s="62">
        <v>326648.2</v>
      </c>
      <c r="E50" s="62">
        <v>-3.6379788070917101E-12</v>
      </c>
      <c r="F50" s="62">
        <v>0</v>
      </c>
    </row>
    <row r="51" spans="1:6" x14ac:dyDescent="0.35">
      <c r="A51" s="59" t="s">
        <v>938</v>
      </c>
      <c r="B51" s="62">
        <v>24336270</v>
      </c>
      <c r="C51" s="62">
        <v>708250.95</v>
      </c>
      <c r="D51" s="62">
        <v>12673572.42</v>
      </c>
      <c r="E51" s="62">
        <v>3000543.74</v>
      </c>
      <c r="F51" s="62">
        <v>0</v>
      </c>
    </row>
    <row r="52" spans="1:6" x14ac:dyDescent="0.35">
      <c r="A52" s="59" t="s">
        <v>937</v>
      </c>
      <c r="B52" s="62">
        <v>93324560</v>
      </c>
      <c r="C52" s="62">
        <v>8991120.6699999999</v>
      </c>
      <c r="D52" s="62">
        <v>-192727.89999999921</v>
      </c>
      <c r="E52" s="62">
        <v>11037168.029999999</v>
      </c>
      <c r="F52" s="62">
        <v>0</v>
      </c>
    </row>
    <row r="53" spans="1:6" x14ac:dyDescent="0.35">
      <c r="A53" s="59" t="s">
        <v>935</v>
      </c>
      <c r="B53" s="62">
        <v>3604277</v>
      </c>
      <c r="C53" s="62">
        <v>312845</v>
      </c>
      <c r="D53" s="62">
        <v>0</v>
      </c>
      <c r="E53" s="62">
        <v>122500</v>
      </c>
      <c r="F53" s="62">
        <v>0</v>
      </c>
    </row>
    <row r="54" spans="1:6" x14ac:dyDescent="0.35">
      <c r="A54" s="59" t="s">
        <v>927</v>
      </c>
      <c r="B54" s="62">
        <v>338169363</v>
      </c>
      <c r="C54" s="62">
        <v>44904824.910000004</v>
      </c>
      <c r="D54" s="62">
        <v>64430445.600000001</v>
      </c>
      <c r="E54" s="62">
        <v>40620143.910000004</v>
      </c>
      <c r="F54" s="6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V482"/>
  <sheetViews>
    <sheetView showGridLines="0" tabSelected="1" topLeftCell="C1" zoomScale="120" zoomScaleNormal="120" workbookViewId="0">
      <selection activeCell="F311" sqref="F311"/>
    </sheetView>
  </sheetViews>
  <sheetFormatPr defaultRowHeight="14.5" x14ac:dyDescent="0.35"/>
  <cols>
    <col min="1" max="2" width="38.7265625" customWidth="1"/>
    <col min="3" max="3" width="40.453125" customWidth="1"/>
    <col min="4" max="4" width="35.81640625" customWidth="1"/>
    <col min="5" max="5" width="6.81640625" customWidth="1"/>
    <col min="6" max="6" width="32.1796875" customWidth="1"/>
    <col min="7" max="7" width="33.54296875" hidden="1" customWidth="1"/>
    <col min="8" max="9" width="9.81640625" customWidth="1"/>
    <col min="10" max="10" width="13.6328125" bestFit="1" customWidth="1"/>
    <col min="11" max="11" width="9" customWidth="1"/>
    <col min="12" max="18" width="11" customWidth="1"/>
    <col min="19" max="19" width="25.7265625" customWidth="1"/>
    <col min="20" max="20" width="11.7265625" bestFit="1" customWidth="1"/>
    <col min="21" max="21" width="33" style="30" bestFit="1" customWidth="1"/>
    <col min="22" max="22" width="12.1796875" customWidth="1"/>
  </cols>
  <sheetData>
    <row r="1" spans="1:22" ht="48" customHeight="1" x14ac:dyDescent="0.35">
      <c r="A1" s="1" t="s">
        <v>0</v>
      </c>
      <c r="B1" s="1"/>
      <c r="C1" s="2" t="s">
        <v>1</v>
      </c>
    </row>
    <row r="2" spans="1:22" ht="43.5" x14ac:dyDescent="0.35">
      <c r="A2" s="3" t="s">
        <v>0</v>
      </c>
      <c r="B2" s="3"/>
      <c r="T2" s="30" t="s">
        <v>951</v>
      </c>
    </row>
    <row r="3" spans="1:22" ht="31.5" x14ac:dyDescent="0.35">
      <c r="A3" s="4" t="s">
        <v>2</v>
      </c>
      <c r="B3" s="4" t="s">
        <v>929</v>
      </c>
      <c r="C3" s="4" t="s">
        <v>3</v>
      </c>
      <c r="D3" s="5" t="s">
        <v>4</v>
      </c>
      <c r="E3" s="6" t="s">
        <v>5</v>
      </c>
      <c r="F3" s="7" t="s">
        <v>6</v>
      </c>
      <c r="G3" s="4" t="s">
        <v>7</v>
      </c>
      <c r="H3" s="26" t="s">
        <v>777</v>
      </c>
      <c r="I3" s="26" t="s">
        <v>8</v>
      </c>
      <c r="J3" s="4" t="s">
        <v>9</v>
      </c>
      <c r="K3" s="4" t="s">
        <v>10</v>
      </c>
      <c r="L3" s="20" t="s">
        <v>764</v>
      </c>
      <c r="M3" s="21" t="s">
        <v>765</v>
      </c>
      <c r="N3" s="21" t="s">
        <v>766</v>
      </c>
      <c r="O3" s="21" t="s">
        <v>767</v>
      </c>
      <c r="P3" s="21" t="s">
        <v>768</v>
      </c>
      <c r="Q3" s="21" t="s">
        <v>769</v>
      </c>
      <c r="R3" s="21" t="s">
        <v>928</v>
      </c>
      <c r="S3" s="6" t="s">
        <v>11</v>
      </c>
      <c r="T3" s="24" t="s">
        <v>950</v>
      </c>
      <c r="U3" s="6" t="s">
        <v>12</v>
      </c>
      <c r="V3" s="6" t="s">
        <v>924</v>
      </c>
    </row>
    <row r="4" spans="1:22" hidden="1" x14ac:dyDescent="0.35">
      <c r="A4" s="8" t="s">
        <v>13</v>
      </c>
      <c r="B4" s="60" t="s">
        <v>934</v>
      </c>
      <c r="C4" s="9" t="s">
        <v>14</v>
      </c>
      <c r="D4" s="10" t="s">
        <v>15</v>
      </c>
      <c r="E4" s="10" t="s">
        <v>16</v>
      </c>
      <c r="F4" s="10" t="s">
        <v>17</v>
      </c>
      <c r="G4" s="10" t="s">
        <v>18</v>
      </c>
      <c r="H4" s="11">
        <v>500000</v>
      </c>
      <c r="I4" s="12"/>
      <c r="J4" s="13"/>
      <c r="K4" s="14"/>
      <c r="L4" s="15"/>
      <c r="M4" s="16"/>
      <c r="N4" s="16"/>
      <c r="O4" s="16"/>
      <c r="P4" s="16"/>
      <c r="Q4" s="16"/>
      <c r="R4" s="16">
        <f>Q4+P4+O4+N4+M4+L4</f>
        <v>0</v>
      </c>
      <c r="S4" s="16"/>
      <c r="T4" s="17">
        <f>H4-I4-J4-K4-L4-M4-N4-O4-P4-Q4</f>
        <v>500000</v>
      </c>
      <c r="U4" s="16"/>
      <c r="V4" s="16" t="s">
        <v>925</v>
      </c>
    </row>
    <row r="5" spans="1:22" ht="21" hidden="1" x14ac:dyDescent="0.35">
      <c r="A5" s="8" t="s">
        <v>13</v>
      </c>
      <c r="B5" s="60" t="s">
        <v>934</v>
      </c>
      <c r="C5" s="9" t="s">
        <v>14</v>
      </c>
      <c r="D5" s="10" t="s">
        <v>15</v>
      </c>
      <c r="E5" s="10" t="s">
        <v>19</v>
      </c>
      <c r="F5" s="10" t="s">
        <v>20</v>
      </c>
      <c r="G5" s="10" t="s">
        <v>21</v>
      </c>
      <c r="H5" s="11">
        <v>52920</v>
      </c>
      <c r="I5" s="18">
        <v>10530</v>
      </c>
      <c r="J5" s="13"/>
      <c r="K5" s="14"/>
      <c r="L5" s="15"/>
      <c r="M5" s="16"/>
      <c r="N5" s="16"/>
      <c r="O5" s="16"/>
      <c r="P5" s="16"/>
      <c r="Q5" s="16"/>
      <c r="R5" s="16">
        <f t="shared" ref="R5:R68" si="0">Q5+P5+O5+N5+M5+L5</f>
        <v>0</v>
      </c>
      <c r="S5" s="16"/>
      <c r="T5" s="17">
        <f t="shared" ref="T5:T68" si="1">H5-I5-J5-K5-L5-M5-N5-O5-P5-Q5</f>
        <v>42390</v>
      </c>
      <c r="U5" s="16"/>
      <c r="V5" s="16" t="s">
        <v>925</v>
      </c>
    </row>
    <row r="6" spans="1:22" ht="21" hidden="1" x14ac:dyDescent="0.35">
      <c r="A6" s="8" t="s">
        <v>13</v>
      </c>
      <c r="B6" s="60" t="s">
        <v>934</v>
      </c>
      <c r="C6" s="9" t="s">
        <v>14</v>
      </c>
      <c r="D6" s="10" t="s">
        <v>15</v>
      </c>
      <c r="E6" s="10" t="s">
        <v>22</v>
      </c>
      <c r="F6" s="10" t="s">
        <v>23</v>
      </c>
      <c r="G6" s="10" t="s">
        <v>24</v>
      </c>
      <c r="H6" s="11">
        <v>22225</v>
      </c>
      <c r="I6" s="18">
        <v>3300</v>
      </c>
      <c r="J6" s="13"/>
      <c r="K6" s="14"/>
      <c r="L6" s="15"/>
      <c r="M6" s="16"/>
      <c r="N6" s="16"/>
      <c r="O6" s="16"/>
      <c r="P6" s="16"/>
      <c r="Q6" s="16"/>
      <c r="R6" s="16">
        <f t="shared" si="0"/>
        <v>0</v>
      </c>
      <c r="S6" s="16"/>
      <c r="T6" s="17">
        <f t="shared" si="1"/>
        <v>18925</v>
      </c>
      <c r="U6" s="16"/>
      <c r="V6" s="16" t="s">
        <v>925</v>
      </c>
    </row>
    <row r="7" spans="1:22" hidden="1" x14ac:dyDescent="0.35">
      <c r="A7" s="8" t="s">
        <v>13</v>
      </c>
      <c r="B7" s="60" t="s">
        <v>934</v>
      </c>
      <c r="C7" s="9" t="s">
        <v>14</v>
      </c>
      <c r="D7" s="10" t="s">
        <v>15</v>
      </c>
      <c r="E7" s="10" t="s">
        <v>25</v>
      </c>
      <c r="F7" s="10" t="s">
        <v>26</v>
      </c>
      <c r="G7" s="10" t="s">
        <v>27</v>
      </c>
      <c r="H7" s="11">
        <v>320000</v>
      </c>
      <c r="I7" s="18">
        <v>42154.25</v>
      </c>
      <c r="J7" s="13"/>
      <c r="K7" s="14"/>
      <c r="L7" s="15"/>
      <c r="M7" s="16"/>
      <c r="N7" s="16"/>
      <c r="O7" s="16"/>
      <c r="P7" s="16"/>
      <c r="Q7" s="16"/>
      <c r="R7" s="16">
        <f t="shared" si="0"/>
        <v>0</v>
      </c>
      <c r="S7" s="16"/>
      <c r="T7" s="17">
        <f t="shared" si="1"/>
        <v>277845.75</v>
      </c>
      <c r="U7" s="16"/>
      <c r="V7" s="16" t="s">
        <v>925</v>
      </c>
    </row>
    <row r="8" spans="1:22" hidden="1" x14ac:dyDescent="0.35">
      <c r="A8" s="8" t="s">
        <v>13</v>
      </c>
      <c r="B8" s="60" t="s">
        <v>934</v>
      </c>
      <c r="C8" s="9" t="s">
        <v>14</v>
      </c>
      <c r="D8" s="10" t="s">
        <v>15</v>
      </c>
      <c r="E8" s="10" t="s">
        <v>28</v>
      </c>
      <c r="F8" s="10" t="s">
        <v>29</v>
      </c>
      <c r="G8" s="10" t="s">
        <v>30</v>
      </c>
      <c r="H8" s="11">
        <v>1079941</v>
      </c>
      <c r="I8" s="18">
        <v>284798</v>
      </c>
      <c r="J8" s="13"/>
      <c r="K8" s="14"/>
      <c r="L8" s="15"/>
      <c r="M8" s="16"/>
      <c r="N8" s="16"/>
      <c r="O8" s="16"/>
      <c r="P8" s="16"/>
      <c r="Q8" s="16"/>
      <c r="R8" s="16">
        <f t="shared" si="0"/>
        <v>0</v>
      </c>
      <c r="S8" s="16"/>
      <c r="T8" s="17">
        <f t="shared" si="1"/>
        <v>795143</v>
      </c>
      <c r="U8" s="16"/>
      <c r="V8" s="16" t="s">
        <v>925</v>
      </c>
    </row>
    <row r="9" spans="1:22" ht="72.5" hidden="1" x14ac:dyDescent="0.35">
      <c r="A9" s="8" t="s">
        <v>13</v>
      </c>
      <c r="B9" s="60" t="s">
        <v>934</v>
      </c>
      <c r="C9" s="9" t="s">
        <v>31</v>
      </c>
      <c r="D9" s="10" t="s">
        <v>32</v>
      </c>
      <c r="E9" s="10" t="s">
        <v>33</v>
      </c>
      <c r="F9" s="10" t="s">
        <v>34</v>
      </c>
      <c r="G9" s="10" t="s">
        <v>35</v>
      </c>
      <c r="H9" s="11">
        <v>550028</v>
      </c>
      <c r="I9" s="18">
        <v>425925.92</v>
      </c>
      <c r="J9" s="19">
        <v>-242128.46</v>
      </c>
      <c r="K9" s="11">
        <v>366229.54</v>
      </c>
      <c r="L9" s="15"/>
      <c r="M9" s="16"/>
      <c r="N9" s="16"/>
      <c r="O9" s="16"/>
      <c r="P9" s="16"/>
      <c r="Q9" s="16"/>
      <c r="R9" s="16">
        <f t="shared" si="0"/>
        <v>0</v>
      </c>
      <c r="S9" s="16"/>
      <c r="T9" s="17">
        <f t="shared" si="1"/>
        <v>1.0000000000582077</v>
      </c>
      <c r="U9" s="16" t="s">
        <v>864</v>
      </c>
      <c r="V9" s="16" t="s">
        <v>926</v>
      </c>
    </row>
    <row r="10" spans="1:22" ht="43.5" hidden="1" x14ac:dyDescent="0.35">
      <c r="A10" s="8" t="s">
        <v>13</v>
      </c>
      <c r="B10" s="60" t="s">
        <v>934</v>
      </c>
      <c r="C10" s="9" t="s">
        <v>31</v>
      </c>
      <c r="D10" s="10" t="s">
        <v>32</v>
      </c>
      <c r="E10" s="10" t="s">
        <v>25</v>
      </c>
      <c r="F10" s="10" t="s">
        <v>26</v>
      </c>
      <c r="G10" s="10" t="s">
        <v>36</v>
      </c>
      <c r="H10" s="11">
        <v>20000</v>
      </c>
      <c r="I10" s="12"/>
      <c r="J10" s="13"/>
      <c r="K10" s="14"/>
      <c r="L10" s="15"/>
      <c r="M10" s="16"/>
      <c r="N10" s="16"/>
      <c r="O10" s="16"/>
      <c r="P10" s="16"/>
      <c r="Q10" s="16"/>
      <c r="R10" s="16">
        <f t="shared" si="0"/>
        <v>0</v>
      </c>
      <c r="S10" s="16"/>
      <c r="T10" s="17">
        <f t="shared" si="1"/>
        <v>20000</v>
      </c>
      <c r="U10" s="16" t="s">
        <v>865</v>
      </c>
      <c r="V10" s="16" t="s">
        <v>926</v>
      </c>
    </row>
    <row r="11" spans="1:22" ht="43.5" hidden="1" x14ac:dyDescent="0.35">
      <c r="A11" s="8" t="s">
        <v>13</v>
      </c>
      <c r="B11" s="60" t="s">
        <v>934</v>
      </c>
      <c r="C11" s="9" t="s">
        <v>31</v>
      </c>
      <c r="D11" s="10" t="s">
        <v>32</v>
      </c>
      <c r="E11" s="10" t="s">
        <v>28</v>
      </c>
      <c r="F11" s="10" t="s">
        <v>29</v>
      </c>
      <c r="G11" s="10" t="s">
        <v>37</v>
      </c>
      <c r="H11" s="11">
        <v>100000</v>
      </c>
      <c r="I11" s="18">
        <v>13760.45</v>
      </c>
      <c r="J11" s="13"/>
      <c r="K11" s="14"/>
      <c r="L11" s="15"/>
      <c r="M11" s="16"/>
      <c r="N11" s="16">
        <v>10000</v>
      </c>
      <c r="O11" s="16"/>
      <c r="P11" s="16"/>
      <c r="Q11" s="16"/>
      <c r="R11" s="16">
        <f t="shared" si="0"/>
        <v>10000</v>
      </c>
      <c r="S11" s="16"/>
      <c r="T11" s="17">
        <f t="shared" si="1"/>
        <v>76239.55</v>
      </c>
      <c r="U11" s="16" t="s">
        <v>865</v>
      </c>
      <c r="V11" s="16" t="s">
        <v>926</v>
      </c>
    </row>
    <row r="12" spans="1:22" hidden="1" x14ac:dyDescent="0.35">
      <c r="A12" s="8" t="s">
        <v>13</v>
      </c>
      <c r="B12" s="60" t="s">
        <v>934</v>
      </c>
      <c r="C12" s="9" t="s">
        <v>38</v>
      </c>
      <c r="D12" s="10" t="s">
        <v>39</v>
      </c>
      <c r="E12" s="10" t="s">
        <v>40</v>
      </c>
      <c r="F12" s="10" t="s">
        <v>41</v>
      </c>
      <c r="G12" s="10" t="s">
        <v>42</v>
      </c>
      <c r="H12" s="11">
        <v>650000</v>
      </c>
      <c r="I12" s="12"/>
      <c r="J12" s="19">
        <v>500000</v>
      </c>
      <c r="K12" s="14"/>
      <c r="L12" s="15"/>
      <c r="M12" s="16"/>
      <c r="N12" s="16"/>
      <c r="O12" s="16"/>
      <c r="P12" s="16"/>
      <c r="Q12" s="16"/>
      <c r="R12" s="16">
        <f t="shared" si="0"/>
        <v>0</v>
      </c>
      <c r="S12" s="16"/>
      <c r="T12" s="17">
        <f t="shared" si="1"/>
        <v>150000</v>
      </c>
      <c r="U12" s="16" t="s">
        <v>866</v>
      </c>
      <c r="V12" s="16" t="s">
        <v>926</v>
      </c>
    </row>
    <row r="13" spans="1:22" ht="43.5" hidden="1" x14ac:dyDescent="0.35">
      <c r="A13" s="8" t="s">
        <v>13</v>
      </c>
      <c r="B13" s="60" t="s">
        <v>934</v>
      </c>
      <c r="C13" s="9" t="s">
        <v>38</v>
      </c>
      <c r="D13" s="10" t="s">
        <v>39</v>
      </c>
      <c r="E13" s="10" t="s">
        <v>43</v>
      </c>
      <c r="F13" s="10" t="s">
        <v>44</v>
      </c>
      <c r="G13" s="10" t="s">
        <v>45</v>
      </c>
      <c r="H13" s="11">
        <v>0</v>
      </c>
      <c r="I13" s="12"/>
      <c r="J13" s="13"/>
      <c r="K13" s="14"/>
      <c r="L13" s="15"/>
      <c r="M13" s="16"/>
      <c r="N13" s="16"/>
      <c r="O13" s="16"/>
      <c r="P13" s="16"/>
      <c r="Q13" s="16"/>
      <c r="R13" s="16">
        <f t="shared" si="0"/>
        <v>0</v>
      </c>
      <c r="S13" s="16"/>
      <c r="T13" s="17">
        <f t="shared" si="1"/>
        <v>0</v>
      </c>
      <c r="U13" s="16" t="s">
        <v>867</v>
      </c>
      <c r="V13" s="16" t="s">
        <v>926</v>
      </c>
    </row>
    <row r="14" spans="1:22" hidden="1" x14ac:dyDescent="0.35">
      <c r="A14" s="8" t="s">
        <v>13</v>
      </c>
      <c r="B14" s="60" t="s">
        <v>934</v>
      </c>
      <c r="C14" s="9" t="s">
        <v>38</v>
      </c>
      <c r="D14" s="10" t="s">
        <v>39</v>
      </c>
      <c r="E14" s="10" t="s">
        <v>25</v>
      </c>
      <c r="F14" s="10" t="s">
        <v>26</v>
      </c>
      <c r="G14" s="10" t="s">
        <v>46</v>
      </c>
      <c r="H14" s="11">
        <v>32000</v>
      </c>
      <c r="I14" s="12"/>
      <c r="J14" s="13"/>
      <c r="K14" s="14"/>
      <c r="L14" s="15"/>
      <c r="M14" s="16"/>
      <c r="N14" s="16"/>
      <c r="O14" s="16"/>
      <c r="P14" s="16"/>
      <c r="Q14" s="16"/>
      <c r="R14" s="16">
        <f t="shared" si="0"/>
        <v>0</v>
      </c>
      <c r="S14" s="16"/>
      <c r="T14" s="17">
        <f t="shared" si="1"/>
        <v>32000</v>
      </c>
      <c r="U14" s="16"/>
      <c r="V14" s="16" t="s">
        <v>925</v>
      </c>
    </row>
    <row r="15" spans="1:22" ht="21" hidden="1" x14ac:dyDescent="0.35">
      <c r="A15" s="8" t="s">
        <v>13</v>
      </c>
      <c r="B15" s="60" t="s">
        <v>934</v>
      </c>
      <c r="C15" s="9" t="s">
        <v>38</v>
      </c>
      <c r="D15" s="10" t="s">
        <v>39</v>
      </c>
      <c r="E15" s="10" t="s">
        <v>47</v>
      </c>
      <c r="F15" s="10" t="s">
        <v>48</v>
      </c>
      <c r="G15" s="10" t="s">
        <v>49</v>
      </c>
      <c r="H15" s="11">
        <v>173000</v>
      </c>
      <c r="I15" s="12"/>
      <c r="J15" s="19">
        <v>0</v>
      </c>
      <c r="K15" s="11">
        <v>52467.6</v>
      </c>
      <c r="L15" s="15"/>
      <c r="M15" s="16"/>
      <c r="N15" s="16"/>
      <c r="O15" s="16"/>
      <c r="P15" s="16"/>
      <c r="Q15" s="16"/>
      <c r="R15" s="16">
        <f t="shared" si="0"/>
        <v>0</v>
      </c>
      <c r="S15" s="16"/>
      <c r="T15" s="17">
        <f t="shared" si="1"/>
        <v>120532.4</v>
      </c>
      <c r="U15" s="16"/>
      <c r="V15" s="16" t="s">
        <v>925</v>
      </c>
    </row>
    <row r="16" spans="1:22" hidden="1" x14ac:dyDescent="0.35">
      <c r="A16" s="8" t="s">
        <v>13</v>
      </c>
      <c r="B16" s="60" t="s">
        <v>934</v>
      </c>
      <c r="C16" s="9" t="s">
        <v>38</v>
      </c>
      <c r="D16" s="10" t="s">
        <v>39</v>
      </c>
      <c r="E16" s="10" t="s">
        <v>28</v>
      </c>
      <c r="F16" s="10" t="s">
        <v>29</v>
      </c>
      <c r="G16" s="10" t="s">
        <v>50</v>
      </c>
      <c r="H16" s="11">
        <v>100000</v>
      </c>
      <c r="I16" s="12"/>
      <c r="J16" s="13"/>
      <c r="K16" s="14"/>
      <c r="L16" s="15"/>
      <c r="M16" s="16"/>
      <c r="N16" s="16"/>
      <c r="O16" s="16"/>
      <c r="P16" s="16"/>
      <c r="Q16" s="16"/>
      <c r="R16" s="16">
        <f t="shared" si="0"/>
        <v>0</v>
      </c>
      <c r="S16" s="16"/>
      <c r="T16" s="17">
        <f t="shared" si="1"/>
        <v>100000</v>
      </c>
      <c r="U16" s="16"/>
      <c r="V16" s="16" t="s">
        <v>925</v>
      </c>
    </row>
    <row r="17" spans="1:22" hidden="1" x14ac:dyDescent="0.35">
      <c r="A17" s="8" t="s">
        <v>13</v>
      </c>
      <c r="B17" s="60" t="s">
        <v>939</v>
      </c>
      <c r="C17" s="9" t="s">
        <v>51</v>
      </c>
      <c r="D17" s="10" t="s">
        <v>52</v>
      </c>
      <c r="E17" s="10" t="s">
        <v>40</v>
      </c>
      <c r="F17" s="10" t="s">
        <v>41</v>
      </c>
      <c r="G17" s="10" t="s">
        <v>53</v>
      </c>
      <c r="H17" s="11">
        <v>202500</v>
      </c>
      <c r="I17" s="12"/>
      <c r="J17" s="13"/>
      <c r="K17" s="14"/>
      <c r="L17" s="15"/>
      <c r="M17" s="16"/>
      <c r="N17" s="16"/>
      <c r="O17" s="16"/>
      <c r="P17" s="16"/>
      <c r="Q17" s="16"/>
      <c r="R17" s="16">
        <f t="shared" si="0"/>
        <v>0</v>
      </c>
      <c r="S17" s="16"/>
      <c r="T17" s="17">
        <f t="shared" si="1"/>
        <v>202500</v>
      </c>
      <c r="U17" s="16"/>
      <c r="V17" s="16" t="s">
        <v>925</v>
      </c>
    </row>
    <row r="18" spans="1:22" ht="21" hidden="1" x14ac:dyDescent="0.35">
      <c r="A18" s="8" t="s">
        <v>13</v>
      </c>
      <c r="B18" s="60" t="s">
        <v>939</v>
      </c>
      <c r="C18" s="9" t="s">
        <v>51</v>
      </c>
      <c r="D18" s="10" t="s">
        <v>52</v>
      </c>
      <c r="E18" s="10" t="s">
        <v>47</v>
      </c>
      <c r="F18" s="10" t="s">
        <v>48</v>
      </c>
      <c r="G18" s="10" t="s">
        <v>54</v>
      </c>
      <c r="H18" s="11">
        <v>647100</v>
      </c>
      <c r="I18" s="12"/>
      <c r="J18" s="19">
        <v>0</v>
      </c>
      <c r="K18" s="11">
        <v>297513</v>
      </c>
      <c r="L18" s="15"/>
      <c r="M18" s="16"/>
      <c r="N18" s="16"/>
      <c r="O18" s="16"/>
      <c r="P18" s="16"/>
      <c r="Q18" s="16"/>
      <c r="R18" s="16">
        <f t="shared" si="0"/>
        <v>0</v>
      </c>
      <c r="S18" s="16"/>
      <c r="T18" s="17">
        <f t="shared" si="1"/>
        <v>349587</v>
      </c>
      <c r="U18" s="16"/>
      <c r="V18" s="16" t="s">
        <v>925</v>
      </c>
    </row>
    <row r="19" spans="1:22" ht="21" hidden="1" x14ac:dyDescent="0.35">
      <c r="A19" s="8" t="s">
        <v>13</v>
      </c>
      <c r="B19" s="60" t="s">
        <v>939</v>
      </c>
      <c r="C19" s="9" t="s">
        <v>51</v>
      </c>
      <c r="D19" s="10" t="s">
        <v>52</v>
      </c>
      <c r="E19" s="10" t="s">
        <v>55</v>
      </c>
      <c r="F19" s="10" t="s">
        <v>56</v>
      </c>
      <c r="G19" s="10" t="s">
        <v>57</v>
      </c>
      <c r="H19" s="11">
        <v>114759</v>
      </c>
      <c r="I19" s="18">
        <v>114759</v>
      </c>
      <c r="J19" s="13"/>
      <c r="K19" s="14"/>
      <c r="L19" s="15"/>
      <c r="M19" s="16"/>
      <c r="N19" s="16"/>
      <c r="O19" s="16"/>
      <c r="P19" s="16"/>
      <c r="Q19" s="16"/>
      <c r="R19" s="16">
        <f t="shared" si="0"/>
        <v>0</v>
      </c>
      <c r="S19" s="16"/>
      <c r="T19" s="17">
        <f t="shared" si="1"/>
        <v>0</v>
      </c>
      <c r="U19" s="16"/>
      <c r="V19" s="16" t="s">
        <v>925</v>
      </c>
    </row>
    <row r="20" spans="1:22" hidden="1" x14ac:dyDescent="0.35">
      <c r="A20" s="8" t="s">
        <v>13</v>
      </c>
      <c r="B20" s="60" t="s">
        <v>939</v>
      </c>
      <c r="C20" s="9" t="s">
        <v>51</v>
      </c>
      <c r="D20" s="10" t="s">
        <v>52</v>
      </c>
      <c r="E20" s="10" t="s">
        <v>28</v>
      </c>
      <c r="F20" s="10" t="s">
        <v>29</v>
      </c>
      <c r="G20" s="10" t="s">
        <v>58</v>
      </c>
      <c r="H20" s="11">
        <v>20000</v>
      </c>
      <c r="I20" s="12"/>
      <c r="J20" s="13"/>
      <c r="K20" s="14"/>
      <c r="L20" s="15"/>
      <c r="M20" s="16"/>
      <c r="N20" s="16"/>
      <c r="O20" s="16"/>
      <c r="P20" s="16"/>
      <c r="Q20" s="16"/>
      <c r="R20" s="16">
        <f t="shared" si="0"/>
        <v>0</v>
      </c>
      <c r="S20" s="16"/>
      <c r="T20" s="17">
        <f t="shared" si="1"/>
        <v>20000</v>
      </c>
      <c r="U20" s="16"/>
      <c r="V20" s="16" t="s">
        <v>925</v>
      </c>
    </row>
    <row r="21" spans="1:22" hidden="1" x14ac:dyDescent="0.35">
      <c r="A21" s="8" t="s">
        <v>13</v>
      </c>
      <c r="B21" s="60" t="s">
        <v>939</v>
      </c>
      <c r="C21" s="9" t="s">
        <v>59</v>
      </c>
      <c r="D21" s="10" t="s">
        <v>60</v>
      </c>
      <c r="E21" s="10" t="s">
        <v>61</v>
      </c>
      <c r="F21" s="10" t="s">
        <v>62</v>
      </c>
      <c r="G21" s="10" t="s">
        <v>63</v>
      </c>
      <c r="H21" s="11">
        <v>6995531</v>
      </c>
      <c r="I21" s="18">
        <v>2211877.81</v>
      </c>
      <c r="J21" s="19">
        <v>1516266.5</v>
      </c>
      <c r="K21" s="11">
        <v>746220.15</v>
      </c>
      <c r="L21" s="54">
        <v>124038</v>
      </c>
      <c r="M21" s="55">
        <v>500000</v>
      </c>
      <c r="N21" s="55">
        <v>500000</v>
      </c>
      <c r="O21" s="55">
        <v>500000</v>
      </c>
      <c r="P21" s="55">
        <v>500000</v>
      </c>
      <c r="Q21" s="55">
        <v>396500</v>
      </c>
      <c r="R21" s="16">
        <f t="shared" si="0"/>
        <v>2520538</v>
      </c>
      <c r="S21" s="16"/>
      <c r="T21" s="17">
        <f t="shared" si="1"/>
        <v>628.53999999957159</v>
      </c>
      <c r="U21" s="16"/>
      <c r="V21" s="16" t="s">
        <v>926</v>
      </c>
    </row>
    <row r="22" spans="1:22" ht="21" hidden="1" x14ac:dyDescent="0.35">
      <c r="A22" s="8" t="s">
        <v>13</v>
      </c>
      <c r="B22" s="60" t="s">
        <v>939</v>
      </c>
      <c r="C22" s="9" t="s">
        <v>59</v>
      </c>
      <c r="D22" s="10" t="s">
        <v>60</v>
      </c>
      <c r="E22" s="10" t="s">
        <v>19</v>
      </c>
      <c r="F22" s="10" t="s">
        <v>20</v>
      </c>
      <c r="G22" s="10" t="s">
        <v>64</v>
      </c>
      <c r="H22" s="11">
        <v>8685826</v>
      </c>
      <c r="I22" s="18">
        <v>4041467.01</v>
      </c>
      <c r="J22" s="19">
        <v>383977.38</v>
      </c>
      <c r="K22" s="11">
        <v>1721703.9</v>
      </c>
      <c r="L22" s="56">
        <v>1977263</v>
      </c>
      <c r="M22" s="55">
        <v>250000</v>
      </c>
      <c r="N22" s="55">
        <v>280000</v>
      </c>
      <c r="O22" s="55">
        <v>20000</v>
      </c>
      <c r="P22" s="55">
        <v>11000</v>
      </c>
      <c r="Q22" s="55"/>
      <c r="R22" s="16">
        <f t="shared" si="0"/>
        <v>2538263</v>
      </c>
      <c r="S22" s="16"/>
      <c r="T22" s="17">
        <f t="shared" si="1"/>
        <v>414.71000000042841</v>
      </c>
      <c r="U22" s="16"/>
      <c r="V22" s="16" t="s">
        <v>926</v>
      </c>
    </row>
    <row r="23" spans="1:22" ht="21" hidden="1" x14ac:dyDescent="0.35">
      <c r="A23" s="8" t="s">
        <v>13</v>
      </c>
      <c r="B23" s="60" t="s">
        <v>939</v>
      </c>
      <c r="C23" s="9" t="s">
        <v>59</v>
      </c>
      <c r="D23" s="10" t="s">
        <v>60</v>
      </c>
      <c r="E23" s="10" t="s">
        <v>22</v>
      </c>
      <c r="F23" s="10" t="s">
        <v>23</v>
      </c>
      <c r="G23" s="10" t="s">
        <v>65</v>
      </c>
      <c r="H23" s="11">
        <v>64327</v>
      </c>
      <c r="I23" s="18">
        <v>-5201.42</v>
      </c>
      <c r="J23" s="13"/>
      <c r="K23" s="14"/>
      <c r="L23" s="56"/>
      <c r="M23" s="55"/>
      <c r="N23" s="55">
        <v>30000</v>
      </c>
      <c r="O23" s="55"/>
      <c r="P23" s="55">
        <v>39000</v>
      </c>
      <c r="Q23" s="55"/>
      <c r="R23" s="16">
        <f t="shared" si="0"/>
        <v>69000</v>
      </c>
      <c r="S23" s="16"/>
      <c r="T23" s="17">
        <f t="shared" si="1"/>
        <v>528.41999999999825</v>
      </c>
      <c r="U23" s="16"/>
      <c r="V23" s="16" t="s">
        <v>926</v>
      </c>
    </row>
    <row r="24" spans="1:22" hidden="1" x14ac:dyDescent="0.35">
      <c r="A24" s="8" t="s">
        <v>13</v>
      </c>
      <c r="B24" s="60" t="s">
        <v>939</v>
      </c>
      <c r="C24" s="9" t="s">
        <v>59</v>
      </c>
      <c r="D24" s="10" t="s">
        <v>60</v>
      </c>
      <c r="E24" s="10" t="s">
        <v>66</v>
      </c>
      <c r="F24" s="10" t="s">
        <v>67</v>
      </c>
      <c r="G24" s="10" t="s">
        <v>68</v>
      </c>
      <c r="H24" s="11">
        <v>154663</v>
      </c>
      <c r="I24" s="12"/>
      <c r="J24" s="13"/>
      <c r="K24" s="14"/>
      <c r="L24" s="56"/>
      <c r="M24" s="55"/>
      <c r="N24" s="55"/>
      <c r="O24" s="55"/>
      <c r="P24" s="55">
        <v>154600</v>
      </c>
      <c r="Q24" s="55"/>
      <c r="R24" s="16">
        <f t="shared" si="0"/>
        <v>154600</v>
      </c>
      <c r="S24" s="16"/>
      <c r="T24" s="17">
        <f t="shared" si="1"/>
        <v>63</v>
      </c>
      <c r="U24" s="16"/>
      <c r="V24" s="16" t="s">
        <v>926</v>
      </c>
    </row>
    <row r="25" spans="1:22" hidden="1" x14ac:dyDescent="0.35">
      <c r="A25" s="8" t="s">
        <v>13</v>
      </c>
      <c r="B25" s="60" t="s">
        <v>939</v>
      </c>
      <c r="C25" s="9" t="s">
        <v>59</v>
      </c>
      <c r="D25" s="10" t="s">
        <v>60</v>
      </c>
      <c r="E25" s="10" t="s">
        <v>69</v>
      </c>
      <c r="F25" s="10" t="s">
        <v>70</v>
      </c>
      <c r="G25" s="10" t="s">
        <v>71</v>
      </c>
      <c r="H25" s="11">
        <v>662002</v>
      </c>
      <c r="I25" s="18">
        <v>712427.38</v>
      </c>
      <c r="J25" s="19">
        <v>-432001.91</v>
      </c>
      <c r="K25" s="11">
        <v>151576.44</v>
      </c>
      <c r="L25" s="56"/>
      <c r="M25" s="55">
        <v>200000</v>
      </c>
      <c r="N25" s="55"/>
      <c r="O25" s="55">
        <v>15000</v>
      </c>
      <c r="P25" s="55">
        <v>15000</v>
      </c>
      <c r="Q25" s="55"/>
      <c r="R25" s="16">
        <f t="shared" si="0"/>
        <v>230000</v>
      </c>
      <c r="S25" s="16"/>
      <c r="T25" s="17">
        <f t="shared" si="1"/>
        <v>8.999999996740371E-2</v>
      </c>
      <c r="U25" s="16"/>
      <c r="V25" s="16" t="s">
        <v>926</v>
      </c>
    </row>
    <row r="26" spans="1:22" hidden="1" x14ac:dyDescent="0.35">
      <c r="A26" s="8" t="s">
        <v>13</v>
      </c>
      <c r="B26" s="60" t="s">
        <v>939</v>
      </c>
      <c r="C26" s="9" t="s">
        <v>59</v>
      </c>
      <c r="D26" s="10" t="s">
        <v>60</v>
      </c>
      <c r="E26" s="10" t="s">
        <v>72</v>
      </c>
      <c r="F26" s="10" t="s">
        <v>73</v>
      </c>
      <c r="G26" s="10" t="s">
        <v>74</v>
      </c>
      <c r="H26" s="11">
        <v>23653</v>
      </c>
      <c r="I26" s="12"/>
      <c r="J26" s="13"/>
      <c r="K26" s="14"/>
      <c r="L26" s="56"/>
      <c r="M26" s="55"/>
      <c r="N26" s="55"/>
      <c r="O26" s="55">
        <v>23000</v>
      </c>
      <c r="P26" s="55"/>
      <c r="Q26" s="55"/>
      <c r="R26" s="16">
        <f t="shared" si="0"/>
        <v>23000</v>
      </c>
      <c r="S26" s="16"/>
      <c r="T26" s="17">
        <f t="shared" si="1"/>
        <v>653</v>
      </c>
      <c r="U26" s="16"/>
      <c r="V26" s="16" t="s">
        <v>926</v>
      </c>
    </row>
    <row r="27" spans="1:22" hidden="1" x14ac:dyDescent="0.35">
      <c r="A27" s="8" t="s">
        <v>13</v>
      </c>
      <c r="B27" s="60" t="s">
        <v>939</v>
      </c>
      <c r="C27" s="9" t="s">
        <v>59</v>
      </c>
      <c r="D27" s="10" t="s">
        <v>60</v>
      </c>
      <c r="E27" s="10" t="s">
        <v>75</v>
      </c>
      <c r="F27" s="10" t="s">
        <v>76</v>
      </c>
      <c r="G27" s="10" t="s">
        <v>77</v>
      </c>
      <c r="H27" s="11">
        <v>45999</v>
      </c>
      <c r="I27" s="18">
        <v>2205</v>
      </c>
      <c r="J27" s="13"/>
      <c r="K27" s="14"/>
      <c r="L27" s="56"/>
      <c r="M27" s="55"/>
      <c r="N27" s="55"/>
      <c r="O27" s="55"/>
      <c r="P27" s="55">
        <v>44000</v>
      </c>
      <c r="Q27" s="55"/>
      <c r="R27" s="16">
        <f t="shared" si="0"/>
        <v>44000</v>
      </c>
      <c r="S27" s="16"/>
      <c r="T27" s="17">
        <f t="shared" si="1"/>
        <v>-206</v>
      </c>
      <c r="U27" s="16"/>
      <c r="V27" s="16" t="s">
        <v>926</v>
      </c>
    </row>
    <row r="28" spans="1:22" hidden="1" x14ac:dyDescent="0.35">
      <c r="A28" s="8" t="s">
        <v>13</v>
      </c>
      <c r="B28" s="60" t="s">
        <v>939</v>
      </c>
      <c r="C28" s="9" t="s">
        <v>59</v>
      </c>
      <c r="D28" s="10" t="s">
        <v>60</v>
      </c>
      <c r="E28" s="10" t="s">
        <v>78</v>
      </c>
      <c r="F28" s="10" t="s">
        <v>79</v>
      </c>
      <c r="G28" s="10" t="s">
        <v>80</v>
      </c>
      <c r="H28" s="11">
        <v>58125</v>
      </c>
      <c r="I28" s="12"/>
      <c r="J28" s="13"/>
      <c r="K28" s="14"/>
      <c r="L28" s="56"/>
      <c r="M28" s="55"/>
      <c r="N28" s="55"/>
      <c r="O28" s="55"/>
      <c r="P28" s="55">
        <v>60000</v>
      </c>
      <c r="Q28" s="55"/>
      <c r="R28" s="16">
        <f t="shared" si="0"/>
        <v>60000</v>
      </c>
      <c r="S28" s="16"/>
      <c r="T28" s="17">
        <f t="shared" si="1"/>
        <v>-1875</v>
      </c>
      <c r="U28" s="16"/>
      <c r="V28" s="16" t="s">
        <v>926</v>
      </c>
    </row>
    <row r="29" spans="1:22" hidden="1" x14ac:dyDescent="0.35">
      <c r="A29" s="8" t="s">
        <v>13</v>
      </c>
      <c r="B29" s="60" t="s">
        <v>934</v>
      </c>
      <c r="C29" s="9" t="s">
        <v>81</v>
      </c>
      <c r="D29" s="10" t="s">
        <v>82</v>
      </c>
      <c r="E29" s="10" t="s">
        <v>83</v>
      </c>
      <c r="F29" s="10" t="s">
        <v>84</v>
      </c>
      <c r="G29" s="10" t="s">
        <v>85</v>
      </c>
      <c r="H29" s="11">
        <v>353692</v>
      </c>
      <c r="I29" s="18">
        <v>41640.21</v>
      </c>
      <c r="J29" s="19">
        <v>0</v>
      </c>
      <c r="K29" s="14"/>
      <c r="L29" s="15"/>
      <c r="M29" s="16"/>
      <c r="N29" s="16"/>
      <c r="O29" s="16"/>
      <c r="P29" s="16"/>
      <c r="Q29" s="16"/>
      <c r="R29" s="16">
        <f t="shared" si="0"/>
        <v>0</v>
      </c>
      <c r="S29" s="16"/>
      <c r="T29" s="17">
        <f t="shared" si="1"/>
        <v>312051.78999999998</v>
      </c>
      <c r="U29" s="16"/>
      <c r="V29" s="16" t="s">
        <v>925</v>
      </c>
    </row>
    <row r="30" spans="1:22" ht="21" hidden="1" x14ac:dyDescent="0.35">
      <c r="A30" s="8" t="s">
        <v>13</v>
      </c>
      <c r="B30" s="60" t="s">
        <v>934</v>
      </c>
      <c r="C30" s="9" t="s">
        <v>81</v>
      </c>
      <c r="D30" s="10" t="s">
        <v>82</v>
      </c>
      <c r="E30" s="10" t="s">
        <v>47</v>
      </c>
      <c r="F30" s="10" t="s">
        <v>48</v>
      </c>
      <c r="G30" s="10" t="s">
        <v>86</v>
      </c>
      <c r="H30" s="11">
        <v>25000</v>
      </c>
      <c r="I30" s="18">
        <v>15000</v>
      </c>
      <c r="J30" s="13"/>
      <c r="K30" s="14"/>
      <c r="L30" s="15"/>
      <c r="M30" s="16"/>
      <c r="N30" s="16"/>
      <c r="O30" s="16"/>
      <c r="P30" s="16"/>
      <c r="Q30" s="16"/>
      <c r="R30" s="16">
        <f t="shared" si="0"/>
        <v>0</v>
      </c>
      <c r="S30" s="16"/>
      <c r="T30" s="17">
        <f t="shared" si="1"/>
        <v>10000</v>
      </c>
      <c r="U30" s="16"/>
      <c r="V30" s="16" t="s">
        <v>925</v>
      </c>
    </row>
    <row r="31" spans="1:22" hidden="1" x14ac:dyDescent="0.35">
      <c r="A31" s="8" t="s">
        <v>13</v>
      </c>
      <c r="B31" s="60" t="s">
        <v>934</v>
      </c>
      <c r="C31" s="9" t="s">
        <v>87</v>
      </c>
      <c r="D31" s="10" t="s">
        <v>88</v>
      </c>
      <c r="E31" s="10" t="s">
        <v>83</v>
      </c>
      <c r="F31" s="10" t="s">
        <v>84</v>
      </c>
      <c r="G31" s="10" t="s">
        <v>89</v>
      </c>
      <c r="H31" s="11">
        <v>0</v>
      </c>
      <c r="I31" s="12"/>
      <c r="J31" s="13"/>
      <c r="K31" s="14"/>
      <c r="L31" s="15"/>
      <c r="M31" s="16"/>
      <c r="N31" s="16"/>
      <c r="O31" s="16"/>
      <c r="P31" s="16"/>
      <c r="Q31" s="16"/>
      <c r="R31" s="16">
        <f t="shared" si="0"/>
        <v>0</v>
      </c>
      <c r="S31" s="16"/>
      <c r="T31" s="17">
        <f t="shared" si="1"/>
        <v>0</v>
      </c>
      <c r="U31" s="16"/>
      <c r="V31" s="16" t="s">
        <v>926</v>
      </c>
    </row>
    <row r="32" spans="1:22" ht="21" hidden="1" x14ac:dyDescent="0.35">
      <c r="A32" s="8" t="s">
        <v>13</v>
      </c>
      <c r="B32" s="60" t="s">
        <v>934</v>
      </c>
      <c r="C32" s="9" t="s">
        <v>87</v>
      </c>
      <c r="D32" s="10" t="s">
        <v>88</v>
      </c>
      <c r="E32" s="10" t="s">
        <v>22</v>
      </c>
      <c r="F32" s="10" t="s">
        <v>23</v>
      </c>
      <c r="G32" s="10" t="s">
        <v>90</v>
      </c>
      <c r="H32" s="11">
        <v>37000</v>
      </c>
      <c r="I32" s="12"/>
      <c r="J32" s="13"/>
      <c r="K32" s="14"/>
      <c r="L32" s="15"/>
      <c r="M32" s="16"/>
      <c r="N32" s="16"/>
      <c r="O32" s="16"/>
      <c r="P32" s="16"/>
      <c r="Q32" s="16"/>
      <c r="R32" s="16">
        <f t="shared" si="0"/>
        <v>0</v>
      </c>
      <c r="S32" s="16"/>
      <c r="T32" s="17">
        <f t="shared" si="1"/>
        <v>37000</v>
      </c>
      <c r="U32" s="16"/>
      <c r="V32" s="16" t="s">
        <v>926</v>
      </c>
    </row>
    <row r="33" spans="1:22" hidden="1" x14ac:dyDescent="0.35">
      <c r="A33" s="8" t="s">
        <v>13</v>
      </c>
      <c r="B33" s="60" t="s">
        <v>934</v>
      </c>
      <c r="C33" s="9" t="s">
        <v>87</v>
      </c>
      <c r="D33" s="10" t="s">
        <v>88</v>
      </c>
      <c r="E33" s="10" t="s">
        <v>25</v>
      </c>
      <c r="F33" s="10" t="s">
        <v>26</v>
      </c>
      <c r="G33" s="10" t="s">
        <v>91</v>
      </c>
      <c r="H33" s="11">
        <v>195000</v>
      </c>
      <c r="I33" s="18">
        <v>2231.25</v>
      </c>
      <c r="J33" s="13"/>
      <c r="K33" s="14"/>
      <c r="L33" s="15"/>
      <c r="M33" s="17">
        <v>126400</v>
      </c>
      <c r="N33" s="16"/>
      <c r="O33" s="16"/>
      <c r="P33" s="17">
        <v>66369</v>
      </c>
      <c r="Q33" s="17"/>
      <c r="R33" s="16">
        <f t="shared" si="0"/>
        <v>192769</v>
      </c>
      <c r="S33" s="16"/>
      <c r="T33" s="17">
        <f t="shared" si="1"/>
        <v>-0.25</v>
      </c>
      <c r="U33" s="16"/>
      <c r="V33" s="16" t="s">
        <v>926</v>
      </c>
    </row>
    <row r="34" spans="1:22" ht="21" hidden="1" x14ac:dyDescent="0.35">
      <c r="A34" s="8" t="s">
        <v>13</v>
      </c>
      <c r="B34" s="60" t="s">
        <v>934</v>
      </c>
      <c r="C34" s="9" t="s">
        <v>87</v>
      </c>
      <c r="D34" s="10" t="s">
        <v>88</v>
      </c>
      <c r="E34" s="10" t="s">
        <v>47</v>
      </c>
      <c r="F34" s="10" t="s">
        <v>48</v>
      </c>
      <c r="G34" s="10" t="s">
        <v>92</v>
      </c>
      <c r="H34" s="11">
        <v>1</v>
      </c>
      <c r="I34" s="12"/>
      <c r="J34" s="19">
        <v>1</v>
      </c>
      <c r="K34" s="14"/>
      <c r="L34" s="15"/>
      <c r="M34" s="16"/>
      <c r="N34" s="16"/>
      <c r="O34" s="16"/>
      <c r="P34" s="16"/>
      <c r="Q34" s="16"/>
      <c r="R34" s="16">
        <f t="shared" si="0"/>
        <v>0</v>
      </c>
      <c r="S34" s="16"/>
      <c r="T34" s="17">
        <f t="shared" si="1"/>
        <v>0</v>
      </c>
      <c r="U34" s="16"/>
      <c r="V34" s="16" t="s">
        <v>926</v>
      </c>
    </row>
    <row r="35" spans="1:22" hidden="1" x14ac:dyDescent="0.35">
      <c r="A35" s="8" t="s">
        <v>13</v>
      </c>
      <c r="B35" s="60" t="s">
        <v>934</v>
      </c>
      <c r="C35" s="9" t="s">
        <v>87</v>
      </c>
      <c r="D35" s="10" t="s">
        <v>88</v>
      </c>
      <c r="E35" s="10" t="s">
        <v>28</v>
      </c>
      <c r="F35" s="10" t="s">
        <v>29</v>
      </c>
      <c r="G35" s="10" t="s">
        <v>93</v>
      </c>
      <c r="H35" s="11">
        <v>100000</v>
      </c>
      <c r="I35" s="18">
        <v>1650</v>
      </c>
      <c r="J35" s="13"/>
      <c r="K35" s="14"/>
      <c r="L35" s="15"/>
      <c r="M35" s="16"/>
      <c r="N35" s="16"/>
      <c r="O35" s="16"/>
      <c r="P35" s="16"/>
      <c r="Q35" s="16"/>
      <c r="R35" s="16">
        <f t="shared" si="0"/>
        <v>0</v>
      </c>
      <c r="S35" s="16"/>
      <c r="T35" s="17">
        <f t="shared" si="1"/>
        <v>98350</v>
      </c>
      <c r="U35" s="16"/>
      <c r="V35" s="16" t="s">
        <v>926</v>
      </c>
    </row>
    <row r="36" spans="1:22" hidden="1" x14ac:dyDescent="0.35">
      <c r="A36" s="8" t="s">
        <v>13</v>
      </c>
      <c r="B36" s="60" t="s">
        <v>934</v>
      </c>
      <c r="C36" s="9" t="s">
        <v>87</v>
      </c>
      <c r="D36" s="10" t="s">
        <v>88</v>
      </c>
      <c r="E36" s="10" t="s">
        <v>75</v>
      </c>
      <c r="F36" s="10" t="s">
        <v>76</v>
      </c>
      <c r="G36" s="10" t="s">
        <v>94</v>
      </c>
      <c r="H36" s="11">
        <v>4600</v>
      </c>
      <c r="I36" s="12"/>
      <c r="J36" s="13"/>
      <c r="K36" s="14"/>
      <c r="L36" s="15"/>
      <c r="M36" s="16"/>
      <c r="N36" s="16"/>
      <c r="O36" s="16"/>
      <c r="P36" s="17">
        <v>4600</v>
      </c>
      <c r="Q36" s="16"/>
      <c r="R36" s="16">
        <f t="shared" si="0"/>
        <v>4600</v>
      </c>
      <c r="S36" s="16"/>
      <c r="T36" s="17">
        <f t="shared" si="1"/>
        <v>0</v>
      </c>
      <c r="U36" s="16"/>
      <c r="V36" s="16" t="s">
        <v>926</v>
      </c>
    </row>
    <row r="37" spans="1:22" hidden="1" x14ac:dyDescent="0.35">
      <c r="A37" s="8" t="s">
        <v>13</v>
      </c>
      <c r="B37" s="60" t="s">
        <v>934</v>
      </c>
      <c r="C37" s="9" t="s">
        <v>87</v>
      </c>
      <c r="D37" s="10" t="s">
        <v>88</v>
      </c>
      <c r="E37" s="10" t="s">
        <v>95</v>
      </c>
      <c r="F37" s="10" t="s">
        <v>96</v>
      </c>
      <c r="G37" s="10" t="s">
        <v>97</v>
      </c>
      <c r="H37" s="11">
        <v>650000</v>
      </c>
      <c r="I37" s="12"/>
      <c r="J37" s="13"/>
      <c r="K37" s="14"/>
      <c r="L37" s="53">
        <v>110172</v>
      </c>
      <c r="M37" s="17">
        <v>367240</v>
      </c>
      <c r="N37" s="16"/>
      <c r="O37" s="16"/>
      <c r="P37" s="16"/>
      <c r="Q37" s="17">
        <v>172588</v>
      </c>
      <c r="R37" s="16">
        <f t="shared" si="0"/>
        <v>650000</v>
      </c>
      <c r="S37" s="16"/>
      <c r="T37" s="17">
        <f t="shared" si="1"/>
        <v>0</v>
      </c>
      <c r="U37" s="16"/>
      <c r="V37" s="16" t="s">
        <v>926</v>
      </c>
    </row>
    <row r="38" spans="1:22" ht="21" hidden="1" x14ac:dyDescent="0.35">
      <c r="A38" s="8" t="s">
        <v>13</v>
      </c>
      <c r="B38" s="10" t="s">
        <v>933</v>
      </c>
      <c r="C38" s="9" t="s">
        <v>98</v>
      </c>
      <c r="D38" s="10" t="s">
        <v>99</v>
      </c>
      <c r="E38" s="10" t="s">
        <v>100</v>
      </c>
      <c r="F38" s="10" t="s">
        <v>101</v>
      </c>
      <c r="G38" s="10" t="s">
        <v>102</v>
      </c>
      <c r="H38" s="11">
        <v>10905900</v>
      </c>
      <c r="I38" s="12"/>
      <c r="J38" s="13"/>
      <c r="K38" s="14"/>
      <c r="L38" s="15"/>
      <c r="M38" s="16"/>
      <c r="N38" s="16"/>
      <c r="O38" s="16"/>
      <c r="P38" s="16"/>
      <c r="Q38" s="16"/>
      <c r="R38" s="16">
        <f t="shared" si="0"/>
        <v>0</v>
      </c>
      <c r="S38" s="16"/>
      <c r="T38" s="17">
        <f t="shared" si="1"/>
        <v>10905900</v>
      </c>
      <c r="U38" s="16"/>
      <c r="V38" s="16" t="s">
        <v>925</v>
      </c>
    </row>
    <row r="39" spans="1:22" ht="21" hidden="1" x14ac:dyDescent="0.35">
      <c r="A39" s="8" t="s">
        <v>13</v>
      </c>
      <c r="B39" s="10" t="s">
        <v>933</v>
      </c>
      <c r="C39" s="9" t="s">
        <v>98</v>
      </c>
      <c r="D39" s="10" t="s">
        <v>99</v>
      </c>
      <c r="E39" s="10" t="s">
        <v>83</v>
      </c>
      <c r="F39" s="10" t="s">
        <v>84</v>
      </c>
      <c r="G39" s="10" t="s">
        <v>103</v>
      </c>
      <c r="H39" s="11">
        <v>1000000</v>
      </c>
      <c r="I39" s="12"/>
      <c r="J39" s="13"/>
      <c r="K39" s="14"/>
      <c r="L39" s="15"/>
      <c r="M39" s="16"/>
      <c r="N39" s="16"/>
      <c r="O39" s="16"/>
      <c r="P39" s="16"/>
      <c r="Q39" s="16"/>
      <c r="R39" s="16">
        <f t="shared" si="0"/>
        <v>0</v>
      </c>
      <c r="S39" s="16"/>
      <c r="T39" s="17">
        <f t="shared" si="1"/>
        <v>1000000</v>
      </c>
      <c r="U39" s="16"/>
      <c r="V39" s="16" t="s">
        <v>925</v>
      </c>
    </row>
    <row r="40" spans="1:22" ht="21" hidden="1" x14ac:dyDescent="0.35">
      <c r="A40" s="8" t="s">
        <v>13</v>
      </c>
      <c r="B40" s="10" t="s">
        <v>933</v>
      </c>
      <c r="C40" s="9" t="s">
        <v>98</v>
      </c>
      <c r="D40" s="10" t="s">
        <v>99</v>
      </c>
      <c r="E40" s="10" t="s">
        <v>104</v>
      </c>
      <c r="F40" s="10" t="s">
        <v>105</v>
      </c>
      <c r="G40" s="10" t="s">
        <v>106</v>
      </c>
      <c r="H40" s="11">
        <v>12350000</v>
      </c>
      <c r="I40" s="12"/>
      <c r="J40" s="13"/>
      <c r="K40" s="14"/>
      <c r="L40" s="15"/>
      <c r="M40" s="16"/>
      <c r="N40" s="16"/>
      <c r="O40" s="16"/>
      <c r="P40" s="16"/>
      <c r="Q40" s="16"/>
      <c r="R40" s="16">
        <f t="shared" si="0"/>
        <v>0</v>
      </c>
      <c r="S40" s="16"/>
      <c r="T40" s="17">
        <f t="shared" si="1"/>
        <v>12350000</v>
      </c>
      <c r="U40" s="16"/>
      <c r="V40" s="16" t="s">
        <v>925</v>
      </c>
    </row>
    <row r="41" spans="1:22" ht="21" hidden="1" x14ac:dyDescent="0.35">
      <c r="A41" s="8" t="s">
        <v>13</v>
      </c>
      <c r="B41" s="10" t="s">
        <v>933</v>
      </c>
      <c r="C41" s="9" t="s">
        <v>98</v>
      </c>
      <c r="D41" s="10" t="s">
        <v>99</v>
      </c>
      <c r="E41" s="10" t="s">
        <v>107</v>
      </c>
      <c r="F41" s="10" t="s">
        <v>108</v>
      </c>
      <c r="G41" s="10" t="s">
        <v>109</v>
      </c>
      <c r="H41" s="11">
        <v>13348425</v>
      </c>
      <c r="I41" s="12"/>
      <c r="J41" s="13"/>
      <c r="K41" s="14"/>
      <c r="L41" s="15"/>
      <c r="M41" s="16"/>
      <c r="N41" s="16"/>
      <c r="O41" s="16"/>
      <c r="P41" s="16"/>
      <c r="Q41" s="16"/>
      <c r="R41" s="16">
        <f t="shared" si="0"/>
        <v>0</v>
      </c>
      <c r="S41" s="16"/>
      <c r="T41" s="17">
        <f t="shared" si="1"/>
        <v>13348425</v>
      </c>
      <c r="U41" s="16"/>
      <c r="V41" s="16" t="s">
        <v>925</v>
      </c>
    </row>
    <row r="42" spans="1:22" ht="21" hidden="1" x14ac:dyDescent="0.35">
      <c r="A42" s="8" t="s">
        <v>13</v>
      </c>
      <c r="B42" s="10" t="s">
        <v>933</v>
      </c>
      <c r="C42" s="9" t="s">
        <v>98</v>
      </c>
      <c r="D42" s="10" t="s">
        <v>99</v>
      </c>
      <c r="E42" s="10" t="s">
        <v>95</v>
      </c>
      <c r="F42" s="10" t="s">
        <v>96</v>
      </c>
      <c r="G42" s="10" t="s">
        <v>110</v>
      </c>
      <c r="H42" s="11">
        <v>9000000</v>
      </c>
      <c r="I42" s="12"/>
      <c r="J42" s="13"/>
      <c r="K42" s="14"/>
      <c r="L42" s="15"/>
      <c r="M42" s="16"/>
      <c r="N42" s="16"/>
      <c r="O42" s="16"/>
      <c r="P42" s="16"/>
      <c r="Q42" s="16"/>
      <c r="R42" s="16">
        <f t="shared" si="0"/>
        <v>0</v>
      </c>
      <c r="S42" s="16"/>
      <c r="T42" s="17">
        <f t="shared" si="1"/>
        <v>9000000</v>
      </c>
      <c r="U42" s="16"/>
      <c r="V42" s="16" t="s">
        <v>925</v>
      </c>
    </row>
    <row r="43" spans="1:22" hidden="1" x14ac:dyDescent="0.35">
      <c r="A43" s="8" t="s">
        <v>13</v>
      </c>
      <c r="B43" s="60" t="s">
        <v>938</v>
      </c>
      <c r="C43" s="9" t="s">
        <v>111</v>
      </c>
      <c r="D43" s="10" t="s">
        <v>112</v>
      </c>
      <c r="E43" s="10" t="s">
        <v>16</v>
      </c>
      <c r="F43" s="10" t="s">
        <v>17</v>
      </c>
      <c r="G43" s="10" t="s">
        <v>113</v>
      </c>
      <c r="H43" s="11">
        <v>26159</v>
      </c>
      <c r="I43" s="12"/>
      <c r="J43" s="13"/>
      <c r="K43" s="14"/>
      <c r="L43" s="15"/>
      <c r="M43" s="16"/>
      <c r="N43" s="16"/>
      <c r="O43" s="16"/>
      <c r="P43" s="16"/>
      <c r="Q43" s="16"/>
      <c r="R43" s="16">
        <f t="shared" si="0"/>
        <v>0</v>
      </c>
      <c r="S43" s="16"/>
      <c r="T43" s="17">
        <f t="shared" si="1"/>
        <v>26159</v>
      </c>
      <c r="U43" s="16"/>
      <c r="V43" s="16" t="s">
        <v>925</v>
      </c>
    </row>
    <row r="44" spans="1:22" hidden="1" x14ac:dyDescent="0.35">
      <c r="A44" s="8" t="s">
        <v>13</v>
      </c>
      <c r="B44" s="60" t="s">
        <v>938</v>
      </c>
      <c r="C44" s="9" t="s">
        <v>111</v>
      </c>
      <c r="D44" s="10" t="s">
        <v>112</v>
      </c>
      <c r="E44" s="10" t="s">
        <v>114</v>
      </c>
      <c r="F44" s="10" t="s">
        <v>115</v>
      </c>
      <c r="G44" s="10" t="s">
        <v>116</v>
      </c>
      <c r="H44" s="11">
        <v>185000</v>
      </c>
      <c r="I44" s="18">
        <v>183640.84</v>
      </c>
      <c r="J44" s="19">
        <v>0</v>
      </c>
      <c r="K44" s="14"/>
      <c r="L44" s="15"/>
      <c r="M44" s="16"/>
      <c r="N44" s="16"/>
      <c r="O44" s="16"/>
      <c r="P44" s="16"/>
      <c r="Q44" s="16"/>
      <c r="R44" s="16">
        <f t="shared" si="0"/>
        <v>0</v>
      </c>
      <c r="S44" s="16"/>
      <c r="T44" s="17">
        <f t="shared" si="1"/>
        <v>1359.1600000000035</v>
      </c>
      <c r="U44" s="16"/>
      <c r="V44" s="16" t="s">
        <v>925</v>
      </c>
    </row>
    <row r="45" spans="1:22" hidden="1" x14ac:dyDescent="0.35">
      <c r="A45" s="8" t="s">
        <v>13</v>
      </c>
      <c r="B45" s="60" t="s">
        <v>938</v>
      </c>
      <c r="C45" s="9" t="s">
        <v>111</v>
      </c>
      <c r="D45" s="10" t="s">
        <v>112</v>
      </c>
      <c r="E45" s="10" t="s">
        <v>43</v>
      </c>
      <c r="F45" s="10" t="s">
        <v>44</v>
      </c>
      <c r="G45" s="10" t="s">
        <v>117</v>
      </c>
      <c r="H45" s="11">
        <v>1337497</v>
      </c>
      <c r="I45" s="18">
        <v>50006</v>
      </c>
      <c r="J45" s="13"/>
      <c r="K45" s="14"/>
      <c r="L45" s="15"/>
      <c r="M45" s="16"/>
      <c r="N45" s="16"/>
      <c r="O45" s="16"/>
      <c r="P45" s="16"/>
      <c r="Q45" s="16"/>
      <c r="R45" s="16">
        <f t="shared" si="0"/>
        <v>0</v>
      </c>
      <c r="S45" s="16"/>
      <c r="T45" s="17">
        <f t="shared" si="1"/>
        <v>1287491</v>
      </c>
      <c r="U45" s="16"/>
      <c r="V45" s="16" t="s">
        <v>925</v>
      </c>
    </row>
    <row r="46" spans="1:22" ht="21" hidden="1" x14ac:dyDescent="0.35">
      <c r="A46" s="8" t="s">
        <v>13</v>
      </c>
      <c r="B46" s="60" t="s">
        <v>938</v>
      </c>
      <c r="C46" s="9" t="s">
        <v>111</v>
      </c>
      <c r="D46" s="10" t="s">
        <v>112</v>
      </c>
      <c r="E46" s="10" t="s">
        <v>19</v>
      </c>
      <c r="F46" s="10" t="s">
        <v>20</v>
      </c>
      <c r="G46" s="10" t="s">
        <v>118</v>
      </c>
      <c r="H46" s="11">
        <v>1389058</v>
      </c>
      <c r="I46" s="18">
        <v>39300</v>
      </c>
      <c r="J46" s="19">
        <v>734600</v>
      </c>
      <c r="K46" s="11">
        <v>0</v>
      </c>
      <c r="L46" s="15"/>
      <c r="M46" s="16"/>
      <c r="N46" s="16"/>
      <c r="O46" s="16"/>
      <c r="P46" s="16"/>
      <c r="Q46" s="16"/>
      <c r="R46" s="16">
        <f t="shared" si="0"/>
        <v>0</v>
      </c>
      <c r="S46" s="16"/>
      <c r="T46" s="17">
        <f t="shared" si="1"/>
        <v>615158</v>
      </c>
      <c r="U46" s="16"/>
      <c r="V46" s="16" t="s">
        <v>925</v>
      </c>
    </row>
    <row r="47" spans="1:22" ht="21" hidden="1" x14ac:dyDescent="0.35">
      <c r="A47" s="8" t="s">
        <v>13</v>
      </c>
      <c r="B47" s="60" t="s">
        <v>938</v>
      </c>
      <c r="C47" s="9" t="s">
        <v>111</v>
      </c>
      <c r="D47" s="10" t="s">
        <v>112</v>
      </c>
      <c r="E47" s="10" t="s">
        <v>22</v>
      </c>
      <c r="F47" s="10" t="s">
        <v>23</v>
      </c>
      <c r="G47" s="10" t="s">
        <v>119</v>
      </c>
      <c r="H47" s="11">
        <v>13790</v>
      </c>
      <c r="I47" s="12"/>
      <c r="J47" s="13"/>
      <c r="K47" s="14"/>
      <c r="L47" s="15"/>
      <c r="M47" s="16"/>
      <c r="N47" s="16"/>
      <c r="O47" s="16"/>
      <c r="P47" s="16"/>
      <c r="Q47" s="16"/>
      <c r="R47" s="16">
        <f t="shared" si="0"/>
        <v>0</v>
      </c>
      <c r="S47" s="16"/>
      <c r="T47" s="17">
        <f t="shared" si="1"/>
        <v>13790</v>
      </c>
      <c r="U47" s="16"/>
      <c r="V47" s="16" t="s">
        <v>925</v>
      </c>
    </row>
    <row r="48" spans="1:22" hidden="1" x14ac:dyDescent="0.35">
      <c r="A48" s="8" t="s">
        <v>13</v>
      </c>
      <c r="B48" s="60" t="s">
        <v>938</v>
      </c>
      <c r="C48" s="9" t="s">
        <v>111</v>
      </c>
      <c r="D48" s="10" t="s">
        <v>112</v>
      </c>
      <c r="E48" s="10" t="s">
        <v>25</v>
      </c>
      <c r="F48" s="10" t="s">
        <v>26</v>
      </c>
      <c r="G48" s="10" t="s">
        <v>120</v>
      </c>
      <c r="H48" s="11">
        <v>21378</v>
      </c>
      <c r="I48" s="18">
        <v>8751.35</v>
      </c>
      <c r="J48" s="19">
        <v>12035</v>
      </c>
      <c r="K48" s="14"/>
      <c r="L48" s="15"/>
      <c r="M48" s="16"/>
      <c r="N48" s="16"/>
      <c r="O48" s="16"/>
      <c r="P48" s="16"/>
      <c r="Q48" s="16"/>
      <c r="R48" s="16">
        <f t="shared" si="0"/>
        <v>0</v>
      </c>
      <c r="S48" s="16"/>
      <c r="T48" s="17">
        <f t="shared" si="1"/>
        <v>591.64999999999964</v>
      </c>
      <c r="U48" s="16"/>
      <c r="V48" s="16" t="s">
        <v>925</v>
      </c>
    </row>
    <row r="49" spans="1:22" hidden="1" x14ac:dyDescent="0.35">
      <c r="A49" s="8" t="s">
        <v>13</v>
      </c>
      <c r="B49" s="60" t="s">
        <v>938</v>
      </c>
      <c r="C49" s="9" t="s">
        <v>111</v>
      </c>
      <c r="D49" s="10" t="s">
        <v>112</v>
      </c>
      <c r="E49" s="10" t="s">
        <v>28</v>
      </c>
      <c r="F49" s="10" t="s">
        <v>29</v>
      </c>
      <c r="G49" s="10" t="s">
        <v>121</v>
      </c>
      <c r="H49" s="11">
        <v>551900</v>
      </c>
      <c r="I49" s="18">
        <v>7269.52</v>
      </c>
      <c r="J49" s="13"/>
      <c r="K49" s="14"/>
      <c r="L49" s="15"/>
      <c r="M49" s="16"/>
      <c r="N49" s="16"/>
      <c r="O49" s="16"/>
      <c r="P49" s="16"/>
      <c r="Q49" s="16"/>
      <c r="R49" s="16">
        <f t="shared" si="0"/>
        <v>0</v>
      </c>
      <c r="S49" s="16"/>
      <c r="T49" s="17">
        <f t="shared" si="1"/>
        <v>544630.48</v>
      </c>
      <c r="U49" s="16"/>
      <c r="V49" s="16" t="s">
        <v>925</v>
      </c>
    </row>
    <row r="50" spans="1:22" hidden="1" x14ac:dyDescent="0.35">
      <c r="A50" s="8" t="s">
        <v>13</v>
      </c>
      <c r="B50" s="60" t="s">
        <v>938</v>
      </c>
      <c r="C50" s="9" t="s">
        <v>111</v>
      </c>
      <c r="D50" s="10" t="s">
        <v>112</v>
      </c>
      <c r="E50" s="10" t="s">
        <v>75</v>
      </c>
      <c r="F50" s="10" t="s">
        <v>76</v>
      </c>
      <c r="G50" s="10" t="s">
        <v>122</v>
      </c>
      <c r="H50" s="11">
        <v>261820</v>
      </c>
      <c r="I50" s="18">
        <v>5503</v>
      </c>
      <c r="J50" s="19">
        <v>0</v>
      </c>
      <c r="K50" s="11">
        <v>0</v>
      </c>
      <c r="L50" s="15"/>
      <c r="M50" s="16"/>
      <c r="N50" s="16"/>
      <c r="O50" s="16"/>
      <c r="P50" s="16"/>
      <c r="Q50" s="16"/>
      <c r="R50" s="16">
        <f t="shared" si="0"/>
        <v>0</v>
      </c>
      <c r="S50" s="16"/>
      <c r="T50" s="17">
        <f t="shared" si="1"/>
        <v>256317</v>
      </c>
      <c r="U50" s="16"/>
      <c r="V50" s="16" t="s">
        <v>925</v>
      </c>
    </row>
    <row r="51" spans="1:22" hidden="1" x14ac:dyDescent="0.35">
      <c r="A51" s="8" t="s">
        <v>13</v>
      </c>
      <c r="B51" s="60" t="s">
        <v>938</v>
      </c>
      <c r="C51" s="9" t="s">
        <v>111</v>
      </c>
      <c r="D51" s="10" t="s">
        <v>112</v>
      </c>
      <c r="E51" s="10" t="s">
        <v>75</v>
      </c>
      <c r="F51" s="10" t="s">
        <v>76</v>
      </c>
      <c r="G51" s="10" t="s">
        <v>123</v>
      </c>
      <c r="H51" s="11">
        <v>2000000</v>
      </c>
      <c r="I51" s="18">
        <v>25200</v>
      </c>
      <c r="J51" s="13"/>
      <c r="K51" s="14"/>
      <c r="L51" s="15"/>
      <c r="M51" s="16"/>
      <c r="N51" s="16"/>
      <c r="O51" s="16"/>
      <c r="P51" s="16"/>
      <c r="Q51" s="16"/>
      <c r="R51" s="16">
        <f t="shared" si="0"/>
        <v>0</v>
      </c>
      <c r="S51" s="16"/>
      <c r="T51" s="17">
        <f t="shared" si="1"/>
        <v>1974800</v>
      </c>
      <c r="U51" s="16"/>
      <c r="V51" s="16" t="s">
        <v>925</v>
      </c>
    </row>
    <row r="52" spans="1:22" ht="31.5" hidden="1" x14ac:dyDescent="0.35">
      <c r="A52" s="8" t="s">
        <v>13</v>
      </c>
      <c r="B52" s="60" t="s">
        <v>938</v>
      </c>
      <c r="C52" s="9" t="s">
        <v>111</v>
      </c>
      <c r="D52" s="10" t="s">
        <v>112</v>
      </c>
      <c r="E52" s="10" t="s">
        <v>124</v>
      </c>
      <c r="F52" s="10" t="s">
        <v>125</v>
      </c>
      <c r="G52" s="10" t="s">
        <v>126</v>
      </c>
      <c r="H52" s="11">
        <v>4648</v>
      </c>
      <c r="I52" s="12"/>
      <c r="J52" s="13"/>
      <c r="K52" s="14"/>
      <c r="L52" s="15"/>
      <c r="M52" s="16"/>
      <c r="N52" s="16"/>
      <c r="O52" s="16"/>
      <c r="P52" s="16"/>
      <c r="Q52" s="16"/>
      <c r="R52" s="16">
        <f t="shared" si="0"/>
        <v>0</v>
      </c>
      <c r="S52" s="16"/>
      <c r="T52" s="17">
        <f t="shared" si="1"/>
        <v>4648</v>
      </c>
      <c r="U52" s="16"/>
      <c r="V52" s="16" t="s">
        <v>925</v>
      </c>
    </row>
    <row r="53" spans="1:22" hidden="1" x14ac:dyDescent="0.35">
      <c r="A53" s="8" t="s">
        <v>13</v>
      </c>
      <c r="B53" s="60" t="s">
        <v>938</v>
      </c>
      <c r="C53" s="9" t="s">
        <v>111</v>
      </c>
      <c r="D53" s="10" t="s">
        <v>112</v>
      </c>
      <c r="E53" s="10" t="s">
        <v>127</v>
      </c>
      <c r="F53" s="10" t="s">
        <v>128</v>
      </c>
      <c r="G53" s="10" t="s">
        <v>129</v>
      </c>
      <c r="H53" s="11">
        <v>3000000</v>
      </c>
      <c r="I53" s="18">
        <v>158920.24</v>
      </c>
      <c r="J53" s="13"/>
      <c r="K53" s="14"/>
      <c r="L53" s="15"/>
      <c r="M53" s="16"/>
      <c r="N53" s="16"/>
      <c r="O53" s="16"/>
      <c r="P53" s="16"/>
      <c r="Q53" s="16"/>
      <c r="R53" s="16">
        <f t="shared" si="0"/>
        <v>0</v>
      </c>
      <c r="S53" s="16"/>
      <c r="T53" s="17">
        <f t="shared" si="1"/>
        <v>2841079.76</v>
      </c>
      <c r="U53" s="16"/>
      <c r="V53" s="16" t="s">
        <v>925</v>
      </c>
    </row>
    <row r="54" spans="1:22" hidden="1" x14ac:dyDescent="0.35">
      <c r="A54" s="8" t="s">
        <v>13</v>
      </c>
      <c r="B54" s="60" t="s">
        <v>938</v>
      </c>
      <c r="C54" s="9" t="s">
        <v>111</v>
      </c>
      <c r="D54" s="10" t="s">
        <v>112</v>
      </c>
      <c r="E54" s="10" t="s">
        <v>130</v>
      </c>
      <c r="F54" s="10" t="s">
        <v>131</v>
      </c>
      <c r="G54" s="10" t="s">
        <v>132</v>
      </c>
      <c r="H54" s="11">
        <v>300000</v>
      </c>
      <c r="I54" s="18">
        <v>19660</v>
      </c>
      <c r="J54" s="19">
        <v>9747</v>
      </c>
      <c r="K54" s="11">
        <v>70051</v>
      </c>
      <c r="L54" s="15"/>
      <c r="M54" s="16"/>
      <c r="N54" s="16"/>
      <c r="O54" s="16"/>
      <c r="P54" s="16"/>
      <c r="Q54" s="16"/>
      <c r="R54" s="16">
        <f t="shared" si="0"/>
        <v>0</v>
      </c>
      <c r="S54" s="16"/>
      <c r="T54" s="17">
        <f t="shared" si="1"/>
        <v>200542</v>
      </c>
      <c r="U54" s="16"/>
      <c r="V54" s="16" t="s">
        <v>925</v>
      </c>
    </row>
    <row r="55" spans="1:22" ht="52" hidden="1" x14ac:dyDescent="0.35">
      <c r="A55" s="8" t="s">
        <v>13</v>
      </c>
      <c r="B55" s="60" t="s">
        <v>930</v>
      </c>
      <c r="C55" s="9" t="s">
        <v>133</v>
      </c>
      <c r="D55" s="10" t="s">
        <v>134</v>
      </c>
      <c r="E55" s="10" t="s">
        <v>16</v>
      </c>
      <c r="F55" s="10" t="s">
        <v>17</v>
      </c>
      <c r="G55" s="10" t="s">
        <v>135</v>
      </c>
      <c r="H55" s="11">
        <v>193666</v>
      </c>
      <c r="I55" s="18">
        <v>178893.98</v>
      </c>
      <c r="J55" s="13"/>
      <c r="K55" s="14"/>
      <c r="L55" s="27">
        <v>52704</v>
      </c>
      <c r="M55" s="28">
        <v>52704</v>
      </c>
      <c r="N55" s="28">
        <v>0</v>
      </c>
      <c r="O55" s="28">
        <v>0</v>
      </c>
      <c r="P55" s="28">
        <v>0</v>
      </c>
      <c r="Q55" s="28">
        <v>255000</v>
      </c>
      <c r="R55" s="16">
        <f t="shared" si="0"/>
        <v>360408</v>
      </c>
      <c r="S55" s="29" t="s">
        <v>778</v>
      </c>
      <c r="T55" s="17">
        <f t="shared" si="1"/>
        <v>-345635.98</v>
      </c>
      <c r="U55" s="29" t="s">
        <v>779</v>
      </c>
      <c r="V55" s="16" t="s">
        <v>926</v>
      </c>
    </row>
    <row r="56" spans="1:22" ht="26" hidden="1" x14ac:dyDescent="0.35">
      <c r="A56" s="8" t="s">
        <v>13</v>
      </c>
      <c r="B56" s="60" t="s">
        <v>930</v>
      </c>
      <c r="C56" s="9" t="s">
        <v>133</v>
      </c>
      <c r="D56" s="10" t="s">
        <v>134</v>
      </c>
      <c r="E56" s="10" t="s">
        <v>19</v>
      </c>
      <c r="F56" s="10" t="s">
        <v>20</v>
      </c>
      <c r="G56" s="10" t="s">
        <v>136</v>
      </c>
      <c r="H56" s="11">
        <v>9463</v>
      </c>
      <c r="I56" s="18">
        <v>4980</v>
      </c>
      <c r="J56" s="13"/>
      <c r="K56" s="14"/>
      <c r="L56" s="27">
        <v>0</v>
      </c>
      <c r="M56" s="27">
        <v>897</v>
      </c>
      <c r="N56" s="27">
        <v>897</v>
      </c>
      <c r="O56" s="27">
        <v>897</v>
      </c>
      <c r="P56" s="27">
        <v>897</v>
      </c>
      <c r="Q56" s="27">
        <v>897</v>
      </c>
      <c r="R56" s="16">
        <f t="shared" si="0"/>
        <v>4485</v>
      </c>
      <c r="S56" s="29" t="s">
        <v>781</v>
      </c>
      <c r="T56" s="17">
        <f t="shared" si="1"/>
        <v>-2</v>
      </c>
      <c r="U56" s="29" t="s">
        <v>780</v>
      </c>
      <c r="V56" s="16" t="s">
        <v>926</v>
      </c>
    </row>
    <row r="57" spans="1:22" ht="26" hidden="1" x14ac:dyDescent="0.35">
      <c r="A57" s="8" t="s">
        <v>13</v>
      </c>
      <c r="B57" s="60" t="s">
        <v>930</v>
      </c>
      <c r="C57" s="9" t="s">
        <v>133</v>
      </c>
      <c r="D57" s="10" t="s">
        <v>134</v>
      </c>
      <c r="E57" s="10" t="s">
        <v>22</v>
      </c>
      <c r="F57" s="10" t="s">
        <v>23</v>
      </c>
      <c r="G57" s="10" t="s">
        <v>137</v>
      </c>
      <c r="H57" s="11">
        <v>333200</v>
      </c>
      <c r="I57" s="18">
        <v>293587.63</v>
      </c>
      <c r="J57" s="13"/>
      <c r="K57" s="14"/>
      <c r="L57" s="27">
        <v>0</v>
      </c>
      <c r="M57" s="27">
        <v>7922</v>
      </c>
      <c r="N57" s="27">
        <v>7922</v>
      </c>
      <c r="O57" s="27">
        <v>7922</v>
      </c>
      <c r="P57" s="27">
        <v>7922</v>
      </c>
      <c r="Q57" s="27">
        <v>7922</v>
      </c>
      <c r="R57" s="16">
        <f t="shared" si="0"/>
        <v>39610</v>
      </c>
      <c r="S57" s="29" t="s">
        <v>781</v>
      </c>
      <c r="T57" s="17">
        <f t="shared" si="1"/>
        <v>2.3699999999953434</v>
      </c>
      <c r="U57" s="29" t="s">
        <v>780</v>
      </c>
      <c r="V57" s="16" t="s">
        <v>926</v>
      </c>
    </row>
    <row r="58" spans="1:22" ht="39" hidden="1" x14ac:dyDescent="0.35">
      <c r="A58" s="8" t="s">
        <v>13</v>
      </c>
      <c r="B58" s="60" t="s">
        <v>930</v>
      </c>
      <c r="C58" s="9" t="s">
        <v>133</v>
      </c>
      <c r="D58" s="10" t="s">
        <v>134</v>
      </c>
      <c r="E58" s="10" t="s">
        <v>138</v>
      </c>
      <c r="F58" s="10" t="s">
        <v>139</v>
      </c>
      <c r="G58" s="10" t="s">
        <v>140</v>
      </c>
      <c r="H58" s="11">
        <v>3412600</v>
      </c>
      <c r="I58" s="18">
        <v>3172976.15</v>
      </c>
      <c r="J58" s="13"/>
      <c r="K58" s="14"/>
      <c r="L58" s="27">
        <v>0</v>
      </c>
      <c r="M58" s="27">
        <v>0</v>
      </c>
      <c r="N58" s="27">
        <v>59906</v>
      </c>
      <c r="O58" s="27">
        <v>59906</v>
      </c>
      <c r="P58" s="27">
        <v>59906</v>
      </c>
      <c r="Q58" s="27">
        <v>59906</v>
      </c>
      <c r="R58" s="16">
        <f t="shared" si="0"/>
        <v>239624</v>
      </c>
      <c r="S58" s="29" t="s">
        <v>782</v>
      </c>
      <c r="T58" s="17">
        <f t="shared" si="1"/>
        <v>-0.14999999990686774</v>
      </c>
      <c r="U58" s="16"/>
      <c r="V58" s="16" t="s">
        <v>926</v>
      </c>
    </row>
    <row r="59" spans="1:22" ht="65" hidden="1" x14ac:dyDescent="0.35">
      <c r="A59" s="8" t="s">
        <v>13</v>
      </c>
      <c r="B59" s="60" t="s">
        <v>930</v>
      </c>
      <c r="C59" s="9" t="s">
        <v>133</v>
      </c>
      <c r="D59" s="10" t="s">
        <v>134</v>
      </c>
      <c r="E59" s="10" t="s">
        <v>141</v>
      </c>
      <c r="F59" s="10" t="s">
        <v>142</v>
      </c>
      <c r="G59" s="10" t="s">
        <v>143</v>
      </c>
      <c r="H59" s="11">
        <v>1306598</v>
      </c>
      <c r="I59" s="18">
        <v>1266670.72</v>
      </c>
      <c r="J59" s="13"/>
      <c r="K59" s="14"/>
      <c r="L59" s="27">
        <v>0</v>
      </c>
      <c r="M59" s="28">
        <v>150000</v>
      </c>
      <c r="N59" s="28">
        <v>114000</v>
      </c>
      <c r="O59" s="28">
        <v>0</v>
      </c>
      <c r="P59" s="28">
        <v>555000</v>
      </c>
      <c r="Q59" s="28">
        <v>0</v>
      </c>
      <c r="R59" s="16">
        <f t="shared" si="0"/>
        <v>819000</v>
      </c>
      <c r="S59" s="29" t="s">
        <v>783</v>
      </c>
      <c r="T59" s="17">
        <f t="shared" si="1"/>
        <v>-779072.72</v>
      </c>
      <c r="U59" s="29" t="s">
        <v>779</v>
      </c>
      <c r="V59" s="16" t="s">
        <v>926</v>
      </c>
    </row>
    <row r="60" spans="1:22" ht="39" hidden="1" x14ac:dyDescent="0.35">
      <c r="A60" s="8" t="s">
        <v>13</v>
      </c>
      <c r="B60" s="60" t="s">
        <v>930</v>
      </c>
      <c r="C60" s="9" t="s">
        <v>133</v>
      </c>
      <c r="D60" s="10" t="s">
        <v>134</v>
      </c>
      <c r="E60" s="10" t="s">
        <v>107</v>
      </c>
      <c r="F60" s="10" t="s">
        <v>108</v>
      </c>
      <c r="G60" s="10" t="s">
        <v>144</v>
      </c>
      <c r="H60" s="11">
        <v>159456650</v>
      </c>
      <c r="I60" s="18">
        <v>69743393.230000004</v>
      </c>
      <c r="J60" s="13"/>
      <c r="K60" s="14"/>
      <c r="L60" s="27">
        <v>11000000</v>
      </c>
      <c r="M60" s="28">
        <v>11050000</v>
      </c>
      <c r="N60" s="28">
        <v>14500000</v>
      </c>
      <c r="O60" s="28">
        <v>14500000</v>
      </c>
      <c r="P60" s="28">
        <v>14500000</v>
      </c>
      <c r="Q60" s="28">
        <v>14500000</v>
      </c>
      <c r="R60" s="16">
        <f t="shared" si="0"/>
        <v>80050000</v>
      </c>
      <c r="S60" s="29" t="s">
        <v>784</v>
      </c>
      <c r="T60" s="17">
        <f t="shared" si="1"/>
        <v>9663256.7699999958</v>
      </c>
      <c r="U60" s="29" t="s">
        <v>787</v>
      </c>
      <c r="V60" s="16" t="s">
        <v>926</v>
      </c>
    </row>
    <row r="61" spans="1:22" ht="26" hidden="1" x14ac:dyDescent="0.35">
      <c r="A61" s="8" t="s">
        <v>13</v>
      </c>
      <c r="B61" s="60" t="s">
        <v>930</v>
      </c>
      <c r="C61" s="9" t="s">
        <v>133</v>
      </c>
      <c r="D61" s="10" t="s">
        <v>134</v>
      </c>
      <c r="E61" s="10" t="s">
        <v>145</v>
      </c>
      <c r="F61" s="10" t="s">
        <v>146</v>
      </c>
      <c r="G61" s="10" t="s">
        <v>147</v>
      </c>
      <c r="H61" s="11">
        <v>197200</v>
      </c>
      <c r="I61" s="18">
        <v>191965.04</v>
      </c>
      <c r="J61" s="13"/>
      <c r="K61" s="14"/>
      <c r="L61" s="27">
        <v>0</v>
      </c>
      <c r="M61" s="27">
        <v>1047</v>
      </c>
      <c r="N61" s="27">
        <v>1047</v>
      </c>
      <c r="O61" s="27">
        <v>1047</v>
      </c>
      <c r="P61" s="27">
        <v>1047</v>
      </c>
      <c r="Q61" s="27">
        <v>1047</v>
      </c>
      <c r="R61" s="16">
        <f t="shared" si="0"/>
        <v>5235</v>
      </c>
      <c r="S61" s="29" t="s">
        <v>785</v>
      </c>
      <c r="T61" s="17">
        <f t="shared" si="1"/>
        <v>-4.0000000008149073E-2</v>
      </c>
      <c r="U61" s="29" t="s">
        <v>780</v>
      </c>
      <c r="V61" s="16" t="s">
        <v>926</v>
      </c>
    </row>
    <row r="62" spans="1:22" ht="52" hidden="1" x14ac:dyDescent="0.35">
      <c r="A62" s="8" t="s">
        <v>13</v>
      </c>
      <c r="B62" s="60" t="s">
        <v>930</v>
      </c>
      <c r="C62" s="9" t="s">
        <v>133</v>
      </c>
      <c r="D62" s="10" t="s">
        <v>134</v>
      </c>
      <c r="E62" s="10" t="s">
        <v>25</v>
      </c>
      <c r="F62" s="10" t="s">
        <v>26</v>
      </c>
      <c r="G62" s="10" t="s">
        <v>148</v>
      </c>
      <c r="H62" s="11">
        <v>20000</v>
      </c>
      <c r="I62" s="18">
        <v>2107.25</v>
      </c>
      <c r="J62" s="13"/>
      <c r="K62" s="14"/>
      <c r="L62" s="27">
        <v>0</v>
      </c>
      <c r="M62" s="28">
        <v>0</v>
      </c>
      <c r="N62" s="28">
        <v>0</v>
      </c>
      <c r="O62" s="28">
        <v>0</v>
      </c>
      <c r="P62" s="28">
        <v>17107</v>
      </c>
      <c r="Q62" s="28">
        <v>786</v>
      </c>
      <c r="R62" s="16">
        <f t="shared" si="0"/>
        <v>17893</v>
      </c>
      <c r="S62" s="29" t="s">
        <v>786</v>
      </c>
      <c r="T62" s="17">
        <f t="shared" si="1"/>
        <v>-0.25</v>
      </c>
      <c r="U62" s="16"/>
      <c r="V62" s="16" t="s">
        <v>926</v>
      </c>
    </row>
    <row r="63" spans="1:22" hidden="1" x14ac:dyDescent="0.35">
      <c r="A63" s="8" t="s">
        <v>13</v>
      </c>
      <c r="B63" s="60" t="s">
        <v>940</v>
      </c>
      <c r="C63" s="9" t="s">
        <v>149</v>
      </c>
      <c r="D63" s="10" t="s">
        <v>150</v>
      </c>
      <c r="E63" s="10" t="s">
        <v>16</v>
      </c>
      <c r="F63" s="10" t="s">
        <v>17</v>
      </c>
      <c r="G63" s="10" t="s">
        <v>151</v>
      </c>
      <c r="H63" s="14"/>
      <c r="I63" s="18">
        <v>0</v>
      </c>
      <c r="J63" s="13"/>
      <c r="K63" s="14"/>
      <c r="L63" s="15"/>
      <c r="M63" s="16"/>
      <c r="N63" s="16"/>
      <c r="O63" s="16"/>
      <c r="P63" s="16"/>
      <c r="Q63" s="16"/>
      <c r="R63" s="16">
        <f t="shared" si="0"/>
        <v>0</v>
      </c>
      <c r="S63" s="16"/>
      <c r="T63" s="17">
        <f t="shared" si="1"/>
        <v>0</v>
      </c>
      <c r="U63" s="16"/>
      <c r="V63" s="16" t="s">
        <v>925</v>
      </c>
    </row>
    <row r="64" spans="1:22" ht="21" hidden="1" x14ac:dyDescent="0.35">
      <c r="A64" s="8" t="s">
        <v>13</v>
      </c>
      <c r="B64" s="60" t="s">
        <v>940</v>
      </c>
      <c r="C64" s="9" t="s">
        <v>149</v>
      </c>
      <c r="D64" s="10" t="s">
        <v>150</v>
      </c>
      <c r="E64" s="10" t="s">
        <v>19</v>
      </c>
      <c r="F64" s="10" t="s">
        <v>20</v>
      </c>
      <c r="G64" s="10" t="s">
        <v>152</v>
      </c>
      <c r="H64" s="11">
        <v>9100</v>
      </c>
      <c r="I64" s="18">
        <v>8807.6</v>
      </c>
      <c r="J64" s="13"/>
      <c r="K64" s="14"/>
      <c r="L64" s="15"/>
      <c r="M64" s="16"/>
      <c r="N64" s="16"/>
      <c r="O64" s="16"/>
      <c r="P64" s="16"/>
      <c r="Q64" s="16"/>
      <c r="R64" s="16">
        <f t="shared" si="0"/>
        <v>0</v>
      </c>
      <c r="S64" s="16"/>
      <c r="T64" s="17">
        <f t="shared" si="1"/>
        <v>292.39999999999964</v>
      </c>
      <c r="U64" s="16"/>
      <c r="V64" s="16" t="s">
        <v>925</v>
      </c>
    </row>
    <row r="65" spans="1:22" hidden="1" x14ac:dyDescent="0.35">
      <c r="A65" s="8" t="s">
        <v>13</v>
      </c>
      <c r="B65" s="60" t="s">
        <v>940</v>
      </c>
      <c r="C65" s="9" t="s">
        <v>149</v>
      </c>
      <c r="D65" s="10" t="s">
        <v>150</v>
      </c>
      <c r="E65" s="10" t="s">
        <v>153</v>
      </c>
      <c r="F65" s="10" t="s">
        <v>154</v>
      </c>
      <c r="G65" s="10" t="s">
        <v>155</v>
      </c>
      <c r="H65" s="11">
        <v>30000</v>
      </c>
      <c r="I65" s="12"/>
      <c r="J65" s="13"/>
      <c r="K65" s="14"/>
      <c r="L65" s="15"/>
      <c r="M65" s="16"/>
      <c r="N65" s="16"/>
      <c r="O65" s="16"/>
      <c r="P65" s="16"/>
      <c r="Q65" s="16"/>
      <c r="R65" s="16">
        <f t="shared" si="0"/>
        <v>0</v>
      </c>
      <c r="S65" s="16"/>
      <c r="T65" s="17">
        <f t="shared" si="1"/>
        <v>30000</v>
      </c>
      <c r="U65" s="16"/>
      <c r="V65" s="16" t="s">
        <v>925</v>
      </c>
    </row>
    <row r="66" spans="1:22" hidden="1" x14ac:dyDescent="0.35">
      <c r="A66" s="8" t="s">
        <v>13</v>
      </c>
      <c r="B66" s="60" t="s">
        <v>940</v>
      </c>
      <c r="C66" s="9" t="s">
        <v>149</v>
      </c>
      <c r="D66" s="10" t="s">
        <v>150</v>
      </c>
      <c r="E66" s="10" t="s">
        <v>66</v>
      </c>
      <c r="F66" s="10" t="s">
        <v>67</v>
      </c>
      <c r="G66" s="10" t="s">
        <v>156</v>
      </c>
      <c r="H66" s="11">
        <v>190000</v>
      </c>
      <c r="I66" s="18">
        <v>80000</v>
      </c>
      <c r="J66" s="13"/>
      <c r="K66" s="14"/>
      <c r="L66" s="15"/>
      <c r="M66" s="16"/>
      <c r="N66" s="16"/>
      <c r="O66" s="16"/>
      <c r="P66" s="16"/>
      <c r="Q66" s="16"/>
      <c r="R66" s="16">
        <f t="shared" si="0"/>
        <v>0</v>
      </c>
      <c r="S66" s="16"/>
      <c r="T66" s="17">
        <f t="shared" si="1"/>
        <v>110000</v>
      </c>
      <c r="U66" s="16"/>
      <c r="V66" s="16" t="s">
        <v>925</v>
      </c>
    </row>
    <row r="67" spans="1:22" hidden="1" x14ac:dyDescent="0.35">
      <c r="A67" s="8" t="s">
        <v>13</v>
      </c>
      <c r="B67" s="60" t="s">
        <v>940</v>
      </c>
      <c r="C67" s="9" t="s">
        <v>149</v>
      </c>
      <c r="D67" s="10" t="s">
        <v>150</v>
      </c>
      <c r="E67" s="10" t="s">
        <v>157</v>
      </c>
      <c r="F67" s="10" t="s">
        <v>158</v>
      </c>
      <c r="G67" s="10" t="s">
        <v>159</v>
      </c>
      <c r="H67" s="11">
        <v>144895</v>
      </c>
      <c r="I67" s="12"/>
      <c r="J67" s="13"/>
      <c r="K67" s="14"/>
      <c r="L67" s="15"/>
      <c r="M67" s="16"/>
      <c r="N67" s="16"/>
      <c r="O67" s="16"/>
      <c r="P67" s="16"/>
      <c r="Q67" s="16"/>
      <c r="R67" s="16">
        <f t="shared" si="0"/>
        <v>0</v>
      </c>
      <c r="S67" s="16"/>
      <c r="T67" s="17">
        <f t="shared" si="1"/>
        <v>144895</v>
      </c>
      <c r="U67" s="16"/>
      <c r="V67" s="16" t="s">
        <v>925</v>
      </c>
    </row>
    <row r="68" spans="1:22" hidden="1" x14ac:dyDescent="0.35">
      <c r="A68" s="8" t="s">
        <v>13</v>
      </c>
      <c r="B68" s="60" t="s">
        <v>940</v>
      </c>
      <c r="C68" s="9" t="s">
        <v>149</v>
      </c>
      <c r="D68" s="10" t="s">
        <v>150</v>
      </c>
      <c r="E68" s="10" t="s">
        <v>25</v>
      </c>
      <c r="F68" s="10" t="s">
        <v>26</v>
      </c>
      <c r="G68" s="10" t="s">
        <v>160</v>
      </c>
      <c r="H68" s="11">
        <v>20000</v>
      </c>
      <c r="I68" s="18">
        <v>19976.25</v>
      </c>
      <c r="J68" s="13"/>
      <c r="K68" s="14"/>
      <c r="L68" s="15"/>
      <c r="M68" s="16"/>
      <c r="N68" s="16"/>
      <c r="O68" s="16"/>
      <c r="P68" s="16"/>
      <c r="Q68" s="16"/>
      <c r="R68" s="16">
        <f t="shared" si="0"/>
        <v>0</v>
      </c>
      <c r="S68" s="16"/>
      <c r="T68" s="17">
        <f t="shared" si="1"/>
        <v>23.75</v>
      </c>
      <c r="U68" s="16"/>
      <c r="V68" s="16" t="s">
        <v>925</v>
      </c>
    </row>
    <row r="69" spans="1:22" ht="21" hidden="1" x14ac:dyDescent="0.35">
      <c r="A69" s="8" t="s">
        <v>13</v>
      </c>
      <c r="B69" s="60" t="s">
        <v>940</v>
      </c>
      <c r="C69" s="9" t="s">
        <v>149</v>
      </c>
      <c r="D69" s="10" t="s">
        <v>150</v>
      </c>
      <c r="E69" s="10" t="s">
        <v>47</v>
      </c>
      <c r="F69" s="10" t="s">
        <v>48</v>
      </c>
      <c r="G69" s="10" t="s">
        <v>161</v>
      </c>
      <c r="H69" s="11">
        <v>46943</v>
      </c>
      <c r="I69" s="18">
        <v>18769.03</v>
      </c>
      <c r="J69" s="19">
        <v>0</v>
      </c>
      <c r="K69" s="11">
        <v>4500</v>
      </c>
      <c r="L69" s="15"/>
      <c r="M69" s="16"/>
      <c r="N69" s="16"/>
      <c r="O69" s="16"/>
      <c r="P69" s="16"/>
      <c r="Q69" s="16"/>
      <c r="R69" s="16">
        <f t="shared" ref="R69:R132" si="2">Q69+P69+O69+N69+M69+L69</f>
        <v>0</v>
      </c>
      <c r="S69" s="16"/>
      <c r="T69" s="17">
        <f t="shared" ref="T69:T132" si="3">H69-I69-J69-K69-L69-M69-N69-O69-P69-Q69</f>
        <v>23673.97</v>
      </c>
      <c r="U69" s="16"/>
      <c r="V69" s="16" t="s">
        <v>925</v>
      </c>
    </row>
    <row r="70" spans="1:22" hidden="1" x14ac:dyDescent="0.35">
      <c r="A70" s="8" t="s">
        <v>13</v>
      </c>
      <c r="B70" s="60" t="s">
        <v>940</v>
      </c>
      <c r="C70" s="9" t="s">
        <v>149</v>
      </c>
      <c r="D70" s="10" t="s">
        <v>150</v>
      </c>
      <c r="E70" s="10" t="s">
        <v>28</v>
      </c>
      <c r="F70" s="10" t="s">
        <v>29</v>
      </c>
      <c r="G70" s="10" t="s">
        <v>162</v>
      </c>
      <c r="H70" s="11">
        <v>100000</v>
      </c>
      <c r="I70" s="12"/>
      <c r="J70" s="13"/>
      <c r="K70" s="14"/>
      <c r="L70" s="15"/>
      <c r="M70" s="16"/>
      <c r="N70" s="16"/>
      <c r="O70" s="16"/>
      <c r="P70" s="16"/>
      <c r="Q70" s="16"/>
      <c r="R70" s="16">
        <f t="shared" si="2"/>
        <v>0</v>
      </c>
      <c r="S70" s="16"/>
      <c r="T70" s="17">
        <f t="shared" si="3"/>
        <v>100000</v>
      </c>
      <c r="U70" s="16"/>
      <c r="V70" s="16" t="s">
        <v>925</v>
      </c>
    </row>
    <row r="71" spans="1:22" hidden="1" x14ac:dyDescent="0.35">
      <c r="A71" s="8" t="s">
        <v>13</v>
      </c>
      <c r="B71" s="60" t="s">
        <v>940</v>
      </c>
      <c r="C71" s="9" t="s">
        <v>149</v>
      </c>
      <c r="D71" s="10" t="s">
        <v>150</v>
      </c>
      <c r="E71" s="10" t="s">
        <v>163</v>
      </c>
      <c r="F71" s="10" t="s">
        <v>164</v>
      </c>
      <c r="G71" s="10" t="s">
        <v>165</v>
      </c>
      <c r="H71" s="11">
        <v>43796</v>
      </c>
      <c r="I71" s="12"/>
      <c r="J71" s="19">
        <v>0</v>
      </c>
      <c r="K71" s="11">
        <v>3550</v>
      </c>
      <c r="L71" s="15"/>
      <c r="M71" s="16"/>
      <c r="N71" s="16"/>
      <c r="O71" s="16"/>
      <c r="P71" s="16"/>
      <c r="Q71" s="16"/>
      <c r="R71" s="16">
        <f t="shared" si="2"/>
        <v>0</v>
      </c>
      <c r="S71" s="16"/>
      <c r="T71" s="17">
        <f t="shared" si="3"/>
        <v>40246</v>
      </c>
      <c r="U71" s="16"/>
      <c r="V71" s="16" t="s">
        <v>925</v>
      </c>
    </row>
    <row r="72" spans="1:22" hidden="1" x14ac:dyDescent="0.35">
      <c r="A72" s="8" t="s">
        <v>13</v>
      </c>
      <c r="B72" s="60" t="s">
        <v>940</v>
      </c>
      <c r="C72" s="9" t="s">
        <v>149</v>
      </c>
      <c r="D72" s="10" t="s">
        <v>150</v>
      </c>
      <c r="E72" s="10" t="s">
        <v>127</v>
      </c>
      <c r="F72" s="10" t="s">
        <v>128</v>
      </c>
      <c r="G72" s="10" t="s">
        <v>166</v>
      </c>
      <c r="H72" s="11">
        <v>83040</v>
      </c>
      <c r="I72" s="18">
        <v>18144.62</v>
      </c>
      <c r="J72" s="13"/>
      <c r="K72" s="14"/>
      <c r="L72" s="15"/>
      <c r="M72" s="16"/>
      <c r="N72" s="16"/>
      <c r="O72" s="16"/>
      <c r="P72" s="16"/>
      <c r="Q72" s="16"/>
      <c r="R72" s="16">
        <f t="shared" si="2"/>
        <v>0</v>
      </c>
      <c r="S72" s="16"/>
      <c r="T72" s="17">
        <f t="shared" si="3"/>
        <v>64895.380000000005</v>
      </c>
      <c r="U72" s="16"/>
      <c r="V72" s="16" t="s">
        <v>925</v>
      </c>
    </row>
    <row r="73" spans="1:22" hidden="1" x14ac:dyDescent="0.35">
      <c r="A73" s="8" t="s">
        <v>13</v>
      </c>
      <c r="B73" s="60" t="s">
        <v>940</v>
      </c>
      <c r="C73" s="9" t="s">
        <v>149</v>
      </c>
      <c r="D73" s="10" t="s">
        <v>150</v>
      </c>
      <c r="E73" s="10" t="s">
        <v>130</v>
      </c>
      <c r="F73" s="10" t="s">
        <v>131</v>
      </c>
      <c r="G73" s="10" t="s">
        <v>167</v>
      </c>
      <c r="H73" s="11">
        <v>19087</v>
      </c>
      <c r="I73" s="18">
        <v>12250</v>
      </c>
      <c r="J73" s="19">
        <v>0</v>
      </c>
      <c r="K73" s="11">
        <v>0</v>
      </c>
      <c r="L73" s="15"/>
      <c r="M73" s="16"/>
      <c r="N73" s="16"/>
      <c r="O73" s="16"/>
      <c r="P73" s="16"/>
      <c r="Q73" s="16"/>
      <c r="R73" s="16">
        <f t="shared" si="2"/>
        <v>0</v>
      </c>
      <c r="S73" s="16"/>
      <c r="T73" s="17">
        <f t="shared" si="3"/>
        <v>6837</v>
      </c>
      <c r="U73" s="16"/>
      <c r="V73" s="16" t="s">
        <v>925</v>
      </c>
    </row>
    <row r="74" spans="1:22" hidden="1" x14ac:dyDescent="0.35">
      <c r="A74" s="8" t="s">
        <v>13</v>
      </c>
      <c r="B74" s="60" t="s">
        <v>940</v>
      </c>
      <c r="C74" s="9" t="s">
        <v>168</v>
      </c>
      <c r="D74" s="10" t="s">
        <v>169</v>
      </c>
      <c r="E74" s="10" t="s">
        <v>16</v>
      </c>
      <c r="F74" s="10" t="s">
        <v>17</v>
      </c>
      <c r="G74" s="10" t="s">
        <v>170</v>
      </c>
      <c r="H74" s="11">
        <v>1610</v>
      </c>
      <c r="I74" s="12"/>
      <c r="J74" s="13"/>
      <c r="K74" s="14"/>
      <c r="L74" s="15"/>
      <c r="M74" s="16"/>
      <c r="N74" s="16"/>
      <c r="O74" s="16"/>
      <c r="P74" s="16"/>
      <c r="Q74" s="16"/>
      <c r="R74" s="16">
        <f t="shared" si="2"/>
        <v>0</v>
      </c>
      <c r="S74" s="16"/>
      <c r="T74" s="17">
        <f t="shared" si="3"/>
        <v>1610</v>
      </c>
      <c r="U74" s="16"/>
      <c r="V74" s="16" t="s">
        <v>925</v>
      </c>
    </row>
    <row r="75" spans="1:22" ht="21" hidden="1" x14ac:dyDescent="0.35">
      <c r="A75" s="8" t="s">
        <v>13</v>
      </c>
      <c r="B75" s="60" t="s">
        <v>940</v>
      </c>
      <c r="C75" s="9" t="s">
        <v>168</v>
      </c>
      <c r="D75" s="10" t="s">
        <v>169</v>
      </c>
      <c r="E75" s="10" t="s">
        <v>19</v>
      </c>
      <c r="F75" s="10" t="s">
        <v>20</v>
      </c>
      <c r="G75" s="10" t="s">
        <v>171</v>
      </c>
      <c r="H75" s="11">
        <v>5918</v>
      </c>
      <c r="I75" s="18">
        <v>264.60000000000002</v>
      </c>
      <c r="J75" s="13"/>
      <c r="K75" s="14"/>
      <c r="L75" s="15"/>
      <c r="M75" s="16"/>
      <c r="N75" s="16"/>
      <c r="O75" s="16"/>
      <c r="P75" s="16"/>
      <c r="Q75" s="16"/>
      <c r="R75" s="16">
        <f t="shared" si="2"/>
        <v>0</v>
      </c>
      <c r="S75" s="16"/>
      <c r="T75" s="17">
        <f t="shared" si="3"/>
        <v>5653.4</v>
      </c>
      <c r="U75" s="16"/>
      <c r="V75" s="16" t="s">
        <v>925</v>
      </c>
    </row>
    <row r="76" spans="1:22" hidden="1" x14ac:dyDescent="0.35">
      <c r="A76" s="8" t="s">
        <v>13</v>
      </c>
      <c r="B76" s="60" t="s">
        <v>940</v>
      </c>
      <c r="C76" s="9" t="s">
        <v>168</v>
      </c>
      <c r="D76" s="10" t="s">
        <v>169</v>
      </c>
      <c r="E76" s="10" t="s">
        <v>153</v>
      </c>
      <c r="F76" s="10" t="s">
        <v>154</v>
      </c>
      <c r="G76" s="10" t="s">
        <v>172</v>
      </c>
      <c r="H76" s="11">
        <v>103514</v>
      </c>
      <c r="I76" s="18">
        <v>1200</v>
      </c>
      <c r="J76" s="13"/>
      <c r="K76" s="14"/>
      <c r="L76" s="15"/>
      <c r="M76" s="16"/>
      <c r="N76" s="16"/>
      <c r="O76" s="16"/>
      <c r="P76" s="16"/>
      <c r="Q76" s="16"/>
      <c r="R76" s="16">
        <f t="shared" si="2"/>
        <v>0</v>
      </c>
      <c r="S76" s="16"/>
      <c r="T76" s="17">
        <f t="shared" si="3"/>
        <v>102314</v>
      </c>
      <c r="U76" s="16"/>
      <c r="V76" s="16" t="s">
        <v>925</v>
      </c>
    </row>
    <row r="77" spans="1:22" hidden="1" x14ac:dyDescent="0.35">
      <c r="A77" s="8" t="s">
        <v>13</v>
      </c>
      <c r="B77" s="60" t="s">
        <v>940</v>
      </c>
      <c r="C77" s="9" t="s">
        <v>168</v>
      </c>
      <c r="D77" s="10" t="s">
        <v>169</v>
      </c>
      <c r="E77" s="10" t="s">
        <v>66</v>
      </c>
      <c r="F77" s="10" t="s">
        <v>67</v>
      </c>
      <c r="G77" s="10" t="s">
        <v>173</v>
      </c>
      <c r="H77" s="11">
        <v>268594</v>
      </c>
      <c r="I77" s="18">
        <v>205884.03</v>
      </c>
      <c r="J77" s="13"/>
      <c r="K77" s="14"/>
      <c r="L77" s="15"/>
      <c r="M77" s="16"/>
      <c r="N77" s="16"/>
      <c r="O77" s="16"/>
      <c r="P77" s="16"/>
      <c r="Q77" s="16"/>
      <c r="R77" s="16">
        <f t="shared" si="2"/>
        <v>0</v>
      </c>
      <c r="S77" s="16"/>
      <c r="T77" s="17">
        <f t="shared" si="3"/>
        <v>62709.97</v>
      </c>
      <c r="U77" s="16"/>
      <c r="V77" s="16" t="s">
        <v>925</v>
      </c>
    </row>
    <row r="78" spans="1:22" hidden="1" x14ac:dyDescent="0.35">
      <c r="A78" s="8" t="s">
        <v>13</v>
      </c>
      <c r="B78" s="60" t="s">
        <v>940</v>
      </c>
      <c r="C78" s="9" t="s">
        <v>168</v>
      </c>
      <c r="D78" s="10" t="s">
        <v>169</v>
      </c>
      <c r="E78" s="10" t="s">
        <v>157</v>
      </c>
      <c r="F78" s="10" t="s">
        <v>158</v>
      </c>
      <c r="G78" s="10" t="s">
        <v>174</v>
      </c>
      <c r="H78" s="11">
        <v>130689</v>
      </c>
      <c r="I78" s="18">
        <v>30145.47</v>
      </c>
      <c r="J78" s="13"/>
      <c r="K78" s="14"/>
      <c r="L78" s="15"/>
      <c r="M78" s="16"/>
      <c r="N78" s="16"/>
      <c r="O78" s="16"/>
      <c r="P78" s="16"/>
      <c r="Q78" s="16"/>
      <c r="R78" s="16">
        <f t="shared" si="2"/>
        <v>0</v>
      </c>
      <c r="S78" s="16"/>
      <c r="T78" s="17">
        <f t="shared" si="3"/>
        <v>100543.53</v>
      </c>
      <c r="U78" s="16"/>
      <c r="V78" s="16" t="s">
        <v>925</v>
      </c>
    </row>
    <row r="79" spans="1:22" hidden="1" x14ac:dyDescent="0.35">
      <c r="A79" s="8" t="s">
        <v>13</v>
      </c>
      <c r="B79" s="60" t="s">
        <v>940</v>
      </c>
      <c r="C79" s="9" t="s">
        <v>168</v>
      </c>
      <c r="D79" s="10" t="s">
        <v>169</v>
      </c>
      <c r="E79" s="10" t="s">
        <v>25</v>
      </c>
      <c r="F79" s="10" t="s">
        <v>26</v>
      </c>
      <c r="G79" s="10" t="s">
        <v>175</v>
      </c>
      <c r="H79" s="11">
        <v>1360</v>
      </c>
      <c r="I79" s="12"/>
      <c r="J79" s="13"/>
      <c r="K79" s="14"/>
      <c r="L79" s="15"/>
      <c r="M79" s="16"/>
      <c r="N79" s="16"/>
      <c r="O79" s="16"/>
      <c r="P79" s="16"/>
      <c r="Q79" s="16"/>
      <c r="R79" s="16">
        <f t="shared" si="2"/>
        <v>0</v>
      </c>
      <c r="S79" s="16"/>
      <c r="T79" s="17">
        <f t="shared" si="3"/>
        <v>1360</v>
      </c>
      <c r="U79" s="16"/>
      <c r="V79" s="16" t="s">
        <v>925</v>
      </c>
    </row>
    <row r="80" spans="1:22" ht="21" hidden="1" x14ac:dyDescent="0.35">
      <c r="A80" s="8" t="s">
        <v>13</v>
      </c>
      <c r="B80" s="60" t="s">
        <v>940</v>
      </c>
      <c r="C80" s="9" t="s">
        <v>168</v>
      </c>
      <c r="D80" s="10" t="s">
        <v>169</v>
      </c>
      <c r="E80" s="10" t="s">
        <v>47</v>
      </c>
      <c r="F80" s="10" t="s">
        <v>48</v>
      </c>
      <c r="G80" s="10" t="s">
        <v>176</v>
      </c>
      <c r="H80" s="11">
        <v>8896</v>
      </c>
      <c r="I80" s="18">
        <v>792.62</v>
      </c>
      <c r="J80" s="19">
        <v>0</v>
      </c>
      <c r="K80" s="11">
        <v>5436.04</v>
      </c>
      <c r="L80" s="15"/>
      <c r="M80" s="16"/>
      <c r="N80" s="16"/>
      <c r="O80" s="16"/>
      <c r="P80" s="16"/>
      <c r="Q80" s="16"/>
      <c r="R80" s="16">
        <f t="shared" si="2"/>
        <v>0</v>
      </c>
      <c r="S80" s="16"/>
      <c r="T80" s="17">
        <f t="shared" si="3"/>
        <v>2667.34</v>
      </c>
      <c r="U80" s="16"/>
      <c r="V80" s="16" t="s">
        <v>925</v>
      </c>
    </row>
    <row r="81" spans="1:22" hidden="1" x14ac:dyDescent="0.35">
      <c r="A81" s="8" t="s">
        <v>13</v>
      </c>
      <c r="B81" s="60" t="s">
        <v>940</v>
      </c>
      <c r="C81" s="9" t="s">
        <v>168</v>
      </c>
      <c r="D81" s="10" t="s">
        <v>169</v>
      </c>
      <c r="E81" s="10" t="s">
        <v>127</v>
      </c>
      <c r="F81" s="10" t="s">
        <v>128</v>
      </c>
      <c r="G81" s="10" t="s">
        <v>177</v>
      </c>
      <c r="H81" s="11">
        <v>78000</v>
      </c>
      <c r="I81" s="18">
        <v>11100.87</v>
      </c>
      <c r="J81" s="13"/>
      <c r="K81" s="14"/>
      <c r="L81" s="15"/>
      <c r="M81" s="16"/>
      <c r="N81" s="16"/>
      <c r="O81" s="16"/>
      <c r="P81" s="16"/>
      <c r="Q81" s="16"/>
      <c r="R81" s="16">
        <f t="shared" si="2"/>
        <v>0</v>
      </c>
      <c r="S81" s="16"/>
      <c r="T81" s="17">
        <f t="shared" si="3"/>
        <v>66899.13</v>
      </c>
      <c r="U81" s="16"/>
      <c r="V81" s="16" t="s">
        <v>925</v>
      </c>
    </row>
    <row r="82" spans="1:22" hidden="1" x14ac:dyDescent="0.35">
      <c r="A82" s="8" t="s">
        <v>13</v>
      </c>
      <c r="B82" s="60" t="s">
        <v>940</v>
      </c>
      <c r="C82" s="9" t="s">
        <v>168</v>
      </c>
      <c r="D82" s="10" t="s">
        <v>169</v>
      </c>
      <c r="E82" s="10" t="s">
        <v>130</v>
      </c>
      <c r="F82" s="10" t="s">
        <v>131</v>
      </c>
      <c r="G82" s="10" t="s">
        <v>178</v>
      </c>
      <c r="H82" s="11">
        <v>38173</v>
      </c>
      <c r="I82" s="18">
        <v>4978.3500000000004</v>
      </c>
      <c r="J82" s="19">
        <v>0</v>
      </c>
      <c r="K82" s="11">
        <v>24944</v>
      </c>
      <c r="L82" s="15"/>
      <c r="M82" s="16"/>
      <c r="N82" s="16"/>
      <c r="O82" s="16"/>
      <c r="P82" s="16"/>
      <c r="Q82" s="16"/>
      <c r="R82" s="16">
        <f t="shared" si="2"/>
        <v>0</v>
      </c>
      <c r="S82" s="16"/>
      <c r="T82" s="17">
        <f t="shared" si="3"/>
        <v>8250.6500000000015</v>
      </c>
      <c r="U82" s="16"/>
      <c r="V82" s="16" t="s">
        <v>925</v>
      </c>
    </row>
    <row r="83" spans="1:22" hidden="1" x14ac:dyDescent="0.35">
      <c r="A83" s="8" t="s">
        <v>13</v>
      </c>
      <c r="B83" s="60" t="s">
        <v>940</v>
      </c>
      <c r="C83" s="9" t="s">
        <v>179</v>
      </c>
      <c r="D83" s="10" t="s">
        <v>180</v>
      </c>
      <c r="E83" s="10" t="s">
        <v>16</v>
      </c>
      <c r="F83" s="10" t="s">
        <v>17</v>
      </c>
      <c r="G83" s="10" t="s">
        <v>181</v>
      </c>
      <c r="H83" s="11">
        <v>2363</v>
      </c>
      <c r="I83" s="12"/>
      <c r="J83" s="13"/>
      <c r="K83" s="14"/>
      <c r="L83" s="15"/>
      <c r="M83" s="16"/>
      <c r="N83" s="16"/>
      <c r="O83" s="16"/>
      <c r="P83" s="16"/>
      <c r="Q83" s="16"/>
      <c r="R83" s="16">
        <f t="shared" si="2"/>
        <v>0</v>
      </c>
      <c r="S83" s="16"/>
      <c r="T83" s="17">
        <f t="shared" si="3"/>
        <v>2363</v>
      </c>
      <c r="U83" s="16"/>
      <c r="V83" s="16" t="s">
        <v>925</v>
      </c>
    </row>
    <row r="84" spans="1:22" ht="21" hidden="1" x14ac:dyDescent="0.35">
      <c r="A84" s="8" t="s">
        <v>13</v>
      </c>
      <c r="B84" s="60" t="s">
        <v>940</v>
      </c>
      <c r="C84" s="9" t="s">
        <v>179</v>
      </c>
      <c r="D84" s="10" t="s">
        <v>180</v>
      </c>
      <c r="E84" s="10" t="s">
        <v>19</v>
      </c>
      <c r="F84" s="10" t="s">
        <v>20</v>
      </c>
      <c r="G84" s="10" t="s">
        <v>182</v>
      </c>
      <c r="H84" s="11">
        <v>6712</v>
      </c>
      <c r="I84" s="18">
        <v>6712</v>
      </c>
      <c r="J84" s="13"/>
      <c r="K84" s="14"/>
      <c r="L84" s="15"/>
      <c r="M84" s="16"/>
      <c r="N84" s="16"/>
      <c r="O84" s="16"/>
      <c r="P84" s="16"/>
      <c r="Q84" s="16"/>
      <c r="R84" s="16">
        <f t="shared" si="2"/>
        <v>0</v>
      </c>
      <c r="S84" s="16"/>
      <c r="T84" s="17">
        <f t="shared" si="3"/>
        <v>0</v>
      </c>
      <c r="U84" s="16"/>
      <c r="V84" s="16" t="s">
        <v>925</v>
      </c>
    </row>
    <row r="85" spans="1:22" hidden="1" x14ac:dyDescent="0.35">
      <c r="A85" s="8" t="s">
        <v>13</v>
      </c>
      <c r="B85" s="60" t="s">
        <v>940</v>
      </c>
      <c r="C85" s="9" t="s">
        <v>179</v>
      </c>
      <c r="D85" s="10" t="s">
        <v>180</v>
      </c>
      <c r="E85" s="10" t="s">
        <v>66</v>
      </c>
      <c r="F85" s="10" t="s">
        <v>67</v>
      </c>
      <c r="G85" s="10" t="s">
        <v>183</v>
      </c>
      <c r="H85" s="11">
        <v>107045</v>
      </c>
      <c r="I85" s="12"/>
      <c r="J85" s="13"/>
      <c r="K85" s="14"/>
      <c r="L85" s="15"/>
      <c r="M85" s="16"/>
      <c r="N85" s="16"/>
      <c r="O85" s="16"/>
      <c r="P85" s="16"/>
      <c r="Q85" s="16"/>
      <c r="R85" s="16">
        <f t="shared" si="2"/>
        <v>0</v>
      </c>
      <c r="S85" s="16"/>
      <c r="T85" s="17">
        <f t="shared" si="3"/>
        <v>107045</v>
      </c>
      <c r="U85" s="16"/>
      <c r="V85" s="16" t="s">
        <v>925</v>
      </c>
    </row>
    <row r="86" spans="1:22" hidden="1" x14ac:dyDescent="0.35">
      <c r="A86" s="8" t="s">
        <v>13</v>
      </c>
      <c r="B86" s="60" t="s">
        <v>940</v>
      </c>
      <c r="C86" s="9" t="s">
        <v>179</v>
      </c>
      <c r="D86" s="10" t="s">
        <v>180</v>
      </c>
      <c r="E86" s="10" t="s">
        <v>157</v>
      </c>
      <c r="F86" s="10" t="s">
        <v>158</v>
      </c>
      <c r="G86" s="10" t="s">
        <v>184</v>
      </c>
      <c r="H86" s="11">
        <v>198383</v>
      </c>
      <c r="I86" s="18">
        <v>70137.11</v>
      </c>
      <c r="J86" s="13"/>
      <c r="K86" s="14"/>
      <c r="L86" s="15"/>
      <c r="M86" s="16"/>
      <c r="N86" s="16"/>
      <c r="O86" s="16"/>
      <c r="P86" s="16"/>
      <c r="Q86" s="16"/>
      <c r="R86" s="16">
        <f t="shared" si="2"/>
        <v>0</v>
      </c>
      <c r="S86" s="16"/>
      <c r="T86" s="17">
        <f t="shared" si="3"/>
        <v>128245.89</v>
      </c>
      <c r="U86" s="16"/>
      <c r="V86" s="16" t="s">
        <v>925</v>
      </c>
    </row>
    <row r="87" spans="1:22" hidden="1" x14ac:dyDescent="0.35">
      <c r="A87" s="8" t="s">
        <v>13</v>
      </c>
      <c r="B87" s="60" t="s">
        <v>940</v>
      </c>
      <c r="C87" s="9" t="s">
        <v>179</v>
      </c>
      <c r="D87" s="10" t="s">
        <v>180</v>
      </c>
      <c r="E87" s="10" t="s">
        <v>25</v>
      </c>
      <c r="F87" s="10" t="s">
        <v>26</v>
      </c>
      <c r="G87" s="10" t="s">
        <v>185</v>
      </c>
      <c r="H87" s="11">
        <v>3072</v>
      </c>
      <c r="I87" s="18">
        <v>2388.75</v>
      </c>
      <c r="J87" s="13"/>
      <c r="K87" s="14"/>
      <c r="L87" s="15"/>
      <c r="M87" s="16"/>
      <c r="N87" s="16"/>
      <c r="O87" s="16"/>
      <c r="P87" s="16"/>
      <c r="Q87" s="16"/>
      <c r="R87" s="16">
        <f t="shared" si="2"/>
        <v>0</v>
      </c>
      <c r="S87" s="16"/>
      <c r="T87" s="17">
        <f t="shared" si="3"/>
        <v>683.25</v>
      </c>
      <c r="U87" s="16"/>
      <c r="V87" s="16" t="s">
        <v>925</v>
      </c>
    </row>
    <row r="88" spans="1:22" ht="21" hidden="1" x14ac:dyDescent="0.35">
      <c r="A88" s="8" t="s">
        <v>13</v>
      </c>
      <c r="B88" s="60" t="s">
        <v>940</v>
      </c>
      <c r="C88" s="9" t="s">
        <v>179</v>
      </c>
      <c r="D88" s="10" t="s">
        <v>180</v>
      </c>
      <c r="E88" s="10" t="s">
        <v>47</v>
      </c>
      <c r="F88" s="10" t="s">
        <v>48</v>
      </c>
      <c r="G88" s="10" t="s">
        <v>186</v>
      </c>
      <c r="H88" s="11">
        <v>12742</v>
      </c>
      <c r="I88" s="18">
        <v>3386.51</v>
      </c>
      <c r="J88" s="13"/>
      <c r="K88" s="14"/>
      <c r="L88" s="15"/>
      <c r="M88" s="16"/>
      <c r="N88" s="16"/>
      <c r="O88" s="16"/>
      <c r="P88" s="16"/>
      <c r="Q88" s="16"/>
      <c r="R88" s="16">
        <f t="shared" si="2"/>
        <v>0</v>
      </c>
      <c r="S88" s="16"/>
      <c r="T88" s="17">
        <f t="shared" si="3"/>
        <v>9355.49</v>
      </c>
      <c r="U88" s="16"/>
      <c r="V88" s="16" t="s">
        <v>925</v>
      </c>
    </row>
    <row r="89" spans="1:22" hidden="1" x14ac:dyDescent="0.35">
      <c r="A89" s="8" t="s">
        <v>13</v>
      </c>
      <c r="B89" s="60" t="s">
        <v>940</v>
      </c>
      <c r="C89" s="9" t="s">
        <v>179</v>
      </c>
      <c r="D89" s="10" t="s">
        <v>180</v>
      </c>
      <c r="E89" s="10" t="s">
        <v>28</v>
      </c>
      <c r="F89" s="10" t="s">
        <v>29</v>
      </c>
      <c r="G89" s="10" t="s">
        <v>187</v>
      </c>
      <c r="H89" s="11">
        <v>10400</v>
      </c>
      <c r="I89" s="12"/>
      <c r="J89" s="13"/>
      <c r="K89" s="14"/>
      <c r="L89" s="15"/>
      <c r="M89" s="16"/>
      <c r="N89" s="16"/>
      <c r="O89" s="16"/>
      <c r="P89" s="16"/>
      <c r="Q89" s="16"/>
      <c r="R89" s="16">
        <f t="shared" si="2"/>
        <v>0</v>
      </c>
      <c r="S89" s="16"/>
      <c r="T89" s="17">
        <f t="shared" si="3"/>
        <v>10400</v>
      </c>
      <c r="U89" s="16"/>
      <c r="V89" s="16" t="s">
        <v>925</v>
      </c>
    </row>
    <row r="90" spans="1:22" hidden="1" x14ac:dyDescent="0.35">
      <c r="A90" s="8" t="s">
        <v>13</v>
      </c>
      <c r="B90" s="60" t="s">
        <v>940</v>
      </c>
      <c r="C90" s="9" t="s">
        <v>179</v>
      </c>
      <c r="D90" s="10" t="s">
        <v>180</v>
      </c>
      <c r="E90" s="10" t="s">
        <v>163</v>
      </c>
      <c r="F90" s="10" t="s">
        <v>164</v>
      </c>
      <c r="G90" s="10" t="s">
        <v>188</v>
      </c>
      <c r="H90" s="11">
        <v>103144</v>
      </c>
      <c r="I90" s="18">
        <v>16000</v>
      </c>
      <c r="J90" s="19">
        <v>-26517.8</v>
      </c>
      <c r="K90" s="11">
        <v>111157.8</v>
      </c>
      <c r="L90" s="15"/>
      <c r="M90" s="16"/>
      <c r="N90" s="16"/>
      <c r="O90" s="16"/>
      <c r="P90" s="16"/>
      <c r="Q90" s="16"/>
      <c r="R90" s="16">
        <f t="shared" si="2"/>
        <v>0</v>
      </c>
      <c r="S90" s="16"/>
      <c r="T90" s="17">
        <f t="shared" si="3"/>
        <v>2504</v>
      </c>
      <c r="U90" s="16"/>
      <c r="V90" s="16" t="s">
        <v>925</v>
      </c>
    </row>
    <row r="91" spans="1:22" hidden="1" x14ac:dyDescent="0.35">
      <c r="A91" s="8" t="s">
        <v>13</v>
      </c>
      <c r="B91" s="60" t="s">
        <v>940</v>
      </c>
      <c r="C91" s="9" t="s">
        <v>179</v>
      </c>
      <c r="D91" s="10" t="s">
        <v>180</v>
      </c>
      <c r="E91" s="10" t="s">
        <v>127</v>
      </c>
      <c r="F91" s="10" t="s">
        <v>128</v>
      </c>
      <c r="G91" s="10" t="s">
        <v>189</v>
      </c>
      <c r="H91" s="11">
        <v>42246</v>
      </c>
      <c r="I91" s="18">
        <v>16669.650000000001</v>
      </c>
      <c r="J91" s="13"/>
      <c r="K91" s="14"/>
      <c r="L91" s="15"/>
      <c r="M91" s="16"/>
      <c r="N91" s="16"/>
      <c r="O91" s="16"/>
      <c r="P91" s="16"/>
      <c r="Q91" s="16"/>
      <c r="R91" s="16">
        <f t="shared" si="2"/>
        <v>0</v>
      </c>
      <c r="S91" s="16"/>
      <c r="T91" s="17">
        <f t="shared" si="3"/>
        <v>25576.35</v>
      </c>
      <c r="U91" s="16"/>
      <c r="V91" s="16" t="s">
        <v>925</v>
      </c>
    </row>
    <row r="92" spans="1:22" hidden="1" x14ac:dyDescent="0.35">
      <c r="A92" s="8" t="s">
        <v>13</v>
      </c>
      <c r="B92" s="60" t="s">
        <v>940</v>
      </c>
      <c r="C92" s="9" t="s">
        <v>179</v>
      </c>
      <c r="D92" s="10" t="s">
        <v>180</v>
      </c>
      <c r="E92" s="10" t="s">
        <v>130</v>
      </c>
      <c r="F92" s="10" t="s">
        <v>131</v>
      </c>
      <c r="G92" s="10" t="s">
        <v>190</v>
      </c>
      <c r="H92" s="11">
        <v>93000</v>
      </c>
      <c r="I92" s="18">
        <v>12491.38</v>
      </c>
      <c r="J92" s="19">
        <v>-1191.78000000001</v>
      </c>
      <c r="K92" s="11">
        <v>34332.07</v>
      </c>
      <c r="L92" s="15"/>
      <c r="M92" s="16"/>
      <c r="N92" s="16"/>
      <c r="O92" s="16"/>
      <c r="P92" s="16"/>
      <c r="Q92" s="16"/>
      <c r="R92" s="16">
        <f t="shared" si="2"/>
        <v>0</v>
      </c>
      <c r="S92" s="16"/>
      <c r="T92" s="17">
        <f t="shared" si="3"/>
        <v>47368.330000000009</v>
      </c>
      <c r="U92" s="16"/>
      <c r="V92" s="16" t="s">
        <v>925</v>
      </c>
    </row>
    <row r="93" spans="1:22" ht="21" hidden="1" x14ac:dyDescent="0.35">
      <c r="A93" s="8" t="s">
        <v>13</v>
      </c>
      <c r="B93" s="60" t="s">
        <v>940</v>
      </c>
      <c r="C93" s="9" t="s">
        <v>191</v>
      </c>
      <c r="D93" s="10" t="s">
        <v>192</v>
      </c>
      <c r="E93" s="10" t="s">
        <v>19</v>
      </c>
      <c r="F93" s="10" t="s">
        <v>20</v>
      </c>
      <c r="G93" s="10" t="s">
        <v>193</v>
      </c>
      <c r="H93" s="11">
        <v>13650</v>
      </c>
      <c r="I93" s="18">
        <v>11094.75</v>
      </c>
      <c r="J93" s="13"/>
      <c r="K93" s="14"/>
      <c r="L93" s="15"/>
      <c r="M93" s="16"/>
      <c r="N93" s="16"/>
      <c r="O93" s="16"/>
      <c r="P93" s="16"/>
      <c r="Q93" s="16"/>
      <c r="R93" s="16">
        <f t="shared" si="2"/>
        <v>0</v>
      </c>
      <c r="S93" s="16"/>
      <c r="T93" s="17">
        <f t="shared" si="3"/>
        <v>2555.25</v>
      </c>
      <c r="U93" s="16"/>
      <c r="V93" s="16" t="s">
        <v>925</v>
      </c>
    </row>
    <row r="94" spans="1:22" hidden="1" x14ac:dyDescent="0.35">
      <c r="A94" s="8" t="s">
        <v>13</v>
      </c>
      <c r="B94" s="60" t="s">
        <v>940</v>
      </c>
      <c r="C94" s="9" t="s">
        <v>191</v>
      </c>
      <c r="D94" s="10" t="s">
        <v>192</v>
      </c>
      <c r="E94" s="10" t="s">
        <v>153</v>
      </c>
      <c r="F94" s="10" t="s">
        <v>154</v>
      </c>
      <c r="G94" s="10" t="s">
        <v>194</v>
      </c>
      <c r="H94" s="11">
        <v>5390</v>
      </c>
      <c r="I94" s="12"/>
      <c r="J94" s="13"/>
      <c r="K94" s="14"/>
      <c r="L94" s="15"/>
      <c r="M94" s="16"/>
      <c r="N94" s="16"/>
      <c r="O94" s="16"/>
      <c r="P94" s="16"/>
      <c r="Q94" s="16"/>
      <c r="R94" s="16">
        <f t="shared" si="2"/>
        <v>0</v>
      </c>
      <c r="S94" s="16"/>
      <c r="T94" s="17">
        <f t="shared" si="3"/>
        <v>5390</v>
      </c>
      <c r="U94" s="16"/>
      <c r="V94" s="16" t="s">
        <v>925</v>
      </c>
    </row>
    <row r="95" spans="1:22" hidden="1" x14ac:dyDescent="0.35">
      <c r="A95" s="8" t="s">
        <v>13</v>
      </c>
      <c r="B95" s="60" t="s">
        <v>940</v>
      </c>
      <c r="C95" s="9" t="s">
        <v>191</v>
      </c>
      <c r="D95" s="10" t="s">
        <v>192</v>
      </c>
      <c r="E95" s="10" t="s">
        <v>66</v>
      </c>
      <c r="F95" s="10" t="s">
        <v>67</v>
      </c>
      <c r="G95" s="10" t="s">
        <v>195</v>
      </c>
      <c r="H95" s="11">
        <v>45000</v>
      </c>
      <c r="I95" s="18">
        <v>30000</v>
      </c>
      <c r="J95" s="19">
        <v>0</v>
      </c>
      <c r="K95" s="11">
        <v>12209.05</v>
      </c>
      <c r="L95" s="15"/>
      <c r="M95" s="16"/>
      <c r="N95" s="16"/>
      <c r="O95" s="16"/>
      <c r="P95" s="16"/>
      <c r="Q95" s="16"/>
      <c r="R95" s="16">
        <f t="shared" si="2"/>
        <v>0</v>
      </c>
      <c r="S95" s="16"/>
      <c r="T95" s="17">
        <f t="shared" si="3"/>
        <v>2790.9500000000007</v>
      </c>
      <c r="U95" s="16"/>
      <c r="V95" s="16" t="s">
        <v>925</v>
      </c>
    </row>
    <row r="96" spans="1:22" hidden="1" x14ac:dyDescent="0.35">
      <c r="A96" s="8" t="s">
        <v>13</v>
      </c>
      <c r="B96" s="60" t="s">
        <v>940</v>
      </c>
      <c r="C96" s="9" t="s">
        <v>191</v>
      </c>
      <c r="D96" s="10" t="s">
        <v>192</v>
      </c>
      <c r="E96" s="10" t="s">
        <v>157</v>
      </c>
      <c r="F96" s="10" t="s">
        <v>158</v>
      </c>
      <c r="G96" s="10" t="s">
        <v>196</v>
      </c>
      <c r="H96" s="11">
        <v>236600</v>
      </c>
      <c r="I96" s="18">
        <v>103039.97</v>
      </c>
      <c r="J96" s="13"/>
      <c r="K96" s="14"/>
      <c r="L96" s="15"/>
      <c r="M96" s="16"/>
      <c r="N96" s="16"/>
      <c r="O96" s="16"/>
      <c r="P96" s="16"/>
      <c r="Q96" s="16"/>
      <c r="R96" s="16">
        <f t="shared" si="2"/>
        <v>0</v>
      </c>
      <c r="S96" s="16"/>
      <c r="T96" s="17">
        <f t="shared" si="3"/>
        <v>133560.03</v>
      </c>
      <c r="U96" s="16"/>
      <c r="V96" s="16" t="s">
        <v>925</v>
      </c>
    </row>
    <row r="97" spans="1:22" hidden="1" x14ac:dyDescent="0.35">
      <c r="A97" s="8" t="s">
        <v>13</v>
      </c>
      <c r="B97" s="60" t="s">
        <v>940</v>
      </c>
      <c r="C97" s="9" t="s">
        <v>191</v>
      </c>
      <c r="D97" s="10" t="s">
        <v>192</v>
      </c>
      <c r="E97" s="10" t="s">
        <v>25</v>
      </c>
      <c r="F97" s="10" t="s">
        <v>26</v>
      </c>
      <c r="G97" s="10" t="s">
        <v>197</v>
      </c>
      <c r="H97" s="11">
        <v>4750</v>
      </c>
      <c r="I97" s="18">
        <v>2415</v>
      </c>
      <c r="J97" s="13"/>
      <c r="K97" s="14"/>
      <c r="L97" s="15"/>
      <c r="M97" s="16"/>
      <c r="N97" s="16"/>
      <c r="O97" s="16"/>
      <c r="P97" s="16"/>
      <c r="Q97" s="16"/>
      <c r="R97" s="16">
        <f t="shared" si="2"/>
        <v>0</v>
      </c>
      <c r="S97" s="16"/>
      <c r="T97" s="17">
        <f t="shared" si="3"/>
        <v>2335</v>
      </c>
      <c r="U97" s="16"/>
      <c r="V97" s="16" t="s">
        <v>925</v>
      </c>
    </row>
    <row r="98" spans="1:22" ht="21" hidden="1" x14ac:dyDescent="0.35">
      <c r="A98" s="8" t="s">
        <v>13</v>
      </c>
      <c r="B98" s="60" t="s">
        <v>940</v>
      </c>
      <c r="C98" s="9" t="s">
        <v>191</v>
      </c>
      <c r="D98" s="10" t="s">
        <v>192</v>
      </c>
      <c r="E98" s="10" t="s">
        <v>47</v>
      </c>
      <c r="F98" s="10" t="s">
        <v>48</v>
      </c>
      <c r="G98" s="10" t="s">
        <v>198</v>
      </c>
      <c r="H98" s="11">
        <v>60384</v>
      </c>
      <c r="I98" s="18">
        <v>26776.17</v>
      </c>
      <c r="J98" s="19">
        <v>6250</v>
      </c>
      <c r="K98" s="11">
        <v>7026.45</v>
      </c>
      <c r="L98" s="15"/>
      <c r="M98" s="16"/>
      <c r="N98" s="16"/>
      <c r="O98" s="16"/>
      <c r="P98" s="16"/>
      <c r="Q98" s="16"/>
      <c r="R98" s="16">
        <f t="shared" si="2"/>
        <v>0</v>
      </c>
      <c r="S98" s="16"/>
      <c r="T98" s="17">
        <f t="shared" si="3"/>
        <v>20331.38</v>
      </c>
      <c r="U98" s="16"/>
      <c r="V98" s="16" t="s">
        <v>925</v>
      </c>
    </row>
    <row r="99" spans="1:22" hidden="1" x14ac:dyDescent="0.35">
      <c r="A99" s="8" t="s">
        <v>13</v>
      </c>
      <c r="B99" s="60" t="s">
        <v>940</v>
      </c>
      <c r="C99" s="9" t="s">
        <v>191</v>
      </c>
      <c r="D99" s="10" t="s">
        <v>192</v>
      </c>
      <c r="E99" s="10" t="s">
        <v>127</v>
      </c>
      <c r="F99" s="10" t="s">
        <v>128</v>
      </c>
      <c r="G99" s="10" t="s">
        <v>199</v>
      </c>
      <c r="H99" s="11">
        <v>35857</v>
      </c>
      <c r="I99" s="18">
        <v>6374</v>
      </c>
      <c r="J99" s="13"/>
      <c r="K99" s="14"/>
      <c r="L99" s="15"/>
      <c r="M99" s="16"/>
      <c r="N99" s="16"/>
      <c r="O99" s="16"/>
      <c r="P99" s="16"/>
      <c r="Q99" s="16"/>
      <c r="R99" s="16">
        <f t="shared" si="2"/>
        <v>0</v>
      </c>
      <c r="S99" s="16"/>
      <c r="T99" s="17">
        <f t="shared" si="3"/>
        <v>29483</v>
      </c>
      <c r="U99" s="16"/>
      <c r="V99" s="16" t="s">
        <v>925</v>
      </c>
    </row>
    <row r="100" spans="1:22" hidden="1" x14ac:dyDescent="0.35">
      <c r="A100" s="8" t="s">
        <v>13</v>
      </c>
      <c r="B100" s="60" t="s">
        <v>940</v>
      </c>
      <c r="C100" s="9" t="s">
        <v>191</v>
      </c>
      <c r="D100" s="10" t="s">
        <v>192</v>
      </c>
      <c r="E100" s="10" t="s">
        <v>130</v>
      </c>
      <c r="F100" s="10" t="s">
        <v>131</v>
      </c>
      <c r="G100" s="10" t="s">
        <v>200</v>
      </c>
      <c r="H100" s="11">
        <v>43050</v>
      </c>
      <c r="I100" s="18">
        <v>6473.28</v>
      </c>
      <c r="J100" s="19">
        <v>5001.3</v>
      </c>
      <c r="K100" s="11">
        <v>2261.84</v>
      </c>
      <c r="L100" s="15"/>
      <c r="M100" s="16"/>
      <c r="N100" s="16"/>
      <c r="O100" s="16"/>
      <c r="P100" s="16"/>
      <c r="Q100" s="16"/>
      <c r="R100" s="16">
        <f t="shared" si="2"/>
        <v>0</v>
      </c>
      <c r="S100" s="16"/>
      <c r="T100" s="17">
        <f t="shared" si="3"/>
        <v>29313.58</v>
      </c>
      <c r="U100" s="16"/>
      <c r="V100" s="16" t="s">
        <v>925</v>
      </c>
    </row>
    <row r="101" spans="1:22" hidden="1" x14ac:dyDescent="0.35">
      <c r="A101" s="8" t="s">
        <v>13</v>
      </c>
      <c r="B101" s="60" t="s">
        <v>940</v>
      </c>
      <c r="C101" s="9" t="s">
        <v>191</v>
      </c>
      <c r="D101" s="10" t="s">
        <v>192</v>
      </c>
      <c r="E101" s="10" t="s">
        <v>201</v>
      </c>
      <c r="F101" s="10" t="s">
        <v>202</v>
      </c>
      <c r="G101" s="10" t="s">
        <v>203</v>
      </c>
      <c r="H101" s="11">
        <v>10850</v>
      </c>
      <c r="I101" s="12"/>
      <c r="J101" s="13"/>
      <c r="K101" s="14"/>
      <c r="L101" s="15"/>
      <c r="M101" s="16"/>
      <c r="N101" s="16"/>
      <c r="O101" s="16"/>
      <c r="P101" s="16"/>
      <c r="Q101" s="16"/>
      <c r="R101" s="16">
        <f t="shared" si="2"/>
        <v>0</v>
      </c>
      <c r="S101" s="16"/>
      <c r="T101" s="17">
        <f t="shared" si="3"/>
        <v>10850</v>
      </c>
      <c r="U101" s="16"/>
      <c r="V101" s="16" t="s">
        <v>925</v>
      </c>
    </row>
    <row r="102" spans="1:22" ht="21" hidden="1" x14ac:dyDescent="0.35">
      <c r="A102" s="8" t="s">
        <v>13</v>
      </c>
      <c r="B102" s="60" t="s">
        <v>940</v>
      </c>
      <c r="C102" s="9" t="s">
        <v>191</v>
      </c>
      <c r="D102" s="10" t="s">
        <v>192</v>
      </c>
      <c r="E102" s="10" t="s">
        <v>204</v>
      </c>
      <c r="F102" s="10" t="s">
        <v>205</v>
      </c>
      <c r="G102" s="10" t="s">
        <v>206</v>
      </c>
      <c r="H102" s="11">
        <v>5175</v>
      </c>
      <c r="I102" s="12"/>
      <c r="J102" s="13"/>
      <c r="K102" s="14"/>
      <c r="L102" s="15"/>
      <c r="M102" s="16"/>
      <c r="N102" s="16"/>
      <c r="O102" s="16"/>
      <c r="P102" s="16"/>
      <c r="Q102" s="16"/>
      <c r="R102" s="16">
        <f t="shared" si="2"/>
        <v>0</v>
      </c>
      <c r="S102" s="16"/>
      <c r="T102" s="17">
        <f t="shared" si="3"/>
        <v>5175</v>
      </c>
      <c r="U102" s="16"/>
      <c r="V102" s="16" t="s">
        <v>925</v>
      </c>
    </row>
    <row r="103" spans="1:22" ht="21" hidden="1" x14ac:dyDescent="0.35">
      <c r="A103" s="8" t="s">
        <v>13</v>
      </c>
      <c r="B103" s="60" t="s">
        <v>940</v>
      </c>
      <c r="C103" s="9" t="s">
        <v>207</v>
      </c>
      <c r="D103" s="10" t="s">
        <v>208</v>
      </c>
      <c r="E103" s="10" t="s">
        <v>19</v>
      </c>
      <c r="F103" s="10" t="s">
        <v>20</v>
      </c>
      <c r="G103" s="10" t="s">
        <v>209</v>
      </c>
      <c r="H103" s="11">
        <v>3003</v>
      </c>
      <c r="I103" s="18">
        <v>1218.3599999999999</v>
      </c>
      <c r="J103" s="13"/>
      <c r="K103" s="14"/>
      <c r="L103" s="15"/>
      <c r="M103" s="16"/>
      <c r="N103" s="16"/>
      <c r="O103" s="16"/>
      <c r="P103" s="16">
        <v>1200</v>
      </c>
      <c r="Q103" s="16">
        <v>550</v>
      </c>
      <c r="R103" s="16">
        <f t="shared" si="2"/>
        <v>1750</v>
      </c>
      <c r="S103" s="16"/>
      <c r="T103" s="17">
        <f t="shared" si="3"/>
        <v>34.6400000000001</v>
      </c>
      <c r="U103" s="16"/>
      <c r="V103" s="16" t="s">
        <v>926</v>
      </c>
    </row>
    <row r="104" spans="1:22" hidden="1" x14ac:dyDescent="0.35">
      <c r="A104" s="8" t="s">
        <v>13</v>
      </c>
      <c r="B104" s="60" t="s">
        <v>940</v>
      </c>
      <c r="C104" s="9" t="s">
        <v>207</v>
      </c>
      <c r="D104" s="10" t="s">
        <v>208</v>
      </c>
      <c r="E104" s="10" t="s">
        <v>66</v>
      </c>
      <c r="F104" s="10" t="s">
        <v>67</v>
      </c>
      <c r="G104" s="10" t="s">
        <v>210</v>
      </c>
      <c r="H104" s="11">
        <v>45000</v>
      </c>
      <c r="I104" s="18">
        <v>11211.13</v>
      </c>
      <c r="J104" s="13"/>
      <c r="K104" s="14"/>
      <c r="L104" s="15"/>
      <c r="M104" s="16"/>
      <c r="N104" s="16"/>
      <c r="O104" s="16">
        <v>10000</v>
      </c>
      <c r="P104" s="16">
        <v>10000</v>
      </c>
      <c r="Q104" s="16">
        <v>13700</v>
      </c>
      <c r="R104" s="16">
        <f t="shared" si="2"/>
        <v>33700</v>
      </c>
      <c r="S104" s="16"/>
      <c r="T104" s="17">
        <f t="shared" si="3"/>
        <v>88.870000000002619</v>
      </c>
      <c r="U104" s="16"/>
      <c r="V104" s="16" t="s">
        <v>926</v>
      </c>
    </row>
    <row r="105" spans="1:22" hidden="1" x14ac:dyDescent="0.35">
      <c r="A105" s="8" t="s">
        <v>13</v>
      </c>
      <c r="B105" s="60" t="s">
        <v>940</v>
      </c>
      <c r="C105" s="9" t="s">
        <v>207</v>
      </c>
      <c r="D105" s="10" t="s">
        <v>208</v>
      </c>
      <c r="E105" s="10" t="s">
        <v>157</v>
      </c>
      <c r="F105" s="10" t="s">
        <v>158</v>
      </c>
      <c r="G105" s="10" t="s">
        <v>211</v>
      </c>
      <c r="H105" s="11">
        <v>264435</v>
      </c>
      <c r="I105" s="18">
        <v>171931.63</v>
      </c>
      <c r="J105" s="19">
        <v>0</v>
      </c>
      <c r="K105" s="14"/>
      <c r="L105" s="15"/>
      <c r="M105" s="16"/>
      <c r="N105" s="16"/>
      <c r="O105" s="16">
        <v>20000</v>
      </c>
      <c r="P105" s="16">
        <v>36000</v>
      </c>
      <c r="Q105" s="16">
        <v>36500</v>
      </c>
      <c r="R105" s="16">
        <f t="shared" si="2"/>
        <v>92500</v>
      </c>
      <c r="S105" s="16"/>
      <c r="T105" s="17">
        <f t="shared" si="3"/>
        <v>3.3699999999953434</v>
      </c>
      <c r="U105" s="16"/>
      <c r="V105" s="16" t="s">
        <v>926</v>
      </c>
    </row>
    <row r="106" spans="1:22" hidden="1" x14ac:dyDescent="0.35">
      <c r="A106" s="8" t="s">
        <v>13</v>
      </c>
      <c r="B106" s="60" t="s">
        <v>940</v>
      </c>
      <c r="C106" s="9" t="s">
        <v>207</v>
      </c>
      <c r="D106" s="10" t="s">
        <v>208</v>
      </c>
      <c r="E106" s="10" t="s">
        <v>25</v>
      </c>
      <c r="F106" s="10" t="s">
        <v>26</v>
      </c>
      <c r="G106" s="10" t="s">
        <v>212</v>
      </c>
      <c r="H106" s="11">
        <v>9600</v>
      </c>
      <c r="I106" s="18">
        <v>472.5</v>
      </c>
      <c r="J106" s="13"/>
      <c r="K106" s="14"/>
      <c r="L106" s="15"/>
      <c r="M106" s="16"/>
      <c r="N106" s="16">
        <v>2500</v>
      </c>
      <c r="O106" s="16">
        <v>2500</v>
      </c>
      <c r="P106" s="16">
        <v>2500</v>
      </c>
      <c r="Q106" s="16">
        <v>1600</v>
      </c>
      <c r="R106" s="16">
        <f t="shared" si="2"/>
        <v>9100</v>
      </c>
      <c r="S106" s="16"/>
      <c r="T106" s="17">
        <f t="shared" si="3"/>
        <v>27.5</v>
      </c>
      <c r="U106" s="16"/>
      <c r="V106" s="16" t="s">
        <v>926</v>
      </c>
    </row>
    <row r="107" spans="1:22" ht="21" hidden="1" x14ac:dyDescent="0.35">
      <c r="A107" s="8" t="s">
        <v>13</v>
      </c>
      <c r="B107" s="60" t="s">
        <v>940</v>
      </c>
      <c r="C107" s="9" t="s">
        <v>207</v>
      </c>
      <c r="D107" s="10" t="s">
        <v>208</v>
      </c>
      <c r="E107" s="10" t="s">
        <v>47</v>
      </c>
      <c r="F107" s="10" t="s">
        <v>48</v>
      </c>
      <c r="G107" s="10" t="s">
        <v>213</v>
      </c>
      <c r="H107" s="11">
        <v>24683</v>
      </c>
      <c r="I107" s="18">
        <v>6362.36</v>
      </c>
      <c r="J107" s="19">
        <v>7376.24</v>
      </c>
      <c r="K107" s="11">
        <v>8992</v>
      </c>
      <c r="L107" s="15"/>
      <c r="M107" s="16"/>
      <c r="N107" s="16"/>
      <c r="O107" s="16"/>
      <c r="P107" s="16"/>
      <c r="Q107" s="16">
        <v>1900</v>
      </c>
      <c r="R107" s="16">
        <f t="shared" si="2"/>
        <v>1900</v>
      </c>
      <c r="S107" s="16"/>
      <c r="T107" s="17">
        <f t="shared" si="3"/>
        <v>52.399999999999636</v>
      </c>
      <c r="U107" s="16"/>
      <c r="V107" s="16" t="s">
        <v>926</v>
      </c>
    </row>
    <row r="108" spans="1:22" hidden="1" x14ac:dyDescent="0.35">
      <c r="A108" s="8" t="s">
        <v>13</v>
      </c>
      <c r="B108" s="60" t="s">
        <v>940</v>
      </c>
      <c r="C108" s="9" t="s">
        <v>207</v>
      </c>
      <c r="D108" s="10" t="s">
        <v>208</v>
      </c>
      <c r="E108" s="10" t="s">
        <v>163</v>
      </c>
      <c r="F108" s="10" t="s">
        <v>164</v>
      </c>
      <c r="G108" s="10" t="s">
        <v>214</v>
      </c>
      <c r="H108" s="11">
        <v>177182</v>
      </c>
      <c r="I108" s="18">
        <v>7755</v>
      </c>
      <c r="J108" s="19">
        <v>-7755</v>
      </c>
      <c r="K108" s="11">
        <v>8800</v>
      </c>
      <c r="L108" s="15"/>
      <c r="M108" s="16"/>
      <c r="N108" s="16"/>
      <c r="O108" s="16">
        <v>40000</v>
      </c>
      <c r="P108" s="16">
        <v>60000</v>
      </c>
      <c r="Q108" s="16">
        <v>68300</v>
      </c>
      <c r="R108" s="16">
        <f t="shared" si="2"/>
        <v>168300</v>
      </c>
      <c r="S108" s="16"/>
      <c r="T108" s="17">
        <f t="shared" si="3"/>
        <v>82</v>
      </c>
      <c r="U108" s="16"/>
      <c r="V108" s="16" t="s">
        <v>926</v>
      </c>
    </row>
    <row r="109" spans="1:22" hidden="1" x14ac:dyDescent="0.35">
      <c r="A109" s="8" t="s">
        <v>13</v>
      </c>
      <c r="B109" s="60" t="s">
        <v>940</v>
      </c>
      <c r="C109" s="9" t="s">
        <v>207</v>
      </c>
      <c r="D109" s="10" t="s">
        <v>208</v>
      </c>
      <c r="E109" s="10" t="s">
        <v>127</v>
      </c>
      <c r="F109" s="10" t="s">
        <v>128</v>
      </c>
      <c r="G109" s="10" t="s">
        <v>215</v>
      </c>
      <c r="H109" s="11">
        <v>38400</v>
      </c>
      <c r="I109" s="18">
        <v>15676.44</v>
      </c>
      <c r="J109" s="13"/>
      <c r="K109" s="14"/>
      <c r="L109" s="15"/>
      <c r="M109" s="16"/>
      <c r="N109" s="16"/>
      <c r="O109" s="16">
        <v>12000</v>
      </c>
      <c r="P109" s="16"/>
      <c r="Q109" s="16">
        <v>10700</v>
      </c>
      <c r="R109" s="16">
        <f t="shared" si="2"/>
        <v>22700</v>
      </c>
      <c r="S109" s="16"/>
      <c r="T109" s="17">
        <f t="shared" si="3"/>
        <v>23.559999999997672</v>
      </c>
      <c r="U109" s="16"/>
      <c r="V109" s="16" t="s">
        <v>926</v>
      </c>
    </row>
    <row r="110" spans="1:22" hidden="1" x14ac:dyDescent="0.35">
      <c r="A110" s="8" t="s">
        <v>13</v>
      </c>
      <c r="B110" s="60" t="s">
        <v>940</v>
      </c>
      <c r="C110" s="9" t="s">
        <v>207</v>
      </c>
      <c r="D110" s="10" t="s">
        <v>208</v>
      </c>
      <c r="E110" s="10" t="s">
        <v>130</v>
      </c>
      <c r="F110" s="10" t="s">
        <v>131</v>
      </c>
      <c r="G110" s="10" t="s">
        <v>216</v>
      </c>
      <c r="H110" s="11">
        <v>65766</v>
      </c>
      <c r="I110" s="18">
        <v>14773.8</v>
      </c>
      <c r="J110" s="19">
        <v>-13455</v>
      </c>
      <c r="K110" s="11">
        <v>33229.800000000003</v>
      </c>
      <c r="L110" s="15"/>
      <c r="M110" s="16"/>
      <c r="N110" s="16">
        <v>10000</v>
      </c>
      <c r="O110" s="16">
        <v>10000</v>
      </c>
      <c r="P110" s="16"/>
      <c r="Q110" s="16">
        <v>11200</v>
      </c>
      <c r="R110" s="16">
        <f t="shared" si="2"/>
        <v>31200</v>
      </c>
      <c r="S110" s="16"/>
      <c r="T110" s="17">
        <f t="shared" si="3"/>
        <v>17.399999999994179</v>
      </c>
      <c r="U110" s="16"/>
      <c r="V110" s="16" t="s">
        <v>926</v>
      </c>
    </row>
    <row r="111" spans="1:22" ht="21" hidden="1" x14ac:dyDescent="0.35">
      <c r="A111" s="8" t="s">
        <v>13</v>
      </c>
      <c r="B111" s="60" t="s">
        <v>940</v>
      </c>
      <c r="C111" s="9" t="s">
        <v>207</v>
      </c>
      <c r="D111" s="10" t="s">
        <v>208</v>
      </c>
      <c r="E111" s="10" t="s">
        <v>204</v>
      </c>
      <c r="F111" s="10" t="s">
        <v>205</v>
      </c>
      <c r="G111" s="10" t="s">
        <v>217</v>
      </c>
      <c r="H111" s="11">
        <v>0</v>
      </c>
      <c r="I111" s="12"/>
      <c r="J111" s="13"/>
      <c r="K111" s="14"/>
      <c r="L111" s="15"/>
      <c r="M111" s="16"/>
      <c r="N111" s="16"/>
      <c r="O111" s="16"/>
      <c r="P111" s="16"/>
      <c r="Q111" s="16"/>
      <c r="R111" s="16">
        <f t="shared" si="2"/>
        <v>0</v>
      </c>
      <c r="S111" s="16"/>
      <c r="T111" s="17">
        <f t="shared" si="3"/>
        <v>0</v>
      </c>
      <c r="U111" s="16"/>
      <c r="V111" s="16" t="s">
        <v>925</v>
      </c>
    </row>
    <row r="112" spans="1:22" hidden="1" x14ac:dyDescent="0.35">
      <c r="A112" s="8" t="s">
        <v>13</v>
      </c>
      <c r="B112" s="60" t="s">
        <v>940</v>
      </c>
      <c r="C112" s="9" t="s">
        <v>218</v>
      </c>
      <c r="D112" s="10" t="s">
        <v>219</v>
      </c>
      <c r="E112" s="10" t="s">
        <v>16</v>
      </c>
      <c r="F112" s="10" t="s">
        <v>17</v>
      </c>
      <c r="G112" s="10" t="s">
        <v>220</v>
      </c>
      <c r="H112" s="11">
        <v>5520</v>
      </c>
      <c r="I112" s="12"/>
      <c r="J112" s="13"/>
      <c r="K112" s="14"/>
      <c r="L112" s="15"/>
      <c r="M112" s="16"/>
      <c r="N112" s="16"/>
      <c r="O112" s="16"/>
      <c r="P112" s="16"/>
      <c r="Q112" s="16"/>
      <c r="R112" s="16">
        <f t="shared" si="2"/>
        <v>0</v>
      </c>
      <c r="S112" s="16"/>
      <c r="T112" s="17">
        <f t="shared" si="3"/>
        <v>5520</v>
      </c>
      <c r="U112" s="16"/>
      <c r="V112" s="16" t="s">
        <v>925</v>
      </c>
    </row>
    <row r="113" spans="1:22" ht="21" hidden="1" x14ac:dyDescent="0.35">
      <c r="A113" s="8" t="s">
        <v>13</v>
      </c>
      <c r="B113" s="60" t="s">
        <v>940</v>
      </c>
      <c r="C113" s="9" t="s">
        <v>218</v>
      </c>
      <c r="D113" s="10" t="s">
        <v>219</v>
      </c>
      <c r="E113" s="10" t="s">
        <v>19</v>
      </c>
      <c r="F113" s="10" t="s">
        <v>20</v>
      </c>
      <c r="G113" s="10" t="s">
        <v>221</v>
      </c>
      <c r="H113" s="11">
        <v>4550</v>
      </c>
      <c r="I113" s="18">
        <v>4520.25</v>
      </c>
      <c r="J113" s="13"/>
      <c r="K113" s="14"/>
      <c r="L113" s="15"/>
      <c r="M113" s="16"/>
      <c r="N113" s="16"/>
      <c r="O113" s="16"/>
      <c r="P113" s="16"/>
      <c r="Q113" s="16"/>
      <c r="R113" s="16">
        <f t="shared" si="2"/>
        <v>0</v>
      </c>
      <c r="S113" s="16"/>
      <c r="T113" s="17">
        <f t="shared" si="3"/>
        <v>29.75</v>
      </c>
      <c r="U113" s="16"/>
      <c r="V113" s="16" t="s">
        <v>925</v>
      </c>
    </row>
    <row r="114" spans="1:22" hidden="1" x14ac:dyDescent="0.35">
      <c r="A114" s="8" t="s">
        <v>13</v>
      </c>
      <c r="B114" s="60" t="s">
        <v>940</v>
      </c>
      <c r="C114" s="9" t="s">
        <v>218</v>
      </c>
      <c r="D114" s="10" t="s">
        <v>219</v>
      </c>
      <c r="E114" s="10" t="s">
        <v>153</v>
      </c>
      <c r="F114" s="10" t="s">
        <v>154</v>
      </c>
      <c r="G114" s="10" t="s">
        <v>222</v>
      </c>
      <c r="H114" s="11">
        <v>23634</v>
      </c>
      <c r="I114" s="12"/>
      <c r="J114" s="13"/>
      <c r="K114" s="14"/>
      <c r="L114" s="15"/>
      <c r="M114" s="16"/>
      <c r="N114" s="16"/>
      <c r="O114" s="16"/>
      <c r="P114" s="16"/>
      <c r="Q114" s="16"/>
      <c r="R114" s="16">
        <f t="shared" si="2"/>
        <v>0</v>
      </c>
      <c r="S114" s="16"/>
      <c r="T114" s="17">
        <f t="shared" si="3"/>
        <v>23634</v>
      </c>
      <c r="U114" s="16"/>
      <c r="V114" s="16" t="s">
        <v>925</v>
      </c>
    </row>
    <row r="115" spans="1:22" hidden="1" x14ac:dyDescent="0.35">
      <c r="A115" s="8" t="s">
        <v>13</v>
      </c>
      <c r="B115" s="60" t="s">
        <v>940</v>
      </c>
      <c r="C115" s="9" t="s">
        <v>218</v>
      </c>
      <c r="D115" s="10" t="s">
        <v>219</v>
      </c>
      <c r="E115" s="10" t="s">
        <v>66</v>
      </c>
      <c r="F115" s="10" t="s">
        <v>67</v>
      </c>
      <c r="G115" s="10" t="s">
        <v>223</v>
      </c>
      <c r="H115" s="11">
        <v>175809</v>
      </c>
      <c r="I115" s="18">
        <v>107250</v>
      </c>
      <c r="J115" s="13"/>
      <c r="K115" s="14"/>
      <c r="L115" s="15"/>
      <c r="M115" s="16"/>
      <c r="N115" s="16"/>
      <c r="O115" s="16"/>
      <c r="P115" s="16"/>
      <c r="Q115" s="16"/>
      <c r="R115" s="16">
        <f t="shared" si="2"/>
        <v>0</v>
      </c>
      <c r="S115" s="16"/>
      <c r="T115" s="17">
        <f t="shared" si="3"/>
        <v>68559</v>
      </c>
      <c r="U115" s="16"/>
      <c r="V115" s="16" t="s">
        <v>925</v>
      </c>
    </row>
    <row r="116" spans="1:22" hidden="1" x14ac:dyDescent="0.35">
      <c r="A116" s="8" t="s">
        <v>13</v>
      </c>
      <c r="B116" s="60" t="s">
        <v>940</v>
      </c>
      <c r="C116" s="9" t="s">
        <v>218</v>
      </c>
      <c r="D116" s="10" t="s">
        <v>219</v>
      </c>
      <c r="E116" s="10" t="s">
        <v>157</v>
      </c>
      <c r="F116" s="10" t="s">
        <v>158</v>
      </c>
      <c r="G116" s="10" t="s">
        <v>224</v>
      </c>
      <c r="H116" s="11">
        <v>356489</v>
      </c>
      <c r="I116" s="18">
        <v>200363.83</v>
      </c>
      <c r="J116" s="13"/>
      <c r="K116" s="14"/>
      <c r="L116" s="15"/>
      <c r="M116" s="16"/>
      <c r="N116" s="16"/>
      <c r="O116" s="16"/>
      <c r="P116" s="16"/>
      <c r="Q116" s="16"/>
      <c r="R116" s="16">
        <f t="shared" si="2"/>
        <v>0</v>
      </c>
      <c r="S116" s="16"/>
      <c r="T116" s="17">
        <f t="shared" si="3"/>
        <v>156125.17000000001</v>
      </c>
      <c r="U116" s="16"/>
      <c r="V116" s="16" t="s">
        <v>925</v>
      </c>
    </row>
    <row r="117" spans="1:22" hidden="1" x14ac:dyDescent="0.35">
      <c r="A117" s="8" t="s">
        <v>13</v>
      </c>
      <c r="B117" s="60" t="s">
        <v>940</v>
      </c>
      <c r="C117" s="9" t="s">
        <v>218</v>
      </c>
      <c r="D117" s="10" t="s">
        <v>219</v>
      </c>
      <c r="E117" s="10" t="s">
        <v>25</v>
      </c>
      <c r="F117" s="10" t="s">
        <v>26</v>
      </c>
      <c r="G117" s="10" t="s">
        <v>225</v>
      </c>
      <c r="H117" s="11">
        <v>11400</v>
      </c>
      <c r="I117" s="18">
        <v>11340</v>
      </c>
      <c r="J117" s="13"/>
      <c r="K117" s="14"/>
      <c r="L117" s="15"/>
      <c r="M117" s="16"/>
      <c r="N117" s="16"/>
      <c r="O117" s="16"/>
      <c r="P117" s="16"/>
      <c r="Q117" s="16"/>
      <c r="R117" s="16">
        <f t="shared" si="2"/>
        <v>0</v>
      </c>
      <c r="S117" s="16"/>
      <c r="T117" s="17">
        <f t="shared" si="3"/>
        <v>60</v>
      </c>
      <c r="U117" s="16"/>
      <c r="V117" s="16" t="s">
        <v>925</v>
      </c>
    </row>
    <row r="118" spans="1:22" ht="21" hidden="1" x14ac:dyDescent="0.35">
      <c r="A118" s="8" t="s">
        <v>13</v>
      </c>
      <c r="B118" s="60" t="s">
        <v>940</v>
      </c>
      <c r="C118" s="9" t="s">
        <v>218</v>
      </c>
      <c r="D118" s="10" t="s">
        <v>219</v>
      </c>
      <c r="E118" s="10" t="s">
        <v>47</v>
      </c>
      <c r="F118" s="10" t="s">
        <v>48</v>
      </c>
      <c r="G118" s="10" t="s">
        <v>226</v>
      </c>
      <c r="H118" s="11">
        <v>342733</v>
      </c>
      <c r="I118" s="18">
        <v>83313.84</v>
      </c>
      <c r="J118" s="19">
        <v>-23310</v>
      </c>
      <c r="K118" s="11">
        <v>15000</v>
      </c>
      <c r="L118" s="15"/>
      <c r="M118" s="16"/>
      <c r="N118" s="16"/>
      <c r="O118" s="16"/>
      <c r="P118" s="16"/>
      <c r="Q118" s="16"/>
      <c r="R118" s="16">
        <f t="shared" si="2"/>
        <v>0</v>
      </c>
      <c r="S118" s="16"/>
      <c r="T118" s="17">
        <f t="shared" si="3"/>
        <v>267729.16000000003</v>
      </c>
      <c r="U118" s="16"/>
      <c r="V118" s="16" t="s">
        <v>925</v>
      </c>
    </row>
    <row r="119" spans="1:22" hidden="1" x14ac:dyDescent="0.35">
      <c r="A119" s="8" t="s">
        <v>13</v>
      </c>
      <c r="B119" s="60" t="s">
        <v>940</v>
      </c>
      <c r="C119" s="9" t="s">
        <v>218</v>
      </c>
      <c r="D119" s="10" t="s">
        <v>219</v>
      </c>
      <c r="E119" s="10" t="s">
        <v>163</v>
      </c>
      <c r="F119" s="10" t="s">
        <v>164</v>
      </c>
      <c r="G119" s="10" t="s">
        <v>227</v>
      </c>
      <c r="H119" s="11">
        <v>18994</v>
      </c>
      <c r="I119" s="12"/>
      <c r="J119" s="13"/>
      <c r="K119" s="14"/>
      <c r="L119" s="15"/>
      <c r="M119" s="16"/>
      <c r="N119" s="16"/>
      <c r="O119" s="16"/>
      <c r="P119" s="16"/>
      <c r="Q119" s="16"/>
      <c r="R119" s="16">
        <f t="shared" si="2"/>
        <v>0</v>
      </c>
      <c r="S119" s="16"/>
      <c r="T119" s="17">
        <f t="shared" si="3"/>
        <v>18994</v>
      </c>
      <c r="U119" s="16"/>
      <c r="V119" s="16" t="s">
        <v>925</v>
      </c>
    </row>
    <row r="120" spans="1:22" hidden="1" x14ac:dyDescent="0.35">
      <c r="A120" s="8" t="s">
        <v>13</v>
      </c>
      <c r="B120" s="60" t="s">
        <v>940</v>
      </c>
      <c r="C120" s="9" t="s">
        <v>218</v>
      </c>
      <c r="D120" s="10" t="s">
        <v>219</v>
      </c>
      <c r="E120" s="10" t="s">
        <v>127</v>
      </c>
      <c r="F120" s="10" t="s">
        <v>128</v>
      </c>
      <c r="G120" s="10" t="s">
        <v>228</v>
      </c>
      <c r="H120" s="11">
        <v>123640</v>
      </c>
      <c r="I120" s="18">
        <v>42634.13</v>
      </c>
      <c r="J120" s="13"/>
      <c r="K120" s="14"/>
      <c r="L120" s="15"/>
      <c r="M120" s="16"/>
      <c r="N120" s="16"/>
      <c r="O120" s="16"/>
      <c r="P120" s="16"/>
      <c r="Q120" s="16"/>
      <c r="R120" s="16">
        <f t="shared" si="2"/>
        <v>0</v>
      </c>
      <c r="S120" s="16"/>
      <c r="T120" s="17">
        <f t="shared" si="3"/>
        <v>81005.87</v>
      </c>
      <c r="U120" s="16"/>
      <c r="V120" s="16" t="s">
        <v>925</v>
      </c>
    </row>
    <row r="121" spans="1:22" hidden="1" x14ac:dyDescent="0.35">
      <c r="A121" s="8" t="s">
        <v>13</v>
      </c>
      <c r="B121" s="60" t="s">
        <v>940</v>
      </c>
      <c r="C121" s="9" t="s">
        <v>218</v>
      </c>
      <c r="D121" s="10" t="s">
        <v>219</v>
      </c>
      <c r="E121" s="10" t="s">
        <v>130</v>
      </c>
      <c r="F121" s="10" t="s">
        <v>131</v>
      </c>
      <c r="G121" s="10" t="s">
        <v>229</v>
      </c>
      <c r="H121" s="11">
        <v>74960</v>
      </c>
      <c r="I121" s="18">
        <v>814</v>
      </c>
      <c r="J121" s="19">
        <v>32204</v>
      </c>
      <c r="K121" s="11">
        <v>9693.1200000000008</v>
      </c>
      <c r="L121" s="15"/>
      <c r="M121" s="16"/>
      <c r="N121" s="16"/>
      <c r="O121" s="16"/>
      <c r="P121" s="16"/>
      <c r="Q121" s="16"/>
      <c r="R121" s="16">
        <f t="shared" si="2"/>
        <v>0</v>
      </c>
      <c r="S121" s="16"/>
      <c r="T121" s="17">
        <f t="shared" si="3"/>
        <v>32248.879999999997</v>
      </c>
      <c r="U121" s="16"/>
      <c r="V121" s="16" t="s">
        <v>925</v>
      </c>
    </row>
    <row r="122" spans="1:22" ht="21" hidden="1" x14ac:dyDescent="0.35">
      <c r="A122" s="8" t="s">
        <v>13</v>
      </c>
      <c r="B122" s="60" t="s">
        <v>940</v>
      </c>
      <c r="C122" s="9" t="s">
        <v>230</v>
      </c>
      <c r="D122" s="10" t="s">
        <v>231</v>
      </c>
      <c r="E122" s="10" t="s">
        <v>19</v>
      </c>
      <c r="F122" s="10" t="s">
        <v>20</v>
      </c>
      <c r="G122" s="10" t="s">
        <v>232</v>
      </c>
      <c r="H122" s="11">
        <v>3750</v>
      </c>
      <c r="I122" s="18">
        <v>350</v>
      </c>
      <c r="J122" s="13"/>
      <c r="K122" s="14"/>
      <c r="L122" s="15"/>
      <c r="M122" s="16"/>
      <c r="N122" s="16"/>
      <c r="O122" s="16"/>
      <c r="P122" s="16"/>
      <c r="Q122" s="16"/>
      <c r="R122" s="16">
        <f t="shared" si="2"/>
        <v>0</v>
      </c>
      <c r="S122" s="16"/>
      <c r="T122" s="17">
        <f t="shared" si="3"/>
        <v>3400</v>
      </c>
      <c r="U122" s="16"/>
      <c r="V122" s="16" t="s">
        <v>925</v>
      </c>
    </row>
    <row r="123" spans="1:22" hidden="1" x14ac:dyDescent="0.35">
      <c r="A123" s="8" t="s">
        <v>13</v>
      </c>
      <c r="B123" s="60" t="s">
        <v>940</v>
      </c>
      <c r="C123" s="9" t="s">
        <v>230</v>
      </c>
      <c r="D123" s="10" t="s">
        <v>231</v>
      </c>
      <c r="E123" s="10" t="s">
        <v>233</v>
      </c>
      <c r="F123" s="10" t="s">
        <v>234</v>
      </c>
      <c r="G123" s="10" t="s">
        <v>235</v>
      </c>
      <c r="H123" s="11">
        <v>14000</v>
      </c>
      <c r="I123" s="12"/>
      <c r="J123" s="13"/>
      <c r="K123" s="14"/>
      <c r="L123" s="15"/>
      <c r="M123" s="16"/>
      <c r="N123" s="16"/>
      <c r="O123" s="16"/>
      <c r="P123" s="16"/>
      <c r="Q123" s="16"/>
      <c r="R123" s="16">
        <f t="shared" si="2"/>
        <v>0</v>
      </c>
      <c r="S123" s="16"/>
      <c r="T123" s="17">
        <f t="shared" si="3"/>
        <v>14000</v>
      </c>
      <c r="U123" s="16"/>
      <c r="V123" s="16" t="s">
        <v>925</v>
      </c>
    </row>
    <row r="124" spans="1:22" hidden="1" x14ac:dyDescent="0.35">
      <c r="A124" s="8" t="s">
        <v>13</v>
      </c>
      <c r="B124" s="60" t="s">
        <v>940</v>
      </c>
      <c r="C124" s="9" t="s">
        <v>230</v>
      </c>
      <c r="D124" s="10" t="s">
        <v>231</v>
      </c>
      <c r="E124" s="10" t="s">
        <v>153</v>
      </c>
      <c r="F124" s="10" t="s">
        <v>154</v>
      </c>
      <c r="G124" s="10" t="s">
        <v>236</v>
      </c>
      <c r="H124" s="11">
        <v>7330</v>
      </c>
      <c r="I124" s="18">
        <v>5040</v>
      </c>
      <c r="J124" s="13"/>
      <c r="K124" s="14"/>
      <c r="L124" s="15"/>
      <c r="M124" s="16"/>
      <c r="N124" s="16"/>
      <c r="O124" s="16"/>
      <c r="P124" s="16"/>
      <c r="Q124" s="16"/>
      <c r="R124" s="16">
        <f t="shared" si="2"/>
        <v>0</v>
      </c>
      <c r="S124" s="16"/>
      <c r="T124" s="17">
        <f t="shared" si="3"/>
        <v>2290</v>
      </c>
      <c r="U124" s="16"/>
      <c r="V124" s="16" t="s">
        <v>925</v>
      </c>
    </row>
    <row r="125" spans="1:22" hidden="1" x14ac:dyDescent="0.35">
      <c r="A125" s="8" t="s">
        <v>13</v>
      </c>
      <c r="B125" s="60" t="s">
        <v>940</v>
      </c>
      <c r="C125" s="9" t="s">
        <v>230</v>
      </c>
      <c r="D125" s="10" t="s">
        <v>231</v>
      </c>
      <c r="E125" s="10" t="s">
        <v>66</v>
      </c>
      <c r="F125" s="10" t="s">
        <v>67</v>
      </c>
      <c r="G125" s="10" t="s">
        <v>237</v>
      </c>
      <c r="H125" s="11">
        <v>60000</v>
      </c>
      <c r="I125" s="18">
        <v>8948</v>
      </c>
      <c r="J125" s="19">
        <v>7346</v>
      </c>
      <c r="K125" s="14"/>
      <c r="L125" s="15"/>
      <c r="M125" s="16"/>
      <c r="N125" s="16"/>
      <c r="O125" s="16"/>
      <c r="P125" s="16"/>
      <c r="Q125" s="16"/>
      <c r="R125" s="16">
        <f t="shared" si="2"/>
        <v>0</v>
      </c>
      <c r="S125" s="16"/>
      <c r="T125" s="17">
        <f t="shared" si="3"/>
        <v>43706</v>
      </c>
      <c r="U125" s="16"/>
      <c r="V125" s="16" t="s">
        <v>925</v>
      </c>
    </row>
    <row r="126" spans="1:22" hidden="1" x14ac:dyDescent="0.35">
      <c r="A126" s="8" t="s">
        <v>13</v>
      </c>
      <c r="B126" s="60" t="s">
        <v>940</v>
      </c>
      <c r="C126" s="9" t="s">
        <v>230</v>
      </c>
      <c r="D126" s="10" t="s">
        <v>231</v>
      </c>
      <c r="E126" s="10" t="s">
        <v>157</v>
      </c>
      <c r="F126" s="10" t="s">
        <v>158</v>
      </c>
      <c r="G126" s="10" t="s">
        <v>238</v>
      </c>
      <c r="H126" s="11">
        <v>247550</v>
      </c>
      <c r="I126" s="18">
        <v>117899.59</v>
      </c>
      <c r="J126" s="13"/>
      <c r="K126" s="14"/>
      <c r="L126" s="15"/>
      <c r="M126" s="16"/>
      <c r="N126" s="16"/>
      <c r="O126" s="16"/>
      <c r="P126" s="16"/>
      <c r="Q126" s="16"/>
      <c r="R126" s="16">
        <f t="shared" si="2"/>
        <v>0</v>
      </c>
      <c r="S126" s="16"/>
      <c r="T126" s="17">
        <f t="shared" si="3"/>
        <v>129650.41</v>
      </c>
      <c r="U126" s="16"/>
      <c r="V126" s="16" t="s">
        <v>925</v>
      </c>
    </row>
    <row r="127" spans="1:22" hidden="1" x14ac:dyDescent="0.35">
      <c r="A127" s="8" t="s">
        <v>13</v>
      </c>
      <c r="B127" s="60" t="s">
        <v>940</v>
      </c>
      <c r="C127" s="9" t="s">
        <v>230</v>
      </c>
      <c r="D127" s="10" t="s">
        <v>231</v>
      </c>
      <c r="E127" s="10" t="s">
        <v>25</v>
      </c>
      <c r="F127" s="10" t="s">
        <v>26</v>
      </c>
      <c r="G127" s="10" t="s">
        <v>239</v>
      </c>
      <c r="H127" s="11">
        <v>6095</v>
      </c>
      <c r="I127" s="18">
        <v>5670</v>
      </c>
      <c r="J127" s="13"/>
      <c r="K127" s="14"/>
      <c r="L127" s="15"/>
      <c r="M127" s="16"/>
      <c r="N127" s="16"/>
      <c r="O127" s="16"/>
      <c r="P127" s="16"/>
      <c r="Q127" s="16"/>
      <c r="R127" s="16">
        <f t="shared" si="2"/>
        <v>0</v>
      </c>
      <c r="S127" s="16"/>
      <c r="T127" s="17">
        <f t="shared" si="3"/>
        <v>425</v>
      </c>
      <c r="U127" s="16"/>
      <c r="V127" s="16" t="s">
        <v>925</v>
      </c>
    </row>
    <row r="128" spans="1:22" ht="21" hidden="1" x14ac:dyDescent="0.35">
      <c r="A128" s="8" t="s">
        <v>13</v>
      </c>
      <c r="B128" s="60" t="s">
        <v>940</v>
      </c>
      <c r="C128" s="9" t="s">
        <v>230</v>
      </c>
      <c r="D128" s="10" t="s">
        <v>231</v>
      </c>
      <c r="E128" s="10" t="s">
        <v>47</v>
      </c>
      <c r="F128" s="10" t="s">
        <v>48</v>
      </c>
      <c r="G128" s="10" t="s">
        <v>240</v>
      </c>
      <c r="H128" s="11">
        <v>154616</v>
      </c>
      <c r="I128" s="18">
        <v>80173.570000000007</v>
      </c>
      <c r="J128" s="19">
        <v>26786.2</v>
      </c>
      <c r="K128" s="11">
        <v>29914.13</v>
      </c>
      <c r="L128" s="15"/>
      <c r="M128" s="16"/>
      <c r="N128" s="16"/>
      <c r="O128" s="16"/>
      <c r="P128" s="16"/>
      <c r="Q128" s="16"/>
      <c r="R128" s="16">
        <f t="shared" si="2"/>
        <v>0</v>
      </c>
      <c r="S128" s="16"/>
      <c r="T128" s="17">
        <f t="shared" si="3"/>
        <v>17742.099999999995</v>
      </c>
      <c r="U128" s="16"/>
      <c r="V128" s="16" t="s">
        <v>925</v>
      </c>
    </row>
    <row r="129" spans="1:22" hidden="1" x14ac:dyDescent="0.35">
      <c r="A129" s="8" t="s">
        <v>13</v>
      </c>
      <c r="B129" s="60" t="s">
        <v>940</v>
      </c>
      <c r="C129" s="9" t="s">
        <v>230</v>
      </c>
      <c r="D129" s="10" t="s">
        <v>231</v>
      </c>
      <c r="E129" s="10" t="s">
        <v>127</v>
      </c>
      <c r="F129" s="10" t="s">
        <v>128</v>
      </c>
      <c r="G129" s="10" t="s">
        <v>241</v>
      </c>
      <c r="H129" s="11">
        <v>70000</v>
      </c>
      <c r="I129" s="18">
        <v>28599.33</v>
      </c>
      <c r="J129" s="13"/>
      <c r="K129" s="14"/>
      <c r="L129" s="15"/>
      <c r="M129" s="16"/>
      <c r="N129" s="16"/>
      <c r="O129" s="16"/>
      <c r="P129" s="16"/>
      <c r="Q129" s="16"/>
      <c r="R129" s="16">
        <f t="shared" si="2"/>
        <v>0</v>
      </c>
      <c r="S129" s="16"/>
      <c r="T129" s="17">
        <f t="shared" si="3"/>
        <v>41400.67</v>
      </c>
      <c r="U129" s="16"/>
      <c r="V129" s="16" t="s">
        <v>925</v>
      </c>
    </row>
    <row r="130" spans="1:22" hidden="1" x14ac:dyDescent="0.35">
      <c r="A130" s="8" t="s">
        <v>13</v>
      </c>
      <c r="B130" s="60" t="s">
        <v>940</v>
      </c>
      <c r="C130" s="9" t="s">
        <v>230</v>
      </c>
      <c r="D130" s="10" t="s">
        <v>231</v>
      </c>
      <c r="E130" s="10" t="s">
        <v>130</v>
      </c>
      <c r="F130" s="10" t="s">
        <v>131</v>
      </c>
      <c r="G130" s="10" t="s">
        <v>242</v>
      </c>
      <c r="H130" s="11">
        <v>70880</v>
      </c>
      <c r="I130" s="18">
        <v>45034.46</v>
      </c>
      <c r="J130" s="19">
        <v>-9834.4599999999991</v>
      </c>
      <c r="K130" s="11">
        <v>11138.38</v>
      </c>
      <c r="L130" s="15"/>
      <c r="M130" s="16"/>
      <c r="N130" s="16"/>
      <c r="O130" s="16"/>
      <c r="P130" s="16"/>
      <c r="Q130" s="16"/>
      <c r="R130" s="16">
        <f t="shared" si="2"/>
        <v>0</v>
      </c>
      <c r="S130" s="16"/>
      <c r="T130" s="17">
        <f t="shared" si="3"/>
        <v>24541.620000000003</v>
      </c>
      <c r="U130" s="16"/>
      <c r="V130" s="16" t="s">
        <v>925</v>
      </c>
    </row>
    <row r="131" spans="1:22" ht="21" hidden="1" x14ac:dyDescent="0.35">
      <c r="A131" s="8" t="s">
        <v>13</v>
      </c>
      <c r="B131" s="60" t="s">
        <v>940</v>
      </c>
      <c r="C131" s="9" t="s">
        <v>230</v>
      </c>
      <c r="D131" s="10" t="s">
        <v>231</v>
      </c>
      <c r="E131" s="10" t="s">
        <v>204</v>
      </c>
      <c r="F131" s="10" t="s">
        <v>205</v>
      </c>
      <c r="G131" s="10" t="s">
        <v>243</v>
      </c>
      <c r="H131" s="11">
        <v>2760</v>
      </c>
      <c r="I131" s="12"/>
      <c r="J131" s="13"/>
      <c r="K131" s="14"/>
      <c r="L131" s="15"/>
      <c r="M131" s="16"/>
      <c r="N131" s="16"/>
      <c r="O131" s="16"/>
      <c r="P131" s="16"/>
      <c r="Q131" s="16"/>
      <c r="R131" s="16">
        <f t="shared" si="2"/>
        <v>0</v>
      </c>
      <c r="S131" s="16"/>
      <c r="T131" s="17">
        <f t="shared" si="3"/>
        <v>2760</v>
      </c>
      <c r="U131" s="16"/>
      <c r="V131" s="16" t="s">
        <v>925</v>
      </c>
    </row>
    <row r="132" spans="1:22" ht="29" hidden="1" x14ac:dyDescent="0.35">
      <c r="A132" s="8" t="s">
        <v>13</v>
      </c>
      <c r="B132" s="60" t="s">
        <v>940</v>
      </c>
      <c r="C132" s="9" t="s">
        <v>244</v>
      </c>
      <c r="D132" s="10" t="s">
        <v>245</v>
      </c>
      <c r="E132" s="10" t="s">
        <v>19</v>
      </c>
      <c r="F132" s="10" t="s">
        <v>20</v>
      </c>
      <c r="G132" s="10" t="s">
        <v>246</v>
      </c>
      <c r="H132" s="11">
        <v>10500</v>
      </c>
      <c r="I132" s="18">
        <v>10462.700000000001</v>
      </c>
      <c r="J132" s="13"/>
      <c r="K132" s="14"/>
      <c r="L132" s="15">
        <v>37</v>
      </c>
      <c r="M132" s="16"/>
      <c r="N132" s="16"/>
      <c r="O132" s="16"/>
      <c r="P132" s="16"/>
      <c r="Q132" s="16"/>
      <c r="R132" s="16">
        <f t="shared" si="2"/>
        <v>37</v>
      </c>
      <c r="S132" s="16" t="s">
        <v>839</v>
      </c>
      <c r="T132" s="17">
        <f t="shared" si="3"/>
        <v>0.2999999999992724</v>
      </c>
      <c r="U132" s="16"/>
      <c r="V132" s="16" t="s">
        <v>926</v>
      </c>
    </row>
    <row r="133" spans="1:22" ht="43.5" hidden="1" x14ac:dyDescent="0.35">
      <c r="A133" s="8" t="s">
        <v>13</v>
      </c>
      <c r="B133" s="60" t="s">
        <v>940</v>
      </c>
      <c r="C133" s="9" t="s">
        <v>244</v>
      </c>
      <c r="D133" s="10" t="s">
        <v>245</v>
      </c>
      <c r="E133" s="10" t="s">
        <v>233</v>
      </c>
      <c r="F133" s="10" t="s">
        <v>234</v>
      </c>
      <c r="G133" s="10" t="s">
        <v>247</v>
      </c>
      <c r="H133" s="11">
        <v>30000</v>
      </c>
      <c r="I133" s="18">
        <v>58820.18</v>
      </c>
      <c r="J133" s="19">
        <v>-29766.77</v>
      </c>
      <c r="K133" s="11">
        <v>0</v>
      </c>
      <c r="L133" s="15">
        <v>947</v>
      </c>
      <c r="M133" s="16"/>
      <c r="N133" s="16"/>
      <c r="O133" s="16"/>
      <c r="P133" s="16"/>
      <c r="Q133" s="16"/>
      <c r="R133" s="16">
        <f t="shared" ref="R133:R196" si="4">Q133+P133+O133+N133+M133+L133</f>
        <v>947</v>
      </c>
      <c r="S133" s="16" t="s">
        <v>840</v>
      </c>
      <c r="T133" s="17">
        <f t="shared" ref="T133:T196" si="5">H133-I133-J133-K133-L133-M133-N133-O133-P133-Q133</f>
        <v>-0.40999999999985448</v>
      </c>
      <c r="U133" s="16"/>
      <c r="V133" s="16" t="s">
        <v>926</v>
      </c>
    </row>
    <row r="134" spans="1:22" ht="29" hidden="1" x14ac:dyDescent="0.35">
      <c r="A134" s="8" t="s">
        <v>13</v>
      </c>
      <c r="B134" s="60" t="s">
        <v>940</v>
      </c>
      <c r="C134" s="9" t="s">
        <v>244</v>
      </c>
      <c r="D134" s="10" t="s">
        <v>245</v>
      </c>
      <c r="E134" s="10" t="s">
        <v>153</v>
      </c>
      <c r="F134" s="10" t="s">
        <v>154</v>
      </c>
      <c r="G134" s="10" t="s">
        <v>248</v>
      </c>
      <c r="H134" s="11">
        <v>3400</v>
      </c>
      <c r="I134" s="18">
        <v>1181.25</v>
      </c>
      <c r="J134" s="13"/>
      <c r="K134" s="14"/>
      <c r="L134" s="15"/>
      <c r="M134" s="16"/>
      <c r="N134" s="16">
        <v>740</v>
      </c>
      <c r="O134" s="16">
        <v>740</v>
      </c>
      <c r="P134" s="16">
        <v>739</v>
      </c>
      <c r="Q134" s="16"/>
      <c r="R134" s="16">
        <f t="shared" si="4"/>
        <v>2219</v>
      </c>
      <c r="S134" s="16" t="s">
        <v>841</v>
      </c>
      <c r="T134" s="17">
        <f t="shared" si="5"/>
        <v>-0.25</v>
      </c>
      <c r="U134" s="16"/>
      <c r="V134" s="16" t="s">
        <v>926</v>
      </c>
    </row>
    <row r="135" spans="1:22" ht="145" hidden="1" x14ac:dyDescent="0.35">
      <c r="A135" s="8" t="s">
        <v>13</v>
      </c>
      <c r="B135" s="60" t="s">
        <v>940</v>
      </c>
      <c r="C135" s="9" t="s">
        <v>244</v>
      </c>
      <c r="D135" s="10" t="s">
        <v>245</v>
      </c>
      <c r="E135" s="10" t="s">
        <v>66</v>
      </c>
      <c r="F135" s="10" t="s">
        <v>67</v>
      </c>
      <c r="G135" s="10" t="s">
        <v>249</v>
      </c>
      <c r="H135" s="11">
        <v>225000</v>
      </c>
      <c r="I135" s="18">
        <v>147690.03</v>
      </c>
      <c r="J135" s="13"/>
      <c r="K135" s="14"/>
      <c r="L135" s="15"/>
      <c r="M135" s="16"/>
      <c r="N135" s="16"/>
      <c r="O135" s="16">
        <v>50000</v>
      </c>
      <c r="P135" s="16">
        <v>27310</v>
      </c>
      <c r="Q135" s="16"/>
      <c r="R135" s="16">
        <f t="shared" si="4"/>
        <v>77310</v>
      </c>
      <c r="S135" s="16" t="s">
        <v>842</v>
      </c>
      <c r="T135" s="17">
        <f t="shared" si="5"/>
        <v>-2.9999999998835847E-2</v>
      </c>
      <c r="U135" s="16"/>
      <c r="V135" s="16" t="s">
        <v>926</v>
      </c>
    </row>
    <row r="136" spans="1:22" hidden="1" x14ac:dyDescent="0.35">
      <c r="A136" s="8" t="s">
        <v>13</v>
      </c>
      <c r="B136" s="60" t="s">
        <v>940</v>
      </c>
      <c r="C136" s="9" t="s">
        <v>244</v>
      </c>
      <c r="D136" s="10" t="s">
        <v>245</v>
      </c>
      <c r="E136" s="10" t="s">
        <v>157</v>
      </c>
      <c r="F136" s="10" t="s">
        <v>158</v>
      </c>
      <c r="G136" s="10" t="s">
        <v>250</v>
      </c>
      <c r="H136" s="11">
        <v>188500</v>
      </c>
      <c r="I136" s="18">
        <v>106703.64</v>
      </c>
      <c r="J136" s="13"/>
      <c r="K136" s="14"/>
      <c r="L136" s="15">
        <v>13500</v>
      </c>
      <c r="M136" s="16">
        <v>13500</v>
      </c>
      <c r="N136" s="16">
        <v>13500</v>
      </c>
      <c r="O136" s="16">
        <v>13500</v>
      </c>
      <c r="P136" s="16">
        <v>13500</v>
      </c>
      <c r="Q136" s="16">
        <v>14296</v>
      </c>
      <c r="R136" s="16">
        <f t="shared" si="4"/>
        <v>81796</v>
      </c>
      <c r="S136" s="16"/>
      <c r="T136" s="17">
        <f t="shared" si="5"/>
        <v>0.36000000000058208</v>
      </c>
      <c r="U136" s="16"/>
      <c r="V136" s="16" t="s">
        <v>926</v>
      </c>
    </row>
    <row r="137" spans="1:22" ht="43.5" hidden="1" x14ac:dyDescent="0.35">
      <c r="A137" s="8" t="s">
        <v>13</v>
      </c>
      <c r="B137" s="60" t="s">
        <v>940</v>
      </c>
      <c r="C137" s="9" t="s">
        <v>244</v>
      </c>
      <c r="D137" s="10" t="s">
        <v>245</v>
      </c>
      <c r="E137" s="10" t="s">
        <v>25</v>
      </c>
      <c r="F137" s="10" t="s">
        <v>26</v>
      </c>
      <c r="G137" s="10" t="s">
        <v>251</v>
      </c>
      <c r="H137" s="11">
        <v>19700</v>
      </c>
      <c r="I137" s="18">
        <v>11250</v>
      </c>
      <c r="J137" s="19">
        <v>8305.5</v>
      </c>
      <c r="K137" s="11">
        <v>0</v>
      </c>
      <c r="L137" s="15">
        <v>144</v>
      </c>
      <c r="M137" s="16"/>
      <c r="N137" s="16"/>
      <c r="O137" s="16"/>
      <c r="P137" s="16"/>
      <c r="Q137" s="16"/>
      <c r="R137" s="16">
        <f t="shared" si="4"/>
        <v>144</v>
      </c>
      <c r="S137" s="16" t="s">
        <v>843</v>
      </c>
      <c r="T137" s="17">
        <f t="shared" si="5"/>
        <v>0.5</v>
      </c>
      <c r="U137" s="16"/>
      <c r="V137" s="16" t="s">
        <v>926</v>
      </c>
    </row>
    <row r="138" spans="1:22" ht="29" hidden="1" x14ac:dyDescent="0.35">
      <c r="A138" s="8" t="s">
        <v>13</v>
      </c>
      <c r="B138" s="60" t="s">
        <v>940</v>
      </c>
      <c r="C138" s="9" t="s">
        <v>244</v>
      </c>
      <c r="D138" s="10" t="s">
        <v>245</v>
      </c>
      <c r="E138" s="10" t="s">
        <v>47</v>
      </c>
      <c r="F138" s="10" t="s">
        <v>48</v>
      </c>
      <c r="G138" s="10" t="s">
        <v>252</v>
      </c>
      <c r="H138" s="11">
        <v>192090</v>
      </c>
      <c r="I138" s="18">
        <v>12115.3</v>
      </c>
      <c r="J138" s="19">
        <v>18365</v>
      </c>
      <c r="K138" s="11">
        <v>148413.85999999999</v>
      </c>
      <c r="L138" s="15">
        <v>5000</v>
      </c>
      <c r="M138" s="16">
        <v>4098</v>
      </c>
      <c r="N138" s="16">
        <v>4098</v>
      </c>
      <c r="O138" s="16"/>
      <c r="P138" s="16"/>
      <c r="Q138" s="16"/>
      <c r="R138" s="16">
        <f t="shared" si="4"/>
        <v>13196</v>
      </c>
      <c r="S138" s="16" t="s">
        <v>844</v>
      </c>
      <c r="T138" s="17">
        <f t="shared" si="5"/>
        <v>-0.15999999997438863</v>
      </c>
      <c r="U138" s="16"/>
      <c r="V138" s="16" t="s">
        <v>926</v>
      </c>
    </row>
    <row r="139" spans="1:22" ht="58" hidden="1" x14ac:dyDescent="0.35">
      <c r="A139" s="8" t="s">
        <v>13</v>
      </c>
      <c r="B139" s="60" t="s">
        <v>940</v>
      </c>
      <c r="C139" s="9" t="s">
        <v>244</v>
      </c>
      <c r="D139" s="10" t="s">
        <v>245</v>
      </c>
      <c r="E139" s="10" t="s">
        <v>28</v>
      </c>
      <c r="F139" s="10" t="s">
        <v>29</v>
      </c>
      <c r="G139" s="10" t="s">
        <v>253</v>
      </c>
      <c r="H139" s="11">
        <v>543</v>
      </c>
      <c r="I139" s="12"/>
      <c r="J139" s="13"/>
      <c r="K139" s="14"/>
      <c r="L139" s="15">
        <v>543</v>
      </c>
      <c r="M139" s="16"/>
      <c r="N139" s="16"/>
      <c r="O139" s="16"/>
      <c r="P139" s="16"/>
      <c r="Q139" s="16"/>
      <c r="R139" s="16">
        <f t="shared" si="4"/>
        <v>543</v>
      </c>
      <c r="S139" s="16" t="s">
        <v>845</v>
      </c>
      <c r="T139" s="17">
        <f t="shared" si="5"/>
        <v>0</v>
      </c>
      <c r="U139" s="16"/>
      <c r="V139" s="16" t="s">
        <v>926</v>
      </c>
    </row>
    <row r="140" spans="1:22" ht="58" hidden="1" x14ac:dyDescent="0.35">
      <c r="A140" s="8" t="s">
        <v>13</v>
      </c>
      <c r="B140" s="60" t="s">
        <v>940</v>
      </c>
      <c r="C140" s="9" t="s">
        <v>244</v>
      </c>
      <c r="D140" s="10" t="s">
        <v>245</v>
      </c>
      <c r="E140" s="10" t="s">
        <v>163</v>
      </c>
      <c r="F140" s="10" t="s">
        <v>164</v>
      </c>
      <c r="G140" s="10" t="s">
        <v>254</v>
      </c>
      <c r="H140" s="11">
        <v>75500</v>
      </c>
      <c r="I140" s="18">
        <v>800</v>
      </c>
      <c r="J140" s="19">
        <v>0</v>
      </c>
      <c r="K140" s="11">
        <v>74500</v>
      </c>
      <c r="L140" s="15">
        <v>200</v>
      </c>
      <c r="M140" s="16"/>
      <c r="N140" s="16"/>
      <c r="O140" s="16"/>
      <c r="P140" s="16"/>
      <c r="Q140" s="16"/>
      <c r="R140" s="16">
        <f t="shared" si="4"/>
        <v>200</v>
      </c>
      <c r="S140" s="16" t="s">
        <v>845</v>
      </c>
      <c r="T140" s="17">
        <f t="shared" si="5"/>
        <v>0</v>
      </c>
      <c r="U140" s="16"/>
      <c r="V140" s="16" t="s">
        <v>926</v>
      </c>
    </row>
    <row r="141" spans="1:22" hidden="1" x14ac:dyDescent="0.35">
      <c r="A141" s="8" t="s">
        <v>13</v>
      </c>
      <c r="B141" s="60" t="s">
        <v>940</v>
      </c>
      <c r="C141" s="9" t="s">
        <v>244</v>
      </c>
      <c r="D141" s="10" t="s">
        <v>245</v>
      </c>
      <c r="E141" s="10" t="s">
        <v>127</v>
      </c>
      <c r="F141" s="10" t="s">
        <v>128</v>
      </c>
      <c r="G141" s="10" t="s">
        <v>255</v>
      </c>
      <c r="H141" s="11">
        <v>138403</v>
      </c>
      <c r="I141" s="18">
        <v>41131.620000000003</v>
      </c>
      <c r="J141" s="13"/>
      <c r="K141" s="14"/>
      <c r="L141" s="15">
        <v>16211</v>
      </c>
      <c r="M141" s="16">
        <v>16211</v>
      </c>
      <c r="N141" s="16">
        <v>16211</v>
      </c>
      <c r="O141" s="16">
        <v>16211</v>
      </c>
      <c r="P141" s="16">
        <v>16211</v>
      </c>
      <c r="Q141" s="16">
        <v>16216</v>
      </c>
      <c r="R141" s="16">
        <f t="shared" si="4"/>
        <v>97271</v>
      </c>
      <c r="S141" s="16" t="s">
        <v>846</v>
      </c>
      <c r="T141" s="17">
        <f t="shared" si="5"/>
        <v>0.38000000000465661</v>
      </c>
      <c r="U141" s="16"/>
      <c r="V141" s="16" t="s">
        <v>926</v>
      </c>
    </row>
    <row r="142" spans="1:22" ht="29" hidden="1" x14ac:dyDescent="0.35">
      <c r="A142" s="8" t="s">
        <v>13</v>
      </c>
      <c r="B142" s="60" t="s">
        <v>940</v>
      </c>
      <c r="C142" s="9" t="s">
        <v>244</v>
      </c>
      <c r="D142" s="10" t="s">
        <v>245</v>
      </c>
      <c r="E142" s="10" t="s">
        <v>130</v>
      </c>
      <c r="F142" s="10" t="s">
        <v>131</v>
      </c>
      <c r="G142" s="10" t="s">
        <v>256</v>
      </c>
      <c r="H142" s="11">
        <v>72954</v>
      </c>
      <c r="I142" s="18">
        <v>23886.89</v>
      </c>
      <c r="J142" s="19">
        <v>-21000</v>
      </c>
      <c r="K142" s="11">
        <v>67631</v>
      </c>
      <c r="L142" s="15">
        <v>2436</v>
      </c>
      <c r="M142" s="16"/>
      <c r="N142" s="16"/>
      <c r="O142" s="16"/>
      <c r="P142" s="16"/>
      <c r="Q142" s="16"/>
      <c r="R142" s="16">
        <f t="shared" si="4"/>
        <v>2436</v>
      </c>
      <c r="S142" s="16" t="s">
        <v>847</v>
      </c>
      <c r="T142" s="17">
        <f t="shared" si="5"/>
        <v>0.11000000000058208</v>
      </c>
      <c r="U142" s="16"/>
      <c r="V142" s="16" t="s">
        <v>926</v>
      </c>
    </row>
    <row r="143" spans="1:22" ht="58" hidden="1" x14ac:dyDescent="0.35">
      <c r="A143" s="8" t="s">
        <v>13</v>
      </c>
      <c r="B143" s="60" t="s">
        <v>940</v>
      </c>
      <c r="C143" s="9" t="s">
        <v>244</v>
      </c>
      <c r="D143" s="10" t="s">
        <v>245</v>
      </c>
      <c r="E143" s="10" t="s">
        <v>201</v>
      </c>
      <c r="F143" s="10" t="s">
        <v>202</v>
      </c>
      <c r="G143" s="10" t="s">
        <v>257</v>
      </c>
      <c r="H143" s="11">
        <v>1860</v>
      </c>
      <c r="I143" s="12"/>
      <c r="J143" s="13"/>
      <c r="K143" s="14"/>
      <c r="L143" s="15">
        <v>1860</v>
      </c>
      <c r="M143" s="16"/>
      <c r="N143" s="16"/>
      <c r="O143" s="16"/>
      <c r="P143" s="16"/>
      <c r="Q143" s="16"/>
      <c r="R143" s="16">
        <f t="shared" si="4"/>
        <v>1860</v>
      </c>
      <c r="S143" s="16" t="s">
        <v>845</v>
      </c>
      <c r="T143" s="17">
        <f t="shared" si="5"/>
        <v>0</v>
      </c>
      <c r="U143" s="16"/>
      <c r="V143" s="16" t="s">
        <v>926</v>
      </c>
    </row>
    <row r="144" spans="1:22" ht="58" hidden="1" x14ac:dyDescent="0.35">
      <c r="A144" s="8" t="s">
        <v>13</v>
      </c>
      <c r="B144" s="60" t="s">
        <v>940</v>
      </c>
      <c r="C144" s="9" t="s">
        <v>244</v>
      </c>
      <c r="D144" s="10" t="s">
        <v>245</v>
      </c>
      <c r="E144" s="10" t="s">
        <v>204</v>
      </c>
      <c r="F144" s="10" t="s">
        <v>205</v>
      </c>
      <c r="G144" s="10" t="s">
        <v>258</v>
      </c>
      <c r="H144" s="11">
        <v>7998</v>
      </c>
      <c r="I144" s="12"/>
      <c r="J144" s="13"/>
      <c r="K144" s="14"/>
      <c r="L144" s="15">
        <v>7998</v>
      </c>
      <c r="M144" s="16"/>
      <c r="N144" s="16"/>
      <c r="O144" s="16"/>
      <c r="P144" s="16"/>
      <c r="Q144" s="16"/>
      <c r="R144" s="16">
        <f t="shared" si="4"/>
        <v>7998</v>
      </c>
      <c r="S144" s="16" t="s">
        <v>848</v>
      </c>
      <c r="T144" s="17">
        <f t="shared" si="5"/>
        <v>0</v>
      </c>
      <c r="U144" s="16"/>
      <c r="V144" s="16" t="s">
        <v>926</v>
      </c>
    </row>
    <row r="145" spans="1:22" ht="21" hidden="1" x14ac:dyDescent="0.35">
      <c r="A145" s="8" t="s">
        <v>13</v>
      </c>
      <c r="B145" s="60" t="s">
        <v>940</v>
      </c>
      <c r="C145" s="9" t="s">
        <v>259</v>
      </c>
      <c r="D145" s="10" t="s">
        <v>260</v>
      </c>
      <c r="E145" s="10" t="s">
        <v>19</v>
      </c>
      <c r="F145" s="10" t="s">
        <v>20</v>
      </c>
      <c r="G145" s="10" t="s">
        <v>261</v>
      </c>
      <c r="H145" s="11">
        <v>0</v>
      </c>
      <c r="I145" s="12"/>
      <c r="J145" s="13"/>
      <c r="K145" s="14"/>
      <c r="L145" s="15"/>
      <c r="M145" s="16"/>
      <c r="N145" s="16"/>
      <c r="O145" s="16"/>
      <c r="P145" s="16"/>
      <c r="Q145" s="16"/>
      <c r="R145" s="16">
        <f t="shared" si="4"/>
        <v>0</v>
      </c>
      <c r="S145" s="16"/>
      <c r="T145" s="17">
        <f t="shared" si="5"/>
        <v>0</v>
      </c>
      <c r="U145" s="16"/>
      <c r="V145" s="16" t="s">
        <v>926</v>
      </c>
    </row>
    <row r="146" spans="1:22" hidden="1" x14ac:dyDescent="0.35">
      <c r="A146" s="8" t="s">
        <v>13</v>
      </c>
      <c r="B146" s="60" t="s">
        <v>940</v>
      </c>
      <c r="C146" s="9" t="s">
        <v>259</v>
      </c>
      <c r="D146" s="10" t="s">
        <v>260</v>
      </c>
      <c r="E146" s="10" t="s">
        <v>153</v>
      </c>
      <c r="F146" s="10" t="s">
        <v>154</v>
      </c>
      <c r="G146" s="10" t="s">
        <v>262</v>
      </c>
      <c r="H146" s="11">
        <v>0</v>
      </c>
      <c r="I146" s="18">
        <v>0</v>
      </c>
      <c r="J146" s="13"/>
      <c r="K146" s="14"/>
      <c r="L146" s="15"/>
      <c r="M146" s="16"/>
      <c r="N146" s="16"/>
      <c r="O146" s="16"/>
      <c r="P146" s="16"/>
      <c r="Q146" s="16"/>
      <c r="R146" s="16">
        <f t="shared" si="4"/>
        <v>0</v>
      </c>
      <c r="S146" s="16"/>
      <c r="T146" s="17">
        <f t="shared" si="5"/>
        <v>0</v>
      </c>
      <c r="U146" s="16"/>
      <c r="V146" s="16" t="s">
        <v>926</v>
      </c>
    </row>
    <row r="147" spans="1:22" hidden="1" x14ac:dyDescent="0.35">
      <c r="A147" s="8" t="s">
        <v>13</v>
      </c>
      <c r="B147" s="60" t="s">
        <v>940</v>
      </c>
      <c r="C147" s="9" t="s">
        <v>259</v>
      </c>
      <c r="D147" s="10" t="s">
        <v>260</v>
      </c>
      <c r="E147" s="10" t="s">
        <v>263</v>
      </c>
      <c r="F147" s="10" t="s">
        <v>264</v>
      </c>
      <c r="G147" s="10" t="s">
        <v>265</v>
      </c>
      <c r="H147" s="11">
        <v>25720</v>
      </c>
      <c r="I147" s="18">
        <v>25720</v>
      </c>
      <c r="J147" s="13"/>
      <c r="K147" s="14"/>
      <c r="L147" s="15"/>
      <c r="M147" s="16"/>
      <c r="N147" s="16"/>
      <c r="O147" s="16"/>
      <c r="P147" s="16"/>
      <c r="Q147" s="16"/>
      <c r="R147" s="16">
        <f t="shared" si="4"/>
        <v>0</v>
      </c>
      <c r="S147" s="16"/>
      <c r="T147" s="17">
        <f t="shared" si="5"/>
        <v>0</v>
      </c>
      <c r="U147" s="16"/>
      <c r="V147" s="16" t="s">
        <v>926</v>
      </c>
    </row>
    <row r="148" spans="1:22" ht="58" hidden="1" x14ac:dyDescent="0.35">
      <c r="A148" s="8" t="s">
        <v>13</v>
      </c>
      <c r="B148" s="60" t="s">
        <v>940</v>
      </c>
      <c r="C148" s="9" t="s">
        <v>259</v>
      </c>
      <c r="D148" s="10" t="s">
        <v>260</v>
      </c>
      <c r="E148" s="10" t="s">
        <v>157</v>
      </c>
      <c r="F148" s="10" t="s">
        <v>158</v>
      </c>
      <c r="G148" s="10" t="s">
        <v>266</v>
      </c>
      <c r="H148" s="11">
        <v>63201</v>
      </c>
      <c r="I148" s="18">
        <v>51412.45</v>
      </c>
      <c r="J148" s="13"/>
      <c r="K148" s="14"/>
      <c r="L148" s="15">
        <v>7700</v>
      </c>
      <c r="M148" s="16">
        <v>3000</v>
      </c>
      <c r="N148" s="16">
        <v>350</v>
      </c>
      <c r="O148" s="16">
        <v>350</v>
      </c>
      <c r="P148" s="16">
        <v>350</v>
      </c>
      <c r="Q148" s="16"/>
      <c r="R148" s="16">
        <f t="shared" si="4"/>
        <v>11750</v>
      </c>
      <c r="S148" s="16" t="s">
        <v>828</v>
      </c>
      <c r="T148" s="17">
        <f t="shared" si="5"/>
        <v>38.55000000000291</v>
      </c>
      <c r="U148" s="16"/>
      <c r="V148" s="16" t="s">
        <v>926</v>
      </c>
    </row>
    <row r="149" spans="1:22" hidden="1" x14ac:dyDescent="0.35">
      <c r="A149" s="8" t="s">
        <v>13</v>
      </c>
      <c r="B149" s="60" t="s">
        <v>940</v>
      </c>
      <c r="C149" s="9" t="s">
        <v>259</v>
      </c>
      <c r="D149" s="10" t="s">
        <v>260</v>
      </c>
      <c r="E149" s="10" t="s">
        <v>25</v>
      </c>
      <c r="F149" s="10" t="s">
        <v>26</v>
      </c>
      <c r="G149" s="10" t="s">
        <v>267</v>
      </c>
      <c r="H149" s="11">
        <v>0</v>
      </c>
      <c r="I149" s="12"/>
      <c r="J149" s="13"/>
      <c r="K149" s="14"/>
      <c r="L149" s="15"/>
      <c r="M149" s="16"/>
      <c r="N149" s="16"/>
      <c r="O149" s="16"/>
      <c r="P149" s="16"/>
      <c r="Q149" s="16"/>
      <c r="R149" s="16">
        <f t="shared" si="4"/>
        <v>0</v>
      </c>
      <c r="S149" s="16"/>
      <c r="T149" s="17">
        <f t="shared" si="5"/>
        <v>0</v>
      </c>
      <c r="U149" s="16"/>
      <c r="V149" s="16" t="s">
        <v>926</v>
      </c>
    </row>
    <row r="150" spans="1:22" ht="21" hidden="1" x14ac:dyDescent="0.35">
      <c r="A150" s="8" t="s">
        <v>13</v>
      </c>
      <c r="B150" s="60" t="s">
        <v>940</v>
      </c>
      <c r="C150" s="9" t="s">
        <v>259</v>
      </c>
      <c r="D150" s="10" t="s">
        <v>260</v>
      </c>
      <c r="E150" s="10" t="s">
        <v>47</v>
      </c>
      <c r="F150" s="10" t="s">
        <v>48</v>
      </c>
      <c r="G150" s="10" t="s">
        <v>268</v>
      </c>
      <c r="H150" s="11">
        <v>99804</v>
      </c>
      <c r="I150" s="18">
        <v>116317.69</v>
      </c>
      <c r="J150" s="19">
        <v>-23860.5</v>
      </c>
      <c r="K150" s="11">
        <v>7346</v>
      </c>
      <c r="L150" s="15"/>
      <c r="M150" s="16"/>
      <c r="N150" s="16"/>
      <c r="O150" s="16"/>
      <c r="P150" s="16"/>
      <c r="Q150" s="16"/>
      <c r="R150" s="16">
        <f t="shared" si="4"/>
        <v>0</v>
      </c>
      <c r="S150" s="16"/>
      <c r="T150" s="17">
        <f t="shared" si="5"/>
        <v>0.80999999999767169</v>
      </c>
      <c r="U150" s="16"/>
      <c r="V150" s="16" t="s">
        <v>926</v>
      </c>
    </row>
    <row r="151" spans="1:22" hidden="1" x14ac:dyDescent="0.35">
      <c r="A151" s="8" t="s">
        <v>13</v>
      </c>
      <c r="B151" s="60" t="s">
        <v>940</v>
      </c>
      <c r="C151" s="9" t="s">
        <v>259</v>
      </c>
      <c r="D151" s="10" t="s">
        <v>260</v>
      </c>
      <c r="E151" s="10" t="s">
        <v>127</v>
      </c>
      <c r="F151" s="10" t="s">
        <v>128</v>
      </c>
      <c r="G151" s="10" t="s">
        <v>269</v>
      </c>
      <c r="H151" s="11">
        <v>24371</v>
      </c>
      <c r="I151" s="18">
        <v>19361.47</v>
      </c>
      <c r="J151" s="13"/>
      <c r="K151" s="14"/>
      <c r="L151" s="15">
        <v>-10000</v>
      </c>
      <c r="M151" s="16">
        <v>5000</v>
      </c>
      <c r="N151" s="16"/>
      <c r="O151" s="16">
        <v>5000</v>
      </c>
      <c r="P151" s="16"/>
      <c r="Q151" s="16">
        <v>5000</v>
      </c>
      <c r="R151" s="16">
        <f t="shared" si="4"/>
        <v>5000</v>
      </c>
      <c r="S151" s="16" t="s">
        <v>829</v>
      </c>
      <c r="T151" s="17">
        <f t="shared" si="5"/>
        <v>9.5299999999988358</v>
      </c>
      <c r="U151" s="16"/>
      <c r="V151" s="16" t="s">
        <v>926</v>
      </c>
    </row>
    <row r="152" spans="1:22" ht="29" hidden="1" x14ac:dyDescent="0.35">
      <c r="A152" s="8" t="s">
        <v>13</v>
      </c>
      <c r="B152" s="60" t="s">
        <v>940</v>
      </c>
      <c r="C152" s="9" t="s">
        <v>259</v>
      </c>
      <c r="D152" s="10" t="s">
        <v>260</v>
      </c>
      <c r="E152" s="10" t="s">
        <v>130</v>
      </c>
      <c r="F152" s="10" t="s">
        <v>131</v>
      </c>
      <c r="G152" s="10" t="s">
        <v>270</v>
      </c>
      <c r="H152" s="11">
        <v>64014</v>
      </c>
      <c r="I152" s="18">
        <v>94174.56</v>
      </c>
      <c r="J152" s="19">
        <v>-47590.95</v>
      </c>
      <c r="K152" s="11">
        <v>16894.55</v>
      </c>
      <c r="L152" s="15">
        <v>-10700</v>
      </c>
      <c r="M152" s="16"/>
      <c r="N152" s="16">
        <v>4000</v>
      </c>
      <c r="O152" s="16">
        <v>4000</v>
      </c>
      <c r="P152" s="16">
        <v>3200</v>
      </c>
      <c r="Q152" s="16"/>
      <c r="R152" s="16">
        <f t="shared" si="4"/>
        <v>500</v>
      </c>
      <c r="S152" s="16" t="s">
        <v>830</v>
      </c>
      <c r="T152" s="17">
        <f t="shared" si="5"/>
        <v>35.840000000000146</v>
      </c>
      <c r="U152" s="16"/>
      <c r="V152" s="16" t="s">
        <v>926</v>
      </c>
    </row>
    <row r="153" spans="1:22" ht="43.5" hidden="1" x14ac:dyDescent="0.35">
      <c r="A153" s="8" t="s">
        <v>13</v>
      </c>
      <c r="B153" s="60" t="s">
        <v>940</v>
      </c>
      <c r="C153" s="9" t="s">
        <v>259</v>
      </c>
      <c r="D153" s="10" t="s">
        <v>260</v>
      </c>
      <c r="E153" s="10" t="s">
        <v>204</v>
      </c>
      <c r="F153" s="10" t="s">
        <v>205</v>
      </c>
      <c r="G153" s="10" t="s">
        <v>271</v>
      </c>
      <c r="H153" s="11">
        <v>17716</v>
      </c>
      <c r="I153" s="12"/>
      <c r="J153" s="13"/>
      <c r="K153" s="14"/>
      <c r="L153" s="15">
        <v>17700</v>
      </c>
      <c r="M153" s="16"/>
      <c r="N153" s="16"/>
      <c r="O153" s="16"/>
      <c r="P153" s="16"/>
      <c r="Q153" s="16"/>
      <c r="R153" s="16">
        <f t="shared" si="4"/>
        <v>17700</v>
      </c>
      <c r="S153" s="16" t="s">
        <v>831</v>
      </c>
      <c r="T153" s="17">
        <f t="shared" si="5"/>
        <v>16</v>
      </c>
      <c r="U153" s="16"/>
      <c r="V153" s="16" t="s">
        <v>926</v>
      </c>
    </row>
    <row r="154" spans="1:22" ht="21" hidden="1" x14ac:dyDescent="0.35">
      <c r="A154" s="8" t="s">
        <v>13</v>
      </c>
      <c r="B154" s="60" t="s">
        <v>940</v>
      </c>
      <c r="C154" s="9" t="s">
        <v>272</v>
      </c>
      <c r="D154" s="10" t="s">
        <v>273</v>
      </c>
      <c r="E154" s="10" t="s">
        <v>19</v>
      </c>
      <c r="F154" s="10" t="s">
        <v>20</v>
      </c>
      <c r="G154" s="10" t="s">
        <v>274</v>
      </c>
      <c r="H154" s="11">
        <v>15169</v>
      </c>
      <c r="I154" s="18">
        <v>6318.1</v>
      </c>
      <c r="J154" s="13"/>
      <c r="K154" s="14"/>
      <c r="L154" s="15"/>
      <c r="M154" s="16"/>
      <c r="N154" s="16"/>
      <c r="O154" s="16"/>
      <c r="P154" s="16"/>
      <c r="Q154" s="16"/>
      <c r="R154" s="16">
        <f t="shared" si="4"/>
        <v>0</v>
      </c>
      <c r="S154" s="16"/>
      <c r="T154" s="17">
        <f t="shared" si="5"/>
        <v>8850.9</v>
      </c>
      <c r="U154" s="16"/>
      <c r="V154" s="16" t="s">
        <v>925</v>
      </c>
    </row>
    <row r="155" spans="1:22" hidden="1" x14ac:dyDescent="0.35">
      <c r="A155" s="8" t="s">
        <v>13</v>
      </c>
      <c r="B155" s="60" t="s">
        <v>940</v>
      </c>
      <c r="C155" s="9" t="s">
        <v>272</v>
      </c>
      <c r="D155" s="10" t="s">
        <v>273</v>
      </c>
      <c r="E155" s="10" t="s">
        <v>66</v>
      </c>
      <c r="F155" s="10" t="s">
        <v>67</v>
      </c>
      <c r="G155" s="10" t="s">
        <v>275</v>
      </c>
      <c r="H155" s="11">
        <v>3618</v>
      </c>
      <c r="I155" s="12"/>
      <c r="J155" s="13"/>
      <c r="K155" s="14"/>
      <c r="L155" s="15"/>
      <c r="M155" s="16"/>
      <c r="N155" s="16"/>
      <c r="O155" s="16"/>
      <c r="P155" s="16"/>
      <c r="Q155" s="16"/>
      <c r="R155" s="16">
        <f t="shared" si="4"/>
        <v>0</v>
      </c>
      <c r="S155" s="16"/>
      <c r="T155" s="17">
        <f t="shared" si="5"/>
        <v>3618</v>
      </c>
      <c r="U155" s="16"/>
      <c r="V155" s="16" t="s">
        <v>925</v>
      </c>
    </row>
    <row r="156" spans="1:22" hidden="1" x14ac:dyDescent="0.35">
      <c r="A156" s="8" t="s">
        <v>13</v>
      </c>
      <c r="B156" s="60" t="s">
        <v>940</v>
      </c>
      <c r="C156" s="9" t="s">
        <v>272</v>
      </c>
      <c r="D156" s="10" t="s">
        <v>273</v>
      </c>
      <c r="E156" s="10" t="s">
        <v>157</v>
      </c>
      <c r="F156" s="10" t="s">
        <v>158</v>
      </c>
      <c r="G156" s="10" t="s">
        <v>276</v>
      </c>
      <c r="H156" s="11">
        <v>120199</v>
      </c>
      <c r="I156" s="18">
        <v>38565.47</v>
      </c>
      <c r="J156" s="13"/>
      <c r="K156" s="14"/>
      <c r="L156" s="15"/>
      <c r="M156" s="16"/>
      <c r="N156" s="16"/>
      <c r="O156" s="16"/>
      <c r="P156" s="16"/>
      <c r="Q156" s="16"/>
      <c r="R156" s="16">
        <f t="shared" si="4"/>
        <v>0</v>
      </c>
      <c r="S156" s="16"/>
      <c r="T156" s="17">
        <f t="shared" si="5"/>
        <v>81633.53</v>
      </c>
      <c r="U156" s="16"/>
      <c r="V156" s="16" t="s">
        <v>925</v>
      </c>
    </row>
    <row r="157" spans="1:22" hidden="1" x14ac:dyDescent="0.35">
      <c r="A157" s="8" t="s">
        <v>13</v>
      </c>
      <c r="B157" s="60" t="s">
        <v>940</v>
      </c>
      <c r="C157" s="9" t="s">
        <v>272</v>
      </c>
      <c r="D157" s="10" t="s">
        <v>273</v>
      </c>
      <c r="E157" s="10" t="s">
        <v>25</v>
      </c>
      <c r="F157" s="10" t="s">
        <v>26</v>
      </c>
      <c r="G157" s="10" t="s">
        <v>277</v>
      </c>
      <c r="H157" s="11">
        <v>9578</v>
      </c>
      <c r="I157" s="18">
        <v>5985</v>
      </c>
      <c r="J157" s="13"/>
      <c r="K157" s="14"/>
      <c r="L157" s="15"/>
      <c r="M157" s="16"/>
      <c r="N157" s="16"/>
      <c r="O157" s="16"/>
      <c r="P157" s="16"/>
      <c r="Q157" s="16"/>
      <c r="R157" s="16">
        <f t="shared" si="4"/>
        <v>0</v>
      </c>
      <c r="S157" s="16"/>
      <c r="T157" s="17">
        <f t="shared" si="5"/>
        <v>3593</v>
      </c>
      <c r="U157" s="16"/>
      <c r="V157" s="16" t="s">
        <v>925</v>
      </c>
    </row>
    <row r="158" spans="1:22" ht="21" hidden="1" x14ac:dyDescent="0.35">
      <c r="A158" s="8" t="s">
        <v>13</v>
      </c>
      <c r="B158" s="60" t="s">
        <v>940</v>
      </c>
      <c r="C158" s="9" t="s">
        <v>272</v>
      </c>
      <c r="D158" s="10" t="s">
        <v>273</v>
      </c>
      <c r="E158" s="10" t="s">
        <v>47</v>
      </c>
      <c r="F158" s="10" t="s">
        <v>48</v>
      </c>
      <c r="G158" s="10" t="s">
        <v>278</v>
      </c>
      <c r="H158" s="11">
        <v>160762</v>
      </c>
      <c r="I158" s="18">
        <v>7964.53</v>
      </c>
      <c r="J158" s="19">
        <v>3941.7</v>
      </c>
      <c r="K158" s="11">
        <v>0</v>
      </c>
      <c r="L158" s="15"/>
      <c r="M158" s="16"/>
      <c r="N158" s="16"/>
      <c r="O158" s="16"/>
      <c r="P158" s="16"/>
      <c r="Q158" s="16"/>
      <c r="R158" s="16">
        <f t="shared" si="4"/>
        <v>0</v>
      </c>
      <c r="S158" s="16"/>
      <c r="T158" s="17">
        <f t="shared" si="5"/>
        <v>148855.76999999999</v>
      </c>
      <c r="U158" s="16"/>
      <c r="V158" s="16" t="s">
        <v>925</v>
      </c>
    </row>
    <row r="159" spans="1:22" ht="21" hidden="1" x14ac:dyDescent="0.35">
      <c r="A159" s="8" t="s">
        <v>13</v>
      </c>
      <c r="B159" s="60" t="s">
        <v>940</v>
      </c>
      <c r="C159" s="9" t="s">
        <v>272</v>
      </c>
      <c r="D159" s="10" t="s">
        <v>273</v>
      </c>
      <c r="E159" s="10" t="s">
        <v>55</v>
      </c>
      <c r="F159" s="10" t="s">
        <v>56</v>
      </c>
      <c r="G159" s="10" t="s">
        <v>279</v>
      </c>
      <c r="H159" s="11">
        <v>0</v>
      </c>
      <c r="I159" s="12"/>
      <c r="J159" s="13"/>
      <c r="K159" s="14"/>
      <c r="L159" s="15"/>
      <c r="M159" s="16"/>
      <c r="N159" s="16"/>
      <c r="O159" s="16"/>
      <c r="P159" s="16"/>
      <c r="Q159" s="16"/>
      <c r="R159" s="16">
        <f t="shared" si="4"/>
        <v>0</v>
      </c>
      <c r="S159" s="16"/>
      <c r="T159" s="17">
        <f t="shared" si="5"/>
        <v>0</v>
      </c>
      <c r="U159" s="16"/>
      <c r="V159" s="16" t="s">
        <v>925</v>
      </c>
    </row>
    <row r="160" spans="1:22" hidden="1" x14ac:dyDescent="0.35">
      <c r="A160" s="8" t="s">
        <v>13</v>
      </c>
      <c r="B160" s="60" t="s">
        <v>940</v>
      </c>
      <c r="C160" s="9" t="s">
        <v>272</v>
      </c>
      <c r="D160" s="10" t="s">
        <v>273</v>
      </c>
      <c r="E160" s="10" t="s">
        <v>163</v>
      </c>
      <c r="F160" s="10" t="s">
        <v>164</v>
      </c>
      <c r="G160" s="10" t="s">
        <v>280</v>
      </c>
      <c r="H160" s="11">
        <v>1024505</v>
      </c>
      <c r="I160" s="18">
        <v>370506.3</v>
      </c>
      <c r="J160" s="19">
        <v>-9000</v>
      </c>
      <c r="K160" s="11">
        <v>662648.38</v>
      </c>
      <c r="L160" s="15"/>
      <c r="M160" s="16"/>
      <c r="N160" s="16"/>
      <c r="O160" s="16"/>
      <c r="P160" s="16"/>
      <c r="Q160" s="16"/>
      <c r="R160" s="16">
        <f t="shared" si="4"/>
        <v>0</v>
      </c>
      <c r="S160" s="16"/>
      <c r="T160" s="17">
        <f t="shared" si="5"/>
        <v>350.31999999994878</v>
      </c>
      <c r="U160" s="16"/>
      <c r="V160" s="16" t="s">
        <v>925</v>
      </c>
    </row>
    <row r="161" spans="1:22" hidden="1" x14ac:dyDescent="0.35">
      <c r="A161" s="8" t="s">
        <v>13</v>
      </c>
      <c r="B161" s="60" t="s">
        <v>940</v>
      </c>
      <c r="C161" s="9" t="s">
        <v>272</v>
      </c>
      <c r="D161" s="10" t="s">
        <v>273</v>
      </c>
      <c r="E161" s="10" t="s">
        <v>127</v>
      </c>
      <c r="F161" s="10" t="s">
        <v>128</v>
      </c>
      <c r="G161" s="10" t="s">
        <v>281</v>
      </c>
      <c r="H161" s="11">
        <v>28176</v>
      </c>
      <c r="I161" s="18">
        <v>7603.11</v>
      </c>
      <c r="J161" s="13"/>
      <c r="K161" s="14"/>
      <c r="L161" s="15"/>
      <c r="M161" s="16"/>
      <c r="N161" s="16"/>
      <c r="O161" s="16"/>
      <c r="P161" s="16"/>
      <c r="Q161" s="16"/>
      <c r="R161" s="16">
        <f t="shared" si="4"/>
        <v>0</v>
      </c>
      <c r="S161" s="16"/>
      <c r="T161" s="17">
        <f t="shared" si="5"/>
        <v>20572.89</v>
      </c>
      <c r="U161" s="16"/>
      <c r="V161" s="16" t="s">
        <v>925</v>
      </c>
    </row>
    <row r="162" spans="1:22" hidden="1" x14ac:dyDescent="0.35">
      <c r="A162" s="8" t="s">
        <v>13</v>
      </c>
      <c r="B162" s="60" t="s">
        <v>940</v>
      </c>
      <c r="C162" s="9" t="s">
        <v>272</v>
      </c>
      <c r="D162" s="10" t="s">
        <v>273</v>
      </c>
      <c r="E162" s="10" t="s">
        <v>130</v>
      </c>
      <c r="F162" s="10" t="s">
        <v>131</v>
      </c>
      <c r="G162" s="10" t="s">
        <v>282</v>
      </c>
      <c r="H162" s="11">
        <v>31570</v>
      </c>
      <c r="I162" s="18">
        <v>350</v>
      </c>
      <c r="J162" s="19">
        <v>-3976.22</v>
      </c>
      <c r="K162" s="11">
        <v>3976.22</v>
      </c>
      <c r="L162" s="15"/>
      <c r="M162" s="16"/>
      <c r="N162" s="16"/>
      <c r="O162" s="16"/>
      <c r="P162" s="16"/>
      <c r="Q162" s="16"/>
      <c r="R162" s="16">
        <f t="shared" si="4"/>
        <v>0</v>
      </c>
      <c r="S162" s="16"/>
      <c r="T162" s="17">
        <f t="shared" si="5"/>
        <v>31220</v>
      </c>
      <c r="U162" s="16"/>
      <c r="V162" s="16" t="s">
        <v>925</v>
      </c>
    </row>
    <row r="163" spans="1:22" ht="21" hidden="1" x14ac:dyDescent="0.35">
      <c r="A163" s="8" t="s">
        <v>13</v>
      </c>
      <c r="B163" s="60" t="s">
        <v>940</v>
      </c>
      <c r="C163" s="9" t="s">
        <v>272</v>
      </c>
      <c r="D163" s="10" t="s">
        <v>273</v>
      </c>
      <c r="E163" s="10" t="s">
        <v>204</v>
      </c>
      <c r="F163" s="10" t="s">
        <v>205</v>
      </c>
      <c r="G163" s="10" t="s">
        <v>283</v>
      </c>
      <c r="H163" s="11">
        <v>18220</v>
      </c>
      <c r="I163" s="18">
        <v>36432</v>
      </c>
      <c r="J163" s="19">
        <v>-18216</v>
      </c>
      <c r="K163" s="11">
        <v>0</v>
      </c>
      <c r="L163" s="15"/>
      <c r="M163" s="16"/>
      <c r="N163" s="16"/>
      <c r="O163" s="16"/>
      <c r="P163" s="16"/>
      <c r="Q163" s="16"/>
      <c r="R163" s="16">
        <f t="shared" si="4"/>
        <v>0</v>
      </c>
      <c r="S163" s="16"/>
      <c r="T163" s="17">
        <f t="shared" si="5"/>
        <v>4</v>
      </c>
      <c r="U163" s="16"/>
      <c r="V163" s="16" t="s">
        <v>925</v>
      </c>
    </row>
    <row r="164" spans="1:22" hidden="1" x14ac:dyDescent="0.35">
      <c r="A164" s="8" t="s">
        <v>13</v>
      </c>
      <c r="B164" s="60" t="s">
        <v>936</v>
      </c>
      <c r="C164" s="9" t="s">
        <v>284</v>
      </c>
      <c r="D164" s="10" t="s">
        <v>285</v>
      </c>
      <c r="E164" s="10" t="s">
        <v>16</v>
      </c>
      <c r="F164" s="10" t="s">
        <v>17</v>
      </c>
      <c r="G164" s="10" t="s">
        <v>286</v>
      </c>
      <c r="H164" s="11">
        <v>20250</v>
      </c>
      <c r="I164" s="18">
        <v>14698.72</v>
      </c>
      <c r="J164" s="13"/>
      <c r="K164" s="14"/>
      <c r="L164" s="15"/>
      <c r="M164" s="16"/>
      <c r="N164" s="16"/>
      <c r="O164" s="16"/>
      <c r="P164" s="16"/>
      <c r="Q164" s="16"/>
      <c r="R164" s="16">
        <f t="shared" si="4"/>
        <v>0</v>
      </c>
      <c r="S164" s="16"/>
      <c r="T164" s="17">
        <f t="shared" si="5"/>
        <v>5551.2800000000007</v>
      </c>
      <c r="U164" s="16"/>
      <c r="V164" s="16" t="s">
        <v>925</v>
      </c>
    </row>
    <row r="165" spans="1:22" hidden="1" x14ac:dyDescent="0.35">
      <c r="A165" s="8" t="s">
        <v>13</v>
      </c>
      <c r="B165" s="60" t="s">
        <v>936</v>
      </c>
      <c r="C165" s="9" t="s">
        <v>284</v>
      </c>
      <c r="D165" s="10" t="s">
        <v>285</v>
      </c>
      <c r="E165" s="10" t="s">
        <v>43</v>
      </c>
      <c r="F165" s="10" t="s">
        <v>44</v>
      </c>
      <c r="G165" s="10" t="s">
        <v>287</v>
      </c>
      <c r="H165" s="11">
        <v>90156</v>
      </c>
      <c r="I165" s="12"/>
      <c r="J165" s="13"/>
      <c r="K165" s="14"/>
      <c r="L165" s="15"/>
      <c r="M165" s="16"/>
      <c r="N165" s="16"/>
      <c r="O165" s="16"/>
      <c r="P165" s="16"/>
      <c r="Q165" s="16"/>
      <c r="R165" s="16">
        <f t="shared" si="4"/>
        <v>0</v>
      </c>
      <c r="S165" s="16"/>
      <c r="T165" s="17">
        <f t="shared" si="5"/>
        <v>90156</v>
      </c>
      <c r="U165" s="16"/>
      <c r="V165" s="16" t="s">
        <v>925</v>
      </c>
    </row>
    <row r="166" spans="1:22" ht="21" hidden="1" x14ac:dyDescent="0.35">
      <c r="A166" s="8" t="s">
        <v>13</v>
      </c>
      <c r="B166" s="60" t="s">
        <v>936</v>
      </c>
      <c r="C166" s="9" t="s">
        <v>284</v>
      </c>
      <c r="D166" s="10" t="s">
        <v>285</v>
      </c>
      <c r="E166" s="10" t="s">
        <v>19</v>
      </c>
      <c r="F166" s="10" t="s">
        <v>20</v>
      </c>
      <c r="G166" s="10" t="s">
        <v>288</v>
      </c>
      <c r="H166" s="11">
        <v>6825</v>
      </c>
      <c r="I166" s="12"/>
      <c r="J166" s="19">
        <v>0</v>
      </c>
      <c r="K166" s="11">
        <v>5450.16</v>
      </c>
      <c r="L166" s="15"/>
      <c r="M166" s="16"/>
      <c r="N166" s="16"/>
      <c r="O166" s="16"/>
      <c r="P166" s="16"/>
      <c r="Q166" s="16"/>
      <c r="R166" s="16">
        <f t="shared" si="4"/>
        <v>0</v>
      </c>
      <c r="S166" s="16"/>
      <c r="T166" s="17">
        <f t="shared" si="5"/>
        <v>1374.8400000000001</v>
      </c>
      <c r="U166" s="16"/>
      <c r="V166" s="16" t="s">
        <v>925</v>
      </c>
    </row>
    <row r="167" spans="1:22" ht="21" hidden="1" x14ac:dyDescent="0.35">
      <c r="A167" s="8" t="s">
        <v>13</v>
      </c>
      <c r="B167" s="60" t="s">
        <v>936</v>
      </c>
      <c r="C167" s="9" t="s">
        <v>284</v>
      </c>
      <c r="D167" s="10" t="s">
        <v>285</v>
      </c>
      <c r="E167" s="10" t="s">
        <v>22</v>
      </c>
      <c r="F167" s="10" t="s">
        <v>23</v>
      </c>
      <c r="G167" s="10" t="s">
        <v>289</v>
      </c>
      <c r="H167" s="11">
        <v>5625</v>
      </c>
      <c r="I167" s="12"/>
      <c r="J167" s="13"/>
      <c r="K167" s="14"/>
      <c r="L167" s="15"/>
      <c r="M167" s="16"/>
      <c r="N167" s="16"/>
      <c r="O167" s="16"/>
      <c r="P167" s="16"/>
      <c r="Q167" s="16"/>
      <c r="R167" s="16">
        <f t="shared" si="4"/>
        <v>0</v>
      </c>
      <c r="S167" s="16"/>
      <c r="T167" s="17">
        <f t="shared" si="5"/>
        <v>5625</v>
      </c>
      <c r="U167" s="16"/>
      <c r="V167" s="16" t="s">
        <v>925</v>
      </c>
    </row>
    <row r="168" spans="1:22" hidden="1" x14ac:dyDescent="0.35">
      <c r="A168" s="8" t="s">
        <v>13</v>
      </c>
      <c r="B168" s="60" t="s">
        <v>936</v>
      </c>
      <c r="C168" s="9" t="s">
        <v>284</v>
      </c>
      <c r="D168" s="10" t="s">
        <v>285</v>
      </c>
      <c r="E168" s="10" t="s">
        <v>233</v>
      </c>
      <c r="F168" s="10" t="s">
        <v>234</v>
      </c>
      <c r="G168" s="10" t="s">
        <v>290</v>
      </c>
      <c r="H168" s="11">
        <v>19340</v>
      </c>
      <c r="I168" s="18">
        <v>19340</v>
      </c>
      <c r="J168" s="13"/>
      <c r="K168" s="14"/>
      <c r="L168" s="15"/>
      <c r="M168" s="16"/>
      <c r="N168" s="16"/>
      <c r="O168" s="16"/>
      <c r="P168" s="16"/>
      <c r="Q168" s="16"/>
      <c r="R168" s="16">
        <f t="shared" si="4"/>
        <v>0</v>
      </c>
      <c r="S168" s="16"/>
      <c r="T168" s="17">
        <f t="shared" si="5"/>
        <v>0</v>
      </c>
      <c r="U168" s="16"/>
      <c r="V168" s="16" t="s">
        <v>925</v>
      </c>
    </row>
    <row r="169" spans="1:22" hidden="1" x14ac:dyDescent="0.35">
      <c r="A169" s="8" t="s">
        <v>13</v>
      </c>
      <c r="B169" s="60" t="s">
        <v>936</v>
      </c>
      <c r="C169" s="9" t="s">
        <v>284</v>
      </c>
      <c r="D169" s="10" t="s">
        <v>285</v>
      </c>
      <c r="E169" s="10" t="s">
        <v>157</v>
      </c>
      <c r="F169" s="10" t="s">
        <v>158</v>
      </c>
      <c r="G169" s="10" t="s">
        <v>291</v>
      </c>
      <c r="H169" s="11">
        <v>24435</v>
      </c>
      <c r="I169" s="18">
        <v>14411.53</v>
      </c>
      <c r="J169" s="13"/>
      <c r="K169" s="14"/>
      <c r="L169" s="15"/>
      <c r="M169" s="16"/>
      <c r="N169" s="16"/>
      <c r="O169" s="16"/>
      <c r="P169" s="16"/>
      <c r="Q169" s="16"/>
      <c r="R169" s="16">
        <f t="shared" si="4"/>
        <v>0</v>
      </c>
      <c r="S169" s="16"/>
      <c r="T169" s="17">
        <f t="shared" si="5"/>
        <v>10023.469999999999</v>
      </c>
      <c r="U169" s="16"/>
      <c r="V169" s="16" t="s">
        <v>925</v>
      </c>
    </row>
    <row r="170" spans="1:22" hidden="1" x14ac:dyDescent="0.35">
      <c r="A170" s="8" t="s">
        <v>13</v>
      </c>
      <c r="B170" s="60" t="s">
        <v>936</v>
      </c>
      <c r="C170" s="9" t="s">
        <v>284</v>
      </c>
      <c r="D170" s="10" t="s">
        <v>285</v>
      </c>
      <c r="E170" s="10" t="s">
        <v>25</v>
      </c>
      <c r="F170" s="10" t="s">
        <v>26</v>
      </c>
      <c r="G170" s="10" t="s">
        <v>292</v>
      </c>
      <c r="H170" s="11">
        <v>20000</v>
      </c>
      <c r="I170" s="18">
        <v>5040</v>
      </c>
      <c r="J170" s="13"/>
      <c r="K170" s="14"/>
      <c r="L170" s="15"/>
      <c r="M170" s="16"/>
      <c r="N170" s="16"/>
      <c r="O170" s="16"/>
      <c r="P170" s="16"/>
      <c r="Q170" s="16"/>
      <c r="R170" s="16">
        <f t="shared" si="4"/>
        <v>0</v>
      </c>
      <c r="S170" s="16"/>
      <c r="T170" s="17">
        <f t="shared" si="5"/>
        <v>14960</v>
      </c>
      <c r="U170" s="16"/>
      <c r="V170" s="16" t="s">
        <v>925</v>
      </c>
    </row>
    <row r="171" spans="1:22" ht="21" hidden="1" x14ac:dyDescent="0.35">
      <c r="A171" s="8" t="s">
        <v>13</v>
      </c>
      <c r="B171" s="60" t="s">
        <v>936</v>
      </c>
      <c r="C171" s="9" t="s">
        <v>284</v>
      </c>
      <c r="D171" s="10" t="s">
        <v>285</v>
      </c>
      <c r="E171" s="10" t="s">
        <v>55</v>
      </c>
      <c r="F171" s="10" t="s">
        <v>56</v>
      </c>
      <c r="G171" s="10" t="s">
        <v>293</v>
      </c>
      <c r="H171" s="11">
        <v>11875</v>
      </c>
      <c r="I171" s="18">
        <v>0</v>
      </c>
      <c r="J171" s="13"/>
      <c r="K171" s="14"/>
      <c r="L171" s="15"/>
      <c r="M171" s="16"/>
      <c r="N171" s="16"/>
      <c r="O171" s="16"/>
      <c r="P171" s="16"/>
      <c r="Q171" s="16"/>
      <c r="R171" s="16">
        <f t="shared" si="4"/>
        <v>0</v>
      </c>
      <c r="S171" s="16"/>
      <c r="T171" s="17">
        <f t="shared" si="5"/>
        <v>11875</v>
      </c>
      <c r="U171" s="16"/>
      <c r="V171" s="16" t="s">
        <v>925</v>
      </c>
    </row>
    <row r="172" spans="1:22" hidden="1" x14ac:dyDescent="0.35">
      <c r="A172" s="8" t="s">
        <v>13</v>
      </c>
      <c r="B172" s="60" t="s">
        <v>936</v>
      </c>
      <c r="C172" s="9" t="s">
        <v>284</v>
      </c>
      <c r="D172" s="10" t="s">
        <v>285</v>
      </c>
      <c r="E172" s="10" t="s">
        <v>28</v>
      </c>
      <c r="F172" s="10" t="s">
        <v>29</v>
      </c>
      <c r="G172" s="10" t="s">
        <v>294</v>
      </c>
      <c r="H172" s="11">
        <v>35870</v>
      </c>
      <c r="I172" s="18">
        <v>11420.96</v>
      </c>
      <c r="J172" s="19">
        <v>0</v>
      </c>
      <c r="K172" s="14"/>
      <c r="L172" s="15"/>
      <c r="M172" s="16"/>
      <c r="N172" s="16"/>
      <c r="O172" s="16"/>
      <c r="P172" s="16"/>
      <c r="Q172" s="16"/>
      <c r="R172" s="16">
        <f t="shared" si="4"/>
        <v>0</v>
      </c>
      <c r="S172" s="16"/>
      <c r="T172" s="17">
        <f t="shared" si="5"/>
        <v>24449.040000000001</v>
      </c>
      <c r="U172" s="16"/>
      <c r="V172" s="16" t="s">
        <v>925</v>
      </c>
    </row>
    <row r="173" spans="1:22" hidden="1" x14ac:dyDescent="0.35">
      <c r="A173" s="8" t="s">
        <v>13</v>
      </c>
      <c r="B173" s="60" t="s">
        <v>936</v>
      </c>
      <c r="C173" s="9" t="s">
        <v>284</v>
      </c>
      <c r="D173" s="10" t="s">
        <v>285</v>
      </c>
      <c r="E173" s="10" t="s">
        <v>127</v>
      </c>
      <c r="F173" s="10" t="s">
        <v>128</v>
      </c>
      <c r="G173" s="10" t="s">
        <v>295</v>
      </c>
      <c r="H173" s="11">
        <v>9400</v>
      </c>
      <c r="I173" s="18">
        <v>4965.95</v>
      </c>
      <c r="J173" s="13"/>
      <c r="K173" s="14"/>
      <c r="L173" s="15"/>
      <c r="M173" s="16"/>
      <c r="N173" s="16"/>
      <c r="O173" s="16"/>
      <c r="P173" s="16"/>
      <c r="Q173" s="16"/>
      <c r="R173" s="16">
        <f t="shared" si="4"/>
        <v>0</v>
      </c>
      <c r="S173" s="16"/>
      <c r="T173" s="17">
        <f t="shared" si="5"/>
        <v>4434.05</v>
      </c>
      <c r="U173" s="16"/>
      <c r="V173" s="16" t="s">
        <v>925</v>
      </c>
    </row>
    <row r="174" spans="1:22" ht="21" hidden="1" x14ac:dyDescent="0.35">
      <c r="A174" s="8" t="s">
        <v>13</v>
      </c>
      <c r="B174" s="60" t="s">
        <v>936</v>
      </c>
      <c r="C174" s="9" t="s">
        <v>284</v>
      </c>
      <c r="D174" s="10" t="s">
        <v>285</v>
      </c>
      <c r="E174" s="10" t="s">
        <v>204</v>
      </c>
      <c r="F174" s="10" t="s">
        <v>205</v>
      </c>
      <c r="G174" s="10" t="s">
        <v>296</v>
      </c>
      <c r="H174" s="11">
        <v>54190</v>
      </c>
      <c r="I174" s="18">
        <v>54190</v>
      </c>
      <c r="J174" s="13"/>
      <c r="K174" s="14"/>
      <c r="L174" s="15"/>
      <c r="M174" s="16"/>
      <c r="N174" s="16"/>
      <c r="O174" s="16"/>
      <c r="P174" s="16"/>
      <c r="Q174" s="16"/>
      <c r="R174" s="16">
        <f t="shared" si="4"/>
        <v>0</v>
      </c>
      <c r="S174" s="16"/>
      <c r="T174" s="17">
        <f t="shared" si="5"/>
        <v>0</v>
      </c>
      <c r="U174" s="16"/>
      <c r="V174" s="16" t="s">
        <v>925</v>
      </c>
    </row>
    <row r="175" spans="1:22" hidden="1" x14ac:dyDescent="0.35">
      <c r="A175" s="8" t="s">
        <v>13</v>
      </c>
      <c r="B175" s="60" t="s">
        <v>936</v>
      </c>
      <c r="C175" s="9" t="s">
        <v>297</v>
      </c>
      <c r="D175" s="10" t="s">
        <v>298</v>
      </c>
      <c r="E175" s="10" t="s">
        <v>157</v>
      </c>
      <c r="F175" s="10" t="s">
        <v>158</v>
      </c>
      <c r="G175" s="10" t="s">
        <v>299</v>
      </c>
      <c r="H175" s="11">
        <v>76900</v>
      </c>
      <c r="I175" s="18">
        <v>42453.22</v>
      </c>
      <c r="J175" s="13"/>
      <c r="K175" s="14"/>
      <c r="L175" s="15"/>
      <c r="M175" s="16"/>
      <c r="N175" s="16"/>
      <c r="O175" s="16"/>
      <c r="P175" s="16"/>
      <c r="Q175" s="16"/>
      <c r="R175" s="16">
        <f t="shared" si="4"/>
        <v>0</v>
      </c>
      <c r="S175" s="16"/>
      <c r="T175" s="17">
        <f t="shared" si="5"/>
        <v>34446.78</v>
      </c>
      <c r="U175" s="16"/>
      <c r="V175" s="16" t="s">
        <v>925</v>
      </c>
    </row>
    <row r="176" spans="1:22" ht="21" hidden="1" x14ac:dyDescent="0.35">
      <c r="A176" s="8" t="s">
        <v>13</v>
      </c>
      <c r="B176" s="60" t="s">
        <v>936</v>
      </c>
      <c r="C176" s="9" t="s">
        <v>297</v>
      </c>
      <c r="D176" s="10" t="s">
        <v>298</v>
      </c>
      <c r="E176" s="10" t="s">
        <v>47</v>
      </c>
      <c r="F176" s="10" t="s">
        <v>48</v>
      </c>
      <c r="G176" s="10" t="s">
        <v>300</v>
      </c>
      <c r="H176" s="11">
        <v>5579</v>
      </c>
      <c r="I176" s="18">
        <v>2985.02</v>
      </c>
      <c r="J176" s="19">
        <v>0</v>
      </c>
      <c r="K176" s="11">
        <v>1124</v>
      </c>
      <c r="L176" s="15"/>
      <c r="M176" s="16"/>
      <c r="N176" s="16"/>
      <c r="O176" s="16"/>
      <c r="P176" s="16"/>
      <c r="Q176" s="16"/>
      <c r="R176" s="16">
        <f t="shared" si="4"/>
        <v>0</v>
      </c>
      <c r="S176" s="16"/>
      <c r="T176" s="17">
        <f t="shared" si="5"/>
        <v>1469.98</v>
      </c>
      <c r="U176" s="16"/>
      <c r="V176" s="16" t="s">
        <v>925</v>
      </c>
    </row>
    <row r="177" spans="1:22" hidden="1" x14ac:dyDescent="0.35">
      <c r="A177" s="8" t="s">
        <v>13</v>
      </c>
      <c r="B177" s="60" t="s">
        <v>936</v>
      </c>
      <c r="C177" s="9" t="s">
        <v>297</v>
      </c>
      <c r="D177" s="10" t="s">
        <v>298</v>
      </c>
      <c r="E177" s="10" t="s">
        <v>28</v>
      </c>
      <c r="F177" s="10" t="s">
        <v>29</v>
      </c>
      <c r="G177" s="10" t="s">
        <v>301</v>
      </c>
      <c r="H177" s="11">
        <v>7700</v>
      </c>
      <c r="I177" s="18">
        <v>7700</v>
      </c>
      <c r="J177" s="13"/>
      <c r="K177" s="14"/>
      <c r="L177" s="15"/>
      <c r="M177" s="16"/>
      <c r="N177" s="16"/>
      <c r="O177" s="16"/>
      <c r="P177" s="16"/>
      <c r="Q177" s="16"/>
      <c r="R177" s="16">
        <f t="shared" si="4"/>
        <v>0</v>
      </c>
      <c r="S177" s="16"/>
      <c r="T177" s="17">
        <f t="shared" si="5"/>
        <v>0</v>
      </c>
      <c r="U177" s="16"/>
      <c r="V177" s="16" t="s">
        <v>925</v>
      </c>
    </row>
    <row r="178" spans="1:22" hidden="1" x14ac:dyDescent="0.35">
      <c r="A178" s="8" t="s">
        <v>13</v>
      </c>
      <c r="B178" s="60" t="s">
        <v>936</v>
      </c>
      <c r="C178" s="9" t="s">
        <v>297</v>
      </c>
      <c r="D178" s="10" t="s">
        <v>298</v>
      </c>
      <c r="E178" s="10" t="s">
        <v>302</v>
      </c>
      <c r="F178" s="10" t="s">
        <v>303</v>
      </c>
      <c r="G178" s="10" t="s">
        <v>304</v>
      </c>
      <c r="H178" s="11">
        <v>13288</v>
      </c>
      <c r="I178" s="18">
        <v>10743.53</v>
      </c>
      <c r="J178" s="19">
        <v>0</v>
      </c>
      <c r="K178" s="14"/>
      <c r="L178" s="15"/>
      <c r="M178" s="16"/>
      <c r="N178" s="16"/>
      <c r="O178" s="16"/>
      <c r="P178" s="16"/>
      <c r="Q178" s="16"/>
      <c r="R178" s="16">
        <f t="shared" si="4"/>
        <v>0</v>
      </c>
      <c r="S178" s="16"/>
      <c r="T178" s="17">
        <f t="shared" si="5"/>
        <v>2544.4699999999993</v>
      </c>
      <c r="U178" s="16"/>
      <c r="V178" s="16" t="s">
        <v>925</v>
      </c>
    </row>
    <row r="179" spans="1:22" hidden="1" x14ac:dyDescent="0.35">
      <c r="A179" s="8" t="s">
        <v>13</v>
      </c>
      <c r="B179" s="60" t="s">
        <v>936</v>
      </c>
      <c r="C179" s="9" t="s">
        <v>297</v>
      </c>
      <c r="D179" s="10" t="s">
        <v>298</v>
      </c>
      <c r="E179" s="10" t="s">
        <v>127</v>
      </c>
      <c r="F179" s="10" t="s">
        <v>128</v>
      </c>
      <c r="G179" s="10" t="s">
        <v>305</v>
      </c>
      <c r="H179" s="11">
        <v>29966</v>
      </c>
      <c r="I179" s="18">
        <v>29899.52</v>
      </c>
      <c r="J179" s="13"/>
      <c r="K179" s="14"/>
      <c r="L179" s="15"/>
      <c r="M179" s="16"/>
      <c r="N179" s="16"/>
      <c r="O179" s="16"/>
      <c r="P179" s="16"/>
      <c r="Q179" s="16"/>
      <c r="R179" s="16">
        <f t="shared" si="4"/>
        <v>0</v>
      </c>
      <c r="S179" s="16"/>
      <c r="T179" s="17">
        <f t="shared" si="5"/>
        <v>66.479999999999563</v>
      </c>
      <c r="U179" s="16"/>
      <c r="V179" s="16" t="s">
        <v>925</v>
      </c>
    </row>
    <row r="180" spans="1:22" ht="72.5" hidden="1" x14ac:dyDescent="0.35">
      <c r="A180" s="8" t="s">
        <v>13</v>
      </c>
      <c r="B180" s="60" t="s">
        <v>936</v>
      </c>
      <c r="C180" s="9" t="s">
        <v>306</v>
      </c>
      <c r="D180" s="10" t="s">
        <v>307</v>
      </c>
      <c r="E180" s="10" t="s">
        <v>19</v>
      </c>
      <c r="F180" s="10" t="s">
        <v>20</v>
      </c>
      <c r="G180" s="10" t="s">
        <v>308</v>
      </c>
      <c r="H180" s="11">
        <v>237</v>
      </c>
      <c r="I180" s="18">
        <v>225</v>
      </c>
      <c r="J180" s="13"/>
      <c r="K180" s="14"/>
      <c r="L180" s="15">
        <v>0</v>
      </c>
      <c r="M180" s="16">
        <v>0</v>
      </c>
      <c r="N180" s="16">
        <v>0</v>
      </c>
      <c r="O180" s="16">
        <v>0</v>
      </c>
      <c r="P180" s="16">
        <v>0</v>
      </c>
      <c r="Q180" s="16">
        <v>0</v>
      </c>
      <c r="R180" s="16">
        <f t="shared" si="4"/>
        <v>0</v>
      </c>
      <c r="S180" s="16" t="s">
        <v>849</v>
      </c>
      <c r="T180" s="17">
        <f t="shared" si="5"/>
        <v>12</v>
      </c>
      <c r="U180" s="16" t="s">
        <v>858</v>
      </c>
      <c r="V180" s="16" t="s">
        <v>926</v>
      </c>
    </row>
    <row r="181" spans="1:22" ht="72.5" hidden="1" x14ac:dyDescent="0.35">
      <c r="A181" s="8" t="s">
        <v>13</v>
      </c>
      <c r="B181" s="60" t="s">
        <v>936</v>
      </c>
      <c r="C181" s="9" t="s">
        <v>306</v>
      </c>
      <c r="D181" s="10" t="s">
        <v>307</v>
      </c>
      <c r="E181" s="10" t="s">
        <v>66</v>
      </c>
      <c r="F181" s="10" t="s">
        <v>67</v>
      </c>
      <c r="G181" s="10" t="s">
        <v>309</v>
      </c>
      <c r="H181" s="11">
        <v>48844</v>
      </c>
      <c r="I181" s="18">
        <v>13491.5</v>
      </c>
      <c r="J181" s="19">
        <v>-1711.5</v>
      </c>
      <c r="K181" s="11">
        <v>-5197.75</v>
      </c>
      <c r="L181" s="15">
        <v>20000</v>
      </c>
      <c r="M181" s="16">
        <v>22262</v>
      </c>
      <c r="N181" s="16">
        <v>0</v>
      </c>
      <c r="O181" s="16">
        <v>0</v>
      </c>
      <c r="P181" s="16">
        <v>0</v>
      </c>
      <c r="Q181" s="16">
        <v>0</v>
      </c>
      <c r="R181" s="16">
        <f t="shared" si="4"/>
        <v>42262</v>
      </c>
      <c r="S181" s="16" t="s">
        <v>850</v>
      </c>
      <c r="T181" s="17">
        <f t="shared" si="5"/>
        <v>-0.25</v>
      </c>
      <c r="U181" s="16" t="s">
        <v>818</v>
      </c>
      <c r="V181" s="16" t="s">
        <v>926</v>
      </c>
    </row>
    <row r="182" spans="1:22" ht="101.5" hidden="1" x14ac:dyDescent="0.35">
      <c r="A182" s="8" t="s">
        <v>13</v>
      </c>
      <c r="B182" s="60" t="s">
        <v>936</v>
      </c>
      <c r="C182" s="9" t="s">
        <v>306</v>
      </c>
      <c r="D182" s="10" t="s">
        <v>307</v>
      </c>
      <c r="E182" s="10" t="s">
        <v>157</v>
      </c>
      <c r="F182" s="10" t="s">
        <v>158</v>
      </c>
      <c r="G182" s="10" t="s">
        <v>310</v>
      </c>
      <c r="H182" s="11">
        <v>246775</v>
      </c>
      <c r="I182" s="18">
        <v>132266.70000000001</v>
      </c>
      <c r="J182" s="13"/>
      <c r="K182" s="14"/>
      <c r="L182" s="15">
        <v>18000</v>
      </c>
      <c r="M182" s="16">
        <v>30000</v>
      </c>
      <c r="N182" s="16">
        <v>30000</v>
      </c>
      <c r="O182" s="16">
        <v>18000</v>
      </c>
      <c r="P182" s="16">
        <v>18000</v>
      </c>
      <c r="Q182" s="16">
        <v>0</v>
      </c>
      <c r="R182" s="16">
        <f t="shared" si="4"/>
        <v>114000</v>
      </c>
      <c r="S182" s="16" t="s">
        <v>851</v>
      </c>
      <c r="T182" s="17">
        <f t="shared" si="5"/>
        <v>508.29999999998836</v>
      </c>
      <c r="U182" s="16" t="s">
        <v>859</v>
      </c>
      <c r="V182" s="16" t="s">
        <v>926</v>
      </c>
    </row>
    <row r="183" spans="1:22" ht="58" hidden="1" x14ac:dyDescent="0.35">
      <c r="A183" s="8" t="s">
        <v>13</v>
      </c>
      <c r="B183" s="60" t="s">
        <v>936</v>
      </c>
      <c r="C183" s="9" t="s">
        <v>306</v>
      </c>
      <c r="D183" s="10" t="s">
        <v>307</v>
      </c>
      <c r="E183" s="10" t="s">
        <v>25</v>
      </c>
      <c r="F183" s="10" t="s">
        <v>26</v>
      </c>
      <c r="G183" s="10" t="s">
        <v>311</v>
      </c>
      <c r="H183" s="11">
        <v>9340</v>
      </c>
      <c r="I183" s="12"/>
      <c r="J183" s="13"/>
      <c r="K183" s="14"/>
      <c r="L183" s="15">
        <v>0</v>
      </c>
      <c r="M183" s="16">
        <v>0</v>
      </c>
      <c r="N183" s="16">
        <v>5000</v>
      </c>
      <c r="O183" s="16">
        <v>0</v>
      </c>
      <c r="P183" s="16">
        <v>0</v>
      </c>
      <c r="Q183" s="16">
        <v>4340</v>
      </c>
      <c r="R183" s="16">
        <f t="shared" si="4"/>
        <v>9340</v>
      </c>
      <c r="S183" s="16" t="s">
        <v>852</v>
      </c>
      <c r="T183" s="17">
        <f t="shared" si="5"/>
        <v>0</v>
      </c>
      <c r="U183" s="16" t="s">
        <v>818</v>
      </c>
      <c r="V183" s="16" t="s">
        <v>926</v>
      </c>
    </row>
    <row r="184" spans="1:22" ht="58" hidden="1" x14ac:dyDescent="0.35">
      <c r="A184" s="8" t="s">
        <v>13</v>
      </c>
      <c r="B184" s="60" t="s">
        <v>936</v>
      </c>
      <c r="C184" s="9" t="s">
        <v>306</v>
      </c>
      <c r="D184" s="10" t="s">
        <v>307</v>
      </c>
      <c r="E184" s="10" t="s">
        <v>47</v>
      </c>
      <c r="F184" s="10" t="s">
        <v>48</v>
      </c>
      <c r="G184" s="10" t="s">
        <v>312</v>
      </c>
      <c r="H184" s="11">
        <v>130504</v>
      </c>
      <c r="I184" s="18">
        <v>75613.960000000006</v>
      </c>
      <c r="J184" s="19">
        <v>6676.93</v>
      </c>
      <c r="K184" s="11">
        <v>0</v>
      </c>
      <c r="L184" s="15">
        <v>48000</v>
      </c>
      <c r="M184" s="16">
        <v>0</v>
      </c>
      <c r="N184" s="16">
        <v>0</v>
      </c>
      <c r="O184" s="16">
        <v>0</v>
      </c>
      <c r="P184" s="16">
        <v>0</v>
      </c>
      <c r="Q184" s="16">
        <v>0</v>
      </c>
      <c r="R184" s="16">
        <f t="shared" si="4"/>
        <v>48000</v>
      </c>
      <c r="S184" s="16" t="s">
        <v>853</v>
      </c>
      <c r="T184" s="17">
        <f t="shared" si="5"/>
        <v>213.10999999999331</v>
      </c>
      <c r="U184" s="16" t="s">
        <v>860</v>
      </c>
      <c r="V184" s="16" t="s">
        <v>926</v>
      </c>
    </row>
    <row r="185" spans="1:22" hidden="1" x14ac:dyDescent="0.35">
      <c r="A185" s="8" t="s">
        <v>13</v>
      </c>
      <c r="B185" s="60" t="s">
        <v>936</v>
      </c>
      <c r="C185" s="9" t="s">
        <v>306</v>
      </c>
      <c r="D185" s="10" t="s">
        <v>307</v>
      </c>
      <c r="E185" s="10" t="s">
        <v>28</v>
      </c>
      <c r="F185" s="10" t="s">
        <v>29</v>
      </c>
      <c r="G185" s="10" t="s">
        <v>313</v>
      </c>
      <c r="H185" s="11">
        <v>7850</v>
      </c>
      <c r="I185" s="18">
        <v>7850</v>
      </c>
      <c r="J185" s="13"/>
      <c r="K185" s="14"/>
      <c r="L185" s="15">
        <v>0</v>
      </c>
      <c r="M185" s="16">
        <v>0</v>
      </c>
      <c r="N185" s="16">
        <v>0</v>
      </c>
      <c r="O185" s="16">
        <v>0</v>
      </c>
      <c r="P185" s="16">
        <v>0</v>
      </c>
      <c r="Q185" s="16">
        <v>0</v>
      </c>
      <c r="R185" s="16">
        <f t="shared" si="4"/>
        <v>0</v>
      </c>
      <c r="S185" s="16" t="s">
        <v>818</v>
      </c>
      <c r="T185" s="17">
        <f t="shared" si="5"/>
        <v>0</v>
      </c>
      <c r="U185" s="16" t="s">
        <v>818</v>
      </c>
      <c r="V185" s="16" t="s">
        <v>926</v>
      </c>
    </row>
    <row r="186" spans="1:22" ht="275.5" hidden="1" x14ac:dyDescent="0.35">
      <c r="A186" s="8" t="s">
        <v>13</v>
      </c>
      <c r="B186" s="60" t="s">
        <v>936</v>
      </c>
      <c r="C186" s="9" t="s">
        <v>306</v>
      </c>
      <c r="D186" s="10" t="s">
        <v>307</v>
      </c>
      <c r="E186" s="10" t="s">
        <v>163</v>
      </c>
      <c r="F186" s="10" t="s">
        <v>164</v>
      </c>
      <c r="G186" s="10" t="s">
        <v>314</v>
      </c>
      <c r="H186" s="11">
        <v>765063</v>
      </c>
      <c r="I186" s="18">
        <v>3300</v>
      </c>
      <c r="J186" s="19">
        <v>556421.37</v>
      </c>
      <c r="K186" s="11">
        <v>104778</v>
      </c>
      <c r="L186" s="15">
        <v>67194</v>
      </c>
      <c r="M186" s="16">
        <v>0</v>
      </c>
      <c r="N186" s="16">
        <v>0</v>
      </c>
      <c r="O186" s="16">
        <v>0</v>
      </c>
      <c r="P186" s="16">
        <v>0</v>
      </c>
      <c r="Q186" s="16">
        <v>0</v>
      </c>
      <c r="R186" s="16">
        <f t="shared" si="4"/>
        <v>67194</v>
      </c>
      <c r="S186" s="16" t="s">
        <v>854</v>
      </c>
      <c r="T186" s="17">
        <f t="shared" si="5"/>
        <v>33369.630000000005</v>
      </c>
      <c r="U186" s="16" t="s">
        <v>861</v>
      </c>
      <c r="V186" s="16" t="s">
        <v>926</v>
      </c>
    </row>
    <row r="187" spans="1:22" ht="72.5" hidden="1" x14ac:dyDescent="0.35">
      <c r="A187" s="8" t="s">
        <v>13</v>
      </c>
      <c r="B187" s="60" t="s">
        <v>936</v>
      </c>
      <c r="C187" s="9" t="s">
        <v>306</v>
      </c>
      <c r="D187" s="10" t="s">
        <v>307</v>
      </c>
      <c r="E187" s="10" t="s">
        <v>127</v>
      </c>
      <c r="F187" s="10" t="s">
        <v>128</v>
      </c>
      <c r="G187" s="10" t="s">
        <v>315</v>
      </c>
      <c r="H187" s="11">
        <v>35138</v>
      </c>
      <c r="I187" s="18">
        <v>27726.1</v>
      </c>
      <c r="J187" s="13"/>
      <c r="K187" s="14"/>
      <c r="L187" s="15">
        <v>0</v>
      </c>
      <c r="M187" s="16">
        <v>0</v>
      </c>
      <c r="N187" s="16">
        <v>7412</v>
      </c>
      <c r="O187" s="16">
        <v>0</v>
      </c>
      <c r="P187" s="16">
        <v>0</v>
      </c>
      <c r="Q187" s="16">
        <v>0</v>
      </c>
      <c r="R187" s="16">
        <f t="shared" si="4"/>
        <v>7412</v>
      </c>
      <c r="S187" s="16" t="s">
        <v>855</v>
      </c>
      <c r="T187" s="17">
        <f t="shared" si="5"/>
        <v>-9.9999999998544808E-2</v>
      </c>
      <c r="U187" s="16" t="s">
        <v>818</v>
      </c>
      <c r="V187" s="16" t="s">
        <v>926</v>
      </c>
    </row>
    <row r="188" spans="1:22" ht="101.5" hidden="1" x14ac:dyDescent="0.35">
      <c r="A188" s="8" t="s">
        <v>13</v>
      </c>
      <c r="B188" s="60" t="s">
        <v>936</v>
      </c>
      <c r="C188" s="9" t="s">
        <v>306</v>
      </c>
      <c r="D188" s="10" t="s">
        <v>307</v>
      </c>
      <c r="E188" s="10" t="s">
        <v>130</v>
      </c>
      <c r="F188" s="10" t="s">
        <v>131</v>
      </c>
      <c r="G188" s="10" t="s">
        <v>316</v>
      </c>
      <c r="H188" s="11">
        <v>594190</v>
      </c>
      <c r="I188" s="18">
        <v>392644.18</v>
      </c>
      <c r="J188" s="19">
        <v>-48215.23</v>
      </c>
      <c r="K188" s="11">
        <v>92148.87</v>
      </c>
      <c r="L188" s="15">
        <v>140982</v>
      </c>
      <c r="M188" s="16">
        <v>50000</v>
      </c>
      <c r="N188" s="16">
        <v>0</v>
      </c>
      <c r="O188" s="16">
        <v>0</v>
      </c>
      <c r="P188" s="16">
        <v>0</v>
      </c>
      <c r="Q188" s="16">
        <v>0</v>
      </c>
      <c r="R188" s="16">
        <f t="shared" si="4"/>
        <v>190982</v>
      </c>
      <c r="S188" s="16" t="s">
        <v>856</v>
      </c>
      <c r="T188" s="17">
        <f t="shared" si="5"/>
        <v>-33369.819999999978</v>
      </c>
      <c r="U188" s="16" t="s">
        <v>862</v>
      </c>
      <c r="V188" s="16" t="s">
        <v>926</v>
      </c>
    </row>
    <row r="189" spans="1:22" ht="21" hidden="1" x14ac:dyDescent="0.35">
      <c r="A189" s="8" t="s">
        <v>13</v>
      </c>
      <c r="B189" s="60" t="s">
        <v>936</v>
      </c>
      <c r="C189" s="9" t="s">
        <v>317</v>
      </c>
      <c r="D189" s="10" t="s">
        <v>318</v>
      </c>
      <c r="E189" s="10" t="s">
        <v>19</v>
      </c>
      <c r="F189" s="10" t="s">
        <v>20</v>
      </c>
      <c r="G189" s="10" t="s">
        <v>319</v>
      </c>
      <c r="H189" s="11">
        <v>21259</v>
      </c>
      <c r="I189" s="18">
        <v>31267.56</v>
      </c>
      <c r="J189" s="19">
        <v>-11600</v>
      </c>
      <c r="K189" s="11">
        <v>0</v>
      </c>
      <c r="L189" s="15"/>
      <c r="M189" s="16"/>
      <c r="N189" s="16"/>
      <c r="O189" s="16"/>
      <c r="P189" s="16">
        <v>1591</v>
      </c>
      <c r="Q189" s="16"/>
      <c r="R189" s="16">
        <f t="shared" si="4"/>
        <v>1591</v>
      </c>
      <c r="S189" s="71" t="s">
        <v>958</v>
      </c>
      <c r="T189" s="17">
        <f t="shared" si="5"/>
        <v>0.43999999999869033</v>
      </c>
      <c r="U189" s="16"/>
      <c r="V189" s="16" t="s">
        <v>926</v>
      </c>
    </row>
    <row r="190" spans="1:22" ht="21" hidden="1" x14ac:dyDescent="0.35">
      <c r="A190" s="8" t="s">
        <v>13</v>
      </c>
      <c r="B190" s="60" t="s">
        <v>936</v>
      </c>
      <c r="C190" s="9" t="s">
        <v>317</v>
      </c>
      <c r="D190" s="10" t="s">
        <v>318</v>
      </c>
      <c r="E190" s="10" t="s">
        <v>22</v>
      </c>
      <c r="F190" s="10" t="s">
        <v>23</v>
      </c>
      <c r="G190" s="10" t="s">
        <v>320</v>
      </c>
      <c r="H190" s="11">
        <v>54661</v>
      </c>
      <c r="I190" s="18">
        <v>9746.14</v>
      </c>
      <c r="J190" s="13"/>
      <c r="K190" s="14"/>
      <c r="L190" s="15"/>
      <c r="M190" s="16"/>
      <c r="N190" s="16">
        <v>14000</v>
      </c>
      <c r="O190" s="16">
        <v>10000</v>
      </c>
      <c r="P190" s="16">
        <v>10000</v>
      </c>
      <c r="Q190" s="16">
        <v>10915</v>
      </c>
      <c r="R190" s="16">
        <f t="shared" si="4"/>
        <v>44915</v>
      </c>
      <c r="S190" s="72" t="s">
        <v>959</v>
      </c>
      <c r="T190" s="17">
        <f t="shared" si="5"/>
        <v>-0.13999999999941792</v>
      </c>
      <c r="U190" s="16"/>
      <c r="V190" s="16" t="s">
        <v>926</v>
      </c>
    </row>
    <row r="191" spans="1:22" hidden="1" x14ac:dyDescent="0.35">
      <c r="A191" s="8" t="s">
        <v>13</v>
      </c>
      <c r="B191" s="60" t="s">
        <v>936</v>
      </c>
      <c r="C191" s="9" t="s">
        <v>317</v>
      </c>
      <c r="D191" s="10" t="s">
        <v>318</v>
      </c>
      <c r="E191" s="10" t="s">
        <v>157</v>
      </c>
      <c r="F191" s="10" t="s">
        <v>158</v>
      </c>
      <c r="G191" s="10" t="s">
        <v>321</v>
      </c>
      <c r="H191" s="11">
        <v>159895</v>
      </c>
      <c r="I191" s="18">
        <v>17998.96</v>
      </c>
      <c r="J191" s="13"/>
      <c r="K191" s="14"/>
      <c r="L191" s="15">
        <v>25000</v>
      </c>
      <c r="M191" s="16"/>
      <c r="N191" s="16">
        <v>50000</v>
      </c>
      <c r="O191" s="16"/>
      <c r="P191" s="16">
        <v>50000</v>
      </c>
      <c r="Q191" s="16">
        <v>16896</v>
      </c>
      <c r="R191" s="16">
        <f t="shared" si="4"/>
        <v>141896</v>
      </c>
      <c r="S191" s="72" t="s">
        <v>960</v>
      </c>
      <c r="T191" s="17">
        <f t="shared" si="5"/>
        <v>4.0000000008149073E-2</v>
      </c>
      <c r="U191" s="16"/>
      <c r="V191" s="16" t="s">
        <v>926</v>
      </c>
    </row>
    <row r="192" spans="1:22" hidden="1" x14ac:dyDescent="0.35">
      <c r="A192" s="8" t="s">
        <v>13</v>
      </c>
      <c r="B192" s="60" t="s">
        <v>936</v>
      </c>
      <c r="C192" s="9" t="s">
        <v>317</v>
      </c>
      <c r="D192" s="10" t="s">
        <v>318</v>
      </c>
      <c r="E192" s="10" t="s">
        <v>25</v>
      </c>
      <c r="F192" s="10" t="s">
        <v>26</v>
      </c>
      <c r="G192" s="10" t="s">
        <v>322</v>
      </c>
      <c r="H192" s="11">
        <v>2973</v>
      </c>
      <c r="I192" s="18">
        <v>1249</v>
      </c>
      <c r="J192" s="13"/>
      <c r="K192" s="14"/>
      <c r="L192" s="15"/>
      <c r="M192" s="16"/>
      <c r="N192" s="16"/>
      <c r="O192" s="16">
        <v>1724</v>
      </c>
      <c r="P192" s="16"/>
      <c r="Q192" s="16"/>
      <c r="R192" s="16">
        <f t="shared" si="4"/>
        <v>1724</v>
      </c>
      <c r="S192" s="72" t="s">
        <v>961</v>
      </c>
      <c r="T192" s="17">
        <f t="shared" si="5"/>
        <v>0</v>
      </c>
      <c r="U192" s="16"/>
      <c r="V192" s="16" t="s">
        <v>926</v>
      </c>
    </row>
    <row r="193" spans="1:22" ht="21" hidden="1" x14ac:dyDescent="0.35">
      <c r="A193" s="8" t="s">
        <v>13</v>
      </c>
      <c r="B193" s="60" t="s">
        <v>936</v>
      </c>
      <c r="C193" s="9" t="s">
        <v>317</v>
      </c>
      <c r="D193" s="10" t="s">
        <v>318</v>
      </c>
      <c r="E193" s="10" t="s">
        <v>47</v>
      </c>
      <c r="F193" s="10" t="s">
        <v>48</v>
      </c>
      <c r="G193" s="10" t="s">
        <v>323</v>
      </c>
      <c r="H193" s="11">
        <v>22498</v>
      </c>
      <c r="I193" s="12"/>
      <c r="J193" s="19">
        <v>0</v>
      </c>
      <c r="K193" s="11">
        <v>3010</v>
      </c>
      <c r="L193" s="15"/>
      <c r="M193" s="16"/>
      <c r="N193" s="16">
        <v>15000</v>
      </c>
      <c r="O193" s="16"/>
      <c r="P193" s="16">
        <v>4488</v>
      </c>
      <c r="Q193" s="16"/>
      <c r="R193" s="16">
        <f t="shared" si="4"/>
        <v>19488</v>
      </c>
      <c r="S193" s="72" t="s">
        <v>962</v>
      </c>
      <c r="T193" s="17">
        <f t="shared" si="5"/>
        <v>0</v>
      </c>
      <c r="U193" s="16"/>
      <c r="V193" s="16" t="s">
        <v>926</v>
      </c>
    </row>
    <row r="194" spans="1:22" hidden="1" x14ac:dyDescent="0.35">
      <c r="A194" s="8" t="s">
        <v>13</v>
      </c>
      <c r="B194" s="60" t="s">
        <v>936</v>
      </c>
      <c r="C194" s="9" t="s">
        <v>317</v>
      </c>
      <c r="D194" s="10" t="s">
        <v>318</v>
      </c>
      <c r="E194" s="10" t="s">
        <v>28</v>
      </c>
      <c r="F194" s="10" t="s">
        <v>29</v>
      </c>
      <c r="G194" s="10" t="s">
        <v>324</v>
      </c>
      <c r="H194" s="11">
        <v>6445</v>
      </c>
      <c r="I194" s="12"/>
      <c r="J194" s="13"/>
      <c r="K194" s="14"/>
      <c r="L194" s="15"/>
      <c r="M194" s="16"/>
      <c r="N194" s="16"/>
      <c r="O194" s="16">
        <v>6445</v>
      </c>
      <c r="P194" s="16"/>
      <c r="Q194" s="16"/>
      <c r="R194" s="16">
        <f t="shared" si="4"/>
        <v>6445</v>
      </c>
      <c r="S194" s="72" t="s">
        <v>963</v>
      </c>
      <c r="T194" s="17">
        <f t="shared" si="5"/>
        <v>0</v>
      </c>
      <c r="U194" s="16"/>
      <c r="V194" s="16" t="s">
        <v>926</v>
      </c>
    </row>
    <row r="195" spans="1:22" hidden="1" x14ac:dyDescent="0.35">
      <c r="A195" s="8" t="s">
        <v>13</v>
      </c>
      <c r="B195" s="60" t="s">
        <v>936</v>
      </c>
      <c r="C195" s="9" t="s">
        <v>317</v>
      </c>
      <c r="D195" s="10" t="s">
        <v>318</v>
      </c>
      <c r="E195" s="10" t="s">
        <v>127</v>
      </c>
      <c r="F195" s="10" t="s">
        <v>128</v>
      </c>
      <c r="G195" s="10" t="s">
        <v>325</v>
      </c>
      <c r="H195" s="11">
        <v>76000</v>
      </c>
      <c r="I195" s="18">
        <v>47142.27</v>
      </c>
      <c r="J195" s="13"/>
      <c r="K195" s="14"/>
      <c r="L195" s="15"/>
      <c r="M195" s="16">
        <v>8000</v>
      </c>
      <c r="N195" s="16">
        <v>8858</v>
      </c>
      <c r="O195" s="16">
        <v>6000</v>
      </c>
      <c r="P195" s="16">
        <v>6000</v>
      </c>
      <c r="Q195" s="16"/>
      <c r="R195" s="16">
        <f t="shared" si="4"/>
        <v>28858</v>
      </c>
      <c r="S195" s="72" t="s">
        <v>964</v>
      </c>
      <c r="T195" s="17">
        <f t="shared" si="5"/>
        <v>-0.26999999999679858</v>
      </c>
      <c r="U195" s="16"/>
      <c r="V195" s="16" t="s">
        <v>926</v>
      </c>
    </row>
    <row r="196" spans="1:22" hidden="1" x14ac:dyDescent="0.35">
      <c r="A196" s="8" t="s">
        <v>13</v>
      </c>
      <c r="B196" s="60" t="s">
        <v>936</v>
      </c>
      <c r="C196" s="9" t="s">
        <v>317</v>
      </c>
      <c r="D196" s="10" t="s">
        <v>318</v>
      </c>
      <c r="E196" s="10" t="s">
        <v>130</v>
      </c>
      <c r="F196" s="10" t="s">
        <v>131</v>
      </c>
      <c r="G196" s="10" t="s">
        <v>326</v>
      </c>
      <c r="H196" s="11">
        <v>169693</v>
      </c>
      <c r="I196" s="18">
        <v>5900</v>
      </c>
      <c r="J196" s="19">
        <v>67300</v>
      </c>
      <c r="K196" s="11">
        <v>28400</v>
      </c>
      <c r="L196" s="15">
        <v>68093</v>
      </c>
      <c r="M196" s="16"/>
      <c r="N196" s="16"/>
      <c r="O196" s="16"/>
      <c r="P196" s="16"/>
      <c r="Q196" s="16"/>
      <c r="R196" s="16">
        <f t="shared" si="4"/>
        <v>68093</v>
      </c>
      <c r="S196" s="72" t="s">
        <v>965</v>
      </c>
      <c r="T196" s="17">
        <f t="shared" si="5"/>
        <v>0</v>
      </c>
      <c r="U196" s="16"/>
      <c r="V196" s="16" t="s">
        <v>926</v>
      </c>
    </row>
    <row r="197" spans="1:22" hidden="1" x14ac:dyDescent="0.35">
      <c r="A197" s="8" t="s">
        <v>13</v>
      </c>
      <c r="B197" s="60" t="s">
        <v>936</v>
      </c>
      <c r="C197" s="9" t="s">
        <v>327</v>
      </c>
      <c r="D197" s="10" t="s">
        <v>328</v>
      </c>
      <c r="E197" s="10" t="s">
        <v>66</v>
      </c>
      <c r="F197" s="10" t="s">
        <v>67</v>
      </c>
      <c r="G197" s="10" t="s">
        <v>329</v>
      </c>
      <c r="H197" s="11">
        <v>6238</v>
      </c>
      <c r="I197" s="12"/>
      <c r="J197" s="13"/>
      <c r="K197" s="14"/>
      <c r="L197" s="15"/>
      <c r="M197" s="16"/>
      <c r="N197" s="16"/>
      <c r="O197" s="16"/>
      <c r="P197" s="16"/>
      <c r="Q197" s="16"/>
      <c r="R197" s="16">
        <f t="shared" ref="R197:R260" si="6">Q197+P197+O197+N197+M197+L197</f>
        <v>0</v>
      </c>
      <c r="S197" s="72" t="s">
        <v>966</v>
      </c>
      <c r="T197" s="17">
        <f t="shared" ref="T197:T260" si="7">H197-I197-J197-K197-L197-M197-N197-O197-P197-Q197</f>
        <v>6238</v>
      </c>
      <c r="U197" s="16"/>
      <c r="V197" s="16" t="s">
        <v>925</v>
      </c>
    </row>
    <row r="198" spans="1:22" hidden="1" x14ac:dyDescent="0.35">
      <c r="A198" s="8" t="s">
        <v>13</v>
      </c>
      <c r="B198" s="60" t="s">
        <v>936</v>
      </c>
      <c r="C198" s="9" t="s">
        <v>327</v>
      </c>
      <c r="D198" s="10" t="s">
        <v>328</v>
      </c>
      <c r="E198" s="10" t="s">
        <v>157</v>
      </c>
      <c r="F198" s="10" t="s">
        <v>158</v>
      </c>
      <c r="G198" s="10" t="s">
        <v>330</v>
      </c>
      <c r="H198" s="11">
        <v>38486</v>
      </c>
      <c r="I198" s="18">
        <v>19485.36</v>
      </c>
      <c r="J198" s="13"/>
      <c r="K198" s="14"/>
      <c r="L198" s="15"/>
      <c r="M198" s="16"/>
      <c r="N198" s="16"/>
      <c r="O198" s="16"/>
      <c r="P198" s="16"/>
      <c r="Q198" s="16"/>
      <c r="R198" s="16">
        <f t="shared" si="6"/>
        <v>0</v>
      </c>
      <c r="S198" s="16"/>
      <c r="T198" s="17">
        <f t="shared" si="7"/>
        <v>19000.64</v>
      </c>
      <c r="U198" s="16"/>
      <c r="V198" s="16" t="s">
        <v>925</v>
      </c>
    </row>
    <row r="199" spans="1:22" ht="21" hidden="1" x14ac:dyDescent="0.35">
      <c r="A199" s="8" t="s">
        <v>13</v>
      </c>
      <c r="B199" s="60" t="s">
        <v>936</v>
      </c>
      <c r="C199" s="9" t="s">
        <v>327</v>
      </c>
      <c r="D199" s="10" t="s">
        <v>328</v>
      </c>
      <c r="E199" s="10" t="s">
        <v>47</v>
      </c>
      <c r="F199" s="10" t="s">
        <v>48</v>
      </c>
      <c r="G199" s="10" t="s">
        <v>331</v>
      </c>
      <c r="H199" s="11">
        <v>22981</v>
      </c>
      <c r="I199" s="18">
        <v>7644.21</v>
      </c>
      <c r="J199" s="19">
        <v>0</v>
      </c>
      <c r="K199" s="11">
        <v>0</v>
      </c>
      <c r="L199" s="15"/>
      <c r="M199" s="16"/>
      <c r="N199" s="16"/>
      <c r="O199" s="16"/>
      <c r="P199" s="16"/>
      <c r="Q199" s="16"/>
      <c r="R199" s="16">
        <f t="shared" si="6"/>
        <v>0</v>
      </c>
      <c r="S199" s="16"/>
      <c r="T199" s="17">
        <f t="shared" si="7"/>
        <v>15336.79</v>
      </c>
      <c r="U199" s="16"/>
      <c r="V199" s="16" t="s">
        <v>925</v>
      </c>
    </row>
    <row r="200" spans="1:22" hidden="1" x14ac:dyDescent="0.35">
      <c r="A200" s="8" t="s">
        <v>13</v>
      </c>
      <c r="B200" s="60" t="s">
        <v>936</v>
      </c>
      <c r="C200" s="9" t="s">
        <v>327</v>
      </c>
      <c r="D200" s="10" t="s">
        <v>328</v>
      </c>
      <c r="E200" s="10" t="s">
        <v>163</v>
      </c>
      <c r="F200" s="10" t="s">
        <v>164</v>
      </c>
      <c r="G200" s="10" t="s">
        <v>332</v>
      </c>
      <c r="H200" s="11">
        <v>1500</v>
      </c>
      <c r="I200" s="18">
        <v>878.9</v>
      </c>
      <c r="J200" s="13"/>
      <c r="K200" s="14"/>
      <c r="L200" s="15"/>
      <c r="M200" s="16"/>
      <c r="N200" s="16"/>
      <c r="O200" s="16"/>
      <c r="P200" s="16"/>
      <c r="Q200" s="16"/>
      <c r="R200" s="16">
        <f t="shared" si="6"/>
        <v>0</v>
      </c>
      <c r="S200" s="16"/>
      <c r="T200" s="17">
        <f t="shared" si="7"/>
        <v>621.1</v>
      </c>
      <c r="U200" s="16"/>
      <c r="V200" s="16" t="s">
        <v>925</v>
      </c>
    </row>
    <row r="201" spans="1:22" hidden="1" x14ac:dyDescent="0.35">
      <c r="A201" s="8" t="s">
        <v>13</v>
      </c>
      <c r="B201" s="60" t="s">
        <v>936</v>
      </c>
      <c r="C201" s="9" t="s">
        <v>327</v>
      </c>
      <c r="D201" s="10" t="s">
        <v>328</v>
      </c>
      <c r="E201" s="10" t="s">
        <v>130</v>
      </c>
      <c r="F201" s="10" t="s">
        <v>131</v>
      </c>
      <c r="G201" s="10" t="s">
        <v>333</v>
      </c>
      <c r="H201" s="11">
        <v>9790</v>
      </c>
      <c r="I201" s="12"/>
      <c r="J201" s="13"/>
      <c r="K201" s="14"/>
      <c r="L201" s="15"/>
      <c r="M201" s="16"/>
      <c r="N201" s="16"/>
      <c r="O201" s="16"/>
      <c r="P201" s="16"/>
      <c r="Q201" s="16"/>
      <c r="R201" s="16">
        <f t="shared" si="6"/>
        <v>0</v>
      </c>
      <c r="S201" s="16"/>
      <c r="T201" s="17">
        <f t="shared" si="7"/>
        <v>9790</v>
      </c>
      <c r="U201" s="16"/>
      <c r="V201" s="16" t="s">
        <v>925</v>
      </c>
    </row>
    <row r="202" spans="1:22" ht="21" hidden="1" x14ac:dyDescent="0.35">
      <c r="A202" s="8" t="s">
        <v>13</v>
      </c>
      <c r="B202" s="60" t="s">
        <v>936</v>
      </c>
      <c r="C202" s="9" t="s">
        <v>334</v>
      </c>
      <c r="D202" s="10" t="s">
        <v>335</v>
      </c>
      <c r="E202" s="10" t="s">
        <v>336</v>
      </c>
      <c r="F202" s="10" t="s">
        <v>337</v>
      </c>
      <c r="G202" s="10" t="s">
        <v>338</v>
      </c>
      <c r="H202" s="11">
        <v>2000</v>
      </c>
      <c r="I202" s="12"/>
      <c r="J202" s="13"/>
      <c r="K202" s="14"/>
      <c r="L202" s="15"/>
      <c r="M202" s="16"/>
      <c r="N202" s="16"/>
      <c r="O202" s="16"/>
      <c r="P202" s="16"/>
      <c r="Q202" s="16"/>
      <c r="R202" s="16">
        <f t="shared" si="6"/>
        <v>0</v>
      </c>
      <c r="S202" s="16"/>
      <c r="T202" s="17">
        <f t="shared" si="7"/>
        <v>2000</v>
      </c>
      <c r="U202" s="16"/>
      <c r="V202" s="16" t="s">
        <v>925</v>
      </c>
    </row>
    <row r="203" spans="1:22" hidden="1" x14ac:dyDescent="0.35">
      <c r="A203" s="8" t="s">
        <v>13</v>
      </c>
      <c r="B203" s="60" t="s">
        <v>936</v>
      </c>
      <c r="C203" s="9" t="s">
        <v>339</v>
      </c>
      <c r="D203" s="10" t="s">
        <v>340</v>
      </c>
      <c r="E203" s="10" t="s">
        <v>16</v>
      </c>
      <c r="F203" s="10" t="s">
        <v>17</v>
      </c>
      <c r="G203" s="10" t="s">
        <v>341</v>
      </c>
      <c r="H203" s="11">
        <v>20593</v>
      </c>
      <c r="I203" s="12"/>
      <c r="J203" s="19">
        <v>0</v>
      </c>
      <c r="K203" s="14"/>
      <c r="L203" s="15"/>
      <c r="M203" s="16"/>
      <c r="N203" s="16"/>
      <c r="O203" s="16"/>
      <c r="P203" s="16"/>
      <c r="Q203" s="16"/>
      <c r="R203" s="16">
        <f t="shared" si="6"/>
        <v>0</v>
      </c>
      <c r="S203" s="16"/>
      <c r="T203" s="17">
        <f t="shared" si="7"/>
        <v>20593</v>
      </c>
      <c r="U203" s="16"/>
      <c r="V203" s="16" t="s">
        <v>925</v>
      </c>
    </row>
    <row r="204" spans="1:22" ht="21" hidden="1" x14ac:dyDescent="0.35">
      <c r="A204" s="8" t="s">
        <v>13</v>
      </c>
      <c r="B204" s="60" t="s">
        <v>936</v>
      </c>
      <c r="C204" s="9" t="s">
        <v>339</v>
      </c>
      <c r="D204" s="10" t="s">
        <v>340</v>
      </c>
      <c r="E204" s="10" t="s">
        <v>19</v>
      </c>
      <c r="F204" s="10" t="s">
        <v>20</v>
      </c>
      <c r="G204" s="10" t="s">
        <v>342</v>
      </c>
      <c r="H204" s="11">
        <v>11270</v>
      </c>
      <c r="I204" s="12"/>
      <c r="J204" s="19">
        <v>0</v>
      </c>
      <c r="K204" s="14"/>
      <c r="L204" s="15"/>
      <c r="M204" s="16"/>
      <c r="N204" s="16"/>
      <c r="O204" s="16"/>
      <c r="P204" s="16"/>
      <c r="Q204" s="16"/>
      <c r="R204" s="16">
        <f t="shared" si="6"/>
        <v>0</v>
      </c>
      <c r="S204" s="16"/>
      <c r="T204" s="17">
        <f t="shared" si="7"/>
        <v>11270</v>
      </c>
      <c r="U204" s="16"/>
      <c r="V204" s="16" t="s">
        <v>925</v>
      </c>
    </row>
    <row r="205" spans="1:22" ht="21" hidden="1" x14ac:dyDescent="0.35">
      <c r="A205" s="8" t="s">
        <v>13</v>
      </c>
      <c r="B205" s="60" t="s">
        <v>936</v>
      </c>
      <c r="C205" s="9" t="s">
        <v>339</v>
      </c>
      <c r="D205" s="10" t="s">
        <v>340</v>
      </c>
      <c r="E205" s="10" t="s">
        <v>22</v>
      </c>
      <c r="F205" s="10" t="s">
        <v>23</v>
      </c>
      <c r="G205" s="10" t="s">
        <v>343</v>
      </c>
      <c r="H205" s="11">
        <v>25688</v>
      </c>
      <c r="I205" s="18">
        <v>15644.27</v>
      </c>
      <c r="J205" s="13"/>
      <c r="K205" s="14"/>
      <c r="L205" s="15"/>
      <c r="M205" s="16"/>
      <c r="N205" s="16"/>
      <c r="O205" s="16"/>
      <c r="P205" s="16"/>
      <c r="Q205" s="16"/>
      <c r="R205" s="16">
        <f t="shared" si="6"/>
        <v>0</v>
      </c>
      <c r="S205" s="16"/>
      <c r="T205" s="17">
        <f t="shared" si="7"/>
        <v>10043.73</v>
      </c>
      <c r="U205" s="16"/>
      <c r="V205" s="16" t="s">
        <v>925</v>
      </c>
    </row>
    <row r="206" spans="1:22" hidden="1" x14ac:dyDescent="0.35">
      <c r="A206" s="8" t="s">
        <v>13</v>
      </c>
      <c r="B206" s="60" t="s">
        <v>936</v>
      </c>
      <c r="C206" s="9" t="s">
        <v>339</v>
      </c>
      <c r="D206" s="10" t="s">
        <v>340</v>
      </c>
      <c r="E206" s="10" t="s">
        <v>157</v>
      </c>
      <c r="F206" s="10" t="s">
        <v>158</v>
      </c>
      <c r="G206" s="10" t="s">
        <v>344</v>
      </c>
      <c r="H206" s="11">
        <v>82500</v>
      </c>
      <c r="I206" s="18">
        <v>29708.66</v>
      </c>
      <c r="J206" s="13"/>
      <c r="K206" s="14"/>
      <c r="L206" s="15"/>
      <c r="M206" s="16"/>
      <c r="N206" s="16"/>
      <c r="O206" s="16"/>
      <c r="P206" s="16"/>
      <c r="Q206" s="16"/>
      <c r="R206" s="16">
        <f t="shared" si="6"/>
        <v>0</v>
      </c>
      <c r="S206" s="16"/>
      <c r="T206" s="17">
        <f t="shared" si="7"/>
        <v>52791.34</v>
      </c>
      <c r="U206" s="16"/>
      <c r="V206" s="16" t="s">
        <v>925</v>
      </c>
    </row>
    <row r="207" spans="1:22" ht="21" hidden="1" x14ac:dyDescent="0.35">
      <c r="A207" s="8" t="s">
        <v>13</v>
      </c>
      <c r="B207" s="60" t="s">
        <v>936</v>
      </c>
      <c r="C207" s="9" t="s">
        <v>339</v>
      </c>
      <c r="D207" s="10" t="s">
        <v>340</v>
      </c>
      <c r="E207" s="10" t="s">
        <v>47</v>
      </c>
      <c r="F207" s="10" t="s">
        <v>48</v>
      </c>
      <c r="G207" s="10" t="s">
        <v>345</v>
      </c>
      <c r="H207" s="11">
        <v>22589</v>
      </c>
      <c r="I207" s="18">
        <v>27190.1</v>
      </c>
      <c r="J207" s="19">
        <v>-13590.1</v>
      </c>
      <c r="K207" s="11">
        <v>0</v>
      </c>
      <c r="L207" s="15"/>
      <c r="M207" s="16"/>
      <c r="N207" s="16"/>
      <c r="O207" s="16"/>
      <c r="P207" s="16"/>
      <c r="Q207" s="16"/>
      <c r="R207" s="16">
        <f t="shared" si="6"/>
        <v>0</v>
      </c>
      <c r="S207" s="16"/>
      <c r="T207" s="17">
        <f t="shared" si="7"/>
        <v>8989.0000000000018</v>
      </c>
      <c r="U207" s="16"/>
      <c r="V207" s="16" t="s">
        <v>925</v>
      </c>
    </row>
    <row r="208" spans="1:22" ht="21" hidden="1" x14ac:dyDescent="0.35">
      <c r="A208" s="8" t="s">
        <v>13</v>
      </c>
      <c r="B208" s="60" t="s">
        <v>936</v>
      </c>
      <c r="C208" s="9" t="s">
        <v>339</v>
      </c>
      <c r="D208" s="10" t="s">
        <v>340</v>
      </c>
      <c r="E208" s="10" t="s">
        <v>55</v>
      </c>
      <c r="F208" s="10" t="s">
        <v>56</v>
      </c>
      <c r="G208" s="10" t="s">
        <v>346</v>
      </c>
      <c r="H208" s="11">
        <v>1942</v>
      </c>
      <c r="I208" s="12"/>
      <c r="J208" s="19">
        <v>0</v>
      </c>
      <c r="K208" s="14"/>
      <c r="L208" s="15"/>
      <c r="M208" s="16"/>
      <c r="N208" s="16"/>
      <c r="O208" s="16"/>
      <c r="P208" s="16"/>
      <c r="Q208" s="16"/>
      <c r="R208" s="16">
        <f t="shared" si="6"/>
        <v>0</v>
      </c>
      <c r="S208" s="16"/>
      <c r="T208" s="17">
        <f t="shared" si="7"/>
        <v>1942</v>
      </c>
      <c r="U208" s="16"/>
      <c r="V208" s="16" t="s">
        <v>925</v>
      </c>
    </row>
    <row r="209" spans="1:22" hidden="1" x14ac:dyDescent="0.35">
      <c r="A209" s="8" t="s">
        <v>13</v>
      </c>
      <c r="B209" s="60" t="s">
        <v>936</v>
      </c>
      <c r="C209" s="9" t="s">
        <v>339</v>
      </c>
      <c r="D209" s="10" t="s">
        <v>340</v>
      </c>
      <c r="E209" s="10" t="s">
        <v>28</v>
      </c>
      <c r="F209" s="10" t="s">
        <v>29</v>
      </c>
      <c r="G209" s="10" t="s">
        <v>347</v>
      </c>
      <c r="H209" s="11">
        <v>4219</v>
      </c>
      <c r="I209" s="12"/>
      <c r="J209" s="19">
        <v>0</v>
      </c>
      <c r="K209" s="14"/>
      <c r="L209" s="15"/>
      <c r="M209" s="16"/>
      <c r="N209" s="16"/>
      <c r="O209" s="16"/>
      <c r="P209" s="16"/>
      <c r="Q209" s="16"/>
      <c r="R209" s="16">
        <f t="shared" si="6"/>
        <v>0</v>
      </c>
      <c r="S209" s="16"/>
      <c r="T209" s="17">
        <f t="shared" si="7"/>
        <v>4219</v>
      </c>
      <c r="U209" s="16"/>
      <c r="V209" s="16" t="s">
        <v>925</v>
      </c>
    </row>
    <row r="210" spans="1:22" hidden="1" x14ac:dyDescent="0.35">
      <c r="A210" s="8" t="s">
        <v>13</v>
      </c>
      <c r="B210" s="60" t="s">
        <v>936</v>
      </c>
      <c r="C210" s="9" t="s">
        <v>339</v>
      </c>
      <c r="D210" s="10" t="s">
        <v>340</v>
      </c>
      <c r="E210" s="10" t="s">
        <v>75</v>
      </c>
      <c r="F210" s="10" t="s">
        <v>76</v>
      </c>
      <c r="G210" s="10" t="s">
        <v>348</v>
      </c>
      <c r="H210" s="11">
        <v>2174</v>
      </c>
      <c r="I210" s="12"/>
      <c r="J210" s="19">
        <v>0</v>
      </c>
      <c r="K210" s="14"/>
      <c r="L210" s="15"/>
      <c r="M210" s="16"/>
      <c r="N210" s="16"/>
      <c r="O210" s="16"/>
      <c r="P210" s="16"/>
      <c r="Q210" s="16"/>
      <c r="R210" s="16">
        <f t="shared" si="6"/>
        <v>0</v>
      </c>
      <c r="S210" s="16"/>
      <c r="T210" s="17">
        <f t="shared" si="7"/>
        <v>2174</v>
      </c>
      <c r="U210" s="16"/>
      <c r="V210" s="16" t="s">
        <v>925</v>
      </c>
    </row>
    <row r="211" spans="1:22" hidden="1" x14ac:dyDescent="0.35">
      <c r="A211" s="8" t="s">
        <v>13</v>
      </c>
      <c r="B211" s="60" t="s">
        <v>936</v>
      </c>
      <c r="C211" s="9" t="s">
        <v>339</v>
      </c>
      <c r="D211" s="10" t="s">
        <v>340</v>
      </c>
      <c r="E211" s="10" t="s">
        <v>127</v>
      </c>
      <c r="F211" s="10" t="s">
        <v>128</v>
      </c>
      <c r="G211" s="10" t="s">
        <v>349</v>
      </c>
      <c r="H211" s="11">
        <v>29600</v>
      </c>
      <c r="I211" s="18">
        <v>1092.1300000000001</v>
      </c>
      <c r="J211" s="19">
        <v>0</v>
      </c>
      <c r="K211" s="14"/>
      <c r="L211" s="15"/>
      <c r="M211" s="16"/>
      <c r="N211" s="16"/>
      <c r="O211" s="16"/>
      <c r="P211" s="16"/>
      <c r="Q211" s="16"/>
      <c r="R211" s="16">
        <f t="shared" si="6"/>
        <v>0</v>
      </c>
      <c r="S211" s="16"/>
      <c r="T211" s="17">
        <f t="shared" si="7"/>
        <v>28507.87</v>
      </c>
      <c r="U211" s="16"/>
      <c r="V211" s="16" t="s">
        <v>925</v>
      </c>
    </row>
    <row r="212" spans="1:22" ht="21" hidden="1" x14ac:dyDescent="0.35">
      <c r="A212" s="8" t="s">
        <v>13</v>
      </c>
      <c r="B212" s="60" t="s">
        <v>936</v>
      </c>
      <c r="C212" s="9" t="s">
        <v>339</v>
      </c>
      <c r="D212" s="10" t="s">
        <v>340</v>
      </c>
      <c r="E212" s="10" t="s">
        <v>204</v>
      </c>
      <c r="F212" s="10" t="s">
        <v>205</v>
      </c>
      <c r="G212" s="10" t="s">
        <v>350</v>
      </c>
      <c r="H212" s="11">
        <v>4195</v>
      </c>
      <c r="I212" s="12"/>
      <c r="J212" s="19">
        <v>0</v>
      </c>
      <c r="K212" s="14"/>
      <c r="L212" s="15"/>
      <c r="M212" s="16"/>
      <c r="N212" s="16"/>
      <c r="O212" s="16"/>
      <c r="P212" s="16"/>
      <c r="Q212" s="16"/>
      <c r="R212" s="16">
        <f t="shared" si="6"/>
        <v>0</v>
      </c>
      <c r="S212" s="16"/>
      <c r="T212" s="17">
        <f t="shared" si="7"/>
        <v>4195</v>
      </c>
      <c r="U212" s="16"/>
      <c r="V212" s="16" t="s">
        <v>925</v>
      </c>
    </row>
    <row r="213" spans="1:22" ht="21" hidden="1" x14ac:dyDescent="0.35">
      <c r="A213" s="8" t="s">
        <v>13</v>
      </c>
      <c r="B213" s="60" t="s">
        <v>936</v>
      </c>
      <c r="C213" s="9" t="s">
        <v>351</v>
      </c>
      <c r="D213" s="10" t="s">
        <v>352</v>
      </c>
      <c r="E213" s="10" t="s">
        <v>19</v>
      </c>
      <c r="F213" s="10" t="s">
        <v>20</v>
      </c>
      <c r="G213" s="10" t="s">
        <v>353</v>
      </c>
      <c r="H213" s="11">
        <v>20000</v>
      </c>
      <c r="I213" s="18">
        <v>15428.01</v>
      </c>
      <c r="J213" s="13"/>
      <c r="K213" s="14"/>
      <c r="L213" s="15"/>
      <c r="M213" s="16"/>
      <c r="N213" s="16"/>
      <c r="O213" s="16"/>
      <c r="P213" s="16"/>
      <c r="Q213" s="16"/>
      <c r="R213" s="16">
        <f t="shared" si="6"/>
        <v>0</v>
      </c>
      <c r="S213" s="16"/>
      <c r="T213" s="17">
        <f t="shared" si="7"/>
        <v>4571.99</v>
      </c>
      <c r="U213" s="16"/>
      <c r="V213" s="16" t="s">
        <v>925</v>
      </c>
    </row>
    <row r="214" spans="1:22" hidden="1" x14ac:dyDescent="0.35">
      <c r="A214" s="8" t="s">
        <v>13</v>
      </c>
      <c r="B214" s="60" t="s">
        <v>936</v>
      </c>
      <c r="C214" s="9" t="s">
        <v>351</v>
      </c>
      <c r="D214" s="10" t="s">
        <v>352</v>
      </c>
      <c r="E214" s="10" t="s">
        <v>233</v>
      </c>
      <c r="F214" s="10" t="s">
        <v>234</v>
      </c>
      <c r="G214" s="10" t="s">
        <v>354</v>
      </c>
      <c r="H214" s="11">
        <v>19190</v>
      </c>
      <c r="I214" s="18">
        <v>36730</v>
      </c>
      <c r="J214" s="19">
        <v>-18365</v>
      </c>
      <c r="K214" s="11">
        <v>0</v>
      </c>
      <c r="L214" s="15"/>
      <c r="M214" s="16"/>
      <c r="N214" s="16"/>
      <c r="O214" s="16"/>
      <c r="P214" s="16"/>
      <c r="Q214" s="16"/>
      <c r="R214" s="16">
        <f t="shared" si="6"/>
        <v>0</v>
      </c>
      <c r="S214" s="16"/>
      <c r="T214" s="17">
        <f t="shared" si="7"/>
        <v>825</v>
      </c>
      <c r="U214" s="16"/>
      <c r="V214" s="16" t="s">
        <v>925</v>
      </c>
    </row>
    <row r="215" spans="1:22" hidden="1" x14ac:dyDescent="0.35">
      <c r="A215" s="8" t="s">
        <v>13</v>
      </c>
      <c r="B215" s="60" t="s">
        <v>936</v>
      </c>
      <c r="C215" s="9" t="s">
        <v>351</v>
      </c>
      <c r="D215" s="10" t="s">
        <v>352</v>
      </c>
      <c r="E215" s="10" t="s">
        <v>157</v>
      </c>
      <c r="F215" s="10" t="s">
        <v>158</v>
      </c>
      <c r="G215" s="10" t="s">
        <v>355</v>
      </c>
      <c r="H215" s="11">
        <v>382177</v>
      </c>
      <c r="I215" s="18">
        <v>56401.919999999998</v>
      </c>
      <c r="J215" s="13"/>
      <c r="K215" s="14"/>
      <c r="L215" s="15"/>
      <c r="M215" s="16"/>
      <c r="N215" s="16"/>
      <c r="O215" s="16"/>
      <c r="P215" s="16"/>
      <c r="Q215" s="16"/>
      <c r="R215" s="16">
        <f t="shared" si="6"/>
        <v>0</v>
      </c>
      <c r="S215" s="16"/>
      <c r="T215" s="17">
        <f t="shared" si="7"/>
        <v>325775.08</v>
      </c>
      <c r="U215" s="16"/>
      <c r="V215" s="16" t="s">
        <v>925</v>
      </c>
    </row>
    <row r="216" spans="1:22" ht="21" hidden="1" x14ac:dyDescent="0.35">
      <c r="A216" s="8" t="s">
        <v>13</v>
      </c>
      <c r="B216" s="60" t="s">
        <v>936</v>
      </c>
      <c r="C216" s="9" t="s">
        <v>351</v>
      </c>
      <c r="D216" s="10" t="s">
        <v>352</v>
      </c>
      <c r="E216" s="10" t="s">
        <v>47</v>
      </c>
      <c r="F216" s="10" t="s">
        <v>48</v>
      </c>
      <c r="G216" s="10" t="s">
        <v>356</v>
      </c>
      <c r="H216" s="11">
        <v>21928</v>
      </c>
      <c r="I216" s="18">
        <v>13636.64</v>
      </c>
      <c r="J216" s="19">
        <v>1875</v>
      </c>
      <c r="K216" s="11">
        <v>0</v>
      </c>
      <c r="L216" s="15"/>
      <c r="M216" s="16"/>
      <c r="N216" s="16"/>
      <c r="O216" s="16"/>
      <c r="P216" s="16"/>
      <c r="Q216" s="16"/>
      <c r="R216" s="16">
        <f t="shared" si="6"/>
        <v>0</v>
      </c>
      <c r="S216" s="16"/>
      <c r="T216" s="17">
        <f t="shared" si="7"/>
        <v>6416.3600000000006</v>
      </c>
      <c r="U216" s="16"/>
      <c r="V216" s="16" t="s">
        <v>925</v>
      </c>
    </row>
    <row r="217" spans="1:22" hidden="1" x14ac:dyDescent="0.35">
      <c r="A217" s="8" t="s">
        <v>13</v>
      </c>
      <c r="B217" s="60" t="s">
        <v>936</v>
      </c>
      <c r="C217" s="9" t="s">
        <v>351</v>
      </c>
      <c r="D217" s="10" t="s">
        <v>352</v>
      </c>
      <c r="E217" s="10" t="s">
        <v>127</v>
      </c>
      <c r="F217" s="10" t="s">
        <v>128</v>
      </c>
      <c r="G217" s="10" t="s">
        <v>357</v>
      </c>
      <c r="H217" s="11">
        <v>202000</v>
      </c>
      <c r="I217" s="18">
        <v>75369.95</v>
      </c>
      <c r="J217" s="13"/>
      <c r="K217" s="14"/>
      <c r="L217" s="15"/>
      <c r="M217" s="16"/>
      <c r="N217" s="16"/>
      <c r="O217" s="16"/>
      <c r="P217" s="16"/>
      <c r="Q217" s="16"/>
      <c r="R217" s="16">
        <f t="shared" si="6"/>
        <v>0</v>
      </c>
      <c r="S217" s="16"/>
      <c r="T217" s="17">
        <f t="shared" si="7"/>
        <v>126630.05</v>
      </c>
      <c r="U217" s="16"/>
      <c r="V217" s="16" t="s">
        <v>925</v>
      </c>
    </row>
    <row r="218" spans="1:22" hidden="1" x14ac:dyDescent="0.35">
      <c r="A218" s="8" t="s">
        <v>13</v>
      </c>
      <c r="B218" s="60" t="s">
        <v>936</v>
      </c>
      <c r="C218" s="9" t="s">
        <v>358</v>
      </c>
      <c r="D218" s="10" t="s">
        <v>359</v>
      </c>
      <c r="E218" s="10" t="s">
        <v>16</v>
      </c>
      <c r="F218" s="10" t="s">
        <v>17</v>
      </c>
      <c r="G218" s="10" t="s">
        <v>360</v>
      </c>
      <c r="H218" s="11">
        <v>0</v>
      </c>
      <c r="I218" s="12"/>
      <c r="J218" s="13"/>
      <c r="K218" s="14"/>
      <c r="L218" s="15"/>
      <c r="M218" s="16"/>
      <c r="N218" s="16"/>
      <c r="O218" s="16"/>
      <c r="P218" s="16"/>
      <c r="Q218" s="16"/>
      <c r="R218" s="16">
        <f t="shared" si="6"/>
        <v>0</v>
      </c>
      <c r="S218" s="16"/>
      <c r="T218" s="17">
        <f t="shared" si="7"/>
        <v>0</v>
      </c>
      <c r="U218" s="16"/>
      <c r="V218" s="16" t="s">
        <v>925</v>
      </c>
    </row>
    <row r="219" spans="1:22" hidden="1" x14ac:dyDescent="0.35">
      <c r="A219" s="8" t="s">
        <v>13</v>
      </c>
      <c r="B219" s="60" t="s">
        <v>936</v>
      </c>
      <c r="C219" s="9" t="s">
        <v>358</v>
      </c>
      <c r="D219" s="10" t="s">
        <v>359</v>
      </c>
      <c r="E219" s="10" t="s">
        <v>43</v>
      </c>
      <c r="F219" s="10" t="s">
        <v>44</v>
      </c>
      <c r="G219" s="10" t="s">
        <v>361</v>
      </c>
      <c r="H219" s="11">
        <v>0</v>
      </c>
      <c r="I219" s="12"/>
      <c r="J219" s="13"/>
      <c r="K219" s="14"/>
      <c r="L219" s="15"/>
      <c r="M219" s="16"/>
      <c r="N219" s="16"/>
      <c r="O219" s="16"/>
      <c r="P219" s="16"/>
      <c r="Q219" s="16"/>
      <c r="R219" s="16">
        <f t="shared" si="6"/>
        <v>0</v>
      </c>
      <c r="S219" s="16"/>
      <c r="T219" s="17">
        <f t="shared" si="7"/>
        <v>0</v>
      </c>
      <c r="U219" s="16"/>
      <c r="V219" s="16" t="s">
        <v>925</v>
      </c>
    </row>
    <row r="220" spans="1:22" ht="21" hidden="1" x14ac:dyDescent="0.35">
      <c r="A220" s="8" t="s">
        <v>13</v>
      </c>
      <c r="B220" s="60" t="s">
        <v>936</v>
      </c>
      <c r="C220" s="9" t="s">
        <v>358</v>
      </c>
      <c r="D220" s="10" t="s">
        <v>359</v>
      </c>
      <c r="E220" s="10" t="s">
        <v>19</v>
      </c>
      <c r="F220" s="10" t="s">
        <v>20</v>
      </c>
      <c r="G220" s="10" t="s">
        <v>362</v>
      </c>
      <c r="H220" s="11">
        <v>9100</v>
      </c>
      <c r="I220" s="18">
        <v>4135</v>
      </c>
      <c r="J220" s="13"/>
      <c r="K220" s="14"/>
      <c r="L220" s="15"/>
      <c r="M220" s="16"/>
      <c r="N220" s="16"/>
      <c r="O220" s="16"/>
      <c r="P220" s="16"/>
      <c r="Q220" s="16"/>
      <c r="R220" s="16">
        <f t="shared" si="6"/>
        <v>0</v>
      </c>
      <c r="S220" s="16"/>
      <c r="T220" s="17">
        <f t="shared" si="7"/>
        <v>4965</v>
      </c>
      <c r="U220" s="16"/>
      <c r="V220" s="16" t="s">
        <v>925</v>
      </c>
    </row>
    <row r="221" spans="1:22" hidden="1" x14ac:dyDescent="0.35">
      <c r="A221" s="8" t="s">
        <v>13</v>
      </c>
      <c r="B221" s="60" t="s">
        <v>936</v>
      </c>
      <c r="C221" s="9" t="s">
        <v>358</v>
      </c>
      <c r="D221" s="10" t="s">
        <v>359</v>
      </c>
      <c r="E221" s="10" t="s">
        <v>263</v>
      </c>
      <c r="F221" s="10" t="s">
        <v>264</v>
      </c>
      <c r="G221" s="10" t="s">
        <v>363</v>
      </c>
      <c r="H221" s="11">
        <v>302244</v>
      </c>
      <c r="I221" s="18">
        <v>83215</v>
      </c>
      <c r="J221" s="13"/>
      <c r="K221" s="14"/>
      <c r="L221" s="15"/>
      <c r="M221" s="16"/>
      <c r="N221" s="16"/>
      <c r="O221" s="16"/>
      <c r="P221" s="16"/>
      <c r="Q221" s="16"/>
      <c r="R221" s="16">
        <f t="shared" si="6"/>
        <v>0</v>
      </c>
      <c r="S221" s="16"/>
      <c r="T221" s="17">
        <f t="shared" si="7"/>
        <v>219029</v>
      </c>
      <c r="U221" s="16"/>
      <c r="V221" s="16" t="s">
        <v>925</v>
      </c>
    </row>
    <row r="222" spans="1:22" hidden="1" x14ac:dyDescent="0.35">
      <c r="A222" s="8" t="s">
        <v>13</v>
      </c>
      <c r="B222" s="60" t="s">
        <v>936</v>
      </c>
      <c r="C222" s="9" t="s">
        <v>358</v>
      </c>
      <c r="D222" s="10" t="s">
        <v>359</v>
      </c>
      <c r="E222" s="10" t="s">
        <v>66</v>
      </c>
      <c r="F222" s="10" t="s">
        <v>67</v>
      </c>
      <c r="G222" s="10" t="s">
        <v>364</v>
      </c>
      <c r="H222" s="11">
        <v>745</v>
      </c>
      <c r="I222" s="18">
        <v>743.33</v>
      </c>
      <c r="J222" s="13"/>
      <c r="K222" s="14"/>
      <c r="L222" s="15"/>
      <c r="M222" s="16"/>
      <c r="N222" s="16"/>
      <c r="O222" s="16"/>
      <c r="P222" s="16"/>
      <c r="Q222" s="16"/>
      <c r="R222" s="16">
        <f t="shared" si="6"/>
        <v>0</v>
      </c>
      <c r="S222" s="16"/>
      <c r="T222" s="17">
        <f t="shared" si="7"/>
        <v>1.6699999999999591</v>
      </c>
      <c r="U222" s="16"/>
      <c r="V222" s="16" t="s">
        <v>925</v>
      </c>
    </row>
    <row r="223" spans="1:22" hidden="1" x14ac:dyDescent="0.35">
      <c r="A223" s="8" t="s">
        <v>13</v>
      </c>
      <c r="B223" s="60" t="s">
        <v>936</v>
      </c>
      <c r="C223" s="9" t="s">
        <v>358</v>
      </c>
      <c r="D223" s="10" t="s">
        <v>359</v>
      </c>
      <c r="E223" s="10" t="s">
        <v>157</v>
      </c>
      <c r="F223" s="10" t="s">
        <v>158</v>
      </c>
      <c r="G223" s="10" t="s">
        <v>365</v>
      </c>
      <c r="H223" s="11">
        <v>110000</v>
      </c>
      <c r="I223" s="18">
        <v>38762.949999999997</v>
      </c>
      <c r="J223" s="13"/>
      <c r="K223" s="14"/>
      <c r="L223" s="15"/>
      <c r="M223" s="16"/>
      <c r="N223" s="16"/>
      <c r="O223" s="16"/>
      <c r="P223" s="16"/>
      <c r="Q223" s="16"/>
      <c r="R223" s="16">
        <f t="shared" si="6"/>
        <v>0</v>
      </c>
      <c r="S223" s="16"/>
      <c r="T223" s="17">
        <f t="shared" si="7"/>
        <v>71237.05</v>
      </c>
      <c r="U223" s="16"/>
      <c r="V223" s="16" t="s">
        <v>925</v>
      </c>
    </row>
    <row r="224" spans="1:22" ht="21" hidden="1" x14ac:dyDescent="0.35">
      <c r="A224" s="8" t="s">
        <v>13</v>
      </c>
      <c r="B224" s="60" t="s">
        <v>936</v>
      </c>
      <c r="C224" s="9" t="s">
        <v>358</v>
      </c>
      <c r="D224" s="10" t="s">
        <v>359</v>
      </c>
      <c r="E224" s="10" t="s">
        <v>47</v>
      </c>
      <c r="F224" s="10" t="s">
        <v>48</v>
      </c>
      <c r="G224" s="10" t="s">
        <v>366</v>
      </c>
      <c r="H224" s="11">
        <v>35628</v>
      </c>
      <c r="I224" s="12"/>
      <c r="J224" s="13"/>
      <c r="K224" s="14"/>
      <c r="L224" s="15"/>
      <c r="M224" s="16"/>
      <c r="N224" s="16"/>
      <c r="O224" s="16"/>
      <c r="P224" s="16"/>
      <c r="Q224" s="16"/>
      <c r="R224" s="16">
        <f t="shared" si="6"/>
        <v>0</v>
      </c>
      <c r="S224" s="16"/>
      <c r="T224" s="17">
        <f t="shared" si="7"/>
        <v>35628</v>
      </c>
      <c r="U224" s="16"/>
      <c r="V224" s="16" t="s">
        <v>925</v>
      </c>
    </row>
    <row r="225" spans="1:22" hidden="1" x14ac:dyDescent="0.35">
      <c r="A225" s="8" t="s">
        <v>13</v>
      </c>
      <c r="B225" s="60" t="s">
        <v>936</v>
      </c>
      <c r="C225" s="9" t="s">
        <v>358</v>
      </c>
      <c r="D225" s="10" t="s">
        <v>359</v>
      </c>
      <c r="E225" s="10" t="s">
        <v>163</v>
      </c>
      <c r="F225" s="10" t="s">
        <v>164</v>
      </c>
      <c r="G225" s="10" t="s">
        <v>367</v>
      </c>
      <c r="H225" s="11">
        <v>33898</v>
      </c>
      <c r="I225" s="12"/>
      <c r="J225" s="19">
        <v>4987.5</v>
      </c>
      <c r="K225" s="11">
        <v>15000</v>
      </c>
      <c r="L225" s="15"/>
      <c r="M225" s="16"/>
      <c r="N225" s="16"/>
      <c r="O225" s="16"/>
      <c r="P225" s="16"/>
      <c r="Q225" s="16"/>
      <c r="R225" s="16">
        <f t="shared" si="6"/>
        <v>0</v>
      </c>
      <c r="S225" s="16"/>
      <c r="T225" s="17">
        <f t="shared" si="7"/>
        <v>13910.5</v>
      </c>
      <c r="U225" s="16"/>
      <c r="V225" s="16" t="s">
        <v>925</v>
      </c>
    </row>
    <row r="226" spans="1:22" hidden="1" x14ac:dyDescent="0.35">
      <c r="A226" s="8" t="s">
        <v>13</v>
      </c>
      <c r="B226" s="60" t="s">
        <v>936</v>
      </c>
      <c r="C226" s="9" t="s">
        <v>358</v>
      </c>
      <c r="D226" s="10" t="s">
        <v>359</v>
      </c>
      <c r="E226" s="10" t="s">
        <v>127</v>
      </c>
      <c r="F226" s="10" t="s">
        <v>128</v>
      </c>
      <c r="G226" s="10" t="s">
        <v>368</v>
      </c>
      <c r="H226" s="11">
        <v>20000</v>
      </c>
      <c r="I226" s="12"/>
      <c r="J226" s="13"/>
      <c r="K226" s="14"/>
      <c r="L226" s="15"/>
      <c r="M226" s="16"/>
      <c r="N226" s="16"/>
      <c r="O226" s="16"/>
      <c r="P226" s="16"/>
      <c r="Q226" s="16"/>
      <c r="R226" s="16">
        <f t="shared" si="6"/>
        <v>0</v>
      </c>
      <c r="S226" s="16"/>
      <c r="T226" s="17">
        <f t="shared" si="7"/>
        <v>20000</v>
      </c>
      <c r="U226" s="16"/>
      <c r="V226" s="16" t="s">
        <v>925</v>
      </c>
    </row>
    <row r="227" spans="1:22" ht="43.5" hidden="1" x14ac:dyDescent="0.35">
      <c r="A227" s="8" t="s">
        <v>13</v>
      </c>
      <c r="B227" s="60" t="s">
        <v>936</v>
      </c>
      <c r="C227" s="9" t="s">
        <v>369</v>
      </c>
      <c r="D227" s="10" t="s">
        <v>370</v>
      </c>
      <c r="E227" s="10" t="s">
        <v>157</v>
      </c>
      <c r="F227" s="10" t="s">
        <v>158</v>
      </c>
      <c r="G227" s="10" t="s">
        <v>371</v>
      </c>
      <c r="H227" s="11">
        <v>74285</v>
      </c>
      <c r="I227" s="18">
        <v>8711.9699999999993</v>
      </c>
      <c r="J227" s="13"/>
      <c r="K227" s="14"/>
      <c r="L227" s="15"/>
      <c r="M227" s="16"/>
      <c r="N227" s="16">
        <v>12500</v>
      </c>
      <c r="O227" s="16">
        <v>14800</v>
      </c>
      <c r="P227" s="16">
        <v>16500</v>
      </c>
      <c r="Q227" s="16">
        <v>18000</v>
      </c>
      <c r="R227" s="16">
        <f t="shared" si="6"/>
        <v>61800</v>
      </c>
      <c r="S227" s="16"/>
      <c r="T227" s="17">
        <f t="shared" si="7"/>
        <v>3773.0299999999988</v>
      </c>
      <c r="U227" s="16" t="s">
        <v>833</v>
      </c>
      <c r="V227" s="16" t="s">
        <v>926</v>
      </c>
    </row>
    <row r="228" spans="1:22" hidden="1" x14ac:dyDescent="0.35">
      <c r="A228" s="8" t="s">
        <v>13</v>
      </c>
      <c r="B228" s="60" t="s">
        <v>936</v>
      </c>
      <c r="C228" s="9" t="s">
        <v>369</v>
      </c>
      <c r="D228" s="10" t="s">
        <v>370</v>
      </c>
      <c r="E228" s="10" t="s">
        <v>25</v>
      </c>
      <c r="F228" s="10" t="s">
        <v>26</v>
      </c>
      <c r="G228" s="10" t="s">
        <v>372</v>
      </c>
      <c r="H228" s="11">
        <v>5020</v>
      </c>
      <c r="I228" s="18">
        <v>2700</v>
      </c>
      <c r="J228" s="13"/>
      <c r="K228" s="14"/>
      <c r="L228" s="15"/>
      <c r="M228" s="16"/>
      <c r="N228" s="16">
        <v>2300</v>
      </c>
      <c r="O228" s="16"/>
      <c r="P228" s="16"/>
      <c r="Q228" s="16"/>
      <c r="R228" s="16">
        <f t="shared" si="6"/>
        <v>2300</v>
      </c>
      <c r="S228" s="16"/>
      <c r="T228" s="17">
        <f t="shared" si="7"/>
        <v>20</v>
      </c>
      <c r="U228" s="16"/>
      <c r="V228" s="16" t="s">
        <v>926</v>
      </c>
    </row>
    <row r="229" spans="1:22" ht="29" hidden="1" x14ac:dyDescent="0.35">
      <c r="A229" s="8" t="s">
        <v>13</v>
      </c>
      <c r="B229" s="60" t="s">
        <v>936</v>
      </c>
      <c r="C229" s="9" t="s">
        <v>369</v>
      </c>
      <c r="D229" s="10" t="s">
        <v>370</v>
      </c>
      <c r="E229" s="10" t="s">
        <v>47</v>
      </c>
      <c r="F229" s="10" t="s">
        <v>48</v>
      </c>
      <c r="G229" s="10" t="s">
        <v>373</v>
      </c>
      <c r="H229" s="11">
        <v>30436</v>
      </c>
      <c r="I229" s="12"/>
      <c r="J229" s="19">
        <v>2600</v>
      </c>
      <c r="K229" s="14"/>
      <c r="L229" s="15"/>
      <c r="M229" s="16"/>
      <c r="N229" s="16">
        <v>18850</v>
      </c>
      <c r="O229" s="16"/>
      <c r="P229" s="16"/>
      <c r="Q229" s="16"/>
      <c r="R229" s="16">
        <f t="shared" si="6"/>
        <v>18850</v>
      </c>
      <c r="S229" s="16"/>
      <c r="T229" s="17">
        <f t="shared" si="7"/>
        <v>8986</v>
      </c>
      <c r="U229" s="16" t="s">
        <v>834</v>
      </c>
      <c r="V229" s="16" t="s">
        <v>926</v>
      </c>
    </row>
    <row r="230" spans="1:22" ht="58" hidden="1" x14ac:dyDescent="0.35">
      <c r="A230" s="8" t="s">
        <v>13</v>
      </c>
      <c r="B230" s="60" t="s">
        <v>936</v>
      </c>
      <c r="C230" s="9" t="s">
        <v>369</v>
      </c>
      <c r="D230" s="10" t="s">
        <v>370</v>
      </c>
      <c r="E230" s="10" t="s">
        <v>163</v>
      </c>
      <c r="F230" s="10" t="s">
        <v>164</v>
      </c>
      <c r="G230" s="10" t="s">
        <v>374</v>
      </c>
      <c r="H230" s="11">
        <v>291800</v>
      </c>
      <c r="I230" s="12"/>
      <c r="J230" s="19">
        <v>233932</v>
      </c>
      <c r="K230" s="14"/>
      <c r="L230" s="15"/>
      <c r="M230" s="16">
        <v>55000</v>
      </c>
      <c r="N230" s="16"/>
      <c r="O230" s="16"/>
      <c r="P230" s="16"/>
      <c r="Q230" s="16"/>
      <c r="R230" s="16">
        <f t="shared" si="6"/>
        <v>55000</v>
      </c>
      <c r="S230" s="16"/>
      <c r="T230" s="17">
        <f t="shared" si="7"/>
        <v>2868</v>
      </c>
      <c r="U230" s="16" t="s">
        <v>835</v>
      </c>
      <c r="V230" s="16" t="s">
        <v>926</v>
      </c>
    </row>
    <row r="231" spans="1:22" ht="43.5" hidden="1" x14ac:dyDescent="0.35">
      <c r="A231" s="8" t="s">
        <v>13</v>
      </c>
      <c r="B231" s="60" t="s">
        <v>936</v>
      </c>
      <c r="C231" s="9" t="s">
        <v>369</v>
      </c>
      <c r="D231" s="10" t="s">
        <v>370</v>
      </c>
      <c r="E231" s="10" t="s">
        <v>127</v>
      </c>
      <c r="F231" s="10" t="s">
        <v>128</v>
      </c>
      <c r="G231" s="10" t="s">
        <v>375</v>
      </c>
      <c r="H231" s="11">
        <v>40510</v>
      </c>
      <c r="I231" s="18">
        <v>6747.11</v>
      </c>
      <c r="J231" s="13"/>
      <c r="K231" s="14"/>
      <c r="L231" s="15"/>
      <c r="M231" s="16"/>
      <c r="N231" s="16"/>
      <c r="O231" s="16">
        <v>9500</v>
      </c>
      <c r="P231" s="16">
        <v>10500</v>
      </c>
      <c r="Q231" s="16">
        <v>11500</v>
      </c>
      <c r="R231" s="16">
        <f t="shared" si="6"/>
        <v>31500</v>
      </c>
      <c r="S231" s="16"/>
      <c r="T231" s="17">
        <f t="shared" si="7"/>
        <v>2262.8899999999994</v>
      </c>
      <c r="U231" s="16" t="s">
        <v>836</v>
      </c>
      <c r="V231" s="16" t="s">
        <v>926</v>
      </c>
    </row>
    <row r="232" spans="1:22" hidden="1" x14ac:dyDescent="0.35">
      <c r="A232" s="8" t="s">
        <v>13</v>
      </c>
      <c r="B232" s="60" t="s">
        <v>936</v>
      </c>
      <c r="C232" s="9" t="s">
        <v>369</v>
      </c>
      <c r="D232" s="10" t="s">
        <v>370</v>
      </c>
      <c r="E232" s="10" t="s">
        <v>130</v>
      </c>
      <c r="F232" s="10" t="s">
        <v>131</v>
      </c>
      <c r="G232" s="10" t="s">
        <v>376</v>
      </c>
      <c r="H232" s="11">
        <v>234440</v>
      </c>
      <c r="I232" s="18">
        <v>95295.26</v>
      </c>
      <c r="J232" s="19">
        <v>-28721</v>
      </c>
      <c r="K232" s="11">
        <v>106162.5</v>
      </c>
      <c r="L232" s="15"/>
      <c r="M232" s="16">
        <v>61500</v>
      </c>
      <c r="N232" s="16"/>
      <c r="O232" s="16"/>
      <c r="P232" s="16"/>
      <c r="Q232" s="16"/>
      <c r="R232" s="16">
        <f t="shared" si="6"/>
        <v>61500</v>
      </c>
      <c r="S232" s="16"/>
      <c r="T232" s="17">
        <f t="shared" si="7"/>
        <v>203.23999999999069</v>
      </c>
      <c r="U232" s="16"/>
      <c r="V232" s="16" t="s">
        <v>926</v>
      </c>
    </row>
    <row r="233" spans="1:22" ht="21" hidden="1" x14ac:dyDescent="0.35">
      <c r="A233" s="8" t="s">
        <v>13</v>
      </c>
      <c r="B233" s="60" t="s">
        <v>932</v>
      </c>
      <c r="C233" s="9" t="s">
        <v>377</v>
      </c>
      <c r="D233" s="10" t="s">
        <v>378</v>
      </c>
      <c r="E233" s="10" t="s">
        <v>19</v>
      </c>
      <c r="F233" s="10" t="s">
        <v>20</v>
      </c>
      <c r="G233" s="10" t="s">
        <v>379</v>
      </c>
      <c r="H233" s="11">
        <v>7162</v>
      </c>
      <c r="I233" s="18">
        <v>1659</v>
      </c>
      <c r="J233" s="13"/>
      <c r="K233" s="14"/>
      <c r="L233" s="15"/>
      <c r="M233" s="16"/>
      <c r="N233" s="16"/>
      <c r="O233" s="16"/>
      <c r="P233" s="16"/>
      <c r="Q233" s="16"/>
      <c r="R233" s="16">
        <f t="shared" si="6"/>
        <v>0</v>
      </c>
      <c r="S233" s="16"/>
      <c r="T233" s="17">
        <f t="shared" si="7"/>
        <v>5503</v>
      </c>
      <c r="U233" s="16"/>
      <c r="V233" s="16" t="s">
        <v>925</v>
      </c>
    </row>
    <row r="234" spans="1:22" ht="21" hidden="1" x14ac:dyDescent="0.35">
      <c r="A234" s="8" t="s">
        <v>13</v>
      </c>
      <c r="B234" s="60" t="s">
        <v>932</v>
      </c>
      <c r="C234" s="9" t="s">
        <v>377</v>
      </c>
      <c r="D234" s="10" t="s">
        <v>378</v>
      </c>
      <c r="E234" s="10" t="s">
        <v>55</v>
      </c>
      <c r="F234" s="10" t="s">
        <v>56</v>
      </c>
      <c r="G234" s="10" t="s">
        <v>380</v>
      </c>
      <c r="H234" s="11">
        <v>10510</v>
      </c>
      <c r="I234" s="12"/>
      <c r="J234" s="19">
        <v>0</v>
      </c>
      <c r="K234" s="14"/>
      <c r="L234" s="15"/>
      <c r="M234" s="16"/>
      <c r="N234" s="16"/>
      <c r="O234" s="16"/>
      <c r="P234" s="16"/>
      <c r="Q234" s="16"/>
      <c r="R234" s="16">
        <f t="shared" si="6"/>
        <v>0</v>
      </c>
      <c r="S234" s="16"/>
      <c r="T234" s="17">
        <f t="shared" si="7"/>
        <v>10510</v>
      </c>
      <c r="U234" s="16"/>
      <c r="V234" s="16" t="s">
        <v>925</v>
      </c>
    </row>
    <row r="235" spans="1:22" hidden="1" x14ac:dyDescent="0.35">
      <c r="A235" s="8" t="s">
        <v>13</v>
      </c>
      <c r="B235" s="60" t="s">
        <v>932</v>
      </c>
      <c r="C235" s="9" t="s">
        <v>377</v>
      </c>
      <c r="D235" s="10" t="s">
        <v>378</v>
      </c>
      <c r="E235" s="10" t="s">
        <v>381</v>
      </c>
      <c r="F235" s="10" t="s">
        <v>382</v>
      </c>
      <c r="G235" s="10" t="s">
        <v>383</v>
      </c>
      <c r="H235" s="11">
        <v>333750</v>
      </c>
      <c r="I235" s="18">
        <v>39176.61</v>
      </c>
      <c r="J235" s="19">
        <v>58537.15</v>
      </c>
      <c r="K235" s="11">
        <v>96085.01</v>
      </c>
      <c r="L235" s="15"/>
      <c r="M235" s="16"/>
      <c r="N235" s="16"/>
      <c r="O235" s="16"/>
      <c r="P235" s="16"/>
      <c r="Q235" s="16"/>
      <c r="R235" s="16">
        <f t="shared" si="6"/>
        <v>0</v>
      </c>
      <c r="S235" s="16"/>
      <c r="T235" s="17">
        <f t="shared" si="7"/>
        <v>139951.23000000004</v>
      </c>
      <c r="U235" s="16"/>
      <c r="V235" s="16" t="s">
        <v>925</v>
      </c>
    </row>
    <row r="236" spans="1:22" hidden="1" x14ac:dyDescent="0.35">
      <c r="A236" s="8" t="s">
        <v>13</v>
      </c>
      <c r="B236" s="60" t="s">
        <v>932</v>
      </c>
      <c r="C236" s="9" t="s">
        <v>384</v>
      </c>
      <c r="D236" s="10" t="s">
        <v>385</v>
      </c>
      <c r="E236" s="10" t="s">
        <v>386</v>
      </c>
      <c r="F236" s="10" t="s">
        <v>387</v>
      </c>
      <c r="G236" s="10" t="s">
        <v>388</v>
      </c>
      <c r="H236" s="11">
        <v>4200474</v>
      </c>
      <c r="I236" s="18">
        <v>1348857.19</v>
      </c>
      <c r="J236" s="19">
        <v>0</v>
      </c>
      <c r="K236" s="11">
        <v>2851616.25</v>
      </c>
      <c r="L236" s="15"/>
      <c r="M236" s="16"/>
      <c r="N236" s="16"/>
      <c r="O236" s="16"/>
      <c r="P236" s="16"/>
      <c r="Q236" s="16"/>
      <c r="R236" s="16">
        <f t="shared" si="6"/>
        <v>0</v>
      </c>
      <c r="S236" s="16"/>
      <c r="T236" s="17">
        <f t="shared" si="7"/>
        <v>0.56000000005587935</v>
      </c>
      <c r="U236" s="16"/>
      <c r="V236" s="16" t="s">
        <v>925</v>
      </c>
    </row>
    <row r="237" spans="1:22" hidden="1" x14ac:dyDescent="0.35">
      <c r="A237" s="8" t="s">
        <v>13</v>
      </c>
      <c r="B237" s="60" t="s">
        <v>932</v>
      </c>
      <c r="C237" s="9" t="s">
        <v>384</v>
      </c>
      <c r="D237" s="10" t="s">
        <v>385</v>
      </c>
      <c r="E237" s="10" t="s">
        <v>386</v>
      </c>
      <c r="F237" s="10" t="s">
        <v>387</v>
      </c>
      <c r="G237" s="10" t="s">
        <v>389</v>
      </c>
      <c r="H237" s="11">
        <v>2486010</v>
      </c>
      <c r="I237" s="18">
        <v>819022.46</v>
      </c>
      <c r="J237" s="19">
        <v>0</v>
      </c>
      <c r="K237" s="11">
        <v>1666987.54</v>
      </c>
      <c r="L237" s="15"/>
      <c r="M237" s="16"/>
      <c r="N237" s="16"/>
      <c r="O237" s="16"/>
      <c r="P237" s="16"/>
      <c r="Q237" s="16"/>
      <c r="R237" s="16">
        <f t="shared" si="6"/>
        <v>0</v>
      </c>
      <c r="S237" s="16"/>
      <c r="T237" s="17">
        <f t="shared" si="7"/>
        <v>0</v>
      </c>
      <c r="U237" s="16"/>
      <c r="V237" s="16" t="s">
        <v>925</v>
      </c>
    </row>
    <row r="238" spans="1:22" hidden="1" x14ac:dyDescent="0.35">
      <c r="A238" s="8" t="s">
        <v>13</v>
      </c>
      <c r="B238" s="60" t="s">
        <v>932</v>
      </c>
      <c r="C238" s="9" t="s">
        <v>384</v>
      </c>
      <c r="D238" s="10" t="s">
        <v>385</v>
      </c>
      <c r="E238" s="10" t="s">
        <v>386</v>
      </c>
      <c r="F238" s="10" t="s">
        <v>387</v>
      </c>
      <c r="G238" s="10" t="s">
        <v>390</v>
      </c>
      <c r="H238" s="11">
        <v>2486253</v>
      </c>
      <c r="I238" s="18">
        <v>796039.75</v>
      </c>
      <c r="J238" s="19">
        <v>40000</v>
      </c>
      <c r="K238" s="11">
        <v>1594960.51</v>
      </c>
      <c r="L238" s="15"/>
      <c r="M238" s="16"/>
      <c r="N238" s="16"/>
      <c r="O238" s="16"/>
      <c r="P238" s="16"/>
      <c r="Q238" s="16"/>
      <c r="R238" s="16">
        <f t="shared" si="6"/>
        <v>0</v>
      </c>
      <c r="S238" s="16"/>
      <c r="T238" s="17">
        <f t="shared" si="7"/>
        <v>55252.739999999991</v>
      </c>
      <c r="U238" s="16"/>
      <c r="V238" s="16" t="s">
        <v>925</v>
      </c>
    </row>
    <row r="239" spans="1:22" hidden="1" x14ac:dyDescent="0.35">
      <c r="A239" s="8" t="s">
        <v>13</v>
      </c>
      <c r="B239" s="60" t="s">
        <v>932</v>
      </c>
      <c r="C239" s="9" t="s">
        <v>384</v>
      </c>
      <c r="D239" s="10" t="s">
        <v>385</v>
      </c>
      <c r="E239" s="10" t="s">
        <v>40</v>
      </c>
      <c r="F239" s="10" t="s">
        <v>41</v>
      </c>
      <c r="G239" s="10" t="s">
        <v>391</v>
      </c>
      <c r="H239" s="11">
        <v>833500</v>
      </c>
      <c r="I239" s="12"/>
      <c r="J239" s="19">
        <v>750000</v>
      </c>
      <c r="K239" s="14"/>
      <c r="L239" s="15"/>
      <c r="M239" s="16"/>
      <c r="N239" s="16"/>
      <c r="O239" s="16"/>
      <c r="P239" s="16"/>
      <c r="Q239" s="16"/>
      <c r="R239" s="16">
        <f t="shared" si="6"/>
        <v>0</v>
      </c>
      <c r="S239" s="16"/>
      <c r="T239" s="17">
        <f t="shared" si="7"/>
        <v>83500</v>
      </c>
      <c r="U239" s="16"/>
      <c r="V239" s="16" t="s">
        <v>925</v>
      </c>
    </row>
    <row r="240" spans="1:22" hidden="1" x14ac:dyDescent="0.35">
      <c r="A240" s="8" t="s">
        <v>13</v>
      </c>
      <c r="B240" s="60" t="s">
        <v>932</v>
      </c>
      <c r="C240" s="9" t="s">
        <v>384</v>
      </c>
      <c r="D240" s="10" t="s">
        <v>385</v>
      </c>
      <c r="E240" s="10" t="s">
        <v>392</v>
      </c>
      <c r="F240" s="10" t="s">
        <v>393</v>
      </c>
      <c r="G240" s="10" t="s">
        <v>394</v>
      </c>
      <c r="H240" s="11">
        <v>3615061</v>
      </c>
      <c r="I240" s="18">
        <v>1674250.08</v>
      </c>
      <c r="J240" s="19">
        <v>332200</v>
      </c>
      <c r="K240" s="11">
        <v>409713.33</v>
      </c>
      <c r="L240" s="15"/>
      <c r="M240" s="16"/>
      <c r="N240" s="16"/>
      <c r="O240" s="16"/>
      <c r="P240" s="16"/>
      <c r="Q240" s="16"/>
      <c r="R240" s="16">
        <f t="shared" si="6"/>
        <v>0</v>
      </c>
      <c r="S240" s="16"/>
      <c r="T240" s="17">
        <f t="shared" si="7"/>
        <v>1198897.5899999999</v>
      </c>
      <c r="U240" s="16"/>
      <c r="V240" s="16" t="s">
        <v>925</v>
      </c>
    </row>
    <row r="241" spans="1:22" hidden="1" x14ac:dyDescent="0.35">
      <c r="A241" s="8" t="s">
        <v>13</v>
      </c>
      <c r="B241" s="60" t="s">
        <v>932</v>
      </c>
      <c r="C241" s="9" t="s">
        <v>384</v>
      </c>
      <c r="D241" s="10" t="s">
        <v>385</v>
      </c>
      <c r="E241" s="10" t="s">
        <v>392</v>
      </c>
      <c r="F241" s="10" t="s">
        <v>393</v>
      </c>
      <c r="G241" s="10" t="s">
        <v>395</v>
      </c>
      <c r="H241" s="11">
        <v>2421018</v>
      </c>
      <c r="I241" s="18">
        <v>611384.02</v>
      </c>
      <c r="J241" s="19">
        <v>0</v>
      </c>
      <c r="K241" s="11">
        <v>701192.98</v>
      </c>
      <c r="L241" s="15"/>
      <c r="M241" s="16"/>
      <c r="N241" s="16"/>
      <c r="O241" s="16"/>
      <c r="P241" s="16"/>
      <c r="Q241" s="16"/>
      <c r="R241" s="16">
        <f t="shared" si="6"/>
        <v>0</v>
      </c>
      <c r="S241" s="16"/>
      <c r="T241" s="17">
        <f t="shared" si="7"/>
        <v>1108441</v>
      </c>
      <c r="U241" s="16"/>
      <c r="V241" s="16" t="s">
        <v>925</v>
      </c>
    </row>
    <row r="242" spans="1:22" hidden="1" x14ac:dyDescent="0.35">
      <c r="A242" s="8" t="s">
        <v>13</v>
      </c>
      <c r="B242" s="60" t="s">
        <v>932</v>
      </c>
      <c r="C242" s="9" t="s">
        <v>384</v>
      </c>
      <c r="D242" s="10" t="s">
        <v>385</v>
      </c>
      <c r="E242" s="10" t="s">
        <v>392</v>
      </c>
      <c r="F242" s="10" t="s">
        <v>393</v>
      </c>
      <c r="G242" s="10" t="s">
        <v>396</v>
      </c>
      <c r="H242" s="11">
        <v>1972180</v>
      </c>
      <c r="I242" s="18">
        <v>878111.79</v>
      </c>
      <c r="J242" s="19">
        <v>-161217.89000000001</v>
      </c>
      <c r="K242" s="11">
        <v>548064.72</v>
      </c>
      <c r="L242" s="15"/>
      <c r="M242" s="16"/>
      <c r="N242" s="16"/>
      <c r="O242" s="16"/>
      <c r="P242" s="16"/>
      <c r="Q242" s="16"/>
      <c r="R242" s="16">
        <f t="shared" si="6"/>
        <v>0</v>
      </c>
      <c r="S242" s="16"/>
      <c r="T242" s="17">
        <f t="shared" si="7"/>
        <v>707221.38000000012</v>
      </c>
      <c r="U242" s="16"/>
      <c r="V242" s="16" t="s">
        <v>925</v>
      </c>
    </row>
    <row r="243" spans="1:22" hidden="1" x14ac:dyDescent="0.35">
      <c r="A243" s="8" t="s">
        <v>13</v>
      </c>
      <c r="B243" s="60" t="s">
        <v>932</v>
      </c>
      <c r="C243" s="9" t="s">
        <v>384</v>
      </c>
      <c r="D243" s="10" t="s">
        <v>385</v>
      </c>
      <c r="E243" s="10" t="s">
        <v>392</v>
      </c>
      <c r="F243" s="10" t="s">
        <v>393</v>
      </c>
      <c r="G243" s="10" t="s">
        <v>397</v>
      </c>
      <c r="H243" s="11">
        <v>592937</v>
      </c>
      <c r="I243" s="18">
        <v>279943.89</v>
      </c>
      <c r="J243" s="19">
        <v>2.91038304567337E-11</v>
      </c>
      <c r="K243" s="11">
        <v>34040</v>
      </c>
      <c r="L243" s="15"/>
      <c r="M243" s="16"/>
      <c r="N243" s="16"/>
      <c r="O243" s="16"/>
      <c r="P243" s="16"/>
      <c r="Q243" s="16"/>
      <c r="R243" s="16">
        <f t="shared" si="6"/>
        <v>0</v>
      </c>
      <c r="S243" s="16"/>
      <c r="T243" s="17">
        <f t="shared" si="7"/>
        <v>278953.11</v>
      </c>
      <c r="U243" s="16"/>
      <c r="V243" s="16" t="s">
        <v>925</v>
      </c>
    </row>
    <row r="244" spans="1:22" hidden="1" x14ac:dyDescent="0.35">
      <c r="A244" s="8" t="s">
        <v>13</v>
      </c>
      <c r="B244" s="60" t="s">
        <v>932</v>
      </c>
      <c r="C244" s="9" t="s">
        <v>384</v>
      </c>
      <c r="D244" s="10" t="s">
        <v>385</v>
      </c>
      <c r="E244" s="10" t="s">
        <v>43</v>
      </c>
      <c r="F244" s="10" t="s">
        <v>44</v>
      </c>
      <c r="G244" s="10" t="s">
        <v>398</v>
      </c>
      <c r="H244" s="11">
        <v>0</v>
      </c>
      <c r="I244" s="12"/>
      <c r="J244" s="13"/>
      <c r="K244" s="14"/>
      <c r="L244" s="15"/>
      <c r="M244" s="16"/>
      <c r="N244" s="16"/>
      <c r="O244" s="16"/>
      <c r="P244" s="16"/>
      <c r="Q244" s="16"/>
      <c r="R244" s="16">
        <f t="shared" si="6"/>
        <v>0</v>
      </c>
      <c r="S244" s="16"/>
      <c r="T244" s="17">
        <f t="shared" si="7"/>
        <v>0</v>
      </c>
      <c r="U244" s="16"/>
      <c r="V244" s="16" t="s">
        <v>925</v>
      </c>
    </row>
    <row r="245" spans="1:22" ht="21" hidden="1" x14ac:dyDescent="0.35">
      <c r="A245" s="8" t="s">
        <v>13</v>
      </c>
      <c r="B245" s="60" t="s">
        <v>932</v>
      </c>
      <c r="C245" s="9" t="s">
        <v>384</v>
      </c>
      <c r="D245" s="10" t="s">
        <v>385</v>
      </c>
      <c r="E245" s="10" t="s">
        <v>19</v>
      </c>
      <c r="F245" s="10" t="s">
        <v>20</v>
      </c>
      <c r="G245" s="10" t="s">
        <v>399</v>
      </c>
      <c r="H245" s="11">
        <v>21793</v>
      </c>
      <c r="I245" s="18">
        <v>3239.25</v>
      </c>
      <c r="J245" s="13"/>
      <c r="K245" s="14"/>
      <c r="L245" s="15"/>
      <c r="M245" s="16"/>
      <c r="N245" s="16"/>
      <c r="O245" s="16"/>
      <c r="P245" s="16"/>
      <c r="Q245" s="16"/>
      <c r="R245" s="16">
        <f t="shared" si="6"/>
        <v>0</v>
      </c>
      <c r="S245" s="16"/>
      <c r="T245" s="17">
        <f t="shared" si="7"/>
        <v>18553.75</v>
      </c>
      <c r="U245" s="16"/>
      <c r="V245" s="16" t="s">
        <v>925</v>
      </c>
    </row>
    <row r="246" spans="1:22" hidden="1" x14ac:dyDescent="0.35">
      <c r="A246" s="8" t="s">
        <v>13</v>
      </c>
      <c r="B246" s="60" t="s">
        <v>932</v>
      </c>
      <c r="C246" s="9" t="s">
        <v>384</v>
      </c>
      <c r="D246" s="10" t="s">
        <v>385</v>
      </c>
      <c r="E246" s="10" t="s">
        <v>104</v>
      </c>
      <c r="F246" s="10" t="s">
        <v>105</v>
      </c>
      <c r="G246" s="10" t="s">
        <v>400</v>
      </c>
      <c r="H246" s="11">
        <v>8473395</v>
      </c>
      <c r="I246" s="18">
        <v>8473395</v>
      </c>
      <c r="J246" s="13"/>
      <c r="K246" s="14"/>
      <c r="L246" s="15"/>
      <c r="M246" s="16"/>
      <c r="N246" s="16"/>
      <c r="O246" s="16"/>
      <c r="P246" s="16"/>
      <c r="Q246" s="16"/>
      <c r="R246" s="16">
        <f t="shared" si="6"/>
        <v>0</v>
      </c>
      <c r="S246" s="16"/>
      <c r="T246" s="17">
        <f t="shared" si="7"/>
        <v>0</v>
      </c>
      <c r="U246" s="16"/>
      <c r="V246" s="16" t="s">
        <v>925</v>
      </c>
    </row>
    <row r="247" spans="1:22" hidden="1" x14ac:dyDescent="0.35">
      <c r="A247" s="8" t="s">
        <v>13</v>
      </c>
      <c r="B247" s="60" t="s">
        <v>932</v>
      </c>
      <c r="C247" s="9" t="s">
        <v>384</v>
      </c>
      <c r="D247" s="10" t="s">
        <v>385</v>
      </c>
      <c r="E247" s="10" t="s">
        <v>25</v>
      </c>
      <c r="F247" s="10" t="s">
        <v>26</v>
      </c>
      <c r="G247" s="10" t="s">
        <v>401</v>
      </c>
      <c r="H247" s="11">
        <v>20000</v>
      </c>
      <c r="I247" s="18">
        <v>5234.25</v>
      </c>
      <c r="J247" s="13"/>
      <c r="K247" s="14"/>
      <c r="L247" s="15"/>
      <c r="M247" s="16"/>
      <c r="N247" s="16"/>
      <c r="O247" s="16"/>
      <c r="P247" s="16"/>
      <c r="Q247" s="16"/>
      <c r="R247" s="16">
        <f t="shared" si="6"/>
        <v>0</v>
      </c>
      <c r="S247" s="16"/>
      <c r="T247" s="17">
        <f t="shared" si="7"/>
        <v>14765.75</v>
      </c>
      <c r="U247" s="16"/>
      <c r="V247" s="16" t="s">
        <v>925</v>
      </c>
    </row>
    <row r="248" spans="1:22" hidden="1" x14ac:dyDescent="0.35">
      <c r="A248" s="8" t="s">
        <v>13</v>
      </c>
      <c r="B248" s="60" t="s">
        <v>932</v>
      </c>
      <c r="C248" s="9" t="s">
        <v>384</v>
      </c>
      <c r="D248" s="10" t="s">
        <v>385</v>
      </c>
      <c r="E248" s="10" t="s">
        <v>402</v>
      </c>
      <c r="F248" s="10" t="s">
        <v>403</v>
      </c>
      <c r="G248" s="10" t="s">
        <v>404</v>
      </c>
      <c r="H248" s="11">
        <v>879708</v>
      </c>
      <c r="I248" s="18">
        <v>56099.61</v>
      </c>
      <c r="J248" s="13"/>
      <c r="K248" s="14"/>
      <c r="L248" s="15"/>
      <c r="M248" s="16"/>
      <c r="N248" s="16"/>
      <c r="O248" s="16"/>
      <c r="P248" s="16"/>
      <c r="Q248" s="16"/>
      <c r="R248" s="16">
        <f t="shared" si="6"/>
        <v>0</v>
      </c>
      <c r="S248" s="16"/>
      <c r="T248" s="17">
        <f t="shared" si="7"/>
        <v>823608.39</v>
      </c>
      <c r="U248" s="16"/>
      <c r="V248" s="16" t="s">
        <v>925</v>
      </c>
    </row>
    <row r="249" spans="1:22" ht="21" hidden="1" x14ac:dyDescent="0.35">
      <c r="A249" s="8" t="s">
        <v>13</v>
      </c>
      <c r="B249" s="60" t="s">
        <v>932</v>
      </c>
      <c r="C249" s="9" t="s">
        <v>384</v>
      </c>
      <c r="D249" s="10" t="s">
        <v>385</v>
      </c>
      <c r="E249" s="10" t="s">
        <v>405</v>
      </c>
      <c r="F249" s="10" t="s">
        <v>406</v>
      </c>
      <c r="G249" s="10" t="s">
        <v>407</v>
      </c>
      <c r="H249" s="11">
        <v>6000</v>
      </c>
      <c r="I249" s="18">
        <v>5800</v>
      </c>
      <c r="J249" s="13"/>
      <c r="K249" s="14"/>
      <c r="L249" s="15"/>
      <c r="M249" s="16"/>
      <c r="N249" s="16"/>
      <c r="O249" s="16"/>
      <c r="P249" s="16"/>
      <c r="Q249" s="16"/>
      <c r="R249" s="16">
        <f t="shared" si="6"/>
        <v>0</v>
      </c>
      <c r="S249" s="16"/>
      <c r="T249" s="17">
        <f t="shared" si="7"/>
        <v>200</v>
      </c>
      <c r="U249" s="16"/>
      <c r="V249" s="16" t="s">
        <v>925</v>
      </c>
    </row>
    <row r="250" spans="1:22" hidden="1" x14ac:dyDescent="0.35">
      <c r="A250" s="8" t="s">
        <v>13</v>
      </c>
      <c r="B250" s="60" t="s">
        <v>932</v>
      </c>
      <c r="C250" s="9" t="s">
        <v>384</v>
      </c>
      <c r="D250" s="10" t="s">
        <v>385</v>
      </c>
      <c r="E250" s="10" t="s">
        <v>28</v>
      </c>
      <c r="F250" s="10" t="s">
        <v>29</v>
      </c>
      <c r="G250" s="10" t="s">
        <v>408</v>
      </c>
      <c r="H250" s="11">
        <v>100000</v>
      </c>
      <c r="I250" s="12"/>
      <c r="J250" s="13"/>
      <c r="K250" s="14"/>
      <c r="L250" s="15"/>
      <c r="M250" s="16"/>
      <c r="N250" s="16"/>
      <c r="O250" s="16"/>
      <c r="P250" s="16"/>
      <c r="Q250" s="16"/>
      <c r="R250" s="16">
        <f t="shared" si="6"/>
        <v>0</v>
      </c>
      <c r="S250" s="16"/>
      <c r="T250" s="17">
        <f t="shared" si="7"/>
        <v>100000</v>
      </c>
      <c r="U250" s="16"/>
      <c r="V250" s="16" t="s">
        <v>925</v>
      </c>
    </row>
    <row r="251" spans="1:22" ht="21" hidden="1" x14ac:dyDescent="0.35">
      <c r="A251" s="8" t="s">
        <v>13</v>
      </c>
      <c r="B251" s="60" t="s">
        <v>932</v>
      </c>
      <c r="C251" s="9" t="s">
        <v>384</v>
      </c>
      <c r="D251" s="10" t="s">
        <v>385</v>
      </c>
      <c r="E251" s="10" t="s">
        <v>336</v>
      </c>
      <c r="F251" s="10" t="s">
        <v>337</v>
      </c>
      <c r="G251" s="10" t="s">
        <v>409</v>
      </c>
      <c r="H251" s="11">
        <v>1776</v>
      </c>
      <c r="I251" s="12"/>
      <c r="J251" s="13"/>
      <c r="K251" s="14"/>
      <c r="L251" s="15"/>
      <c r="M251" s="16"/>
      <c r="N251" s="16"/>
      <c r="O251" s="16"/>
      <c r="P251" s="16"/>
      <c r="Q251" s="16"/>
      <c r="R251" s="16">
        <f t="shared" si="6"/>
        <v>0</v>
      </c>
      <c r="S251" s="16"/>
      <c r="T251" s="17">
        <f t="shared" si="7"/>
        <v>1776</v>
      </c>
      <c r="U251" s="16"/>
      <c r="V251" s="16" t="s">
        <v>925</v>
      </c>
    </row>
    <row r="252" spans="1:22" hidden="1" x14ac:dyDescent="0.35">
      <c r="A252" s="8" t="s">
        <v>13</v>
      </c>
      <c r="B252" s="60" t="s">
        <v>932</v>
      </c>
      <c r="C252" s="9" t="s">
        <v>384</v>
      </c>
      <c r="D252" s="10" t="s">
        <v>385</v>
      </c>
      <c r="E252" s="10" t="s">
        <v>410</v>
      </c>
      <c r="F252" s="10" t="s">
        <v>411</v>
      </c>
      <c r="G252" s="10" t="s">
        <v>412</v>
      </c>
      <c r="H252" s="11">
        <v>199500</v>
      </c>
      <c r="I252" s="18">
        <v>199212.79999999999</v>
      </c>
      <c r="J252" s="13"/>
      <c r="K252" s="14"/>
      <c r="L252" s="15"/>
      <c r="M252" s="16"/>
      <c r="N252" s="16"/>
      <c r="O252" s="16"/>
      <c r="P252" s="16"/>
      <c r="Q252" s="16"/>
      <c r="R252" s="16">
        <f t="shared" si="6"/>
        <v>0</v>
      </c>
      <c r="S252" s="16"/>
      <c r="T252" s="17">
        <f t="shared" si="7"/>
        <v>287.20000000001164</v>
      </c>
      <c r="U252" s="16"/>
      <c r="V252" s="16" t="s">
        <v>925</v>
      </c>
    </row>
    <row r="253" spans="1:22" hidden="1" x14ac:dyDescent="0.35">
      <c r="A253" s="8" t="s">
        <v>13</v>
      </c>
      <c r="B253" s="60" t="s">
        <v>932</v>
      </c>
      <c r="C253" s="9" t="s">
        <v>384</v>
      </c>
      <c r="D253" s="10" t="s">
        <v>385</v>
      </c>
      <c r="E253" s="10" t="s">
        <v>413</v>
      </c>
      <c r="F253" s="10" t="s">
        <v>414</v>
      </c>
      <c r="G253" s="10" t="s">
        <v>415</v>
      </c>
      <c r="H253" s="11">
        <v>14141275</v>
      </c>
      <c r="I253" s="18">
        <v>3291079.38</v>
      </c>
      <c r="J253" s="19">
        <v>7232808.5</v>
      </c>
      <c r="K253" s="11">
        <v>518858.53</v>
      </c>
      <c r="L253" s="15"/>
      <c r="M253" s="16"/>
      <c r="N253" s="16"/>
      <c r="O253" s="16"/>
      <c r="P253" s="16"/>
      <c r="Q253" s="16"/>
      <c r="R253" s="16">
        <f t="shared" si="6"/>
        <v>0</v>
      </c>
      <c r="S253" s="16"/>
      <c r="T253" s="17">
        <f t="shared" si="7"/>
        <v>3098528.5900000008</v>
      </c>
      <c r="U253" s="16"/>
      <c r="V253" s="16" t="s">
        <v>925</v>
      </c>
    </row>
    <row r="254" spans="1:22" hidden="1" x14ac:dyDescent="0.35">
      <c r="A254" s="8" t="s">
        <v>13</v>
      </c>
      <c r="B254" s="60" t="s">
        <v>932</v>
      </c>
      <c r="C254" s="9" t="s">
        <v>384</v>
      </c>
      <c r="D254" s="10" t="s">
        <v>385</v>
      </c>
      <c r="E254" s="10" t="s">
        <v>413</v>
      </c>
      <c r="F254" s="10" t="s">
        <v>414</v>
      </c>
      <c r="G254" s="10" t="s">
        <v>416</v>
      </c>
      <c r="H254" s="11">
        <v>8106876</v>
      </c>
      <c r="I254" s="18">
        <v>1585361.24</v>
      </c>
      <c r="J254" s="19">
        <v>2962785.45</v>
      </c>
      <c r="K254" s="11">
        <v>296457.93</v>
      </c>
      <c r="L254" s="15"/>
      <c r="M254" s="16"/>
      <c r="N254" s="16"/>
      <c r="O254" s="16"/>
      <c r="P254" s="16"/>
      <c r="Q254" s="16"/>
      <c r="R254" s="16">
        <f t="shared" si="6"/>
        <v>0</v>
      </c>
      <c r="S254" s="16"/>
      <c r="T254" s="17">
        <f t="shared" si="7"/>
        <v>3262271.3799999994</v>
      </c>
      <c r="U254" s="16"/>
      <c r="V254" s="16" t="s">
        <v>925</v>
      </c>
    </row>
    <row r="255" spans="1:22" hidden="1" x14ac:dyDescent="0.35">
      <c r="A255" s="8" t="s">
        <v>13</v>
      </c>
      <c r="B255" s="60" t="s">
        <v>932</v>
      </c>
      <c r="C255" s="9" t="s">
        <v>384</v>
      </c>
      <c r="D255" s="10" t="s">
        <v>385</v>
      </c>
      <c r="E255" s="10" t="s">
        <v>413</v>
      </c>
      <c r="F255" s="10" t="s">
        <v>414</v>
      </c>
      <c r="G255" s="10" t="s">
        <v>417</v>
      </c>
      <c r="H255" s="11">
        <v>8486059</v>
      </c>
      <c r="I255" s="18">
        <v>1346309.26</v>
      </c>
      <c r="J255" s="19">
        <v>4913905.8</v>
      </c>
      <c r="K255" s="11">
        <v>921887.95</v>
      </c>
      <c r="L255" s="15"/>
      <c r="M255" s="16"/>
      <c r="N255" s="16"/>
      <c r="O255" s="16"/>
      <c r="P255" s="16"/>
      <c r="Q255" s="16"/>
      <c r="R255" s="16">
        <f t="shared" si="6"/>
        <v>0</v>
      </c>
      <c r="S255" s="16"/>
      <c r="T255" s="17">
        <f t="shared" si="7"/>
        <v>1303955.9900000005</v>
      </c>
      <c r="U255" s="16"/>
      <c r="V255" s="16" t="s">
        <v>925</v>
      </c>
    </row>
    <row r="256" spans="1:22" hidden="1" x14ac:dyDescent="0.35">
      <c r="A256" s="8" t="s">
        <v>13</v>
      </c>
      <c r="B256" s="60" t="s">
        <v>932</v>
      </c>
      <c r="C256" s="9" t="s">
        <v>384</v>
      </c>
      <c r="D256" s="10" t="s">
        <v>385</v>
      </c>
      <c r="E256" s="10" t="s">
        <v>413</v>
      </c>
      <c r="F256" s="10" t="s">
        <v>414</v>
      </c>
      <c r="G256" s="10" t="s">
        <v>418</v>
      </c>
      <c r="H256" s="11">
        <v>1164983</v>
      </c>
      <c r="I256" s="18">
        <v>308276.03000000003</v>
      </c>
      <c r="J256" s="19">
        <v>101593</v>
      </c>
      <c r="K256" s="11">
        <v>10331.049999999999</v>
      </c>
      <c r="L256" s="15"/>
      <c r="M256" s="16"/>
      <c r="N256" s="16"/>
      <c r="O256" s="16"/>
      <c r="P256" s="16"/>
      <c r="Q256" s="16"/>
      <c r="R256" s="16">
        <f t="shared" si="6"/>
        <v>0</v>
      </c>
      <c r="S256" s="16"/>
      <c r="T256" s="17">
        <f t="shared" si="7"/>
        <v>744782.91999999993</v>
      </c>
      <c r="U256" s="16"/>
      <c r="V256" s="16" t="s">
        <v>925</v>
      </c>
    </row>
    <row r="257" spans="1:22" hidden="1" x14ac:dyDescent="0.35">
      <c r="A257" s="8" t="s">
        <v>13</v>
      </c>
      <c r="B257" s="60" t="s">
        <v>932</v>
      </c>
      <c r="C257" s="9" t="s">
        <v>384</v>
      </c>
      <c r="D257" s="10" t="s">
        <v>385</v>
      </c>
      <c r="E257" s="10" t="s">
        <v>419</v>
      </c>
      <c r="F257" s="10" t="s">
        <v>420</v>
      </c>
      <c r="G257" s="10" t="s">
        <v>421</v>
      </c>
      <c r="H257" s="11">
        <v>19200</v>
      </c>
      <c r="I257" s="18">
        <v>17784.759999999998</v>
      </c>
      <c r="J257" s="13"/>
      <c r="K257" s="14"/>
      <c r="L257" s="15"/>
      <c r="M257" s="16"/>
      <c r="N257" s="16"/>
      <c r="O257" s="16"/>
      <c r="P257" s="16"/>
      <c r="Q257" s="16"/>
      <c r="R257" s="16">
        <f t="shared" si="6"/>
        <v>0</v>
      </c>
      <c r="S257" s="16"/>
      <c r="T257" s="17">
        <f t="shared" si="7"/>
        <v>1415.2400000000016</v>
      </c>
      <c r="U257" s="16"/>
      <c r="V257" s="16" t="s">
        <v>925</v>
      </c>
    </row>
    <row r="258" spans="1:22" hidden="1" x14ac:dyDescent="0.35">
      <c r="A258" s="8" t="s">
        <v>13</v>
      </c>
      <c r="B258" s="60" t="s">
        <v>932</v>
      </c>
      <c r="C258" s="9" t="s">
        <v>384</v>
      </c>
      <c r="D258" s="10" t="s">
        <v>385</v>
      </c>
      <c r="E258" s="10" t="s">
        <v>422</v>
      </c>
      <c r="F258" s="10" t="s">
        <v>423</v>
      </c>
      <c r="G258" s="10" t="s">
        <v>424</v>
      </c>
      <c r="H258" s="11">
        <v>8248</v>
      </c>
      <c r="I258" s="12"/>
      <c r="J258" s="19">
        <v>3600</v>
      </c>
      <c r="K258" s="14"/>
      <c r="L258" s="15"/>
      <c r="M258" s="16"/>
      <c r="N258" s="16"/>
      <c r="O258" s="16"/>
      <c r="P258" s="16"/>
      <c r="Q258" s="16"/>
      <c r="R258" s="16">
        <f t="shared" si="6"/>
        <v>0</v>
      </c>
      <c r="S258" s="16"/>
      <c r="T258" s="17">
        <f t="shared" si="7"/>
        <v>4648</v>
      </c>
      <c r="U258" s="16"/>
      <c r="V258" s="16" t="s">
        <v>925</v>
      </c>
    </row>
    <row r="259" spans="1:22" hidden="1" x14ac:dyDescent="0.35">
      <c r="A259" s="8" t="s">
        <v>13</v>
      </c>
      <c r="B259" s="60" t="s">
        <v>932</v>
      </c>
      <c r="C259" s="9" t="s">
        <v>384</v>
      </c>
      <c r="D259" s="10" t="s">
        <v>385</v>
      </c>
      <c r="E259" s="10" t="s">
        <v>422</v>
      </c>
      <c r="F259" s="10" t="s">
        <v>423</v>
      </c>
      <c r="G259" s="10" t="s">
        <v>425</v>
      </c>
      <c r="H259" s="11">
        <v>0</v>
      </c>
      <c r="I259" s="18">
        <v>-9.0949470177292804E-13</v>
      </c>
      <c r="J259" s="13"/>
      <c r="K259" s="14"/>
      <c r="L259" s="15"/>
      <c r="M259" s="16"/>
      <c r="N259" s="16"/>
      <c r="O259" s="16"/>
      <c r="P259" s="16"/>
      <c r="Q259" s="16"/>
      <c r="R259" s="16">
        <f t="shared" si="6"/>
        <v>0</v>
      </c>
      <c r="S259" s="16"/>
      <c r="T259" s="17">
        <f t="shared" si="7"/>
        <v>9.0949470177292804E-13</v>
      </c>
      <c r="U259" s="16"/>
      <c r="V259" s="16" t="s">
        <v>925</v>
      </c>
    </row>
    <row r="260" spans="1:22" hidden="1" x14ac:dyDescent="0.35">
      <c r="A260" s="8" t="s">
        <v>13</v>
      </c>
      <c r="B260" s="60" t="s">
        <v>932</v>
      </c>
      <c r="C260" s="9" t="s">
        <v>384</v>
      </c>
      <c r="D260" s="10" t="s">
        <v>385</v>
      </c>
      <c r="E260" s="10" t="s">
        <v>426</v>
      </c>
      <c r="F260" s="10" t="s">
        <v>427</v>
      </c>
      <c r="G260" s="10" t="s">
        <v>428</v>
      </c>
      <c r="H260" s="11">
        <v>10000</v>
      </c>
      <c r="I260" s="18">
        <v>10000</v>
      </c>
      <c r="J260" s="13"/>
      <c r="K260" s="14"/>
      <c r="L260" s="15"/>
      <c r="M260" s="16"/>
      <c r="N260" s="16"/>
      <c r="O260" s="16"/>
      <c r="P260" s="16"/>
      <c r="Q260" s="16"/>
      <c r="R260" s="16">
        <f t="shared" si="6"/>
        <v>0</v>
      </c>
      <c r="S260" s="16"/>
      <c r="T260" s="17">
        <f t="shared" si="7"/>
        <v>0</v>
      </c>
      <c r="U260" s="16"/>
      <c r="V260" s="16" t="s">
        <v>925</v>
      </c>
    </row>
    <row r="261" spans="1:22" hidden="1" x14ac:dyDescent="0.35">
      <c r="A261" s="8" t="s">
        <v>13</v>
      </c>
      <c r="B261" s="60" t="s">
        <v>932</v>
      </c>
      <c r="C261" s="9" t="s">
        <v>384</v>
      </c>
      <c r="D261" s="10" t="s">
        <v>385</v>
      </c>
      <c r="E261" s="10" t="s">
        <v>429</v>
      </c>
      <c r="F261" s="10" t="s">
        <v>430</v>
      </c>
      <c r="G261" s="10" t="s">
        <v>431</v>
      </c>
      <c r="H261" s="11">
        <v>43914</v>
      </c>
      <c r="I261" s="18">
        <v>43913.55</v>
      </c>
      <c r="J261" s="19">
        <v>0</v>
      </c>
      <c r="K261" s="11">
        <v>0</v>
      </c>
      <c r="L261" s="15"/>
      <c r="M261" s="16"/>
      <c r="N261" s="16"/>
      <c r="O261" s="16"/>
      <c r="P261" s="16"/>
      <c r="Q261" s="16"/>
      <c r="R261" s="16">
        <f t="shared" ref="R261:R324" si="8">Q261+P261+O261+N261+M261+L261</f>
        <v>0</v>
      </c>
      <c r="S261" s="16"/>
      <c r="T261" s="17">
        <f t="shared" ref="T261:T324" si="9">H261-I261-J261-K261-L261-M261-N261-O261-P261-Q261</f>
        <v>0.44999999999708962</v>
      </c>
      <c r="U261" s="16"/>
      <c r="V261" s="16" t="s">
        <v>925</v>
      </c>
    </row>
    <row r="262" spans="1:22" hidden="1" x14ac:dyDescent="0.35">
      <c r="A262" s="8" t="s">
        <v>13</v>
      </c>
      <c r="B262" s="60" t="s">
        <v>932</v>
      </c>
      <c r="C262" s="9" t="s">
        <v>432</v>
      </c>
      <c r="D262" s="10" t="s">
        <v>433</v>
      </c>
      <c r="E262" s="10" t="s">
        <v>434</v>
      </c>
      <c r="F262" s="10" t="s">
        <v>435</v>
      </c>
      <c r="G262" s="10" t="s">
        <v>436</v>
      </c>
      <c r="H262" s="11">
        <v>9417</v>
      </c>
      <c r="I262" s="12"/>
      <c r="J262" s="13"/>
      <c r="K262" s="14"/>
      <c r="L262" s="15"/>
      <c r="M262" s="16"/>
      <c r="N262" s="16"/>
      <c r="O262" s="16"/>
      <c r="P262" s="16"/>
      <c r="Q262" s="16"/>
      <c r="R262" s="16">
        <f t="shared" si="8"/>
        <v>0</v>
      </c>
      <c r="S262" s="16"/>
      <c r="T262" s="17">
        <f t="shared" si="9"/>
        <v>9417</v>
      </c>
      <c r="U262" s="16"/>
      <c r="V262" s="16" t="s">
        <v>925</v>
      </c>
    </row>
    <row r="263" spans="1:22" hidden="1" x14ac:dyDescent="0.35">
      <c r="A263" s="8" t="s">
        <v>13</v>
      </c>
      <c r="B263" s="60" t="s">
        <v>932</v>
      </c>
      <c r="C263" s="9" t="s">
        <v>432</v>
      </c>
      <c r="D263" s="10" t="s">
        <v>433</v>
      </c>
      <c r="E263" s="10" t="s">
        <v>437</v>
      </c>
      <c r="F263" s="10" t="s">
        <v>438</v>
      </c>
      <c r="G263" s="10" t="s">
        <v>439</v>
      </c>
      <c r="H263" s="11">
        <v>848</v>
      </c>
      <c r="I263" s="18">
        <v>350</v>
      </c>
      <c r="J263" s="13"/>
      <c r="K263" s="14"/>
      <c r="L263" s="15"/>
      <c r="M263" s="16"/>
      <c r="N263" s="16"/>
      <c r="O263" s="16"/>
      <c r="P263" s="16"/>
      <c r="Q263" s="16"/>
      <c r="R263" s="16">
        <f t="shared" si="8"/>
        <v>0</v>
      </c>
      <c r="S263" s="16"/>
      <c r="T263" s="17">
        <f t="shared" si="9"/>
        <v>498</v>
      </c>
      <c r="U263" s="16"/>
      <c r="V263" s="16" t="s">
        <v>925</v>
      </c>
    </row>
    <row r="264" spans="1:22" ht="21" hidden="1" x14ac:dyDescent="0.35">
      <c r="A264" s="8" t="s">
        <v>13</v>
      </c>
      <c r="B264" s="60" t="s">
        <v>932</v>
      </c>
      <c r="C264" s="9" t="s">
        <v>432</v>
      </c>
      <c r="D264" s="10" t="s">
        <v>433</v>
      </c>
      <c r="E264" s="10" t="s">
        <v>55</v>
      </c>
      <c r="F264" s="10" t="s">
        <v>56</v>
      </c>
      <c r="G264" s="10" t="s">
        <v>440</v>
      </c>
      <c r="H264" s="11">
        <v>4000</v>
      </c>
      <c r="I264" s="12"/>
      <c r="J264" s="13"/>
      <c r="K264" s="14"/>
      <c r="L264" s="15"/>
      <c r="M264" s="16"/>
      <c r="N264" s="16"/>
      <c r="O264" s="16"/>
      <c r="P264" s="16"/>
      <c r="Q264" s="16"/>
      <c r="R264" s="16">
        <f t="shared" si="8"/>
        <v>0</v>
      </c>
      <c r="S264" s="16"/>
      <c r="T264" s="17">
        <f t="shared" si="9"/>
        <v>4000</v>
      </c>
      <c r="U264" s="16"/>
      <c r="V264" s="16" t="s">
        <v>925</v>
      </c>
    </row>
    <row r="265" spans="1:22" hidden="1" x14ac:dyDescent="0.35">
      <c r="A265" s="8" t="s">
        <v>13</v>
      </c>
      <c r="B265" s="60" t="s">
        <v>932</v>
      </c>
      <c r="C265" s="9" t="s">
        <v>432</v>
      </c>
      <c r="D265" s="10" t="s">
        <v>433</v>
      </c>
      <c r="E265" s="10" t="s">
        <v>441</v>
      </c>
      <c r="F265" s="10" t="s">
        <v>442</v>
      </c>
      <c r="G265" s="10" t="s">
        <v>443</v>
      </c>
      <c r="H265" s="11">
        <v>11609542</v>
      </c>
      <c r="I265" s="18">
        <v>2308775.73</v>
      </c>
      <c r="J265" s="13"/>
      <c r="K265" s="14"/>
      <c r="L265" s="15"/>
      <c r="M265" s="16"/>
      <c r="N265" s="16"/>
      <c r="O265" s="16"/>
      <c r="P265" s="16"/>
      <c r="Q265" s="16"/>
      <c r="R265" s="16">
        <f t="shared" si="8"/>
        <v>0</v>
      </c>
      <c r="S265" s="16"/>
      <c r="T265" s="17">
        <f t="shared" si="9"/>
        <v>9300766.2699999996</v>
      </c>
      <c r="U265" s="16"/>
      <c r="V265" s="16" t="s">
        <v>925</v>
      </c>
    </row>
    <row r="266" spans="1:22" hidden="1" x14ac:dyDescent="0.35">
      <c r="A266" s="8" t="s">
        <v>13</v>
      </c>
      <c r="B266" s="60" t="s">
        <v>932</v>
      </c>
      <c r="C266" s="9" t="s">
        <v>432</v>
      </c>
      <c r="D266" s="10" t="s">
        <v>433</v>
      </c>
      <c r="E266" s="10" t="s">
        <v>441</v>
      </c>
      <c r="F266" s="10" t="s">
        <v>442</v>
      </c>
      <c r="G266" s="10" t="s">
        <v>444</v>
      </c>
      <c r="H266" s="11">
        <v>4835641</v>
      </c>
      <c r="I266" s="18">
        <v>1247690.1599999999</v>
      </c>
      <c r="J266" s="13"/>
      <c r="K266" s="14"/>
      <c r="L266" s="15"/>
      <c r="M266" s="16"/>
      <c r="N266" s="16"/>
      <c r="O266" s="16"/>
      <c r="P266" s="16"/>
      <c r="Q266" s="16"/>
      <c r="R266" s="16">
        <f t="shared" si="8"/>
        <v>0</v>
      </c>
      <c r="S266" s="16"/>
      <c r="T266" s="17">
        <f t="shared" si="9"/>
        <v>3587950.84</v>
      </c>
      <c r="U266" s="16"/>
      <c r="V266" s="16" t="s">
        <v>925</v>
      </c>
    </row>
    <row r="267" spans="1:22" hidden="1" x14ac:dyDescent="0.35">
      <c r="A267" s="8" t="s">
        <v>13</v>
      </c>
      <c r="B267" s="60" t="s">
        <v>932</v>
      </c>
      <c r="C267" s="9" t="s">
        <v>432</v>
      </c>
      <c r="D267" s="10" t="s">
        <v>433</v>
      </c>
      <c r="E267" s="10" t="s">
        <v>441</v>
      </c>
      <c r="F267" s="10" t="s">
        <v>442</v>
      </c>
      <c r="G267" s="10" t="s">
        <v>445</v>
      </c>
      <c r="H267" s="11">
        <v>5255311</v>
      </c>
      <c r="I267" s="18">
        <v>1229738.76</v>
      </c>
      <c r="J267" s="13"/>
      <c r="K267" s="14"/>
      <c r="L267" s="15"/>
      <c r="M267" s="16"/>
      <c r="N267" s="16"/>
      <c r="O267" s="16"/>
      <c r="P267" s="16"/>
      <c r="Q267" s="16"/>
      <c r="R267" s="16">
        <f t="shared" si="8"/>
        <v>0</v>
      </c>
      <c r="S267" s="16"/>
      <c r="T267" s="17">
        <f t="shared" si="9"/>
        <v>4025572.24</v>
      </c>
      <c r="U267" s="16"/>
      <c r="V267" s="16" t="s">
        <v>925</v>
      </c>
    </row>
    <row r="268" spans="1:22" hidden="1" x14ac:dyDescent="0.35">
      <c r="A268" s="8" t="s">
        <v>13</v>
      </c>
      <c r="B268" s="60" t="s">
        <v>932</v>
      </c>
      <c r="C268" s="9" t="s">
        <v>432</v>
      </c>
      <c r="D268" s="10" t="s">
        <v>433</v>
      </c>
      <c r="E268" s="10" t="s">
        <v>446</v>
      </c>
      <c r="F268" s="10" t="s">
        <v>447</v>
      </c>
      <c r="G268" s="10" t="s">
        <v>448</v>
      </c>
      <c r="H268" s="11">
        <v>1687672</v>
      </c>
      <c r="I268" s="18">
        <v>296776.68</v>
      </c>
      <c r="J268" s="13"/>
      <c r="K268" s="14"/>
      <c r="L268" s="15"/>
      <c r="M268" s="16"/>
      <c r="N268" s="16"/>
      <c r="O268" s="16"/>
      <c r="P268" s="16"/>
      <c r="Q268" s="16"/>
      <c r="R268" s="16">
        <f t="shared" si="8"/>
        <v>0</v>
      </c>
      <c r="S268" s="16"/>
      <c r="T268" s="17">
        <f t="shared" si="9"/>
        <v>1390895.32</v>
      </c>
      <c r="U268" s="16"/>
      <c r="V268" s="16" t="s">
        <v>925</v>
      </c>
    </row>
    <row r="269" spans="1:22" hidden="1" x14ac:dyDescent="0.35">
      <c r="A269" s="8" t="s">
        <v>13</v>
      </c>
      <c r="B269" s="60" t="s">
        <v>932</v>
      </c>
      <c r="C269" s="9" t="s">
        <v>432</v>
      </c>
      <c r="D269" s="10" t="s">
        <v>433</v>
      </c>
      <c r="E269" s="10" t="s">
        <v>446</v>
      </c>
      <c r="F269" s="10" t="s">
        <v>447</v>
      </c>
      <c r="G269" s="10" t="s">
        <v>449</v>
      </c>
      <c r="H269" s="11">
        <v>1479473</v>
      </c>
      <c r="I269" s="18">
        <v>393988.21</v>
      </c>
      <c r="J269" s="13"/>
      <c r="K269" s="14"/>
      <c r="L269" s="15"/>
      <c r="M269" s="16"/>
      <c r="N269" s="16"/>
      <c r="O269" s="16"/>
      <c r="P269" s="16"/>
      <c r="Q269" s="16"/>
      <c r="R269" s="16">
        <f t="shared" si="8"/>
        <v>0</v>
      </c>
      <c r="S269" s="16"/>
      <c r="T269" s="17">
        <f t="shared" si="9"/>
        <v>1085484.79</v>
      </c>
      <c r="U269" s="16"/>
      <c r="V269" s="16" t="s">
        <v>925</v>
      </c>
    </row>
    <row r="270" spans="1:22" hidden="1" x14ac:dyDescent="0.35">
      <c r="A270" s="8" t="s">
        <v>13</v>
      </c>
      <c r="B270" s="60" t="s">
        <v>932</v>
      </c>
      <c r="C270" s="9" t="s">
        <v>432</v>
      </c>
      <c r="D270" s="10" t="s">
        <v>433</v>
      </c>
      <c r="E270" s="10" t="s">
        <v>446</v>
      </c>
      <c r="F270" s="10" t="s">
        <v>447</v>
      </c>
      <c r="G270" s="10" t="s">
        <v>450</v>
      </c>
      <c r="H270" s="11">
        <v>1523249</v>
      </c>
      <c r="I270" s="18">
        <v>369522.71</v>
      </c>
      <c r="J270" s="13"/>
      <c r="K270" s="14"/>
      <c r="L270" s="15"/>
      <c r="M270" s="16"/>
      <c r="N270" s="16"/>
      <c r="O270" s="16"/>
      <c r="P270" s="16"/>
      <c r="Q270" s="16"/>
      <c r="R270" s="16">
        <f t="shared" si="8"/>
        <v>0</v>
      </c>
      <c r="S270" s="16"/>
      <c r="T270" s="17">
        <f t="shared" si="9"/>
        <v>1153726.29</v>
      </c>
      <c r="U270" s="16"/>
      <c r="V270" s="16" t="s">
        <v>925</v>
      </c>
    </row>
    <row r="271" spans="1:22" hidden="1" x14ac:dyDescent="0.35">
      <c r="A271" s="8" t="s">
        <v>13</v>
      </c>
      <c r="B271" s="60" t="s">
        <v>932</v>
      </c>
      <c r="C271" s="9" t="s">
        <v>432</v>
      </c>
      <c r="D271" s="10" t="s">
        <v>433</v>
      </c>
      <c r="E271" s="10" t="s">
        <v>451</v>
      </c>
      <c r="F271" s="10" t="s">
        <v>452</v>
      </c>
      <c r="G271" s="10" t="s">
        <v>453</v>
      </c>
      <c r="H271" s="11">
        <v>1228068</v>
      </c>
      <c r="I271" s="18">
        <v>10730</v>
      </c>
      <c r="J271" s="19">
        <v>936310</v>
      </c>
      <c r="K271" s="11">
        <v>280310</v>
      </c>
      <c r="L271" s="15"/>
      <c r="M271" s="16"/>
      <c r="N271" s="16"/>
      <c r="O271" s="16"/>
      <c r="P271" s="16"/>
      <c r="Q271" s="16"/>
      <c r="R271" s="16">
        <f t="shared" si="8"/>
        <v>0</v>
      </c>
      <c r="S271" s="16"/>
      <c r="T271" s="17">
        <f t="shared" si="9"/>
        <v>718</v>
      </c>
      <c r="U271" s="16"/>
      <c r="V271" s="16" t="s">
        <v>925</v>
      </c>
    </row>
    <row r="272" spans="1:22" hidden="1" x14ac:dyDescent="0.35">
      <c r="A272" s="8" t="s">
        <v>13</v>
      </c>
      <c r="B272" s="60" t="s">
        <v>932</v>
      </c>
      <c r="C272" s="9" t="s">
        <v>432</v>
      </c>
      <c r="D272" s="10" t="s">
        <v>433</v>
      </c>
      <c r="E272" s="10" t="s">
        <v>426</v>
      </c>
      <c r="F272" s="10" t="s">
        <v>427</v>
      </c>
      <c r="G272" s="10" t="s">
        <v>454</v>
      </c>
      <c r="H272" s="11">
        <v>79602</v>
      </c>
      <c r="I272" s="18">
        <v>28559.54</v>
      </c>
      <c r="J272" s="19">
        <v>0</v>
      </c>
      <c r="K272" s="11">
        <v>23232</v>
      </c>
      <c r="L272" s="15"/>
      <c r="M272" s="16"/>
      <c r="N272" s="16"/>
      <c r="O272" s="16"/>
      <c r="P272" s="16"/>
      <c r="Q272" s="16"/>
      <c r="R272" s="16">
        <f t="shared" si="8"/>
        <v>0</v>
      </c>
      <c r="S272" s="16"/>
      <c r="T272" s="17">
        <f t="shared" si="9"/>
        <v>27810.46</v>
      </c>
      <c r="U272" s="16"/>
      <c r="V272" s="16" t="s">
        <v>925</v>
      </c>
    </row>
    <row r="273" spans="1:22" hidden="1" x14ac:dyDescent="0.35">
      <c r="A273" s="8" t="s">
        <v>13</v>
      </c>
      <c r="B273" s="60" t="s">
        <v>932</v>
      </c>
      <c r="C273" s="9" t="s">
        <v>432</v>
      </c>
      <c r="D273" s="10" t="s">
        <v>433</v>
      </c>
      <c r="E273" s="10" t="s">
        <v>429</v>
      </c>
      <c r="F273" s="10" t="s">
        <v>430</v>
      </c>
      <c r="G273" s="10" t="s">
        <v>455</v>
      </c>
      <c r="H273" s="11">
        <v>597472</v>
      </c>
      <c r="I273" s="18">
        <v>20754.830000000002</v>
      </c>
      <c r="J273" s="19">
        <v>73722.14</v>
      </c>
      <c r="K273" s="11">
        <v>283628.65000000002</v>
      </c>
      <c r="L273" s="15"/>
      <c r="M273" s="16"/>
      <c r="N273" s="16"/>
      <c r="O273" s="16"/>
      <c r="P273" s="16"/>
      <c r="Q273" s="16"/>
      <c r="R273" s="16">
        <f t="shared" si="8"/>
        <v>0</v>
      </c>
      <c r="S273" s="16"/>
      <c r="T273" s="17">
        <f t="shared" si="9"/>
        <v>219366.38</v>
      </c>
      <c r="U273" s="16"/>
      <c r="V273" s="16" t="s">
        <v>925</v>
      </c>
    </row>
    <row r="274" spans="1:22" hidden="1" x14ac:dyDescent="0.35">
      <c r="A274" s="8" t="s">
        <v>13</v>
      </c>
      <c r="B274" s="60" t="s">
        <v>932</v>
      </c>
      <c r="C274" s="9" t="s">
        <v>432</v>
      </c>
      <c r="D274" s="10" t="s">
        <v>433</v>
      </c>
      <c r="E274" s="10" t="s">
        <v>456</v>
      </c>
      <c r="F274" s="10" t="s">
        <v>457</v>
      </c>
      <c r="G274" s="10" t="s">
        <v>458</v>
      </c>
      <c r="H274" s="11">
        <v>252000</v>
      </c>
      <c r="I274" s="18">
        <v>7565.86</v>
      </c>
      <c r="J274" s="13"/>
      <c r="K274" s="14"/>
      <c r="L274" s="15"/>
      <c r="M274" s="16"/>
      <c r="N274" s="16"/>
      <c r="O274" s="16"/>
      <c r="P274" s="16"/>
      <c r="Q274" s="16"/>
      <c r="R274" s="16">
        <f t="shared" si="8"/>
        <v>0</v>
      </c>
      <c r="S274" s="16"/>
      <c r="T274" s="17">
        <f t="shared" si="9"/>
        <v>244434.14</v>
      </c>
      <c r="U274" s="16"/>
      <c r="V274" s="16" t="s">
        <v>925</v>
      </c>
    </row>
    <row r="275" spans="1:22" hidden="1" x14ac:dyDescent="0.35">
      <c r="A275" s="8" t="s">
        <v>13</v>
      </c>
      <c r="B275" s="60" t="s">
        <v>932</v>
      </c>
      <c r="C275" s="9" t="s">
        <v>432</v>
      </c>
      <c r="D275" s="10" t="s">
        <v>433</v>
      </c>
      <c r="E275" s="10" t="s">
        <v>201</v>
      </c>
      <c r="F275" s="10" t="s">
        <v>202</v>
      </c>
      <c r="G275" s="10" t="s">
        <v>459</v>
      </c>
      <c r="H275" s="11">
        <v>65619</v>
      </c>
      <c r="I275" s="18">
        <v>11100</v>
      </c>
      <c r="J275" s="19">
        <v>28624.05</v>
      </c>
      <c r="K275" s="14"/>
      <c r="L275" s="15"/>
      <c r="M275" s="16"/>
      <c r="N275" s="16"/>
      <c r="O275" s="16"/>
      <c r="P275" s="16"/>
      <c r="Q275" s="16"/>
      <c r="R275" s="16">
        <f t="shared" si="8"/>
        <v>0</v>
      </c>
      <c r="S275" s="16"/>
      <c r="T275" s="17">
        <f t="shared" si="9"/>
        <v>25894.95</v>
      </c>
      <c r="U275" s="16"/>
      <c r="V275" s="16" t="s">
        <v>925</v>
      </c>
    </row>
    <row r="276" spans="1:22" hidden="1" x14ac:dyDescent="0.35">
      <c r="A276" s="8" t="s">
        <v>13</v>
      </c>
      <c r="B276" s="60" t="s">
        <v>935</v>
      </c>
      <c r="C276" s="9" t="s">
        <v>460</v>
      </c>
      <c r="D276" s="10" t="s">
        <v>461</v>
      </c>
      <c r="E276" s="10" t="s">
        <v>40</v>
      </c>
      <c r="F276" s="10" t="s">
        <v>41</v>
      </c>
      <c r="G276" s="10" t="s">
        <v>462</v>
      </c>
      <c r="H276" s="11">
        <v>860913</v>
      </c>
      <c r="I276" s="18">
        <v>245000</v>
      </c>
      <c r="J276" s="19">
        <v>0</v>
      </c>
      <c r="K276" s="11">
        <v>122500</v>
      </c>
      <c r="L276" s="15"/>
      <c r="M276" s="16"/>
      <c r="N276" s="16"/>
      <c r="O276" s="16"/>
      <c r="P276" s="16"/>
      <c r="Q276" s="16"/>
      <c r="R276" s="16">
        <f t="shared" si="8"/>
        <v>0</v>
      </c>
      <c r="S276" s="16"/>
      <c r="T276" s="17">
        <f t="shared" si="9"/>
        <v>493413</v>
      </c>
      <c r="U276" s="16"/>
      <c r="V276" s="16" t="s">
        <v>925</v>
      </c>
    </row>
    <row r="277" spans="1:22" hidden="1" x14ac:dyDescent="0.35">
      <c r="A277" s="8" t="s">
        <v>13</v>
      </c>
      <c r="B277" s="60" t="s">
        <v>935</v>
      </c>
      <c r="C277" s="9" t="s">
        <v>460</v>
      </c>
      <c r="D277" s="10" t="s">
        <v>461</v>
      </c>
      <c r="E277" s="10" t="s">
        <v>233</v>
      </c>
      <c r="F277" s="10" t="s">
        <v>234</v>
      </c>
      <c r="G277" s="10" t="s">
        <v>463</v>
      </c>
      <c r="H277" s="11">
        <v>500000</v>
      </c>
      <c r="I277" s="12"/>
      <c r="J277" s="13"/>
      <c r="K277" s="14"/>
      <c r="L277" s="15"/>
      <c r="M277" s="16"/>
      <c r="N277" s="16"/>
      <c r="O277" s="16"/>
      <c r="P277" s="16"/>
      <c r="Q277" s="16"/>
      <c r="R277" s="16">
        <f t="shared" si="8"/>
        <v>0</v>
      </c>
      <c r="S277" s="16"/>
      <c r="T277" s="17">
        <f t="shared" si="9"/>
        <v>500000</v>
      </c>
      <c r="U277" s="16"/>
      <c r="V277" s="16" t="s">
        <v>925</v>
      </c>
    </row>
    <row r="278" spans="1:22" hidden="1" x14ac:dyDescent="0.35">
      <c r="A278" s="8" t="s">
        <v>13</v>
      </c>
      <c r="B278" s="60" t="s">
        <v>935</v>
      </c>
      <c r="C278" s="9" t="s">
        <v>460</v>
      </c>
      <c r="D278" s="10" t="s">
        <v>461</v>
      </c>
      <c r="E278" s="10" t="s">
        <v>25</v>
      </c>
      <c r="F278" s="10" t="s">
        <v>26</v>
      </c>
      <c r="G278" s="10" t="s">
        <v>464</v>
      </c>
      <c r="H278" s="11">
        <v>780442</v>
      </c>
      <c r="I278" s="12"/>
      <c r="J278" s="13"/>
      <c r="K278" s="14"/>
      <c r="L278" s="15"/>
      <c r="M278" s="16"/>
      <c r="N278" s="16"/>
      <c r="O278" s="16"/>
      <c r="P278" s="16"/>
      <c r="Q278" s="16"/>
      <c r="R278" s="16">
        <f t="shared" si="8"/>
        <v>0</v>
      </c>
      <c r="S278" s="16"/>
      <c r="T278" s="17">
        <f t="shared" si="9"/>
        <v>780442</v>
      </c>
      <c r="U278" s="16"/>
      <c r="V278" s="16" t="s">
        <v>925</v>
      </c>
    </row>
    <row r="279" spans="1:22" hidden="1" x14ac:dyDescent="0.35">
      <c r="A279" s="8" t="s">
        <v>13</v>
      </c>
      <c r="B279" s="60" t="s">
        <v>935</v>
      </c>
      <c r="C279" s="9" t="s">
        <v>460</v>
      </c>
      <c r="D279" s="10" t="s">
        <v>461</v>
      </c>
      <c r="E279" s="10" t="s">
        <v>28</v>
      </c>
      <c r="F279" s="10" t="s">
        <v>29</v>
      </c>
      <c r="G279" s="10" t="s">
        <v>465</v>
      </c>
      <c r="H279" s="11">
        <v>962922</v>
      </c>
      <c r="I279" s="18">
        <v>67845</v>
      </c>
      <c r="J279" s="13"/>
      <c r="K279" s="14"/>
      <c r="L279" s="15"/>
      <c r="M279" s="16"/>
      <c r="N279" s="16"/>
      <c r="O279" s="16"/>
      <c r="P279" s="16"/>
      <c r="Q279" s="16"/>
      <c r="R279" s="16">
        <f t="shared" si="8"/>
        <v>0</v>
      </c>
      <c r="S279" s="16"/>
      <c r="T279" s="17">
        <f t="shared" si="9"/>
        <v>895077</v>
      </c>
      <c r="U279" s="16"/>
      <c r="V279" s="16" t="s">
        <v>925</v>
      </c>
    </row>
    <row r="280" spans="1:22" ht="21" hidden="1" x14ac:dyDescent="0.35">
      <c r="A280" s="8" t="s">
        <v>13</v>
      </c>
      <c r="B280" s="60" t="s">
        <v>935</v>
      </c>
      <c r="C280" s="9" t="s">
        <v>460</v>
      </c>
      <c r="D280" s="10" t="s">
        <v>461</v>
      </c>
      <c r="E280" s="10" t="s">
        <v>336</v>
      </c>
      <c r="F280" s="10" t="s">
        <v>337</v>
      </c>
      <c r="G280" s="10" t="s">
        <v>466</v>
      </c>
      <c r="H280" s="11">
        <v>500000</v>
      </c>
      <c r="I280" s="12"/>
      <c r="J280" s="13"/>
      <c r="K280" s="14"/>
      <c r="L280" s="15"/>
      <c r="M280" s="16"/>
      <c r="N280" s="16"/>
      <c r="O280" s="16"/>
      <c r="P280" s="16"/>
      <c r="Q280" s="16"/>
      <c r="R280" s="16">
        <f t="shared" si="8"/>
        <v>0</v>
      </c>
      <c r="S280" s="16"/>
      <c r="T280" s="17">
        <f t="shared" si="9"/>
        <v>500000</v>
      </c>
      <c r="U280" s="16"/>
      <c r="V280" s="16" t="s">
        <v>925</v>
      </c>
    </row>
    <row r="281" spans="1:22" ht="174" hidden="1" x14ac:dyDescent="0.35">
      <c r="A281" s="8" t="s">
        <v>13</v>
      </c>
      <c r="B281" s="60" t="s">
        <v>935</v>
      </c>
      <c r="C281" s="9" t="s">
        <v>467</v>
      </c>
      <c r="D281" s="10" t="s">
        <v>468</v>
      </c>
      <c r="E281" s="10" t="s">
        <v>469</v>
      </c>
      <c r="F281" s="10" t="s">
        <v>470</v>
      </c>
      <c r="G281" s="10" t="s">
        <v>471</v>
      </c>
      <c r="H281" s="11">
        <v>383200</v>
      </c>
      <c r="I281" s="18">
        <v>101000</v>
      </c>
      <c r="J281" s="13"/>
      <c r="K281" s="14"/>
      <c r="L281" s="18"/>
      <c r="M281" s="63">
        <f>35350+30300</f>
        <v>65650</v>
      </c>
      <c r="N281" s="18"/>
      <c r="O281" s="18"/>
      <c r="P281" s="18"/>
      <c r="Q281" s="18">
        <f>70700+30300+30300</f>
        <v>131300</v>
      </c>
      <c r="R281" s="16">
        <f t="shared" si="8"/>
        <v>196950</v>
      </c>
      <c r="S281" s="68" t="s">
        <v>952</v>
      </c>
      <c r="T281" s="17">
        <f t="shared" si="9"/>
        <v>85250</v>
      </c>
      <c r="U281" s="69" t="s">
        <v>956</v>
      </c>
      <c r="V281" s="16" t="s">
        <v>926</v>
      </c>
    </row>
    <row r="282" spans="1:22" ht="104" hidden="1" x14ac:dyDescent="0.35">
      <c r="A282" s="8" t="s">
        <v>13</v>
      </c>
      <c r="B282" s="60" t="s">
        <v>935</v>
      </c>
      <c r="C282" s="9" t="s">
        <v>467</v>
      </c>
      <c r="D282" s="10" t="s">
        <v>468</v>
      </c>
      <c r="E282" s="10" t="s">
        <v>472</v>
      </c>
      <c r="F282" s="10" t="s">
        <v>473</v>
      </c>
      <c r="G282" s="10" t="s">
        <v>474</v>
      </c>
      <c r="H282" s="11">
        <v>1119170</v>
      </c>
      <c r="I282" s="18">
        <v>422860</v>
      </c>
      <c r="J282" s="19">
        <v>-132860</v>
      </c>
      <c r="K282" s="11">
        <v>132860</v>
      </c>
      <c r="L282" s="64"/>
      <c r="M282" s="65"/>
      <c r="N282" s="16"/>
      <c r="O282" s="16"/>
      <c r="P282" s="16"/>
      <c r="Q282" s="66">
        <f>375000+95000</f>
        <v>470000</v>
      </c>
      <c r="R282" s="16">
        <f t="shared" si="8"/>
        <v>470000</v>
      </c>
      <c r="S282" s="45" t="s">
        <v>953</v>
      </c>
      <c r="T282" s="17">
        <f t="shared" si="9"/>
        <v>226310</v>
      </c>
      <c r="U282" s="69" t="s">
        <v>956</v>
      </c>
      <c r="V282" s="16" t="s">
        <v>926</v>
      </c>
    </row>
    <row r="283" spans="1:22" ht="29" hidden="1" x14ac:dyDescent="0.35">
      <c r="A283" s="8" t="s">
        <v>13</v>
      </c>
      <c r="B283" s="60" t="s">
        <v>935</v>
      </c>
      <c r="C283" s="9" t="s">
        <v>467</v>
      </c>
      <c r="D283" s="10" t="s">
        <v>468</v>
      </c>
      <c r="E283" s="10" t="s">
        <v>475</v>
      </c>
      <c r="F283" s="10" t="s">
        <v>476</v>
      </c>
      <c r="G283" s="10" t="s">
        <v>477</v>
      </c>
      <c r="H283" s="11">
        <v>537</v>
      </c>
      <c r="I283" s="18">
        <v>562.08000000000004</v>
      </c>
      <c r="J283" s="13"/>
      <c r="K283" s="14"/>
      <c r="L283" s="18">
        <v>100</v>
      </c>
      <c r="M283" s="18">
        <v>100</v>
      </c>
      <c r="N283" s="18">
        <v>100</v>
      </c>
      <c r="O283" s="18">
        <v>100</v>
      </c>
      <c r="P283" s="18">
        <v>100</v>
      </c>
      <c r="Q283" s="67">
        <v>100</v>
      </c>
      <c r="R283" s="16">
        <f t="shared" si="8"/>
        <v>600</v>
      </c>
      <c r="S283" s="69" t="s">
        <v>954</v>
      </c>
      <c r="T283" s="17">
        <f t="shared" si="9"/>
        <v>-625.08000000000004</v>
      </c>
      <c r="U283" s="69" t="s">
        <v>957</v>
      </c>
      <c r="V283" s="16" t="s">
        <v>926</v>
      </c>
    </row>
    <row r="284" spans="1:22" ht="26" hidden="1" x14ac:dyDescent="0.35">
      <c r="A284" s="8" t="s">
        <v>13</v>
      </c>
      <c r="B284" s="60" t="s">
        <v>935</v>
      </c>
      <c r="C284" s="9" t="s">
        <v>467</v>
      </c>
      <c r="D284" s="10" t="s">
        <v>468</v>
      </c>
      <c r="E284" s="10" t="s">
        <v>478</v>
      </c>
      <c r="F284" s="10" t="s">
        <v>479</v>
      </c>
      <c r="G284" s="10" t="s">
        <v>480</v>
      </c>
      <c r="H284" s="11">
        <v>96524</v>
      </c>
      <c r="I284" s="18">
        <v>49209.25</v>
      </c>
      <c r="J284" s="13"/>
      <c r="K284" s="14"/>
      <c r="L284" s="18">
        <v>10000</v>
      </c>
      <c r="M284" s="18">
        <v>10000</v>
      </c>
      <c r="N284" s="18">
        <v>10000</v>
      </c>
      <c r="O284" s="18">
        <v>10000</v>
      </c>
      <c r="P284" s="18">
        <v>10000</v>
      </c>
      <c r="Q284" s="67">
        <v>10000</v>
      </c>
      <c r="R284" s="16">
        <f t="shared" si="8"/>
        <v>60000</v>
      </c>
      <c r="S284" s="70" t="s">
        <v>954</v>
      </c>
      <c r="T284" s="17">
        <f t="shared" si="9"/>
        <v>-12685.25</v>
      </c>
      <c r="U284" s="69" t="s">
        <v>957</v>
      </c>
      <c r="V284" s="16" t="s">
        <v>926</v>
      </c>
    </row>
    <row r="285" spans="1:22" ht="29" hidden="1" x14ac:dyDescent="0.35">
      <c r="A285" s="8" t="s">
        <v>13</v>
      </c>
      <c r="B285" s="60" t="s">
        <v>935</v>
      </c>
      <c r="C285" s="9" t="s">
        <v>467</v>
      </c>
      <c r="D285" s="10" t="s">
        <v>468</v>
      </c>
      <c r="E285" s="10" t="s">
        <v>25</v>
      </c>
      <c r="F285" s="10" t="s">
        <v>26</v>
      </c>
      <c r="G285" s="10" t="s">
        <v>481</v>
      </c>
      <c r="H285" s="11">
        <v>2176</v>
      </c>
      <c r="I285" s="12"/>
      <c r="J285" s="13"/>
      <c r="K285" s="14"/>
      <c r="L285" s="18"/>
      <c r="M285" s="18"/>
      <c r="N285" s="18"/>
      <c r="O285" s="18"/>
      <c r="P285" s="18">
        <v>14400</v>
      </c>
      <c r="Q285" s="67"/>
      <c r="R285" s="16">
        <f t="shared" si="8"/>
        <v>14400</v>
      </c>
      <c r="S285" s="69" t="s">
        <v>955</v>
      </c>
      <c r="T285" s="17">
        <f t="shared" si="9"/>
        <v>-12224</v>
      </c>
      <c r="U285" s="69" t="s">
        <v>957</v>
      </c>
      <c r="V285" s="16" t="s">
        <v>926</v>
      </c>
    </row>
    <row r="286" spans="1:22" ht="21" hidden="1" x14ac:dyDescent="0.35">
      <c r="A286" s="8" t="s">
        <v>13</v>
      </c>
      <c r="B286" s="60" t="s">
        <v>935</v>
      </c>
      <c r="C286" s="9" t="s">
        <v>467</v>
      </c>
      <c r="D286" s="10" t="s">
        <v>468</v>
      </c>
      <c r="E286" s="10" t="s">
        <v>47</v>
      </c>
      <c r="F286" s="10" t="s">
        <v>48</v>
      </c>
      <c r="G286" s="10" t="s">
        <v>482</v>
      </c>
      <c r="H286" s="11">
        <v>34380</v>
      </c>
      <c r="I286" s="18">
        <v>2676.89</v>
      </c>
      <c r="J286" s="19">
        <v>0</v>
      </c>
      <c r="K286" s="11">
        <v>31680</v>
      </c>
      <c r="L286" s="15"/>
      <c r="M286" s="16"/>
      <c r="N286" s="16"/>
      <c r="O286" s="16"/>
      <c r="P286" s="16"/>
      <c r="Q286" s="16"/>
      <c r="R286" s="16">
        <f t="shared" si="8"/>
        <v>0</v>
      </c>
      <c r="S286" s="16"/>
      <c r="T286" s="17">
        <f t="shared" si="9"/>
        <v>23.110000000000582</v>
      </c>
      <c r="U286" s="16"/>
      <c r="V286" s="16" t="s">
        <v>926</v>
      </c>
    </row>
    <row r="287" spans="1:22" hidden="1" x14ac:dyDescent="0.35">
      <c r="A287" s="8" t="s">
        <v>13</v>
      </c>
      <c r="B287" s="60" t="s">
        <v>941</v>
      </c>
      <c r="C287" s="9" t="s">
        <v>483</v>
      </c>
      <c r="D287" s="10" t="s">
        <v>484</v>
      </c>
      <c r="E287" s="10" t="s">
        <v>40</v>
      </c>
      <c r="F287" s="10" t="s">
        <v>41</v>
      </c>
      <c r="G287" s="10" t="s">
        <v>485</v>
      </c>
      <c r="H287" s="11">
        <v>300000</v>
      </c>
      <c r="I287" s="12"/>
      <c r="J287" s="19">
        <v>300000</v>
      </c>
      <c r="K287" s="14"/>
      <c r="L287" s="15"/>
      <c r="M287" s="16"/>
      <c r="N287" s="16"/>
      <c r="O287" s="16"/>
      <c r="P287" s="16"/>
      <c r="Q287" s="16"/>
      <c r="R287" s="16">
        <f t="shared" si="8"/>
        <v>0</v>
      </c>
      <c r="S287" s="16"/>
      <c r="T287" s="17">
        <f t="shared" si="9"/>
        <v>0</v>
      </c>
      <c r="U287" s="16"/>
      <c r="V287" s="16" t="s">
        <v>925</v>
      </c>
    </row>
    <row r="288" spans="1:22" hidden="1" x14ac:dyDescent="0.35">
      <c r="A288" s="8" t="s">
        <v>13</v>
      </c>
      <c r="B288" s="60" t="s">
        <v>941</v>
      </c>
      <c r="C288" s="9" t="s">
        <v>483</v>
      </c>
      <c r="D288" s="10" t="s">
        <v>484</v>
      </c>
      <c r="E288" s="10" t="s">
        <v>43</v>
      </c>
      <c r="F288" s="10" t="s">
        <v>44</v>
      </c>
      <c r="G288" s="10" t="s">
        <v>486</v>
      </c>
      <c r="H288" s="11">
        <v>10000</v>
      </c>
      <c r="I288" s="18">
        <v>1706.25</v>
      </c>
      <c r="J288" s="13"/>
      <c r="K288" s="14"/>
      <c r="L288" s="15"/>
      <c r="M288" s="16"/>
      <c r="N288" s="16"/>
      <c r="O288" s="16"/>
      <c r="P288" s="16"/>
      <c r="Q288" s="16"/>
      <c r="R288" s="16">
        <f t="shared" si="8"/>
        <v>0</v>
      </c>
      <c r="S288" s="16"/>
      <c r="T288" s="17">
        <f t="shared" si="9"/>
        <v>8293.75</v>
      </c>
      <c r="U288" s="16"/>
      <c r="V288" s="16" t="s">
        <v>925</v>
      </c>
    </row>
    <row r="289" spans="1:22" ht="21" hidden="1" x14ac:dyDescent="0.35">
      <c r="A289" s="8" t="s">
        <v>13</v>
      </c>
      <c r="B289" s="60" t="s">
        <v>941</v>
      </c>
      <c r="C289" s="9" t="s">
        <v>483</v>
      </c>
      <c r="D289" s="10" t="s">
        <v>484</v>
      </c>
      <c r="E289" s="10" t="s">
        <v>472</v>
      </c>
      <c r="F289" s="10" t="s">
        <v>473</v>
      </c>
      <c r="G289" s="10" t="s">
        <v>487</v>
      </c>
      <c r="H289" s="11">
        <v>0</v>
      </c>
      <c r="I289" s="12"/>
      <c r="J289" s="13"/>
      <c r="K289" s="14"/>
      <c r="L289" s="15"/>
      <c r="M289" s="16"/>
      <c r="N289" s="16"/>
      <c r="O289" s="16"/>
      <c r="P289" s="16"/>
      <c r="Q289" s="16"/>
      <c r="R289" s="16">
        <f t="shared" si="8"/>
        <v>0</v>
      </c>
      <c r="S289" s="16"/>
      <c r="T289" s="17">
        <f t="shared" si="9"/>
        <v>0</v>
      </c>
      <c r="U289" s="16"/>
      <c r="V289" s="16" t="s">
        <v>925</v>
      </c>
    </row>
    <row r="290" spans="1:22" hidden="1" x14ac:dyDescent="0.35">
      <c r="A290" s="8" t="s">
        <v>13</v>
      </c>
      <c r="B290" s="60" t="s">
        <v>941</v>
      </c>
      <c r="C290" s="9" t="s">
        <v>483</v>
      </c>
      <c r="D290" s="10" t="s">
        <v>484</v>
      </c>
      <c r="E290" s="10" t="s">
        <v>25</v>
      </c>
      <c r="F290" s="10" t="s">
        <v>26</v>
      </c>
      <c r="G290" s="10" t="s">
        <v>488</v>
      </c>
      <c r="H290" s="11">
        <v>20000</v>
      </c>
      <c r="I290" s="18">
        <v>15750</v>
      </c>
      <c r="J290" s="13"/>
      <c r="K290" s="14"/>
      <c r="L290" s="15"/>
      <c r="M290" s="16"/>
      <c r="N290" s="16"/>
      <c r="O290" s="16"/>
      <c r="P290" s="16"/>
      <c r="Q290" s="16"/>
      <c r="R290" s="16">
        <f t="shared" si="8"/>
        <v>0</v>
      </c>
      <c r="S290" s="16"/>
      <c r="T290" s="17">
        <f t="shared" si="9"/>
        <v>4250</v>
      </c>
      <c r="U290" s="16"/>
      <c r="V290" s="16" t="s">
        <v>925</v>
      </c>
    </row>
    <row r="291" spans="1:22" ht="21" hidden="1" x14ac:dyDescent="0.35">
      <c r="A291" s="8" t="s">
        <v>13</v>
      </c>
      <c r="B291" s="60" t="s">
        <v>941</v>
      </c>
      <c r="C291" s="9" t="s">
        <v>483</v>
      </c>
      <c r="D291" s="10" t="s">
        <v>484</v>
      </c>
      <c r="E291" s="10" t="s">
        <v>47</v>
      </c>
      <c r="F291" s="10" t="s">
        <v>48</v>
      </c>
      <c r="G291" s="10" t="s">
        <v>489</v>
      </c>
      <c r="H291" s="11">
        <v>5000</v>
      </c>
      <c r="I291" s="12"/>
      <c r="J291" s="13"/>
      <c r="K291" s="14"/>
      <c r="L291" s="15"/>
      <c r="M291" s="16"/>
      <c r="N291" s="16"/>
      <c r="O291" s="16"/>
      <c r="P291" s="16"/>
      <c r="Q291" s="16"/>
      <c r="R291" s="16">
        <f t="shared" si="8"/>
        <v>0</v>
      </c>
      <c r="S291" s="16"/>
      <c r="T291" s="17">
        <f t="shared" si="9"/>
        <v>5000</v>
      </c>
      <c r="U291" s="16"/>
      <c r="V291" s="16" t="s">
        <v>925</v>
      </c>
    </row>
    <row r="292" spans="1:22" ht="21" hidden="1" x14ac:dyDescent="0.35">
      <c r="A292" s="8" t="s">
        <v>13</v>
      </c>
      <c r="B292" s="60" t="s">
        <v>941</v>
      </c>
      <c r="C292" s="9" t="s">
        <v>483</v>
      </c>
      <c r="D292" s="10" t="s">
        <v>484</v>
      </c>
      <c r="E292" s="10" t="s">
        <v>405</v>
      </c>
      <c r="F292" s="10" t="s">
        <v>406</v>
      </c>
      <c r="G292" s="10" t="s">
        <v>490</v>
      </c>
      <c r="H292" s="11">
        <v>10000</v>
      </c>
      <c r="I292" s="18">
        <v>3083.79</v>
      </c>
      <c r="J292" s="13"/>
      <c r="K292" s="14"/>
      <c r="L292" s="15"/>
      <c r="M292" s="16"/>
      <c r="N292" s="16"/>
      <c r="O292" s="16"/>
      <c r="P292" s="16"/>
      <c r="Q292" s="16"/>
      <c r="R292" s="16">
        <f t="shared" si="8"/>
        <v>0</v>
      </c>
      <c r="S292" s="16"/>
      <c r="T292" s="17">
        <f t="shared" si="9"/>
        <v>6916.21</v>
      </c>
      <c r="U292" s="16"/>
      <c r="V292" s="16" t="s">
        <v>925</v>
      </c>
    </row>
    <row r="293" spans="1:22" hidden="1" x14ac:dyDescent="0.35">
      <c r="A293" s="8" t="s">
        <v>13</v>
      </c>
      <c r="B293" s="60" t="s">
        <v>941</v>
      </c>
      <c r="C293" s="9" t="s">
        <v>483</v>
      </c>
      <c r="D293" s="10" t="s">
        <v>484</v>
      </c>
      <c r="E293" s="10" t="s">
        <v>28</v>
      </c>
      <c r="F293" s="10" t="s">
        <v>29</v>
      </c>
      <c r="G293" s="10" t="s">
        <v>491</v>
      </c>
      <c r="H293" s="11">
        <v>100000</v>
      </c>
      <c r="I293" s="12"/>
      <c r="J293" s="13"/>
      <c r="K293" s="14"/>
      <c r="L293" s="15"/>
      <c r="M293" s="16"/>
      <c r="N293" s="16"/>
      <c r="O293" s="16"/>
      <c r="P293" s="16"/>
      <c r="Q293" s="16"/>
      <c r="R293" s="16">
        <f t="shared" si="8"/>
        <v>0</v>
      </c>
      <c r="S293" s="16"/>
      <c r="T293" s="17">
        <f t="shared" si="9"/>
        <v>100000</v>
      </c>
      <c r="U293" s="16"/>
      <c r="V293" s="16" t="s">
        <v>925</v>
      </c>
    </row>
    <row r="294" spans="1:22" hidden="1" x14ac:dyDescent="0.35">
      <c r="A294" s="8" t="s">
        <v>13</v>
      </c>
      <c r="B294" s="60" t="s">
        <v>941</v>
      </c>
      <c r="C294" s="9" t="s">
        <v>483</v>
      </c>
      <c r="D294" s="10" t="s">
        <v>484</v>
      </c>
      <c r="E294" s="10" t="s">
        <v>381</v>
      </c>
      <c r="F294" s="10" t="s">
        <v>382</v>
      </c>
      <c r="G294" s="10" t="s">
        <v>492</v>
      </c>
      <c r="H294" s="11">
        <v>298700</v>
      </c>
      <c r="I294" s="18">
        <v>95642</v>
      </c>
      <c r="J294" s="19">
        <v>11148.2</v>
      </c>
      <c r="K294" s="11">
        <v>0</v>
      </c>
      <c r="L294" s="15"/>
      <c r="M294" s="16"/>
      <c r="N294" s="16"/>
      <c r="O294" s="16"/>
      <c r="P294" s="16"/>
      <c r="Q294" s="16"/>
      <c r="R294" s="16">
        <f t="shared" si="8"/>
        <v>0</v>
      </c>
      <c r="S294" s="16"/>
      <c r="T294" s="17">
        <f t="shared" si="9"/>
        <v>191909.8</v>
      </c>
      <c r="U294" s="16"/>
      <c r="V294" s="16" t="s">
        <v>925</v>
      </c>
    </row>
    <row r="295" spans="1:22" hidden="1" x14ac:dyDescent="0.35">
      <c r="A295" s="8" t="s">
        <v>13</v>
      </c>
      <c r="B295" s="60" t="s">
        <v>941</v>
      </c>
      <c r="C295" s="9" t="s">
        <v>483</v>
      </c>
      <c r="D295" s="10" t="s">
        <v>484</v>
      </c>
      <c r="E295" s="10" t="s">
        <v>75</v>
      </c>
      <c r="F295" s="10" t="s">
        <v>76</v>
      </c>
      <c r="G295" s="10" t="s">
        <v>493</v>
      </c>
      <c r="H295" s="11">
        <v>405</v>
      </c>
      <c r="I295" s="18">
        <v>0</v>
      </c>
      <c r="J295" s="13"/>
      <c r="K295" s="14"/>
      <c r="L295" s="15"/>
      <c r="M295" s="16"/>
      <c r="N295" s="16"/>
      <c r="O295" s="16"/>
      <c r="P295" s="16"/>
      <c r="Q295" s="16"/>
      <c r="R295" s="16">
        <f t="shared" si="8"/>
        <v>0</v>
      </c>
      <c r="S295" s="16"/>
      <c r="T295" s="17">
        <f t="shared" si="9"/>
        <v>405</v>
      </c>
      <c r="U295" s="16"/>
      <c r="V295" s="16" t="s">
        <v>925</v>
      </c>
    </row>
    <row r="296" spans="1:22" hidden="1" x14ac:dyDescent="0.35">
      <c r="A296" s="8" t="s">
        <v>13</v>
      </c>
      <c r="B296" s="60" t="s">
        <v>941</v>
      </c>
      <c r="C296" s="9" t="s">
        <v>483</v>
      </c>
      <c r="D296" s="10" t="s">
        <v>484</v>
      </c>
      <c r="E296" s="10" t="s">
        <v>429</v>
      </c>
      <c r="F296" s="10" t="s">
        <v>430</v>
      </c>
      <c r="G296" s="10" t="s">
        <v>494</v>
      </c>
      <c r="H296" s="11">
        <v>1750</v>
      </c>
      <c r="I296" s="12"/>
      <c r="J296" s="13"/>
      <c r="K296" s="14"/>
      <c r="L296" s="15"/>
      <c r="M296" s="16"/>
      <c r="N296" s="16"/>
      <c r="O296" s="16"/>
      <c r="P296" s="16"/>
      <c r="Q296" s="16"/>
      <c r="R296" s="16">
        <f t="shared" si="8"/>
        <v>0</v>
      </c>
      <c r="S296" s="16"/>
      <c r="T296" s="17">
        <f t="shared" si="9"/>
        <v>1750</v>
      </c>
      <c r="U296" s="16"/>
      <c r="V296" s="16" t="s">
        <v>925</v>
      </c>
    </row>
    <row r="297" spans="1:22" hidden="1" x14ac:dyDescent="0.35">
      <c r="A297" s="8" t="s">
        <v>13</v>
      </c>
      <c r="B297" s="60" t="s">
        <v>941</v>
      </c>
      <c r="C297" s="9" t="s">
        <v>483</v>
      </c>
      <c r="D297" s="10" t="s">
        <v>484</v>
      </c>
      <c r="E297" s="10" t="s">
        <v>201</v>
      </c>
      <c r="F297" s="10" t="s">
        <v>202</v>
      </c>
      <c r="G297" s="10" t="s">
        <v>495</v>
      </c>
      <c r="H297" s="11">
        <v>24595</v>
      </c>
      <c r="I297" s="18">
        <v>567</v>
      </c>
      <c r="J297" s="13"/>
      <c r="K297" s="14"/>
      <c r="L297" s="15"/>
      <c r="M297" s="16"/>
      <c r="N297" s="16"/>
      <c r="O297" s="16"/>
      <c r="P297" s="16"/>
      <c r="Q297" s="16"/>
      <c r="R297" s="16">
        <f t="shared" si="8"/>
        <v>0</v>
      </c>
      <c r="S297" s="16"/>
      <c r="T297" s="17">
        <f t="shared" si="9"/>
        <v>24028</v>
      </c>
      <c r="U297" s="16"/>
      <c r="V297" s="16" t="s">
        <v>925</v>
      </c>
    </row>
    <row r="298" spans="1:22" hidden="1" x14ac:dyDescent="0.35">
      <c r="A298" s="8" t="s">
        <v>13</v>
      </c>
      <c r="B298" s="60" t="s">
        <v>941</v>
      </c>
      <c r="C298" s="9" t="s">
        <v>483</v>
      </c>
      <c r="D298" s="10" t="s">
        <v>484</v>
      </c>
      <c r="E298" s="10" t="s">
        <v>496</v>
      </c>
      <c r="F298" s="10" t="s">
        <v>497</v>
      </c>
      <c r="G298" s="10" t="s">
        <v>498</v>
      </c>
      <c r="H298" s="11">
        <v>168681</v>
      </c>
      <c r="I298" s="18">
        <v>78642.100000000006</v>
      </c>
      <c r="J298" s="19">
        <v>15500</v>
      </c>
      <c r="K298" s="11">
        <v>-3.6379788070917101E-12</v>
      </c>
      <c r="L298" s="15"/>
      <c r="M298" s="16"/>
      <c r="N298" s="16"/>
      <c r="O298" s="16"/>
      <c r="P298" s="16"/>
      <c r="Q298" s="16"/>
      <c r="R298" s="16">
        <f t="shared" si="8"/>
        <v>0</v>
      </c>
      <c r="S298" s="16"/>
      <c r="T298" s="17">
        <f t="shared" si="9"/>
        <v>74538.899999999994</v>
      </c>
      <c r="U298" s="16"/>
      <c r="V298" s="16" t="s">
        <v>925</v>
      </c>
    </row>
    <row r="299" spans="1:22" hidden="1" x14ac:dyDescent="0.35">
      <c r="A299" s="8" t="s">
        <v>13</v>
      </c>
      <c r="B299" s="60" t="s">
        <v>942</v>
      </c>
      <c r="C299" s="9" t="s">
        <v>499</v>
      </c>
      <c r="D299" s="10" t="s">
        <v>500</v>
      </c>
      <c r="E299" s="10" t="s">
        <v>40</v>
      </c>
      <c r="F299" s="10" t="s">
        <v>41</v>
      </c>
      <c r="G299" s="10" t="s">
        <v>501</v>
      </c>
      <c r="H299" s="11">
        <v>132579</v>
      </c>
      <c r="I299" s="18">
        <v>175272.73</v>
      </c>
      <c r="J299" s="19">
        <v>-132578.07</v>
      </c>
      <c r="K299" s="11">
        <v>89883.41</v>
      </c>
      <c r="L299" s="15"/>
      <c r="M299" s="16"/>
      <c r="N299" s="16"/>
      <c r="O299" s="16"/>
      <c r="P299" s="16"/>
      <c r="Q299" s="16"/>
      <c r="R299" s="16">
        <f t="shared" si="8"/>
        <v>0</v>
      </c>
      <c r="S299" s="16"/>
      <c r="T299" s="17">
        <f t="shared" si="9"/>
        <v>0.92999999999301508</v>
      </c>
      <c r="U299" s="16"/>
      <c r="V299" s="16" t="s">
        <v>925</v>
      </c>
    </row>
    <row r="300" spans="1:22" hidden="1" x14ac:dyDescent="0.35">
      <c r="A300" s="8" t="s">
        <v>13</v>
      </c>
      <c r="B300" s="60" t="s">
        <v>942</v>
      </c>
      <c r="C300" s="9" t="s">
        <v>499</v>
      </c>
      <c r="D300" s="10" t="s">
        <v>500</v>
      </c>
      <c r="E300" s="10" t="s">
        <v>25</v>
      </c>
      <c r="F300" s="10" t="s">
        <v>26</v>
      </c>
      <c r="G300" s="10" t="s">
        <v>502</v>
      </c>
      <c r="H300" s="11">
        <v>12770</v>
      </c>
      <c r="I300" s="18">
        <v>7140</v>
      </c>
      <c r="J300" s="19">
        <v>-7140</v>
      </c>
      <c r="K300" s="11">
        <v>7140</v>
      </c>
      <c r="L300" s="15"/>
      <c r="M300" s="16"/>
      <c r="N300" s="16"/>
      <c r="O300" s="16"/>
      <c r="P300" s="16"/>
      <c r="Q300" s="16"/>
      <c r="R300" s="16">
        <f t="shared" si="8"/>
        <v>0</v>
      </c>
      <c r="S300" s="16"/>
      <c r="T300" s="17">
        <f t="shared" si="9"/>
        <v>5630</v>
      </c>
      <c r="U300" s="16"/>
      <c r="V300" s="16" t="s">
        <v>925</v>
      </c>
    </row>
    <row r="301" spans="1:22" ht="21" hidden="1" x14ac:dyDescent="0.35">
      <c r="A301" s="8" t="s">
        <v>13</v>
      </c>
      <c r="B301" s="60" t="s">
        <v>942</v>
      </c>
      <c r="C301" s="9" t="s">
        <v>499</v>
      </c>
      <c r="D301" s="10" t="s">
        <v>500</v>
      </c>
      <c r="E301" s="10" t="s">
        <v>47</v>
      </c>
      <c r="F301" s="10" t="s">
        <v>48</v>
      </c>
      <c r="G301" s="10" t="s">
        <v>503</v>
      </c>
      <c r="H301" s="11">
        <v>74069</v>
      </c>
      <c r="I301" s="18">
        <v>17850</v>
      </c>
      <c r="J301" s="19">
        <v>-17850</v>
      </c>
      <c r="K301" s="11">
        <v>18000</v>
      </c>
      <c r="L301" s="15"/>
      <c r="M301" s="16"/>
      <c r="N301" s="16"/>
      <c r="O301" s="16"/>
      <c r="P301" s="16"/>
      <c r="Q301" s="16"/>
      <c r="R301" s="16">
        <f t="shared" si="8"/>
        <v>0</v>
      </c>
      <c r="S301" s="16"/>
      <c r="T301" s="17">
        <f t="shared" si="9"/>
        <v>56069</v>
      </c>
      <c r="U301" s="16"/>
      <c r="V301" s="16" t="s">
        <v>925</v>
      </c>
    </row>
    <row r="302" spans="1:22" hidden="1" x14ac:dyDescent="0.35">
      <c r="A302" s="8" t="s">
        <v>13</v>
      </c>
      <c r="B302" s="60" t="s">
        <v>942</v>
      </c>
      <c r="C302" s="9" t="s">
        <v>499</v>
      </c>
      <c r="D302" s="10" t="s">
        <v>500</v>
      </c>
      <c r="E302" s="10" t="s">
        <v>28</v>
      </c>
      <c r="F302" s="10" t="s">
        <v>29</v>
      </c>
      <c r="G302" s="10" t="s">
        <v>504</v>
      </c>
      <c r="H302" s="11">
        <v>0</v>
      </c>
      <c r="I302" s="12"/>
      <c r="J302" s="13"/>
      <c r="K302" s="14"/>
      <c r="L302" s="15"/>
      <c r="M302" s="16"/>
      <c r="N302" s="16"/>
      <c r="O302" s="16"/>
      <c r="P302" s="16"/>
      <c r="Q302" s="16"/>
      <c r="R302" s="16">
        <f t="shared" si="8"/>
        <v>0</v>
      </c>
      <c r="S302" s="16"/>
      <c r="T302" s="17">
        <f t="shared" si="9"/>
        <v>0</v>
      </c>
      <c r="U302" s="16"/>
      <c r="V302" s="16" t="s">
        <v>925</v>
      </c>
    </row>
    <row r="303" spans="1:22" hidden="1" x14ac:dyDescent="0.35">
      <c r="A303" s="8" t="s">
        <v>13</v>
      </c>
      <c r="B303" s="60" t="s">
        <v>942</v>
      </c>
      <c r="C303" s="9" t="s">
        <v>499</v>
      </c>
      <c r="D303" s="10" t="s">
        <v>500</v>
      </c>
      <c r="E303" s="10" t="s">
        <v>75</v>
      </c>
      <c r="F303" s="10" t="s">
        <v>76</v>
      </c>
      <c r="G303" s="10" t="s">
        <v>505</v>
      </c>
      <c r="H303" s="11">
        <v>421493</v>
      </c>
      <c r="I303" s="18">
        <v>445542.5</v>
      </c>
      <c r="J303" s="19">
        <v>-24050</v>
      </c>
      <c r="K303" s="11">
        <v>0</v>
      </c>
      <c r="L303" s="15"/>
      <c r="M303" s="16"/>
      <c r="N303" s="16"/>
      <c r="O303" s="16"/>
      <c r="P303" s="16"/>
      <c r="Q303" s="16"/>
      <c r="R303" s="16">
        <f t="shared" si="8"/>
        <v>0</v>
      </c>
      <c r="S303" s="16"/>
      <c r="T303" s="17">
        <f t="shared" si="9"/>
        <v>0.5</v>
      </c>
      <c r="U303" s="16"/>
      <c r="V303" s="16" t="s">
        <v>925</v>
      </c>
    </row>
    <row r="304" spans="1:22" hidden="1" x14ac:dyDescent="0.35">
      <c r="A304" s="8" t="s">
        <v>13</v>
      </c>
      <c r="B304" s="60" t="s">
        <v>942</v>
      </c>
      <c r="C304" s="9" t="s">
        <v>499</v>
      </c>
      <c r="D304" s="10" t="s">
        <v>500</v>
      </c>
      <c r="E304" s="10" t="s">
        <v>201</v>
      </c>
      <c r="F304" s="10" t="s">
        <v>202</v>
      </c>
      <c r="G304" s="10" t="s">
        <v>506</v>
      </c>
      <c r="H304" s="11">
        <v>51945</v>
      </c>
      <c r="I304" s="18">
        <v>72219</v>
      </c>
      <c r="J304" s="19">
        <v>-32875</v>
      </c>
      <c r="K304" s="11">
        <v>0</v>
      </c>
      <c r="L304" s="15"/>
      <c r="M304" s="16"/>
      <c r="N304" s="16"/>
      <c r="O304" s="16"/>
      <c r="P304" s="16"/>
      <c r="Q304" s="16"/>
      <c r="R304" s="16">
        <f t="shared" si="8"/>
        <v>0</v>
      </c>
      <c r="S304" s="16"/>
      <c r="T304" s="17">
        <f t="shared" si="9"/>
        <v>12601</v>
      </c>
      <c r="U304" s="16"/>
      <c r="V304" s="16" t="s">
        <v>925</v>
      </c>
    </row>
    <row r="305" spans="1:22" ht="21" x14ac:dyDescent="0.35">
      <c r="A305" s="8" t="s">
        <v>13</v>
      </c>
      <c r="B305" s="60" t="s">
        <v>943</v>
      </c>
      <c r="C305" s="9" t="s">
        <v>507</v>
      </c>
      <c r="D305" s="10" t="s">
        <v>508</v>
      </c>
      <c r="E305" s="10" t="s">
        <v>100</v>
      </c>
      <c r="F305" s="10" t="s">
        <v>101</v>
      </c>
      <c r="G305" s="10" t="s">
        <v>509</v>
      </c>
      <c r="H305" s="11">
        <v>7162263</v>
      </c>
      <c r="I305" s="18">
        <v>7162262.5</v>
      </c>
      <c r="J305" s="13"/>
      <c r="K305" s="14"/>
      <c r="L305" s="15"/>
      <c r="M305" s="16"/>
      <c r="N305" s="16"/>
      <c r="O305" s="16"/>
      <c r="P305" s="16"/>
      <c r="Q305" s="16"/>
      <c r="R305" s="16">
        <f t="shared" si="8"/>
        <v>0</v>
      </c>
      <c r="S305" s="16"/>
      <c r="T305" s="17">
        <f t="shared" si="9"/>
        <v>0.5</v>
      </c>
      <c r="U305" s="16"/>
      <c r="V305" s="16" t="s">
        <v>926</v>
      </c>
    </row>
    <row r="306" spans="1:22" x14ac:dyDescent="0.35">
      <c r="A306" s="8" t="s">
        <v>13</v>
      </c>
      <c r="B306" s="60" t="s">
        <v>943</v>
      </c>
      <c r="C306" s="9" t="s">
        <v>507</v>
      </c>
      <c r="D306" s="10" t="s">
        <v>508</v>
      </c>
      <c r="E306" s="10" t="s">
        <v>434</v>
      </c>
      <c r="F306" s="10" t="s">
        <v>435</v>
      </c>
      <c r="G306" s="10" t="s">
        <v>510</v>
      </c>
      <c r="H306" s="11">
        <v>0</v>
      </c>
      <c r="I306" s="12"/>
      <c r="J306" s="13"/>
      <c r="K306" s="14"/>
      <c r="L306" s="15"/>
      <c r="M306" s="16"/>
      <c r="N306" s="16"/>
      <c r="O306" s="16"/>
      <c r="P306" s="16"/>
      <c r="Q306" s="16"/>
      <c r="R306" s="16">
        <f t="shared" si="8"/>
        <v>0</v>
      </c>
      <c r="S306" s="16"/>
      <c r="T306" s="17">
        <f t="shared" si="9"/>
        <v>0</v>
      </c>
      <c r="U306" s="16"/>
      <c r="V306" s="16" t="s">
        <v>926</v>
      </c>
    </row>
    <row r="307" spans="1:22" x14ac:dyDescent="0.35">
      <c r="A307" s="8" t="s">
        <v>13</v>
      </c>
      <c r="B307" s="60" t="s">
        <v>943</v>
      </c>
      <c r="C307" s="9" t="s">
        <v>507</v>
      </c>
      <c r="D307" s="10" t="s">
        <v>508</v>
      </c>
      <c r="E307" s="10" t="s">
        <v>25</v>
      </c>
      <c r="F307" s="10" t="s">
        <v>26</v>
      </c>
      <c r="G307" s="10" t="s">
        <v>511</v>
      </c>
      <c r="H307" s="11">
        <v>20000</v>
      </c>
      <c r="I307" s="12"/>
      <c r="J307" s="13"/>
      <c r="K307" s="14"/>
      <c r="L307" s="15"/>
      <c r="M307" s="16"/>
      <c r="N307" s="22">
        <v>20000</v>
      </c>
      <c r="O307" s="16"/>
      <c r="P307" s="16"/>
      <c r="Q307" s="16"/>
      <c r="R307" s="16">
        <f t="shared" si="8"/>
        <v>20000</v>
      </c>
      <c r="S307" s="16"/>
      <c r="T307" s="17">
        <f t="shared" si="9"/>
        <v>0</v>
      </c>
      <c r="U307" s="16"/>
      <c r="V307" s="16" t="s">
        <v>926</v>
      </c>
    </row>
    <row r="308" spans="1:22" ht="21" x14ac:dyDescent="0.35">
      <c r="A308" s="8" t="s">
        <v>13</v>
      </c>
      <c r="B308" s="60" t="s">
        <v>943</v>
      </c>
      <c r="C308" s="9" t="s">
        <v>507</v>
      </c>
      <c r="D308" s="10" t="s">
        <v>508</v>
      </c>
      <c r="E308" s="10" t="s">
        <v>47</v>
      </c>
      <c r="F308" s="10" t="s">
        <v>48</v>
      </c>
      <c r="G308" s="10" t="s">
        <v>512</v>
      </c>
      <c r="H308" s="11">
        <v>9523213</v>
      </c>
      <c r="I308" s="18">
        <v>1509967.08</v>
      </c>
      <c r="J308" s="19">
        <v>5521589.1799999997</v>
      </c>
      <c r="K308" s="11">
        <v>2136191.11</v>
      </c>
      <c r="L308" s="23">
        <v>355466</v>
      </c>
      <c r="M308" s="16"/>
      <c r="N308" s="16"/>
      <c r="O308" s="16"/>
      <c r="P308" s="16"/>
      <c r="Q308" s="16"/>
      <c r="R308" s="16">
        <f t="shared" si="8"/>
        <v>355466</v>
      </c>
      <c r="S308" s="25" t="s">
        <v>770</v>
      </c>
      <c r="T308" s="17">
        <f t="shared" si="9"/>
        <v>-0.36999999964609742</v>
      </c>
      <c r="U308" s="16"/>
      <c r="V308" s="16" t="s">
        <v>926</v>
      </c>
    </row>
    <row r="309" spans="1:22" ht="21" x14ac:dyDescent="0.35">
      <c r="A309" s="8" t="s">
        <v>13</v>
      </c>
      <c r="B309" s="60" t="s">
        <v>943</v>
      </c>
      <c r="C309" s="9" t="s">
        <v>507</v>
      </c>
      <c r="D309" s="10" t="s">
        <v>508</v>
      </c>
      <c r="E309" s="10" t="s">
        <v>513</v>
      </c>
      <c r="F309" s="10" t="s">
        <v>514</v>
      </c>
      <c r="G309" s="10" t="s">
        <v>515</v>
      </c>
      <c r="H309" s="11">
        <v>787507</v>
      </c>
      <c r="I309" s="18">
        <v>231959.76</v>
      </c>
      <c r="J309" s="13"/>
      <c r="K309" s="14"/>
      <c r="L309" s="23">
        <v>160000</v>
      </c>
      <c r="M309" s="23">
        <v>80000</v>
      </c>
      <c r="N309" s="23">
        <v>80000</v>
      </c>
      <c r="O309" s="23">
        <v>80000</v>
      </c>
      <c r="P309" s="23">
        <v>80000</v>
      </c>
      <c r="Q309" s="23">
        <v>75547</v>
      </c>
      <c r="R309" s="16">
        <f t="shared" si="8"/>
        <v>555547</v>
      </c>
      <c r="S309" s="25" t="s">
        <v>771</v>
      </c>
      <c r="T309" s="17">
        <f t="shared" si="9"/>
        <v>0.23999999999068677</v>
      </c>
      <c r="U309" s="16"/>
      <c r="V309" s="16" t="s">
        <v>926</v>
      </c>
    </row>
    <row r="310" spans="1:22" ht="21" x14ac:dyDescent="0.35">
      <c r="A310" s="8" t="s">
        <v>13</v>
      </c>
      <c r="B310" s="60" t="s">
        <v>943</v>
      </c>
      <c r="C310" s="9" t="s">
        <v>507</v>
      </c>
      <c r="D310" s="10" t="s">
        <v>508</v>
      </c>
      <c r="E310" s="10" t="s">
        <v>516</v>
      </c>
      <c r="F310" s="10" t="s">
        <v>517</v>
      </c>
      <c r="G310" s="10" t="s">
        <v>518</v>
      </c>
      <c r="H310" s="11">
        <v>2078611</v>
      </c>
      <c r="I310" s="18">
        <v>981742.38</v>
      </c>
      <c r="J310" s="13"/>
      <c r="K310" s="14"/>
      <c r="L310" s="23">
        <v>202000</v>
      </c>
      <c r="M310" s="23">
        <v>202000</v>
      </c>
      <c r="N310" s="23">
        <v>202000</v>
      </c>
      <c r="O310" s="23">
        <v>202000</v>
      </c>
      <c r="P310" s="23">
        <v>202000</v>
      </c>
      <c r="Q310" s="23">
        <v>86869</v>
      </c>
      <c r="R310" s="16">
        <f t="shared" si="8"/>
        <v>1096869</v>
      </c>
      <c r="S310" s="25" t="s">
        <v>772</v>
      </c>
      <c r="T310" s="17">
        <f t="shared" si="9"/>
        <v>-0.37999999988824129</v>
      </c>
      <c r="U310" s="16"/>
      <c r="V310" s="16" t="s">
        <v>926</v>
      </c>
    </row>
    <row r="311" spans="1:22" x14ac:dyDescent="0.35">
      <c r="A311" s="8" t="s">
        <v>13</v>
      </c>
      <c r="B311" s="60" t="s">
        <v>943</v>
      </c>
      <c r="C311" s="9" t="s">
        <v>507</v>
      </c>
      <c r="D311" s="10" t="s">
        <v>508</v>
      </c>
      <c r="E311" s="10" t="s">
        <v>28</v>
      </c>
      <c r="F311" s="10" t="s">
        <v>29</v>
      </c>
      <c r="G311" s="10" t="s">
        <v>519</v>
      </c>
      <c r="H311" s="11">
        <v>141460</v>
      </c>
      <c r="I311" s="18">
        <v>29919</v>
      </c>
      <c r="J311" s="13"/>
      <c r="K311" s="14"/>
      <c r="L311" s="15"/>
      <c r="M311" s="16"/>
      <c r="N311" s="22">
        <v>70000</v>
      </c>
      <c r="O311" s="16"/>
      <c r="P311" s="16"/>
      <c r="Q311" s="16"/>
      <c r="R311" s="16">
        <f t="shared" si="8"/>
        <v>70000</v>
      </c>
      <c r="S311" s="25" t="s">
        <v>773</v>
      </c>
      <c r="T311" s="17">
        <f t="shared" si="9"/>
        <v>41541</v>
      </c>
      <c r="U311" s="16"/>
      <c r="V311" s="16" t="s">
        <v>926</v>
      </c>
    </row>
    <row r="312" spans="1:22" x14ac:dyDescent="0.35">
      <c r="A312" s="8" t="s">
        <v>13</v>
      </c>
      <c r="B312" s="60" t="s">
        <v>943</v>
      </c>
      <c r="C312" s="9" t="s">
        <v>507</v>
      </c>
      <c r="D312" s="10" t="s">
        <v>508</v>
      </c>
      <c r="E312" s="10" t="s">
        <v>520</v>
      </c>
      <c r="F312" s="10" t="s">
        <v>521</v>
      </c>
      <c r="G312" s="10" t="s">
        <v>522</v>
      </c>
      <c r="H312" s="14"/>
      <c r="I312" s="18">
        <v>0</v>
      </c>
      <c r="J312" s="13"/>
      <c r="K312" s="14"/>
      <c r="L312" s="15"/>
      <c r="M312" s="16"/>
      <c r="N312" s="16"/>
      <c r="O312" s="16"/>
      <c r="P312" s="16"/>
      <c r="Q312" s="16"/>
      <c r="R312" s="16">
        <f t="shared" si="8"/>
        <v>0</v>
      </c>
      <c r="S312" s="16"/>
      <c r="T312" s="17">
        <f t="shared" si="9"/>
        <v>0</v>
      </c>
      <c r="U312" s="16"/>
      <c r="V312" s="16" t="s">
        <v>926</v>
      </c>
    </row>
    <row r="313" spans="1:22" ht="21" x14ac:dyDescent="0.35">
      <c r="A313" s="8" t="s">
        <v>13</v>
      </c>
      <c r="B313" s="60" t="s">
        <v>943</v>
      </c>
      <c r="C313" s="9" t="s">
        <v>507</v>
      </c>
      <c r="D313" s="10" t="s">
        <v>508</v>
      </c>
      <c r="E313" s="10" t="s">
        <v>523</v>
      </c>
      <c r="F313" s="10" t="s">
        <v>524</v>
      </c>
      <c r="G313" s="10" t="s">
        <v>525</v>
      </c>
      <c r="H313" s="11">
        <v>2018541</v>
      </c>
      <c r="I313" s="18">
        <v>1118450.8899999999</v>
      </c>
      <c r="J313" s="19">
        <v>-239413.69</v>
      </c>
      <c r="K313" s="11">
        <v>0</v>
      </c>
      <c r="L313" s="23">
        <v>1132164</v>
      </c>
      <c r="M313" s="16"/>
      <c r="N313" s="16"/>
      <c r="O313" s="16"/>
      <c r="P313" s="16"/>
      <c r="Q313" s="16"/>
      <c r="R313" s="16">
        <f t="shared" si="8"/>
        <v>1132164</v>
      </c>
      <c r="S313" s="25" t="s">
        <v>774</v>
      </c>
      <c r="T313" s="17">
        <f t="shared" si="9"/>
        <v>7339.8000000000466</v>
      </c>
      <c r="U313" s="16"/>
      <c r="V313" s="16" t="s">
        <v>926</v>
      </c>
    </row>
    <row r="314" spans="1:22" ht="31.5" x14ac:dyDescent="0.35">
      <c r="A314" s="8" t="s">
        <v>13</v>
      </c>
      <c r="B314" s="60" t="s">
        <v>943</v>
      </c>
      <c r="C314" s="9" t="s">
        <v>507</v>
      </c>
      <c r="D314" s="10" t="s">
        <v>508</v>
      </c>
      <c r="E314" s="10" t="s">
        <v>124</v>
      </c>
      <c r="F314" s="10" t="s">
        <v>125</v>
      </c>
      <c r="G314" s="10" t="s">
        <v>526</v>
      </c>
      <c r="H314" s="11">
        <v>5318171</v>
      </c>
      <c r="I314" s="18">
        <v>182530</v>
      </c>
      <c r="J314" s="19">
        <v>3594106.48</v>
      </c>
      <c r="K314" s="11">
        <v>549325</v>
      </c>
      <c r="L314" s="23">
        <v>700000</v>
      </c>
      <c r="M314" s="22">
        <v>180000</v>
      </c>
      <c r="N314" s="22">
        <v>100000</v>
      </c>
      <c r="O314" s="22">
        <v>5000</v>
      </c>
      <c r="P314" s="22">
        <v>7210</v>
      </c>
      <c r="Q314" s="16"/>
      <c r="R314" s="16">
        <f t="shared" si="8"/>
        <v>992210</v>
      </c>
      <c r="S314" s="25" t="s">
        <v>775</v>
      </c>
      <c r="T314" s="17">
        <f t="shared" si="9"/>
        <v>-0.47999999998137355</v>
      </c>
      <c r="U314" s="16"/>
      <c r="V314" s="16" t="s">
        <v>926</v>
      </c>
    </row>
    <row r="315" spans="1:22" ht="21" x14ac:dyDescent="0.35">
      <c r="A315" s="8" t="s">
        <v>13</v>
      </c>
      <c r="B315" s="60" t="s">
        <v>943</v>
      </c>
      <c r="C315" s="9" t="s">
        <v>507</v>
      </c>
      <c r="D315" s="10" t="s">
        <v>508</v>
      </c>
      <c r="E315" s="10" t="s">
        <v>527</v>
      </c>
      <c r="F315" s="10" t="s">
        <v>528</v>
      </c>
      <c r="G315" s="10" t="s">
        <v>529</v>
      </c>
      <c r="H315" s="11">
        <v>451700</v>
      </c>
      <c r="I315" s="18">
        <v>126521.47</v>
      </c>
      <c r="J315" s="19">
        <v>0</v>
      </c>
      <c r="K315" s="11">
        <v>325000</v>
      </c>
      <c r="L315" s="15"/>
      <c r="M315" s="16"/>
      <c r="N315" s="16"/>
      <c r="O315" s="16"/>
      <c r="P315" s="16"/>
      <c r="Q315" s="16"/>
      <c r="R315" s="16">
        <f t="shared" si="8"/>
        <v>0</v>
      </c>
      <c r="S315" s="16"/>
      <c r="T315" s="17">
        <f t="shared" si="9"/>
        <v>178.53000000002794</v>
      </c>
      <c r="U315" s="16"/>
      <c r="V315" s="16" t="s">
        <v>926</v>
      </c>
    </row>
    <row r="316" spans="1:22" hidden="1" x14ac:dyDescent="0.35">
      <c r="A316" s="8" t="s">
        <v>13</v>
      </c>
      <c r="B316" s="8" t="s">
        <v>939</v>
      </c>
      <c r="C316" s="9" t="s">
        <v>530</v>
      </c>
      <c r="D316" s="10" t="s">
        <v>531</v>
      </c>
      <c r="E316" s="10" t="s">
        <v>25</v>
      </c>
      <c r="F316" s="10" t="s">
        <v>26</v>
      </c>
      <c r="G316" s="10" t="s">
        <v>532</v>
      </c>
      <c r="H316" s="11">
        <v>30000</v>
      </c>
      <c r="I316" s="12"/>
      <c r="J316" s="13"/>
      <c r="K316" s="14"/>
      <c r="L316" s="15"/>
      <c r="M316" s="16"/>
      <c r="N316" s="16"/>
      <c r="O316" s="16"/>
      <c r="P316" s="16"/>
      <c r="Q316" s="16"/>
      <c r="R316" s="16">
        <f t="shared" si="8"/>
        <v>0</v>
      </c>
      <c r="S316" s="16"/>
      <c r="T316" s="17">
        <f t="shared" si="9"/>
        <v>30000</v>
      </c>
      <c r="U316" s="16"/>
      <c r="V316" s="16" t="s">
        <v>925</v>
      </c>
    </row>
    <row r="317" spans="1:22" hidden="1" x14ac:dyDescent="0.35">
      <c r="A317" s="8" t="s">
        <v>13</v>
      </c>
      <c r="B317" s="8" t="s">
        <v>939</v>
      </c>
      <c r="C317" s="9" t="s">
        <v>530</v>
      </c>
      <c r="D317" s="10" t="s">
        <v>531</v>
      </c>
      <c r="E317" s="10" t="s">
        <v>28</v>
      </c>
      <c r="F317" s="10" t="s">
        <v>29</v>
      </c>
      <c r="G317" s="10" t="s">
        <v>533</v>
      </c>
      <c r="H317" s="11">
        <v>211000</v>
      </c>
      <c r="I317" s="18">
        <v>31800</v>
      </c>
      <c r="J317" s="13"/>
      <c r="K317" s="14"/>
      <c r="L317" s="15"/>
      <c r="M317" s="16"/>
      <c r="N317" s="16"/>
      <c r="O317" s="16"/>
      <c r="P317" s="16"/>
      <c r="Q317" s="16"/>
      <c r="R317" s="16">
        <f t="shared" si="8"/>
        <v>0</v>
      </c>
      <c r="S317" s="16"/>
      <c r="T317" s="17">
        <f t="shared" si="9"/>
        <v>179200</v>
      </c>
      <c r="U317" s="16"/>
      <c r="V317" s="16" t="s">
        <v>925</v>
      </c>
    </row>
    <row r="318" spans="1:22" hidden="1" x14ac:dyDescent="0.35">
      <c r="A318" s="8" t="s">
        <v>13</v>
      </c>
      <c r="B318" s="60" t="s">
        <v>930</v>
      </c>
      <c r="C318" s="9" t="s">
        <v>534</v>
      </c>
      <c r="D318" s="10" t="s">
        <v>535</v>
      </c>
      <c r="E318" s="10" t="s">
        <v>61</v>
      </c>
      <c r="F318" s="10" t="s">
        <v>62</v>
      </c>
      <c r="G318" s="10" t="s">
        <v>536</v>
      </c>
      <c r="H318" s="11">
        <v>0</v>
      </c>
      <c r="I318" s="12"/>
      <c r="J318" s="13"/>
      <c r="K318" s="14"/>
      <c r="L318" s="15"/>
      <c r="M318" s="16"/>
      <c r="N318" s="16"/>
      <c r="O318" s="16"/>
      <c r="P318" s="16"/>
      <c r="Q318" s="16"/>
      <c r="R318" s="16">
        <f t="shared" si="8"/>
        <v>0</v>
      </c>
      <c r="S318" s="16"/>
      <c r="T318" s="17">
        <f t="shared" si="9"/>
        <v>0</v>
      </c>
      <c r="U318" s="16"/>
      <c r="V318" s="16" t="s">
        <v>925</v>
      </c>
    </row>
    <row r="319" spans="1:22" ht="21" hidden="1" x14ac:dyDescent="0.35">
      <c r="A319" s="8" t="s">
        <v>13</v>
      </c>
      <c r="B319" s="60" t="s">
        <v>930</v>
      </c>
      <c r="C319" s="9" t="s">
        <v>534</v>
      </c>
      <c r="D319" s="10" t="s">
        <v>535</v>
      </c>
      <c r="E319" s="10" t="s">
        <v>19</v>
      </c>
      <c r="F319" s="10" t="s">
        <v>20</v>
      </c>
      <c r="G319" s="10" t="s">
        <v>537</v>
      </c>
      <c r="H319" s="11">
        <v>0</v>
      </c>
      <c r="I319" s="12"/>
      <c r="J319" s="13"/>
      <c r="K319" s="14"/>
      <c r="L319" s="15"/>
      <c r="M319" s="16"/>
      <c r="N319" s="16"/>
      <c r="O319" s="16"/>
      <c r="P319" s="16"/>
      <c r="Q319" s="16"/>
      <c r="R319" s="16">
        <f t="shared" si="8"/>
        <v>0</v>
      </c>
      <c r="S319" s="16"/>
      <c r="T319" s="17">
        <f t="shared" si="9"/>
        <v>0</v>
      </c>
      <c r="U319" s="16"/>
      <c r="V319" s="16" t="s">
        <v>925</v>
      </c>
    </row>
    <row r="320" spans="1:22" hidden="1" x14ac:dyDescent="0.35">
      <c r="A320" s="8" t="s">
        <v>13</v>
      </c>
      <c r="B320" s="60" t="s">
        <v>930</v>
      </c>
      <c r="C320" s="9" t="s">
        <v>534</v>
      </c>
      <c r="D320" s="10" t="s">
        <v>535</v>
      </c>
      <c r="E320" s="10" t="s">
        <v>233</v>
      </c>
      <c r="F320" s="10" t="s">
        <v>234</v>
      </c>
      <c r="G320" s="10" t="s">
        <v>538</v>
      </c>
      <c r="H320" s="11">
        <v>2768</v>
      </c>
      <c r="I320" s="18">
        <v>2768</v>
      </c>
      <c r="J320" s="13"/>
      <c r="K320" s="14"/>
      <c r="L320" s="15"/>
      <c r="M320" s="16"/>
      <c r="N320" s="16"/>
      <c r="O320" s="16"/>
      <c r="P320" s="16"/>
      <c r="Q320" s="16"/>
      <c r="R320" s="16">
        <f t="shared" si="8"/>
        <v>0</v>
      </c>
      <c r="S320" s="16"/>
      <c r="T320" s="17">
        <f t="shared" si="9"/>
        <v>0</v>
      </c>
      <c r="U320" s="16"/>
      <c r="V320" s="16" t="s">
        <v>925</v>
      </c>
    </row>
    <row r="321" spans="1:22" hidden="1" x14ac:dyDescent="0.35">
      <c r="A321" s="8" t="s">
        <v>13</v>
      </c>
      <c r="B321" s="60" t="s">
        <v>930</v>
      </c>
      <c r="C321" s="9" t="s">
        <v>534</v>
      </c>
      <c r="D321" s="10" t="s">
        <v>535</v>
      </c>
      <c r="E321" s="10" t="s">
        <v>25</v>
      </c>
      <c r="F321" s="10" t="s">
        <v>26</v>
      </c>
      <c r="G321" s="10" t="s">
        <v>539</v>
      </c>
      <c r="H321" s="11">
        <v>46227</v>
      </c>
      <c r="I321" s="18">
        <v>46226.25</v>
      </c>
      <c r="J321" s="13"/>
      <c r="K321" s="14"/>
      <c r="L321" s="15"/>
      <c r="M321" s="16"/>
      <c r="N321" s="16"/>
      <c r="O321" s="16"/>
      <c r="P321" s="16"/>
      <c r="Q321" s="16"/>
      <c r="R321" s="16">
        <f t="shared" si="8"/>
        <v>0</v>
      </c>
      <c r="S321" s="16"/>
      <c r="T321" s="17">
        <f t="shared" si="9"/>
        <v>0.75</v>
      </c>
      <c r="U321" s="16"/>
      <c r="V321" s="16" t="s">
        <v>925</v>
      </c>
    </row>
    <row r="322" spans="1:22" hidden="1" x14ac:dyDescent="0.35">
      <c r="A322" s="8" t="s">
        <v>13</v>
      </c>
      <c r="B322" s="60" t="s">
        <v>930</v>
      </c>
      <c r="C322" s="9" t="s">
        <v>534</v>
      </c>
      <c r="D322" s="10" t="s">
        <v>535</v>
      </c>
      <c r="E322" s="10" t="s">
        <v>201</v>
      </c>
      <c r="F322" s="10" t="s">
        <v>202</v>
      </c>
      <c r="G322" s="10" t="s">
        <v>540</v>
      </c>
      <c r="H322" s="11">
        <v>0</v>
      </c>
      <c r="I322" s="12"/>
      <c r="J322" s="13"/>
      <c r="K322" s="14"/>
      <c r="L322" s="15"/>
      <c r="M322" s="16"/>
      <c r="N322" s="16"/>
      <c r="O322" s="16"/>
      <c r="P322" s="16"/>
      <c r="Q322" s="16"/>
      <c r="R322" s="16">
        <f t="shared" si="8"/>
        <v>0</v>
      </c>
      <c r="S322" s="16"/>
      <c r="T322" s="17">
        <f t="shared" si="9"/>
        <v>0</v>
      </c>
      <c r="U322" s="16"/>
      <c r="V322" s="16" t="s">
        <v>925</v>
      </c>
    </row>
    <row r="323" spans="1:22" ht="29" hidden="1" x14ac:dyDescent="0.35">
      <c r="A323" s="8" t="s">
        <v>13</v>
      </c>
      <c r="B323" s="61" t="s">
        <v>937</v>
      </c>
      <c r="C323" s="9" t="s">
        <v>541</v>
      </c>
      <c r="D323" s="10" t="s">
        <v>542</v>
      </c>
      <c r="E323" s="10" t="s">
        <v>25</v>
      </c>
      <c r="F323" s="10" t="s">
        <v>26</v>
      </c>
      <c r="G323" s="10" t="s">
        <v>543</v>
      </c>
      <c r="H323" s="11">
        <v>30000</v>
      </c>
      <c r="I323" s="18">
        <v>4641</v>
      </c>
      <c r="J323" s="13"/>
      <c r="K323" s="14"/>
      <c r="L323" s="15"/>
      <c r="M323" s="16"/>
      <c r="N323" s="16">
        <v>5000</v>
      </c>
      <c r="O323" s="16">
        <v>5000</v>
      </c>
      <c r="P323" s="16">
        <v>10000</v>
      </c>
      <c r="Q323" s="16">
        <v>5359</v>
      </c>
      <c r="R323" s="16">
        <f t="shared" si="8"/>
        <v>25359</v>
      </c>
      <c r="S323" s="16" t="s">
        <v>876</v>
      </c>
      <c r="T323" s="17">
        <f t="shared" si="9"/>
        <v>0</v>
      </c>
      <c r="U323" s="16" t="s">
        <v>879</v>
      </c>
      <c r="V323" s="16" t="s">
        <v>926</v>
      </c>
    </row>
    <row r="324" spans="1:22" ht="29" hidden="1" x14ac:dyDescent="0.35">
      <c r="A324" s="8" t="s">
        <v>13</v>
      </c>
      <c r="B324" s="61" t="s">
        <v>937</v>
      </c>
      <c r="C324" s="9" t="s">
        <v>541</v>
      </c>
      <c r="D324" s="10" t="s">
        <v>542</v>
      </c>
      <c r="E324" s="10" t="s">
        <v>55</v>
      </c>
      <c r="F324" s="10" t="s">
        <v>56</v>
      </c>
      <c r="G324" s="10" t="s">
        <v>544</v>
      </c>
      <c r="H324" s="11">
        <v>395707</v>
      </c>
      <c r="I324" s="18">
        <v>343812.69</v>
      </c>
      <c r="J324" s="19">
        <v>32977.760000000002</v>
      </c>
      <c r="K324" s="11">
        <v>18915.95</v>
      </c>
      <c r="L324" s="15"/>
      <c r="M324" s="16"/>
      <c r="N324" s="16"/>
      <c r="O324" s="16"/>
      <c r="P324" s="16"/>
      <c r="Q324" s="16"/>
      <c r="R324" s="16">
        <f t="shared" si="8"/>
        <v>0</v>
      </c>
      <c r="S324" s="16" t="s">
        <v>877</v>
      </c>
      <c r="T324" s="17">
        <f t="shared" si="9"/>
        <v>0.59999999999490683</v>
      </c>
      <c r="U324" s="16" t="s">
        <v>879</v>
      </c>
      <c r="V324" s="16" t="s">
        <v>926</v>
      </c>
    </row>
    <row r="325" spans="1:22" ht="58" hidden="1" x14ac:dyDescent="0.35">
      <c r="A325" s="8" t="s">
        <v>13</v>
      </c>
      <c r="B325" s="61" t="s">
        <v>937</v>
      </c>
      <c r="C325" s="9" t="s">
        <v>541</v>
      </c>
      <c r="D325" s="10" t="s">
        <v>542</v>
      </c>
      <c r="E325" s="10" t="s">
        <v>28</v>
      </c>
      <c r="F325" s="10" t="s">
        <v>29</v>
      </c>
      <c r="G325" s="10" t="s">
        <v>545</v>
      </c>
      <c r="H325" s="11">
        <v>100000</v>
      </c>
      <c r="I325" s="12"/>
      <c r="J325" s="13"/>
      <c r="K325" s="14"/>
      <c r="L325" s="15"/>
      <c r="M325" s="16"/>
      <c r="N325" s="16">
        <v>50000</v>
      </c>
      <c r="O325" s="16"/>
      <c r="P325" s="16">
        <v>50000</v>
      </c>
      <c r="Q325" s="16"/>
      <c r="R325" s="16">
        <f t="shared" ref="R325:R388" si="10">Q325+P325+O325+N325+M325+L325</f>
        <v>100000</v>
      </c>
      <c r="S325" s="16" t="s">
        <v>878</v>
      </c>
      <c r="T325" s="17">
        <f t="shared" ref="T325:T388" si="11">H325-I325-J325-K325-L325-M325-N325-O325-P325-Q325</f>
        <v>0</v>
      </c>
      <c r="U325" s="16" t="s">
        <v>880</v>
      </c>
      <c r="V325" s="16" t="s">
        <v>926</v>
      </c>
    </row>
    <row r="326" spans="1:22" ht="21" hidden="1" x14ac:dyDescent="0.35">
      <c r="A326" s="8" t="s">
        <v>13</v>
      </c>
      <c r="B326" s="61" t="s">
        <v>937</v>
      </c>
      <c r="C326" s="9" t="s">
        <v>546</v>
      </c>
      <c r="D326" s="10" t="s">
        <v>547</v>
      </c>
      <c r="E326" s="10" t="s">
        <v>100</v>
      </c>
      <c r="F326" s="10" t="s">
        <v>101</v>
      </c>
      <c r="G326" s="10" t="s">
        <v>548</v>
      </c>
      <c r="H326" s="11">
        <v>18365</v>
      </c>
      <c r="I326" s="18">
        <v>18365</v>
      </c>
      <c r="J326" s="19">
        <v>0</v>
      </c>
      <c r="K326" s="11">
        <v>0</v>
      </c>
      <c r="L326" s="15"/>
      <c r="M326" s="16"/>
      <c r="N326" s="16"/>
      <c r="O326" s="16"/>
      <c r="P326" s="16"/>
      <c r="Q326" s="16"/>
      <c r="R326" s="16">
        <f t="shared" si="10"/>
        <v>0</v>
      </c>
      <c r="S326" s="16"/>
      <c r="T326" s="17">
        <f t="shared" si="11"/>
        <v>0</v>
      </c>
      <c r="U326" s="16"/>
      <c r="V326" s="16" t="s">
        <v>925</v>
      </c>
    </row>
    <row r="327" spans="1:22" ht="21" hidden="1" x14ac:dyDescent="0.35">
      <c r="A327" s="8" t="s">
        <v>13</v>
      </c>
      <c r="B327" s="61" t="s">
        <v>937</v>
      </c>
      <c r="C327" s="9" t="s">
        <v>546</v>
      </c>
      <c r="D327" s="10" t="s">
        <v>547</v>
      </c>
      <c r="E327" s="10" t="s">
        <v>47</v>
      </c>
      <c r="F327" s="10" t="s">
        <v>48</v>
      </c>
      <c r="G327" s="10" t="s">
        <v>549</v>
      </c>
      <c r="H327" s="11">
        <v>171713</v>
      </c>
      <c r="I327" s="12"/>
      <c r="J327" s="19">
        <v>0</v>
      </c>
      <c r="K327" s="11">
        <v>1124</v>
      </c>
      <c r="L327" s="15"/>
      <c r="M327" s="16"/>
      <c r="N327" s="16"/>
      <c r="O327" s="16"/>
      <c r="P327" s="16"/>
      <c r="Q327" s="16"/>
      <c r="R327" s="16">
        <f t="shared" si="10"/>
        <v>0</v>
      </c>
      <c r="S327" s="16"/>
      <c r="T327" s="17">
        <f t="shared" si="11"/>
        <v>170589</v>
      </c>
      <c r="U327" s="16"/>
      <c r="V327" s="16" t="s">
        <v>925</v>
      </c>
    </row>
    <row r="328" spans="1:22" hidden="1" x14ac:dyDescent="0.35">
      <c r="A328" s="8" t="s">
        <v>13</v>
      </c>
      <c r="B328" s="61" t="s">
        <v>937</v>
      </c>
      <c r="C328" s="9" t="s">
        <v>546</v>
      </c>
      <c r="D328" s="10" t="s">
        <v>547</v>
      </c>
      <c r="E328" s="10" t="s">
        <v>28</v>
      </c>
      <c r="F328" s="10" t="s">
        <v>29</v>
      </c>
      <c r="G328" s="10" t="s">
        <v>550</v>
      </c>
      <c r="H328" s="11">
        <v>115395</v>
      </c>
      <c r="I328" s="12"/>
      <c r="J328" s="13"/>
      <c r="K328" s="14"/>
      <c r="L328" s="15"/>
      <c r="M328" s="16"/>
      <c r="N328" s="16"/>
      <c r="O328" s="16"/>
      <c r="P328" s="16"/>
      <c r="Q328" s="16"/>
      <c r="R328" s="16">
        <f t="shared" si="10"/>
        <v>0</v>
      </c>
      <c r="S328" s="16"/>
      <c r="T328" s="17">
        <f t="shared" si="11"/>
        <v>115395</v>
      </c>
      <c r="U328" s="16"/>
      <c r="V328" s="16" t="s">
        <v>925</v>
      </c>
    </row>
    <row r="329" spans="1:22" hidden="1" x14ac:dyDescent="0.35">
      <c r="A329" s="8" t="s">
        <v>13</v>
      </c>
      <c r="B329" s="61" t="s">
        <v>937</v>
      </c>
      <c r="C329" s="9" t="s">
        <v>546</v>
      </c>
      <c r="D329" s="10" t="s">
        <v>547</v>
      </c>
      <c r="E329" s="10" t="s">
        <v>95</v>
      </c>
      <c r="F329" s="10" t="s">
        <v>96</v>
      </c>
      <c r="G329" s="10" t="s">
        <v>551</v>
      </c>
      <c r="H329" s="11">
        <v>357190</v>
      </c>
      <c r="I329" s="18">
        <v>169976.6</v>
      </c>
      <c r="J329" s="13"/>
      <c r="K329" s="11">
        <v>1.45519152283669E-11</v>
      </c>
      <c r="L329" s="15"/>
      <c r="M329" s="16"/>
      <c r="N329" s="16"/>
      <c r="O329" s="16"/>
      <c r="P329" s="16"/>
      <c r="Q329" s="16"/>
      <c r="R329" s="16">
        <f t="shared" si="10"/>
        <v>0</v>
      </c>
      <c r="S329" s="16"/>
      <c r="T329" s="17">
        <f t="shared" si="11"/>
        <v>187213.39999999997</v>
      </c>
      <c r="U329" s="16"/>
      <c r="V329" s="16" t="s">
        <v>925</v>
      </c>
    </row>
    <row r="330" spans="1:22" ht="58" hidden="1" x14ac:dyDescent="0.35">
      <c r="A330" s="8" t="s">
        <v>13</v>
      </c>
      <c r="B330" s="61" t="s">
        <v>937</v>
      </c>
      <c r="C330" s="9" t="s">
        <v>552</v>
      </c>
      <c r="D330" s="10" t="s">
        <v>553</v>
      </c>
      <c r="E330" s="10" t="s">
        <v>114</v>
      </c>
      <c r="F330" s="10" t="s">
        <v>115</v>
      </c>
      <c r="G330" s="10" t="s">
        <v>554</v>
      </c>
      <c r="H330" s="11">
        <v>2715876</v>
      </c>
      <c r="I330" s="18">
        <v>1718250</v>
      </c>
      <c r="J330" s="13"/>
      <c r="K330" s="14"/>
      <c r="L330" s="15"/>
      <c r="M330" s="16"/>
      <c r="N330" s="16"/>
      <c r="O330" s="16"/>
      <c r="P330" s="16"/>
      <c r="Q330" s="16">
        <v>1470000</v>
      </c>
      <c r="R330" s="16">
        <f t="shared" si="10"/>
        <v>1470000</v>
      </c>
      <c r="S330" s="16"/>
      <c r="T330" s="17">
        <f t="shared" si="11"/>
        <v>-472374</v>
      </c>
      <c r="U330" s="16" t="s">
        <v>868</v>
      </c>
      <c r="V330" s="16" t="s">
        <v>926</v>
      </c>
    </row>
    <row r="331" spans="1:22" ht="43.5" hidden="1" x14ac:dyDescent="0.35">
      <c r="A331" s="8" t="s">
        <v>13</v>
      </c>
      <c r="B331" s="61" t="s">
        <v>937</v>
      </c>
      <c r="C331" s="9" t="s">
        <v>552</v>
      </c>
      <c r="D331" s="10" t="s">
        <v>553</v>
      </c>
      <c r="E331" s="10" t="s">
        <v>114</v>
      </c>
      <c r="F331" s="10" t="s">
        <v>115</v>
      </c>
      <c r="G331" s="10" t="s">
        <v>555</v>
      </c>
      <c r="H331" s="11">
        <v>290123</v>
      </c>
      <c r="I331" s="18">
        <v>28466.28</v>
      </c>
      <c r="J331" s="13"/>
      <c r="K331" s="14"/>
      <c r="L331" s="15"/>
      <c r="M331" s="16">
        <v>150000</v>
      </c>
      <c r="N331" s="16">
        <v>150000</v>
      </c>
      <c r="O331" s="16"/>
      <c r="P331" s="16"/>
      <c r="Q331" s="16"/>
      <c r="R331" s="16">
        <f t="shared" si="10"/>
        <v>300000</v>
      </c>
      <c r="S331" s="16"/>
      <c r="T331" s="17">
        <f t="shared" si="11"/>
        <v>-38343.279999999999</v>
      </c>
      <c r="U331" s="16" t="s">
        <v>869</v>
      </c>
      <c r="V331" s="16" t="s">
        <v>926</v>
      </c>
    </row>
    <row r="332" spans="1:22" ht="29" hidden="1" x14ac:dyDescent="0.35">
      <c r="A332" s="8" t="s">
        <v>13</v>
      </c>
      <c r="B332" s="61" t="s">
        <v>937</v>
      </c>
      <c r="C332" s="9" t="s">
        <v>552</v>
      </c>
      <c r="D332" s="10" t="s">
        <v>553</v>
      </c>
      <c r="E332" s="10" t="s">
        <v>40</v>
      </c>
      <c r="F332" s="10" t="s">
        <v>41</v>
      </c>
      <c r="G332" s="10" t="s">
        <v>556</v>
      </c>
      <c r="H332" s="11">
        <v>551250</v>
      </c>
      <c r="I332" s="12"/>
      <c r="J332" s="19">
        <v>205688</v>
      </c>
      <c r="K332" s="14"/>
      <c r="L332" s="15"/>
      <c r="M332" s="16"/>
      <c r="N332" s="16"/>
      <c r="O332" s="16"/>
      <c r="P332" s="16">
        <v>115500</v>
      </c>
      <c r="Q332" s="16"/>
      <c r="R332" s="16">
        <f t="shared" si="10"/>
        <v>115500</v>
      </c>
      <c r="S332" s="16"/>
      <c r="T332" s="17">
        <f t="shared" si="11"/>
        <v>230062</v>
      </c>
      <c r="U332" s="16" t="s">
        <v>870</v>
      </c>
      <c r="V332" s="16" t="s">
        <v>926</v>
      </c>
    </row>
    <row r="333" spans="1:22" ht="43.5" hidden="1" x14ac:dyDescent="0.35">
      <c r="A333" s="8" t="s">
        <v>13</v>
      </c>
      <c r="B333" s="61" t="s">
        <v>937</v>
      </c>
      <c r="C333" s="9" t="s">
        <v>552</v>
      </c>
      <c r="D333" s="10" t="s">
        <v>553</v>
      </c>
      <c r="E333" s="10" t="s">
        <v>28</v>
      </c>
      <c r="F333" s="10" t="s">
        <v>29</v>
      </c>
      <c r="G333" s="10" t="s">
        <v>557</v>
      </c>
      <c r="H333" s="11">
        <v>100000</v>
      </c>
      <c r="I333" s="18">
        <v>11470.82</v>
      </c>
      <c r="J333" s="13"/>
      <c r="K333" s="14"/>
      <c r="L333" s="15">
        <v>0</v>
      </c>
      <c r="M333" s="16">
        <v>18500</v>
      </c>
      <c r="N333" s="16">
        <v>0</v>
      </c>
      <c r="O333" s="16">
        <v>67000</v>
      </c>
      <c r="P333" s="16">
        <v>0</v>
      </c>
      <c r="Q333" s="16">
        <v>0</v>
      </c>
      <c r="R333" s="16">
        <f t="shared" si="10"/>
        <v>85500</v>
      </c>
      <c r="S333" s="16"/>
      <c r="T333" s="17">
        <f t="shared" si="11"/>
        <v>3029.179999999993</v>
      </c>
      <c r="U333" s="16" t="s">
        <v>871</v>
      </c>
      <c r="V333" s="16" t="s">
        <v>926</v>
      </c>
    </row>
    <row r="334" spans="1:22" ht="29" hidden="1" x14ac:dyDescent="0.35">
      <c r="A334" s="8" t="s">
        <v>13</v>
      </c>
      <c r="B334" s="61" t="s">
        <v>937</v>
      </c>
      <c r="C334" s="9" t="s">
        <v>552</v>
      </c>
      <c r="D334" s="10" t="s">
        <v>553</v>
      </c>
      <c r="E334" s="10" t="s">
        <v>558</v>
      </c>
      <c r="F334" s="10" t="s">
        <v>559</v>
      </c>
      <c r="G334" s="10" t="s">
        <v>560</v>
      </c>
      <c r="H334" s="11">
        <v>0</v>
      </c>
      <c r="I334" s="12"/>
      <c r="J334" s="13"/>
      <c r="K334" s="14"/>
      <c r="L334" s="15">
        <v>0</v>
      </c>
      <c r="M334" s="16">
        <v>0</v>
      </c>
      <c r="N334" s="16">
        <v>0</v>
      </c>
      <c r="O334" s="16">
        <v>0</v>
      </c>
      <c r="P334" s="16">
        <v>0</v>
      </c>
      <c r="Q334" s="16">
        <v>0</v>
      </c>
      <c r="R334" s="16">
        <f t="shared" si="10"/>
        <v>0</v>
      </c>
      <c r="S334" s="16"/>
      <c r="T334" s="17">
        <f t="shared" si="11"/>
        <v>0</v>
      </c>
      <c r="U334" s="16" t="s">
        <v>872</v>
      </c>
      <c r="V334" s="16" t="s">
        <v>926</v>
      </c>
    </row>
    <row r="335" spans="1:22" ht="87" hidden="1" x14ac:dyDescent="0.35">
      <c r="A335" s="8" t="s">
        <v>13</v>
      </c>
      <c r="B335" s="61" t="s">
        <v>937</v>
      </c>
      <c r="C335" s="9" t="s">
        <v>552</v>
      </c>
      <c r="D335" s="10" t="s">
        <v>553</v>
      </c>
      <c r="E335" s="10" t="s">
        <v>95</v>
      </c>
      <c r="F335" s="10" t="s">
        <v>96</v>
      </c>
      <c r="G335" s="10" t="s">
        <v>561</v>
      </c>
      <c r="H335" s="11">
        <v>39955874</v>
      </c>
      <c r="I335" s="18">
        <v>12730680.15</v>
      </c>
      <c r="J335" s="19">
        <v>523086.57</v>
      </c>
      <c r="K335" s="11">
        <v>1113781.8400000001</v>
      </c>
      <c r="L335" s="15">
        <v>1773087</v>
      </c>
      <c r="M335" s="16">
        <v>1773087</v>
      </c>
      <c r="N335" s="16">
        <v>1773087</v>
      </c>
      <c r="O335" s="16">
        <v>1773087</v>
      </c>
      <c r="P335" s="16">
        <v>1773087</v>
      </c>
      <c r="Q335" s="16">
        <v>1773087</v>
      </c>
      <c r="R335" s="16">
        <f t="shared" si="10"/>
        <v>10638522</v>
      </c>
      <c r="S335" s="16"/>
      <c r="T335" s="17">
        <f t="shared" si="11"/>
        <v>14949803.440000001</v>
      </c>
      <c r="U335" s="16" t="s">
        <v>873</v>
      </c>
      <c r="V335" s="16" t="s">
        <v>926</v>
      </c>
    </row>
    <row r="336" spans="1:22" ht="58" hidden="1" x14ac:dyDescent="0.35">
      <c r="A336" s="8" t="s">
        <v>13</v>
      </c>
      <c r="B336" s="61" t="s">
        <v>937</v>
      </c>
      <c r="C336" s="9" t="s">
        <v>552</v>
      </c>
      <c r="D336" s="10" t="s">
        <v>553</v>
      </c>
      <c r="E336" s="10" t="s">
        <v>95</v>
      </c>
      <c r="F336" s="10" t="s">
        <v>96</v>
      </c>
      <c r="G336" s="10" t="s">
        <v>562</v>
      </c>
      <c r="H336" s="11">
        <v>43419763</v>
      </c>
      <c r="I336" s="18">
        <v>24242088.059999902</v>
      </c>
      <c r="J336" s="19">
        <v>-374023.56</v>
      </c>
      <c r="K336" s="11">
        <v>2504371.96</v>
      </c>
      <c r="L336" s="15">
        <v>2792241</v>
      </c>
      <c r="M336" s="16">
        <v>2792241</v>
      </c>
      <c r="N336" s="16">
        <v>2792241</v>
      </c>
      <c r="O336" s="16">
        <v>2792241</v>
      </c>
      <c r="P336" s="16">
        <v>2792241</v>
      </c>
      <c r="Q336" s="16">
        <v>2792241</v>
      </c>
      <c r="R336" s="16">
        <f t="shared" si="10"/>
        <v>16753446</v>
      </c>
      <c r="S336" s="16"/>
      <c r="T336" s="17">
        <f t="shared" si="11"/>
        <v>293880.54000009596</v>
      </c>
      <c r="U336" s="16" t="s">
        <v>874</v>
      </c>
      <c r="V336" s="16" t="s">
        <v>926</v>
      </c>
    </row>
    <row r="337" spans="1:22" hidden="1" x14ac:dyDescent="0.35">
      <c r="A337" s="8" t="s">
        <v>13</v>
      </c>
      <c r="B337" s="61" t="s">
        <v>937</v>
      </c>
      <c r="C337" s="9" t="s">
        <v>563</v>
      </c>
      <c r="D337" s="10" t="s">
        <v>564</v>
      </c>
      <c r="E337" s="10" t="s">
        <v>83</v>
      </c>
      <c r="F337" s="10" t="s">
        <v>84</v>
      </c>
      <c r="G337" s="10" t="s">
        <v>565</v>
      </c>
      <c r="H337" s="11">
        <v>4979000</v>
      </c>
      <c r="I337" s="18">
        <v>87621.41</v>
      </c>
      <c r="J337" s="19">
        <v>1352075.94</v>
      </c>
      <c r="K337" s="11">
        <v>3333402.47</v>
      </c>
      <c r="L337" s="15"/>
      <c r="M337" s="16"/>
      <c r="N337" s="16"/>
      <c r="O337" s="16"/>
      <c r="P337" s="16"/>
      <c r="Q337" s="16"/>
      <c r="R337" s="16">
        <f t="shared" si="10"/>
        <v>0</v>
      </c>
      <c r="S337" s="16"/>
      <c r="T337" s="17">
        <f t="shared" si="11"/>
        <v>205900.1799999997</v>
      </c>
      <c r="U337" s="16"/>
      <c r="V337" s="16" t="s">
        <v>925</v>
      </c>
    </row>
    <row r="338" spans="1:22" hidden="1" x14ac:dyDescent="0.35">
      <c r="A338" s="8" t="s">
        <v>13</v>
      </c>
      <c r="B338" s="61" t="s">
        <v>937</v>
      </c>
      <c r="C338" s="9" t="s">
        <v>563</v>
      </c>
      <c r="D338" s="10" t="s">
        <v>564</v>
      </c>
      <c r="E338" s="10" t="s">
        <v>83</v>
      </c>
      <c r="F338" s="10" t="s">
        <v>84</v>
      </c>
      <c r="G338" s="10" t="s">
        <v>566</v>
      </c>
      <c r="H338" s="14"/>
      <c r="I338" s="18">
        <v>-1216.43</v>
      </c>
      <c r="J338" s="13"/>
      <c r="K338" s="11">
        <v>1216.43</v>
      </c>
      <c r="L338" s="15"/>
      <c r="M338" s="16"/>
      <c r="N338" s="16"/>
      <c r="O338" s="16"/>
      <c r="P338" s="16"/>
      <c r="Q338" s="16"/>
      <c r="R338" s="16">
        <f t="shared" si="10"/>
        <v>0</v>
      </c>
      <c r="S338" s="16"/>
      <c r="T338" s="17">
        <f t="shared" si="11"/>
        <v>0</v>
      </c>
      <c r="U338" s="16"/>
      <c r="V338" s="16" t="s">
        <v>925</v>
      </c>
    </row>
    <row r="339" spans="1:22" ht="21" hidden="1" x14ac:dyDescent="0.35">
      <c r="A339" s="8" t="s">
        <v>13</v>
      </c>
      <c r="B339" s="61" t="s">
        <v>937</v>
      </c>
      <c r="C339" s="9" t="s">
        <v>563</v>
      </c>
      <c r="D339" s="10" t="s">
        <v>564</v>
      </c>
      <c r="E339" s="10" t="s">
        <v>19</v>
      </c>
      <c r="F339" s="10" t="s">
        <v>20</v>
      </c>
      <c r="G339" s="10" t="s">
        <v>567</v>
      </c>
      <c r="H339" s="11">
        <v>2000</v>
      </c>
      <c r="I339" s="18">
        <v>2283.75</v>
      </c>
      <c r="J339" s="13"/>
      <c r="K339" s="14"/>
      <c r="L339" s="15"/>
      <c r="M339" s="16"/>
      <c r="N339" s="16"/>
      <c r="O339" s="16"/>
      <c r="P339" s="16"/>
      <c r="Q339" s="16"/>
      <c r="R339" s="16">
        <f t="shared" si="10"/>
        <v>0</v>
      </c>
      <c r="S339" s="16"/>
      <c r="T339" s="17">
        <f t="shared" si="11"/>
        <v>-283.75</v>
      </c>
      <c r="U339" s="16"/>
      <c r="V339" s="16" t="s">
        <v>925</v>
      </c>
    </row>
    <row r="340" spans="1:22" ht="21" hidden="1" x14ac:dyDescent="0.35">
      <c r="A340" s="8" t="s">
        <v>13</v>
      </c>
      <c r="B340" s="61" t="s">
        <v>937</v>
      </c>
      <c r="C340" s="9" t="s">
        <v>563</v>
      </c>
      <c r="D340" s="10" t="s">
        <v>564</v>
      </c>
      <c r="E340" s="10" t="s">
        <v>22</v>
      </c>
      <c r="F340" s="10" t="s">
        <v>23</v>
      </c>
      <c r="G340" s="10" t="s">
        <v>568</v>
      </c>
      <c r="H340" s="11">
        <v>26095</v>
      </c>
      <c r="I340" s="18">
        <v>20122.400000000001</v>
      </c>
      <c r="J340" s="13"/>
      <c r="K340" s="14"/>
      <c r="L340" s="15"/>
      <c r="M340" s="16"/>
      <c r="N340" s="16"/>
      <c r="O340" s="16"/>
      <c r="P340" s="16"/>
      <c r="Q340" s="16"/>
      <c r="R340" s="16">
        <f t="shared" si="10"/>
        <v>0</v>
      </c>
      <c r="S340" s="16"/>
      <c r="T340" s="17">
        <f t="shared" si="11"/>
        <v>5972.5999999999985</v>
      </c>
      <c r="U340" s="16"/>
      <c r="V340" s="16" t="s">
        <v>925</v>
      </c>
    </row>
    <row r="341" spans="1:22" ht="21" hidden="1" x14ac:dyDescent="0.35">
      <c r="A341" s="8" t="s">
        <v>13</v>
      </c>
      <c r="B341" s="61" t="s">
        <v>937</v>
      </c>
      <c r="C341" s="9" t="s">
        <v>563</v>
      </c>
      <c r="D341" s="10" t="s">
        <v>564</v>
      </c>
      <c r="E341" s="10" t="s">
        <v>47</v>
      </c>
      <c r="F341" s="10" t="s">
        <v>48</v>
      </c>
      <c r="G341" s="10" t="s">
        <v>569</v>
      </c>
      <c r="H341" s="11">
        <v>3881</v>
      </c>
      <c r="I341" s="12"/>
      <c r="J341" s="13"/>
      <c r="K341" s="14"/>
      <c r="L341" s="15"/>
      <c r="M341" s="16"/>
      <c r="N341" s="16"/>
      <c r="O341" s="16"/>
      <c r="P341" s="16"/>
      <c r="Q341" s="16"/>
      <c r="R341" s="16">
        <f t="shared" si="10"/>
        <v>0</v>
      </c>
      <c r="S341" s="16"/>
      <c r="T341" s="17">
        <f t="shared" si="11"/>
        <v>3881</v>
      </c>
      <c r="U341" s="16"/>
      <c r="V341" s="16" t="s">
        <v>925</v>
      </c>
    </row>
    <row r="342" spans="1:22" hidden="1" x14ac:dyDescent="0.35">
      <c r="A342" s="8" t="s">
        <v>13</v>
      </c>
      <c r="B342" s="61" t="s">
        <v>937</v>
      </c>
      <c r="C342" s="9" t="s">
        <v>570</v>
      </c>
      <c r="D342" s="10" t="s">
        <v>571</v>
      </c>
      <c r="E342" s="10" t="s">
        <v>572</v>
      </c>
      <c r="F342" s="10" t="s">
        <v>573</v>
      </c>
      <c r="G342" s="10" t="s">
        <v>574</v>
      </c>
      <c r="H342" s="11">
        <v>16000</v>
      </c>
      <c r="I342" s="12"/>
      <c r="J342" s="13"/>
      <c r="K342" s="14"/>
      <c r="L342" s="15"/>
      <c r="M342" s="16"/>
      <c r="N342" s="16"/>
      <c r="O342" s="16"/>
      <c r="P342" s="16"/>
      <c r="Q342" s="16"/>
      <c r="R342" s="16">
        <f t="shared" si="10"/>
        <v>0</v>
      </c>
      <c r="S342" s="16"/>
      <c r="T342" s="17">
        <f t="shared" si="11"/>
        <v>16000</v>
      </c>
      <c r="U342" s="16"/>
      <c r="V342" s="16" t="s">
        <v>925</v>
      </c>
    </row>
    <row r="343" spans="1:22" hidden="1" x14ac:dyDescent="0.35">
      <c r="A343" s="8" t="s">
        <v>13</v>
      </c>
      <c r="B343" s="61" t="s">
        <v>937</v>
      </c>
      <c r="C343" s="9" t="s">
        <v>570</v>
      </c>
      <c r="D343" s="10" t="s">
        <v>571</v>
      </c>
      <c r="E343" s="10" t="s">
        <v>25</v>
      </c>
      <c r="F343" s="10" t="s">
        <v>26</v>
      </c>
      <c r="G343" s="10" t="s">
        <v>575</v>
      </c>
      <c r="H343" s="11">
        <v>12000</v>
      </c>
      <c r="I343" s="18">
        <v>8368.5</v>
      </c>
      <c r="J343" s="13"/>
      <c r="K343" s="14"/>
      <c r="L343" s="15"/>
      <c r="M343" s="16"/>
      <c r="N343" s="16"/>
      <c r="O343" s="16"/>
      <c r="P343" s="16"/>
      <c r="Q343" s="16"/>
      <c r="R343" s="16">
        <f t="shared" si="10"/>
        <v>0</v>
      </c>
      <c r="S343" s="16"/>
      <c r="T343" s="17">
        <f t="shared" si="11"/>
        <v>3631.5</v>
      </c>
      <c r="U343" s="16"/>
      <c r="V343" s="16" t="s">
        <v>925</v>
      </c>
    </row>
    <row r="344" spans="1:22" ht="21" hidden="1" x14ac:dyDescent="0.35">
      <c r="A344" s="8" t="s">
        <v>13</v>
      </c>
      <c r="B344" s="61" t="s">
        <v>937</v>
      </c>
      <c r="C344" s="9" t="s">
        <v>570</v>
      </c>
      <c r="D344" s="10" t="s">
        <v>571</v>
      </c>
      <c r="E344" s="10" t="s">
        <v>47</v>
      </c>
      <c r="F344" s="10" t="s">
        <v>48</v>
      </c>
      <c r="G344" s="10" t="s">
        <v>576</v>
      </c>
      <c r="H344" s="11">
        <v>140763</v>
      </c>
      <c r="I344" s="18">
        <v>218669</v>
      </c>
      <c r="J344" s="19">
        <v>10294.64</v>
      </c>
      <c r="K344" s="11">
        <v>-112147.15</v>
      </c>
      <c r="L344" s="15"/>
      <c r="M344" s="16"/>
      <c r="N344" s="16"/>
      <c r="O344" s="16"/>
      <c r="P344" s="16"/>
      <c r="Q344" s="16"/>
      <c r="R344" s="16">
        <f t="shared" si="10"/>
        <v>0</v>
      </c>
      <c r="S344" s="16"/>
      <c r="T344" s="17">
        <f t="shared" si="11"/>
        <v>23946.509999999995</v>
      </c>
      <c r="U344" s="16"/>
      <c r="V344" s="16" t="s">
        <v>925</v>
      </c>
    </row>
    <row r="345" spans="1:22" hidden="1" x14ac:dyDescent="0.35">
      <c r="A345" s="8" t="s">
        <v>13</v>
      </c>
      <c r="B345" s="61" t="s">
        <v>937</v>
      </c>
      <c r="C345" s="9" t="s">
        <v>570</v>
      </c>
      <c r="D345" s="10" t="s">
        <v>571</v>
      </c>
      <c r="E345" s="10" t="s">
        <v>28</v>
      </c>
      <c r="F345" s="10" t="s">
        <v>29</v>
      </c>
      <c r="G345" s="10" t="s">
        <v>577</v>
      </c>
      <c r="H345" s="11">
        <v>300000</v>
      </c>
      <c r="I345" s="18">
        <v>298240</v>
      </c>
      <c r="J345" s="13"/>
      <c r="K345" s="14"/>
      <c r="L345" s="15"/>
      <c r="M345" s="16"/>
      <c r="N345" s="16"/>
      <c r="O345" s="16"/>
      <c r="P345" s="16"/>
      <c r="Q345" s="16"/>
      <c r="R345" s="16">
        <f t="shared" si="10"/>
        <v>0</v>
      </c>
      <c r="S345" s="16"/>
      <c r="T345" s="17">
        <f t="shared" si="11"/>
        <v>1760</v>
      </c>
      <c r="U345" s="16"/>
      <c r="V345" s="16" t="s">
        <v>925</v>
      </c>
    </row>
    <row r="346" spans="1:22" hidden="1" x14ac:dyDescent="0.35">
      <c r="A346" s="8" t="s">
        <v>13</v>
      </c>
      <c r="B346" s="61" t="s">
        <v>937</v>
      </c>
      <c r="C346" s="9" t="s">
        <v>570</v>
      </c>
      <c r="D346" s="10" t="s">
        <v>571</v>
      </c>
      <c r="E346" s="10" t="s">
        <v>163</v>
      </c>
      <c r="F346" s="10" t="s">
        <v>164</v>
      </c>
      <c r="G346" s="10" t="s">
        <v>578</v>
      </c>
      <c r="H346" s="11">
        <v>10518075</v>
      </c>
      <c r="I346" s="18">
        <v>5537162.5199999996</v>
      </c>
      <c r="J346" s="19">
        <v>-715309.94999999902</v>
      </c>
      <c r="K346" s="11">
        <v>5478493.8600000003</v>
      </c>
      <c r="L346" s="15"/>
      <c r="M346" s="16"/>
      <c r="N346" s="16"/>
      <c r="O346" s="16"/>
      <c r="P346" s="16"/>
      <c r="Q346" s="16"/>
      <c r="R346" s="16">
        <f t="shared" si="10"/>
        <v>0</v>
      </c>
      <c r="S346" s="16"/>
      <c r="T346" s="17">
        <f t="shared" si="11"/>
        <v>217728.56999999937</v>
      </c>
      <c r="U346" s="16"/>
      <c r="V346" s="16" t="s">
        <v>925</v>
      </c>
    </row>
    <row r="347" spans="1:22" hidden="1" x14ac:dyDescent="0.35">
      <c r="A347" s="8" t="s">
        <v>13</v>
      </c>
      <c r="B347" s="61" t="s">
        <v>937</v>
      </c>
      <c r="C347" s="9" t="s">
        <v>570</v>
      </c>
      <c r="D347" s="10" t="s">
        <v>571</v>
      </c>
      <c r="E347" s="10" t="s">
        <v>130</v>
      </c>
      <c r="F347" s="10" t="s">
        <v>131</v>
      </c>
      <c r="G347" s="10" t="s">
        <v>579</v>
      </c>
      <c r="H347" s="11">
        <v>3882533</v>
      </c>
      <c r="I347" s="18">
        <v>2018092.5</v>
      </c>
      <c r="J347" s="19">
        <v>-452833.51</v>
      </c>
      <c r="K347" s="11">
        <v>1559202.42</v>
      </c>
      <c r="L347" s="15"/>
      <c r="M347" s="16"/>
      <c r="N347" s="16"/>
      <c r="O347" s="16"/>
      <c r="P347" s="16"/>
      <c r="Q347" s="16"/>
      <c r="R347" s="16">
        <f t="shared" si="10"/>
        <v>0</v>
      </c>
      <c r="S347" s="16"/>
      <c r="T347" s="17">
        <f t="shared" si="11"/>
        <v>758071.58999999985</v>
      </c>
      <c r="U347" s="16"/>
      <c r="V347" s="16" t="s">
        <v>925</v>
      </c>
    </row>
    <row r="348" spans="1:22" ht="21" hidden="1" x14ac:dyDescent="0.35">
      <c r="A348" s="8" t="s">
        <v>13</v>
      </c>
      <c r="B348" s="61" t="s">
        <v>937</v>
      </c>
      <c r="C348" s="9" t="s">
        <v>570</v>
      </c>
      <c r="D348" s="10" t="s">
        <v>571</v>
      </c>
      <c r="E348" s="10" t="s">
        <v>204</v>
      </c>
      <c r="F348" s="10" t="s">
        <v>205</v>
      </c>
      <c r="G348" s="10" t="s">
        <v>580</v>
      </c>
      <c r="H348" s="11">
        <v>6000</v>
      </c>
      <c r="I348" s="18">
        <v>1220</v>
      </c>
      <c r="J348" s="13"/>
      <c r="K348" s="14"/>
      <c r="L348" s="15"/>
      <c r="M348" s="16"/>
      <c r="N348" s="16"/>
      <c r="O348" s="16"/>
      <c r="P348" s="16"/>
      <c r="Q348" s="16"/>
      <c r="R348" s="16">
        <f t="shared" si="10"/>
        <v>0</v>
      </c>
      <c r="S348" s="16"/>
      <c r="T348" s="17">
        <f t="shared" si="11"/>
        <v>4780</v>
      </c>
      <c r="U348" s="16"/>
      <c r="V348" s="16" t="s">
        <v>925</v>
      </c>
    </row>
    <row r="349" spans="1:22" ht="21" hidden="1" x14ac:dyDescent="0.35">
      <c r="A349" s="8" t="s">
        <v>13</v>
      </c>
      <c r="B349" s="61" t="s">
        <v>937</v>
      </c>
      <c r="C349" s="9" t="s">
        <v>581</v>
      </c>
      <c r="D349" s="10" t="s">
        <v>582</v>
      </c>
      <c r="E349" s="10" t="s">
        <v>100</v>
      </c>
      <c r="F349" s="10" t="s">
        <v>101</v>
      </c>
      <c r="G349" s="10" t="s">
        <v>583</v>
      </c>
      <c r="H349" s="11">
        <v>871940</v>
      </c>
      <c r="I349" s="18">
        <v>1102000</v>
      </c>
      <c r="J349" s="19">
        <v>-551000</v>
      </c>
      <c r="K349" s="11">
        <v>320932.8</v>
      </c>
      <c r="L349" s="15"/>
      <c r="M349" s="16"/>
      <c r="N349" s="16"/>
      <c r="O349" s="16"/>
      <c r="P349" s="16"/>
      <c r="Q349" s="16"/>
      <c r="R349" s="16">
        <f t="shared" si="10"/>
        <v>0</v>
      </c>
      <c r="S349" s="16"/>
      <c r="T349" s="17">
        <f t="shared" si="11"/>
        <v>7.2000000000116415</v>
      </c>
      <c r="U349" s="16"/>
      <c r="V349" s="16" t="s">
        <v>926</v>
      </c>
    </row>
    <row r="350" spans="1:22" ht="43.5" hidden="1" x14ac:dyDescent="0.35">
      <c r="A350" s="8" t="s">
        <v>13</v>
      </c>
      <c r="B350" s="61" t="s">
        <v>937</v>
      </c>
      <c r="C350" s="9" t="s">
        <v>581</v>
      </c>
      <c r="D350" s="10" t="s">
        <v>582</v>
      </c>
      <c r="E350" s="10" t="s">
        <v>47</v>
      </c>
      <c r="F350" s="10" t="s">
        <v>48</v>
      </c>
      <c r="G350" s="10" t="s">
        <v>584</v>
      </c>
      <c r="H350" s="11">
        <v>2240909</v>
      </c>
      <c r="I350" s="18">
        <v>606973.80000000005</v>
      </c>
      <c r="J350" s="19">
        <v>223316.45</v>
      </c>
      <c r="K350" s="11">
        <v>1092763.6399999999</v>
      </c>
      <c r="L350" s="47">
        <v>79463.777500000026</v>
      </c>
      <c r="M350" s="48">
        <v>79463.777500000026</v>
      </c>
      <c r="N350" s="48">
        <v>79463.777500000026</v>
      </c>
      <c r="O350" s="48">
        <v>79463.777500000026</v>
      </c>
      <c r="P350" s="49"/>
      <c r="Q350" s="49"/>
      <c r="R350" s="16">
        <f t="shared" si="10"/>
        <v>317855.1100000001</v>
      </c>
      <c r="S350" s="50" t="s">
        <v>837</v>
      </c>
      <c r="T350" s="17">
        <f t="shared" si="11"/>
        <v>0</v>
      </c>
      <c r="U350" s="16"/>
      <c r="V350" s="16" t="s">
        <v>926</v>
      </c>
    </row>
    <row r="351" spans="1:22" ht="29" hidden="1" x14ac:dyDescent="0.35">
      <c r="A351" s="8" t="s">
        <v>13</v>
      </c>
      <c r="B351" s="61" t="s">
        <v>937</v>
      </c>
      <c r="C351" s="9" t="s">
        <v>581</v>
      </c>
      <c r="D351" s="10" t="s">
        <v>582</v>
      </c>
      <c r="E351" s="10" t="s">
        <v>28</v>
      </c>
      <c r="F351" s="10" t="s">
        <v>29</v>
      </c>
      <c r="G351" s="10" t="s">
        <v>585</v>
      </c>
      <c r="H351" s="11">
        <v>42585</v>
      </c>
      <c r="I351" s="12"/>
      <c r="J351" s="13"/>
      <c r="K351" s="14"/>
      <c r="L351" s="51"/>
      <c r="M351" s="52">
        <v>42585</v>
      </c>
      <c r="N351" s="49"/>
      <c r="O351" s="49"/>
      <c r="P351" s="49"/>
      <c r="Q351" s="49"/>
      <c r="R351" s="16">
        <f t="shared" si="10"/>
        <v>42585</v>
      </c>
      <c r="S351" s="50" t="s">
        <v>838</v>
      </c>
      <c r="T351" s="17">
        <f t="shared" si="11"/>
        <v>0</v>
      </c>
      <c r="U351" s="16"/>
      <c r="V351" s="16" t="s">
        <v>926</v>
      </c>
    </row>
    <row r="352" spans="1:22" hidden="1" x14ac:dyDescent="0.35">
      <c r="A352" s="8" t="s">
        <v>13</v>
      </c>
      <c r="B352" s="60" t="s">
        <v>930</v>
      </c>
      <c r="C352" s="9" t="s">
        <v>586</v>
      </c>
      <c r="D352" s="10" t="s">
        <v>587</v>
      </c>
      <c r="E352" s="10" t="s">
        <v>25</v>
      </c>
      <c r="F352" s="10" t="s">
        <v>26</v>
      </c>
      <c r="G352" s="10" t="s">
        <v>588</v>
      </c>
      <c r="H352" s="11">
        <v>30000</v>
      </c>
      <c r="I352" s="18">
        <v>525</v>
      </c>
      <c r="J352" s="13"/>
      <c r="K352" s="14"/>
      <c r="L352" s="15"/>
      <c r="M352" s="16"/>
      <c r="N352" s="16"/>
      <c r="O352" s="16"/>
      <c r="P352" s="16"/>
      <c r="Q352" s="16"/>
      <c r="R352" s="16">
        <f t="shared" si="10"/>
        <v>0</v>
      </c>
      <c r="S352" s="16"/>
      <c r="T352" s="17">
        <f t="shared" si="11"/>
        <v>29475</v>
      </c>
      <c r="U352" s="16"/>
      <c r="V352" s="16" t="s">
        <v>925</v>
      </c>
    </row>
    <row r="353" spans="1:22" hidden="1" x14ac:dyDescent="0.35">
      <c r="A353" s="8" t="s">
        <v>13</v>
      </c>
      <c r="B353" s="60" t="s">
        <v>930</v>
      </c>
      <c r="C353" s="9" t="s">
        <v>586</v>
      </c>
      <c r="D353" s="10" t="s">
        <v>587</v>
      </c>
      <c r="E353" s="10" t="s">
        <v>28</v>
      </c>
      <c r="F353" s="10" t="s">
        <v>29</v>
      </c>
      <c r="G353" s="10" t="s">
        <v>589</v>
      </c>
      <c r="H353" s="11">
        <v>200000</v>
      </c>
      <c r="I353" s="18">
        <v>17370</v>
      </c>
      <c r="J353" s="13"/>
      <c r="K353" s="14"/>
      <c r="L353" s="15"/>
      <c r="M353" s="16"/>
      <c r="N353" s="16"/>
      <c r="O353" s="16"/>
      <c r="P353" s="16"/>
      <c r="Q353" s="16"/>
      <c r="R353" s="16">
        <f t="shared" si="10"/>
        <v>0</v>
      </c>
      <c r="S353" s="16"/>
      <c r="T353" s="17">
        <f t="shared" si="11"/>
        <v>182630</v>
      </c>
      <c r="U353" s="16"/>
      <c r="V353" s="16" t="s">
        <v>925</v>
      </c>
    </row>
    <row r="354" spans="1:22" ht="21" hidden="1" x14ac:dyDescent="0.35">
      <c r="A354" s="8" t="s">
        <v>13</v>
      </c>
      <c r="B354" s="60" t="s">
        <v>930</v>
      </c>
      <c r="C354" s="9" t="s">
        <v>590</v>
      </c>
      <c r="D354" s="10" t="s">
        <v>591</v>
      </c>
      <c r="E354" s="10" t="s">
        <v>19</v>
      </c>
      <c r="F354" s="10" t="s">
        <v>20</v>
      </c>
      <c r="G354" s="10" t="s">
        <v>592</v>
      </c>
      <c r="H354" s="11">
        <v>1820</v>
      </c>
      <c r="I354" s="12"/>
      <c r="J354" s="13"/>
      <c r="K354" s="14"/>
      <c r="L354" s="15"/>
      <c r="M354" s="16"/>
      <c r="N354" s="16"/>
      <c r="O354" s="16"/>
      <c r="P354" s="16"/>
      <c r="Q354" s="16"/>
      <c r="R354" s="16">
        <f t="shared" si="10"/>
        <v>0</v>
      </c>
      <c r="S354" s="16"/>
      <c r="T354" s="17">
        <f t="shared" si="11"/>
        <v>1820</v>
      </c>
      <c r="U354" s="16"/>
      <c r="V354" s="16" t="s">
        <v>926</v>
      </c>
    </row>
    <row r="355" spans="1:22" ht="27.5" hidden="1" x14ac:dyDescent="0.35">
      <c r="A355" s="8" t="s">
        <v>13</v>
      </c>
      <c r="B355" s="60" t="s">
        <v>930</v>
      </c>
      <c r="C355" s="9" t="s">
        <v>590</v>
      </c>
      <c r="D355" s="10" t="s">
        <v>591</v>
      </c>
      <c r="E355" s="10" t="s">
        <v>593</v>
      </c>
      <c r="F355" s="10" t="s">
        <v>594</v>
      </c>
      <c r="G355" s="10" t="s">
        <v>595</v>
      </c>
      <c r="H355" s="11">
        <v>89952604</v>
      </c>
      <c r="I355" s="18">
        <v>42096019</v>
      </c>
      <c r="J355" s="13"/>
      <c r="K355" s="14"/>
      <c r="L355" s="15"/>
      <c r="M355" s="16"/>
      <c r="N355" s="16"/>
      <c r="O355" s="16"/>
      <c r="P355" s="16"/>
      <c r="Q355" s="32">
        <v>47856585</v>
      </c>
      <c r="R355" s="16">
        <f t="shared" si="10"/>
        <v>47856585</v>
      </c>
      <c r="S355" s="29" t="s">
        <v>789</v>
      </c>
      <c r="T355" s="17">
        <f t="shared" si="11"/>
        <v>0</v>
      </c>
      <c r="U355" s="16"/>
      <c r="V355" s="16" t="s">
        <v>926</v>
      </c>
    </row>
    <row r="356" spans="1:22" hidden="1" x14ac:dyDescent="0.35">
      <c r="A356" s="8" t="s">
        <v>13</v>
      </c>
      <c r="B356" s="60" t="s">
        <v>930</v>
      </c>
      <c r="C356" s="9" t="s">
        <v>590</v>
      </c>
      <c r="D356" s="10" t="s">
        <v>591</v>
      </c>
      <c r="E356" s="10" t="s">
        <v>141</v>
      </c>
      <c r="F356" s="10" t="s">
        <v>142</v>
      </c>
      <c r="G356" s="10" t="s">
        <v>596</v>
      </c>
      <c r="H356" s="14"/>
      <c r="I356" s="18">
        <v>-26280.05</v>
      </c>
      <c r="J356" s="13"/>
      <c r="K356" s="14"/>
      <c r="L356" s="15"/>
      <c r="M356" s="16"/>
      <c r="N356" s="16"/>
      <c r="O356" s="16"/>
      <c r="P356" s="16"/>
      <c r="Q356" s="16"/>
      <c r="R356" s="16">
        <f t="shared" si="10"/>
        <v>0</v>
      </c>
      <c r="S356" s="16"/>
      <c r="T356" s="17">
        <f t="shared" si="11"/>
        <v>26280.05</v>
      </c>
      <c r="U356" s="16"/>
      <c r="V356" s="16" t="s">
        <v>926</v>
      </c>
    </row>
    <row r="357" spans="1:22" hidden="1" x14ac:dyDescent="0.35">
      <c r="A357" s="8" t="s">
        <v>13</v>
      </c>
      <c r="B357" s="60" t="s">
        <v>930</v>
      </c>
      <c r="C357" s="9" t="s">
        <v>590</v>
      </c>
      <c r="D357" s="10" t="s">
        <v>591</v>
      </c>
      <c r="E357" s="10" t="s">
        <v>145</v>
      </c>
      <c r="F357" s="10" t="s">
        <v>146</v>
      </c>
      <c r="G357" s="10" t="s">
        <v>597</v>
      </c>
      <c r="H357" s="14"/>
      <c r="I357" s="18">
        <v>0</v>
      </c>
      <c r="J357" s="13"/>
      <c r="K357" s="14"/>
      <c r="L357" s="15"/>
      <c r="M357" s="16"/>
      <c r="N357" s="16"/>
      <c r="O357" s="16"/>
      <c r="P357" s="16"/>
      <c r="Q357" s="16"/>
      <c r="R357" s="16">
        <f t="shared" si="10"/>
        <v>0</v>
      </c>
      <c r="S357" s="16"/>
      <c r="T357" s="17">
        <f t="shared" si="11"/>
        <v>0</v>
      </c>
      <c r="U357" s="16"/>
      <c r="V357" s="16" t="s">
        <v>926</v>
      </c>
    </row>
    <row r="358" spans="1:22" hidden="1" x14ac:dyDescent="0.35">
      <c r="A358" s="8" t="s">
        <v>13</v>
      </c>
      <c r="B358" s="60" t="s">
        <v>930</v>
      </c>
      <c r="C358" s="9" t="s">
        <v>590</v>
      </c>
      <c r="D358" s="10" t="s">
        <v>591</v>
      </c>
      <c r="E358" s="10" t="s">
        <v>598</v>
      </c>
      <c r="F358" s="10" t="s">
        <v>599</v>
      </c>
      <c r="G358" s="10" t="s">
        <v>600</v>
      </c>
      <c r="H358" s="11">
        <v>5442873</v>
      </c>
      <c r="I358" s="18">
        <v>5342783.42</v>
      </c>
      <c r="J358" s="19">
        <v>0</v>
      </c>
      <c r="K358" s="11">
        <v>97844.389999999694</v>
      </c>
      <c r="L358" s="15"/>
      <c r="M358" s="16"/>
      <c r="N358" s="16"/>
      <c r="O358" s="16"/>
      <c r="P358" s="16"/>
      <c r="Q358" s="16"/>
      <c r="R358" s="16">
        <f t="shared" si="10"/>
        <v>0</v>
      </c>
      <c r="S358" s="16"/>
      <c r="T358" s="17">
        <f t="shared" si="11"/>
        <v>2245.1900000003807</v>
      </c>
      <c r="U358" s="16"/>
      <c r="V358" s="16" t="s">
        <v>926</v>
      </c>
    </row>
    <row r="359" spans="1:22" hidden="1" x14ac:dyDescent="0.35">
      <c r="A359" s="8" t="s">
        <v>13</v>
      </c>
      <c r="B359" s="60" t="s">
        <v>930</v>
      </c>
      <c r="C359" s="9" t="s">
        <v>590</v>
      </c>
      <c r="D359" s="10" t="s">
        <v>591</v>
      </c>
      <c r="E359" s="10" t="s">
        <v>201</v>
      </c>
      <c r="F359" s="10" t="s">
        <v>202</v>
      </c>
      <c r="G359" s="10" t="s">
        <v>601</v>
      </c>
      <c r="H359" s="11">
        <v>131300</v>
      </c>
      <c r="I359" s="12"/>
      <c r="J359" s="13"/>
      <c r="K359" s="14"/>
      <c r="L359" s="15"/>
      <c r="M359" s="16"/>
      <c r="N359" s="16"/>
      <c r="O359" s="16"/>
      <c r="P359" s="16"/>
      <c r="Q359" s="16"/>
      <c r="R359" s="16">
        <f t="shared" si="10"/>
        <v>0</v>
      </c>
      <c r="S359" s="16"/>
      <c r="T359" s="17">
        <f t="shared" si="11"/>
        <v>131300</v>
      </c>
      <c r="U359" s="16"/>
      <c r="V359" s="16" t="s">
        <v>926</v>
      </c>
    </row>
    <row r="360" spans="1:22" ht="65" hidden="1" x14ac:dyDescent="0.35">
      <c r="A360" s="8" t="s">
        <v>13</v>
      </c>
      <c r="B360" s="60" t="s">
        <v>930</v>
      </c>
      <c r="C360" s="9" t="s">
        <v>602</v>
      </c>
      <c r="D360" s="10" t="s">
        <v>603</v>
      </c>
      <c r="E360" s="10" t="s">
        <v>604</v>
      </c>
      <c r="F360" s="10" t="s">
        <v>605</v>
      </c>
      <c r="G360" s="10" t="s">
        <v>606</v>
      </c>
      <c r="H360" s="11">
        <v>1286117</v>
      </c>
      <c r="I360" s="18">
        <v>529925.96</v>
      </c>
      <c r="J360" s="19">
        <v>-94651.33</v>
      </c>
      <c r="K360" s="11">
        <v>-7.2759576141834308E-12</v>
      </c>
      <c r="L360" s="33">
        <v>60000</v>
      </c>
      <c r="M360" s="32">
        <v>72206</v>
      </c>
      <c r="N360" s="32">
        <v>200000</v>
      </c>
      <c r="O360" s="34">
        <v>318636</v>
      </c>
      <c r="P360" s="32">
        <v>100000</v>
      </c>
      <c r="Q360" s="32">
        <v>100000</v>
      </c>
      <c r="R360" s="16">
        <f t="shared" si="10"/>
        <v>850842</v>
      </c>
      <c r="S360" s="32" t="s">
        <v>790</v>
      </c>
      <c r="T360" s="17">
        <f t="shared" si="11"/>
        <v>0.36999999999534339</v>
      </c>
      <c r="U360" s="16"/>
      <c r="V360" s="16" t="s">
        <v>926</v>
      </c>
    </row>
    <row r="361" spans="1:22" ht="21" hidden="1" x14ac:dyDescent="0.35">
      <c r="A361" s="8" t="s">
        <v>13</v>
      </c>
      <c r="B361" s="60" t="s">
        <v>930</v>
      </c>
      <c r="C361" s="9" t="s">
        <v>602</v>
      </c>
      <c r="D361" s="10" t="s">
        <v>603</v>
      </c>
      <c r="E361" s="10" t="s">
        <v>47</v>
      </c>
      <c r="F361" s="10" t="s">
        <v>48</v>
      </c>
      <c r="G361" s="10" t="s">
        <v>607</v>
      </c>
      <c r="H361" s="11">
        <v>14480</v>
      </c>
      <c r="I361" s="12"/>
      <c r="J361" s="13"/>
      <c r="K361" s="14"/>
      <c r="L361" s="33"/>
      <c r="M361" s="32"/>
      <c r="N361" s="32"/>
      <c r="O361" s="32"/>
      <c r="P361" s="32">
        <v>14480</v>
      </c>
      <c r="Q361" s="32"/>
      <c r="R361" s="16">
        <f t="shared" si="10"/>
        <v>14480</v>
      </c>
      <c r="S361" s="32" t="s">
        <v>791</v>
      </c>
      <c r="T361" s="17">
        <f t="shared" si="11"/>
        <v>0</v>
      </c>
      <c r="U361" s="16"/>
      <c r="V361" s="16" t="s">
        <v>926</v>
      </c>
    </row>
    <row r="362" spans="1:22" ht="21" hidden="1" x14ac:dyDescent="0.35">
      <c r="A362" s="8" t="s">
        <v>13</v>
      </c>
      <c r="B362" s="60" t="s">
        <v>930</v>
      </c>
      <c r="C362" s="9" t="s">
        <v>608</v>
      </c>
      <c r="D362" s="10" t="s">
        <v>609</v>
      </c>
      <c r="E362" s="10" t="s">
        <v>19</v>
      </c>
      <c r="F362" s="10" t="s">
        <v>20</v>
      </c>
      <c r="G362" s="10" t="s">
        <v>610</v>
      </c>
      <c r="H362" s="11">
        <v>72587</v>
      </c>
      <c r="I362" s="18">
        <v>72508.75</v>
      </c>
      <c r="J362" s="19">
        <v>0</v>
      </c>
      <c r="K362" s="11">
        <v>0</v>
      </c>
      <c r="L362" s="33"/>
      <c r="M362" s="32"/>
      <c r="N362" s="32"/>
      <c r="O362" s="32">
        <v>78</v>
      </c>
      <c r="P362" s="32"/>
      <c r="Q362" s="32"/>
      <c r="R362" s="16">
        <f t="shared" si="10"/>
        <v>78</v>
      </c>
      <c r="S362" s="32" t="s">
        <v>792</v>
      </c>
      <c r="T362" s="17">
        <f t="shared" si="11"/>
        <v>0.25</v>
      </c>
      <c r="U362" s="16"/>
      <c r="V362" s="16" t="s">
        <v>926</v>
      </c>
    </row>
    <row r="363" spans="1:22" hidden="1" x14ac:dyDescent="0.35">
      <c r="A363" s="8" t="s">
        <v>13</v>
      </c>
      <c r="B363" s="60" t="s">
        <v>930</v>
      </c>
      <c r="C363" s="9" t="s">
        <v>608</v>
      </c>
      <c r="D363" s="10" t="s">
        <v>609</v>
      </c>
      <c r="E363" s="10" t="s">
        <v>233</v>
      </c>
      <c r="F363" s="10" t="s">
        <v>234</v>
      </c>
      <c r="G363" s="10" t="s">
        <v>611</v>
      </c>
      <c r="H363" s="11">
        <v>13091</v>
      </c>
      <c r="I363" s="18">
        <v>13090.9</v>
      </c>
      <c r="J363" s="19">
        <v>0</v>
      </c>
      <c r="K363" s="11">
        <v>1.8189894035458601E-12</v>
      </c>
      <c r="L363" s="33"/>
      <c r="M363" s="32"/>
      <c r="N363" s="32"/>
      <c r="O363" s="32"/>
      <c r="P363" s="32"/>
      <c r="Q363" s="32"/>
      <c r="R363" s="16">
        <f t="shared" si="10"/>
        <v>0</v>
      </c>
      <c r="S363" s="32"/>
      <c r="T363" s="17">
        <f t="shared" si="11"/>
        <v>9.9999999998544808E-2</v>
      </c>
      <c r="U363" s="16"/>
      <c r="V363" s="16" t="s">
        <v>926</v>
      </c>
    </row>
    <row r="364" spans="1:22" hidden="1" x14ac:dyDescent="0.35">
      <c r="A364" s="8" t="s">
        <v>13</v>
      </c>
      <c r="B364" s="60" t="s">
        <v>930</v>
      </c>
      <c r="C364" s="9" t="s">
        <v>608</v>
      </c>
      <c r="D364" s="10" t="s">
        <v>609</v>
      </c>
      <c r="E364" s="10" t="s">
        <v>263</v>
      </c>
      <c r="F364" s="10" t="s">
        <v>264</v>
      </c>
      <c r="G364" s="10" t="s">
        <v>612</v>
      </c>
      <c r="H364" s="11">
        <v>0</v>
      </c>
      <c r="I364" s="12"/>
      <c r="J364" s="13"/>
      <c r="K364" s="14"/>
      <c r="L364" s="33"/>
      <c r="M364" s="32"/>
      <c r="N364" s="32"/>
      <c r="O364" s="32"/>
      <c r="P364" s="32"/>
      <c r="Q364" s="32"/>
      <c r="R364" s="16">
        <f t="shared" si="10"/>
        <v>0</v>
      </c>
      <c r="S364" s="32"/>
      <c r="T364" s="17">
        <f t="shared" si="11"/>
        <v>0</v>
      </c>
      <c r="U364" s="16"/>
      <c r="V364" s="16" t="s">
        <v>926</v>
      </c>
    </row>
    <row r="365" spans="1:22" ht="26" hidden="1" x14ac:dyDescent="0.35">
      <c r="A365" s="8" t="s">
        <v>13</v>
      </c>
      <c r="B365" s="60" t="s">
        <v>930</v>
      </c>
      <c r="C365" s="9" t="s">
        <v>608</v>
      </c>
      <c r="D365" s="10" t="s">
        <v>609</v>
      </c>
      <c r="E365" s="10" t="s">
        <v>263</v>
      </c>
      <c r="F365" s="10" t="s">
        <v>264</v>
      </c>
      <c r="G365" s="10" t="s">
        <v>613</v>
      </c>
      <c r="H365" s="11">
        <v>343722</v>
      </c>
      <c r="I365" s="18">
        <v>43722</v>
      </c>
      <c r="J365" s="13"/>
      <c r="K365" s="14"/>
      <c r="L365" s="35">
        <v>50000</v>
      </c>
      <c r="M365" s="35">
        <v>50000</v>
      </c>
      <c r="N365" s="35">
        <v>50000</v>
      </c>
      <c r="O365" s="35">
        <v>50000</v>
      </c>
      <c r="P365" s="35">
        <v>50000</v>
      </c>
      <c r="Q365" s="35">
        <v>50000</v>
      </c>
      <c r="R365" s="16">
        <f t="shared" si="10"/>
        <v>300000</v>
      </c>
      <c r="S365" s="32" t="s">
        <v>793</v>
      </c>
      <c r="T365" s="17">
        <f t="shared" si="11"/>
        <v>0</v>
      </c>
      <c r="U365" s="16"/>
      <c r="V365" s="16" t="s">
        <v>926</v>
      </c>
    </row>
    <row r="366" spans="1:22" ht="26" hidden="1" x14ac:dyDescent="0.35">
      <c r="A366" s="8" t="s">
        <v>13</v>
      </c>
      <c r="B366" s="60" t="s">
        <v>930</v>
      </c>
      <c r="C366" s="9" t="s">
        <v>608</v>
      </c>
      <c r="D366" s="10" t="s">
        <v>609</v>
      </c>
      <c r="E366" s="10" t="s">
        <v>145</v>
      </c>
      <c r="F366" s="10" t="s">
        <v>146</v>
      </c>
      <c r="G366" s="10" t="s">
        <v>614</v>
      </c>
      <c r="H366" s="11">
        <v>700000</v>
      </c>
      <c r="I366" s="12"/>
      <c r="J366" s="13"/>
      <c r="K366" s="14"/>
      <c r="L366" s="35">
        <v>50000</v>
      </c>
      <c r="M366" s="36">
        <v>50000</v>
      </c>
      <c r="N366" s="36">
        <v>150000</v>
      </c>
      <c r="O366" s="36">
        <v>150000</v>
      </c>
      <c r="P366" s="36">
        <v>150000</v>
      </c>
      <c r="Q366" s="36">
        <v>150000</v>
      </c>
      <c r="R366" s="16">
        <f t="shared" si="10"/>
        <v>700000</v>
      </c>
      <c r="S366" s="32" t="s">
        <v>793</v>
      </c>
      <c r="T366" s="17">
        <f t="shared" si="11"/>
        <v>0</v>
      </c>
      <c r="U366" s="16"/>
      <c r="V366" s="16" t="s">
        <v>926</v>
      </c>
    </row>
    <row r="367" spans="1:22" ht="26" hidden="1" x14ac:dyDescent="0.35">
      <c r="A367" s="8" t="s">
        <v>13</v>
      </c>
      <c r="B367" s="60" t="s">
        <v>930</v>
      </c>
      <c r="C367" s="9" t="s">
        <v>608</v>
      </c>
      <c r="D367" s="10" t="s">
        <v>609</v>
      </c>
      <c r="E367" s="10" t="s">
        <v>145</v>
      </c>
      <c r="F367" s="10" t="s">
        <v>146</v>
      </c>
      <c r="G367" s="10" t="s">
        <v>615</v>
      </c>
      <c r="H367" s="11">
        <v>557351</v>
      </c>
      <c r="I367" s="18">
        <v>81019</v>
      </c>
      <c r="J367" s="13"/>
      <c r="K367" s="14"/>
      <c r="L367" s="35">
        <v>50000</v>
      </c>
      <c r="M367" s="35">
        <v>50000</v>
      </c>
      <c r="N367" s="36">
        <v>100000</v>
      </c>
      <c r="O367" s="36">
        <v>100000</v>
      </c>
      <c r="P367" s="36">
        <v>100000</v>
      </c>
      <c r="Q367" s="36">
        <v>76332</v>
      </c>
      <c r="R367" s="16">
        <f t="shared" si="10"/>
        <v>476332</v>
      </c>
      <c r="S367" s="37" t="s">
        <v>793</v>
      </c>
      <c r="T367" s="17">
        <f t="shared" si="11"/>
        <v>0</v>
      </c>
      <c r="U367" s="16"/>
      <c r="V367" s="16" t="s">
        <v>926</v>
      </c>
    </row>
    <row r="368" spans="1:22" hidden="1" x14ac:dyDescent="0.35">
      <c r="A368" s="8" t="s">
        <v>13</v>
      </c>
      <c r="B368" s="60" t="s">
        <v>930</v>
      </c>
      <c r="C368" s="9" t="s">
        <v>608</v>
      </c>
      <c r="D368" s="10" t="s">
        <v>609</v>
      </c>
      <c r="E368" s="10" t="s">
        <v>25</v>
      </c>
      <c r="F368" s="10" t="s">
        <v>26</v>
      </c>
      <c r="G368" s="10" t="s">
        <v>616</v>
      </c>
      <c r="H368" s="11">
        <v>30118</v>
      </c>
      <c r="I368" s="18">
        <v>17224.2</v>
      </c>
      <c r="J368" s="13"/>
      <c r="K368" s="14"/>
      <c r="L368" s="33"/>
      <c r="M368" s="32"/>
      <c r="N368" s="36">
        <v>5000</v>
      </c>
      <c r="O368" s="36">
        <v>5000</v>
      </c>
      <c r="P368" s="36">
        <v>2894</v>
      </c>
      <c r="Q368" s="32"/>
      <c r="R368" s="16">
        <f t="shared" si="10"/>
        <v>12894</v>
      </c>
      <c r="S368" s="37" t="s">
        <v>794</v>
      </c>
      <c r="T368" s="17">
        <f t="shared" si="11"/>
        <v>-0.2000000000007276</v>
      </c>
      <c r="U368" s="16"/>
      <c r="V368" s="16" t="s">
        <v>926</v>
      </c>
    </row>
    <row r="369" spans="1:22" ht="21" hidden="1" x14ac:dyDescent="0.35">
      <c r="A369" s="8" t="s">
        <v>13</v>
      </c>
      <c r="B369" s="60" t="s">
        <v>930</v>
      </c>
      <c r="C369" s="9" t="s">
        <v>608</v>
      </c>
      <c r="D369" s="10" t="s">
        <v>609</v>
      </c>
      <c r="E369" s="10" t="s">
        <v>47</v>
      </c>
      <c r="F369" s="10" t="s">
        <v>48</v>
      </c>
      <c r="G369" s="10" t="s">
        <v>617</v>
      </c>
      <c r="H369" s="11">
        <v>649211</v>
      </c>
      <c r="I369" s="18">
        <v>362782.21</v>
      </c>
      <c r="J369" s="19">
        <v>-162574.32999999999</v>
      </c>
      <c r="K369" s="11">
        <v>446221.76</v>
      </c>
      <c r="L369" s="33"/>
      <c r="M369" s="32"/>
      <c r="N369" s="32"/>
      <c r="O369" s="32"/>
      <c r="P369" s="32"/>
      <c r="Q369" s="36">
        <v>2781</v>
      </c>
      <c r="R369" s="16">
        <f t="shared" si="10"/>
        <v>2781</v>
      </c>
      <c r="S369" s="37" t="s">
        <v>795</v>
      </c>
      <c r="T369" s="17">
        <f t="shared" si="11"/>
        <v>0.35999999998603016</v>
      </c>
      <c r="U369" s="16"/>
      <c r="V369" s="16" t="s">
        <v>926</v>
      </c>
    </row>
    <row r="370" spans="1:22" ht="21" hidden="1" x14ac:dyDescent="0.35">
      <c r="A370" s="8" t="s">
        <v>13</v>
      </c>
      <c r="B370" s="60" t="s">
        <v>930</v>
      </c>
      <c r="C370" s="9" t="s">
        <v>608</v>
      </c>
      <c r="D370" s="10" t="s">
        <v>609</v>
      </c>
      <c r="E370" s="10" t="s">
        <v>55</v>
      </c>
      <c r="F370" s="10" t="s">
        <v>56</v>
      </c>
      <c r="G370" s="10" t="s">
        <v>618</v>
      </c>
      <c r="H370" s="11">
        <v>11019</v>
      </c>
      <c r="I370" s="12"/>
      <c r="J370" s="13"/>
      <c r="K370" s="14"/>
      <c r="L370" s="33"/>
      <c r="M370" s="32"/>
      <c r="N370" s="32"/>
      <c r="O370" s="32"/>
      <c r="P370" s="36">
        <v>11019</v>
      </c>
      <c r="Q370" s="32"/>
      <c r="R370" s="16">
        <f t="shared" si="10"/>
        <v>11019</v>
      </c>
      <c r="S370" s="37" t="s">
        <v>796</v>
      </c>
      <c r="T370" s="17">
        <f t="shared" si="11"/>
        <v>0</v>
      </c>
      <c r="U370" s="16"/>
      <c r="V370" s="16" t="s">
        <v>926</v>
      </c>
    </row>
    <row r="371" spans="1:22" hidden="1" x14ac:dyDescent="0.35">
      <c r="A371" s="8" t="s">
        <v>13</v>
      </c>
      <c r="B371" s="60" t="s">
        <v>930</v>
      </c>
      <c r="C371" s="9" t="s">
        <v>608</v>
      </c>
      <c r="D371" s="10" t="s">
        <v>609</v>
      </c>
      <c r="E371" s="10" t="s">
        <v>28</v>
      </c>
      <c r="F371" s="10" t="s">
        <v>29</v>
      </c>
      <c r="G371" s="10" t="s">
        <v>619</v>
      </c>
      <c r="H371" s="11">
        <v>30092</v>
      </c>
      <c r="I371" s="18">
        <v>22524.2</v>
      </c>
      <c r="J371" s="13"/>
      <c r="K371" s="14"/>
      <c r="L371" s="33"/>
      <c r="M371" s="32"/>
      <c r="N371" s="32"/>
      <c r="O371" s="36">
        <v>7568</v>
      </c>
      <c r="P371" s="32"/>
      <c r="Q371" s="32"/>
      <c r="R371" s="16">
        <f t="shared" si="10"/>
        <v>7568</v>
      </c>
      <c r="S371" s="32" t="s">
        <v>797</v>
      </c>
      <c r="T371" s="17">
        <f t="shared" si="11"/>
        <v>-0.2000000000007276</v>
      </c>
      <c r="U371" s="16"/>
      <c r="V371" s="16" t="s">
        <v>926</v>
      </c>
    </row>
    <row r="372" spans="1:22" ht="39" hidden="1" x14ac:dyDescent="0.35">
      <c r="A372" s="8" t="s">
        <v>13</v>
      </c>
      <c r="B372" s="60" t="s">
        <v>930</v>
      </c>
      <c r="C372" s="9" t="s">
        <v>620</v>
      </c>
      <c r="D372" s="10" t="s">
        <v>621</v>
      </c>
      <c r="E372" s="10" t="s">
        <v>19</v>
      </c>
      <c r="F372" s="10" t="s">
        <v>20</v>
      </c>
      <c r="G372" s="10" t="s">
        <v>622</v>
      </c>
      <c r="H372" s="11">
        <v>300000</v>
      </c>
      <c r="I372" s="12"/>
      <c r="J372" s="19">
        <v>250000</v>
      </c>
      <c r="K372" s="14"/>
      <c r="L372" s="38"/>
      <c r="M372" s="29"/>
      <c r="N372" s="39">
        <v>7350</v>
      </c>
      <c r="O372" s="29">
        <v>2500</v>
      </c>
      <c r="P372" s="39"/>
      <c r="Q372" s="39">
        <v>40000</v>
      </c>
      <c r="R372" s="16">
        <f t="shared" si="10"/>
        <v>49850</v>
      </c>
      <c r="S372" s="29" t="s">
        <v>798</v>
      </c>
      <c r="T372" s="17">
        <f t="shared" si="11"/>
        <v>150</v>
      </c>
      <c r="U372" s="43" t="s">
        <v>806</v>
      </c>
      <c r="V372" s="16" t="s">
        <v>926</v>
      </c>
    </row>
    <row r="373" spans="1:22" ht="26" hidden="1" x14ac:dyDescent="0.35">
      <c r="A373" s="8" t="s">
        <v>13</v>
      </c>
      <c r="B373" s="60" t="s">
        <v>930</v>
      </c>
      <c r="C373" s="9" t="s">
        <v>620</v>
      </c>
      <c r="D373" s="10" t="s">
        <v>621</v>
      </c>
      <c r="E373" s="10" t="s">
        <v>19</v>
      </c>
      <c r="F373" s="10" t="s">
        <v>20</v>
      </c>
      <c r="G373" s="10" t="s">
        <v>623</v>
      </c>
      <c r="H373" s="11">
        <v>350000</v>
      </c>
      <c r="I373" s="12"/>
      <c r="J373" s="19">
        <v>295000</v>
      </c>
      <c r="K373" s="14"/>
      <c r="L373" s="38"/>
      <c r="M373" s="29"/>
      <c r="N373" s="39">
        <v>17000</v>
      </c>
      <c r="O373" s="39">
        <v>38000</v>
      </c>
      <c r="P373" s="29"/>
      <c r="Q373" s="29"/>
      <c r="R373" s="16">
        <f t="shared" si="10"/>
        <v>55000</v>
      </c>
      <c r="S373" s="29" t="s">
        <v>799</v>
      </c>
      <c r="T373" s="17">
        <f t="shared" si="11"/>
        <v>0</v>
      </c>
      <c r="U373" s="29"/>
      <c r="V373" s="16" t="s">
        <v>926</v>
      </c>
    </row>
    <row r="374" spans="1:22" ht="39" hidden="1" x14ac:dyDescent="0.35">
      <c r="A374" s="8" t="s">
        <v>13</v>
      </c>
      <c r="B374" s="60" t="s">
        <v>930</v>
      </c>
      <c r="C374" s="9" t="s">
        <v>620</v>
      </c>
      <c r="D374" s="10" t="s">
        <v>621</v>
      </c>
      <c r="E374" s="10" t="s">
        <v>19</v>
      </c>
      <c r="F374" s="10" t="s">
        <v>20</v>
      </c>
      <c r="G374" s="10" t="s">
        <v>624</v>
      </c>
      <c r="H374" s="11">
        <v>1239541</v>
      </c>
      <c r="I374" s="18">
        <v>110819.25</v>
      </c>
      <c r="J374" s="19">
        <v>890000</v>
      </c>
      <c r="K374" s="11">
        <v>0</v>
      </c>
      <c r="L374" s="38">
        <v>3450</v>
      </c>
      <c r="M374" s="39">
        <v>94402</v>
      </c>
      <c r="N374" s="29"/>
      <c r="O374" s="39">
        <v>33870</v>
      </c>
      <c r="P374" s="39">
        <v>90000</v>
      </c>
      <c r="Q374" s="40">
        <v>17000</v>
      </c>
      <c r="R374" s="16">
        <f t="shared" si="10"/>
        <v>238722</v>
      </c>
      <c r="S374" s="29" t="s">
        <v>800</v>
      </c>
      <c r="T374" s="17">
        <f t="shared" si="11"/>
        <v>-0.25</v>
      </c>
      <c r="U374" s="29"/>
      <c r="V374" s="16" t="s">
        <v>926</v>
      </c>
    </row>
    <row r="375" spans="1:22" hidden="1" x14ac:dyDescent="0.35">
      <c r="A375" s="8" t="s">
        <v>13</v>
      </c>
      <c r="B375" s="60" t="s">
        <v>930</v>
      </c>
      <c r="C375" s="9" t="s">
        <v>620</v>
      </c>
      <c r="D375" s="10" t="s">
        <v>621</v>
      </c>
      <c r="E375" s="10" t="s">
        <v>263</v>
      </c>
      <c r="F375" s="10" t="s">
        <v>264</v>
      </c>
      <c r="G375" s="10" t="s">
        <v>625</v>
      </c>
      <c r="H375" s="11">
        <v>4335</v>
      </c>
      <c r="I375" s="18">
        <v>4335</v>
      </c>
      <c r="J375" s="13"/>
      <c r="K375" s="14"/>
      <c r="L375" s="38"/>
      <c r="M375" s="29"/>
      <c r="N375" s="29"/>
      <c r="O375" s="29"/>
      <c r="P375" s="41"/>
      <c r="Q375" s="42"/>
      <c r="R375" s="16">
        <f t="shared" si="10"/>
        <v>0</v>
      </c>
      <c r="S375" s="29"/>
      <c r="T375" s="17">
        <f t="shared" si="11"/>
        <v>0</v>
      </c>
      <c r="U375" s="29"/>
      <c r="V375" s="16" t="s">
        <v>926</v>
      </c>
    </row>
    <row r="376" spans="1:22" ht="26" hidden="1" x14ac:dyDescent="0.35">
      <c r="A376" s="8" t="s">
        <v>13</v>
      </c>
      <c r="B376" s="60" t="s">
        <v>930</v>
      </c>
      <c r="C376" s="9" t="s">
        <v>620</v>
      </c>
      <c r="D376" s="10" t="s">
        <v>621</v>
      </c>
      <c r="E376" s="10" t="s">
        <v>145</v>
      </c>
      <c r="F376" s="10" t="s">
        <v>146</v>
      </c>
      <c r="G376" s="10" t="s">
        <v>626</v>
      </c>
      <c r="H376" s="11">
        <v>750000</v>
      </c>
      <c r="I376" s="12"/>
      <c r="J376" s="13"/>
      <c r="K376" s="14"/>
      <c r="L376" s="38"/>
      <c r="M376" s="29"/>
      <c r="N376" s="29"/>
      <c r="O376" s="29"/>
      <c r="P376" s="29"/>
      <c r="Q376" s="39">
        <v>750000</v>
      </c>
      <c r="R376" s="16">
        <f t="shared" si="10"/>
        <v>750000</v>
      </c>
      <c r="S376" s="29" t="s">
        <v>801</v>
      </c>
      <c r="T376" s="17">
        <f t="shared" si="11"/>
        <v>0</v>
      </c>
      <c r="U376" s="29"/>
      <c r="V376" s="16" t="s">
        <v>926</v>
      </c>
    </row>
    <row r="377" spans="1:22" ht="26" hidden="1" x14ac:dyDescent="0.35">
      <c r="A377" s="8" t="s">
        <v>13</v>
      </c>
      <c r="B377" s="60" t="s">
        <v>930</v>
      </c>
      <c r="C377" s="9" t="s">
        <v>620</v>
      </c>
      <c r="D377" s="10" t="s">
        <v>621</v>
      </c>
      <c r="E377" s="10" t="s">
        <v>145</v>
      </c>
      <c r="F377" s="10" t="s">
        <v>146</v>
      </c>
      <c r="G377" s="10" t="s">
        <v>627</v>
      </c>
      <c r="H377" s="11">
        <v>958003</v>
      </c>
      <c r="I377" s="18">
        <v>743550</v>
      </c>
      <c r="J377" s="13"/>
      <c r="K377" s="14"/>
      <c r="L377" s="38"/>
      <c r="M377" s="29"/>
      <c r="N377" s="29"/>
      <c r="O377" s="29"/>
      <c r="P377" s="39">
        <v>214453</v>
      </c>
      <c r="Q377" s="29"/>
      <c r="R377" s="16">
        <f t="shared" si="10"/>
        <v>214453</v>
      </c>
      <c r="S377" s="29" t="s">
        <v>802</v>
      </c>
      <c r="T377" s="17">
        <f t="shared" si="11"/>
        <v>0</v>
      </c>
      <c r="U377" s="29"/>
      <c r="V377" s="16" t="s">
        <v>926</v>
      </c>
    </row>
    <row r="378" spans="1:22" hidden="1" x14ac:dyDescent="0.35">
      <c r="A378" s="8" t="s">
        <v>13</v>
      </c>
      <c r="B378" s="60" t="s">
        <v>930</v>
      </c>
      <c r="C378" s="9" t="s">
        <v>620</v>
      </c>
      <c r="D378" s="10" t="s">
        <v>621</v>
      </c>
      <c r="E378" s="10" t="s">
        <v>25</v>
      </c>
      <c r="F378" s="10" t="s">
        <v>26</v>
      </c>
      <c r="G378" s="10" t="s">
        <v>628</v>
      </c>
      <c r="H378" s="11">
        <v>1050</v>
      </c>
      <c r="I378" s="18">
        <v>1050</v>
      </c>
      <c r="J378" s="13"/>
      <c r="K378" s="14"/>
      <c r="L378" s="38"/>
      <c r="M378" s="29"/>
      <c r="N378" s="29"/>
      <c r="O378" s="29"/>
      <c r="P378" s="29"/>
      <c r="Q378" s="29"/>
      <c r="R378" s="16">
        <f t="shared" si="10"/>
        <v>0</v>
      </c>
      <c r="S378" s="29"/>
      <c r="T378" s="17">
        <f t="shared" si="11"/>
        <v>0</v>
      </c>
      <c r="U378" s="44"/>
      <c r="V378" s="16" t="s">
        <v>926</v>
      </c>
    </row>
    <row r="379" spans="1:22" ht="21" hidden="1" x14ac:dyDescent="0.35">
      <c r="A379" s="8" t="s">
        <v>13</v>
      </c>
      <c r="B379" s="60" t="s">
        <v>930</v>
      </c>
      <c r="C379" s="9" t="s">
        <v>620</v>
      </c>
      <c r="D379" s="10" t="s">
        <v>621</v>
      </c>
      <c r="E379" s="10" t="s">
        <v>47</v>
      </c>
      <c r="F379" s="10" t="s">
        <v>48</v>
      </c>
      <c r="G379" s="10" t="s">
        <v>629</v>
      </c>
      <c r="H379" s="11">
        <v>300000</v>
      </c>
      <c r="I379" s="12"/>
      <c r="J379" s="19">
        <v>300000</v>
      </c>
      <c r="K379" s="14"/>
      <c r="L379" s="38"/>
      <c r="M379" s="29"/>
      <c r="N379" s="29"/>
      <c r="O379" s="29"/>
      <c r="P379" s="29"/>
      <c r="Q379" s="29"/>
      <c r="R379" s="16">
        <f t="shared" si="10"/>
        <v>0</v>
      </c>
      <c r="S379" s="29" t="s">
        <v>803</v>
      </c>
      <c r="T379" s="17">
        <f t="shared" si="11"/>
        <v>0</v>
      </c>
      <c r="U379" s="43"/>
      <c r="V379" s="16" t="s">
        <v>926</v>
      </c>
    </row>
    <row r="380" spans="1:22" ht="65" hidden="1" x14ac:dyDescent="0.35">
      <c r="A380" s="8" t="s">
        <v>13</v>
      </c>
      <c r="B380" s="60" t="s">
        <v>930</v>
      </c>
      <c r="C380" s="9" t="s">
        <v>620</v>
      </c>
      <c r="D380" s="10" t="s">
        <v>621</v>
      </c>
      <c r="E380" s="10" t="s">
        <v>47</v>
      </c>
      <c r="F380" s="10" t="s">
        <v>48</v>
      </c>
      <c r="G380" s="10" t="s">
        <v>630</v>
      </c>
      <c r="H380" s="11">
        <v>340605</v>
      </c>
      <c r="I380" s="12"/>
      <c r="J380" s="19">
        <v>125000</v>
      </c>
      <c r="K380" s="14"/>
      <c r="L380" s="38"/>
      <c r="M380" s="29"/>
      <c r="N380" s="29"/>
      <c r="O380" s="29"/>
      <c r="P380" s="29"/>
      <c r="Q380" s="39">
        <v>215390</v>
      </c>
      <c r="R380" s="16">
        <f t="shared" si="10"/>
        <v>215390</v>
      </c>
      <c r="S380" s="29" t="s">
        <v>804</v>
      </c>
      <c r="T380" s="17">
        <f t="shared" si="11"/>
        <v>215</v>
      </c>
      <c r="U380" s="43" t="s">
        <v>807</v>
      </c>
      <c r="V380" s="16" t="s">
        <v>926</v>
      </c>
    </row>
    <row r="381" spans="1:22" hidden="1" x14ac:dyDescent="0.35">
      <c r="A381" s="8" t="s">
        <v>13</v>
      </c>
      <c r="B381" s="60" t="s">
        <v>930</v>
      </c>
      <c r="C381" s="9" t="s">
        <v>620</v>
      </c>
      <c r="D381" s="10" t="s">
        <v>621</v>
      </c>
      <c r="E381" s="10" t="s">
        <v>28</v>
      </c>
      <c r="F381" s="10" t="s">
        <v>29</v>
      </c>
      <c r="G381" s="10" t="s">
        <v>631</v>
      </c>
      <c r="H381" s="11">
        <v>88000</v>
      </c>
      <c r="I381" s="18">
        <v>28008.85</v>
      </c>
      <c r="J381" s="13"/>
      <c r="K381" s="14"/>
      <c r="L381" s="38"/>
      <c r="M381" s="29"/>
      <c r="N381" s="29"/>
      <c r="O381" s="29"/>
      <c r="P381" s="29"/>
      <c r="Q381" s="39">
        <v>59991</v>
      </c>
      <c r="R381" s="16">
        <f t="shared" si="10"/>
        <v>59991</v>
      </c>
      <c r="S381" s="29" t="s">
        <v>805</v>
      </c>
      <c r="T381" s="17">
        <f t="shared" si="11"/>
        <v>0.15000000000145519</v>
      </c>
      <c r="U381" s="45"/>
      <c r="V381" s="16" t="s">
        <v>926</v>
      </c>
    </row>
    <row r="382" spans="1:22" ht="26" hidden="1" x14ac:dyDescent="0.35">
      <c r="A382" s="8" t="s">
        <v>13</v>
      </c>
      <c r="B382" s="60" t="s">
        <v>930</v>
      </c>
      <c r="C382" s="9" t="s">
        <v>620</v>
      </c>
      <c r="D382" s="10" t="s">
        <v>621</v>
      </c>
      <c r="E382" s="10" t="s">
        <v>201</v>
      </c>
      <c r="F382" s="10" t="s">
        <v>202</v>
      </c>
      <c r="G382" s="10" t="s">
        <v>632</v>
      </c>
      <c r="H382" s="11">
        <v>11890</v>
      </c>
      <c r="I382" s="18">
        <v>11775</v>
      </c>
      <c r="J382" s="19">
        <v>0</v>
      </c>
      <c r="K382" s="11">
        <v>0</v>
      </c>
      <c r="L382" s="38"/>
      <c r="M382" s="29"/>
      <c r="N382" s="29"/>
      <c r="O382" s="29"/>
      <c r="P382" s="29"/>
      <c r="Q382" s="29"/>
      <c r="R382" s="16">
        <f t="shared" si="10"/>
        <v>0</v>
      </c>
      <c r="S382" s="29"/>
      <c r="T382" s="17">
        <f t="shared" si="11"/>
        <v>115</v>
      </c>
      <c r="U382" s="29" t="s">
        <v>808</v>
      </c>
      <c r="V382" s="16" t="s">
        <v>926</v>
      </c>
    </row>
    <row r="383" spans="1:22" hidden="1" x14ac:dyDescent="0.35">
      <c r="A383" s="8" t="s">
        <v>13</v>
      </c>
      <c r="B383" s="60" t="s">
        <v>930</v>
      </c>
      <c r="C383" s="9" t="s">
        <v>633</v>
      </c>
      <c r="D383" s="10" t="s">
        <v>634</v>
      </c>
      <c r="E383" s="10" t="s">
        <v>434</v>
      </c>
      <c r="F383" s="10" t="s">
        <v>435</v>
      </c>
      <c r="G383" s="10" t="s">
        <v>635</v>
      </c>
      <c r="H383" s="14"/>
      <c r="I383" s="18">
        <v>0</v>
      </c>
      <c r="J383" s="13"/>
      <c r="K383" s="14"/>
      <c r="L383" s="33"/>
      <c r="M383" s="32"/>
      <c r="N383" s="32"/>
      <c r="O383" s="32"/>
      <c r="P383" s="32"/>
      <c r="Q383" s="32"/>
      <c r="R383" s="16">
        <f t="shared" si="10"/>
        <v>0</v>
      </c>
      <c r="S383" s="32"/>
      <c r="T383" s="17">
        <f t="shared" si="11"/>
        <v>0</v>
      </c>
      <c r="U383" s="32"/>
      <c r="V383" s="16" t="s">
        <v>926</v>
      </c>
    </row>
    <row r="384" spans="1:22" ht="39" hidden="1" x14ac:dyDescent="0.35">
      <c r="A384" s="8" t="s">
        <v>13</v>
      </c>
      <c r="B384" s="60" t="s">
        <v>930</v>
      </c>
      <c r="C384" s="9" t="s">
        <v>633</v>
      </c>
      <c r="D384" s="10" t="s">
        <v>634</v>
      </c>
      <c r="E384" s="10" t="s">
        <v>19</v>
      </c>
      <c r="F384" s="10" t="s">
        <v>20</v>
      </c>
      <c r="G384" s="10" t="s">
        <v>636</v>
      </c>
      <c r="H384" s="11">
        <v>83642</v>
      </c>
      <c r="I384" s="18">
        <v>787.5</v>
      </c>
      <c r="J384" s="19">
        <v>0</v>
      </c>
      <c r="K384" s="11">
        <v>24500</v>
      </c>
      <c r="L384" s="33">
        <v>0</v>
      </c>
      <c r="M384" s="32">
        <v>0</v>
      </c>
      <c r="N384" s="32">
        <v>2650</v>
      </c>
      <c r="O384" s="32">
        <v>2650</v>
      </c>
      <c r="P384" s="32">
        <v>53054.5</v>
      </c>
      <c r="Q384" s="32">
        <v>0</v>
      </c>
      <c r="R384" s="16">
        <f t="shared" si="10"/>
        <v>58354.5</v>
      </c>
      <c r="S384" s="32" t="s">
        <v>809</v>
      </c>
      <c r="T384" s="17">
        <f t="shared" si="11"/>
        <v>0</v>
      </c>
      <c r="U384" s="32" t="s">
        <v>818</v>
      </c>
      <c r="V384" s="16" t="s">
        <v>926</v>
      </c>
    </row>
    <row r="385" spans="1:22" ht="104" hidden="1" x14ac:dyDescent="0.35">
      <c r="A385" s="8" t="s">
        <v>13</v>
      </c>
      <c r="B385" s="60" t="s">
        <v>930</v>
      </c>
      <c r="C385" s="9" t="s">
        <v>633</v>
      </c>
      <c r="D385" s="10" t="s">
        <v>634</v>
      </c>
      <c r="E385" s="10" t="s">
        <v>637</v>
      </c>
      <c r="F385" s="10" t="s">
        <v>638</v>
      </c>
      <c r="G385" s="10" t="s">
        <v>639</v>
      </c>
      <c r="H385" s="11">
        <v>15416828</v>
      </c>
      <c r="I385" s="18">
        <v>2847842.53</v>
      </c>
      <c r="J385" s="19">
        <v>0</v>
      </c>
      <c r="K385" s="11">
        <v>10358436.800000001</v>
      </c>
      <c r="L385" s="46">
        <v>900000</v>
      </c>
      <c r="M385" s="37">
        <v>900000</v>
      </c>
      <c r="N385" s="37">
        <v>1297060</v>
      </c>
      <c r="O385" s="37">
        <v>1365986</v>
      </c>
      <c r="P385" s="37">
        <v>1365986</v>
      </c>
      <c r="Q385" s="37">
        <v>1365986</v>
      </c>
      <c r="R385" s="16">
        <f t="shared" si="10"/>
        <v>7195018</v>
      </c>
      <c r="S385" s="37" t="s">
        <v>810</v>
      </c>
      <c r="T385" s="17">
        <f t="shared" si="11"/>
        <v>-4984469.33</v>
      </c>
      <c r="U385" s="32" t="s">
        <v>819</v>
      </c>
      <c r="V385" s="16" t="s">
        <v>926</v>
      </c>
    </row>
    <row r="386" spans="1:22" ht="117" hidden="1" x14ac:dyDescent="0.35">
      <c r="A386" s="8" t="s">
        <v>13</v>
      </c>
      <c r="B386" s="60" t="s">
        <v>930</v>
      </c>
      <c r="C386" s="9" t="s">
        <v>633</v>
      </c>
      <c r="D386" s="10" t="s">
        <v>634</v>
      </c>
      <c r="E386" s="10" t="s">
        <v>104</v>
      </c>
      <c r="F386" s="10" t="s">
        <v>105</v>
      </c>
      <c r="G386" s="10" t="s">
        <v>640</v>
      </c>
      <c r="H386" s="11">
        <v>540994</v>
      </c>
      <c r="I386" s="18">
        <v>36237.160000000003</v>
      </c>
      <c r="J386" s="19">
        <v>0</v>
      </c>
      <c r="K386" s="11">
        <v>93362.4</v>
      </c>
      <c r="L386" s="33">
        <v>21000</v>
      </c>
      <c r="M386" s="32">
        <v>300000</v>
      </c>
      <c r="N386" s="32">
        <v>15197</v>
      </c>
      <c r="O386" s="32">
        <v>15197</v>
      </c>
      <c r="P386" s="32">
        <v>40000</v>
      </c>
      <c r="Q386" s="32">
        <v>20000</v>
      </c>
      <c r="R386" s="16">
        <f t="shared" si="10"/>
        <v>411394</v>
      </c>
      <c r="S386" s="32" t="s">
        <v>811</v>
      </c>
      <c r="T386" s="17">
        <f t="shared" si="11"/>
        <v>0.43999999994412065</v>
      </c>
      <c r="U386" s="32" t="s">
        <v>818</v>
      </c>
      <c r="V386" s="16" t="s">
        <v>926</v>
      </c>
    </row>
    <row r="387" spans="1:22" ht="104" hidden="1" x14ac:dyDescent="0.35">
      <c r="A387" s="8" t="s">
        <v>13</v>
      </c>
      <c r="B387" s="60" t="s">
        <v>930</v>
      </c>
      <c r="C387" s="9" t="s">
        <v>633</v>
      </c>
      <c r="D387" s="10" t="s">
        <v>634</v>
      </c>
      <c r="E387" s="10" t="s">
        <v>153</v>
      </c>
      <c r="F387" s="10" t="s">
        <v>154</v>
      </c>
      <c r="G387" s="10" t="s">
        <v>641</v>
      </c>
      <c r="H387" s="11">
        <v>584211</v>
      </c>
      <c r="I387" s="18">
        <v>272162.25</v>
      </c>
      <c r="J387" s="19">
        <v>-12000</v>
      </c>
      <c r="K387" s="11">
        <v>111540</v>
      </c>
      <c r="L387" s="33"/>
      <c r="M387" s="32">
        <v>200000</v>
      </c>
      <c r="N387" s="32">
        <v>55000</v>
      </c>
      <c r="O387" s="32">
        <v>65000</v>
      </c>
      <c r="P387" s="32">
        <v>15000</v>
      </c>
      <c r="Q387" s="32">
        <v>5000</v>
      </c>
      <c r="R387" s="16">
        <f t="shared" si="10"/>
        <v>340000</v>
      </c>
      <c r="S387" s="32" t="s">
        <v>812</v>
      </c>
      <c r="T387" s="17">
        <f t="shared" si="11"/>
        <v>-127491.25</v>
      </c>
      <c r="U387" s="32" t="s">
        <v>820</v>
      </c>
      <c r="V387" s="16" t="s">
        <v>926</v>
      </c>
    </row>
    <row r="388" spans="1:22" ht="104" hidden="1" x14ac:dyDescent="0.35">
      <c r="A388" s="8" t="s">
        <v>13</v>
      </c>
      <c r="B388" s="60" t="s">
        <v>930</v>
      </c>
      <c r="C388" s="9" t="s">
        <v>633</v>
      </c>
      <c r="D388" s="10" t="s">
        <v>634</v>
      </c>
      <c r="E388" s="10" t="s">
        <v>25</v>
      </c>
      <c r="F388" s="10" t="s">
        <v>26</v>
      </c>
      <c r="G388" s="10" t="s">
        <v>642</v>
      </c>
      <c r="H388" s="11">
        <v>135910</v>
      </c>
      <c r="I388" s="18">
        <v>79031.5</v>
      </c>
      <c r="J388" s="13"/>
      <c r="K388" s="14"/>
      <c r="L388" s="33"/>
      <c r="M388" s="32">
        <v>35000</v>
      </c>
      <c r="N388" s="32">
        <v>5000</v>
      </c>
      <c r="O388" s="32">
        <v>5000</v>
      </c>
      <c r="P388" s="32">
        <v>15000</v>
      </c>
      <c r="Q388" s="32"/>
      <c r="R388" s="16">
        <f t="shared" si="10"/>
        <v>60000</v>
      </c>
      <c r="S388" s="32" t="s">
        <v>813</v>
      </c>
      <c r="T388" s="17">
        <f t="shared" si="11"/>
        <v>-3121.5</v>
      </c>
      <c r="U388" s="32" t="s">
        <v>821</v>
      </c>
      <c r="V388" s="16" t="s">
        <v>926</v>
      </c>
    </row>
    <row r="389" spans="1:22" ht="39" hidden="1" x14ac:dyDescent="0.35">
      <c r="A389" s="8" t="s">
        <v>13</v>
      </c>
      <c r="B389" s="60" t="s">
        <v>930</v>
      </c>
      <c r="C389" s="9" t="s">
        <v>633</v>
      </c>
      <c r="D389" s="10" t="s">
        <v>634</v>
      </c>
      <c r="E389" s="10" t="s">
        <v>75</v>
      </c>
      <c r="F389" s="10" t="s">
        <v>76</v>
      </c>
      <c r="G389" s="10" t="s">
        <v>643</v>
      </c>
      <c r="H389" s="11">
        <v>12800</v>
      </c>
      <c r="I389" s="18">
        <v>8221.34</v>
      </c>
      <c r="J389" s="13"/>
      <c r="K389" s="14"/>
      <c r="L389" s="33">
        <v>0</v>
      </c>
      <c r="M389" s="32">
        <v>0</v>
      </c>
      <c r="N389" s="32">
        <v>1500</v>
      </c>
      <c r="O389" s="32">
        <v>1500</v>
      </c>
      <c r="P389" s="32">
        <v>1500</v>
      </c>
      <c r="Q389" s="32">
        <v>0</v>
      </c>
      <c r="R389" s="16">
        <f t="shared" ref="R389:R452" si="12">Q389+P389+O389+N389+M389+L389</f>
        <v>4500</v>
      </c>
      <c r="S389" s="32" t="s">
        <v>814</v>
      </c>
      <c r="T389" s="17">
        <f t="shared" ref="T389:T451" si="13">H389-I389-J389-K389-L389-M389-N389-O389-P389-Q389</f>
        <v>78.659999999999854</v>
      </c>
      <c r="U389" s="32" t="s">
        <v>818</v>
      </c>
      <c r="V389" s="16" t="s">
        <v>926</v>
      </c>
    </row>
    <row r="390" spans="1:22" ht="65" hidden="1" x14ac:dyDescent="0.35">
      <c r="A390" s="8" t="s">
        <v>13</v>
      </c>
      <c r="B390" s="60" t="s">
        <v>930</v>
      </c>
      <c r="C390" s="9" t="s">
        <v>633</v>
      </c>
      <c r="D390" s="10" t="s">
        <v>634</v>
      </c>
      <c r="E390" s="10" t="s">
        <v>336</v>
      </c>
      <c r="F390" s="10" t="s">
        <v>337</v>
      </c>
      <c r="G390" s="10" t="s">
        <v>644</v>
      </c>
      <c r="H390" s="11">
        <v>324000</v>
      </c>
      <c r="I390" s="18">
        <v>118505</v>
      </c>
      <c r="J390" s="13"/>
      <c r="K390" s="14"/>
      <c r="L390" s="33">
        <v>67000</v>
      </c>
      <c r="M390" s="32">
        <v>23000</v>
      </c>
      <c r="N390" s="32">
        <v>0</v>
      </c>
      <c r="O390" s="32">
        <v>25532</v>
      </c>
      <c r="P390" s="32">
        <v>25532</v>
      </c>
      <c r="Q390" s="32">
        <v>60532</v>
      </c>
      <c r="R390" s="16">
        <f t="shared" si="12"/>
        <v>201596</v>
      </c>
      <c r="S390" s="32" t="s">
        <v>815</v>
      </c>
      <c r="T390" s="17">
        <f t="shared" si="13"/>
        <v>3899</v>
      </c>
      <c r="U390" s="32" t="s">
        <v>822</v>
      </c>
      <c r="V390" s="16" t="s">
        <v>926</v>
      </c>
    </row>
    <row r="391" spans="1:22" ht="78" hidden="1" x14ac:dyDescent="0.35">
      <c r="A391" s="8" t="s">
        <v>13</v>
      </c>
      <c r="B391" s="60" t="s">
        <v>930</v>
      </c>
      <c r="C391" s="9" t="s">
        <v>633</v>
      </c>
      <c r="D391" s="10" t="s">
        <v>634</v>
      </c>
      <c r="E391" s="10" t="s">
        <v>645</v>
      </c>
      <c r="F391" s="10" t="s">
        <v>646</v>
      </c>
      <c r="G391" s="10" t="s">
        <v>647</v>
      </c>
      <c r="H391" s="11">
        <v>8518</v>
      </c>
      <c r="I391" s="18">
        <v>3142.71</v>
      </c>
      <c r="J391" s="19">
        <v>0</v>
      </c>
      <c r="K391" s="11">
        <v>0</v>
      </c>
      <c r="L391" s="33">
        <v>0</v>
      </c>
      <c r="M391" s="32">
        <v>0</v>
      </c>
      <c r="N391" s="32">
        <v>50000</v>
      </c>
      <c r="O391" s="32">
        <v>7495</v>
      </c>
      <c r="P391" s="32">
        <v>0</v>
      </c>
      <c r="Q391" s="32">
        <v>0</v>
      </c>
      <c r="R391" s="16">
        <f t="shared" si="12"/>
        <v>57495</v>
      </c>
      <c r="S391" s="32" t="s">
        <v>816</v>
      </c>
      <c r="T391" s="17">
        <f t="shared" si="13"/>
        <v>-52119.71</v>
      </c>
      <c r="U391" s="32" t="s">
        <v>823</v>
      </c>
      <c r="V391" s="16" t="s">
        <v>926</v>
      </c>
    </row>
    <row r="392" spans="1:22" ht="65" hidden="1" x14ac:dyDescent="0.35">
      <c r="A392" s="8" t="s">
        <v>13</v>
      </c>
      <c r="B392" s="60" t="s">
        <v>930</v>
      </c>
      <c r="C392" s="9" t="s">
        <v>633</v>
      </c>
      <c r="D392" s="10" t="s">
        <v>634</v>
      </c>
      <c r="E392" s="10" t="s">
        <v>201</v>
      </c>
      <c r="F392" s="10" t="s">
        <v>202</v>
      </c>
      <c r="G392" s="10" t="s">
        <v>648</v>
      </c>
      <c r="H392" s="11">
        <v>5952</v>
      </c>
      <c r="I392" s="18">
        <v>5088.51</v>
      </c>
      <c r="J392" s="13"/>
      <c r="K392" s="14"/>
      <c r="L392" s="33">
        <v>0</v>
      </c>
      <c r="M392" s="32">
        <v>1000</v>
      </c>
      <c r="N392" s="32">
        <v>2000</v>
      </c>
      <c r="O392" s="32">
        <v>0</v>
      </c>
      <c r="P392" s="32">
        <v>2500</v>
      </c>
      <c r="Q392" s="32">
        <v>0</v>
      </c>
      <c r="R392" s="16">
        <f t="shared" si="12"/>
        <v>5500</v>
      </c>
      <c r="S392" s="32" t="s">
        <v>817</v>
      </c>
      <c r="T392" s="17">
        <f t="shared" si="13"/>
        <v>-4636.51</v>
      </c>
      <c r="U392" s="32" t="s">
        <v>824</v>
      </c>
      <c r="V392" s="16" t="s">
        <v>926</v>
      </c>
    </row>
    <row r="393" spans="1:22" ht="26" hidden="1" x14ac:dyDescent="0.35">
      <c r="A393" s="8" t="s">
        <v>13</v>
      </c>
      <c r="B393" s="60" t="s">
        <v>930</v>
      </c>
      <c r="C393" s="9" t="s">
        <v>649</v>
      </c>
      <c r="D393" s="10" t="s">
        <v>650</v>
      </c>
      <c r="E393" s="10" t="s">
        <v>25</v>
      </c>
      <c r="F393" s="10" t="s">
        <v>26</v>
      </c>
      <c r="G393" s="10" t="s">
        <v>651</v>
      </c>
      <c r="H393" s="11">
        <v>2961</v>
      </c>
      <c r="I393" s="18">
        <v>708.75</v>
      </c>
      <c r="J393" s="13"/>
      <c r="K393" s="14"/>
      <c r="L393" s="33"/>
      <c r="M393" s="32"/>
      <c r="N393" s="32"/>
      <c r="O393" s="32">
        <v>2252</v>
      </c>
      <c r="P393" s="32"/>
      <c r="Q393" s="32"/>
      <c r="R393" s="16">
        <f t="shared" si="12"/>
        <v>2252</v>
      </c>
      <c r="S393" s="32"/>
      <c r="T393" s="17">
        <f t="shared" si="13"/>
        <v>0.25</v>
      </c>
      <c r="U393" s="33" t="s">
        <v>825</v>
      </c>
      <c r="V393" s="16" t="s">
        <v>926</v>
      </c>
    </row>
    <row r="394" spans="1:22" ht="39" hidden="1" x14ac:dyDescent="0.35">
      <c r="A394" s="8" t="s">
        <v>13</v>
      </c>
      <c r="B394" s="60" t="s">
        <v>930</v>
      </c>
      <c r="C394" s="9" t="s">
        <v>649</v>
      </c>
      <c r="D394" s="10" t="s">
        <v>650</v>
      </c>
      <c r="E394" s="10" t="s">
        <v>558</v>
      </c>
      <c r="F394" s="10" t="s">
        <v>559</v>
      </c>
      <c r="G394" s="10" t="s">
        <v>652</v>
      </c>
      <c r="H394" s="11">
        <v>500000</v>
      </c>
      <c r="I394" s="12"/>
      <c r="J394" s="19">
        <v>246832</v>
      </c>
      <c r="K394" s="14"/>
      <c r="L394" s="33">
        <v>253168</v>
      </c>
      <c r="M394" s="32"/>
      <c r="N394" s="32"/>
      <c r="O394" s="32"/>
      <c r="P394" s="32"/>
      <c r="Q394" s="32"/>
      <c r="R394" s="16">
        <f t="shared" si="12"/>
        <v>253168</v>
      </c>
      <c r="S394" s="32"/>
      <c r="T394" s="17">
        <f t="shared" si="13"/>
        <v>0</v>
      </c>
      <c r="U394" s="33" t="s">
        <v>826</v>
      </c>
      <c r="V394" s="16" t="s">
        <v>926</v>
      </c>
    </row>
    <row r="395" spans="1:22" ht="26" hidden="1" x14ac:dyDescent="0.35">
      <c r="A395" s="8" t="s">
        <v>13</v>
      </c>
      <c r="B395" s="60" t="s">
        <v>930</v>
      </c>
      <c r="C395" s="9" t="s">
        <v>649</v>
      </c>
      <c r="D395" s="10" t="s">
        <v>650</v>
      </c>
      <c r="E395" s="10" t="s">
        <v>558</v>
      </c>
      <c r="F395" s="10" t="s">
        <v>559</v>
      </c>
      <c r="G395" s="10" t="s">
        <v>653</v>
      </c>
      <c r="H395" s="11">
        <v>14972062</v>
      </c>
      <c r="I395" s="18">
        <v>12029617.380000001</v>
      </c>
      <c r="J395" s="19">
        <v>700994.11</v>
      </c>
      <c r="K395" s="11">
        <v>2019597</v>
      </c>
      <c r="L395" s="33">
        <v>221854</v>
      </c>
      <c r="M395" s="36"/>
      <c r="N395" s="32"/>
      <c r="O395" s="32"/>
      <c r="P395" s="32"/>
      <c r="Q395" s="32"/>
      <c r="R395" s="16">
        <f t="shared" si="12"/>
        <v>221854</v>
      </c>
      <c r="S395" s="32"/>
      <c r="T395" s="17">
        <f t="shared" si="13"/>
        <v>-0.49000000068917871</v>
      </c>
      <c r="U395" s="33" t="s">
        <v>827</v>
      </c>
      <c r="V395" s="16" t="s">
        <v>926</v>
      </c>
    </row>
    <row r="396" spans="1:22" hidden="1" x14ac:dyDescent="0.35">
      <c r="A396" s="8" t="s">
        <v>13</v>
      </c>
      <c r="B396" s="60" t="s">
        <v>930</v>
      </c>
      <c r="C396" s="9" t="s">
        <v>654</v>
      </c>
      <c r="D396" s="10" t="s">
        <v>655</v>
      </c>
      <c r="E396" s="10" t="s">
        <v>61</v>
      </c>
      <c r="F396" s="10" t="s">
        <v>62</v>
      </c>
      <c r="G396" s="10" t="s">
        <v>656</v>
      </c>
      <c r="H396" s="11">
        <v>110000</v>
      </c>
      <c r="I396" s="12"/>
      <c r="J396" s="13"/>
      <c r="K396" s="14"/>
      <c r="L396" s="15"/>
      <c r="M396" s="16"/>
      <c r="N396" s="16"/>
      <c r="O396" s="16"/>
      <c r="P396" s="16"/>
      <c r="Q396" s="16"/>
      <c r="R396" s="16">
        <f t="shared" si="12"/>
        <v>0</v>
      </c>
      <c r="S396" s="16"/>
      <c r="T396" s="17">
        <f t="shared" si="13"/>
        <v>110000</v>
      </c>
      <c r="U396" s="16"/>
      <c r="V396" s="16" t="s">
        <v>925</v>
      </c>
    </row>
    <row r="397" spans="1:22" ht="21" hidden="1" x14ac:dyDescent="0.35">
      <c r="A397" s="8" t="s">
        <v>13</v>
      </c>
      <c r="B397" s="60" t="s">
        <v>930</v>
      </c>
      <c r="C397" s="9" t="s">
        <v>654</v>
      </c>
      <c r="D397" s="10" t="s">
        <v>655</v>
      </c>
      <c r="E397" s="10" t="s">
        <v>19</v>
      </c>
      <c r="F397" s="10" t="s">
        <v>20</v>
      </c>
      <c r="G397" s="10" t="s">
        <v>657</v>
      </c>
      <c r="H397" s="11">
        <v>310637</v>
      </c>
      <c r="I397" s="18">
        <v>85994.73</v>
      </c>
      <c r="J397" s="13"/>
      <c r="K397" s="14"/>
      <c r="L397" s="15"/>
      <c r="M397" s="16"/>
      <c r="N397" s="16"/>
      <c r="O397" s="16"/>
      <c r="P397" s="16"/>
      <c r="Q397" s="16"/>
      <c r="R397" s="16">
        <f t="shared" si="12"/>
        <v>0</v>
      </c>
      <c r="S397" s="16"/>
      <c r="T397" s="17">
        <f t="shared" si="13"/>
        <v>224642.27000000002</v>
      </c>
      <c r="U397" s="16"/>
      <c r="V397" s="16" t="s">
        <v>925</v>
      </c>
    </row>
    <row r="398" spans="1:22" ht="21" hidden="1" x14ac:dyDescent="0.35">
      <c r="A398" s="8" t="s">
        <v>13</v>
      </c>
      <c r="B398" s="60" t="s">
        <v>930</v>
      </c>
      <c r="C398" s="9" t="s">
        <v>654</v>
      </c>
      <c r="D398" s="10" t="s">
        <v>655</v>
      </c>
      <c r="E398" s="10" t="s">
        <v>22</v>
      </c>
      <c r="F398" s="10" t="s">
        <v>23</v>
      </c>
      <c r="G398" s="10" t="s">
        <v>658</v>
      </c>
      <c r="H398" s="11">
        <v>28417</v>
      </c>
      <c r="I398" s="18">
        <v>7833.92</v>
      </c>
      <c r="J398" s="13"/>
      <c r="K398" s="14"/>
      <c r="L398" s="15"/>
      <c r="M398" s="16"/>
      <c r="N398" s="16"/>
      <c r="O398" s="16"/>
      <c r="P398" s="16"/>
      <c r="Q398" s="16"/>
      <c r="R398" s="16">
        <f t="shared" si="12"/>
        <v>0</v>
      </c>
      <c r="S398" s="16"/>
      <c r="T398" s="17">
        <f t="shared" si="13"/>
        <v>20583.080000000002</v>
      </c>
      <c r="U398" s="16"/>
      <c r="V398" s="16" t="s">
        <v>925</v>
      </c>
    </row>
    <row r="399" spans="1:22" hidden="1" x14ac:dyDescent="0.35">
      <c r="A399" s="8" t="s">
        <v>13</v>
      </c>
      <c r="B399" s="60" t="s">
        <v>930</v>
      </c>
      <c r="C399" s="9" t="s">
        <v>654</v>
      </c>
      <c r="D399" s="10" t="s">
        <v>655</v>
      </c>
      <c r="E399" s="10" t="s">
        <v>659</v>
      </c>
      <c r="F399" s="10" t="s">
        <v>660</v>
      </c>
      <c r="G399" s="10" t="s">
        <v>661</v>
      </c>
      <c r="H399" s="11">
        <v>112500</v>
      </c>
      <c r="I399" s="12"/>
      <c r="J399" s="13"/>
      <c r="K399" s="14"/>
      <c r="L399" s="15"/>
      <c r="M399" s="16"/>
      <c r="N399" s="16"/>
      <c r="O399" s="16"/>
      <c r="P399" s="16"/>
      <c r="Q399" s="16"/>
      <c r="R399" s="16">
        <f t="shared" si="12"/>
        <v>0</v>
      </c>
      <c r="S399" s="16"/>
      <c r="T399" s="17">
        <f t="shared" si="13"/>
        <v>112500</v>
      </c>
      <c r="U399" s="16"/>
      <c r="V399" s="16" t="s">
        <v>925</v>
      </c>
    </row>
    <row r="400" spans="1:22" hidden="1" x14ac:dyDescent="0.35">
      <c r="A400" s="8" t="s">
        <v>13</v>
      </c>
      <c r="B400" s="60" t="s">
        <v>930</v>
      </c>
      <c r="C400" s="9" t="s">
        <v>654</v>
      </c>
      <c r="D400" s="10" t="s">
        <v>655</v>
      </c>
      <c r="E400" s="10" t="s">
        <v>233</v>
      </c>
      <c r="F400" s="10" t="s">
        <v>234</v>
      </c>
      <c r="G400" s="10" t="s">
        <v>662</v>
      </c>
      <c r="H400" s="11">
        <v>664480</v>
      </c>
      <c r="I400" s="12"/>
      <c r="J400" s="13"/>
      <c r="K400" s="14"/>
      <c r="L400" s="15"/>
      <c r="M400" s="16"/>
      <c r="N400" s="16"/>
      <c r="O400" s="16"/>
      <c r="P400" s="16"/>
      <c r="Q400" s="16"/>
      <c r="R400" s="16">
        <f t="shared" si="12"/>
        <v>0</v>
      </c>
      <c r="S400" s="16"/>
      <c r="T400" s="17">
        <f t="shared" si="13"/>
        <v>664480</v>
      </c>
      <c r="U400" s="16"/>
      <c r="V400" s="16" t="s">
        <v>925</v>
      </c>
    </row>
    <row r="401" spans="1:22" hidden="1" x14ac:dyDescent="0.35">
      <c r="A401" s="8" t="s">
        <v>13</v>
      </c>
      <c r="B401" s="60" t="s">
        <v>930</v>
      </c>
      <c r="C401" s="9" t="s">
        <v>654</v>
      </c>
      <c r="D401" s="10" t="s">
        <v>655</v>
      </c>
      <c r="E401" s="10" t="s">
        <v>153</v>
      </c>
      <c r="F401" s="10" t="s">
        <v>154</v>
      </c>
      <c r="G401" s="10" t="s">
        <v>663</v>
      </c>
      <c r="H401" s="11">
        <v>13140</v>
      </c>
      <c r="I401" s="18">
        <v>4914</v>
      </c>
      <c r="J401" s="13"/>
      <c r="K401" s="14"/>
      <c r="L401" s="15"/>
      <c r="M401" s="16"/>
      <c r="N401" s="16"/>
      <c r="O401" s="16"/>
      <c r="P401" s="16"/>
      <c r="Q401" s="16"/>
      <c r="R401" s="16">
        <f t="shared" si="12"/>
        <v>0</v>
      </c>
      <c r="S401" s="16"/>
      <c r="T401" s="17">
        <f t="shared" si="13"/>
        <v>8226</v>
      </c>
      <c r="U401" s="16"/>
      <c r="V401" s="16" t="s">
        <v>925</v>
      </c>
    </row>
    <row r="402" spans="1:22" hidden="1" x14ac:dyDescent="0.35">
      <c r="A402" s="8" t="s">
        <v>13</v>
      </c>
      <c r="B402" s="60" t="s">
        <v>930</v>
      </c>
      <c r="C402" s="9" t="s">
        <v>654</v>
      </c>
      <c r="D402" s="10" t="s">
        <v>655</v>
      </c>
      <c r="E402" s="10" t="s">
        <v>157</v>
      </c>
      <c r="F402" s="10" t="s">
        <v>158</v>
      </c>
      <c r="G402" s="10" t="s">
        <v>664</v>
      </c>
      <c r="H402" s="11">
        <v>0</v>
      </c>
      <c r="I402" s="12"/>
      <c r="J402" s="13"/>
      <c r="K402" s="14"/>
      <c r="L402" s="15"/>
      <c r="M402" s="16"/>
      <c r="N402" s="16"/>
      <c r="O402" s="16"/>
      <c r="P402" s="16"/>
      <c r="Q402" s="16"/>
      <c r="R402" s="16">
        <f t="shared" si="12"/>
        <v>0</v>
      </c>
      <c r="S402" s="16"/>
      <c r="T402" s="17">
        <f t="shared" si="13"/>
        <v>0</v>
      </c>
      <c r="U402" s="16"/>
      <c r="V402" s="16" t="s">
        <v>925</v>
      </c>
    </row>
    <row r="403" spans="1:22" hidden="1" x14ac:dyDescent="0.35">
      <c r="A403" s="8" t="s">
        <v>13</v>
      </c>
      <c r="B403" s="60" t="s">
        <v>930</v>
      </c>
      <c r="C403" s="9" t="s">
        <v>654</v>
      </c>
      <c r="D403" s="10" t="s">
        <v>655</v>
      </c>
      <c r="E403" s="10" t="s">
        <v>25</v>
      </c>
      <c r="F403" s="10" t="s">
        <v>26</v>
      </c>
      <c r="G403" s="10" t="s">
        <v>665</v>
      </c>
      <c r="H403" s="11">
        <v>535844</v>
      </c>
      <c r="I403" s="18">
        <v>72759.75</v>
      </c>
      <c r="J403" s="13"/>
      <c r="K403" s="14"/>
      <c r="L403" s="15"/>
      <c r="M403" s="16"/>
      <c r="N403" s="16"/>
      <c r="O403" s="16"/>
      <c r="P403" s="16"/>
      <c r="Q403" s="16"/>
      <c r="R403" s="16">
        <f t="shared" si="12"/>
        <v>0</v>
      </c>
      <c r="S403" s="16"/>
      <c r="T403" s="17">
        <f t="shared" si="13"/>
        <v>463084.25</v>
      </c>
      <c r="U403" s="16"/>
      <c r="V403" s="16" t="s">
        <v>925</v>
      </c>
    </row>
    <row r="404" spans="1:22" ht="21" hidden="1" x14ac:dyDescent="0.35">
      <c r="A404" s="8" t="s">
        <v>13</v>
      </c>
      <c r="B404" s="60" t="s">
        <v>930</v>
      </c>
      <c r="C404" s="9" t="s">
        <v>654</v>
      </c>
      <c r="D404" s="10" t="s">
        <v>655</v>
      </c>
      <c r="E404" s="10" t="s">
        <v>47</v>
      </c>
      <c r="F404" s="10" t="s">
        <v>48</v>
      </c>
      <c r="G404" s="10" t="s">
        <v>666</v>
      </c>
      <c r="H404" s="11">
        <v>282200</v>
      </c>
      <c r="I404" s="18">
        <v>49743</v>
      </c>
      <c r="J404" s="19">
        <v>43400</v>
      </c>
      <c r="K404" s="11">
        <v>158312.74</v>
      </c>
      <c r="L404" s="15"/>
      <c r="M404" s="16"/>
      <c r="N404" s="16"/>
      <c r="O404" s="16"/>
      <c r="P404" s="16"/>
      <c r="Q404" s="16"/>
      <c r="R404" s="16">
        <f t="shared" si="12"/>
        <v>0</v>
      </c>
      <c r="S404" s="16"/>
      <c r="T404" s="17">
        <f t="shared" si="13"/>
        <v>30744.260000000009</v>
      </c>
      <c r="U404" s="16"/>
      <c r="V404" s="16" t="s">
        <v>925</v>
      </c>
    </row>
    <row r="405" spans="1:22" ht="21" hidden="1" x14ac:dyDescent="0.35">
      <c r="A405" s="8" t="s">
        <v>13</v>
      </c>
      <c r="B405" s="60" t="s">
        <v>930</v>
      </c>
      <c r="C405" s="9" t="s">
        <v>654</v>
      </c>
      <c r="D405" s="10" t="s">
        <v>655</v>
      </c>
      <c r="E405" s="10" t="s">
        <v>55</v>
      </c>
      <c r="F405" s="10" t="s">
        <v>56</v>
      </c>
      <c r="G405" s="10" t="s">
        <v>667</v>
      </c>
      <c r="H405" s="11">
        <v>5000</v>
      </c>
      <c r="I405" s="12"/>
      <c r="J405" s="13"/>
      <c r="K405" s="14"/>
      <c r="L405" s="15"/>
      <c r="M405" s="16"/>
      <c r="N405" s="16"/>
      <c r="O405" s="16"/>
      <c r="P405" s="16"/>
      <c r="Q405" s="16"/>
      <c r="R405" s="16">
        <f t="shared" si="12"/>
        <v>0</v>
      </c>
      <c r="S405" s="16"/>
      <c r="T405" s="17">
        <f t="shared" si="13"/>
        <v>5000</v>
      </c>
      <c r="U405" s="16"/>
      <c r="V405" s="16" t="s">
        <v>925</v>
      </c>
    </row>
    <row r="406" spans="1:22" hidden="1" x14ac:dyDescent="0.35">
      <c r="A406" s="8" t="s">
        <v>13</v>
      </c>
      <c r="B406" s="60" t="s">
        <v>930</v>
      </c>
      <c r="C406" s="9" t="s">
        <v>654</v>
      </c>
      <c r="D406" s="10" t="s">
        <v>655</v>
      </c>
      <c r="E406" s="10" t="s">
        <v>75</v>
      </c>
      <c r="F406" s="10" t="s">
        <v>76</v>
      </c>
      <c r="G406" s="10" t="s">
        <v>668</v>
      </c>
      <c r="H406" s="11">
        <v>40000</v>
      </c>
      <c r="I406" s="12"/>
      <c r="J406" s="13"/>
      <c r="K406" s="14"/>
      <c r="L406" s="15"/>
      <c r="M406" s="16"/>
      <c r="N406" s="16"/>
      <c r="O406" s="16"/>
      <c r="P406" s="16"/>
      <c r="Q406" s="16"/>
      <c r="R406" s="16">
        <f t="shared" si="12"/>
        <v>0</v>
      </c>
      <c r="S406" s="16"/>
      <c r="T406" s="17">
        <f t="shared" si="13"/>
        <v>40000</v>
      </c>
      <c r="U406" s="16"/>
      <c r="V406" s="16" t="s">
        <v>925</v>
      </c>
    </row>
    <row r="407" spans="1:22" hidden="1" x14ac:dyDescent="0.35">
      <c r="A407" s="8" t="s">
        <v>13</v>
      </c>
      <c r="B407" s="60" t="s">
        <v>930</v>
      </c>
      <c r="C407" s="9" t="s">
        <v>654</v>
      </c>
      <c r="D407" s="10" t="s">
        <v>655</v>
      </c>
      <c r="E407" s="10" t="s">
        <v>598</v>
      </c>
      <c r="F407" s="10" t="s">
        <v>599</v>
      </c>
      <c r="G407" s="10" t="s">
        <v>669</v>
      </c>
      <c r="H407" s="11">
        <v>5539833</v>
      </c>
      <c r="I407" s="12"/>
      <c r="J407" s="19">
        <v>2</v>
      </c>
      <c r="K407" s="14"/>
      <c r="L407" s="15"/>
      <c r="M407" s="16"/>
      <c r="N407" s="16"/>
      <c r="O407" s="16"/>
      <c r="P407" s="16"/>
      <c r="Q407" s="16"/>
      <c r="R407" s="16">
        <f t="shared" si="12"/>
        <v>0</v>
      </c>
      <c r="S407" s="16"/>
      <c r="T407" s="17">
        <f t="shared" si="13"/>
        <v>5539831</v>
      </c>
      <c r="U407" s="16"/>
      <c r="V407" s="16" t="s">
        <v>925</v>
      </c>
    </row>
    <row r="408" spans="1:22" ht="21" hidden="1" x14ac:dyDescent="0.35">
      <c r="A408" s="8" t="s">
        <v>13</v>
      </c>
      <c r="B408" s="60" t="s">
        <v>930</v>
      </c>
      <c r="C408" s="9" t="s">
        <v>654</v>
      </c>
      <c r="D408" s="10" t="s">
        <v>655</v>
      </c>
      <c r="E408" s="10" t="s">
        <v>645</v>
      </c>
      <c r="F408" s="10" t="s">
        <v>646</v>
      </c>
      <c r="G408" s="10" t="s">
        <v>670</v>
      </c>
      <c r="H408" s="11">
        <v>763</v>
      </c>
      <c r="I408" s="12"/>
      <c r="J408" s="13"/>
      <c r="K408" s="14"/>
      <c r="L408" s="15"/>
      <c r="M408" s="16"/>
      <c r="N408" s="16"/>
      <c r="O408" s="16"/>
      <c r="P408" s="16"/>
      <c r="Q408" s="16"/>
      <c r="R408" s="16">
        <f t="shared" si="12"/>
        <v>0</v>
      </c>
      <c r="S408" s="16"/>
      <c r="T408" s="17">
        <f t="shared" si="13"/>
        <v>763</v>
      </c>
      <c r="U408" s="16"/>
      <c r="V408" s="16" t="s">
        <v>925</v>
      </c>
    </row>
    <row r="409" spans="1:22" hidden="1" x14ac:dyDescent="0.35">
      <c r="A409" s="8" t="s">
        <v>13</v>
      </c>
      <c r="B409" s="60" t="s">
        <v>930</v>
      </c>
      <c r="C409" s="9" t="s">
        <v>654</v>
      </c>
      <c r="D409" s="10" t="s">
        <v>655</v>
      </c>
      <c r="E409" s="10" t="s">
        <v>201</v>
      </c>
      <c r="F409" s="10" t="s">
        <v>202</v>
      </c>
      <c r="G409" s="10" t="s">
        <v>671</v>
      </c>
      <c r="H409" s="11">
        <v>154200</v>
      </c>
      <c r="I409" s="12"/>
      <c r="J409" s="13"/>
      <c r="K409" s="14"/>
      <c r="L409" s="15"/>
      <c r="M409" s="16"/>
      <c r="N409" s="16"/>
      <c r="O409" s="16"/>
      <c r="P409" s="16"/>
      <c r="Q409" s="16"/>
      <c r="R409" s="16">
        <f t="shared" si="12"/>
        <v>0</v>
      </c>
      <c r="S409" s="16"/>
      <c r="T409" s="17">
        <f t="shared" si="13"/>
        <v>154200</v>
      </c>
      <c r="U409" s="16"/>
      <c r="V409" s="16" t="s">
        <v>925</v>
      </c>
    </row>
    <row r="410" spans="1:22" ht="58" hidden="1" x14ac:dyDescent="0.35">
      <c r="A410" s="8" t="s">
        <v>13</v>
      </c>
      <c r="B410" s="60" t="s">
        <v>931</v>
      </c>
      <c r="C410" s="9" t="s">
        <v>672</v>
      </c>
      <c r="D410" s="10" t="s">
        <v>673</v>
      </c>
      <c r="E410" s="10" t="s">
        <v>114</v>
      </c>
      <c r="F410" s="10" t="s">
        <v>115</v>
      </c>
      <c r="G410" s="10" t="s">
        <v>674</v>
      </c>
      <c r="H410" s="11">
        <v>32430240</v>
      </c>
      <c r="I410" s="12"/>
      <c r="J410" s="13"/>
      <c r="K410" s="14"/>
      <c r="L410" s="15"/>
      <c r="M410" s="16"/>
      <c r="N410" s="16"/>
      <c r="O410" s="16"/>
      <c r="P410" s="16"/>
      <c r="Q410" s="16"/>
      <c r="R410" s="16">
        <f t="shared" si="12"/>
        <v>0</v>
      </c>
      <c r="S410" s="16"/>
      <c r="T410" s="17">
        <f t="shared" si="13"/>
        <v>32430240</v>
      </c>
      <c r="U410" s="16" t="s">
        <v>882</v>
      </c>
      <c r="V410" s="16" t="s">
        <v>926</v>
      </c>
    </row>
    <row r="411" spans="1:22" ht="58" hidden="1" x14ac:dyDescent="0.35">
      <c r="A411" s="8" t="s">
        <v>13</v>
      </c>
      <c r="B411" s="60" t="s">
        <v>931</v>
      </c>
      <c r="C411" s="9" t="s">
        <v>672</v>
      </c>
      <c r="D411" s="10" t="s">
        <v>673</v>
      </c>
      <c r="E411" s="10" t="s">
        <v>40</v>
      </c>
      <c r="F411" s="10" t="s">
        <v>41</v>
      </c>
      <c r="G411" s="10" t="s">
        <v>675</v>
      </c>
      <c r="H411" s="11">
        <v>147834</v>
      </c>
      <c r="I411" s="18">
        <v>118270.6</v>
      </c>
      <c r="J411" s="19">
        <v>0</v>
      </c>
      <c r="K411" s="11">
        <v>0</v>
      </c>
      <c r="L411" s="15"/>
      <c r="M411" s="16"/>
      <c r="N411" s="16"/>
      <c r="O411" s="16"/>
      <c r="P411" s="16"/>
      <c r="Q411" s="16"/>
      <c r="R411" s="16">
        <f t="shared" si="12"/>
        <v>0</v>
      </c>
      <c r="S411" s="16" t="s">
        <v>910</v>
      </c>
      <c r="T411" s="17">
        <f t="shared" si="13"/>
        <v>29563.399999999994</v>
      </c>
      <c r="U411" s="16" t="s">
        <v>883</v>
      </c>
      <c r="V411" s="16" t="s">
        <v>926</v>
      </c>
    </row>
    <row r="412" spans="1:22" ht="43.5" hidden="1" x14ac:dyDescent="0.35">
      <c r="A412" s="8" t="s">
        <v>13</v>
      </c>
      <c r="B412" s="60" t="s">
        <v>931</v>
      </c>
      <c r="C412" s="9" t="s">
        <v>672</v>
      </c>
      <c r="D412" s="10" t="s">
        <v>673</v>
      </c>
      <c r="E412" s="10" t="s">
        <v>43</v>
      </c>
      <c r="F412" s="10" t="s">
        <v>44</v>
      </c>
      <c r="G412" s="10" t="s">
        <v>676</v>
      </c>
      <c r="H412" s="11">
        <v>73837</v>
      </c>
      <c r="I412" s="12"/>
      <c r="J412" s="13"/>
      <c r="K412" s="14"/>
      <c r="L412" s="15"/>
      <c r="M412" s="16"/>
      <c r="N412" s="16"/>
      <c r="O412" s="16"/>
      <c r="P412" s="16"/>
      <c r="Q412" s="16"/>
      <c r="R412" s="16">
        <f t="shared" si="12"/>
        <v>0</v>
      </c>
      <c r="S412" s="16"/>
      <c r="T412" s="17">
        <f t="shared" si="13"/>
        <v>73837</v>
      </c>
      <c r="U412" s="16" t="s">
        <v>884</v>
      </c>
      <c r="V412" s="16" t="s">
        <v>926</v>
      </c>
    </row>
    <row r="413" spans="1:22" ht="72.5" hidden="1" x14ac:dyDescent="0.35">
      <c r="A413" s="8" t="s">
        <v>13</v>
      </c>
      <c r="B413" s="60" t="s">
        <v>931</v>
      </c>
      <c r="C413" s="9" t="s">
        <v>672</v>
      </c>
      <c r="D413" s="10" t="s">
        <v>673</v>
      </c>
      <c r="E413" s="10" t="s">
        <v>19</v>
      </c>
      <c r="F413" s="10" t="s">
        <v>20</v>
      </c>
      <c r="G413" s="10" t="s">
        <v>677</v>
      </c>
      <c r="H413" s="11">
        <v>1043341</v>
      </c>
      <c r="I413" s="18">
        <v>180127.39</v>
      </c>
      <c r="J413" s="19">
        <v>0</v>
      </c>
      <c r="K413" s="11">
        <v>0</v>
      </c>
      <c r="L413" s="15"/>
      <c r="M413" s="16"/>
      <c r="N413" s="16"/>
      <c r="O413" s="16"/>
      <c r="P413" s="16"/>
      <c r="Q413" s="16"/>
      <c r="R413" s="16">
        <f t="shared" si="12"/>
        <v>0</v>
      </c>
      <c r="S413" s="16" t="s">
        <v>911</v>
      </c>
      <c r="T413" s="17">
        <f t="shared" si="13"/>
        <v>863213.61</v>
      </c>
      <c r="U413" s="16" t="s">
        <v>885</v>
      </c>
      <c r="V413" s="16" t="s">
        <v>926</v>
      </c>
    </row>
    <row r="414" spans="1:22" ht="58" hidden="1" x14ac:dyDescent="0.35">
      <c r="A414" s="8" t="s">
        <v>13</v>
      </c>
      <c r="B414" s="60" t="s">
        <v>931</v>
      </c>
      <c r="C414" s="9" t="s">
        <v>672</v>
      </c>
      <c r="D414" s="10" t="s">
        <v>673</v>
      </c>
      <c r="E414" s="10" t="s">
        <v>22</v>
      </c>
      <c r="F414" s="10" t="s">
        <v>23</v>
      </c>
      <c r="G414" s="10" t="s">
        <v>678</v>
      </c>
      <c r="H414" s="11">
        <v>388107</v>
      </c>
      <c r="I414" s="18">
        <v>284893.78999999998</v>
      </c>
      <c r="J414" s="13"/>
      <c r="K414" s="14"/>
      <c r="L414" s="15"/>
      <c r="M414" s="16"/>
      <c r="N414" s="16"/>
      <c r="O414" s="16"/>
      <c r="P414" s="16"/>
      <c r="Q414" s="16"/>
      <c r="R414" s="16">
        <f t="shared" si="12"/>
        <v>0</v>
      </c>
      <c r="S414" s="16" t="s">
        <v>912</v>
      </c>
      <c r="T414" s="17">
        <f t="shared" si="13"/>
        <v>103213.21000000002</v>
      </c>
      <c r="U414" s="16" t="s">
        <v>886</v>
      </c>
      <c r="V414" s="16" t="s">
        <v>926</v>
      </c>
    </row>
    <row r="415" spans="1:22" ht="58" hidden="1" x14ac:dyDescent="0.35">
      <c r="A415" s="8" t="s">
        <v>13</v>
      </c>
      <c r="B415" s="60" t="s">
        <v>931</v>
      </c>
      <c r="C415" s="9" t="s">
        <v>672</v>
      </c>
      <c r="D415" s="10" t="s">
        <v>673</v>
      </c>
      <c r="E415" s="10" t="s">
        <v>233</v>
      </c>
      <c r="F415" s="10" t="s">
        <v>234</v>
      </c>
      <c r="G415" s="10" t="s">
        <v>679</v>
      </c>
      <c r="H415" s="11">
        <v>1856965</v>
      </c>
      <c r="I415" s="18">
        <v>1400479.01</v>
      </c>
      <c r="J415" s="19">
        <v>-400579.26</v>
      </c>
      <c r="K415" s="11">
        <v>101500</v>
      </c>
      <c r="L415" s="15"/>
      <c r="M415" s="16"/>
      <c r="N415" s="16">
        <v>250000</v>
      </c>
      <c r="O415" s="16">
        <v>320000</v>
      </c>
      <c r="P415" s="16"/>
      <c r="Q415" s="16"/>
      <c r="R415" s="16">
        <f t="shared" si="12"/>
        <v>570000</v>
      </c>
      <c r="S415" s="16" t="s">
        <v>913</v>
      </c>
      <c r="T415" s="17">
        <f t="shared" si="13"/>
        <v>185565.25</v>
      </c>
      <c r="U415" s="16" t="s">
        <v>887</v>
      </c>
      <c r="V415" s="16" t="s">
        <v>926</v>
      </c>
    </row>
    <row r="416" spans="1:22" ht="58" hidden="1" x14ac:dyDescent="0.35">
      <c r="A416" s="8" t="s">
        <v>13</v>
      </c>
      <c r="B416" s="60" t="s">
        <v>931</v>
      </c>
      <c r="C416" s="9" t="s">
        <v>672</v>
      </c>
      <c r="D416" s="10" t="s">
        <v>673</v>
      </c>
      <c r="E416" s="10" t="s">
        <v>604</v>
      </c>
      <c r="F416" s="10" t="s">
        <v>605</v>
      </c>
      <c r="G416" s="10" t="s">
        <v>680</v>
      </c>
      <c r="H416" s="11">
        <v>178785</v>
      </c>
      <c r="I416" s="18">
        <v>24306.44</v>
      </c>
      <c r="J416" s="13"/>
      <c r="K416" s="14"/>
      <c r="L416" s="15"/>
      <c r="M416" s="16">
        <v>150000</v>
      </c>
      <c r="N416" s="16"/>
      <c r="O416" s="16"/>
      <c r="P416" s="16"/>
      <c r="Q416" s="16"/>
      <c r="R416" s="16">
        <f t="shared" si="12"/>
        <v>150000</v>
      </c>
      <c r="S416" s="16" t="s">
        <v>913</v>
      </c>
      <c r="T416" s="17">
        <f t="shared" si="13"/>
        <v>4478.5599999999977</v>
      </c>
      <c r="U416" s="16" t="s">
        <v>888</v>
      </c>
      <c r="V416" s="16" t="s">
        <v>926</v>
      </c>
    </row>
    <row r="417" spans="1:22" ht="72.5" hidden="1" x14ac:dyDescent="0.35">
      <c r="A417" s="8" t="s">
        <v>13</v>
      </c>
      <c r="B417" s="60" t="s">
        <v>931</v>
      </c>
      <c r="C417" s="9" t="s">
        <v>672</v>
      </c>
      <c r="D417" s="10" t="s">
        <v>673</v>
      </c>
      <c r="E417" s="10" t="s">
        <v>138</v>
      </c>
      <c r="F417" s="10" t="s">
        <v>139</v>
      </c>
      <c r="G417" s="10" t="s">
        <v>681</v>
      </c>
      <c r="H417" s="11">
        <v>193002</v>
      </c>
      <c r="I417" s="18">
        <v>193002</v>
      </c>
      <c r="J417" s="13"/>
      <c r="K417" s="14"/>
      <c r="L417" s="15"/>
      <c r="M417" s="16"/>
      <c r="N417" s="16"/>
      <c r="O417" s="16"/>
      <c r="P417" s="16"/>
      <c r="Q417" s="16"/>
      <c r="R417" s="16">
        <f t="shared" si="12"/>
        <v>0</v>
      </c>
      <c r="S417" s="16" t="s">
        <v>914</v>
      </c>
      <c r="T417" s="17">
        <f t="shared" si="13"/>
        <v>0</v>
      </c>
      <c r="U417" s="16" t="s">
        <v>889</v>
      </c>
      <c r="V417" s="16" t="s">
        <v>926</v>
      </c>
    </row>
    <row r="418" spans="1:22" ht="43.5" hidden="1" x14ac:dyDescent="0.35">
      <c r="A418" s="8" t="s">
        <v>13</v>
      </c>
      <c r="B418" s="60" t="s">
        <v>931</v>
      </c>
      <c r="C418" s="9" t="s">
        <v>672</v>
      </c>
      <c r="D418" s="10" t="s">
        <v>673</v>
      </c>
      <c r="E418" s="10" t="s">
        <v>141</v>
      </c>
      <c r="F418" s="10" t="s">
        <v>142</v>
      </c>
      <c r="G418" s="10" t="s">
        <v>682</v>
      </c>
      <c r="H418" s="11">
        <v>54543</v>
      </c>
      <c r="I418" s="12"/>
      <c r="J418" s="13"/>
      <c r="K418" s="14"/>
      <c r="L418" s="15"/>
      <c r="M418" s="16"/>
      <c r="N418" s="16"/>
      <c r="O418" s="16"/>
      <c r="P418" s="16"/>
      <c r="Q418" s="16"/>
      <c r="R418" s="16">
        <f t="shared" si="12"/>
        <v>0</v>
      </c>
      <c r="S418" s="16" t="s">
        <v>915</v>
      </c>
      <c r="T418" s="17">
        <f t="shared" si="13"/>
        <v>54543</v>
      </c>
      <c r="U418" s="16" t="s">
        <v>890</v>
      </c>
      <c r="V418" s="16" t="s">
        <v>926</v>
      </c>
    </row>
    <row r="419" spans="1:22" ht="58" hidden="1" x14ac:dyDescent="0.35">
      <c r="A419" s="8" t="s">
        <v>13</v>
      </c>
      <c r="B419" s="60" t="s">
        <v>931</v>
      </c>
      <c r="C419" s="9" t="s">
        <v>672</v>
      </c>
      <c r="D419" s="10" t="s">
        <v>673</v>
      </c>
      <c r="E419" s="10" t="s">
        <v>107</v>
      </c>
      <c r="F419" s="10" t="s">
        <v>108</v>
      </c>
      <c r="G419" s="10" t="s">
        <v>683</v>
      </c>
      <c r="H419" s="11">
        <v>32783000</v>
      </c>
      <c r="I419" s="18">
        <v>15576666.710000001</v>
      </c>
      <c r="J419" s="13"/>
      <c r="K419" s="14"/>
      <c r="L419" s="15"/>
      <c r="M419" s="16"/>
      <c r="N419" s="16"/>
      <c r="O419" s="16"/>
      <c r="P419" s="16"/>
      <c r="Q419" s="16"/>
      <c r="R419" s="16">
        <f t="shared" si="12"/>
        <v>0</v>
      </c>
      <c r="S419" s="16" t="s">
        <v>916</v>
      </c>
      <c r="T419" s="17">
        <f t="shared" si="13"/>
        <v>17206333.289999999</v>
      </c>
      <c r="U419" s="16" t="s">
        <v>891</v>
      </c>
      <c r="V419" s="16" t="s">
        <v>926</v>
      </c>
    </row>
    <row r="420" spans="1:22" ht="43.5" hidden="1" x14ac:dyDescent="0.35">
      <c r="A420" s="8" t="s">
        <v>13</v>
      </c>
      <c r="B420" s="60" t="s">
        <v>931</v>
      </c>
      <c r="C420" s="9" t="s">
        <v>672</v>
      </c>
      <c r="D420" s="10" t="s">
        <v>673</v>
      </c>
      <c r="E420" s="10" t="s">
        <v>684</v>
      </c>
      <c r="F420" s="10" t="s">
        <v>685</v>
      </c>
      <c r="G420" s="10" t="s">
        <v>686</v>
      </c>
      <c r="H420" s="11">
        <v>179593</v>
      </c>
      <c r="I420" s="18">
        <v>132036.62</v>
      </c>
      <c r="J420" s="13"/>
      <c r="K420" s="14"/>
      <c r="L420" s="15"/>
      <c r="M420" s="16"/>
      <c r="N420" s="16"/>
      <c r="O420" s="16"/>
      <c r="P420" s="16"/>
      <c r="Q420" s="16"/>
      <c r="R420" s="16">
        <f t="shared" si="12"/>
        <v>0</v>
      </c>
      <c r="S420" s="16" t="s">
        <v>913</v>
      </c>
      <c r="T420" s="17">
        <f t="shared" si="13"/>
        <v>47556.380000000005</v>
      </c>
      <c r="U420" s="16" t="s">
        <v>892</v>
      </c>
      <c r="V420" s="16" t="s">
        <v>926</v>
      </c>
    </row>
    <row r="421" spans="1:22" ht="58" hidden="1" x14ac:dyDescent="0.35">
      <c r="A421" s="8" t="s">
        <v>13</v>
      </c>
      <c r="B421" s="60" t="s">
        <v>931</v>
      </c>
      <c r="C421" s="9" t="s">
        <v>672</v>
      </c>
      <c r="D421" s="10" t="s">
        <v>673</v>
      </c>
      <c r="E421" s="10" t="s">
        <v>145</v>
      </c>
      <c r="F421" s="10" t="s">
        <v>146</v>
      </c>
      <c r="G421" s="10" t="s">
        <v>687</v>
      </c>
      <c r="H421" s="11">
        <v>1200000</v>
      </c>
      <c r="I421" s="18">
        <v>685828.59</v>
      </c>
      <c r="J421" s="13"/>
      <c r="K421" s="14"/>
      <c r="L421" s="15">
        <v>50000</v>
      </c>
      <c r="M421" s="16"/>
      <c r="N421" s="16">
        <v>51491</v>
      </c>
      <c r="O421" s="16">
        <v>100000</v>
      </c>
      <c r="P421" s="16"/>
      <c r="Q421" s="16"/>
      <c r="R421" s="16">
        <f t="shared" si="12"/>
        <v>201491</v>
      </c>
      <c r="S421" s="16" t="s">
        <v>917</v>
      </c>
      <c r="T421" s="17">
        <f t="shared" si="13"/>
        <v>312680.41000000003</v>
      </c>
      <c r="U421" s="16" t="s">
        <v>893</v>
      </c>
      <c r="V421" s="16" t="s">
        <v>926</v>
      </c>
    </row>
    <row r="422" spans="1:22" ht="58" hidden="1" x14ac:dyDescent="0.35">
      <c r="A422" s="8" t="s">
        <v>13</v>
      </c>
      <c r="B422" s="60" t="s">
        <v>931</v>
      </c>
      <c r="C422" s="9" t="s">
        <v>672</v>
      </c>
      <c r="D422" s="10" t="s">
        <v>673</v>
      </c>
      <c r="E422" s="10" t="s">
        <v>66</v>
      </c>
      <c r="F422" s="10" t="s">
        <v>67</v>
      </c>
      <c r="G422" s="10" t="s">
        <v>688</v>
      </c>
      <c r="H422" s="11">
        <v>2940</v>
      </c>
      <c r="I422" s="12"/>
      <c r="J422" s="13"/>
      <c r="K422" s="14"/>
      <c r="L422" s="15"/>
      <c r="M422" s="16"/>
      <c r="N422" s="16"/>
      <c r="O422" s="16"/>
      <c r="P422" s="16"/>
      <c r="Q422" s="16"/>
      <c r="R422" s="16">
        <f t="shared" si="12"/>
        <v>0</v>
      </c>
      <c r="S422" s="16"/>
      <c r="T422" s="17">
        <f t="shared" si="13"/>
        <v>2940</v>
      </c>
      <c r="U422" s="16" t="s">
        <v>894</v>
      </c>
      <c r="V422" s="16" t="s">
        <v>926</v>
      </c>
    </row>
    <row r="423" spans="1:22" ht="72.5" hidden="1" x14ac:dyDescent="0.35">
      <c r="A423" s="8" t="s">
        <v>13</v>
      </c>
      <c r="B423" s="60" t="s">
        <v>931</v>
      </c>
      <c r="C423" s="9" t="s">
        <v>672</v>
      </c>
      <c r="D423" s="10" t="s">
        <v>673</v>
      </c>
      <c r="E423" s="10" t="s">
        <v>157</v>
      </c>
      <c r="F423" s="10" t="s">
        <v>158</v>
      </c>
      <c r="G423" s="10" t="s">
        <v>689</v>
      </c>
      <c r="H423" s="11">
        <v>350000</v>
      </c>
      <c r="I423" s="12"/>
      <c r="J423" s="13"/>
      <c r="K423" s="14"/>
      <c r="L423" s="15"/>
      <c r="M423" s="16"/>
      <c r="N423" s="16"/>
      <c r="O423" s="16"/>
      <c r="P423" s="16"/>
      <c r="Q423" s="16"/>
      <c r="R423" s="16">
        <f t="shared" si="12"/>
        <v>0</v>
      </c>
      <c r="S423" s="16"/>
      <c r="T423" s="17">
        <f t="shared" si="13"/>
        <v>350000</v>
      </c>
      <c r="U423" s="16" t="s">
        <v>895</v>
      </c>
      <c r="V423" s="16" t="s">
        <v>926</v>
      </c>
    </row>
    <row r="424" spans="1:22" ht="72.5" hidden="1" x14ac:dyDescent="0.35">
      <c r="A424" s="8" t="s">
        <v>13</v>
      </c>
      <c r="B424" s="60" t="s">
        <v>931</v>
      </c>
      <c r="C424" s="9" t="s">
        <v>672</v>
      </c>
      <c r="D424" s="10" t="s">
        <v>673</v>
      </c>
      <c r="E424" s="10" t="s">
        <v>25</v>
      </c>
      <c r="F424" s="10" t="s">
        <v>26</v>
      </c>
      <c r="G424" s="10" t="s">
        <v>690</v>
      </c>
      <c r="H424" s="11">
        <v>58984</v>
      </c>
      <c r="I424" s="18">
        <v>40566.47</v>
      </c>
      <c r="J424" s="13"/>
      <c r="K424" s="14"/>
      <c r="L424" s="15"/>
      <c r="M424" s="16">
        <v>5000</v>
      </c>
      <c r="N424" s="16">
        <v>5000</v>
      </c>
      <c r="O424" s="16">
        <v>5000</v>
      </c>
      <c r="P424" s="16">
        <v>5000</v>
      </c>
      <c r="Q424" s="16">
        <v>3865</v>
      </c>
      <c r="R424" s="16">
        <f t="shared" si="12"/>
        <v>23865</v>
      </c>
      <c r="S424" s="16"/>
      <c r="T424" s="17">
        <f t="shared" si="13"/>
        <v>-5447.4700000000012</v>
      </c>
      <c r="U424" s="16" t="s">
        <v>896</v>
      </c>
      <c r="V424" s="16" t="s">
        <v>926</v>
      </c>
    </row>
    <row r="425" spans="1:22" ht="43.5" hidden="1" x14ac:dyDescent="0.35">
      <c r="A425" s="8" t="s">
        <v>13</v>
      </c>
      <c r="B425" s="60" t="s">
        <v>931</v>
      </c>
      <c r="C425" s="9" t="s">
        <v>672</v>
      </c>
      <c r="D425" s="10" t="s">
        <v>673</v>
      </c>
      <c r="E425" s="10" t="s">
        <v>47</v>
      </c>
      <c r="F425" s="10" t="s">
        <v>48</v>
      </c>
      <c r="G425" s="10" t="s">
        <v>691</v>
      </c>
      <c r="H425" s="11">
        <v>977363</v>
      </c>
      <c r="I425" s="18">
        <v>364.45</v>
      </c>
      <c r="J425" s="19">
        <v>228348.08</v>
      </c>
      <c r="K425" s="11">
        <v>342435.96</v>
      </c>
      <c r="L425" s="15"/>
      <c r="M425" s="16">
        <v>924323.55</v>
      </c>
      <c r="N425" s="16"/>
      <c r="O425" s="16"/>
      <c r="P425" s="16"/>
      <c r="Q425" s="16"/>
      <c r="R425" s="16">
        <f t="shared" si="12"/>
        <v>924323.55</v>
      </c>
      <c r="S425" s="16"/>
      <c r="T425" s="17">
        <f t="shared" si="13"/>
        <v>-518109.04</v>
      </c>
      <c r="U425" s="16" t="s">
        <v>897</v>
      </c>
      <c r="V425" s="16" t="s">
        <v>926</v>
      </c>
    </row>
    <row r="426" spans="1:22" ht="43.5" hidden="1" x14ac:dyDescent="0.35">
      <c r="A426" s="8" t="s">
        <v>13</v>
      </c>
      <c r="B426" s="60" t="s">
        <v>931</v>
      </c>
      <c r="C426" s="9" t="s">
        <v>672</v>
      </c>
      <c r="D426" s="10" t="s">
        <v>673</v>
      </c>
      <c r="E426" s="10" t="s">
        <v>405</v>
      </c>
      <c r="F426" s="10" t="s">
        <v>406</v>
      </c>
      <c r="G426" s="10" t="s">
        <v>692</v>
      </c>
      <c r="H426" s="11">
        <v>5000</v>
      </c>
      <c r="I426" s="12"/>
      <c r="J426" s="19">
        <v>1512</v>
      </c>
      <c r="K426" s="14"/>
      <c r="L426" s="15"/>
      <c r="M426" s="16"/>
      <c r="N426" s="16"/>
      <c r="O426" s="16"/>
      <c r="P426" s="16">
        <v>5000</v>
      </c>
      <c r="Q426" s="16"/>
      <c r="R426" s="16">
        <f t="shared" si="12"/>
        <v>5000</v>
      </c>
      <c r="S426" s="16"/>
      <c r="T426" s="17">
        <f t="shared" si="13"/>
        <v>-1512</v>
      </c>
      <c r="U426" s="16" t="s">
        <v>898</v>
      </c>
      <c r="V426" s="16" t="s">
        <v>926</v>
      </c>
    </row>
    <row r="427" spans="1:22" ht="29" hidden="1" x14ac:dyDescent="0.35">
      <c r="A427" s="8" t="s">
        <v>13</v>
      </c>
      <c r="B427" s="60" t="s">
        <v>931</v>
      </c>
      <c r="C427" s="9" t="s">
        <v>672</v>
      </c>
      <c r="D427" s="10" t="s">
        <v>673</v>
      </c>
      <c r="E427" s="10" t="s">
        <v>55</v>
      </c>
      <c r="F427" s="10" t="s">
        <v>56</v>
      </c>
      <c r="G427" s="10" t="s">
        <v>693</v>
      </c>
      <c r="H427" s="11">
        <v>50517</v>
      </c>
      <c r="I427" s="18">
        <v>-10660.58</v>
      </c>
      <c r="J427" s="19">
        <v>18500</v>
      </c>
      <c r="K427" s="11">
        <v>8640</v>
      </c>
      <c r="L427" s="15"/>
      <c r="M427" s="16"/>
      <c r="N427" s="16">
        <v>8640</v>
      </c>
      <c r="O427" s="16">
        <v>8640</v>
      </c>
      <c r="P427" s="16"/>
      <c r="Q427" s="16"/>
      <c r="R427" s="16">
        <f t="shared" si="12"/>
        <v>17280</v>
      </c>
      <c r="S427" s="16" t="s">
        <v>918</v>
      </c>
      <c r="T427" s="17">
        <f t="shared" si="13"/>
        <v>16757.580000000002</v>
      </c>
      <c r="U427" s="16" t="s">
        <v>899</v>
      </c>
      <c r="V427" s="16" t="s">
        <v>926</v>
      </c>
    </row>
    <row r="428" spans="1:22" ht="29" hidden="1" x14ac:dyDescent="0.35">
      <c r="A428" s="8" t="s">
        <v>13</v>
      </c>
      <c r="B428" s="60" t="s">
        <v>931</v>
      </c>
      <c r="C428" s="9" t="s">
        <v>672</v>
      </c>
      <c r="D428" s="10" t="s">
        <v>673</v>
      </c>
      <c r="E428" s="10" t="s">
        <v>28</v>
      </c>
      <c r="F428" s="10" t="s">
        <v>29</v>
      </c>
      <c r="G428" s="10" t="s">
        <v>694</v>
      </c>
      <c r="H428" s="11">
        <v>100000</v>
      </c>
      <c r="I428" s="18">
        <v>12252.61</v>
      </c>
      <c r="J428" s="13"/>
      <c r="K428" s="14"/>
      <c r="L428" s="15"/>
      <c r="M428" s="16">
        <v>25000</v>
      </c>
      <c r="N428" s="16">
        <v>25000</v>
      </c>
      <c r="O428" s="16"/>
      <c r="P428" s="16">
        <v>25000</v>
      </c>
      <c r="Q428" s="16">
        <v>24052</v>
      </c>
      <c r="R428" s="16">
        <f t="shared" si="12"/>
        <v>99052</v>
      </c>
      <c r="S428" s="16"/>
      <c r="T428" s="17">
        <f t="shared" si="13"/>
        <v>-11304.61</v>
      </c>
      <c r="U428" s="16" t="s">
        <v>900</v>
      </c>
      <c r="V428" s="16" t="s">
        <v>926</v>
      </c>
    </row>
    <row r="429" spans="1:22" ht="58" hidden="1" x14ac:dyDescent="0.35">
      <c r="A429" s="8" t="s">
        <v>13</v>
      </c>
      <c r="B429" s="60" t="s">
        <v>931</v>
      </c>
      <c r="C429" s="9" t="s">
        <v>672</v>
      </c>
      <c r="D429" s="10" t="s">
        <v>673</v>
      </c>
      <c r="E429" s="10" t="s">
        <v>75</v>
      </c>
      <c r="F429" s="10" t="s">
        <v>76</v>
      </c>
      <c r="G429" s="10" t="s">
        <v>695</v>
      </c>
      <c r="H429" s="11">
        <v>2820</v>
      </c>
      <c r="I429" s="18">
        <v>1040</v>
      </c>
      <c r="J429" s="13"/>
      <c r="K429" s="14"/>
      <c r="L429" s="15"/>
      <c r="M429" s="16"/>
      <c r="N429" s="16"/>
      <c r="O429" s="16"/>
      <c r="P429" s="16">
        <v>1780</v>
      </c>
      <c r="Q429" s="16"/>
      <c r="R429" s="16">
        <f t="shared" si="12"/>
        <v>1780</v>
      </c>
      <c r="S429" s="16" t="s">
        <v>919</v>
      </c>
      <c r="T429" s="17">
        <f t="shared" si="13"/>
        <v>0</v>
      </c>
      <c r="U429" s="16" t="s">
        <v>901</v>
      </c>
      <c r="V429" s="16" t="s">
        <v>926</v>
      </c>
    </row>
    <row r="430" spans="1:22" ht="72.5" hidden="1" x14ac:dyDescent="0.35">
      <c r="A430" s="8" t="s">
        <v>13</v>
      </c>
      <c r="B430" s="60" t="s">
        <v>931</v>
      </c>
      <c r="C430" s="9" t="s">
        <v>672</v>
      </c>
      <c r="D430" s="10" t="s">
        <v>673</v>
      </c>
      <c r="E430" s="10" t="s">
        <v>124</v>
      </c>
      <c r="F430" s="10" t="s">
        <v>125</v>
      </c>
      <c r="G430" s="10" t="s">
        <v>696</v>
      </c>
      <c r="H430" s="11">
        <v>897981</v>
      </c>
      <c r="I430" s="12"/>
      <c r="J430" s="13"/>
      <c r="K430" s="14"/>
      <c r="L430" s="15"/>
      <c r="M430" s="16">
        <v>522981</v>
      </c>
      <c r="N430" s="16"/>
      <c r="O430" s="16"/>
      <c r="P430" s="16"/>
      <c r="Q430" s="16"/>
      <c r="R430" s="16">
        <f t="shared" si="12"/>
        <v>522981</v>
      </c>
      <c r="S430" s="16" t="s">
        <v>920</v>
      </c>
      <c r="T430" s="17">
        <f t="shared" si="13"/>
        <v>375000</v>
      </c>
      <c r="U430" s="16" t="s">
        <v>902</v>
      </c>
      <c r="V430" s="16" t="s">
        <v>926</v>
      </c>
    </row>
    <row r="431" spans="1:22" ht="72.5" hidden="1" x14ac:dyDescent="0.35">
      <c r="A431" s="8" t="s">
        <v>13</v>
      </c>
      <c r="B431" s="60" t="s">
        <v>931</v>
      </c>
      <c r="C431" s="9" t="s">
        <v>672</v>
      </c>
      <c r="D431" s="10" t="s">
        <v>673</v>
      </c>
      <c r="E431" s="10" t="s">
        <v>163</v>
      </c>
      <c r="F431" s="10" t="s">
        <v>164</v>
      </c>
      <c r="G431" s="10" t="s">
        <v>697</v>
      </c>
      <c r="H431" s="11">
        <v>570373</v>
      </c>
      <c r="I431" s="18">
        <v>7014.5</v>
      </c>
      <c r="J431" s="19">
        <v>-4021</v>
      </c>
      <c r="K431" s="11">
        <v>35710</v>
      </c>
      <c r="L431" s="15"/>
      <c r="M431" s="16"/>
      <c r="N431" s="16"/>
      <c r="O431" s="16"/>
      <c r="P431" s="16"/>
      <c r="Q431" s="16"/>
      <c r="R431" s="16">
        <f t="shared" si="12"/>
        <v>0</v>
      </c>
      <c r="S431" s="16" t="s">
        <v>921</v>
      </c>
      <c r="T431" s="17">
        <f t="shared" si="13"/>
        <v>531669.5</v>
      </c>
      <c r="U431" s="16" t="s">
        <v>903</v>
      </c>
      <c r="V431" s="16" t="s">
        <v>926</v>
      </c>
    </row>
    <row r="432" spans="1:22" ht="43.5" hidden="1" x14ac:dyDescent="0.35">
      <c r="A432" s="8" t="s">
        <v>13</v>
      </c>
      <c r="B432" s="60" t="s">
        <v>931</v>
      </c>
      <c r="C432" s="9" t="s">
        <v>672</v>
      </c>
      <c r="D432" s="10" t="s">
        <v>673</v>
      </c>
      <c r="E432" s="10" t="s">
        <v>558</v>
      </c>
      <c r="F432" s="10" t="s">
        <v>559</v>
      </c>
      <c r="G432" s="10" t="s">
        <v>698</v>
      </c>
      <c r="H432" s="11">
        <v>1291904</v>
      </c>
      <c r="I432" s="18">
        <v>161432.14000000001</v>
      </c>
      <c r="J432" s="19">
        <v>92077.35</v>
      </c>
      <c r="K432" s="11">
        <v>560962.78</v>
      </c>
      <c r="L432" s="15"/>
      <c r="M432" s="16"/>
      <c r="N432" s="16">
        <v>158317.16</v>
      </c>
      <c r="O432" s="16"/>
      <c r="P432" s="16"/>
      <c r="Q432" s="16"/>
      <c r="R432" s="16">
        <f t="shared" si="12"/>
        <v>158317.16</v>
      </c>
      <c r="S432" s="16" t="s">
        <v>922</v>
      </c>
      <c r="T432" s="17">
        <f t="shared" si="13"/>
        <v>319114.56999999983</v>
      </c>
      <c r="U432" s="16" t="s">
        <v>904</v>
      </c>
      <c r="V432" s="16" t="s">
        <v>926</v>
      </c>
    </row>
    <row r="433" spans="1:22" hidden="1" x14ac:dyDescent="0.35">
      <c r="A433" s="8" t="s">
        <v>13</v>
      </c>
      <c r="B433" s="60" t="s">
        <v>931</v>
      </c>
      <c r="C433" s="9" t="s">
        <v>672</v>
      </c>
      <c r="D433" s="10" t="s">
        <v>673</v>
      </c>
      <c r="E433" s="10" t="s">
        <v>598</v>
      </c>
      <c r="F433" s="10" t="s">
        <v>599</v>
      </c>
      <c r="G433" s="10" t="s">
        <v>699</v>
      </c>
      <c r="H433" s="11">
        <v>306</v>
      </c>
      <c r="I433" s="12"/>
      <c r="J433" s="13"/>
      <c r="K433" s="14"/>
      <c r="L433" s="15"/>
      <c r="M433" s="16"/>
      <c r="N433" s="16"/>
      <c r="O433" s="16">
        <v>306</v>
      </c>
      <c r="P433" s="16"/>
      <c r="Q433" s="16"/>
      <c r="R433" s="16">
        <f t="shared" si="12"/>
        <v>306</v>
      </c>
      <c r="S433" s="16"/>
      <c r="T433" s="17">
        <f t="shared" si="13"/>
        <v>0</v>
      </c>
      <c r="U433" s="16" t="s">
        <v>905</v>
      </c>
      <c r="V433" s="16" t="s">
        <v>926</v>
      </c>
    </row>
    <row r="434" spans="1:22" ht="58" hidden="1" x14ac:dyDescent="0.35">
      <c r="A434" s="8" t="s">
        <v>13</v>
      </c>
      <c r="B434" s="60" t="s">
        <v>931</v>
      </c>
      <c r="C434" s="9" t="s">
        <v>672</v>
      </c>
      <c r="D434" s="10" t="s">
        <v>673</v>
      </c>
      <c r="E434" s="10" t="s">
        <v>127</v>
      </c>
      <c r="F434" s="10" t="s">
        <v>128</v>
      </c>
      <c r="G434" s="10" t="s">
        <v>700</v>
      </c>
      <c r="H434" s="11">
        <v>357401</v>
      </c>
      <c r="I434" s="18">
        <v>150263.43</v>
      </c>
      <c r="J434" s="19">
        <v>0</v>
      </c>
      <c r="K434" s="14"/>
      <c r="L434" s="15">
        <v>25000</v>
      </c>
      <c r="M434" s="16">
        <v>25000</v>
      </c>
      <c r="N434" s="16">
        <v>25000</v>
      </c>
      <c r="O434" s="16">
        <v>25000</v>
      </c>
      <c r="P434" s="16"/>
      <c r="Q434" s="16"/>
      <c r="R434" s="16">
        <f t="shared" si="12"/>
        <v>100000</v>
      </c>
      <c r="S434" s="16" t="s">
        <v>923</v>
      </c>
      <c r="T434" s="17">
        <f t="shared" si="13"/>
        <v>107137.57</v>
      </c>
      <c r="U434" s="16" t="s">
        <v>906</v>
      </c>
      <c r="V434" s="16" t="s">
        <v>926</v>
      </c>
    </row>
    <row r="435" spans="1:22" ht="43.5" hidden="1" x14ac:dyDescent="0.35">
      <c r="A435" s="8" t="s">
        <v>13</v>
      </c>
      <c r="B435" s="60" t="s">
        <v>931</v>
      </c>
      <c r="C435" s="9" t="s">
        <v>672</v>
      </c>
      <c r="D435" s="10" t="s">
        <v>673</v>
      </c>
      <c r="E435" s="10" t="s">
        <v>130</v>
      </c>
      <c r="F435" s="10" t="s">
        <v>131</v>
      </c>
      <c r="G435" s="10" t="s">
        <v>701</v>
      </c>
      <c r="H435" s="11">
        <v>1800000</v>
      </c>
      <c r="I435" s="18">
        <v>319813.02</v>
      </c>
      <c r="J435" s="19">
        <v>236432.12</v>
      </c>
      <c r="K435" s="11">
        <v>809726.37</v>
      </c>
      <c r="L435" s="15"/>
      <c r="M435" s="16">
        <v>100000</v>
      </c>
      <c r="N435" s="16">
        <v>100000</v>
      </c>
      <c r="O435" s="16"/>
      <c r="P435" s="16"/>
      <c r="Q435" s="16"/>
      <c r="R435" s="16">
        <f t="shared" si="12"/>
        <v>200000</v>
      </c>
      <c r="S435" s="16"/>
      <c r="T435" s="17">
        <f t="shared" si="13"/>
        <v>234028.48999999987</v>
      </c>
      <c r="U435" s="16" t="s">
        <v>907</v>
      </c>
      <c r="V435" s="16" t="s">
        <v>926</v>
      </c>
    </row>
    <row r="436" spans="1:22" ht="43.5" hidden="1" x14ac:dyDescent="0.35">
      <c r="A436" s="8" t="s">
        <v>13</v>
      </c>
      <c r="B436" s="60" t="s">
        <v>931</v>
      </c>
      <c r="C436" s="9" t="s">
        <v>672</v>
      </c>
      <c r="D436" s="10" t="s">
        <v>673</v>
      </c>
      <c r="E436" s="10" t="s">
        <v>645</v>
      </c>
      <c r="F436" s="10" t="s">
        <v>646</v>
      </c>
      <c r="G436" s="10" t="s">
        <v>702</v>
      </c>
      <c r="H436" s="11">
        <v>5000</v>
      </c>
      <c r="I436" s="18">
        <v>240</v>
      </c>
      <c r="J436" s="13"/>
      <c r="K436" s="14"/>
      <c r="L436" s="15">
        <v>1000</v>
      </c>
      <c r="M436" s="16">
        <v>1000</v>
      </c>
      <c r="N436" s="16"/>
      <c r="O436" s="16">
        <v>1000</v>
      </c>
      <c r="P436" s="16">
        <v>1000</v>
      </c>
      <c r="Q436" s="16">
        <v>1000</v>
      </c>
      <c r="R436" s="16">
        <f t="shared" si="12"/>
        <v>5000</v>
      </c>
      <c r="S436" s="16"/>
      <c r="T436" s="17">
        <f t="shared" si="13"/>
        <v>-240</v>
      </c>
      <c r="U436" s="16" t="s">
        <v>908</v>
      </c>
      <c r="V436" s="16" t="s">
        <v>926</v>
      </c>
    </row>
    <row r="437" spans="1:22" hidden="1" x14ac:dyDescent="0.35">
      <c r="A437" s="8" t="s">
        <v>13</v>
      </c>
      <c r="B437" s="60" t="s">
        <v>931</v>
      </c>
      <c r="C437" s="9" t="s">
        <v>672</v>
      </c>
      <c r="D437" s="10" t="s">
        <v>673</v>
      </c>
      <c r="E437" s="10" t="s">
        <v>496</v>
      </c>
      <c r="F437" s="10" t="s">
        <v>497</v>
      </c>
      <c r="G437" s="10" t="s">
        <v>703</v>
      </c>
      <c r="H437" s="11">
        <v>3166</v>
      </c>
      <c r="I437" s="18">
        <v>535.9</v>
      </c>
      <c r="J437" s="13"/>
      <c r="K437" s="14"/>
      <c r="L437" s="15"/>
      <c r="M437" s="16"/>
      <c r="N437" s="16"/>
      <c r="O437" s="16"/>
      <c r="P437" s="16"/>
      <c r="Q437" s="16"/>
      <c r="R437" s="16">
        <f t="shared" si="12"/>
        <v>0</v>
      </c>
      <c r="S437" s="16"/>
      <c r="T437" s="17">
        <f t="shared" si="13"/>
        <v>2630.1</v>
      </c>
      <c r="U437" s="16" t="s">
        <v>909</v>
      </c>
      <c r="V437" s="16" t="s">
        <v>926</v>
      </c>
    </row>
    <row r="438" spans="1:22" hidden="1" x14ac:dyDescent="0.35">
      <c r="A438" s="8" t="s">
        <v>704</v>
      </c>
      <c r="B438" s="60" t="s">
        <v>934</v>
      </c>
      <c r="C438" s="9" t="s">
        <v>14</v>
      </c>
      <c r="D438" s="10" t="s">
        <v>15</v>
      </c>
      <c r="E438" s="10" t="s">
        <v>705</v>
      </c>
      <c r="F438" s="10" t="s">
        <v>706</v>
      </c>
      <c r="G438" s="10" t="s">
        <v>707</v>
      </c>
      <c r="H438" s="11">
        <v>0</v>
      </c>
      <c r="I438" s="12"/>
      <c r="J438" s="13"/>
      <c r="K438" s="14"/>
      <c r="L438" s="15"/>
      <c r="M438" s="16"/>
      <c r="N438" s="16"/>
      <c r="O438" s="16"/>
      <c r="P438" s="16"/>
      <c r="Q438" s="16"/>
      <c r="R438" s="16">
        <f t="shared" si="12"/>
        <v>0</v>
      </c>
      <c r="S438" s="16"/>
      <c r="T438" s="17">
        <f t="shared" si="13"/>
        <v>0</v>
      </c>
      <c r="U438" s="16"/>
      <c r="V438" s="16" t="s">
        <v>925</v>
      </c>
    </row>
    <row r="439" spans="1:22" hidden="1" x14ac:dyDescent="0.35">
      <c r="A439" s="8" t="s">
        <v>704</v>
      </c>
      <c r="B439" s="60" t="s">
        <v>934</v>
      </c>
      <c r="C439" s="9" t="s">
        <v>31</v>
      </c>
      <c r="D439" s="10" t="s">
        <v>32</v>
      </c>
      <c r="E439" s="10" t="s">
        <v>705</v>
      </c>
      <c r="F439" s="10" t="s">
        <v>706</v>
      </c>
      <c r="G439" s="10" t="s">
        <v>708</v>
      </c>
      <c r="H439" s="11">
        <v>0</v>
      </c>
      <c r="I439" s="12"/>
      <c r="J439" s="13"/>
      <c r="K439" s="14"/>
      <c r="L439" s="15"/>
      <c r="M439" s="16"/>
      <c r="N439" s="16"/>
      <c r="O439" s="16"/>
      <c r="P439" s="16"/>
      <c r="Q439" s="16"/>
      <c r="R439" s="16">
        <f t="shared" si="12"/>
        <v>0</v>
      </c>
      <c r="S439" s="16"/>
      <c r="T439" s="17">
        <f t="shared" si="13"/>
        <v>0</v>
      </c>
      <c r="U439" s="16"/>
      <c r="V439" s="16" t="s">
        <v>926</v>
      </c>
    </row>
    <row r="440" spans="1:22" ht="43.5" hidden="1" x14ac:dyDescent="0.35">
      <c r="A440" s="8" t="s">
        <v>704</v>
      </c>
      <c r="B440" s="60" t="s">
        <v>934</v>
      </c>
      <c r="C440" s="9" t="s">
        <v>31</v>
      </c>
      <c r="D440" s="10" t="s">
        <v>32</v>
      </c>
      <c r="E440" s="10" t="s">
        <v>709</v>
      </c>
      <c r="F440" s="10" t="s">
        <v>710</v>
      </c>
      <c r="G440" s="10" t="s">
        <v>711</v>
      </c>
      <c r="H440" s="11">
        <v>44351</v>
      </c>
      <c r="I440" s="12"/>
      <c r="J440" s="19">
        <v>0</v>
      </c>
      <c r="K440" s="11">
        <v>21854.35</v>
      </c>
      <c r="L440" s="15"/>
      <c r="M440" s="16"/>
      <c r="N440" s="16"/>
      <c r="O440" s="16"/>
      <c r="P440" s="57">
        <v>22497</v>
      </c>
      <c r="Q440" s="16"/>
      <c r="R440" s="16">
        <f t="shared" si="12"/>
        <v>22497</v>
      </c>
      <c r="S440" s="16"/>
      <c r="T440" s="17">
        <f t="shared" si="13"/>
        <v>-0.34999999999854481</v>
      </c>
      <c r="U440" s="16" t="s">
        <v>867</v>
      </c>
      <c r="V440" s="16" t="s">
        <v>926</v>
      </c>
    </row>
    <row r="441" spans="1:22" ht="21" hidden="1" x14ac:dyDescent="0.35">
      <c r="A441" s="8" t="s">
        <v>704</v>
      </c>
      <c r="B441" s="10" t="s">
        <v>933</v>
      </c>
      <c r="C441" s="9" t="s">
        <v>98</v>
      </c>
      <c r="D441" s="10" t="s">
        <v>99</v>
      </c>
      <c r="E441" s="10" t="s">
        <v>705</v>
      </c>
      <c r="F441" s="10" t="s">
        <v>706</v>
      </c>
      <c r="G441" s="10" t="s">
        <v>712</v>
      </c>
      <c r="H441" s="11">
        <v>895302</v>
      </c>
      <c r="I441" s="12"/>
      <c r="J441" s="13"/>
      <c r="K441" s="14"/>
      <c r="L441" s="15"/>
      <c r="M441" s="16"/>
      <c r="N441" s="16"/>
      <c r="O441" s="16"/>
      <c r="P441" s="16"/>
      <c r="Q441" s="16"/>
      <c r="R441" s="16">
        <f t="shared" si="12"/>
        <v>0</v>
      </c>
      <c r="S441" s="16"/>
      <c r="T441" s="17">
        <f t="shared" si="13"/>
        <v>895302</v>
      </c>
      <c r="U441" s="16"/>
      <c r="V441" s="16" t="s">
        <v>925</v>
      </c>
    </row>
    <row r="442" spans="1:22" hidden="1" x14ac:dyDescent="0.35">
      <c r="A442" s="8" t="s">
        <v>704</v>
      </c>
      <c r="B442" s="60" t="s">
        <v>938</v>
      </c>
      <c r="C442" s="9" t="s">
        <v>111</v>
      </c>
      <c r="D442" s="10" t="s">
        <v>112</v>
      </c>
      <c r="E442" s="10" t="s">
        <v>713</v>
      </c>
      <c r="F442" s="10" t="s">
        <v>714</v>
      </c>
      <c r="G442" s="10" t="s">
        <v>715</v>
      </c>
      <c r="H442" s="11">
        <v>244323</v>
      </c>
      <c r="I442" s="18">
        <v>135000</v>
      </c>
      <c r="J442" s="19">
        <v>32911</v>
      </c>
      <c r="K442" s="11">
        <v>0</v>
      </c>
      <c r="L442" s="15"/>
      <c r="M442" s="16"/>
      <c r="N442" s="16"/>
      <c r="O442" s="16"/>
      <c r="P442" s="16"/>
      <c r="Q442" s="16"/>
      <c r="R442" s="16">
        <f t="shared" si="12"/>
        <v>0</v>
      </c>
      <c r="S442" s="16"/>
      <c r="T442" s="17">
        <f t="shared" si="13"/>
        <v>76412</v>
      </c>
      <c r="U442" s="16"/>
      <c r="V442" s="16" t="s">
        <v>925</v>
      </c>
    </row>
    <row r="443" spans="1:22" hidden="1" x14ac:dyDescent="0.35">
      <c r="A443" s="8" t="s">
        <v>704</v>
      </c>
      <c r="B443" s="60" t="s">
        <v>938</v>
      </c>
      <c r="C443" s="9" t="s">
        <v>111</v>
      </c>
      <c r="D443" s="10" t="s">
        <v>112</v>
      </c>
      <c r="E443" s="10" t="s">
        <v>705</v>
      </c>
      <c r="F443" s="10" t="s">
        <v>706</v>
      </c>
      <c r="G443" s="10" t="s">
        <v>716</v>
      </c>
      <c r="H443" s="11">
        <v>697</v>
      </c>
      <c r="I443" s="12"/>
      <c r="J443" s="13"/>
      <c r="K443" s="14"/>
      <c r="L443" s="15"/>
      <c r="M443" s="16"/>
      <c r="N443" s="16"/>
      <c r="O443" s="16"/>
      <c r="P443" s="16"/>
      <c r="Q443" s="16"/>
      <c r="R443" s="16">
        <f t="shared" si="12"/>
        <v>0</v>
      </c>
      <c r="S443" s="16"/>
      <c r="T443" s="17">
        <f t="shared" si="13"/>
        <v>697</v>
      </c>
      <c r="U443" s="16"/>
      <c r="V443" s="16" t="s">
        <v>925</v>
      </c>
    </row>
    <row r="444" spans="1:22" hidden="1" x14ac:dyDescent="0.35">
      <c r="A444" s="8" t="s">
        <v>704</v>
      </c>
      <c r="B444" s="60" t="s">
        <v>938</v>
      </c>
      <c r="C444" s="9" t="s">
        <v>111</v>
      </c>
      <c r="D444" s="10" t="s">
        <v>112</v>
      </c>
      <c r="E444" s="10" t="s">
        <v>705</v>
      </c>
      <c r="F444" s="10" t="s">
        <v>706</v>
      </c>
      <c r="G444" s="10" t="s">
        <v>717</v>
      </c>
      <c r="H444" s="11">
        <v>15000000</v>
      </c>
      <c r="I444" s="18">
        <v>75000</v>
      </c>
      <c r="J444" s="19">
        <v>11884279.42</v>
      </c>
      <c r="K444" s="11">
        <v>2930492.74</v>
      </c>
      <c r="L444" s="15"/>
      <c r="M444" s="16"/>
      <c r="N444" s="16"/>
      <c r="O444" s="16"/>
      <c r="P444" s="16"/>
      <c r="Q444" s="16"/>
      <c r="R444" s="16">
        <f t="shared" si="12"/>
        <v>0</v>
      </c>
      <c r="S444" s="16"/>
      <c r="T444" s="17">
        <f t="shared" si="13"/>
        <v>110227.83999999985</v>
      </c>
      <c r="U444" s="16"/>
      <c r="V444" s="16" t="s">
        <v>925</v>
      </c>
    </row>
    <row r="445" spans="1:22" ht="26" hidden="1" x14ac:dyDescent="0.35">
      <c r="A445" s="8" t="s">
        <v>704</v>
      </c>
      <c r="B445" s="60" t="s">
        <v>930</v>
      </c>
      <c r="C445" s="9" t="s">
        <v>133</v>
      </c>
      <c r="D445" s="10" t="s">
        <v>134</v>
      </c>
      <c r="E445" s="10" t="s">
        <v>713</v>
      </c>
      <c r="F445" s="10" t="s">
        <v>714</v>
      </c>
      <c r="G445" s="10" t="s">
        <v>718</v>
      </c>
      <c r="H445" s="11">
        <v>1333260</v>
      </c>
      <c r="I445" s="12"/>
      <c r="J445" s="31">
        <v>1326000</v>
      </c>
      <c r="K445" s="14"/>
      <c r="L445" s="15"/>
      <c r="M445" s="16"/>
      <c r="N445" s="16"/>
      <c r="O445" s="16"/>
      <c r="P445" s="16"/>
      <c r="Q445" s="16"/>
      <c r="R445" s="16">
        <f t="shared" si="12"/>
        <v>0</v>
      </c>
      <c r="S445" s="29" t="s">
        <v>788</v>
      </c>
      <c r="T445" s="17">
        <f t="shared" si="13"/>
        <v>7260</v>
      </c>
      <c r="U445" s="16"/>
      <c r="V445" s="16" t="s">
        <v>926</v>
      </c>
    </row>
    <row r="446" spans="1:22" hidden="1" x14ac:dyDescent="0.35">
      <c r="A446" s="8" t="s">
        <v>704</v>
      </c>
      <c r="B446" s="60" t="s">
        <v>940</v>
      </c>
      <c r="C446" s="9" t="s">
        <v>149</v>
      </c>
      <c r="D446" s="10" t="s">
        <v>150</v>
      </c>
      <c r="E446" s="10" t="s">
        <v>705</v>
      </c>
      <c r="F446" s="10" t="s">
        <v>706</v>
      </c>
      <c r="G446" s="10" t="s">
        <v>719</v>
      </c>
      <c r="H446" s="11">
        <v>1000000</v>
      </c>
      <c r="I446" s="12"/>
      <c r="J446" s="19">
        <v>599389</v>
      </c>
      <c r="K446" s="11">
        <v>394197</v>
      </c>
      <c r="L446" s="15"/>
      <c r="M446" s="16"/>
      <c r="N446" s="16"/>
      <c r="O446" s="16"/>
      <c r="P446" s="16"/>
      <c r="Q446" s="16"/>
      <c r="R446" s="16">
        <f t="shared" si="12"/>
        <v>0</v>
      </c>
      <c r="S446" s="16"/>
      <c r="T446" s="17">
        <f t="shared" si="13"/>
        <v>6414</v>
      </c>
      <c r="U446" s="16"/>
      <c r="V446" s="16" t="s">
        <v>925</v>
      </c>
    </row>
    <row r="447" spans="1:22" hidden="1" x14ac:dyDescent="0.35">
      <c r="A447" s="8" t="s">
        <v>704</v>
      </c>
      <c r="B447" s="60" t="s">
        <v>940</v>
      </c>
      <c r="C447" s="9" t="s">
        <v>168</v>
      </c>
      <c r="D447" s="10" t="s">
        <v>169</v>
      </c>
      <c r="E447" s="10" t="s">
        <v>705</v>
      </c>
      <c r="F447" s="10" t="s">
        <v>706</v>
      </c>
      <c r="G447" s="10" t="s">
        <v>720</v>
      </c>
      <c r="H447" s="11">
        <v>805100</v>
      </c>
      <c r="I447" s="18">
        <v>800481</v>
      </c>
      <c r="J447" s="19">
        <v>-805100</v>
      </c>
      <c r="K447" s="11">
        <v>805100</v>
      </c>
      <c r="L447" s="15"/>
      <c r="M447" s="16"/>
      <c r="N447" s="16"/>
      <c r="O447" s="16"/>
      <c r="P447" s="16"/>
      <c r="Q447" s="16"/>
      <c r="R447" s="16">
        <f t="shared" si="12"/>
        <v>0</v>
      </c>
      <c r="S447" s="16"/>
      <c r="T447" s="17">
        <f t="shared" si="13"/>
        <v>4619</v>
      </c>
      <c r="U447" s="16"/>
      <c r="V447" s="16" t="s">
        <v>925</v>
      </c>
    </row>
    <row r="448" spans="1:22" hidden="1" x14ac:dyDescent="0.35">
      <c r="A448" s="8" t="s">
        <v>704</v>
      </c>
      <c r="B448" s="60" t="s">
        <v>940</v>
      </c>
      <c r="C448" s="9" t="s">
        <v>191</v>
      </c>
      <c r="D448" s="10" t="s">
        <v>192</v>
      </c>
      <c r="E448" s="10" t="s">
        <v>705</v>
      </c>
      <c r="F448" s="10" t="s">
        <v>706</v>
      </c>
      <c r="G448" s="10" t="s">
        <v>721</v>
      </c>
      <c r="H448" s="11">
        <v>433322</v>
      </c>
      <c r="I448" s="18">
        <v>380756</v>
      </c>
      <c r="J448" s="19">
        <v>-380756</v>
      </c>
      <c r="K448" s="11">
        <v>430000</v>
      </c>
      <c r="L448" s="15"/>
      <c r="M448" s="16"/>
      <c r="N448" s="16"/>
      <c r="O448" s="16"/>
      <c r="P448" s="16"/>
      <c r="Q448" s="16"/>
      <c r="R448" s="16">
        <f t="shared" si="12"/>
        <v>0</v>
      </c>
      <c r="S448" s="16"/>
      <c r="T448" s="17">
        <f t="shared" si="13"/>
        <v>3322</v>
      </c>
      <c r="U448" s="16"/>
      <c r="V448" s="16" t="s">
        <v>925</v>
      </c>
    </row>
    <row r="449" spans="1:22" hidden="1" x14ac:dyDescent="0.35">
      <c r="A449" s="8" t="s">
        <v>704</v>
      </c>
      <c r="B449" s="60" t="s">
        <v>940</v>
      </c>
      <c r="C449" s="9" t="s">
        <v>207</v>
      </c>
      <c r="D449" s="10" t="s">
        <v>208</v>
      </c>
      <c r="E449" s="10" t="s">
        <v>705</v>
      </c>
      <c r="F449" s="10" t="s">
        <v>706</v>
      </c>
      <c r="G449" s="10" t="s">
        <v>722</v>
      </c>
      <c r="H449" s="11">
        <v>13410</v>
      </c>
      <c r="I449" s="12"/>
      <c r="J449" s="13"/>
      <c r="K449" s="14"/>
      <c r="L449" s="15"/>
      <c r="M449" s="16"/>
      <c r="N449" s="16">
        <v>13400</v>
      </c>
      <c r="O449" s="16"/>
      <c r="P449" s="16"/>
      <c r="Q449" s="16"/>
      <c r="R449" s="16">
        <f t="shared" si="12"/>
        <v>13400</v>
      </c>
      <c r="S449" s="16"/>
      <c r="T449" s="17">
        <f t="shared" si="13"/>
        <v>10</v>
      </c>
      <c r="U449" s="16"/>
      <c r="V449" s="16" t="s">
        <v>926</v>
      </c>
    </row>
    <row r="450" spans="1:22" hidden="1" x14ac:dyDescent="0.35">
      <c r="A450" s="8" t="s">
        <v>704</v>
      </c>
      <c r="B450" s="60" t="s">
        <v>940</v>
      </c>
      <c r="C450" s="9" t="s">
        <v>230</v>
      </c>
      <c r="D450" s="10" t="s">
        <v>231</v>
      </c>
      <c r="E450" s="10" t="s">
        <v>705</v>
      </c>
      <c r="F450" s="10" t="s">
        <v>706</v>
      </c>
      <c r="G450" s="10" t="s">
        <v>723</v>
      </c>
      <c r="H450" s="11">
        <v>223066</v>
      </c>
      <c r="I450" s="18">
        <v>35669.660000000003</v>
      </c>
      <c r="J450" s="19">
        <v>-43554</v>
      </c>
      <c r="K450" s="11">
        <v>227970</v>
      </c>
      <c r="L450" s="15"/>
      <c r="M450" s="16"/>
      <c r="N450" s="16"/>
      <c r="O450" s="16"/>
      <c r="P450" s="16"/>
      <c r="Q450" s="16"/>
      <c r="R450" s="16">
        <f t="shared" si="12"/>
        <v>0</v>
      </c>
      <c r="S450" s="16"/>
      <c r="T450" s="17">
        <f t="shared" si="13"/>
        <v>2980.3399999999965</v>
      </c>
      <c r="U450" s="16"/>
      <c r="V450" s="16" t="s">
        <v>925</v>
      </c>
    </row>
    <row r="451" spans="1:22" ht="29" hidden="1" x14ac:dyDescent="0.35">
      <c r="A451" s="8" t="s">
        <v>704</v>
      </c>
      <c r="B451" s="60" t="s">
        <v>940</v>
      </c>
      <c r="C451" s="9" t="s">
        <v>259</v>
      </c>
      <c r="D451" s="10" t="s">
        <v>260</v>
      </c>
      <c r="E451" s="10" t="s">
        <v>705</v>
      </c>
      <c r="F451" s="10" t="s">
        <v>706</v>
      </c>
      <c r="G451" s="10" t="s">
        <v>724</v>
      </c>
      <c r="H451" s="11">
        <v>192399</v>
      </c>
      <c r="I451" s="18">
        <v>330370.78999999998</v>
      </c>
      <c r="J451" s="19">
        <v>-139309.26999999999</v>
      </c>
      <c r="K451" s="11">
        <v>2.91038304567337E-11</v>
      </c>
      <c r="L451" s="15"/>
      <c r="M451" s="16"/>
      <c r="N451" s="16">
        <v>1337</v>
      </c>
      <c r="O451" s="16"/>
      <c r="P451" s="16"/>
      <c r="Q451" s="16"/>
      <c r="R451" s="16">
        <f t="shared" si="12"/>
        <v>1337</v>
      </c>
      <c r="S451" s="16" t="s">
        <v>832</v>
      </c>
      <c r="T451" s="17">
        <f t="shared" si="13"/>
        <v>0.47999999998137355</v>
      </c>
      <c r="U451" s="16"/>
      <c r="V451" s="16" t="s">
        <v>926</v>
      </c>
    </row>
    <row r="452" spans="1:22" hidden="1" x14ac:dyDescent="0.35">
      <c r="A452" s="8" t="s">
        <v>704</v>
      </c>
      <c r="B452" s="60" t="s">
        <v>936</v>
      </c>
      <c r="C452" s="9" t="s">
        <v>284</v>
      </c>
      <c r="D452" s="10" t="s">
        <v>285</v>
      </c>
      <c r="E452" s="10" t="s">
        <v>705</v>
      </c>
      <c r="F452" s="10" t="s">
        <v>706</v>
      </c>
      <c r="G452" s="10" t="s">
        <v>725</v>
      </c>
      <c r="H452" s="11">
        <v>1</v>
      </c>
      <c r="I452" s="12"/>
      <c r="J452" s="13"/>
      <c r="K452" s="14"/>
      <c r="L452" s="15"/>
      <c r="M452" s="16"/>
      <c r="N452" s="16"/>
      <c r="O452" s="16"/>
      <c r="P452" s="16"/>
      <c r="Q452" s="16"/>
      <c r="R452" s="16">
        <f t="shared" si="12"/>
        <v>0</v>
      </c>
      <c r="S452" s="16"/>
      <c r="T452" s="17">
        <f t="shared" ref="T452:T480" si="14">H452-I452-J452-K452-L452-M452-N452-O452-P452-Q452</f>
        <v>1</v>
      </c>
      <c r="U452" s="16"/>
      <c r="V452" s="16" t="s">
        <v>925</v>
      </c>
    </row>
    <row r="453" spans="1:22" ht="87" hidden="1" x14ac:dyDescent="0.35">
      <c r="A453" s="8" t="s">
        <v>704</v>
      </c>
      <c r="B453" s="60" t="s">
        <v>936</v>
      </c>
      <c r="C453" s="9" t="s">
        <v>306</v>
      </c>
      <c r="D453" s="10" t="s">
        <v>307</v>
      </c>
      <c r="E453" s="10" t="s">
        <v>705</v>
      </c>
      <c r="F453" s="10" t="s">
        <v>706</v>
      </c>
      <c r="G453" s="10" t="s">
        <v>726</v>
      </c>
      <c r="H453" s="11">
        <v>1158260</v>
      </c>
      <c r="I453" s="18">
        <v>54159.1</v>
      </c>
      <c r="J453" s="19">
        <v>518307.21</v>
      </c>
      <c r="K453" s="11">
        <v>533770</v>
      </c>
      <c r="L453" s="53">
        <v>28245</v>
      </c>
      <c r="M453" s="16">
        <v>0</v>
      </c>
      <c r="N453" s="16">
        <v>0</v>
      </c>
      <c r="O453" s="16">
        <v>0</v>
      </c>
      <c r="P453" s="16">
        <v>0</v>
      </c>
      <c r="Q453" s="16">
        <v>0</v>
      </c>
      <c r="R453" s="16">
        <f t="shared" ref="R453:R480" si="15">Q453+P453+O453+N453+M453+L453</f>
        <v>28245</v>
      </c>
      <c r="S453" s="16" t="s">
        <v>857</v>
      </c>
      <c r="T453" s="17">
        <f t="shared" si="14"/>
        <v>23778.689999999944</v>
      </c>
      <c r="U453" s="16" t="s">
        <v>863</v>
      </c>
      <c r="V453" s="16" t="s">
        <v>926</v>
      </c>
    </row>
    <row r="454" spans="1:22" hidden="1" x14ac:dyDescent="0.35">
      <c r="A454" s="8" t="s">
        <v>704</v>
      </c>
      <c r="B454" s="60" t="s">
        <v>936</v>
      </c>
      <c r="C454" s="9" t="s">
        <v>317</v>
      </c>
      <c r="D454" s="10" t="s">
        <v>318</v>
      </c>
      <c r="E454" s="10" t="s">
        <v>705</v>
      </c>
      <c r="F454" s="10" t="s">
        <v>706</v>
      </c>
      <c r="G454" s="10" t="s">
        <v>727</v>
      </c>
      <c r="H454" s="11">
        <v>894488</v>
      </c>
      <c r="I454" s="18">
        <v>131146.73000000001</v>
      </c>
      <c r="J454" s="19">
        <v>276108.79999999999</v>
      </c>
      <c r="K454" s="11">
        <v>289712.83</v>
      </c>
      <c r="L454" s="15">
        <v>100000</v>
      </c>
      <c r="M454" s="16">
        <v>97520</v>
      </c>
      <c r="N454" s="16"/>
      <c r="O454" s="16"/>
      <c r="P454" s="16"/>
      <c r="Q454" s="16"/>
      <c r="R454" s="16">
        <f t="shared" si="15"/>
        <v>197520</v>
      </c>
      <c r="S454" s="72" t="s">
        <v>966</v>
      </c>
      <c r="T454" s="17">
        <f t="shared" si="14"/>
        <v>-0.35999999998603016</v>
      </c>
      <c r="U454" s="16"/>
      <c r="V454" s="16" t="s">
        <v>926</v>
      </c>
    </row>
    <row r="455" spans="1:22" hidden="1" x14ac:dyDescent="0.35">
      <c r="A455" s="8" t="s">
        <v>704</v>
      </c>
      <c r="B455" s="60" t="s">
        <v>936</v>
      </c>
      <c r="C455" s="9" t="s">
        <v>351</v>
      </c>
      <c r="D455" s="10" t="s">
        <v>352</v>
      </c>
      <c r="E455" s="10" t="s">
        <v>705</v>
      </c>
      <c r="F455" s="10" t="s">
        <v>706</v>
      </c>
      <c r="G455" s="10" t="s">
        <v>728</v>
      </c>
      <c r="H455" s="11">
        <v>68000</v>
      </c>
      <c r="I455" s="12"/>
      <c r="J455" s="13"/>
      <c r="K455" s="14"/>
      <c r="L455" s="15"/>
      <c r="M455" s="16"/>
      <c r="N455" s="16"/>
      <c r="O455" s="16"/>
      <c r="P455" s="16"/>
      <c r="Q455" s="16"/>
      <c r="R455" s="16">
        <f t="shared" si="15"/>
        <v>0</v>
      </c>
      <c r="S455" s="16"/>
      <c r="T455" s="17">
        <f t="shared" si="14"/>
        <v>68000</v>
      </c>
      <c r="U455" s="16"/>
      <c r="V455" s="16" t="s">
        <v>925</v>
      </c>
    </row>
    <row r="456" spans="1:22" hidden="1" x14ac:dyDescent="0.35">
      <c r="A456" s="8" t="s">
        <v>704</v>
      </c>
      <c r="B456" s="60" t="s">
        <v>936</v>
      </c>
      <c r="C456" s="9" t="s">
        <v>358</v>
      </c>
      <c r="D456" s="10" t="s">
        <v>359</v>
      </c>
      <c r="E456" s="10" t="s">
        <v>713</v>
      </c>
      <c r="F456" s="10" t="s">
        <v>714</v>
      </c>
      <c r="G456" s="10" t="s">
        <v>729</v>
      </c>
      <c r="H456" s="14"/>
      <c r="I456" s="18">
        <v>0</v>
      </c>
      <c r="J456" s="13"/>
      <c r="K456" s="14"/>
      <c r="L456" s="15"/>
      <c r="M456" s="16"/>
      <c r="N456" s="16"/>
      <c r="O456" s="16"/>
      <c r="P456" s="16"/>
      <c r="Q456" s="16"/>
      <c r="R456" s="16">
        <f t="shared" si="15"/>
        <v>0</v>
      </c>
      <c r="S456" s="16"/>
      <c r="T456" s="17">
        <f t="shared" si="14"/>
        <v>0</v>
      </c>
      <c r="U456" s="16"/>
      <c r="V456" s="16" t="s">
        <v>925</v>
      </c>
    </row>
    <row r="457" spans="1:22" hidden="1" x14ac:dyDescent="0.35">
      <c r="A457" s="8" t="s">
        <v>704</v>
      </c>
      <c r="B457" s="60" t="s">
        <v>936</v>
      </c>
      <c r="C457" s="9" t="s">
        <v>358</v>
      </c>
      <c r="D457" s="10" t="s">
        <v>359</v>
      </c>
      <c r="E457" s="10" t="s">
        <v>705</v>
      </c>
      <c r="F457" s="10" t="s">
        <v>706</v>
      </c>
      <c r="G457" s="10" t="s">
        <v>730</v>
      </c>
      <c r="H457" s="11">
        <v>285100</v>
      </c>
      <c r="I457" s="18">
        <v>47150</v>
      </c>
      <c r="J457" s="19">
        <v>237648.56</v>
      </c>
      <c r="K457" s="11">
        <v>0</v>
      </c>
      <c r="L457" s="15"/>
      <c r="M457" s="16"/>
      <c r="N457" s="16"/>
      <c r="O457" s="16"/>
      <c r="P457" s="16"/>
      <c r="Q457" s="16"/>
      <c r="R457" s="16">
        <f t="shared" si="15"/>
        <v>0</v>
      </c>
      <c r="S457" s="16"/>
      <c r="T457" s="17">
        <f t="shared" si="14"/>
        <v>301.44000000000233</v>
      </c>
      <c r="U457" s="16"/>
      <c r="V457" s="16" t="s">
        <v>925</v>
      </c>
    </row>
    <row r="458" spans="1:22" hidden="1" x14ac:dyDescent="0.35">
      <c r="A458" s="8" t="s">
        <v>704</v>
      </c>
      <c r="B458" s="60" t="s">
        <v>936</v>
      </c>
      <c r="C458" s="9" t="s">
        <v>369</v>
      </c>
      <c r="D458" s="10" t="s">
        <v>370</v>
      </c>
      <c r="E458" s="10" t="s">
        <v>705</v>
      </c>
      <c r="F458" s="10" t="s">
        <v>706</v>
      </c>
      <c r="G458" s="10" t="s">
        <v>731</v>
      </c>
      <c r="H458" s="11">
        <v>545755</v>
      </c>
      <c r="I458" s="18">
        <v>2808.8</v>
      </c>
      <c r="J458" s="19">
        <v>298299</v>
      </c>
      <c r="K458" s="11">
        <v>203840</v>
      </c>
      <c r="L458" s="15"/>
      <c r="M458" s="16">
        <v>40500</v>
      </c>
      <c r="N458" s="16"/>
      <c r="O458" s="16"/>
      <c r="P458" s="16"/>
      <c r="Q458" s="16"/>
      <c r="R458" s="16">
        <f t="shared" si="15"/>
        <v>40500</v>
      </c>
      <c r="S458" s="16"/>
      <c r="T458" s="17">
        <f t="shared" si="14"/>
        <v>307.19999999995343</v>
      </c>
      <c r="U458" s="16"/>
      <c r="V458" s="16" t="s">
        <v>926</v>
      </c>
    </row>
    <row r="459" spans="1:22" hidden="1" x14ac:dyDescent="0.35">
      <c r="A459" s="8" t="s">
        <v>704</v>
      </c>
      <c r="B459" s="60" t="s">
        <v>932</v>
      </c>
      <c r="C459" s="9" t="s">
        <v>384</v>
      </c>
      <c r="D459" s="10" t="s">
        <v>385</v>
      </c>
      <c r="E459" s="10" t="s">
        <v>732</v>
      </c>
      <c r="F459" s="10" t="s">
        <v>733</v>
      </c>
      <c r="G459" s="10" t="s">
        <v>734</v>
      </c>
      <c r="H459" s="11">
        <v>1443208</v>
      </c>
      <c r="I459" s="18">
        <v>8480</v>
      </c>
      <c r="J459" s="19">
        <v>587776</v>
      </c>
      <c r="K459" s="11">
        <v>0</v>
      </c>
      <c r="L459" s="15"/>
      <c r="M459" s="16"/>
      <c r="N459" s="16"/>
      <c r="O459" s="16"/>
      <c r="P459" s="16"/>
      <c r="Q459" s="16"/>
      <c r="R459" s="16">
        <f t="shared" si="15"/>
        <v>0</v>
      </c>
      <c r="S459" s="16"/>
      <c r="T459" s="17">
        <f t="shared" si="14"/>
        <v>846952</v>
      </c>
      <c r="U459" s="16"/>
      <c r="V459" s="16" t="s">
        <v>925</v>
      </c>
    </row>
    <row r="460" spans="1:22" hidden="1" x14ac:dyDescent="0.35">
      <c r="A460" s="8" t="s">
        <v>704</v>
      </c>
      <c r="B460" s="60" t="s">
        <v>932</v>
      </c>
      <c r="C460" s="9" t="s">
        <v>384</v>
      </c>
      <c r="D460" s="10" t="s">
        <v>385</v>
      </c>
      <c r="E460" s="10" t="s">
        <v>732</v>
      </c>
      <c r="F460" s="10" t="s">
        <v>733</v>
      </c>
      <c r="G460" s="10" t="s">
        <v>735</v>
      </c>
      <c r="H460" s="11">
        <v>29208099</v>
      </c>
      <c r="I460" s="18">
        <v>989346.6</v>
      </c>
      <c r="J460" s="19">
        <v>16508529.35</v>
      </c>
      <c r="K460" s="11">
        <v>11119206.550000001</v>
      </c>
      <c r="L460" s="15"/>
      <c r="M460" s="16"/>
      <c r="N460" s="16"/>
      <c r="O460" s="16"/>
      <c r="P460" s="16"/>
      <c r="Q460" s="16"/>
      <c r="R460" s="16">
        <f t="shared" si="15"/>
        <v>0</v>
      </c>
      <c r="S460" s="16"/>
      <c r="T460" s="17">
        <f t="shared" si="14"/>
        <v>591016.49999999814</v>
      </c>
      <c r="U460" s="16"/>
      <c r="V460" s="16" t="s">
        <v>925</v>
      </c>
    </row>
    <row r="461" spans="1:22" hidden="1" x14ac:dyDescent="0.35">
      <c r="A461" s="8" t="s">
        <v>704</v>
      </c>
      <c r="B461" s="60" t="s">
        <v>932</v>
      </c>
      <c r="C461" s="9" t="s">
        <v>384</v>
      </c>
      <c r="D461" s="10" t="s">
        <v>385</v>
      </c>
      <c r="E461" s="10" t="s">
        <v>732</v>
      </c>
      <c r="F461" s="10" t="s">
        <v>733</v>
      </c>
      <c r="G461" s="10" t="s">
        <v>736</v>
      </c>
      <c r="H461" s="11">
        <v>1000000</v>
      </c>
      <c r="I461" s="12"/>
      <c r="J461" s="13"/>
      <c r="K461" s="14"/>
      <c r="L461" s="15"/>
      <c r="M461" s="16"/>
      <c r="N461" s="16"/>
      <c r="O461" s="16"/>
      <c r="P461" s="16"/>
      <c r="Q461" s="16"/>
      <c r="R461" s="16">
        <f t="shared" si="15"/>
        <v>0</v>
      </c>
      <c r="S461" s="16"/>
      <c r="T461" s="17">
        <f t="shared" si="14"/>
        <v>1000000</v>
      </c>
      <c r="U461" s="16"/>
      <c r="V461" s="16" t="s">
        <v>925</v>
      </c>
    </row>
    <row r="462" spans="1:22" hidden="1" x14ac:dyDescent="0.35">
      <c r="A462" s="8" t="s">
        <v>704</v>
      </c>
      <c r="B462" s="60" t="s">
        <v>932</v>
      </c>
      <c r="C462" s="9" t="s">
        <v>384</v>
      </c>
      <c r="D462" s="10" t="s">
        <v>385</v>
      </c>
      <c r="E462" s="10" t="s">
        <v>732</v>
      </c>
      <c r="F462" s="10" t="s">
        <v>733</v>
      </c>
      <c r="G462" s="10" t="s">
        <v>737</v>
      </c>
      <c r="H462" s="11">
        <v>19109546</v>
      </c>
      <c r="I462" s="18">
        <v>549326.5</v>
      </c>
      <c r="J462" s="19">
        <v>16575938</v>
      </c>
      <c r="K462" s="11">
        <v>1326313.75</v>
      </c>
      <c r="L462" s="15"/>
      <c r="M462" s="16"/>
      <c r="N462" s="16"/>
      <c r="O462" s="16"/>
      <c r="P462" s="16"/>
      <c r="Q462" s="16"/>
      <c r="R462" s="16">
        <f t="shared" si="15"/>
        <v>0</v>
      </c>
      <c r="S462" s="16"/>
      <c r="T462" s="17">
        <f t="shared" si="14"/>
        <v>657967.75</v>
      </c>
      <c r="U462" s="16"/>
      <c r="V462" s="16" t="s">
        <v>925</v>
      </c>
    </row>
    <row r="463" spans="1:22" hidden="1" x14ac:dyDescent="0.35">
      <c r="A463" s="8" t="s">
        <v>704</v>
      </c>
      <c r="B463" s="60" t="s">
        <v>932</v>
      </c>
      <c r="C463" s="9" t="s">
        <v>384</v>
      </c>
      <c r="D463" s="10" t="s">
        <v>385</v>
      </c>
      <c r="E463" s="10" t="s">
        <v>738</v>
      </c>
      <c r="F463" s="10" t="s">
        <v>739</v>
      </c>
      <c r="G463" s="10" t="s">
        <v>740</v>
      </c>
      <c r="H463" s="11">
        <v>1000000</v>
      </c>
      <c r="I463" s="12"/>
      <c r="J463" s="19">
        <v>0</v>
      </c>
      <c r="K463" s="11">
        <v>187300</v>
      </c>
      <c r="L463" s="15"/>
      <c r="M463" s="16"/>
      <c r="N463" s="16"/>
      <c r="O463" s="16"/>
      <c r="P463" s="16"/>
      <c r="Q463" s="16"/>
      <c r="R463" s="16">
        <f t="shared" si="15"/>
        <v>0</v>
      </c>
      <c r="S463" s="16"/>
      <c r="T463" s="17">
        <f t="shared" si="14"/>
        <v>812700</v>
      </c>
      <c r="U463" s="16"/>
      <c r="V463" s="16" t="s">
        <v>925</v>
      </c>
    </row>
    <row r="464" spans="1:22" hidden="1" x14ac:dyDescent="0.35">
      <c r="A464" s="8" t="s">
        <v>704</v>
      </c>
      <c r="B464" s="60" t="s">
        <v>932</v>
      </c>
      <c r="C464" s="9" t="s">
        <v>384</v>
      </c>
      <c r="D464" s="10" t="s">
        <v>385</v>
      </c>
      <c r="E464" s="10" t="s">
        <v>738</v>
      </c>
      <c r="F464" s="10" t="s">
        <v>739</v>
      </c>
      <c r="G464" s="10" t="s">
        <v>741</v>
      </c>
      <c r="H464" s="11">
        <v>289920</v>
      </c>
      <c r="I464" s="12"/>
      <c r="J464" s="19">
        <v>289920</v>
      </c>
      <c r="K464" s="14"/>
      <c r="L464" s="15"/>
      <c r="M464" s="16"/>
      <c r="N464" s="16"/>
      <c r="O464" s="16"/>
      <c r="P464" s="16"/>
      <c r="Q464" s="16"/>
      <c r="R464" s="16">
        <f t="shared" si="15"/>
        <v>0</v>
      </c>
      <c r="S464" s="16"/>
      <c r="T464" s="17">
        <f t="shared" si="14"/>
        <v>0</v>
      </c>
      <c r="U464" s="16"/>
      <c r="V464" s="16" t="s">
        <v>925</v>
      </c>
    </row>
    <row r="465" spans="1:22" hidden="1" x14ac:dyDescent="0.35">
      <c r="A465" s="8" t="s">
        <v>704</v>
      </c>
      <c r="B465" s="60" t="s">
        <v>932</v>
      </c>
      <c r="C465" s="9" t="s">
        <v>384</v>
      </c>
      <c r="D465" s="10" t="s">
        <v>385</v>
      </c>
      <c r="E465" s="10" t="s">
        <v>738</v>
      </c>
      <c r="F465" s="10" t="s">
        <v>739</v>
      </c>
      <c r="G465" s="10" t="s">
        <v>742</v>
      </c>
      <c r="H465" s="11">
        <v>31488</v>
      </c>
      <c r="I465" s="12"/>
      <c r="J465" s="19">
        <v>0</v>
      </c>
      <c r="K465" s="14"/>
      <c r="L465" s="15"/>
      <c r="M465" s="16"/>
      <c r="N465" s="16"/>
      <c r="O465" s="16"/>
      <c r="P465" s="16"/>
      <c r="Q465" s="16"/>
      <c r="R465" s="16">
        <f t="shared" si="15"/>
        <v>0</v>
      </c>
      <c r="S465" s="16"/>
      <c r="T465" s="17">
        <f t="shared" si="14"/>
        <v>31488</v>
      </c>
      <c r="U465" s="16"/>
      <c r="V465" s="16" t="s">
        <v>925</v>
      </c>
    </row>
    <row r="466" spans="1:22" hidden="1" x14ac:dyDescent="0.35">
      <c r="A466" s="8" t="s">
        <v>704</v>
      </c>
      <c r="B466" s="60" t="s">
        <v>932</v>
      </c>
      <c r="C466" s="9" t="s">
        <v>384</v>
      </c>
      <c r="D466" s="10" t="s">
        <v>385</v>
      </c>
      <c r="E466" s="10" t="s">
        <v>738</v>
      </c>
      <c r="F466" s="10" t="s">
        <v>739</v>
      </c>
      <c r="G466" s="10" t="s">
        <v>743</v>
      </c>
      <c r="H466" s="11">
        <v>4000000</v>
      </c>
      <c r="I466" s="12"/>
      <c r="J466" s="19">
        <v>836993.5</v>
      </c>
      <c r="K466" s="11">
        <v>149800</v>
      </c>
      <c r="L466" s="15"/>
      <c r="M466" s="16"/>
      <c r="N466" s="16"/>
      <c r="O466" s="16"/>
      <c r="P466" s="16"/>
      <c r="Q466" s="16"/>
      <c r="R466" s="16">
        <f t="shared" si="15"/>
        <v>0</v>
      </c>
      <c r="S466" s="16"/>
      <c r="T466" s="17">
        <f t="shared" si="14"/>
        <v>3013206.5</v>
      </c>
      <c r="U466" s="16"/>
      <c r="V466" s="16" t="s">
        <v>925</v>
      </c>
    </row>
    <row r="467" spans="1:22" hidden="1" x14ac:dyDescent="0.35">
      <c r="A467" s="8" t="s">
        <v>704</v>
      </c>
      <c r="B467" s="60" t="s">
        <v>932</v>
      </c>
      <c r="C467" s="9" t="s">
        <v>384</v>
      </c>
      <c r="D467" s="10" t="s">
        <v>385</v>
      </c>
      <c r="E467" s="10" t="s">
        <v>738</v>
      </c>
      <c r="F467" s="10" t="s">
        <v>739</v>
      </c>
      <c r="G467" s="10" t="s">
        <v>744</v>
      </c>
      <c r="H467" s="11">
        <v>41141</v>
      </c>
      <c r="I467" s="12"/>
      <c r="J467" s="19">
        <v>1</v>
      </c>
      <c r="K467" s="14"/>
      <c r="L467" s="15"/>
      <c r="M467" s="16"/>
      <c r="N467" s="16"/>
      <c r="O467" s="16"/>
      <c r="P467" s="16"/>
      <c r="Q467" s="16"/>
      <c r="R467" s="16">
        <f t="shared" si="15"/>
        <v>0</v>
      </c>
      <c r="S467" s="16"/>
      <c r="T467" s="17">
        <f t="shared" si="14"/>
        <v>41140</v>
      </c>
      <c r="U467" s="16"/>
      <c r="V467" s="16" t="s">
        <v>925</v>
      </c>
    </row>
    <row r="468" spans="1:22" hidden="1" x14ac:dyDescent="0.35">
      <c r="A468" s="8" t="s">
        <v>704</v>
      </c>
      <c r="B468" s="60" t="s">
        <v>932</v>
      </c>
      <c r="C468" s="9" t="s">
        <v>384</v>
      </c>
      <c r="D468" s="10" t="s">
        <v>385</v>
      </c>
      <c r="E468" s="10" t="s">
        <v>709</v>
      </c>
      <c r="F468" s="10" t="s">
        <v>710</v>
      </c>
      <c r="G468" s="10" t="s">
        <v>745</v>
      </c>
      <c r="H468" s="11">
        <v>181000</v>
      </c>
      <c r="I468" s="18">
        <v>30302.25</v>
      </c>
      <c r="J468" s="19">
        <v>150000</v>
      </c>
      <c r="K468" s="11">
        <v>0</v>
      </c>
      <c r="L468" s="15"/>
      <c r="M468" s="16"/>
      <c r="N468" s="16"/>
      <c r="O468" s="16"/>
      <c r="P468" s="16"/>
      <c r="Q468" s="16"/>
      <c r="R468" s="16">
        <f t="shared" si="15"/>
        <v>0</v>
      </c>
      <c r="S468" s="16"/>
      <c r="T468" s="17">
        <f t="shared" si="14"/>
        <v>697.75</v>
      </c>
      <c r="U468" s="16"/>
      <c r="V468" s="16" t="s">
        <v>925</v>
      </c>
    </row>
    <row r="469" spans="1:22" hidden="1" x14ac:dyDescent="0.35">
      <c r="A469" s="8" t="s">
        <v>704</v>
      </c>
      <c r="B469" s="60" t="s">
        <v>943</v>
      </c>
      <c r="C469" s="9" t="s">
        <v>507</v>
      </c>
      <c r="D469" s="10" t="s">
        <v>508</v>
      </c>
      <c r="E469" s="10" t="s">
        <v>713</v>
      </c>
      <c r="F469" s="10" t="s">
        <v>714</v>
      </c>
      <c r="G469" s="10" t="s">
        <v>746</v>
      </c>
      <c r="H469" s="11">
        <v>274935</v>
      </c>
      <c r="I469" s="18">
        <v>10775</v>
      </c>
      <c r="J469" s="19">
        <v>0</v>
      </c>
      <c r="K469" s="11">
        <v>264160</v>
      </c>
      <c r="L469" s="15"/>
      <c r="M469" s="16"/>
      <c r="N469" s="16"/>
      <c r="O469" s="16"/>
      <c r="P469" s="16"/>
      <c r="Q469" s="16"/>
      <c r="R469" s="16">
        <f t="shared" si="15"/>
        <v>0</v>
      </c>
      <c r="S469" s="16"/>
      <c r="T469" s="17">
        <f t="shared" si="14"/>
        <v>0</v>
      </c>
      <c r="U469" s="16"/>
      <c r="V469" s="16" t="s">
        <v>926</v>
      </c>
    </row>
    <row r="470" spans="1:22" hidden="1" x14ac:dyDescent="0.35">
      <c r="A470" s="8" t="s">
        <v>704</v>
      </c>
      <c r="B470" s="60" t="s">
        <v>943</v>
      </c>
      <c r="C470" s="9" t="s">
        <v>507</v>
      </c>
      <c r="D470" s="10" t="s">
        <v>508</v>
      </c>
      <c r="E470" s="10" t="s">
        <v>747</v>
      </c>
      <c r="F470" s="10" t="s">
        <v>748</v>
      </c>
      <c r="G470" s="10" t="s">
        <v>749</v>
      </c>
      <c r="H470" s="11">
        <v>687864</v>
      </c>
      <c r="I470" s="12"/>
      <c r="J470" s="19">
        <v>202306</v>
      </c>
      <c r="K470" s="11">
        <v>485558</v>
      </c>
      <c r="L470" s="15"/>
      <c r="M470" s="16"/>
      <c r="N470" s="16"/>
      <c r="O470" s="16"/>
      <c r="P470" s="16"/>
      <c r="Q470" s="16"/>
      <c r="R470" s="16">
        <f t="shared" si="15"/>
        <v>0</v>
      </c>
      <c r="S470" s="16"/>
      <c r="T470" s="17">
        <f t="shared" si="14"/>
        <v>0</v>
      </c>
      <c r="U470" s="16"/>
      <c r="V470" s="16" t="s">
        <v>926</v>
      </c>
    </row>
    <row r="471" spans="1:22" ht="21" hidden="1" x14ac:dyDescent="0.35">
      <c r="A471" s="8" t="s">
        <v>704</v>
      </c>
      <c r="B471" s="60" t="s">
        <v>943</v>
      </c>
      <c r="C471" s="9" t="s">
        <v>507</v>
      </c>
      <c r="D471" s="10" t="s">
        <v>508</v>
      </c>
      <c r="E471" s="10" t="s">
        <v>750</v>
      </c>
      <c r="F471" s="10" t="s">
        <v>751</v>
      </c>
      <c r="G471" s="10" t="s">
        <v>752</v>
      </c>
      <c r="H471" s="11">
        <v>24560</v>
      </c>
      <c r="I471" s="18">
        <v>24560</v>
      </c>
      <c r="J471" s="19">
        <v>0</v>
      </c>
      <c r="K471" s="11">
        <v>0</v>
      </c>
      <c r="L471" s="15"/>
      <c r="M471" s="16"/>
      <c r="N471" s="16"/>
      <c r="O471" s="16"/>
      <c r="P471" s="16"/>
      <c r="Q471" s="16"/>
      <c r="R471" s="16">
        <f t="shared" si="15"/>
        <v>0</v>
      </c>
      <c r="S471" s="16"/>
      <c r="T471" s="17">
        <f t="shared" si="14"/>
        <v>0</v>
      </c>
      <c r="U471" s="16"/>
      <c r="V471" s="16" t="s">
        <v>926</v>
      </c>
    </row>
    <row r="472" spans="1:22" ht="21" hidden="1" x14ac:dyDescent="0.35">
      <c r="A472" s="8" t="s">
        <v>704</v>
      </c>
      <c r="B472" s="60" t="s">
        <v>943</v>
      </c>
      <c r="C472" s="9" t="s">
        <v>507</v>
      </c>
      <c r="D472" s="10" t="s">
        <v>508</v>
      </c>
      <c r="E472" s="10" t="s">
        <v>753</v>
      </c>
      <c r="F472" s="10" t="s">
        <v>754</v>
      </c>
      <c r="G472" s="10" t="s">
        <v>755</v>
      </c>
      <c r="H472" s="11">
        <v>2430092</v>
      </c>
      <c r="I472" s="18">
        <v>2</v>
      </c>
      <c r="J472" s="19">
        <v>1767433</v>
      </c>
      <c r="K472" s="11">
        <v>2</v>
      </c>
      <c r="L472" s="23">
        <v>662655</v>
      </c>
      <c r="M472" s="22"/>
      <c r="N472" s="22"/>
      <c r="O472" s="22"/>
      <c r="P472" s="22"/>
      <c r="Q472" s="22"/>
      <c r="R472" s="16">
        <f t="shared" si="15"/>
        <v>662655</v>
      </c>
      <c r="S472" s="25" t="s">
        <v>776</v>
      </c>
      <c r="T472" s="17">
        <f t="shared" si="14"/>
        <v>0</v>
      </c>
      <c r="U472" s="16"/>
      <c r="V472" s="16" t="s">
        <v>926</v>
      </c>
    </row>
    <row r="473" spans="1:22" hidden="1" x14ac:dyDescent="0.35">
      <c r="A473" s="8" t="s">
        <v>704</v>
      </c>
      <c r="B473" s="60" t="s">
        <v>943</v>
      </c>
      <c r="C473" s="9" t="s">
        <v>507</v>
      </c>
      <c r="D473" s="10" t="s">
        <v>508</v>
      </c>
      <c r="E473" s="10" t="s">
        <v>709</v>
      </c>
      <c r="F473" s="10" t="s">
        <v>710</v>
      </c>
      <c r="G473" s="10" t="s">
        <v>756</v>
      </c>
      <c r="H473" s="11">
        <v>0</v>
      </c>
      <c r="I473" s="12"/>
      <c r="J473" s="13"/>
      <c r="K473" s="14"/>
      <c r="L473" s="15"/>
      <c r="M473" s="16"/>
      <c r="N473" s="16"/>
      <c r="O473" s="16"/>
      <c r="P473" s="16"/>
      <c r="Q473" s="16"/>
      <c r="R473" s="16">
        <f t="shared" si="15"/>
        <v>0</v>
      </c>
      <c r="S473" s="16"/>
      <c r="T473" s="17">
        <f t="shared" si="14"/>
        <v>0</v>
      </c>
      <c r="U473" s="16"/>
      <c r="V473" s="16" t="s">
        <v>926</v>
      </c>
    </row>
    <row r="474" spans="1:22" hidden="1" x14ac:dyDescent="0.35">
      <c r="A474" s="8" t="s">
        <v>704</v>
      </c>
      <c r="B474" s="61" t="s">
        <v>937</v>
      </c>
      <c r="C474" s="9" t="s">
        <v>552</v>
      </c>
      <c r="D474" s="10" t="s">
        <v>553</v>
      </c>
      <c r="E474" s="10" t="s">
        <v>709</v>
      </c>
      <c r="F474" s="10" t="s">
        <v>710</v>
      </c>
      <c r="G474" s="10" t="s">
        <v>757</v>
      </c>
      <c r="H474" s="11">
        <v>289000</v>
      </c>
      <c r="I474" s="18">
        <v>287963.2</v>
      </c>
      <c r="J474" s="13"/>
      <c r="K474" s="14"/>
      <c r="L474" s="15"/>
      <c r="M474" s="16"/>
      <c r="N474" s="16"/>
      <c r="O474" s="16"/>
      <c r="P474" s="16"/>
      <c r="Q474" s="16"/>
      <c r="R474" s="16">
        <f t="shared" si="15"/>
        <v>0</v>
      </c>
      <c r="S474" s="16"/>
      <c r="T474" s="17">
        <f t="shared" si="14"/>
        <v>1036.7999999999884</v>
      </c>
      <c r="U474" s="16" t="s">
        <v>875</v>
      </c>
      <c r="V474" s="16" t="s">
        <v>926</v>
      </c>
    </row>
    <row r="475" spans="1:22" hidden="1" x14ac:dyDescent="0.35">
      <c r="A475" s="8" t="s">
        <v>704</v>
      </c>
      <c r="B475" s="61" t="s">
        <v>937</v>
      </c>
      <c r="C475" s="9" t="s">
        <v>570</v>
      </c>
      <c r="D475" s="10" t="s">
        <v>571</v>
      </c>
      <c r="E475" s="10" t="s">
        <v>732</v>
      </c>
      <c r="F475" s="10" t="s">
        <v>733</v>
      </c>
      <c r="G475" s="10" t="s">
        <v>758</v>
      </c>
      <c r="H475" s="11">
        <v>724500</v>
      </c>
      <c r="I475" s="18">
        <v>64500</v>
      </c>
      <c r="J475" s="19">
        <v>-32000</v>
      </c>
      <c r="K475" s="11">
        <v>0</v>
      </c>
      <c r="L475" s="15"/>
      <c r="M475" s="16"/>
      <c r="N475" s="16"/>
      <c r="O475" s="16"/>
      <c r="P475" s="16"/>
      <c r="Q475" s="16"/>
      <c r="R475" s="16">
        <f t="shared" si="15"/>
        <v>0</v>
      </c>
      <c r="S475" s="16"/>
      <c r="T475" s="17">
        <f t="shared" si="14"/>
        <v>692000</v>
      </c>
      <c r="U475" s="16"/>
      <c r="V475" s="16" t="s">
        <v>925</v>
      </c>
    </row>
    <row r="476" spans="1:22" hidden="1" x14ac:dyDescent="0.35">
      <c r="A476" s="8" t="s">
        <v>704</v>
      </c>
      <c r="B476" s="61" t="s">
        <v>937</v>
      </c>
      <c r="C476" s="9" t="s">
        <v>570</v>
      </c>
      <c r="D476" s="10" t="s">
        <v>571</v>
      </c>
      <c r="E476" s="10" t="s">
        <v>705</v>
      </c>
      <c r="F476" s="10" t="s">
        <v>706</v>
      </c>
      <c r="G476" s="10" t="s">
        <v>759</v>
      </c>
      <c r="H476" s="11">
        <v>72051050</v>
      </c>
      <c r="I476" s="18">
        <v>547715.42000000004</v>
      </c>
      <c r="J476" s="19">
        <v>-354955.02</v>
      </c>
      <c r="K476" s="11">
        <v>775876</v>
      </c>
      <c r="L476" s="15"/>
      <c r="M476" s="16"/>
      <c r="N476" s="16"/>
      <c r="O476" s="16"/>
      <c r="P476" s="16"/>
      <c r="Q476" s="16"/>
      <c r="R476" s="16">
        <f t="shared" si="15"/>
        <v>0</v>
      </c>
      <c r="S476" s="16"/>
      <c r="T476" s="17">
        <f t="shared" si="14"/>
        <v>71082413.599999994</v>
      </c>
      <c r="U476" s="16"/>
      <c r="V476" s="16" t="s">
        <v>925</v>
      </c>
    </row>
    <row r="477" spans="1:22" hidden="1" x14ac:dyDescent="0.35">
      <c r="A477" s="8" t="s">
        <v>704</v>
      </c>
      <c r="B477" s="61" t="s">
        <v>937</v>
      </c>
      <c r="C477" s="9" t="s">
        <v>581</v>
      </c>
      <c r="D477" s="10" t="s">
        <v>582</v>
      </c>
      <c r="E477" s="10" t="s">
        <v>705</v>
      </c>
      <c r="F477" s="10" t="s">
        <v>706</v>
      </c>
      <c r="G477" s="10" t="s">
        <v>760</v>
      </c>
      <c r="H477" s="11">
        <v>0</v>
      </c>
      <c r="I477" s="12"/>
      <c r="J477" s="13"/>
      <c r="K477" s="14"/>
      <c r="L477" s="15"/>
      <c r="M477" s="16"/>
      <c r="N477" s="16"/>
      <c r="O477" s="16"/>
      <c r="P477" s="16"/>
      <c r="Q477" s="16"/>
      <c r="R477" s="16">
        <f t="shared" si="15"/>
        <v>0</v>
      </c>
      <c r="S477" s="16"/>
      <c r="T477" s="17">
        <f t="shared" si="14"/>
        <v>0</v>
      </c>
      <c r="U477" s="16"/>
      <c r="V477" s="16" t="s">
        <v>926</v>
      </c>
    </row>
    <row r="478" spans="1:22" hidden="1" x14ac:dyDescent="0.35">
      <c r="A478" s="8" t="s">
        <v>704</v>
      </c>
      <c r="B478" s="61" t="s">
        <v>937</v>
      </c>
      <c r="C478" s="9" t="s">
        <v>581</v>
      </c>
      <c r="D478" s="10" t="s">
        <v>582</v>
      </c>
      <c r="E478" s="10" t="s">
        <v>709</v>
      </c>
      <c r="F478" s="10" t="s">
        <v>710</v>
      </c>
      <c r="G478" s="10" t="s">
        <v>761</v>
      </c>
      <c r="H478" s="11">
        <v>0</v>
      </c>
      <c r="I478" s="12"/>
      <c r="J478" s="13"/>
      <c r="K478" s="14"/>
      <c r="L478" s="15"/>
      <c r="M478" s="16"/>
      <c r="N478" s="16"/>
      <c r="O478" s="16"/>
      <c r="P478" s="16"/>
      <c r="Q478" s="16"/>
      <c r="R478" s="16">
        <f t="shared" si="15"/>
        <v>0</v>
      </c>
      <c r="S478" s="16"/>
      <c r="T478" s="17">
        <f t="shared" si="14"/>
        <v>0</v>
      </c>
      <c r="U478" s="16"/>
      <c r="V478" s="16" t="s">
        <v>926</v>
      </c>
    </row>
    <row r="479" spans="1:22" hidden="1" x14ac:dyDescent="0.35">
      <c r="A479" s="8" t="s">
        <v>704</v>
      </c>
      <c r="B479" s="60" t="s">
        <v>931</v>
      </c>
      <c r="C479" s="9" t="s">
        <v>672</v>
      </c>
      <c r="D479" s="10" t="s">
        <v>673</v>
      </c>
      <c r="E479" s="10" t="s">
        <v>713</v>
      </c>
      <c r="F479" s="10" t="s">
        <v>714</v>
      </c>
      <c r="G479" s="10" t="s">
        <v>762</v>
      </c>
      <c r="H479" s="14"/>
      <c r="I479" s="18">
        <v>-1341.2</v>
      </c>
      <c r="J479" s="13"/>
      <c r="K479" s="14"/>
      <c r="L479" s="15"/>
      <c r="M479" s="16"/>
      <c r="N479" s="16"/>
      <c r="O479" s="16"/>
      <c r="P479" s="16"/>
      <c r="Q479" s="16"/>
      <c r="R479" s="16">
        <f t="shared" si="15"/>
        <v>0</v>
      </c>
      <c r="S479" s="16"/>
      <c r="T479" s="17">
        <f t="shared" si="14"/>
        <v>1341.2</v>
      </c>
      <c r="U479" s="16"/>
      <c r="V479" s="16" t="s">
        <v>926</v>
      </c>
    </row>
    <row r="480" spans="1:22" ht="72.5" hidden="1" x14ac:dyDescent="0.35">
      <c r="A480" s="8" t="s">
        <v>704</v>
      </c>
      <c r="B480" s="60" t="s">
        <v>931</v>
      </c>
      <c r="C480" s="9" t="s">
        <v>672</v>
      </c>
      <c r="D480" s="10" t="s">
        <v>673</v>
      </c>
      <c r="E480" s="10" t="s">
        <v>705</v>
      </c>
      <c r="F480" s="10" t="s">
        <v>706</v>
      </c>
      <c r="G480" s="10" t="s">
        <v>763</v>
      </c>
      <c r="H480" s="11">
        <v>4876763</v>
      </c>
      <c r="I480" s="18">
        <v>1742003.7</v>
      </c>
      <c r="J480" s="19">
        <v>1116456.1000000001</v>
      </c>
      <c r="K480" s="11">
        <v>1677731.7</v>
      </c>
      <c r="L480" s="15"/>
      <c r="M480" s="16"/>
      <c r="N480" s="16"/>
      <c r="O480" s="16"/>
      <c r="P480" s="16"/>
      <c r="Q480" s="16"/>
      <c r="R480" s="16">
        <f t="shared" si="15"/>
        <v>0</v>
      </c>
      <c r="S480" s="16"/>
      <c r="T480" s="17">
        <f t="shared" si="14"/>
        <v>340571.49999999977</v>
      </c>
      <c r="U480" s="16" t="s">
        <v>881</v>
      </c>
      <c r="V480" s="16" t="s">
        <v>926</v>
      </c>
    </row>
    <row r="481" spans="1:21" hidden="1" x14ac:dyDescent="0.35">
      <c r="A481" s="3" t="s">
        <v>0</v>
      </c>
      <c r="B481" s="3"/>
      <c r="U481"/>
    </row>
    <row r="482" spans="1:21" x14ac:dyDescent="0.35">
      <c r="H482" s="73">
        <f>SUBTOTAL(9,H4:H480)</f>
        <v>27501466</v>
      </c>
      <c r="I482" s="73">
        <f t="shared" ref="I482:R482" si="16">SUBTOTAL(9,I4:I480)</f>
        <v>11343353.080000002</v>
      </c>
      <c r="J482" s="73">
        <f t="shared" si="16"/>
        <v>8876281.9699999988</v>
      </c>
      <c r="K482" s="73">
        <f t="shared" si="16"/>
        <v>3010516.11</v>
      </c>
      <c r="L482" s="73">
        <f t="shared" si="16"/>
        <v>2549630</v>
      </c>
      <c r="M482" s="73">
        <f t="shared" si="16"/>
        <v>462000</v>
      </c>
      <c r="N482" s="73">
        <f t="shared" si="16"/>
        <v>472000</v>
      </c>
      <c r="O482" s="73">
        <f t="shared" si="16"/>
        <v>287000</v>
      </c>
      <c r="P482" s="73">
        <f t="shared" si="16"/>
        <v>289210</v>
      </c>
      <c r="Q482" s="73">
        <f t="shared" si="16"/>
        <v>162416</v>
      </c>
      <c r="R482" s="73">
        <f t="shared" si="16"/>
        <v>4222256</v>
      </c>
    </row>
  </sheetData>
  <autoFilter ref="A3:V481" xr:uid="{00000000-0009-0000-0000-000001000000}">
    <filterColumn colId="0">
      <filters>
        <filter val="2 Other Operating Costs"/>
      </filters>
    </filterColumn>
    <filterColumn colId="1">
      <filters>
        <filter val="Ankabut office"/>
      </filters>
    </filterColumn>
  </autoFilter>
  <conditionalFormatting sqref="S284">
    <cfRule type="expression" dxfId="0" priority="1" stopIfTrue="1">
      <formula>MOD(ROW(),2)=0</formula>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consolidated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Anood Al Khoori</dc:creator>
  <cp:lastModifiedBy>Amin, Rakesh</cp:lastModifiedBy>
  <dcterms:created xsi:type="dcterms:W3CDTF">2023-07-07T04:41:16Z</dcterms:created>
  <dcterms:modified xsi:type="dcterms:W3CDTF">2023-10-17T08:59:23Z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