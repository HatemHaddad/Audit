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u459\Desktop\audit requirement 2023\"/>
    </mc:Choice>
  </mc:AlternateContent>
  <bookViews>
    <workbookView xWindow="0" yWindow="0" windowWidth="19200" windowHeight="7050"/>
  </bookViews>
  <sheets>
    <sheet name="KPI Q2 2022 (2)"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job1" localSheetId="0">#REF!</definedName>
    <definedName name="__job1">#REF!</definedName>
    <definedName name="_job1" localSheetId="0">#REF!</definedName>
    <definedName name="_job1">#REF!</definedName>
    <definedName name="a" localSheetId="0">#REF!</definedName>
    <definedName name="a">#REF!</definedName>
    <definedName name="aa">[1]Sheet1!$V$6</definedName>
    <definedName name="aaa" localSheetId="0">'[2]Travel Exps.justificaions'!#REF!</definedName>
    <definedName name="aaa">'[2]Travel Exps.justificaions'!#REF!</definedName>
    <definedName name="aaaa" localSheetId="0">#REF!</definedName>
    <definedName name="aaaa">#REF!</definedName>
    <definedName name="aak" localSheetId="0">#REF!</definedName>
    <definedName name="aak">#REF!</definedName>
    <definedName name="Activity">[3]Codes!$B$4:$B$25</definedName>
    <definedName name="ad" localSheetId="0">#REF!</definedName>
    <definedName name="ad">#REF!</definedName>
    <definedName name="adnan" localSheetId="0">OFFSET('KPI Q2 2022 (2)'!b,0,0,'KPI Q2 2022 (2)'!Last_Row)</definedName>
    <definedName name="adnan">OFFSET(b,0,0,Last_Row)</definedName>
    <definedName name="Approved_Completion_Date">'[4]BUDGET DETAILS - 2008 - 2013'!$U$6</definedName>
    <definedName name="Awarded_by_ADSSC_SPC" localSheetId="0">'[5]BUDGET DETAILS - 2008 - 2014'!#REF!</definedName>
    <definedName name="Awarded_by_ADSSC_SPC">'[5]BUDGET DETAILS - 2008 - 2014'!#REF!</definedName>
    <definedName name="AwardedBy" localSheetId="0">#REF!</definedName>
    <definedName name="AwardedBy">#REF!</definedName>
    <definedName name="b" localSheetId="0">#REF!</definedName>
    <definedName name="b">#REF!</definedName>
    <definedName name="BdgtType">[6]Abbreviation!$A$62:$A$172</definedName>
    <definedName name="Beg_Bal" localSheetId="0">#REF!</definedName>
    <definedName name="Beg_Bal">#REF!</definedName>
    <definedName name="budget" localSheetId="0">IF('KPI Q2 2022 (2)'!Loan_Amount*'KPI Q2 2022 (2)'!Interest_Rate*'KPI Q2 2022 (2)'!Loan_Years*'KPI Q2 2022 (2)'!loan&gt;0,1,0)</definedName>
    <definedName name="budget">IF(Loan_Amount*Interest_Rate*Loan_Years*loan&gt;0,1,0)</definedName>
    <definedName name="Budget__Code">'[4]BUDGET DETAILS - 2008 - 2013'!$D$7</definedName>
    <definedName name="Budget__Ref_No.">'[4]BUDGET DETAILS - 2008 - 2013'!$B$7</definedName>
    <definedName name="Budget_for_2009" localSheetId="0">'[5]BUDGET DETAILS - 2008 - 2014'!#REF!</definedName>
    <definedName name="Budget_for_2009">'[5]BUDGET DETAILS - 2008 - 2014'!#REF!</definedName>
    <definedName name="cfx" localSheetId="0">MATCH(0.01,'KPI Q2 2022 (2)'!End_Bal,-1)+1</definedName>
    <definedName name="cfx">MATCH(0.01,End_Bal,-1)+1</definedName>
    <definedName name="CIP__Code">'[4]BUDGET DETAILS - 2008 - 2013'!$C$7</definedName>
    <definedName name="classref">'[7]Travel-business trips'!$AA$5:$AB$19</definedName>
    <definedName name="coa" localSheetId="0">#REF!</definedName>
    <definedName name="coa">#REF!</definedName>
    <definedName name="cof" localSheetId="0">#REF!</definedName>
    <definedName name="cof">#REF!</definedName>
    <definedName name="CompDate" localSheetId="0">#REF!</definedName>
    <definedName name="CompDate">#REF!</definedName>
    <definedName name="ComplDate">[6]Abbreviation!$A$48:$A$57</definedName>
    <definedName name="CompllDate" localSheetId="0">#REF!</definedName>
    <definedName name="CompllDate">#REF!</definedName>
    <definedName name="Cons.___Contr.___Tot.">'[4]BUDGET DETAILS - 2008 - 2013'!$F$7</definedName>
    <definedName name="ConsCont">[6]Abbreviation!$I$49:$I$143</definedName>
    <definedName name="Contract__No">'[4]BUDGET DETAILS - 2008 - 2013'!$G$7</definedName>
    <definedName name="Contract_title">'[4]BUDGET DETAILS - 2008 - 2013'!$H$7</definedName>
    <definedName name="Cost_center_Net">[8]Controls!$N$47:$N$122</definedName>
    <definedName name="Cost_CenterGroup">[8]Controls!$D$127:$D$131</definedName>
    <definedName name="costcenters" localSheetId="0">#REF!</definedName>
    <definedName name="costcenters">#REF!</definedName>
    <definedName name="CSA">[3]Codes!$A$47:$A$50</definedName>
    <definedName name="Cum_Int" localSheetId="0">#REF!</definedName>
    <definedName name="Cum_Int">#REF!</definedName>
    <definedName name="d">[1]Sheet1!$W$6</definedName>
    <definedName name="Data" localSheetId="0">#REF!</definedName>
    <definedName name="Data">#REF!</definedName>
    <definedName name="dccsd" localSheetId="0">#REF!</definedName>
    <definedName name="dccsd">#REF!</definedName>
    <definedName name="Default_Salary_Percentiile">[3]Rates!$C$5</definedName>
    <definedName name="dof" localSheetId="0">#REF!</definedName>
    <definedName name="dof">#REF!</definedName>
    <definedName name="e">[1]Sheet1!$T$6</definedName>
    <definedName name="Effective_Start_Date">'[4]BUDGET DETAILS - 2008 - 2013'!$R$7</definedName>
    <definedName name="eiman" localSheetId="0">#REF!</definedName>
    <definedName name="eiman">#REF!</definedName>
    <definedName name="End_Bal" localSheetId="0">#REF!</definedName>
    <definedName name="End_Bal">#REF!</definedName>
    <definedName name="Estimated_Budget_for__Q4___2008">'[4]BUDGET DETAILS - 2008 - 2013'!$AH$7</definedName>
    <definedName name="Estimated_Budget_for_2010">'[4]BUDGET DETAILS - 2008 - 2013'!$AN$7</definedName>
    <definedName name="Estimated_Budget_for_2011">'[4]BUDGET DETAILS - 2008 - 2013'!$AO$7</definedName>
    <definedName name="Estimated_Budget_for_2012">'[4]BUDGET DETAILS - 2008 - 2013'!$AP$7</definedName>
    <definedName name="Estimated_Budget_for_2013">'[4]BUDGET DETAILS - 2008 - 2013'!$BD$7</definedName>
    <definedName name="Estimated_Budget_for_2014" localSheetId="0">'[5]BUDGET DETAILS - 2008 - 2014'!#REF!</definedName>
    <definedName name="Estimated_Budget_for_2014">'[5]BUDGET DETAILS - 2008 - 2014'!#REF!</definedName>
    <definedName name="Exchange_Rate">[9]Assumptions!$D$18</definedName>
    <definedName name="Extra_Pay" localSheetId="0">#REF!</definedName>
    <definedName name="Extra_Pay">#REF!</definedName>
    <definedName name="FAC__Retention">'[4]BUDGET DETAILS - 2008 - 2013'!$Q$7</definedName>
    <definedName name="FAC_Due_Date">'[4]BUDGET DETAILS - 2008 - 2013'!$Z$7</definedName>
    <definedName name="Fee">0.1</definedName>
    <definedName name="foc" localSheetId="0">#REF!</definedName>
    <definedName name="foc">#REF!</definedName>
    <definedName name="Forecast_Completion_Date">'[4]BUDGET DETAILS - 2008 - 2013'!$W$6</definedName>
    <definedName name="FOUR" localSheetId="0">#REF!</definedName>
    <definedName name="FOUR">#REF!</definedName>
    <definedName name="Full_Print" localSheetId="0">#REF!</definedName>
    <definedName name="Full_Print">#REF!</definedName>
    <definedName name="GAYSU" localSheetId="0">#REF!</definedName>
    <definedName name="GAYSU">#REF!</definedName>
    <definedName name="gmd" localSheetId="0" hidden="1">{#N/A,#N/A,FALSE,"Matrix";#N/A,#N/A,FALSE,"Executive";#N/A,#N/A,FALSE,"Summary"}</definedName>
    <definedName name="gmd" hidden="1">{#N/A,#N/A,FALSE,"Matrix";#N/A,#N/A,FALSE,"Executive";#N/A,#N/A,FALSE,"Summary"}</definedName>
    <definedName name="GoTo_Instructions" localSheetId="0">#REF!</definedName>
    <definedName name="GoTo_Instructions">#REF!</definedName>
    <definedName name="GoTo_ODC" localSheetId="0">#REF!</definedName>
    <definedName name="GoTo_ODC">#REF!</definedName>
    <definedName name="GoTo_TOFTE" localSheetId="0">#REF!</definedName>
    <definedName name="GoTo_TOFTE">#REF!</definedName>
    <definedName name="graderef">'[7]Travel-business trips'!$O$3:$AD$4</definedName>
    <definedName name="graderef2" localSheetId="0">#REF!</definedName>
    <definedName name="graderef2">#REF!</definedName>
    <definedName name="Header_Row">ROW(#REF!)</definedName>
    <definedName name="I" localSheetId="0">#REF!</definedName>
    <definedName name="I">#REF!</definedName>
    <definedName name="Initiative_Type">'[10]Dropdown Menus'!$B$2:$B$5</definedName>
    <definedName name="Initiatives_Group">'[10]Dropdown Menus'!$C$2:$C$9</definedName>
    <definedName name="input" localSheetId="0">#REF!</definedName>
    <definedName name="input">#REF!</definedName>
    <definedName name="input2">[11]Supporting!$B$538:$D$604</definedName>
    <definedName name="input3">[11]Supporting!$P$538:$U$547</definedName>
    <definedName name="input4">[11]Supporting!$B$538:$N$606</definedName>
    <definedName name="input5">[11]Supporting!$C$650:$D$734</definedName>
    <definedName name="input6" localSheetId="0">#REF!</definedName>
    <definedName name="input6">#REF!</definedName>
    <definedName name="Int" localSheetId="0">#REF!</definedName>
    <definedName name="Int">#REF!</definedName>
    <definedName name="Interest_Rate" localSheetId="0">#REF!</definedName>
    <definedName name="Interest_Rate">#REF!</definedName>
    <definedName name="jobs" localSheetId="0">#REF!</definedName>
    <definedName name="jobs">#REF!</definedName>
    <definedName name="JOBS1" localSheetId="0">#REF!</definedName>
    <definedName name="JOBS1">#REF!</definedName>
    <definedName name="JOBS2" localSheetId="0">#REF!</definedName>
    <definedName name="JOBS2">#REF!</definedName>
    <definedName name="JOBS3" localSheetId="0">#REF!</definedName>
    <definedName name="JOBS3">#REF!</definedName>
    <definedName name="Last_Row" localSheetId="0">IF('KPI Q2 2022 (2)'!Values_Entered,Header_Row+'KPI Q2 2022 (2)'!Number_of_Payments,Header_Row)</definedName>
    <definedName name="Last_Row">IF(Values_Entered,Header_Row+Number_of_Payments,Header_Row)</definedName>
    <definedName name="loan" localSheetId="0">#REF!</definedName>
    <definedName name="loan">#REF!</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okup">'[12]Staffing Resource'!$B$3:$B$592</definedName>
    <definedName name="m">[1]Sheet1!$W$2</definedName>
    <definedName name="Macro1">[13]!Macro1</definedName>
    <definedName name="MECH">[3]Codes!$A$30:$A$36</definedName>
    <definedName name="Name">[3]Codes!$A$55:$A$60</definedName>
    <definedName name="nojobs" localSheetId="0">#REF!</definedName>
    <definedName name="nojobs">#REF!</definedName>
    <definedName name="nose1" localSheetId="0"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0"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0" hidden="1">{#N/A,#N/A,FALSE,"Matrix";#N/A,#N/A,FALSE,"Executive";#N/A,#N/A,FALSE,"Summary"}</definedName>
    <definedName name="nose3" hidden="1">{#N/A,#N/A,FALSE,"Matrix";#N/A,#N/A,FALSE,"Executive";#N/A,#N/A,FALSE,"Summary"}</definedName>
    <definedName name="Num_Pmt_Per_Year" localSheetId="0">#REF!</definedName>
    <definedName name="Num_Pmt_Per_Year">#REF!</definedName>
    <definedName name="Number_of_Payments" localSheetId="0">MATCH(0.01,'KPI Q2 2022 (2)'!End_Bal,-1)+1</definedName>
    <definedName name="Number_of_Payments">MATCH(0.01,End_Bal,-1)+1</definedName>
    <definedName name="Onoff">[3]Codes!$A$39:$A$43</definedName>
    <definedName name="op_ini_cc_2">'[14]Operating Initiatives'!$L$12</definedName>
    <definedName name="op_ini_cc_3">'[14]Operating Initiatives'!$I$12</definedName>
    <definedName name="op_ini_MR_2">'[14]Operating Initiatives'!$L$31</definedName>
    <definedName name="op_ini_MR_3">'[14]Operating Initiatives'!$I$31</definedName>
    <definedName name="op_ini_pt_2">'[14]Operating Initiatives'!$L$16</definedName>
    <definedName name="op_ini_PT_3">'[14]Operating Initiatives'!$I$16</definedName>
    <definedName name="op_ini_ss_2">'[14]Operating Initiatives'!$L$4</definedName>
    <definedName name="op_ini_SS_3">'[14]Operating Initiatives'!$I$4</definedName>
    <definedName name="op_ini_TM_2">'[14]Operating Initiatives'!$L$43</definedName>
    <definedName name="op_ini_TM_3">'[14]Operating Initiatives'!$I$43</definedName>
    <definedName name="Option_List">[12]Assumptions!$B$351:$B$353</definedName>
    <definedName name="output" localSheetId="0">#REF!</definedName>
    <definedName name="output">#REF!</definedName>
    <definedName name="PAC__Retention">'[4]BUDGET DETAILS - 2008 - 2013'!$P$7</definedName>
    <definedName name="PAC_Due_date">'[4]BUDGET DETAILS - 2008 - 2013'!$Y$7</definedName>
    <definedName name="Paid_Value__Up_to_Q3___2008">'[4]BUDGET DETAILS - 2008 - 2013'!$AC$7</definedName>
    <definedName name="Pay_Date" localSheetId="0">#REF!</definedName>
    <definedName name="Pay_Date">#REF!</definedName>
    <definedName name="Pay_Num" localSheetId="0">#REF!</definedName>
    <definedName name="Pay_Num">#REF!</definedName>
    <definedName name="Payment_Date" localSheetId="0">DATE(YEAR('KPI Q2 2022 (2)'!Loan_Start),MONTH('KPI Q2 2022 (2)'!Loan_Start)+Payment_Number,DAY('KPI Q2 2022 (2)'!Loan_Start))</definedName>
    <definedName name="Payment_Date">DATE(YEAR(Loan_Start),MONTH(Loan_Start)+Payment_Number,DAY(Loan_Start))</definedName>
    <definedName name="PBG__Retention">'[4]BUDGET DETAILS - 2008 - 2013'!$O$7</definedName>
    <definedName name="Play" localSheetId="0">#REF!</definedName>
    <definedName name="Play">#REF!</definedName>
    <definedName name="ppppp" localSheetId="0">#REF!</definedName>
    <definedName name="ppppp">#REF!</definedName>
    <definedName name="Princ" localSheetId="0">#REF!</definedName>
    <definedName name="Princ">#REF!</definedName>
    <definedName name="Print_Area_MI" localSheetId="0">#REF!</definedName>
    <definedName name="Print_Area_MI">#REF!</definedName>
    <definedName name="Print_Area_Reset" localSheetId="0">OFFSET('KPI Q2 2022 (2)'!Full_Print,0,0,'KPI Q2 2022 (2)'!Last_Row)</definedName>
    <definedName name="Print_Area_Reset">OFFSET(Full_Print,0,0,Last_Row)</definedName>
    <definedName name="Print_Titles_MI" localSheetId="0">#REF!</definedName>
    <definedName name="Print_Titles_MI">#REF!</definedName>
    <definedName name="Progress__Up_to_Q1">'[4]BUDGET DETAILS - 2008 - 2013'!$X$7</definedName>
    <definedName name="Project_Durration__Months">'[4]BUDGET DETAILS - 2008 - 2013'!$S$7</definedName>
    <definedName name="Project_Stage">'[4]BUDGET DETAILS - 2008 - 2013'!$J$7</definedName>
    <definedName name="Project_Type">'[4]BUDGET DETAILS - 2008 - 2013'!$K$7</definedName>
    <definedName name="Project_Value___Budget">'[4]BUDGET DETAILS - 2008 - 2013'!$M$7</definedName>
    <definedName name="ProjEng">[6]Abbreviation!$A$6:$A$28</definedName>
    <definedName name="ProjStage" localSheetId="0">#REF!</definedName>
    <definedName name="ProjStage">#REF!</definedName>
    <definedName name="ProjSubType">[6]Abbreviation!$G$6:$G$22</definedName>
    <definedName name="ProjType">[6]Abbreviation!$A$34:$A$43</definedName>
    <definedName name="ProjValue" localSheetId="0">#REF!</definedName>
    <definedName name="ProjValue">#REF!</definedName>
    <definedName name="Region">'[4]BUDGET DETAILS - 2008 - 2013'!$E$7</definedName>
    <definedName name="released2012">'[14]TB 22.02.2012'!$A$1:$E$166</definedName>
    <definedName name="Remaining_Value">'[4]BUDGET DETAILS - 2008 - 2013'!$AG$7</definedName>
    <definedName name="S" localSheetId="0">#REF!</definedName>
    <definedName name="S">#REF!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ope_Type" localSheetId="0">'[5]BUDGET DETAILS - 2008 - 2014'!#REF!</definedName>
    <definedName name="Scope_Type">'[5]BUDGET DETAILS - 2008 - 2014'!#REF!</definedName>
    <definedName name="ScopeType" localSheetId="0">#REF!</definedName>
    <definedName name="ScopeType">#REF!</definedName>
    <definedName name="Sector">OFFSET('[15]Entity validation'!$C$1,0,0,1,COUNT('[15]Entity validation'!1:1))</definedName>
    <definedName name="Sl_no.">'[4]BUDGET DETAILS - 2008 - 2013'!$A$7</definedName>
    <definedName name="st">[1]Sheet1!$Y$6</definedName>
    <definedName name="Staff_List">'[9]Staffing Resource'!$E$3:$E$592</definedName>
    <definedName name="Status">'[10]Dropdown Menus'!$A$2:$A$10</definedName>
    <definedName name="Sub_Sub_Task_List">[12]Assumptions!$J$338:$J$366</definedName>
    <definedName name="Subtask_List">[12]Assumptions!$F$338:$F$366</definedName>
    <definedName name="Task_List">[12]Assumptions!$C$338:$C$366</definedName>
    <definedName name="TENGISSJ" localSheetId="0">#REF!</definedName>
    <definedName name="TENGISSJ">#REF!</definedName>
    <definedName name="TENGIZSJ" localSheetId="0">#REF!</definedName>
    <definedName name="TENGIZSJ">#REF!</definedName>
    <definedName name="Test">'[4]BUDGET DETAILS - 2008 - 2013'!$E$317:$E$319</definedName>
    <definedName name="test111" localSheetId="0">#REF!</definedName>
    <definedName name="test111">#REF!</definedName>
    <definedName name="ticketref">'[7]Travel-business trips'!$W$5:$Z$11</definedName>
    <definedName name="timeline">[16]Sheet2!$B$2:$B$6</definedName>
    <definedName name="tl">[1]Sheet1!$X$6</definedName>
    <definedName name="Toquepala" localSheetId="0" hidden="1">{#N/A,#N/A,FALSE,"Matrix";#N/A,#N/A,FALSE,"Executive";#N/A,#N/A,FALSE,"Summary"}</definedName>
    <definedName name="Toquepala" hidden="1">{#N/A,#N/A,FALSE,"Matrix";#N/A,#N/A,FALSE,"Executive";#N/A,#N/A,FALSE,"Summary"}</definedName>
    <definedName name="Total_Interest" localSheetId="0">#REF!</definedName>
    <definedName name="Total_Interest">#REF!</definedName>
    <definedName name="Total_op_initiatives_after_reduction" localSheetId="0">[17]Breakdown!#REF!</definedName>
    <definedName name="Total_op_initiatives_after_reduction">[17]Breakdown!#REF!</definedName>
    <definedName name="Total_Pay" localSheetId="0">#REF!</definedName>
    <definedName name="Total_Pay">#REF!</definedName>
    <definedName name="trhnfg" localSheetId="0">IF('KPI Q2 2022 (2)'!Values_Entered,Header_Row+'KPI Q2 2022 (2)'!Number_of_Payments,Header_Row)</definedName>
    <definedName name="trhnfg">IF(Values_Entered,Header_Row+Number_of_Payments,Header_Row)</definedName>
    <definedName name="Type">[3]Codes!$A$83:$A$85</definedName>
    <definedName name="Type_of_Project_Value">'[4]BUDGET DETAILS - 2008 - 2013'!$N$7</definedName>
    <definedName name="Unit">[3]Codes!$A$55:$A$61</definedName>
    <definedName name="V" localSheetId="0">OFFSET('KPI Q2 2022 (2)'!Full_Print,0,0,'KPI Q2 2022 (2)'!Last_Row)</definedName>
    <definedName name="V">OFFSET(Full_Print,0,0,Last_Row)</definedName>
    <definedName name="Values_Entered" localSheetId="0">IF('KPI Q2 2022 (2)'!Loan_Amount*'KPI Q2 2022 (2)'!Interest_Rate*'KPI Q2 2022 (2)'!Loan_Years*'KPI Q2 2022 (2)'!Loan_Start&gt;0,1,0)</definedName>
    <definedName name="Values_Entered">IF(Loan_Amount*Interest_Rate*Loan_Years*Loan_Start&gt;0,1,0)</definedName>
    <definedName name="VBBB" localSheetId="0">#REF!</definedName>
    <definedName name="VBBB">#REF!</definedName>
    <definedName name="vvvv" localSheetId="0">#REF!</definedName>
    <definedName name="vvvv">#REF!</definedName>
    <definedName name="wrn.ARA." localSheetId="0" hidden="1">{"ARA1",#N/A,FALSE,"ENG-ARA";"ARAhours",#N/A,FALSE,"ENG-ARA";"ARA$",#N/A,FALSE,"ENG-ARA"}</definedName>
    <definedName name="wrn.ARA." hidden="1">{"ARA1",#N/A,FALSE,"ENG-ARA";"ARAhours",#N/A,FALSE,"ENG-ARA";"ARA$",#N/A,FALSE,"ENG-ARA"}</definedName>
    <definedName name="wrn.bechtel._.hours." localSheetId="0" hidden="1">{"bechtel1",#N/A,TRUE,"BECHTEL";"bechtelhours",#N/A,TRUE,"BECHTEL";"bechtel$",#N/A,TRUE,"BECHTEL"}</definedName>
    <definedName name="wrn.bechtel._.hours." hidden="1">{"bechtel1",#N/A,TRUE,"BECHTEL";"bechtelhours",#N/A,TRUE,"BECHTEL";"bechtel$",#N/A,TRUE,"BECHTEL"}</definedName>
    <definedName name="wrn.Detail." localSheetId="0"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Forms." localSheetId="0"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Nelson._.Summary." localSheetId="0" hidden="1">{#N/A,#N/A,FALSE,"subcontract"}</definedName>
    <definedName name="wrn.Nelson._.Summary." hidden="1">{#N/A,#N/A,FALSE,"subcontract"}</definedName>
    <definedName name="wrn.PROCART." localSheetId="0" hidden="1">{#N/A,#N/A,FALSE,"MAQUINA"}</definedName>
    <definedName name="wrn.PROCART." hidden="1">{#N/A,#N/A,FALSE,"MAQUINA"}</definedName>
    <definedName name="wrn.Summary." localSheetId="0" hidden="1">{#N/A,#N/A,FALSE,"Matrix";#N/A,#N/A,FALSE,"Executive";#N/A,#N/A,FALSE,"Summary"}</definedName>
    <definedName name="wrn.Summary." hidden="1">{#N/A,#N/A,FALSE,"Matrix";#N/A,#N/A,FALSE,"Executive";#N/A,#N/A,FALSE,"Summary"}</definedName>
    <definedName name="x">[1]Sheet1!$U$6</definedName>
    <definedName name="xxx" localSheetId="0" hidden="1">{#N/A,#N/A,FALSE,"Matrix";#N/A,#N/A,FALSE,"Executive";#N/A,#N/A,FALSE,"Summary";#N/A,#N/A,FALSE,"Office1";#N/A,#N/A,FALSE,"Office2";#N/A,#N/A,FALSE,"Office3";#N/A,#N/A,FALSE,"Office4";#N/A,#N/A,FALSE,"Office5";#N/A,#N/A,FALSE,"Office6";#N/A,#N/A,FALSE,"Office7";#N/A,#N/A,FALSE,"Labor"}</definedName>
    <definedName name="xxx" hidden="1">{#N/A,#N/A,FALSE,"Matrix";#N/A,#N/A,FALSE,"Executive";#N/A,#N/A,FALSE,"Summary";#N/A,#N/A,FALSE,"Office1";#N/A,#N/A,FALSE,"Office2";#N/A,#N/A,FALSE,"Office3";#N/A,#N/A,FALSE,"Office4";#N/A,#N/A,FALSE,"Office5";#N/A,#N/A,FALSE,"Office6";#N/A,#N/A,FALSE,"Office7";#N/A,#N/A,FALSE,"Labor"}</definedName>
    <definedName name="xxxx" localSheetId="0" hidden="1">{#N/A,#N/A,FALSE,"Matrix";#N/A,#N/A,FALSE,"Executive";#N/A,#N/A,FALSE,"Summary"}</definedName>
    <definedName name="xxxx" hidden="1">{#N/A,#N/A,FALSE,"Matrix";#N/A,#N/A,FALSE,"Executive";#N/A,#N/A,FALSE,"Summary"}</definedName>
    <definedName name="yh" localSheetId="0">#REF!</definedName>
    <definedName name="yh">#REF!</definedName>
    <definedName name="zx" localSheetId="0">IF('KPI Q2 2022 (2)'!Values_Entered,Header_Row+'KPI Q2 2022 (2)'!Number_of_Payments,Header_Row)</definedName>
    <definedName name="zx">IF(Values_Entered,Header_Row+Number_of_Payments,Header_Row)</definedName>
    <definedName name="zzzz" localSheetId="0" hidden="1">{#N/A,#N/A,FALSE,"Matrix";#N/A,#N/A,FALSE,"Executive";#N/A,#N/A,FALSE,"Summary"}</definedName>
    <definedName name="zzzz" hidden="1">{#N/A,#N/A,FALSE,"Matrix";#N/A,#N/A,FALSE,"Executive";#N/A,#N/A,FALSE,"Summary"}</definedName>
    <definedName name="البنود" localSheetId="0">#REF!</definedName>
    <definedName name="البنود">#REF!</definedName>
    <definedName name="الرواتب" localSheetId="0">#REF!</definedName>
    <definedName name="الرواتب">#REF!</definedName>
    <definedName name="المشغولة" localSheetId="0">#REF!</definedName>
    <definedName name="المشغولة">#REF!</definedName>
    <definedName name="بؤءلا" localSheetId="0">IF('KPI Q2 2022 (2)'!Loan_Amount*'KPI Q2 2022 (2)'!Interest_Rate*'KPI Q2 2022 (2)'!Loan_Years*'KPI Q2 2022 (2)'!loan&gt;0,1,0)</definedName>
    <definedName name="بؤءلا">IF(Loan_Amount*Interest_Rate*Loan_Years*loan&gt;0,1,0)</definedName>
    <definedName name="لالالال" localSheetId="0">#REF!</definedName>
    <definedName name="لالالال">#REF!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4" i="2" l="1"/>
  <c r="D13" i="2"/>
  <c r="D3" i="2" l="1"/>
</calcChain>
</file>

<file path=xl/sharedStrings.xml><?xml version="1.0" encoding="utf-8"?>
<sst xmlns="http://schemas.openxmlformats.org/spreadsheetml/2006/main" count="41" uniqueCount="32">
  <si>
    <t>KPI</t>
  </si>
  <si>
    <t>Analysis in English</t>
  </si>
  <si>
    <t>Analysis in Arabic</t>
  </si>
  <si>
    <t>Recommendation in English</t>
  </si>
  <si>
    <t>Recommendation in Arabic</t>
  </si>
  <si>
    <t>Evidence (attach file)</t>
  </si>
  <si>
    <t>Revenue Collection</t>
  </si>
  <si>
    <t>File attached</t>
  </si>
  <si>
    <t>Cash management and financial planning</t>
  </si>
  <si>
    <t>Control expenditures and achieve financial savings</t>
  </si>
  <si>
    <t>Compliance with Financial Law and Related Resolutions</t>
  </si>
  <si>
    <t>Financial Team Capabilities</t>
  </si>
  <si>
    <t>detail working attached</t>
  </si>
  <si>
    <t>تفاصيل العمل مرفقة</t>
  </si>
  <si>
    <t>Financial Obligations towards Suppliers</t>
  </si>
  <si>
    <t>شروط الدفع في تعاقدات جامعة خليفة 30 يوم عمل من تاريخ الاستلام</t>
  </si>
  <si>
    <t>As the finalizing the purchase requisition and the purchase Order, and then accordingly the delivery of the items and the services will take place in the coming periods</t>
  </si>
  <si>
    <t>في الفترة القادمة سوف يتم الانتهاء من اجراءات طلبات الشراء و اوامر الشراء وبناء عليه سوف يتم استلام المواد و الخدمات تباعا</t>
  </si>
  <si>
    <t>in KU agreement the payment terms is 30 days from the deliviery date</t>
  </si>
  <si>
    <t xml:space="preserve">معظم حالات التأخير بسبب:
1. الإتفاقيات غير مكتملة بين الطرفين وتم التوريد والإنتهاء من العمل.
2. المستخدم لم يقوم بالموافقة على العمل المستلم
3. عدم توفر الميزانية في البند الحسابي
4. بيانات المورد غير محدثة في نظام المدفوعات 
</t>
  </si>
  <si>
    <t>تم التحصيل أعلى من المستهدف</t>
  </si>
  <si>
    <t xml:space="preserve">revenue exceeded the target and expectations </t>
  </si>
  <si>
    <t xml:space="preserve">Budget </t>
  </si>
  <si>
    <t>actual june</t>
  </si>
  <si>
    <t>actual sep</t>
  </si>
  <si>
    <t xml:space="preserve">1. Timely Month end close - Result 100% 
2. Timely VAT return filing - Result 100%
3. Closed the Gl periods on 14th of October
</t>
  </si>
  <si>
    <t xml:space="preserve">1. تقديم تقرير ضريبة القيمة المضافة شهرياً في الوقت المحدد من قبل دائرة المالية
2. التزمت الجامعة التزاما تاماَ بالتعليمات و تنفيذ إعداد موازنة عام 2020
</t>
  </si>
  <si>
    <t xml:space="preserve">Most of the daily cases because of:
1. Agreement, not complete. 
2. daily in accept the items (GRN , User)
 3. Budget unavailable
 4. suppler doesn't complet his doucmment to relase the payment.
</t>
  </si>
  <si>
    <t>Q3-2022
Target Value</t>
  </si>
  <si>
    <t xml:space="preserve"> Q3- 2022
Actual Value</t>
  </si>
  <si>
    <t xml:space="preserve">
1-The total amount for the purchased orders and purchase requisition for Q3 is AED 129,354,489
</t>
  </si>
  <si>
    <t xml:space="preserve">
يرجى الاخذ فالاعتبار ان مجموع اوامر الشراء و اوامر الطلب للربع االثالث يساوي 129,354,489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</si>
</sst>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rgb="FF3E3E3E"/>
      <name val="Calibri"/>
      <family val="2"/>
      <scheme val="minor"/>
    </font>
    <font>
      <sz val="11"/>
      <color rgb="FF000000"/>
      <name val="Calibri"/>
      <family val="2"/>
      <scheme val="minor"/>
    </font>
    <font>
      <sz val="9"/>
      <color rgb="FF000000"/>
      <name val="Arial"/>
      <family val="2"/>
    </font>
    <font>
      <sz val="12"/>
      <color theme="1"/>
      <name val="Calibri"/>
      <family val="2"/>
      <scheme val="minor"/>
    </font>
    <font>
      <sz val="10"/>
      <color theme="1"/>
      <name val="Calibri"/>
      <family val="2"/>
      <scheme val="minor"/>
    </font>
    <font>
      <sz val="10"/>
      <color rgb="FF000000"/>
      <name val="Times New Roman"/>
      <charset val="204"/>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9" fontId="1" fillId="0" borderId="0" applyFont="0" applyFill="0" applyBorder="0" applyAlignment="0" applyProtection="0"/>
    <xf numFmtId="0" fontId="8" fillId="0" borderId="0"/>
    <xf numFmtId="0" fontId="1" fillId="0" borderId="0"/>
  </cellStyleXfs>
  <cellXfs count="38">
    <xf numFmtId="0" fontId="0" fillId="0" borderId="0" xfId="0"/>
    <xf numFmtId="0" fontId="2" fillId="0" borderId="1" xfId="0" applyFont="1" applyFill="1" applyBorder="1" applyAlignment="1">
      <alignment horizontal="center" vertical="center"/>
    </xf>
    <xf numFmtId="49" fontId="2" fillId="0" borderId="2" xfId="0" applyNumberFormat="1" applyFont="1" applyFill="1" applyBorder="1" applyAlignment="1">
      <alignment horizontal="left" vertical="center"/>
    </xf>
    <xf numFmtId="49" fontId="2" fillId="0"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0" fillId="0" borderId="2" xfId="0" applyFill="1" applyBorder="1" applyAlignment="1">
      <alignment vertical="center"/>
    </xf>
    <xf numFmtId="0" fontId="3" fillId="0" borderId="2" xfId="0" applyFont="1" applyFill="1" applyBorder="1" applyAlignment="1">
      <alignment vertical="center" wrapText="1" readingOrder="1"/>
    </xf>
    <xf numFmtId="9" fontId="4" fillId="0" borderId="2" xfId="1" applyFont="1" applyFill="1" applyBorder="1" applyAlignment="1">
      <alignment horizontal="center" vertical="center" readingOrder="1"/>
    </xf>
    <xf numFmtId="9" fontId="0" fillId="0" borderId="2" xfId="1" applyFont="1" applyFill="1" applyBorder="1" applyAlignment="1">
      <alignment horizontal="center" vertical="center"/>
    </xf>
    <xf numFmtId="0" fontId="0" fillId="0" borderId="0" xfId="0" applyFill="1"/>
    <xf numFmtId="0" fontId="0" fillId="0" borderId="2" xfId="0" applyFont="1" applyFill="1" applyBorder="1" applyAlignment="1">
      <alignment vertical="center"/>
    </xf>
    <xf numFmtId="0" fontId="0" fillId="0" borderId="0" xfId="0" applyFont="1" applyFill="1" applyBorder="1"/>
    <xf numFmtId="0" fontId="3" fillId="3" borderId="2" xfId="0" applyFont="1" applyFill="1" applyBorder="1" applyAlignment="1">
      <alignment vertical="center" wrapText="1" readingOrder="1"/>
    </xf>
    <xf numFmtId="0" fontId="0" fillId="0" borderId="0" xfId="0" applyFill="1" applyAlignment="1">
      <alignment vertical="center"/>
    </xf>
    <xf numFmtId="0" fontId="0" fillId="0" borderId="2" xfId="0" applyFill="1" applyBorder="1" applyAlignment="1">
      <alignment horizontal="left" vertical="top" wrapText="1"/>
    </xf>
    <xf numFmtId="0" fontId="0" fillId="0" borderId="2" xfId="0" applyFont="1" applyFill="1" applyBorder="1" applyAlignment="1">
      <alignment horizontal="left" vertical="top"/>
    </xf>
    <xf numFmtId="0" fontId="0" fillId="0" borderId="2" xfId="0" applyFill="1" applyBorder="1" applyAlignment="1">
      <alignment horizontal="left" vertical="top"/>
    </xf>
    <xf numFmtId="9" fontId="0" fillId="4" borderId="2" xfId="1" applyFont="1" applyFill="1" applyBorder="1" applyAlignment="1">
      <alignment horizontal="center" vertical="center"/>
    </xf>
    <xf numFmtId="0" fontId="0" fillId="4" borderId="2" xfId="0" applyFont="1" applyFill="1" applyBorder="1" applyAlignment="1">
      <alignment horizontal="left" vertical="top" wrapText="1"/>
    </xf>
    <xf numFmtId="0" fontId="5" fillId="4" borderId="0" xfId="0" applyFont="1" applyFill="1" applyAlignment="1">
      <alignment horizontal="left" vertical="top" wrapText="1"/>
    </xf>
    <xf numFmtId="0" fontId="6" fillId="4" borderId="2" xfId="0" applyFont="1" applyFill="1" applyBorder="1" applyAlignment="1">
      <alignment horizontal="left" vertical="top" wrapText="1" readingOrder="2"/>
    </xf>
    <xf numFmtId="0" fontId="0" fillId="0" borderId="2" xfId="0" applyFont="1" applyFill="1" applyBorder="1" applyAlignment="1">
      <alignment horizontal="center" vertical="center" wrapText="1"/>
    </xf>
    <xf numFmtId="49" fontId="0" fillId="0" borderId="2" xfId="0" applyNumberFormat="1" applyFont="1" applyFill="1" applyBorder="1" applyAlignment="1">
      <alignment horizontal="left" vertical="center" wrapText="1"/>
    </xf>
    <xf numFmtId="0" fontId="0" fillId="0" borderId="2" xfId="0" applyFont="1" applyFill="1" applyBorder="1" applyAlignment="1">
      <alignment horizontal="right" vertical="center" wrapText="1"/>
    </xf>
    <xf numFmtId="0" fontId="0" fillId="0" borderId="2" xfId="0" applyFont="1" applyFill="1" applyBorder="1" applyAlignment="1">
      <alignment horizontal="center" vertical="center"/>
    </xf>
    <xf numFmtId="0" fontId="0" fillId="4" borderId="2" xfId="0" applyFill="1" applyBorder="1" applyAlignment="1">
      <alignment horizontal="left" vertical="top" wrapText="1"/>
    </xf>
    <xf numFmtId="0" fontId="0" fillId="4" borderId="2" xfId="0" applyFont="1" applyFill="1" applyBorder="1" applyAlignment="1">
      <alignment horizontal="left" vertical="top"/>
    </xf>
    <xf numFmtId="0" fontId="6" fillId="0" borderId="2" xfId="0" applyFont="1" applyBorder="1" applyAlignment="1">
      <alignment horizontal="center" vertical="center" wrapText="1" readingOrder="2"/>
    </xf>
    <xf numFmtId="10" fontId="0" fillId="4" borderId="2" xfId="1" applyNumberFormat="1" applyFont="1" applyFill="1" applyBorder="1" applyAlignment="1">
      <alignment horizontal="left" vertical="center" indent="1"/>
    </xf>
    <xf numFmtId="9" fontId="0" fillId="4" borderId="2" xfId="1" applyNumberFormat="1" applyFont="1" applyFill="1" applyBorder="1" applyAlignment="1">
      <alignment horizontal="center" vertical="center"/>
    </xf>
    <xf numFmtId="41" fontId="1" fillId="0" borderId="0" xfId="3" applyNumberFormat="1"/>
    <xf numFmtId="4" fontId="4" fillId="3" borderId="3" xfId="0" applyNumberFormat="1" applyFont="1" applyFill="1" applyBorder="1" applyAlignment="1">
      <alignment vertical="top" wrapText="1"/>
    </xf>
    <xf numFmtId="4" fontId="0" fillId="0" borderId="0" xfId="0" applyNumberFormat="1" applyFill="1"/>
    <xf numFmtId="10" fontId="0" fillId="0" borderId="0" xfId="0" applyNumberFormat="1" applyFill="1"/>
    <xf numFmtId="0" fontId="0" fillId="0" borderId="2" xfId="0" applyFont="1" applyFill="1" applyBorder="1" applyAlignment="1">
      <alignment horizontal="left" vertical="top" wrapText="1"/>
    </xf>
    <xf numFmtId="0" fontId="7" fillId="0" borderId="2" xfId="0" applyFont="1" applyFill="1" applyBorder="1" applyAlignment="1">
      <alignment horizontal="left" vertical="top" wrapText="1"/>
    </xf>
  </cellXfs>
  <cellStyles count="4">
    <cellStyle name="Normal" xfId="0" builtinId="0"/>
    <cellStyle name="Normal 2" xfId="2"/>
    <cellStyle name="Normal 4 2" xfId="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calcChain" Target="calcChain.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f.abudhabi.gov\root\DoF_HQ\Profiles\Data\DOF\Budget\dof026792\Documents\&#1593;&#1575;&#1605;\Time%20Sheets\&#1593;&#1580;&#1604;&#1575;&#16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New%20Folder\Copy%20of%202012%20Maritime%20recurrent%20budget%20%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f.abudhabi.gov\root\Temp\Temporary%20Directory%201%20for%20Staffing%20Plan.zip\Staffing%20Plan\Priced_25380_VRSH%20Project_Staffing%20Plan%20Rev%20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0\Budget%202009-updated-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0\Budget%20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f.abudhabi.gov\root\Documents%20and%20Settings\reem.elnaga\Desktop\ADSSC\Budget\2012\Budget%202012-Rev%204-English-TIP%20Cat%20A-BAR-R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2013%20budget\Maritime%202013%20budget-all%20accounts.main%20documen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f.abudhabi.gov\root\Users\Isabelle.Jamkossian\Desktop\DoF%202\phase%20two\01%20Entities%20Data\06%20Wave%202%20Data\Final%20received\FINAL\00%20Models\Models%201\02-%20CWM%20v0.45_18040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f.abudhabi.gov\root\Documents%20and%20Settings\jarther\My%20Documents\1%20Abu%20Dhabi\Financial\Pricing\ADSSC%20Program%20Pricing%20Model%20-%20FINAL%20rev1%20LIVE%20-%20BASE%20-%2028OCT2007%20-%20Shanna%20Pain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Nizar\Documents%20and%20Settings\nizar.bahajjaj\Application%20Data\Microsoft\Excel\Nizar%20Enhancements%20Proposal.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Ch2+3_MT.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of.abudhabi.gov\root\Documents%20and%20Settings\jarther\My%20Documents\1%20Abu%20Dhabi\Financial\Pricing\ADSSC%20Program%20Pricing%20Model%20-%20FINAL%20-%20rev'd%20for%20actuals%2021APR2008%20rev%20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NDOWS\TEMP\JEM_LOA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20Preparation\2012%20Submitted%20Budget\DoT-2012%20Budget%20-%20After%20DoF%20MOM%20Letter\Breakdown_DOT%202012%20Reduced%20Budget%20V1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of.abudhabi.gov\root\Users\dof40460\AppData\Local\Microsoft\Windows\INetCache\Content.Outlook\IPWMDX5L\20190414%20Savings%20budget%20template_v1.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f.abudhabi.gov\root\Users\waleed\AppData\Local\Microsoft\Windows\Temporary%20Internet%20Files\Content.Outlook\N8XH8LWA\2014-2018%20MR-Strategic%20plan-DRAFT-aPRIL%202013\DO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f.abudhabi.gov\root\Documents%20and%20Settings\arwa.ahmed\Application%20Data\Microsoft\Excel\2012%20budget\2012%20Approved%20Budg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Y:\BUDGETS\2022%20Budget\Report\DoF\&#1576;&#1610;&#1575;&#1606;&#1575;&#1578;%20&#1575;&#1604;&#1585;&#1576;&#1593;%20&#1575;&#1604;&#1579;&#1575;&#1604;&#1579;%202022\&#1575;&#1583;&#1575;&#1585;&#1577;%20&#1575;&#1604;&#1606;&#1602;&#1583;%20Quarter3%20in%20202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Y:\BUDGETS\2022%20Budget\Report\DoF\&#1576;&#1610;&#1575;&#1606;&#1575;&#1578;%20&#1575;&#1604;&#1585;&#1576;&#1593;%20&#1575;&#1604;&#1579;&#1575;&#1604;&#1579;%202022\&#1606;&#1605;&#1575;&#1584;&#1580;%20&#1605;&#1602;&#1578;&#1585;&#1581;&#1575;&#1578;%20&#1575;&#1604;&#1606;&#1601;&#1602;&#1575;&#1578;%202022-2024%20%20Approved%20Dist%20V1%20Final%20version%20supporting%20doc%20for%20cash%20flow%20and%20budg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محلي"/>
      <sheetName val="محلي1"/>
      <sheetName val="Sheet1"/>
      <sheetName val="Sheet6"/>
      <sheetName val="setting"/>
      <sheetName val="Source"/>
      <sheetName val="المجموعات الوظيفية"/>
      <sheetName val="Sheet 1"/>
      <sheetName val="كشف الرواتب "/>
      <sheetName val="القوائم"/>
      <sheetName val="Drop Down List"/>
    </sheetNames>
    <sheetDataSet>
      <sheetData sheetId="0"/>
      <sheetData sheetId="1"/>
      <sheetData sheetId="2"/>
      <sheetData sheetId="3">
        <row r="2">
          <cell r="W2">
            <v>80</v>
          </cell>
        </row>
        <row r="6">
          <cell r="T6">
            <v>0.05</v>
          </cell>
          <cell r="U6">
            <v>0.05</v>
          </cell>
          <cell r="V6">
            <v>0</v>
          </cell>
          <cell r="W6">
            <v>0.1</v>
          </cell>
          <cell r="X6">
            <v>0.2</v>
          </cell>
          <cell r="Y6">
            <v>0.6</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itime budget"/>
      <sheetName val="legal services2012"/>
      <sheetName val="Trade organizations"/>
      <sheetName val="Translat.&amp;interoretation Srvcs."/>
      <sheetName val="Travel Exps"/>
      <sheetName val="Travel Exps.justificaions"/>
      <sheetName val="WaterT.Recurren.Budgt.Justificn"/>
      <sheetName val="IT budget"/>
      <sheetName val="AdminBudget"/>
      <sheetName val="PR Justification&amp;Supporting doc"/>
      <sheetName val="Sheet1"/>
    </sheetNames>
    <sheetDataSet>
      <sheetData sheetId="0" refreshError="1"/>
      <sheetData sheetId="1" refreshError="1"/>
      <sheetData sheetId="2" refreshError="1"/>
      <sheetData sheetId="3"/>
      <sheetData sheetId="4">
        <row r="5">
          <cell r="X5" t="str">
            <v>الأولى</v>
          </cell>
        </row>
      </sheetData>
      <sheetData sheetId="5"/>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 Total HC stacked"/>
      <sheetName val="Chart - Eng HC stacked"/>
      <sheetName val="Chart - PDP HC"/>
      <sheetName val="Chart - CSA HC"/>
      <sheetName val="Chart - Electrical HC"/>
      <sheetName val="Chart - Process Systems HC"/>
      <sheetName val="Chart - Control Systems HC"/>
      <sheetName val="Chart - Mechanical HC"/>
      <sheetName val="Chart - Process Engr HC"/>
      <sheetName val="Chart - Other Engr HC"/>
      <sheetName val="Chart - Procurement HC"/>
      <sheetName val="Chart - Project Controls HC"/>
      <sheetName val="Chart - Other Services HC"/>
      <sheetName val="Chart - Total Hours"/>
      <sheetName val="Chart - Total HC"/>
      <sheetName val="Hour Vs Schedule"/>
      <sheetName val="Summary Metrics"/>
      <sheetName val="Monthly Data"/>
      <sheetName val="Total Inc Actual"/>
      <sheetName val="Actual Thru 24 Feb"/>
      <sheetName val="Link Out"/>
      <sheetName val="To-Go by Unit &amp; Discp"/>
      <sheetName val="Staffing"/>
      <sheetName val="Codes"/>
      <sheetName val="Salary Ranges"/>
      <sheetName val="Rates"/>
      <sheetName val="Holi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B4" t="str">
            <v>Management</v>
          </cell>
        </row>
        <row r="5">
          <cell r="B5" t="str">
            <v xml:space="preserve">Process Design </v>
          </cell>
        </row>
        <row r="6">
          <cell r="B6" t="str">
            <v>Buildings</v>
          </cell>
        </row>
        <row r="7">
          <cell r="B7" t="str">
            <v>CHDEP</v>
          </cell>
        </row>
        <row r="8">
          <cell r="B8" t="str">
            <v>Compressors</v>
          </cell>
        </row>
        <row r="9">
          <cell r="B9" t="str">
            <v>Electrical / MCC</v>
          </cell>
        </row>
        <row r="10">
          <cell r="B10" t="str">
            <v>Fired Heaters</v>
          </cell>
        </row>
        <row r="11">
          <cell r="B11" t="str">
            <v>Found / Drain</v>
          </cell>
        </row>
        <row r="12">
          <cell r="B12" t="str">
            <v>Geotech</v>
          </cell>
        </row>
        <row r="13">
          <cell r="B13" t="str">
            <v>HAZOP</v>
          </cell>
        </row>
        <row r="14">
          <cell r="B14" t="str">
            <v>Heat Exch</v>
          </cell>
        </row>
        <row r="15">
          <cell r="B15" t="str">
            <v>HSE</v>
          </cell>
        </row>
        <row r="16">
          <cell r="B16" t="str">
            <v>Instruments / DCS</v>
          </cell>
        </row>
        <row r="17">
          <cell r="B17" t="str">
            <v>Mech Eq</v>
          </cell>
        </row>
        <row r="18">
          <cell r="B18" t="str">
            <v>Piping / Valves</v>
          </cell>
        </row>
        <row r="19">
          <cell r="B19" t="str">
            <v>Pumps</v>
          </cell>
        </row>
        <row r="20">
          <cell r="B20" t="str">
            <v>QA/QC Insp.</v>
          </cell>
        </row>
        <row r="21">
          <cell r="B21" t="str">
            <v>Rxs / Vessels</v>
          </cell>
        </row>
        <row r="22">
          <cell r="B22" t="str">
            <v>Site Prep</v>
          </cell>
        </row>
        <row r="23">
          <cell r="B23" t="str">
            <v>Staff Support</v>
          </cell>
        </row>
        <row r="24">
          <cell r="B24" t="str">
            <v>Struct Steel</v>
          </cell>
        </row>
        <row r="25">
          <cell r="B25" t="str">
            <v>Tanks</v>
          </cell>
        </row>
        <row r="30">
          <cell r="A30" t="str">
            <v>Compressors</v>
          </cell>
        </row>
        <row r="31">
          <cell r="A31" t="str">
            <v>Fired Heaters</v>
          </cell>
        </row>
        <row r="32">
          <cell r="A32" t="str">
            <v>Heat Exch</v>
          </cell>
        </row>
        <row r="33">
          <cell r="A33" t="str">
            <v>Mech Eq</v>
          </cell>
        </row>
        <row r="34">
          <cell r="A34" t="str">
            <v>Pumps</v>
          </cell>
        </row>
        <row r="35">
          <cell r="A35" t="str">
            <v>Rxs / Vessels</v>
          </cell>
        </row>
        <row r="36">
          <cell r="A36" t="str">
            <v>Tanks</v>
          </cell>
        </row>
        <row r="39">
          <cell r="A39" t="str">
            <v>On/Off Project</v>
          </cell>
        </row>
        <row r="41">
          <cell r="A41" t="str">
            <v>On</v>
          </cell>
        </row>
        <row r="42">
          <cell r="A42" t="str">
            <v>Off</v>
          </cell>
        </row>
        <row r="47">
          <cell r="A47" t="str">
            <v>Buildings</v>
          </cell>
        </row>
        <row r="48">
          <cell r="A48" t="str">
            <v>Found / Drain</v>
          </cell>
        </row>
        <row r="49">
          <cell r="A49" t="str">
            <v>Struct Steel</v>
          </cell>
        </row>
        <row r="50">
          <cell r="A50" t="str">
            <v>Site Prep</v>
          </cell>
        </row>
        <row r="55">
          <cell r="A55" t="str">
            <v>VRHU</v>
          </cell>
        </row>
        <row r="56">
          <cell r="A56" t="str">
            <v>CDU</v>
          </cell>
        </row>
        <row r="57">
          <cell r="A57" t="str">
            <v>AU3</v>
          </cell>
        </row>
        <row r="58">
          <cell r="A58" t="str">
            <v>MRU</v>
          </cell>
        </row>
        <row r="59">
          <cell r="A59" t="str">
            <v>OSBL</v>
          </cell>
        </row>
        <row r="60">
          <cell r="A60" t="str">
            <v>General</v>
          </cell>
        </row>
        <row r="61">
          <cell r="A61" t="str">
            <v>All</v>
          </cell>
        </row>
        <row r="83">
          <cell r="A83" t="str">
            <v>V</v>
          </cell>
        </row>
        <row r="84">
          <cell r="A84" t="str">
            <v>A</v>
          </cell>
        </row>
        <row r="85">
          <cell r="A85" t="str">
            <v>L</v>
          </cell>
        </row>
      </sheetData>
      <sheetData sheetId="24" refreshError="1"/>
      <sheetData sheetId="25" refreshError="1">
        <row r="5">
          <cell r="C5">
            <v>0.75</v>
          </cell>
        </row>
      </sheetData>
      <sheetData sheetId="2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ADWEA"/>
      <sheetName val="Index-Finance"/>
      <sheetName val="Index-Overall"/>
      <sheetName val="2008-Achievement Chart"/>
      <sheetName val="2008-activities Summary"/>
      <sheetName val="2008-Justification - Chart"/>
      <sheetName val="2008-Justification Summary"/>
      <sheetName val="2008-Justification"/>
      <sheetName val="2009-Justification"/>
      <sheetName val="BUDGET DETAILS - 2008 - 2013"/>
      <sheetName val="Quarter Analysis - table"/>
      <sheetName val="Quarter Analysis - chart"/>
      <sheetName val="BUDGET DETAILS - Annual"/>
      <sheetName val="4.ADSSC Projects Summary"/>
      <sheetName val="1.Overall ADSSC Projects"/>
      <sheetName val="2.Total value by type"/>
      <sheetName val="3.Overall ADSSC Projects No."/>
      <sheetName val="18. ADSSC Projects Cummulative"/>
      <sheetName val="19. Chart2"/>
      <sheetName val="20. ADSSC Annual"/>
      <sheetName val="21-chart 3"/>
      <sheetName val="5.ADSSC Projects"/>
      <sheetName val="6. Budget Phasing"/>
      <sheetName val="7. 2009 Budget by Type"/>
      <sheetName val="8. New Projects"/>
      <sheetName val="9. New Projects-Charts"/>
      <sheetName val="10. Transferred Projects"/>
      <sheetName val="11. Transf. Proj.-Chart"/>
      <sheetName val="12. Running ADSSC Projects"/>
      <sheetName val="13.Running ADSSC-chart"/>
      <sheetName val="14. Running SPC Projects"/>
      <sheetName val="15. Running SPC-Chart"/>
      <sheetName val="16. SPC Projects- Final Stage"/>
      <sheetName val="17. SPC-final Stage-chart"/>
      <sheetName val="Abbreviations"/>
      <sheetName val="Criteria"/>
      <sheetName val="2009-Justification Summary"/>
    </sheetNames>
    <sheetDataSet>
      <sheetData sheetId="0"/>
      <sheetData sheetId="1"/>
      <sheetData sheetId="2"/>
      <sheetData sheetId="3" refreshError="1"/>
      <sheetData sheetId="4"/>
      <sheetData sheetId="5" refreshError="1"/>
      <sheetData sheetId="6"/>
      <sheetData sheetId="7"/>
      <sheetData sheetId="8" refreshError="1"/>
      <sheetData sheetId="9"/>
      <sheetData sheetId="10"/>
      <sheetData sheetId="11"/>
      <sheetData sheetId="12"/>
      <sheetData sheetId="13"/>
      <sheetData sheetId="14"/>
      <sheetData sheetId="15" refreshError="1"/>
      <sheetData sheetId="16" refreshError="1"/>
      <sheetData sheetId="17"/>
      <sheetData sheetId="18" refreshError="1"/>
      <sheetData sheetId="19"/>
      <sheetData sheetId="20"/>
      <sheetData sheetId="21"/>
      <sheetData sheetId="22" refreshError="1"/>
      <sheetData sheetId="23" refreshError="1"/>
      <sheetData sheetId="24"/>
      <sheetData sheetId="25" refreshError="1"/>
      <sheetData sheetId="26"/>
      <sheetData sheetId="27" refreshError="1"/>
      <sheetData sheetId="28"/>
      <sheetData sheetId="29" refreshError="1"/>
      <sheetData sheetId="30"/>
      <sheetData sheetId="31" refreshError="1"/>
      <sheetData sheetId="32"/>
      <sheetData sheetId="33" refreshError="1"/>
      <sheetData sheetId="34"/>
      <sheetData sheetId="35"/>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Justification - Chart"/>
      <sheetName val="2008-Justification Summary"/>
      <sheetName val="BUDGET DETAILS - 2008 - 2014"/>
      <sheetName val="Quarter Analysis - table"/>
      <sheetName val="Quarter Analysis - chart"/>
      <sheetName val="4.ADSSC Projects Summary"/>
      <sheetName val="Index-ADWEA"/>
      <sheetName val="Index-Finance"/>
      <sheetName val="Index-Overall"/>
      <sheetName val="2008-Achievement Chart"/>
      <sheetName val="2008-activities Summary"/>
      <sheetName val="2008-Justification"/>
      <sheetName val="BUDGET DETAILS - Annual"/>
      <sheetName val="1.Overall ADSSC Projects"/>
      <sheetName val="2.Total value by type"/>
      <sheetName val="3.Overall ADSSC Projects No."/>
      <sheetName val="18. ADSSC Projects Cummulative"/>
      <sheetName val="19. Chart2"/>
      <sheetName val="20. ADSSC Annual"/>
      <sheetName val="21-chart 3"/>
      <sheetName val="5.ADSSC Projects"/>
      <sheetName val="6. Budget Phasing"/>
      <sheetName val="7. 2009 Budget by Type"/>
      <sheetName val="8. New Projects"/>
      <sheetName val="9. New Projects-Charts"/>
      <sheetName val="10. Transferred Projects"/>
      <sheetName val="11. Transf. Proj.-Chart"/>
      <sheetName val="12. Running ADSSC Projects"/>
      <sheetName val="13.Running ADSSC-chart"/>
      <sheetName val="14. Running SPC Projects"/>
      <sheetName val="15. Running SPC-Chart"/>
      <sheetName val="16. SPC Projects- Final Stage"/>
      <sheetName val="17. SPC-final Stage-chart"/>
      <sheetName val="Abbreviations"/>
      <sheetName val="Criteri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Summary of Category A"/>
      <sheetName val="2012-BUDGET-ENGLISH"/>
      <sheetName val="KPIs"/>
      <sheetName val="Quarter Analysis - table"/>
      <sheetName val="Quarter Analysis - table (2)"/>
      <sheetName val="Quarter Analysis - chart"/>
      <sheetName val="2yrs BP - Planned Figures"/>
      <sheetName val="2yrs BP Planned Target &amp; %"/>
      <sheetName val="2yrs BP - Actual Paid Figures"/>
      <sheetName val="2yrs BP Actual %"/>
      <sheetName val="2009-Closed Contracts"/>
      <sheetName val="2010-Closed Contracts"/>
      <sheetName val="2011-Closed Contracts"/>
      <sheetName val="2012-Closed Contracts"/>
      <sheetName val="Abbreviation"/>
      <sheetName val="Criteria"/>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ow r="6">
          <cell r="A6" t="str">
            <v>Adel</v>
          </cell>
          <cell r="G6" t="str">
            <v>AES</v>
          </cell>
        </row>
        <row r="7">
          <cell r="A7" t="str">
            <v>Ahmed W.</v>
          </cell>
          <cell r="G7" t="str">
            <v>Control Sys.</v>
          </cell>
        </row>
        <row r="8">
          <cell r="A8" t="str">
            <v>Alan</v>
          </cell>
          <cell r="G8" t="str">
            <v>FD</v>
          </cell>
        </row>
        <row r="9">
          <cell r="A9" t="str">
            <v>Elhiber</v>
          </cell>
          <cell r="G9" t="str">
            <v>IP</v>
          </cell>
        </row>
        <row r="10">
          <cell r="A10" t="str">
            <v>Hakim</v>
          </cell>
          <cell r="G10" t="str">
            <v>NRP</v>
          </cell>
        </row>
        <row r="11">
          <cell r="A11" t="str">
            <v>Huda</v>
          </cell>
          <cell r="G11" t="str">
            <v>OTH</v>
          </cell>
        </row>
        <row r="12">
          <cell r="A12" t="str">
            <v>J. Koshy</v>
          </cell>
          <cell r="G12" t="str">
            <v>OV</v>
          </cell>
        </row>
        <row r="13">
          <cell r="A13" t="str">
            <v>Khaled A.</v>
          </cell>
          <cell r="G13" t="str">
            <v>RPS</v>
          </cell>
        </row>
        <row r="14">
          <cell r="A14" t="str">
            <v>Khaled N.</v>
          </cell>
          <cell r="G14" t="str">
            <v>SCADA</v>
          </cell>
        </row>
        <row r="15">
          <cell r="A15" t="str">
            <v>M. Baobaid</v>
          </cell>
          <cell r="G15" t="str">
            <v>STP</v>
          </cell>
        </row>
        <row r="16">
          <cell r="A16" t="str">
            <v>M. Harrasi</v>
          </cell>
          <cell r="G16" t="str">
            <v>TRIP</v>
          </cell>
        </row>
        <row r="17">
          <cell r="A17" t="str">
            <v>M. Kurbi</v>
          </cell>
          <cell r="G17" t="str">
            <v>TSE</v>
          </cell>
        </row>
        <row r="18">
          <cell r="A18" t="str">
            <v>M. Steitieh</v>
          </cell>
        </row>
        <row r="19">
          <cell r="A19" t="str">
            <v>Mahmoud</v>
          </cell>
        </row>
        <row r="20">
          <cell r="A20" t="str">
            <v>Nasser</v>
          </cell>
        </row>
        <row r="21">
          <cell r="A21" t="str">
            <v>S. Al Haddadi</v>
          </cell>
        </row>
        <row r="22">
          <cell r="A22" t="str">
            <v>Salama</v>
          </cell>
        </row>
        <row r="23">
          <cell r="A23" t="str">
            <v>Sarma</v>
          </cell>
        </row>
        <row r="24">
          <cell r="A24" t="str">
            <v>Talal</v>
          </cell>
        </row>
        <row r="34">
          <cell r="A34" t="str">
            <v>AES</v>
          </cell>
        </row>
        <row r="35">
          <cell r="A35" t="str">
            <v>NRP</v>
          </cell>
        </row>
        <row r="36">
          <cell r="A36" t="str">
            <v>OTH</v>
          </cell>
        </row>
        <row r="37">
          <cell r="A37" t="str">
            <v>RPS</v>
          </cell>
        </row>
        <row r="38">
          <cell r="A38" t="str">
            <v>STP</v>
          </cell>
        </row>
        <row r="39">
          <cell r="A39" t="str">
            <v>TSE</v>
          </cell>
        </row>
        <row r="48">
          <cell r="A48" t="str">
            <v>EC</v>
          </cell>
        </row>
        <row r="49">
          <cell r="A49" t="str">
            <v>Expected</v>
          </cell>
          <cell r="I49" t="str">
            <v>ACE</v>
          </cell>
        </row>
        <row r="50">
          <cell r="A50" t="str">
            <v>DOF</v>
          </cell>
        </row>
        <row r="51">
          <cell r="A51" t="str">
            <v>TC</v>
          </cell>
          <cell r="I51" t="str">
            <v>ADMAC</v>
          </cell>
        </row>
        <row r="52">
          <cell r="A52" t="str">
            <v>PC</v>
          </cell>
          <cell r="I52" t="str">
            <v>ADMAK (Road)</v>
          </cell>
        </row>
        <row r="53">
          <cell r="I53" t="str">
            <v>Al Hamed</v>
          </cell>
        </row>
        <row r="54">
          <cell r="I54" t="str">
            <v>Al Jaber</v>
          </cell>
        </row>
        <row r="55">
          <cell r="I55" t="str">
            <v>Al Masood (KSB)</v>
          </cell>
        </row>
        <row r="56">
          <cell r="I56" t="str">
            <v>Al Muhairy</v>
          </cell>
        </row>
        <row r="57">
          <cell r="I57" t="str">
            <v xml:space="preserve">Al Nasr </v>
          </cell>
        </row>
        <row r="58">
          <cell r="I58" t="str">
            <v>Astraco</v>
          </cell>
        </row>
        <row r="59">
          <cell r="I59" t="str">
            <v>BHE</v>
          </cell>
        </row>
        <row r="60">
          <cell r="I60" t="str">
            <v>Bin Hafeez</v>
          </cell>
        </row>
        <row r="61">
          <cell r="I61" t="str">
            <v>Bin Ham</v>
          </cell>
        </row>
        <row r="62">
          <cell r="A62" t="str">
            <v>AE</v>
          </cell>
          <cell r="I62" t="str">
            <v>Cairomatic</v>
          </cell>
        </row>
        <row r="63">
          <cell r="A63" t="str">
            <v>AT</v>
          </cell>
          <cell r="I63" t="str">
            <v>Code</v>
          </cell>
        </row>
        <row r="64">
          <cell r="A64" t="str">
            <v>CV</v>
          </cell>
          <cell r="I64" t="str">
            <v>Concorde</v>
          </cell>
        </row>
        <row r="65">
          <cell r="A65" t="str">
            <v>FA</v>
          </cell>
          <cell r="I65" t="str">
            <v>Daff</v>
          </cell>
        </row>
        <row r="66">
          <cell r="A66" t="str">
            <v>FE</v>
          </cell>
          <cell r="I66" t="str">
            <v>DEC</v>
          </cell>
        </row>
        <row r="67">
          <cell r="A67" t="str">
            <v>FT</v>
          </cell>
          <cell r="I67" t="str">
            <v>Dorsch</v>
          </cell>
        </row>
        <row r="68">
          <cell r="A68" t="str">
            <v>NB</v>
          </cell>
          <cell r="I68" t="str">
            <v>Eagle</v>
          </cell>
        </row>
        <row r="69">
          <cell r="A69" t="str">
            <v>TRF</v>
          </cell>
          <cell r="I69" t="str">
            <v>EMCO</v>
          </cell>
        </row>
        <row r="70">
          <cell r="A70" t="str">
            <v>01TN</v>
          </cell>
          <cell r="I70" t="str">
            <v>Envicon</v>
          </cell>
        </row>
        <row r="71">
          <cell r="A71" t="str">
            <v>01VE</v>
          </cell>
          <cell r="I71" t="str">
            <v>GCC</v>
          </cell>
        </row>
        <row r="72">
          <cell r="A72" t="str">
            <v>01VF</v>
          </cell>
          <cell r="I72" t="str">
            <v>Hedley Int'l Emirates</v>
          </cell>
        </row>
        <row r="73">
          <cell r="A73" t="str">
            <v>01VT</v>
          </cell>
          <cell r="I73" t="str">
            <v>Hilalco</v>
          </cell>
        </row>
        <row r="74">
          <cell r="A74" t="str">
            <v>02TN</v>
          </cell>
          <cell r="I74" t="str">
            <v>Hyder</v>
          </cell>
        </row>
        <row r="75">
          <cell r="A75" t="str">
            <v>02VE</v>
          </cell>
          <cell r="I75" t="str">
            <v>IEE</v>
          </cell>
        </row>
        <row r="76">
          <cell r="A76" t="str">
            <v>02VF</v>
          </cell>
          <cell r="I76" t="str">
            <v>KEO</v>
          </cell>
        </row>
        <row r="77">
          <cell r="A77" t="str">
            <v>02VT</v>
          </cell>
          <cell r="I77" t="str">
            <v>Klumpp &amp; Nagel</v>
          </cell>
        </row>
        <row r="78">
          <cell r="A78" t="str">
            <v>03TN</v>
          </cell>
          <cell r="I78" t="str">
            <v>Linderberg</v>
          </cell>
        </row>
        <row r="79">
          <cell r="A79" t="str">
            <v>03VE</v>
          </cell>
          <cell r="I79" t="str">
            <v>Mabani</v>
          </cell>
        </row>
        <row r="80">
          <cell r="A80" t="str">
            <v>03VF</v>
          </cell>
          <cell r="I80" t="str">
            <v>Mace</v>
          </cell>
        </row>
        <row r="81">
          <cell r="A81" t="str">
            <v>03VT</v>
          </cell>
          <cell r="I81" t="str">
            <v>Maunsell</v>
          </cell>
        </row>
        <row r="82">
          <cell r="A82" t="str">
            <v>04TN</v>
          </cell>
          <cell r="I82" t="str">
            <v>METCO</v>
          </cell>
        </row>
        <row r="83">
          <cell r="A83" t="str">
            <v>04VE</v>
          </cell>
          <cell r="I83" t="str">
            <v>Metito</v>
          </cell>
        </row>
        <row r="84">
          <cell r="A84" t="str">
            <v>04VF</v>
          </cell>
          <cell r="I84" t="str">
            <v>Mott McDonald</v>
          </cell>
        </row>
        <row r="85">
          <cell r="A85" t="str">
            <v>04VT</v>
          </cell>
          <cell r="I85" t="str">
            <v>MWH</v>
          </cell>
        </row>
        <row r="86">
          <cell r="A86" t="str">
            <v>05TN</v>
          </cell>
          <cell r="I86" t="str">
            <v>NBH</v>
          </cell>
        </row>
        <row r="87">
          <cell r="A87" t="str">
            <v>05VE</v>
          </cell>
          <cell r="I87" t="str">
            <v>Not Available</v>
          </cell>
        </row>
        <row r="88">
          <cell r="A88" t="str">
            <v>05VF</v>
          </cell>
          <cell r="I88" t="str">
            <v>Nurol</v>
          </cell>
        </row>
        <row r="89">
          <cell r="A89" t="str">
            <v>05VT</v>
          </cell>
          <cell r="I89" t="str">
            <v>PACT</v>
          </cell>
        </row>
        <row r="90">
          <cell r="A90" t="str">
            <v>06TN</v>
          </cell>
          <cell r="I90" t="str">
            <v>Parsons</v>
          </cell>
        </row>
        <row r="91">
          <cell r="A91" t="str">
            <v>06VE</v>
          </cell>
          <cell r="I91" t="str">
            <v>Rapco</v>
          </cell>
        </row>
        <row r="92">
          <cell r="A92" t="str">
            <v>06VF</v>
          </cell>
          <cell r="I92" t="str">
            <v>Samsung-Saif Bin Darwish</v>
          </cell>
        </row>
        <row r="93">
          <cell r="A93" t="str">
            <v>06VT</v>
          </cell>
          <cell r="I93" t="str">
            <v>Tecton</v>
          </cell>
        </row>
        <row r="94">
          <cell r="A94" t="str">
            <v>07TN</v>
          </cell>
        </row>
        <row r="95">
          <cell r="A95" t="str">
            <v>07VE</v>
          </cell>
        </row>
        <row r="96">
          <cell r="A96" t="str">
            <v>07VF</v>
          </cell>
        </row>
        <row r="97">
          <cell r="A97" t="str">
            <v>07VT</v>
          </cell>
        </row>
        <row r="98">
          <cell r="A98" t="str">
            <v>08TN</v>
          </cell>
        </row>
        <row r="99">
          <cell r="A99" t="str">
            <v>08VE</v>
          </cell>
        </row>
        <row r="100">
          <cell r="A100" t="str">
            <v>08VF</v>
          </cell>
        </row>
        <row r="101">
          <cell r="A101" t="str">
            <v>08VT</v>
          </cell>
        </row>
        <row r="102">
          <cell r="A102" t="str">
            <v>09TN</v>
          </cell>
        </row>
        <row r="103">
          <cell r="A103" t="str">
            <v>09VE</v>
          </cell>
        </row>
        <row r="104">
          <cell r="A104" t="str">
            <v>09VF</v>
          </cell>
        </row>
        <row r="105">
          <cell r="A105" t="str">
            <v>09VT</v>
          </cell>
        </row>
        <row r="106">
          <cell r="A106" t="str">
            <v>10TN</v>
          </cell>
        </row>
        <row r="107">
          <cell r="A107" t="str">
            <v>10VE</v>
          </cell>
        </row>
        <row r="108">
          <cell r="A108" t="str">
            <v>10VF</v>
          </cell>
        </row>
        <row r="109">
          <cell r="A109" t="str">
            <v>10VT</v>
          </cell>
        </row>
        <row r="110">
          <cell r="A110" t="str">
            <v>11TN</v>
          </cell>
        </row>
        <row r="111">
          <cell r="A111" t="str">
            <v>11VE</v>
          </cell>
        </row>
        <row r="112">
          <cell r="A112" t="str">
            <v>11VF</v>
          </cell>
        </row>
        <row r="113">
          <cell r="A113" t="str">
            <v>11VT</v>
          </cell>
        </row>
        <row r="114">
          <cell r="A114" t="str">
            <v>12TN</v>
          </cell>
        </row>
        <row r="115">
          <cell r="A115" t="str">
            <v>12VE</v>
          </cell>
        </row>
        <row r="116">
          <cell r="A116" t="str">
            <v>12VF</v>
          </cell>
        </row>
        <row r="117">
          <cell r="A117" t="str">
            <v>12VT</v>
          </cell>
        </row>
        <row r="118">
          <cell r="A118" t="str">
            <v>13TN</v>
          </cell>
        </row>
        <row r="119">
          <cell r="A119" t="str">
            <v>13VE</v>
          </cell>
        </row>
        <row r="120">
          <cell r="A120" t="str">
            <v>13VF</v>
          </cell>
        </row>
        <row r="121">
          <cell r="A121" t="str">
            <v>13VT</v>
          </cell>
        </row>
        <row r="122">
          <cell r="A122" t="str">
            <v>14TN</v>
          </cell>
        </row>
        <row r="123">
          <cell r="A123" t="str">
            <v>14VE</v>
          </cell>
        </row>
        <row r="124">
          <cell r="A124" t="str">
            <v>14VF</v>
          </cell>
        </row>
        <row r="125">
          <cell r="A125" t="str">
            <v>14VT</v>
          </cell>
        </row>
        <row r="126">
          <cell r="A126" t="str">
            <v>15TN</v>
          </cell>
        </row>
        <row r="127">
          <cell r="A127" t="str">
            <v>15VE</v>
          </cell>
        </row>
        <row r="128">
          <cell r="A128" t="str">
            <v>15VF</v>
          </cell>
        </row>
        <row r="129">
          <cell r="A129" t="str">
            <v>15VT</v>
          </cell>
        </row>
        <row r="130">
          <cell r="A130" t="str">
            <v>16TN</v>
          </cell>
        </row>
        <row r="131">
          <cell r="A131" t="str">
            <v>16VE</v>
          </cell>
        </row>
        <row r="132">
          <cell r="A132" t="str">
            <v>16VF</v>
          </cell>
        </row>
        <row r="133">
          <cell r="A133" t="str">
            <v>16VT</v>
          </cell>
        </row>
        <row r="134">
          <cell r="A134" t="str">
            <v>17TN</v>
          </cell>
        </row>
        <row r="135">
          <cell r="A135" t="str">
            <v>17VE</v>
          </cell>
        </row>
        <row r="136">
          <cell r="A136" t="str">
            <v>17VF</v>
          </cell>
        </row>
        <row r="137">
          <cell r="A137" t="str">
            <v>17VT</v>
          </cell>
        </row>
        <row r="138">
          <cell r="A138" t="str">
            <v>18TN</v>
          </cell>
        </row>
        <row r="139">
          <cell r="A139" t="str">
            <v>18VE</v>
          </cell>
        </row>
        <row r="140">
          <cell r="A140" t="str">
            <v>18VF</v>
          </cell>
        </row>
        <row r="141">
          <cell r="A141" t="str">
            <v>18VT</v>
          </cell>
        </row>
        <row r="142">
          <cell r="A142" t="str">
            <v>19TN</v>
          </cell>
        </row>
        <row r="143">
          <cell r="A143" t="str">
            <v>19VE</v>
          </cell>
        </row>
        <row r="144">
          <cell r="A144" t="str">
            <v>19VT</v>
          </cell>
        </row>
        <row r="145">
          <cell r="A145" t="str">
            <v>20TN</v>
          </cell>
        </row>
        <row r="146">
          <cell r="A146" t="str">
            <v>20VE</v>
          </cell>
        </row>
        <row r="147">
          <cell r="A147" t="str">
            <v>20VT</v>
          </cell>
        </row>
        <row r="148">
          <cell r="A148" t="str">
            <v>21TN</v>
          </cell>
        </row>
        <row r="149">
          <cell r="A149" t="str">
            <v>21VE</v>
          </cell>
        </row>
        <row r="150">
          <cell r="A150" t="str">
            <v>21VT</v>
          </cell>
        </row>
        <row r="151">
          <cell r="A151" t="str">
            <v>22TN</v>
          </cell>
        </row>
        <row r="152">
          <cell r="A152" t="str">
            <v>22VE</v>
          </cell>
        </row>
        <row r="153">
          <cell r="A153" t="str">
            <v>22VT</v>
          </cell>
        </row>
        <row r="154">
          <cell r="A154" t="str">
            <v>23TN</v>
          </cell>
        </row>
        <row r="155">
          <cell r="A155" t="str">
            <v>23VE</v>
          </cell>
        </row>
        <row r="156">
          <cell r="A156" t="str">
            <v>23VT</v>
          </cell>
        </row>
        <row r="157">
          <cell r="A157" t="str">
            <v>24TN</v>
          </cell>
        </row>
        <row r="158">
          <cell r="A158" t="str">
            <v>24VE</v>
          </cell>
        </row>
        <row r="159">
          <cell r="A159" t="str">
            <v>24VT</v>
          </cell>
        </row>
        <row r="160">
          <cell r="A160" t="str">
            <v>25TN</v>
          </cell>
        </row>
        <row r="161">
          <cell r="A161" t="str">
            <v>25VE</v>
          </cell>
        </row>
        <row r="162">
          <cell r="A162" t="str">
            <v>25VT</v>
          </cell>
        </row>
      </sheetData>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Supporting"/>
      <sheetName val="Trade organizations"/>
      <sheetName val="Translat.&amp;interoretation Srvcs."/>
      <sheetName val="Admin "/>
      <sheetName val="PR"/>
      <sheetName val="Legal Services"/>
      <sheetName val="IT"/>
      <sheetName val="Training "/>
      <sheetName val="other accounts"/>
      <sheetName val="Travel-business trips"/>
      <sheetName val="نموذج المشاريع الماليه "/>
    </sheetNames>
    <sheetDataSet>
      <sheetData sheetId="0"/>
      <sheetData sheetId="1"/>
      <sheetData sheetId="2"/>
      <sheetData sheetId="3"/>
      <sheetData sheetId="4"/>
      <sheetData sheetId="5"/>
      <sheetData sheetId="6"/>
      <sheetData sheetId="7"/>
      <sheetData sheetId="8"/>
      <sheetData sheetId="9"/>
      <sheetData sheetId="10">
        <row r="3">
          <cell r="O3" t="str">
            <v>-</v>
          </cell>
          <cell r="P3" t="str">
            <v>المدير التنفيذي</v>
          </cell>
          <cell r="Q3" t="str">
            <v>الخاصة</v>
          </cell>
          <cell r="R3">
            <v>1</v>
          </cell>
          <cell r="S3">
            <v>2</v>
          </cell>
          <cell r="T3">
            <v>3</v>
          </cell>
          <cell r="U3">
            <v>4</v>
          </cell>
          <cell r="V3">
            <v>5</v>
          </cell>
          <cell r="W3">
            <v>6</v>
          </cell>
          <cell r="X3">
            <v>7</v>
          </cell>
          <cell r="Y3">
            <v>8</v>
          </cell>
          <cell r="Z3">
            <v>9</v>
          </cell>
          <cell r="AA3">
            <v>10</v>
          </cell>
          <cell r="AB3">
            <v>11</v>
          </cell>
          <cell r="AC3">
            <v>12</v>
          </cell>
          <cell r="AD3" t="str">
            <v>Grade</v>
          </cell>
        </row>
        <row r="4">
          <cell r="O4">
            <v>0</v>
          </cell>
          <cell r="P4">
            <v>3500</v>
          </cell>
          <cell r="Q4">
            <v>2500</v>
          </cell>
          <cell r="R4">
            <v>2000</v>
          </cell>
          <cell r="S4">
            <v>2000</v>
          </cell>
          <cell r="T4">
            <v>2000</v>
          </cell>
          <cell r="U4">
            <v>2000</v>
          </cell>
          <cell r="V4">
            <v>1500</v>
          </cell>
          <cell r="W4">
            <v>1500</v>
          </cell>
          <cell r="X4">
            <v>1500</v>
          </cell>
          <cell r="Y4">
            <v>1500</v>
          </cell>
          <cell r="Z4">
            <v>1500</v>
          </cell>
          <cell r="AA4">
            <v>1500</v>
          </cell>
          <cell r="AB4">
            <v>1500</v>
          </cell>
          <cell r="AC4">
            <v>1500</v>
          </cell>
          <cell r="AD4" t="str">
            <v>Amount</v>
          </cell>
        </row>
        <row r="5">
          <cell r="X5" t="str">
            <v>الأولى</v>
          </cell>
          <cell r="Y5" t="str">
            <v xml:space="preserve">رجال الأعمال </v>
          </cell>
          <cell r="Z5" t="str">
            <v>السياحية</v>
          </cell>
          <cell r="AA5" t="str">
            <v>المدير التنفيذي</v>
          </cell>
          <cell r="AB5" t="str">
            <v>الأولى</v>
          </cell>
        </row>
        <row r="6">
          <cell r="W6" t="str">
            <v>دول مجلس التعاون الخليجي</v>
          </cell>
          <cell r="X6">
            <v>5425</v>
          </cell>
          <cell r="Y6">
            <v>4987.5</v>
          </cell>
          <cell r="Z6">
            <v>4462.5</v>
          </cell>
          <cell r="AA6" t="str">
            <v>-</v>
          </cell>
          <cell r="AB6" t="str">
            <v>-</v>
          </cell>
        </row>
        <row r="7">
          <cell r="W7" t="str">
            <v>الشرق الأوسط وشبه القارة الهندية</v>
          </cell>
          <cell r="X7">
            <v>12512.5</v>
          </cell>
          <cell r="Y7">
            <v>8050</v>
          </cell>
          <cell r="Z7">
            <v>5512.5</v>
          </cell>
          <cell r="AA7" t="str">
            <v>الخاصة</v>
          </cell>
          <cell r="AB7" t="str">
            <v>رجال الأعمال</v>
          </cell>
        </row>
        <row r="8">
          <cell r="W8" t="str">
            <v>الشرق الأقصى</v>
          </cell>
          <cell r="X8">
            <v>25812.5</v>
          </cell>
          <cell r="Y8">
            <v>18900</v>
          </cell>
          <cell r="Z8">
            <v>7787.5</v>
          </cell>
          <cell r="AA8">
            <v>1</v>
          </cell>
          <cell r="AB8" t="str">
            <v>رجال الأعمال</v>
          </cell>
        </row>
        <row r="9">
          <cell r="W9" t="str">
            <v>إفريقيا</v>
          </cell>
          <cell r="X9">
            <v>29312.5</v>
          </cell>
          <cell r="Y9">
            <v>26687.5</v>
          </cell>
          <cell r="Z9">
            <v>5425</v>
          </cell>
          <cell r="AA9">
            <v>2</v>
          </cell>
          <cell r="AB9" t="str">
            <v>رجال الأعمال</v>
          </cell>
        </row>
        <row r="10">
          <cell r="W10" t="str">
            <v>أوروبا</v>
          </cell>
          <cell r="X10">
            <v>31762.5</v>
          </cell>
          <cell r="Y10">
            <v>25987.5</v>
          </cell>
          <cell r="Z10">
            <v>9625</v>
          </cell>
          <cell r="AA10">
            <v>3</v>
          </cell>
          <cell r="AB10" t="str">
            <v>السياحية</v>
          </cell>
        </row>
        <row r="11">
          <cell r="W11" t="str">
            <v>الأمريكتين وكندا واستراليا</v>
          </cell>
          <cell r="X11">
            <v>42787.5</v>
          </cell>
          <cell r="Y11">
            <v>29400</v>
          </cell>
          <cell r="Z11">
            <v>11287.5</v>
          </cell>
          <cell r="AA11">
            <v>4</v>
          </cell>
          <cell r="AB11" t="str">
            <v>السياحية</v>
          </cell>
        </row>
        <row r="12">
          <cell r="AA12">
            <v>5</v>
          </cell>
          <cell r="AB12" t="str">
            <v>السياحية</v>
          </cell>
        </row>
        <row r="13">
          <cell r="AA13">
            <v>6</v>
          </cell>
          <cell r="AB13" t="str">
            <v>السياحية</v>
          </cell>
        </row>
        <row r="14">
          <cell r="AA14">
            <v>7</v>
          </cell>
          <cell r="AB14" t="str">
            <v>السياحية</v>
          </cell>
        </row>
        <row r="15">
          <cell r="AA15">
            <v>8</v>
          </cell>
          <cell r="AB15" t="str">
            <v>السياحية</v>
          </cell>
        </row>
        <row r="16">
          <cell r="AA16">
            <v>9</v>
          </cell>
          <cell r="AB16" t="str">
            <v>السياحية</v>
          </cell>
        </row>
        <row r="17">
          <cell r="AA17">
            <v>10</v>
          </cell>
          <cell r="AB17" t="str">
            <v>السياحية</v>
          </cell>
        </row>
        <row r="18">
          <cell r="AA18">
            <v>11</v>
          </cell>
          <cell r="AB18" t="str">
            <v>السياحية</v>
          </cell>
        </row>
        <row r="19">
          <cell r="AA19">
            <v>12</v>
          </cell>
          <cell r="AB19" t="str">
            <v>السياحية</v>
          </cell>
        </row>
      </sheetData>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structions"/>
      <sheetName val="Input sources log"/>
      <sheetName val="Version control"/>
      <sheetName val="Checks"/>
      <sheetName val="Checks sheet"/>
      <sheetName val="Controls"/>
      <sheetName val="Cover Sheet"/>
      <sheetName val="Outputs sheets &gt;&gt; "/>
      <sheetName val="Flow Chart"/>
      <sheetName val="Report"/>
      <sheetName val="Inputs sheets &gt;&gt; "/>
      <sheetName val="Expenses_TB"/>
      <sheetName val="Org Structure "/>
      <sheetName val="Expenses_Drivers"/>
      <sheetName val="Exp. Allocation_Drivers list"/>
      <sheetName val="Services_Customers"/>
      <sheetName val="Services Drivers"/>
      <sheetName val="Calculation sheets &gt;&gt;"/>
      <sheetName val="Costs Allocation"/>
      <sheetName val="Services Allocation"/>
      <sheetName val="Cost per Transaction"/>
      <sheetName val="Services Cost Summary"/>
      <sheetName val="Blank Sheet"/>
      <sheetName val="المحركات"/>
    </sheetNames>
    <sheetDataSet>
      <sheetData sheetId="0"/>
      <sheetData sheetId="1"/>
      <sheetData sheetId="2"/>
      <sheetData sheetId="3"/>
      <sheetData sheetId="4"/>
      <sheetData sheetId="5"/>
      <sheetData sheetId="6">
        <row r="47">
          <cell r="N47">
            <v>0</v>
          </cell>
        </row>
        <row r="48">
          <cell r="N48" t="str">
            <v>مكتب المدير العام</v>
          </cell>
        </row>
        <row r="49">
          <cell r="N49" t="str">
            <v>إدارة التدقيق الداخلي</v>
          </cell>
        </row>
        <row r="50">
          <cell r="N50" t="str">
            <v xml:space="preserve"> التخطيط الاستراتيجي والسياسات</v>
          </cell>
        </row>
        <row r="51">
          <cell r="N51" t="str">
            <v xml:space="preserve"> الاتصال والتوعية العامة</v>
          </cell>
        </row>
        <row r="52">
          <cell r="N52" t="str">
            <v>البيئة والصحة والسلامة</v>
          </cell>
        </row>
        <row r="53">
          <cell r="N53" t="str">
            <v>المشاريع والمنشآت</v>
          </cell>
        </row>
        <row r="54">
          <cell r="N54" t="str">
            <v>مشاريع الجمع والنقل</v>
          </cell>
        </row>
        <row r="55">
          <cell r="N55" t="str">
            <v>مشاريع مكافحة آفات الصحة العامة</v>
          </cell>
        </row>
        <row r="56">
          <cell r="N56" t="str">
            <v>التراخيص والتعرفة وخدمة العملاء</v>
          </cell>
        </row>
        <row r="57">
          <cell r="N57" t="str">
            <v>الموارد البشرية</v>
          </cell>
        </row>
        <row r="58">
          <cell r="N58" t="str">
            <v>المالية</v>
          </cell>
        </row>
        <row r="59">
          <cell r="N59" t="str">
            <v>العقود والمشتريات</v>
          </cell>
        </row>
        <row r="60">
          <cell r="N60" t="str">
            <v>الخدمات العامة</v>
          </cell>
        </row>
        <row r="61">
          <cell r="N61" t="str">
            <v>تقنية المعلومات</v>
          </cell>
        </row>
        <row r="62">
          <cell r="N62">
            <v>0</v>
          </cell>
        </row>
        <row r="63">
          <cell r="N63">
            <v>0</v>
          </cell>
        </row>
        <row r="64">
          <cell r="N64">
            <v>0</v>
          </cell>
        </row>
        <row r="65">
          <cell r="N65">
            <v>0</v>
          </cell>
        </row>
        <row r="66">
          <cell r="N66">
            <v>0</v>
          </cell>
        </row>
        <row r="67">
          <cell r="N67">
            <v>0</v>
          </cell>
        </row>
        <row r="68">
          <cell r="N68">
            <v>0</v>
          </cell>
        </row>
        <row r="69">
          <cell r="N69">
            <v>0</v>
          </cell>
        </row>
        <row r="70">
          <cell r="N70">
            <v>0</v>
          </cell>
        </row>
        <row r="71">
          <cell r="N71">
            <v>0</v>
          </cell>
        </row>
        <row r="72">
          <cell r="N72">
            <v>0</v>
          </cell>
        </row>
        <row r="73">
          <cell r="N73">
            <v>0</v>
          </cell>
        </row>
        <row r="74">
          <cell r="N74">
            <v>0</v>
          </cell>
        </row>
        <row r="75">
          <cell r="N75">
            <v>0</v>
          </cell>
        </row>
        <row r="76">
          <cell r="N76">
            <v>0</v>
          </cell>
        </row>
        <row r="77">
          <cell r="N77">
            <v>0</v>
          </cell>
        </row>
        <row r="78">
          <cell r="N78">
            <v>0</v>
          </cell>
        </row>
        <row r="79">
          <cell r="N79">
            <v>0</v>
          </cell>
        </row>
        <row r="80">
          <cell r="N80">
            <v>0</v>
          </cell>
        </row>
        <row r="81">
          <cell r="N81">
            <v>0</v>
          </cell>
        </row>
        <row r="82">
          <cell r="N82">
            <v>0</v>
          </cell>
        </row>
        <row r="83">
          <cell r="N83">
            <v>0</v>
          </cell>
        </row>
        <row r="84">
          <cell r="N84">
            <v>0</v>
          </cell>
        </row>
        <row r="85">
          <cell r="N85">
            <v>0</v>
          </cell>
        </row>
        <row r="86">
          <cell r="N86">
            <v>0</v>
          </cell>
        </row>
        <row r="87">
          <cell r="N87">
            <v>0</v>
          </cell>
        </row>
        <row r="88">
          <cell r="N88">
            <v>0</v>
          </cell>
        </row>
        <row r="89">
          <cell r="N89">
            <v>0</v>
          </cell>
        </row>
        <row r="90">
          <cell r="N90">
            <v>0</v>
          </cell>
        </row>
        <row r="91">
          <cell r="N91">
            <v>0</v>
          </cell>
        </row>
        <row r="92">
          <cell r="N92">
            <v>0</v>
          </cell>
        </row>
        <row r="93">
          <cell r="N93">
            <v>0</v>
          </cell>
        </row>
        <row r="94">
          <cell r="N94">
            <v>0</v>
          </cell>
        </row>
        <row r="95">
          <cell r="N95">
            <v>0</v>
          </cell>
        </row>
        <row r="96">
          <cell r="N96">
            <v>0</v>
          </cell>
        </row>
        <row r="97">
          <cell r="N97">
            <v>0</v>
          </cell>
        </row>
        <row r="98">
          <cell r="N98">
            <v>0</v>
          </cell>
        </row>
        <row r="99">
          <cell r="N99">
            <v>0</v>
          </cell>
        </row>
        <row r="100">
          <cell r="N100">
            <v>0</v>
          </cell>
        </row>
        <row r="101">
          <cell r="N101">
            <v>0</v>
          </cell>
        </row>
        <row r="102">
          <cell r="N102">
            <v>0</v>
          </cell>
        </row>
        <row r="103">
          <cell r="N103">
            <v>0</v>
          </cell>
        </row>
        <row r="104">
          <cell r="N104">
            <v>0</v>
          </cell>
        </row>
        <row r="105">
          <cell r="N105">
            <v>0</v>
          </cell>
        </row>
        <row r="106">
          <cell r="N106">
            <v>0</v>
          </cell>
        </row>
        <row r="107">
          <cell r="N107">
            <v>0</v>
          </cell>
        </row>
        <row r="108">
          <cell r="N108">
            <v>0</v>
          </cell>
        </row>
        <row r="109">
          <cell r="N109">
            <v>0</v>
          </cell>
        </row>
        <row r="110">
          <cell r="N110">
            <v>0</v>
          </cell>
        </row>
        <row r="111">
          <cell r="N111">
            <v>0</v>
          </cell>
        </row>
        <row r="112">
          <cell r="N112">
            <v>0</v>
          </cell>
        </row>
        <row r="113">
          <cell r="N113">
            <v>0</v>
          </cell>
        </row>
        <row r="114">
          <cell r="N114">
            <v>0</v>
          </cell>
        </row>
        <row r="115">
          <cell r="N115">
            <v>0</v>
          </cell>
        </row>
        <row r="116">
          <cell r="N116">
            <v>0</v>
          </cell>
        </row>
        <row r="117">
          <cell r="N117">
            <v>0</v>
          </cell>
        </row>
        <row r="118">
          <cell r="N118">
            <v>0</v>
          </cell>
        </row>
        <row r="119">
          <cell r="N119">
            <v>0</v>
          </cell>
        </row>
        <row r="120">
          <cell r="N120">
            <v>0</v>
          </cell>
        </row>
        <row r="121">
          <cell r="N121">
            <v>0</v>
          </cell>
        </row>
        <row r="122">
          <cell r="N122">
            <v>0</v>
          </cell>
        </row>
        <row r="127">
          <cell r="D127" t="str">
            <v>Service Center (customer)</v>
          </cell>
        </row>
        <row r="128">
          <cell r="D128" t="str">
            <v>Service Center (non-customer)</v>
          </cell>
        </row>
        <row r="129">
          <cell r="D129" t="str">
            <v>Support Center</v>
          </cell>
        </row>
        <row r="130">
          <cell r="D130" t="str">
            <v>Common Center</v>
          </cell>
        </row>
        <row r="131">
          <cell r="D131">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Travel Unit Rate Buildup"/>
      <sheetName val="Calc Client Multiplier"/>
      <sheetName val="Expat Staff Cost Buildup"/>
      <sheetName val="John Parry's Rates"/>
      <sheetName val="Staffing Resource"/>
      <sheetName val="LOE Hrs"/>
      <sheetName val="Total Labor by WBS"/>
      <sheetName val="Raw Labor by WBS"/>
      <sheetName val="Allowances by WBS"/>
      <sheetName val="Fringe Costs by WBS"/>
      <sheetName val="Labor OH by WBS"/>
      <sheetName val="Fee on Labor by WBS"/>
      <sheetName val="DIRECT COSTS - MARGIN ANALYSIS"/>
      <sheetName val="Margin Metrics"/>
      <sheetName val="Summary - Low"/>
      <sheetName val="Summary - Mid"/>
      <sheetName val="Summary - High"/>
      <sheetName val="WBS Summ - Low"/>
      <sheetName val="WBS Summ - Mid"/>
      <sheetName val="WBS Summ - High"/>
      <sheetName val="INC"/>
      <sheetName val="PUB Sub"/>
      <sheetName val=" Sub"/>
      <sheetName val="Sub 3"/>
      <sheetName val="Sub 4"/>
      <sheetName val="Other"/>
      <sheetName val="Labor Detail"/>
      <sheetName val="ODC Detail"/>
      <sheetName val="Tables 1-3 PMO Core"/>
      <sheetName val="Table 4-Transition"/>
      <sheetName val="Table 5-Reachback - US"/>
      <sheetName val="Table 5-Reachback - UK"/>
      <sheetName val="Table 5-Reachback - SNG"/>
      <sheetName val="Table 5-Reachback - Dubai"/>
      <sheetName val="Table 6 -Resource Schedules"/>
      <sheetName val="Table 7 - Travel Costs"/>
    </sheetNames>
    <sheetDataSet>
      <sheetData sheetId="0">
        <row r="18">
          <cell r="D18">
            <v>3.67</v>
          </cell>
        </row>
      </sheetData>
      <sheetData sheetId="1"/>
      <sheetData sheetId="2"/>
      <sheetData sheetId="3"/>
      <sheetData sheetId="4"/>
      <sheetData sheetId="5">
        <row r="3">
          <cell r="E3" t="str">
            <v>"Reach-Back" Staff - Cost Engineer</v>
          </cell>
        </row>
        <row r="4">
          <cell r="E4" t="str">
            <v>"Reach-Back" Staff - Cost Engineer</v>
          </cell>
        </row>
        <row r="5">
          <cell r="E5" t="str">
            <v>"Reach-Back" Staff - Project/Contract Mgers</v>
          </cell>
        </row>
        <row r="6">
          <cell r="E6" t="str">
            <v>"Reach-Back" Staff - Project/Contract Mgers</v>
          </cell>
        </row>
        <row r="7">
          <cell r="E7" t="str">
            <v>"Reach-Back" Staff - Project/Contract Mgers</v>
          </cell>
        </row>
        <row r="8">
          <cell r="E8" t="str">
            <v>"Reach-Back" Staff - Project/Contract Mgers</v>
          </cell>
        </row>
        <row r="9">
          <cell r="E9" t="str">
            <v>"Reach-Back" Staff - Other Mgers/Team Leaders</v>
          </cell>
        </row>
        <row r="10">
          <cell r="E10" t="str">
            <v>"Reach-Back" Staff - Other Mgers/Team Leaders</v>
          </cell>
        </row>
        <row r="11">
          <cell r="E11" t="str">
            <v>"Reach-Back" Staff - Other Mgers/Team Leaders</v>
          </cell>
        </row>
        <row r="12">
          <cell r="E12" t="str">
            <v>"Reach-Back" Staff - Other Mgers/Team Leaders</v>
          </cell>
        </row>
        <row r="13">
          <cell r="E13" t="str">
            <v>"Reach-Back" Staff - Contract Staff</v>
          </cell>
        </row>
        <row r="14">
          <cell r="E14" t="str">
            <v>"Reach-Back" Staff - Contract Staff</v>
          </cell>
        </row>
        <row r="15">
          <cell r="E15" t="str">
            <v>"Reach-Back" Staff - CE, ME, EE</v>
          </cell>
        </row>
        <row r="16">
          <cell r="E16" t="str">
            <v>"Reach-Back" Staff - CE, ME, EE</v>
          </cell>
        </row>
        <row r="17">
          <cell r="E17" t="str">
            <v>"Reach-Back" Staff - I&amp;C/SCADA Engineer</v>
          </cell>
        </row>
        <row r="18">
          <cell r="E18" t="str">
            <v>"Reach-Back" Staff - I&amp;C/SCADA Engineer</v>
          </cell>
        </row>
        <row r="19">
          <cell r="E19" t="str">
            <v>"Reach-Back" Staff - I&amp;C/SCADA Engineer</v>
          </cell>
        </row>
        <row r="20">
          <cell r="E20" t="str">
            <v>"Reach-Back" Staff - I&amp;C/SCADA Engineer</v>
          </cell>
        </row>
        <row r="21">
          <cell r="E21" t="str">
            <v>"Reach-Back" Staff - Other Specialists</v>
          </cell>
        </row>
        <row r="22">
          <cell r="E22" t="str">
            <v>"Reach-Back" Staff - Other Specialists</v>
          </cell>
        </row>
        <row r="23">
          <cell r="E23" t="str">
            <v>"Reach-Back" Staff - Other Specialists</v>
          </cell>
        </row>
        <row r="24">
          <cell r="E24" t="str">
            <v>"Reach-Back" Staff - Other Specialists</v>
          </cell>
        </row>
        <row r="25">
          <cell r="E25" t="str">
            <v>"Reach-Back" Staff - Quantity Estimators</v>
          </cell>
        </row>
        <row r="26">
          <cell r="E26" t="str">
            <v>"Reach-Back" Staff - Quantity Surveyors</v>
          </cell>
        </row>
        <row r="27">
          <cell r="E27" t="str">
            <v>"Reach-Back" Staff - Quantity Estimators</v>
          </cell>
        </row>
        <row r="28">
          <cell r="E28" t="str">
            <v>"Reach-Back" Staff - Quantity Estimators</v>
          </cell>
        </row>
        <row r="29">
          <cell r="E29" t="str">
            <v>"Reach-Back" Staff - Purchasing Specialist</v>
          </cell>
        </row>
        <row r="30">
          <cell r="E30" t="str">
            <v>"Reach-Back" Staff - Purchasing Specialist</v>
          </cell>
        </row>
        <row r="31">
          <cell r="E31" t="str">
            <v>"Reach-Back" Staff - Purchasing Specialist</v>
          </cell>
        </row>
        <row r="32">
          <cell r="E32" t="str">
            <v>"Reach-Back" Staff - Purchasing Specialist</v>
          </cell>
        </row>
        <row r="33">
          <cell r="E33" t="str">
            <v>"Reach-Back" Staff - HSE/QA/QC Specialist</v>
          </cell>
        </row>
        <row r="34">
          <cell r="E34" t="str">
            <v>"Reach-Back" Staff - HSE/QA/QC Specialist</v>
          </cell>
        </row>
        <row r="35">
          <cell r="E35" t="str">
            <v>"Reach-Back" Staff - HSE/QA/QC Specialist</v>
          </cell>
        </row>
        <row r="36">
          <cell r="E36" t="str">
            <v>"Reach-Back" Staff - HSE/QA/QC Specialist</v>
          </cell>
        </row>
        <row r="37">
          <cell r="E37" t="str">
            <v>"Reach-Back" Staff - CE, ME, EE</v>
          </cell>
        </row>
        <row r="38">
          <cell r="E38" t="str">
            <v>"Reach-Back" Staff - CE, ME, EE</v>
          </cell>
        </row>
        <row r="39">
          <cell r="E39" t="str">
            <v>"Reach-Back" Staff - CAD/Draftsman</v>
          </cell>
        </row>
        <row r="40">
          <cell r="E40" t="str">
            <v>"Reach-Back" Staff - CAD/Draftsman</v>
          </cell>
        </row>
        <row r="41">
          <cell r="E41" t="str">
            <v>"Reach-Back" Staff - CAD/Draftsman</v>
          </cell>
        </row>
        <row r="42">
          <cell r="E42" t="str">
            <v>"Reach-Back" Staff - CAD/Draftsman</v>
          </cell>
        </row>
        <row r="43">
          <cell r="E43" t="str">
            <v>"Reach-Back" Staff - Hydraulic Modelers</v>
          </cell>
        </row>
        <row r="44">
          <cell r="E44" t="str">
            <v>"Reach-Back" Staff - Hydraulic Modelers</v>
          </cell>
        </row>
        <row r="45">
          <cell r="E45" t="str">
            <v>"Reach-Back" Staff - Stakeholder Mgt</v>
          </cell>
        </row>
        <row r="46">
          <cell r="E46" t="str">
            <v>"Reach-Back" Staff - Stakeholder Mgt</v>
          </cell>
        </row>
        <row r="47">
          <cell r="E47" t="str">
            <v>"Reach-Back" Staff - Other Engineer</v>
          </cell>
        </row>
        <row r="48">
          <cell r="E48" t="str">
            <v>"Reach-Back" Staff - Other Engineer</v>
          </cell>
        </row>
        <row r="49">
          <cell r="E49" t="str">
            <v>"Reach-Back" Staff - Geotechnical Specialist</v>
          </cell>
        </row>
        <row r="50">
          <cell r="E50" t="str">
            <v>"Reach-Back" Staff - Geotechnical Specialist</v>
          </cell>
        </row>
        <row r="51">
          <cell r="E51" t="str">
            <v>"Reach-Back" Staff - Geotechnical Specialist</v>
          </cell>
        </row>
        <row r="52">
          <cell r="E52" t="str">
            <v>"Reach-Back" Staff - Geotechnical Specialist</v>
          </cell>
        </row>
        <row r="53">
          <cell r="E53" t="str">
            <v>"Reach-Back" Staff - Geotechnical Specialist</v>
          </cell>
        </row>
        <row r="54">
          <cell r="E54" t="str">
            <v>"Reach-Back" Staff - Geotechnical Specialist</v>
          </cell>
        </row>
        <row r="55">
          <cell r="E55" t="str">
            <v>"Reach-Back" Staff - Risk Mger</v>
          </cell>
        </row>
        <row r="56">
          <cell r="E56" t="str">
            <v>"Reach-Back" Staff - Risk Mger</v>
          </cell>
        </row>
        <row r="57">
          <cell r="E57" t="str">
            <v>"Reach-Back" Staff - Risk Mger</v>
          </cell>
        </row>
        <row r="58">
          <cell r="E58" t="str">
            <v>"Reach-Back" Staff - Risk Mger</v>
          </cell>
        </row>
        <row r="59">
          <cell r="E59" t="str">
            <v>Core Team - Principal-in-Charge</v>
          </cell>
        </row>
        <row r="60">
          <cell r="E60" t="str">
            <v>Core Team - Programme Manager</v>
          </cell>
        </row>
        <row r="61">
          <cell r="E61" t="str">
            <v>Technical Expert - Blue Ribbon Panel (Treatment)</v>
          </cell>
        </row>
        <row r="62">
          <cell r="E62" t="str">
            <v>Technical Expert - Blue Ribbon Panel (Treatment)</v>
          </cell>
        </row>
        <row r="63">
          <cell r="E63" t="str">
            <v>Technical Expert - Blue Ribbon Panel (Programme)</v>
          </cell>
        </row>
        <row r="64">
          <cell r="E64" t="str">
            <v>Technical Expert - Blue Ribbon Panel (Programme)</v>
          </cell>
        </row>
        <row r="65">
          <cell r="E65" t="str">
            <v>Core Team - Health, Safety &amp; Environment Mgr</v>
          </cell>
        </row>
        <row r="66">
          <cell r="E66" t="str">
            <v>Core Team - Business Process &amp; Controls Mgr</v>
          </cell>
        </row>
        <row r="67">
          <cell r="E67" t="str">
            <v>Core Team - Business Process &amp; Controls Mgr</v>
          </cell>
        </row>
        <row r="68">
          <cell r="E68" t="str">
            <v>Core Team - Planning &amp; Integration Mgr</v>
          </cell>
        </row>
        <row r="69">
          <cell r="E69" t="str">
            <v>Core Team - Planning &amp; Integration Mgr</v>
          </cell>
        </row>
        <row r="70">
          <cell r="E70" t="str">
            <v>Core Team - Engineering &amp; Design Mgr</v>
          </cell>
        </row>
        <row r="71">
          <cell r="E71" t="str">
            <v>Core Team - Engineering &amp; Design Mgr</v>
          </cell>
        </row>
        <row r="72">
          <cell r="E72" t="str">
            <v>Core Team - Construction Mgt &amp; Commissioning Mgr</v>
          </cell>
        </row>
        <row r="73">
          <cell r="E73" t="str">
            <v>Core Team - Construction Mgt &amp; Commissioning Mgr</v>
          </cell>
        </row>
        <row r="74">
          <cell r="E74" t="str">
            <v>Transition Team Member 1</v>
          </cell>
        </row>
        <row r="75">
          <cell r="E75" t="str">
            <v>Transition Team Member 1</v>
          </cell>
        </row>
        <row r="76">
          <cell r="E76" t="str">
            <v>Transition Team Member 2</v>
          </cell>
        </row>
        <row r="77">
          <cell r="E77" t="str">
            <v>Transition Team Member 2</v>
          </cell>
        </row>
        <row r="78">
          <cell r="E78" t="str">
            <v>Transition Team Member 3</v>
          </cell>
        </row>
        <row r="79">
          <cell r="E79" t="str">
            <v>Transition Team Member 4</v>
          </cell>
        </row>
        <row r="80">
          <cell r="E80" t="str">
            <v>Transition Team Member 4</v>
          </cell>
        </row>
        <row r="81">
          <cell r="E81" t="str">
            <v>Transition Team Member 5</v>
          </cell>
        </row>
        <row r="82">
          <cell r="E82" t="str">
            <v>Technical Expert - Total Water Mgt</v>
          </cell>
        </row>
        <row r="83">
          <cell r="E83" t="str">
            <v>Technical Expert - Total Water Mgt</v>
          </cell>
        </row>
        <row r="84">
          <cell r="E84" t="str">
            <v>Technical Expert - Institutional Strengthening</v>
          </cell>
        </row>
        <row r="85">
          <cell r="E85" t="str">
            <v>Technical Expert - Odor Control</v>
          </cell>
        </row>
        <row r="86">
          <cell r="E86" t="str">
            <v>Technical Expert - Odor Control</v>
          </cell>
        </row>
        <row r="87">
          <cell r="E87" t="str">
            <v>Technical Expert - GIS/Data Management</v>
          </cell>
        </row>
        <row r="88">
          <cell r="E88" t="str">
            <v>Technical Expert - GIS/Data Management</v>
          </cell>
        </row>
        <row r="89">
          <cell r="E89" t="str">
            <v>Other Named Staff - Local Office Support</v>
          </cell>
        </row>
        <row r="90">
          <cell r="E90" t="str">
            <v>Other Named Staff - Home Office Support</v>
          </cell>
        </row>
        <row r="91">
          <cell r="E91" t="str">
            <v>Other Named Staff - Asset Optimisation</v>
          </cell>
        </row>
        <row r="92">
          <cell r="E92" t="str">
            <v>Other Named Staff - Structural Engineering</v>
          </cell>
        </row>
        <row r="93">
          <cell r="E93" t="str">
            <v>Other Named Staff - Civil Engineer</v>
          </cell>
        </row>
        <row r="94">
          <cell r="E94" t="str">
            <v>Other Named Staff - Asset Optimisation</v>
          </cell>
        </row>
        <row r="95">
          <cell r="E95" t="str">
            <v>Other Named Staff - Structural Engineering</v>
          </cell>
        </row>
        <row r="96">
          <cell r="E96" t="str">
            <v>Other Named Staff - Corrosion Control</v>
          </cell>
        </row>
        <row r="97">
          <cell r="E97" t="str">
            <v>Other Named Staff - Cost Estimating</v>
          </cell>
        </row>
        <row r="98">
          <cell r="E98" t="str">
            <v>Other Named Staff - Water/Wastewater Treatment 1</v>
          </cell>
        </row>
        <row r="99">
          <cell r="E99" t="str">
            <v>Other Named Staff - Water/Wastewater Treatment 2</v>
          </cell>
        </row>
        <row r="100">
          <cell r="E100" t="str">
            <v>Other Named Staff - Corrosion Control</v>
          </cell>
        </row>
        <row r="101">
          <cell r="E101" t="str">
            <v>Other Named Staff - Cost Estimating</v>
          </cell>
        </row>
        <row r="102">
          <cell r="E102" t="str">
            <v>Other Named Staff - Water/Wastewater Treatment 1</v>
          </cell>
        </row>
        <row r="103">
          <cell r="E103" t="str">
            <v>Other Named Staff - Water/Wastewater Treatment 2</v>
          </cell>
        </row>
        <row r="104">
          <cell r="E104" t="str">
            <v>Other Named Staff - Electrical Engineer</v>
          </cell>
        </row>
        <row r="105">
          <cell r="E105" t="str">
            <v>Other Named Staff - Scheduling</v>
          </cell>
        </row>
        <row r="106">
          <cell r="E106" t="str">
            <v>Other Named Staff - Soils/Geotechnical Engineer 1</v>
          </cell>
        </row>
        <row r="107">
          <cell r="E107" t="str">
            <v>Other Named Staff - Tunnelling 1</v>
          </cell>
        </row>
        <row r="108">
          <cell r="E108" t="str">
            <v>Other Named Staff - Soils/Geotechnical Engineer 1</v>
          </cell>
        </row>
        <row r="109">
          <cell r="E109" t="str">
            <v>Other Named Staff - Tunnelling 1</v>
          </cell>
        </row>
        <row r="110">
          <cell r="E110" t="str">
            <v>Other Named Staff - Soils/Geotechnical Engineer 2</v>
          </cell>
        </row>
        <row r="111">
          <cell r="E111" t="str">
            <v>Other Named Staff - Tunnelling/Geology</v>
          </cell>
        </row>
        <row r="112">
          <cell r="E112" t="str">
            <v>Other Named Staff - Soils/Geotechnical Engineer 2</v>
          </cell>
        </row>
        <row r="113">
          <cell r="E113" t="str">
            <v>Other Named Staff - Tunnelling/Geology</v>
          </cell>
        </row>
        <row r="114">
          <cell r="E114" t="str">
            <v>Other Named Staff - Hydraulics</v>
          </cell>
        </row>
        <row r="115">
          <cell r="E115" t="str">
            <v>Other Named Staff - Tunnelling 2</v>
          </cell>
        </row>
        <row r="116">
          <cell r="E116" t="str">
            <v>Other Named Staff - Hydraulics</v>
          </cell>
        </row>
        <row r="117">
          <cell r="E117" t="str">
            <v>Other Named Staff - Tunnelling 2</v>
          </cell>
        </row>
        <row r="118">
          <cell r="E118" t="str">
            <v>Other Named Staff - Instrumentation &amp; Control</v>
          </cell>
        </row>
        <row r="119">
          <cell r="E119" t="str">
            <v>Other Named Staff - Water Consulting</v>
          </cell>
        </row>
        <row r="120">
          <cell r="E120" t="str">
            <v>Other Named Staff - Instrumentation &amp; Control</v>
          </cell>
        </row>
        <row r="121">
          <cell r="E121" t="str">
            <v>Other Named Staff - Water Consulting</v>
          </cell>
        </row>
        <row r="122">
          <cell r="E122" t="str">
            <v>Other Named Staff - Environmental Consulting/Sustainability</v>
          </cell>
        </row>
        <row r="123">
          <cell r="E123" t="str">
            <v>Other Named Staff - Mechanical Engineering</v>
          </cell>
        </row>
        <row r="124">
          <cell r="E124" t="str">
            <v>Other Named Staff - Economics</v>
          </cell>
        </row>
        <row r="125">
          <cell r="E125" t="str">
            <v>Other Named Staff - Operations Optimisation</v>
          </cell>
        </row>
        <row r="126">
          <cell r="E126" t="str">
            <v>Other Named Staff - Economics</v>
          </cell>
        </row>
        <row r="127">
          <cell r="E127" t="str">
            <v>Other Named Staff - GIS/Remote Sensing/CAD</v>
          </cell>
        </row>
        <row r="128">
          <cell r="E128" t="str">
            <v>Other Named Staff - Pipeline</v>
          </cell>
        </row>
        <row r="129">
          <cell r="E129" t="str">
            <v>Other Named Staff - GIS/Remote Sensing/CAD</v>
          </cell>
        </row>
        <row r="130">
          <cell r="E130" t="str">
            <v>Other Named Staff - Pipeline</v>
          </cell>
        </row>
        <row r="131">
          <cell r="E131" t="str">
            <v>Other Named Staff - Urgent Works Team Leader</v>
          </cell>
        </row>
        <row r="132">
          <cell r="E132" t="str">
            <v>Other Named Staff - WW Engineer</v>
          </cell>
        </row>
        <row r="133">
          <cell r="E133" t="str">
            <v>Other Named Staff - Local Civil Engineer</v>
          </cell>
        </row>
        <row r="134">
          <cell r="E134" t="str">
            <v>Other Named Staff - Hydraulic Modelers</v>
          </cell>
        </row>
        <row r="135">
          <cell r="E135" t="str">
            <v>Other Named Staff - CAD 1</v>
          </cell>
        </row>
        <row r="136">
          <cell r="E136" t="str">
            <v>Other Named Staff - CAD 2</v>
          </cell>
        </row>
        <row r="137">
          <cell r="E137" t="str">
            <v>Other Named Staff - Local Program Staff 1</v>
          </cell>
        </row>
        <row r="138">
          <cell r="E138" t="str">
            <v>Other Named Staff - Local Program Staff 2</v>
          </cell>
        </row>
        <row r="139">
          <cell r="E139" t="str">
            <v>Other Named Staff - Local Program Staff 3</v>
          </cell>
        </row>
        <row r="140">
          <cell r="E140" t="str">
            <v>Other Named Staff - Operations Contract Oversight &amp; Assistance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List"/>
      <sheetName val="Projects Owners List"/>
      <sheetName val="Dropdown Menus"/>
      <sheetName val="Amortization"/>
      <sheetName val="#REF"/>
    </sheetNames>
    <sheetDataSet>
      <sheetData sheetId="0"/>
      <sheetData sheetId="1"/>
      <sheetData sheetId="2">
        <row r="2">
          <cell r="A2" t="str">
            <v>Construction Underway</v>
          </cell>
          <cell r="B2" t="str">
            <v>R&amp;D</v>
          </cell>
          <cell r="C2">
            <v>1</v>
          </cell>
        </row>
        <row r="3">
          <cell r="A3" t="str">
            <v>Under design</v>
          </cell>
          <cell r="B3" t="str">
            <v>PROGRAM</v>
          </cell>
          <cell r="C3">
            <v>2</v>
          </cell>
        </row>
        <row r="4">
          <cell r="A4" t="str">
            <v>Under progress</v>
          </cell>
          <cell r="B4" t="str">
            <v>PROF. SERVICES</v>
          </cell>
          <cell r="C4">
            <v>3</v>
          </cell>
        </row>
        <row r="5">
          <cell r="A5" t="str">
            <v>In Tender Stage</v>
          </cell>
          <cell r="B5" t="str">
            <v>CONSTRUCTION</v>
          </cell>
          <cell r="C5">
            <v>4</v>
          </cell>
        </row>
        <row r="6">
          <cell r="A6" t="str">
            <v>Started</v>
          </cell>
          <cell r="C6">
            <v>5</v>
          </cell>
        </row>
        <row r="7">
          <cell r="A7" t="str">
            <v>Completed</v>
          </cell>
          <cell r="C7">
            <v>6</v>
          </cell>
        </row>
        <row r="8">
          <cell r="A8" t="str">
            <v>Cancelled</v>
          </cell>
          <cell r="C8">
            <v>7</v>
          </cell>
        </row>
        <row r="9">
          <cell r="A9" t="str">
            <v>Outstanding</v>
          </cell>
          <cell r="C9" t="str">
            <v>N/A</v>
          </cell>
        </row>
        <row r="10">
          <cell r="A10" t="str">
            <v>Suspended</v>
          </cell>
        </row>
      </sheetData>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Supporting"/>
    </sheetNames>
    <sheetDataSet>
      <sheetData sheetId="0">
        <row r="347">
          <cell r="E347">
            <v>0</v>
          </cell>
        </row>
      </sheetData>
      <sheetData sheetId="1">
        <row r="509">
          <cell r="H509">
            <v>0</v>
          </cell>
        </row>
        <row r="538">
          <cell r="B538">
            <v>412110</v>
          </cell>
          <cell r="C538" t="str">
            <v>رواتب موحدة</v>
          </cell>
          <cell r="D538" t="str">
            <v>Consolidated pay (combined salaries and allowances)</v>
          </cell>
          <cell r="E538">
            <v>0</v>
          </cell>
          <cell r="F538">
            <v>0</v>
          </cell>
          <cell r="G538">
            <v>0</v>
          </cell>
          <cell r="H538">
            <v>0</v>
          </cell>
          <cell r="I538">
            <v>0</v>
          </cell>
          <cell r="J538">
            <v>0</v>
          </cell>
          <cell r="K538">
            <v>0</v>
          </cell>
          <cell r="L538">
            <v>0</v>
          </cell>
          <cell r="M538">
            <v>0</v>
          </cell>
          <cell r="N538">
            <v>0</v>
          </cell>
          <cell r="P538" t="str">
            <v>TM</v>
          </cell>
          <cell r="Q538" t="str">
            <v>الإدارة العليا</v>
          </cell>
          <cell r="R538" t="str">
            <v>Top Mng</v>
          </cell>
          <cell r="S538">
            <v>4410100</v>
          </cell>
        </row>
        <row r="539">
          <cell r="B539">
            <v>412121</v>
          </cell>
          <cell r="C539" t="str">
            <v>الراتب الأساسي</v>
          </cell>
          <cell r="D539" t="str">
            <v>Basic salary</v>
          </cell>
          <cell r="E539">
            <v>0</v>
          </cell>
          <cell r="F539">
            <v>0</v>
          </cell>
          <cell r="G539">
            <v>0</v>
          </cell>
          <cell r="H539">
            <v>0</v>
          </cell>
          <cell r="I539">
            <v>0</v>
          </cell>
          <cell r="J539">
            <v>0</v>
          </cell>
          <cell r="K539">
            <v>0</v>
          </cell>
          <cell r="L539">
            <v>0</v>
          </cell>
          <cell r="M539">
            <v>0</v>
          </cell>
          <cell r="N539">
            <v>0</v>
          </cell>
          <cell r="P539" t="str">
            <v>SS</v>
          </cell>
          <cell r="Q539" t="str">
            <v>قطاع الخدمات المساندة</v>
          </cell>
          <cell r="R539" t="str">
            <v>Support Services</v>
          </cell>
          <cell r="S539">
            <v>4410200</v>
          </cell>
        </row>
        <row r="540">
          <cell r="B540">
            <v>412123</v>
          </cell>
          <cell r="C540" t="str">
            <v>علاوة أجتماعية</v>
          </cell>
          <cell r="D540" t="str">
            <v>Nationality allowance - Regular situation</v>
          </cell>
          <cell r="E540">
            <v>0</v>
          </cell>
          <cell r="F540">
            <v>0</v>
          </cell>
          <cell r="G540">
            <v>0</v>
          </cell>
          <cell r="H540">
            <v>0</v>
          </cell>
          <cell r="I540">
            <v>0</v>
          </cell>
          <cell r="J540">
            <v>0</v>
          </cell>
          <cell r="K540">
            <v>0</v>
          </cell>
          <cell r="L540">
            <v>0</v>
          </cell>
          <cell r="M540">
            <v>0</v>
          </cell>
          <cell r="N540">
            <v>0</v>
          </cell>
          <cell r="P540" t="str">
            <v>CC</v>
          </cell>
          <cell r="Q540" t="str">
            <v>خدمة العملاء</v>
          </cell>
          <cell r="R540" t="str">
            <v>Customer Care</v>
          </cell>
          <cell r="S540">
            <v>4410260</v>
          </cell>
        </row>
        <row r="541">
          <cell r="B541">
            <v>412162</v>
          </cell>
          <cell r="C541" t="str">
            <v>حوافز ومكافآت</v>
          </cell>
          <cell r="D541" t="str">
            <v>Bonus and exgratia payments</v>
          </cell>
          <cell r="E541">
            <v>0</v>
          </cell>
          <cell r="F541">
            <v>0</v>
          </cell>
          <cell r="G541">
            <v>0</v>
          </cell>
          <cell r="H541">
            <v>0</v>
          </cell>
          <cell r="I541">
            <v>0</v>
          </cell>
          <cell r="J541">
            <v>0</v>
          </cell>
          <cell r="K541">
            <v>0</v>
          </cell>
          <cell r="L541">
            <v>0</v>
          </cell>
          <cell r="M541">
            <v>0</v>
          </cell>
          <cell r="N541">
            <v>0</v>
          </cell>
          <cell r="P541" t="str">
            <v>AV</v>
          </cell>
          <cell r="Q541" t="str">
            <v>النقل الجوي</v>
          </cell>
          <cell r="R541" t="str">
            <v>Aviation</v>
          </cell>
          <cell r="S541">
            <v>4411000</v>
          </cell>
        </row>
        <row r="542">
          <cell r="B542">
            <v>412165</v>
          </cell>
          <cell r="C542" t="str">
            <v>مكافآت المتدربين</v>
          </cell>
          <cell r="D542" t="str">
            <v xml:space="preserve">Part time trainee's pay </v>
          </cell>
          <cell r="E542">
            <v>0</v>
          </cell>
          <cell r="F542">
            <v>0</v>
          </cell>
          <cell r="G542">
            <v>0</v>
          </cell>
          <cell r="H542">
            <v>0</v>
          </cell>
          <cell r="I542">
            <v>0</v>
          </cell>
          <cell r="J542">
            <v>0</v>
          </cell>
          <cell r="K542">
            <v>0</v>
          </cell>
          <cell r="L542">
            <v>0</v>
          </cell>
          <cell r="M542">
            <v>0</v>
          </cell>
          <cell r="N542">
            <v>0</v>
          </cell>
          <cell r="P542" t="str">
            <v>MT</v>
          </cell>
          <cell r="Q542" t="str">
            <v>النقل البحري</v>
          </cell>
          <cell r="R542" t="str">
            <v>Maritime</v>
          </cell>
          <cell r="S542">
            <v>4412000</v>
          </cell>
        </row>
        <row r="543">
          <cell r="B543">
            <v>412511</v>
          </cell>
          <cell r="C543" t="str">
            <v>العلاوة التكميلية - مواطنون</v>
          </cell>
          <cell r="D543" t="str">
            <v>Consolidated allowances: Emirati employees</v>
          </cell>
          <cell r="E543">
            <v>0</v>
          </cell>
          <cell r="F543">
            <v>0</v>
          </cell>
          <cell r="G543">
            <v>0</v>
          </cell>
          <cell r="H543">
            <v>0</v>
          </cell>
          <cell r="I543">
            <v>0</v>
          </cell>
          <cell r="J543">
            <v>0</v>
          </cell>
          <cell r="K543">
            <v>0</v>
          </cell>
          <cell r="L543">
            <v>0</v>
          </cell>
          <cell r="M543">
            <v>0</v>
          </cell>
          <cell r="N543">
            <v>0</v>
          </cell>
          <cell r="P543" t="str">
            <v>EHS</v>
          </cell>
          <cell r="Q543" t="str">
            <v>البيئة والصحة والسلامة</v>
          </cell>
          <cell r="R543" t="str">
            <v>Environment, Health &amp; Safety</v>
          </cell>
          <cell r="S543">
            <v>4410160</v>
          </cell>
        </row>
        <row r="544">
          <cell r="B544">
            <v>412512</v>
          </cell>
          <cell r="C544" t="str">
            <v>العلاوة التكميلية - وافدون</v>
          </cell>
          <cell r="D544" t="str">
            <v>Consolidated allowances: Expatriate employees</v>
          </cell>
          <cell r="E544">
            <v>0</v>
          </cell>
          <cell r="F544">
            <v>0</v>
          </cell>
          <cell r="G544">
            <v>0</v>
          </cell>
          <cell r="H544">
            <v>0</v>
          </cell>
          <cell r="I544">
            <v>0</v>
          </cell>
          <cell r="J544">
            <v>0</v>
          </cell>
          <cell r="K544">
            <v>0</v>
          </cell>
          <cell r="L544">
            <v>0</v>
          </cell>
          <cell r="M544">
            <v>0</v>
          </cell>
          <cell r="N544">
            <v>0</v>
          </cell>
          <cell r="P544" t="str">
            <v>ST-BO</v>
          </cell>
          <cell r="Q544" t="str">
            <v>إدارة خدمات الحافلات العامة</v>
          </cell>
          <cell r="R544" t="str">
            <v>Surface - Bus Office</v>
          </cell>
          <cell r="S544">
            <v>4413500</v>
          </cell>
        </row>
        <row r="545">
          <cell r="B545">
            <v>412523</v>
          </cell>
          <cell r="C545" t="str">
            <v>علاوة اطفال</v>
          </cell>
          <cell r="D545" t="str">
            <v>Child allowance</v>
          </cell>
          <cell r="E545">
            <v>0</v>
          </cell>
          <cell r="F545">
            <v>0</v>
          </cell>
          <cell r="G545">
            <v>0</v>
          </cell>
          <cell r="H545">
            <v>0</v>
          </cell>
          <cell r="I545">
            <v>0</v>
          </cell>
          <cell r="J545">
            <v>0</v>
          </cell>
          <cell r="K545">
            <v>0</v>
          </cell>
          <cell r="L545">
            <v>0</v>
          </cell>
          <cell r="M545">
            <v>0</v>
          </cell>
          <cell r="N545">
            <v>0</v>
          </cell>
          <cell r="P545" t="str">
            <v>ST-PT</v>
          </cell>
          <cell r="Q545" t="str">
            <v>إدارة النقل العام</v>
          </cell>
          <cell r="R545" t="str">
            <v>Surface - Public Transport</v>
          </cell>
          <cell r="S545">
            <v>4413200</v>
          </cell>
        </row>
        <row r="546">
          <cell r="B546">
            <v>412540</v>
          </cell>
          <cell r="C546" t="str">
            <v>علاوة هواتف نقالة للمدراء التنفيذيين</v>
          </cell>
          <cell r="D546" t="str">
            <v>Telephone allowance</v>
          </cell>
          <cell r="E546">
            <v>0</v>
          </cell>
          <cell r="F546">
            <v>0</v>
          </cell>
          <cell r="G546">
            <v>0</v>
          </cell>
          <cell r="H546">
            <v>0</v>
          </cell>
          <cell r="I546">
            <v>0</v>
          </cell>
          <cell r="J546">
            <v>0</v>
          </cell>
          <cell r="K546">
            <v>0</v>
          </cell>
          <cell r="L546">
            <v>0</v>
          </cell>
          <cell r="M546">
            <v>0</v>
          </cell>
          <cell r="N546">
            <v>0</v>
          </cell>
          <cell r="P546" t="str">
            <v>ST-MR</v>
          </cell>
          <cell r="Q546" t="str">
            <v>إدارة الطرق الرئيسية والسريعة</v>
          </cell>
          <cell r="R546" t="str">
            <v>Surface - Main Roads</v>
          </cell>
          <cell r="S546">
            <v>4413300</v>
          </cell>
        </row>
        <row r="547">
          <cell r="B547">
            <v>415220</v>
          </cell>
          <cell r="C547" t="str">
            <v>رسوم تأشيرة و اقامة</v>
          </cell>
          <cell r="D547" t="str">
            <v>UAE visa requirement costs</v>
          </cell>
          <cell r="E547">
            <v>0</v>
          </cell>
          <cell r="F547">
            <v>0</v>
          </cell>
          <cell r="G547">
            <v>0</v>
          </cell>
          <cell r="H547">
            <v>0</v>
          </cell>
          <cell r="I547">
            <v>0</v>
          </cell>
          <cell r="J547">
            <v>0</v>
          </cell>
          <cell r="K547">
            <v>0</v>
          </cell>
          <cell r="L547">
            <v>0</v>
          </cell>
          <cell r="M547">
            <v>0</v>
          </cell>
          <cell r="N547">
            <v>0</v>
          </cell>
          <cell r="P547" t="str">
            <v>ST-PARK</v>
          </cell>
          <cell r="Q547" t="str">
            <v>مواقف (إدارة المواقف)</v>
          </cell>
          <cell r="R547" t="str">
            <v>Surface - Parking</v>
          </cell>
          <cell r="S547">
            <v>4413600</v>
          </cell>
        </row>
        <row r="548">
          <cell r="B548">
            <v>415310</v>
          </cell>
          <cell r="C548" t="str">
            <v>رسوم واخرى (تدريب)</v>
          </cell>
          <cell r="D548" t="str">
            <v>Tuition fees</v>
          </cell>
          <cell r="E548">
            <v>0</v>
          </cell>
          <cell r="F548">
            <v>0</v>
          </cell>
          <cell r="G548">
            <v>0</v>
          </cell>
          <cell r="H548">
            <v>0</v>
          </cell>
          <cell r="I548">
            <v>0</v>
          </cell>
          <cell r="J548">
            <v>0</v>
          </cell>
          <cell r="K548">
            <v>0</v>
          </cell>
          <cell r="L548">
            <v>0</v>
          </cell>
          <cell r="M548">
            <v>0</v>
          </cell>
          <cell r="N548">
            <v>0</v>
          </cell>
        </row>
        <row r="549">
          <cell r="B549">
            <v>415320</v>
          </cell>
          <cell r="C549" t="str">
            <v>البدلات  (تدريب+ تذاكر السفر)</v>
          </cell>
          <cell r="D549" t="str">
            <v>Employee's travel and accommodation costs</v>
          </cell>
          <cell r="E549">
            <v>0</v>
          </cell>
          <cell r="F549">
            <v>0</v>
          </cell>
          <cell r="G549">
            <v>0</v>
          </cell>
          <cell r="H549">
            <v>0</v>
          </cell>
          <cell r="I549">
            <v>0</v>
          </cell>
          <cell r="J549">
            <v>0</v>
          </cell>
          <cell r="K549">
            <v>0</v>
          </cell>
          <cell r="L549">
            <v>0</v>
          </cell>
          <cell r="M549">
            <v>0</v>
          </cell>
          <cell r="N549">
            <v>0</v>
          </cell>
        </row>
        <row r="550">
          <cell r="B550">
            <v>415410</v>
          </cell>
          <cell r="C550" t="str">
            <v>رفاهية الموظفين</v>
          </cell>
          <cell r="D550" t="str">
            <v>Staff welfare, sports and recreation expenses</v>
          </cell>
          <cell r="E550">
            <v>0</v>
          </cell>
          <cell r="F550">
            <v>0</v>
          </cell>
          <cell r="G550">
            <v>0</v>
          </cell>
          <cell r="H550">
            <v>0</v>
          </cell>
          <cell r="I550">
            <v>0</v>
          </cell>
          <cell r="J550">
            <v>0</v>
          </cell>
          <cell r="K550">
            <v>0</v>
          </cell>
          <cell r="L550">
            <v>0</v>
          </cell>
          <cell r="M550">
            <v>0</v>
          </cell>
          <cell r="N550">
            <v>0</v>
          </cell>
        </row>
        <row r="551">
          <cell r="B551">
            <v>415420</v>
          </cell>
          <cell r="C551" t="str">
            <v>ملابس الموظفين وملحقاتها</v>
          </cell>
          <cell r="D551" t="str">
            <v>Staff uniform and accessories</v>
          </cell>
          <cell r="E551">
            <v>0</v>
          </cell>
          <cell r="F551">
            <v>0</v>
          </cell>
          <cell r="G551">
            <v>0</v>
          </cell>
          <cell r="H551">
            <v>0</v>
          </cell>
          <cell r="I551">
            <v>0</v>
          </cell>
          <cell r="J551">
            <v>0</v>
          </cell>
          <cell r="K551">
            <v>0</v>
          </cell>
          <cell r="L551">
            <v>0</v>
          </cell>
          <cell r="M551">
            <v>0</v>
          </cell>
          <cell r="N551">
            <v>0</v>
          </cell>
        </row>
        <row r="552">
          <cell r="B552">
            <v>416110</v>
          </cell>
          <cell r="C552" t="str">
            <v xml:space="preserve">تذاكر السفر + تكاليف الإقامة </v>
          </cell>
          <cell r="D552" t="str">
            <v>Fares</v>
          </cell>
          <cell r="E552">
            <v>0</v>
          </cell>
          <cell r="F552">
            <v>0</v>
          </cell>
          <cell r="G552">
            <v>0</v>
          </cell>
          <cell r="H552">
            <v>0</v>
          </cell>
          <cell r="I552">
            <v>0</v>
          </cell>
          <cell r="J552">
            <v>0</v>
          </cell>
          <cell r="K552">
            <v>0</v>
          </cell>
          <cell r="L552">
            <v>0</v>
          </cell>
          <cell r="M552">
            <v>0</v>
          </cell>
          <cell r="N552">
            <v>0</v>
          </cell>
        </row>
        <row r="553">
          <cell r="B553">
            <v>416210</v>
          </cell>
          <cell r="C553" t="str">
            <v>إيجارات مساكن الموظفين: (بواسطة دائرة الموظف)</v>
          </cell>
          <cell r="D553" t="str">
            <v>Rent for staff residences</v>
          </cell>
          <cell r="E553">
            <v>0</v>
          </cell>
          <cell r="F553">
            <v>0</v>
          </cell>
          <cell r="G553">
            <v>0</v>
          </cell>
          <cell r="H553">
            <v>0</v>
          </cell>
          <cell r="I553">
            <v>0</v>
          </cell>
          <cell r="J553">
            <v>0</v>
          </cell>
          <cell r="K553">
            <v>0</v>
          </cell>
          <cell r="L553">
            <v>0</v>
          </cell>
          <cell r="M553">
            <v>0</v>
          </cell>
          <cell r="N553">
            <v>0</v>
          </cell>
        </row>
        <row r="554">
          <cell r="B554">
            <v>416310</v>
          </cell>
          <cell r="C554" t="str">
            <v>الضمان الصحي</v>
          </cell>
          <cell r="D554" t="str">
            <v>Medical insurance premium</v>
          </cell>
          <cell r="E554">
            <v>0</v>
          </cell>
          <cell r="F554">
            <v>0</v>
          </cell>
          <cell r="G554">
            <v>0</v>
          </cell>
          <cell r="H554">
            <v>0</v>
          </cell>
          <cell r="I554">
            <v>0</v>
          </cell>
          <cell r="J554">
            <v>0</v>
          </cell>
          <cell r="K554">
            <v>0</v>
          </cell>
          <cell r="L554">
            <v>0</v>
          </cell>
          <cell r="M554">
            <v>0</v>
          </cell>
          <cell r="N554">
            <v>0</v>
          </cell>
        </row>
        <row r="555">
          <cell r="B555">
            <v>420120</v>
          </cell>
          <cell r="C555" t="str">
            <v>أجور و مصروفات تدقيق داخلي</v>
          </cell>
          <cell r="D555" t="str">
            <v>Internal Audit service</v>
          </cell>
          <cell r="E555">
            <v>0</v>
          </cell>
          <cell r="F555">
            <v>0</v>
          </cell>
          <cell r="G555">
            <v>0</v>
          </cell>
          <cell r="H555">
            <v>0</v>
          </cell>
          <cell r="I555">
            <v>0</v>
          </cell>
          <cell r="J555">
            <v>0</v>
          </cell>
          <cell r="K555">
            <v>0</v>
          </cell>
          <cell r="L555">
            <v>0</v>
          </cell>
          <cell r="M555">
            <v>0</v>
          </cell>
          <cell r="N555">
            <v>0</v>
          </cell>
        </row>
        <row r="556">
          <cell r="B556">
            <v>420310</v>
          </cell>
          <cell r="C556" t="str">
            <v xml:space="preserve">عقود التنظيف </v>
          </cell>
          <cell r="D556" t="str">
            <v>Business premises</v>
          </cell>
          <cell r="E556">
            <v>0</v>
          </cell>
          <cell r="F556">
            <v>0</v>
          </cell>
          <cell r="G556">
            <v>0</v>
          </cell>
          <cell r="H556">
            <v>0</v>
          </cell>
          <cell r="I556">
            <v>0</v>
          </cell>
          <cell r="J556">
            <v>0</v>
          </cell>
          <cell r="K556">
            <v>0</v>
          </cell>
          <cell r="L556">
            <v>0</v>
          </cell>
          <cell r="M556">
            <v>0</v>
          </cell>
          <cell r="N556">
            <v>0</v>
          </cell>
        </row>
        <row r="557">
          <cell r="B557">
            <v>420800</v>
          </cell>
          <cell r="C557" t="str">
            <v>استشارت الحاسب الآلي</v>
          </cell>
          <cell r="D557" t="str">
            <v>ICT Consultation</v>
          </cell>
          <cell r="E557">
            <v>0</v>
          </cell>
          <cell r="F557">
            <v>0</v>
          </cell>
          <cell r="G557">
            <v>0</v>
          </cell>
          <cell r="H557">
            <v>0</v>
          </cell>
          <cell r="I557">
            <v>0</v>
          </cell>
          <cell r="J557">
            <v>0</v>
          </cell>
          <cell r="K557">
            <v>0</v>
          </cell>
          <cell r="L557">
            <v>0</v>
          </cell>
          <cell r="M557">
            <v>0</v>
          </cell>
          <cell r="N557">
            <v>0</v>
          </cell>
        </row>
        <row r="558">
          <cell r="B558">
            <v>420900</v>
          </cell>
          <cell r="C558" t="str">
            <v>اجور و مصروفات استشارية قانونية و مهنية</v>
          </cell>
          <cell r="D558" t="str">
            <v>Legal services</v>
          </cell>
          <cell r="E558">
            <v>0</v>
          </cell>
          <cell r="F558">
            <v>0</v>
          </cell>
          <cell r="G558">
            <v>0</v>
          </cell>
          <cell r="H558">
            <v>0</v>
          </cell>
          <cell r="I558">
            <v>0</v>
          </cell>
          <cell r="J558">
            <v>0</v>
          </cell>
          <cell r="K558">
            <v>0</v>
          </cell>
          <cell r="L558">
            <v>0</v>
          </cell>
          <cell r="M558">
            <v>0</v>
          </cell>
          <cell r="N558">
            <v>0</v>
          </cell>
        </row>
        <row r="559">
          <cell r="B559">
            <v>421100</v>
          </cell>
          <cell r="C559" t="str">
            <v>توريد عمالة</v>
          </cell>
          <cell r="D559" t="str">
            <v>Manpower supply</v>
          </cell>
          <cell r="E559">
            <v>0</v>
          </cell>
          <cell r="F559">
            <v>0</v>
          </cell>
          <cell r="G559">
            <v>0</v>
          </cell>
          <cell r="H559">
            <v>0</v>
          </cell>
          <cell r="I559">
            <v>0</v>
          </cell>
          <cell r="J559">
            <v>0</v>
          </cell>
          <cell r="K559">
            <v>0</v>
          </cell>
          <cell r="L559">
            <v>0</v>
          </cell>
          <cell r="M559">
            <v>0</v>
          </cell>
          <cell r="N559">
            <v>0</v>
          </cell>
        </row>
        <row r="560">
          <cell r="B560">
            <v>421200</v>
          </cell>
          <cell r="C560" t="str">
            <v>إدارة وتشغيل (مصادر خارجية)</v>
          </cell>
          <cell r="D560" t="str">
            <v>Operations management</v>
          </cell>
          <cell r="E560">
            <v>0</v>
          </cell>
          <cell r="F560">
            <v>0</v>
          </cell>
          <cell r="G560">
            <v>0</v>
          </cell>
          <cell r="H560">
            <v>0</v>
          </cell>
          <cell r="I560">
            <v>0</v>
          </cell>
          <cell r="J560">
            <v>0</v>
          </cell>
          <cell r="K560">
            <v>0</v>
          </cell>
          <cell r="L560">
            <v>0</v>
          </cell>
          <cell r="M560">
            <v>0</v>
          </cell>
          <cell r="N560">
            <v>0</v>
          </cell>
        </row>
        <row r="561">
          <cell r="B561">
            <v>421600</v>
          </cell>
          <cell r="C561" t="str">
            <v>عقود الحراسة</v>
          </cell>
          <cell r="D561" t="str">
            <v>Security service</v>
          </cell>
          <cell r="E561">
            <v>0</v>
          </cell>
          <cell r="F561">
            <v>0</v>
          </cell>
          <cell r="G561">
            <v>0</v>
          </cell>
          <cell r="H561">
            <v>0</v>
          </cell>
          <cell r="I561">
            <v>0</v>
          </cell>
          <cell r="J561">
            <v>0</v>
          </cell>
          <cell r="K561">
            <v>0</v>
          </cell>
          <cell r="L561">
            <v>0</v>
          </cell>
          <cell r="M561">
            <v>0</v>
          </cell>
          <cell r="N561">
            <v>0</v>
          </cell>
        </row>
        <row r="562">
          <cell r="B562">
            <v>422900</v>
          </cell>
          <cell r="C562" t="str">
            <v xml:space="preserve">اجور و مصروفات استشارية متخصصة اخرى </v>
          </cell>
          <cell r="D562" t="str">
            <v>Other specialised professional services, not mentioned elsewhere</v>
          </cell>
          <cell r="E562">
            <v>0</v>
          </cell>
          <cell r="F562">
            <v>0</v>
          </cell>
          <cell r="G562">
            <v>0</v>
          </cell>
          <cell r="H562">
            <v>0</v>
          </cell>
          <cell r="I562">
            <v>0</v>
          </cell>
          <cell r="J562">
            <v>0</v>
          </cell>
          <cell r="K562">
            <v>0</v>
          </cell>
          <cell r="L562">
            <v>0</v>
          </cell>
          <cell r="M562">
            <v>0</v>
          </cell>
          <cell r="N562">
            <v>0</v>
          </cell>
        </row>
        <row r="563">
          <cell r="B563">
            <v>425100</v>
          </cell>
          <cell r="C563" t="str">
            <v xml:space="preserve">مصروفات الاعلانات </v>
          </cell>
          <cell r="D563" t="str">
            <v>Advertising</v>
          </cell>
          <cell r="E563">
            <v>0</v>
          </cell>
          <cell r="F563">
            <v>0</v>
          </cell>
          <cell r="G563">
            <v>0</v>
          </cell>
          <cell r="H563">
            <v>0</v>
          </cell>
          <cell r="I563">
            <v>0</v>
          </cell>
          <cell r="J563">
            <v>0</v>
          </cell>
          <cell r="K563">
            <v>0</v>
          </cell>
          <cell r="L563">
            <v>0</v>
          </cell>
          <cell r="M563">
            <v>0</v>
          </cell>
          <cell r="N563">
            <v>0</v>
          </cell>
        </row>
        <row r="564">
          <cell r="B564">
            <v>425300</v>
          </cell>
          <cell r="C564" t="str">
            <v>رسوم مصرفية</v>
          </cell>
          <cell r="D564" t="str">
            <v>Bank service charges</v>
          </cell>
          <cell r="E564">
            <v>0</v>
          </cell>
          <cell r="F564">
            <v>0</v>
          </cell>
          <cell r="G564">
            <v>0</v>
          </cell>
          <cell r="H564">
            <v>0</v>
          </cell>
          <cell r="I564">
            <v>0</v>
          </cell>
          <cell r="J564">
            <v>0</v>
          </cell>
          <cell r="K564">
            <v>0</v>
          </cell>
          <cell r="L564">
            <v>0</v>
          </cell>
          <cell r="M564">
            <v>0</v>
          </cell>
          <cell r="N564">
            <v>0</v>
          </cell>
        </row>
        <row r="565">
          <cell r="B565">
            <v>425400</v>
          </cell>
          <cell r="C565" t="str">
            <v>مصروفات الاحتفالات</v>
          </cell>
          <cell r="D565" t="str">
            <v>Celebration and festivals</v>
          </cell>
          <cell r="E565">
            <v>0</v>
          </cell>
          <cell r="F565">
            <v>0</v>
          </cell>
          <cell r="G565">
            <v>0</v>
          </cell>
          <cell r="H565">
            <v>0</v>
          </cell>
          <cell r="I565">
            <v>0</v>
          </cell>
          <cell r="J565">
            <v>0</v>
          </cell>
          <cell r="K565">
            <v>0</v>
          </cell>
          <cell r="L565">
            <v>0</v>
          </cell>
          <cell r="M565">
            <v>0</v>
          </cell>
          <cell r="N565">
            <v>0</v>
          </cell>
        </row>
        <row r="566">
          <cell r="B566">
            <v>425510</v>
          </cell>
          <cell r="C566" t="str">
            <v>مصروفات المؤتمرات + الخبراء الزائرين</v>
          </cell>
          <cell r="D566" t="str">
            <v>Conferences, seminars and exhibitions and other events: - Local Events</v>
          </cell>
          <cell r="E566">
            <v>0</v>
          </cell>
          <cell r="F566">
            <v>0</v>
          </cell>
          <cell r="G566">
            <v>0</v>
          </cell>
          <cell r="H566">
            <v>0</v>
          </cell>
          <cell r="I566">
            <v>0</v>
          </cell>
          <cell r="J566">
            <v>0</v>
          </cell>
          <cell r="K566">
            <v>0</v>
          </cell>
          <cell r="L566">
            <v>0</v>
          </cell>
          <cell r="M566">
            <v>0</v>
          </cell>
          <cell r="N566">
            <v>0</v>
          </cell>
        </row>
        <row r="567">
          <cell r="B567">
            <v>425900</v>
          </cell>
          <cell r="C567" t="str">
            <v>مصروفات الترفيه و الضيافة +المعارض</v>
          </cell>
          <cell r="D567" t="str">
            <v>Entertainment and hospitality</v>
          </cell>
          <cell r="E567">
            <v>0</v>
          </cell>
          <cell r="F567">
            <v>0</v>
          </cell>
          <cell r="G567">
            <v>0</v>
          </cell>
          <cell r="H567">
            <v>0</v>
          </cell>
          <cell r="I567">
            <v>0</v>
          </cell>
          <cell r="J567">
            <v>0</v>
          </cell>
          <cell r="K567">
            <v>0</v>
          </cell>
          <cell r="L567">
            <v>0</v>
          </cell>
          <cell r="M567">
            <v>0</v>
          </cell>
          <cell r="N567">
            <v>0</v>
          </cell>
        </row>
        <row r="568">
          <cell r="B568">
            <v>426610</v>
          </cell>
          <cell r="C568" t="str">
            <v>رسوم رخص برامج الحاسب الالي و اخرى</v>
          </cell>
          <cell r="D568" t="str">
            <v>Computer software licenses</v>
          </cell>
          <cell r="E568">
            <v>0</v>
          </cell>
          <cell r="F568">
            <v>0</v>
          </cell>
          <cell r="G568">
            <v>0</v>
          </cell>
          <cell r="H568">
            <v>0</v>
          </cell>
          <cell r="I568">
            <v>0</v>
          </cell>
          <cell r="J568">
            <v>0</v>
          </cell>
          <cell r="K568">
            <v>0</v>
          </cell>
          <cell r="L568">
            <v>0</v>
          </cell>
          <cell r="M568">
            <v>0</v>
          </cell>
          <cell r="N568">
            <v>0</v>
          </cell>
        </row>
        <row r="569">
          <cell r="B569">
            <v>426900</v>
          </cell>
          <cell r="C569" t="str">
            <v xml:space="preserve">مصروفات البريد </v>
          </cell>
          <cell r="D569" t="str">
            <v>Postal, courier and other document delivery expenses</v>
          </cell>
          <cell r="E569">
            <v>0</v>
          </cell>
          <cell r="F569">
            <v>0</v>
          </cell>
          <cell r="G569">
            <v>0</v>
          </cell>
          <cell r="H569">
            <v>0</v>
          </cell>
          <cell r="I569">
            <v>0</v>
          </cell>
          <cell r="J569">
            <v>0</v>
          </cell>
          <cell r="K569">
            <v>0</v>
          </cell>
          <cell r="L569">
            <v>0</v>
          </cell>
          <cell r="M569">
            <v>0</v>
          </cell>
          <cell r="N569">
            <v>0</v>
          </cell>
        </row>
        <row r="570">
          <cell r="B570">
            <v>427000</v>
          </cell>
          <cell r="C570" t="str">
            <v>ادارة و تشغيل النقل العام</v>
          </cell>
          <cell r="D570" t="str">
            <v>Public Transport operating service</v>
          </cell>
          <cell r="E570">
            <v>0</v>
          </cell>
          <cell r="F570">
            <v>0</v>
          </cell>
          <cell r="G570">
            <v>0</v>
          </cell>
          <cell r="H570">
            <v>0</v>
          </cell>
          <cell r="I570">
            <v>0</v>
          </cell>
          <cell r="J570">
            <v>0</v>
          </cell>
          <cell r="K570">
            <v>0</v>
          </cell>
          <cell r="L570">
            <v>0</v>
          </cell>
          <cell r="M570">
            <v>0</v>
          </cell>
          <cell r="N570">
            <v>0</v>
          </cell>
        </row>
        <row r="571">
          <cell r="B571">
            <v>427100</v>
          </cell>
          <cell r="C571" t="str">
            <v>مصروفات العلاقات العامة</v>
          </cell>
          <cell r="D571" t="str">
            <v>Public Relations</v>
          </cell>
          <cell r="E571">
            <v>0</v>
          </cell>
          <cell r="F571">
            <v>0</v>
          </cell>
          <cell r="G571">
            <v>0</v>
          </cell>
          <cell r="H571">
            <v>0</v>
          </cell>
          <cell r="I571">
            <v>0</v>
          </cell>
          <cell r="J571">
            <v>0</v>
          </cell>
          <cell r="K571">
            <v>0</v>
          </cell>
          <cell r="L571">
            <v>0</v>
          </cell>
          <cell r="M571">
            <v>0</v>
          </cell>
          <cell r="N571">
            <v>0</v>
          </cell>
        </row>
        <row r="572">
          <cell r="B572">
            <v>427710</v>
          </cell>
          <cell r="C572" t="str">
            <v xml:space="preserve">رسوم الاشتراك او العضوية في الهيئات و المنظمات </v>
          </cell>
          <cell r="D572" t="str">
            <v>Trade organisations</v>
          </cell>
          <cell r="E572">
            <v>0</v>
          </cell>
          <cell r="F572">
            <v>0</v>
          </cell>
          <cell r="G572">
            <v>0</v>
          </cell>
          <cell r="H572">
            <v>0</v>
          </cell>
          <cell r="I572">
            <v>0</v>
          </cell>
          <cell r="J572">
            <v>0</v>
          </cell>
          <cell r="K572">
            <v>0</v>
          </cell>
          <cell r="L572">
            <v>0</v>
          </cell>
          <cell r="M572">
            <v>0</v>
          </cell>
          <cell r="N572">
            <v>0</v>
          </cell>
        </row>
        <row r="573">
          <cell r="B573">
            <v>427810</v>
          </cell>
          <cell r="C573" t="str">
            <v xml:space="preserve">اجور الهواتف و الفاكس </v>
          </cell>
          <cell r="D573" t="str">
            <v>Telephone and telefax charges</v>
          </cell>
          <cell r="E573">
            <v>0</v>
          </cell>
          <cell r="F573">
            <v>0</v>
          </cell>
          <cell r="G573">
            <v>0</v>
          </cell>
          <cell r="H573">
            <v>0</v>
          </cell>
          <cell r="I573">
            <v>0</v>
          </cell>
          <cell r="J573">
            <v>0</v>
          </cell>
          <cell r="K573">
            <v>0</v>
          </cell>
          <cell r="L573">
            <v>0</v>
          </cell>
          <cell r="M573">
            <v>0</v>
          </cell>
          <cell r="N573">
            <v>0</v>
          </cell>
        </row>
        <row r="574">
          <cell r="B574">
            <v>427820</v>
          </cell>
          <cell r="C574" t="str">
            <v xml:space="preserve">ايجار خطوط الهواتف المخصصة </v>
          </cell>
          <cell r="D574" t="str">
            <v>Telephone leased line rental</v>
          </cell>
          <cell r="E574">
            <v>0</v>
          </cell>
          <cell r="F574">
            <v>0</v>
          </cell>
          <cell r="G574">
            <v>0</v>
          </cell>
          <cell r="H574">
            <v>0</v>
          </cell>
          <cell r="I574">
            <v>0</v>
          </cell>
          <cell r="J574">
            <v>0</v>
          </cell>
          <cell r="K574">
            <v>0</v>
          </cell>
          <cell r="L574">
            <v>0</v>
          </cell>
          <cell r="M574">
            <v>0</v>
          </cell>
          <cell r="N574">
            <v>0</v>
          </cell>
        </row>
        <row r="575">
          <cell r="B575">
            <v>427900</v>
          </cell>
          <cell r="C575" t="str">
            <v>خدمات ترجمة</v>
          </cell>
          <cell r="D575" t="str">
            <v>Translation and interpretation service</v>
          </cell>
          <cell r="E575">
            <v>0</v>
          </cell>
          <cell r="F575">
            <v>0</v>
          </cell>
          <cell r="G575">
            <v>0</v>
          </cell>
          <cell r="H575">
            <v>0</v>
          </cell>
          <cell r="I575">
            <v>0</v>
          </cell>
          <cell r="J575">
            <v>0</v>
          </cell>
          <cell r="K575">
            <v>0</v>
          </cell>
          <cell r="L575">
            <v>0</v>
          </cell>
          <cell r="M575">
            <v>0</v>
          </cell>
          <cell r="N575">
            <v>0</v>
          </cell>
        </row>
        <row r="576">
          <cell r="B576">
            <v>428000</v>
          </cell>
          <cell r="C576" t="str">
            <v>السفر في مهمات رسمية</v>
          </cell>
          <cell r="D576" t="str">
            <v>Travel expenses - business-related</v>
          </cell>
          <cell r="E576">
            <v>0</v>
          </cell>
          <cell r="F576">
            <v>0</v>
          </cell>
          <cell r="G576">
            <v>0</v>
          </cell>
          <cell r="H576">
            <v>0</v>
          </cell>
          <cell r="I576">
            <v>0</v>
          </cell>
          <cell r="J576">
            <v>0</v>
          </cell>
          <cell r="K576">
            <v>0</v>
          </cell>
          <cell r="L576">
            <v>0</v>
          </cell>
          <cell r="M576">
            <v>0</v>
          </cell>
          <cell r="N576">
            <v>0</v>
          </cell>
        </row>
        <row r="577">
          <cell r="B577">
            <v>428110</v>
          </cell>
          <cell r="C577" t="str">
            <v>م.الماء ةالكهرباء / مباني حكومية</v>
          </cell>
          <cell r="D577" t="str">
            <v>Consumption charges</v>
          </cell>
          <cell r="E577">
            <v>0</v>
          </cell>
          <cell r="F577">
            <v>0</v>
          </cell>
          <cell r="G577">
            <v>0</v>
          </cell>
          <cell r="H577">
            <v>0</v>
          </cell>
          <cell r="I577">
            <v>0</v>
          </cell>
          <cell r="J577">
            <v>0</v>
          </cell>
          <cell r="K577">
            <v>0</v>
          </cell>
          <cell r="L577">
            <v>0</v>
          </cell>
          <cell r="M577">
            <v>0</v>
          </cell>
          <cell r="N577">
            <v>0</v>
          </cell>
        </row>
        <row r="578">
          <cell r="B578">
            <v>429900</v>
          </cell>
          <cell r="C578" t="str">
            <v xml:space="preserve">المتفرقات+مصروفات المكتب العامة </v>
          </cell>
          <cell r="D578" t="str">
            <v>Other services, not specifically mentioned elsewhere</v>
          </cell>
          <cell r="E578">
            <v>0</v>
          </cell>
          <cell r="F578">
            <v>0</v>
          </cell>
          <cell r="G578">
            <v>0</v>
          </cell>
          <cell r="H578">
            <v>0</v>
          </cell>
          <cell r="I578">
            <v>0</v>
          </cell>
          <cell r="J578">
            <v>0</v>
          </cell>
          <cell r="K578">
            <v>0</v>
          </cell>
          <cell r="L578">
            <v>0</v>
          </cell>
          <cell r="M578">
            <v>0</v>
          </cell>
          <cell r="N578">
            <v>0</v>
          </cell>
        </row>
        <row r="579">
          <cell r="B579">
            <v>430120</v>
          </cell>
          <cell r="C579" t="str">
            <v xml:space="preserve">ايجار  الدوائر الاخرى </v>
          </cell>
          <cell r="D579" t="str">
            <v>Rental - Buildings, other than staff residences</v>
          </cell>
          <cell r="E579">
            <v>0</v>
          </cell>
          <cell r="F579">
            <v>0</v>
          </cell>
          <cell r="G579">
            <v>0</v>
          </cell>
          <cell r="H579">
            <v>0</v>
          </cell>
          <cell r="I579">
            <v>0</v>
          </cell>
          <cell r="J579">
            <v>0</v>
          </cell>
          <cell r="K579">
            <v>0</v>
          </cell>
          <cell r="L579">
            <v>0</v>
          </cell>
          <cell r="M579">
            <v>0</v>
          </cell>
          <cell r="N579">
            <v>0</v>
          </cell>
        </row>
        <row r="580">
          <cell r="B580">
            <v>430330</v>
          </cell>
          <cell r="C580" t="str">
            <v xml:space="preserve">ايجار السيارات </v>
          </cell>
          <cell r="D580" t="str">
            <v>Rental - Motor vehicles</v>
          </cell>
          <cell r="E580">
            <v>0</v>
          </cell>
          <cell r="F580">
            <v>0</v>
          </cell>
          <cell r="G580">
            <v>0</v>
          </cell>
          <cell r="H580">
            <v>0</v>
          </cell>
          <cell r="I580">
            <v>0</v>
          </cell>
          <cell r="J580">
            <v>0</v>
          </cell>
          <cell r="K580">
            <v>0</v>
          </cell>
          <cell r="L580">
            <v>0</v>
          </cell>
          <cell r="M580">
            <v>0</v>
          </cell>
          <cell r="N580">
            <v>0</v>
          </cell>
        </row>
        <row r="581">
          <cell r="B581">
            <v>432120</v>
          </cell>
          <cell r="C581" t="str">
            <v xml:space="preserve">صيانة المباني الادارية </v>
          </cell>
          <cell r="D581" t="str">
            <v>Business premises</v>
          </cell>
          <cell r="E581">
            <v>0</v>
          </cell>
          <cell r="F581">
            <v>0</v>
          </cell>
          <cell r="G581">
            <v>0</v>
          </cell>
          <cell r="H581">
            <v>0</v>
          </cell>
          <cell r="I581">
            <v>0</v>
          </cell>
          <cell r="J581">
            <v>0</v>
          </cell>
          <cell r="K581">
            <v>0</v>
          </cell>
          <cell r="L581">
            <v>0</v>
          </cell>
          <cell r="M581">
            <v>0</v>
          </cell>
          <cell r="N581">
            <v>0</v>
          </cell>
        </row>
        <row r="582">
          <cell r="B582">
            <v>432205</v>
          </cell>
          <cell r="C582" t="str">
            <v xml:space="preserve">صيانة معدات الحاسب الالي </v>
          </cell>
          <cell r="D582" t="str">
            <v>Computers and peripherals</v>
          </cell>
          <cell r="E582">
            <v>0</v>
          </cell>
          <cell r="F582">
            <v>0</v>
          </cell>
          <cell r="G582">
            <v>0</v>
          </cell>
          <cell r="H582">
            <v>0</v>
          </cell>
          <cell r="I582">
            <v>0</v>
          </cell>
          <cell r="J582">
            <v>0</v>
          </cell>
          <cell r="K582">
            <v>0</v>
          </cell>
          <cell r="L582">
            <v>0</v>
          </cell>
          <cell r="M582">
            <v>0</v>
          </cell>
          <cell r="N582">
            <v>0</v>
          </cell>
        </row>
        <row r="583">
          <cell r="B583">
            <v>432212</v>
          </cell>
          <cell r="C583" t="str">
            <v>صيانة معدات المكتب</v>
          </cell>
          <cell r="D583" t="str">
            <v>Office equipment</v>
          </cell>
          <cell r="E583">
            <v>0</v>
          </cell>
          <cell r="F583">
            <v>0</v>
          </cell>
          <cell r="G583">
            <v>0</v>
          </cell>
          <cell r="H583">
            <v>0</v>
          </cell>
          <cell r="I583">
            <v>0</v>
          </cell>
          <cell r="J583">
            <v>0</v>
          </cell>
          <cell r="K583">
            <v>0</v>
          </cell>
          <cell r="L583">
            <v>0</v>
          </cell>
          <cell r="M583">
            <v>0</v>
          </cell>
          <cell r="N583">
            <v>0</v>
          </cell>
        </row>
        <row r="584">
          <cell r="B584">
            <v>432310</v>
          </cell>
          <cell r="C584" t="str">
            <v>صيانة اثاث الطريق</v>
          </cell>
          <cell r="D584" t="str">
            <v>Office Furniture and fixtures Maintenance</v>
          </cell>
          <cell r="E584">
            <v>0</v>
          </cell>
          <cell r="F584">
            <v>0</v>
          </cell>
          <cell r="G584">
            <v>0</v>
          </cell>
          <cell r="H584">
            <v>0</v>
          </cell>
          <cell r="I584">
            <v>0</v>
          </cell>
          <cell r="J584">
            <v>0</v>
          </cell>
          <cell r="K584">
            <v>0</v>
          </cell>
          <cell r="L584">
            <v>0</v>
          </cell>
          <cell r="M584">
            <v>0</v>
          </cell>
          <cell r="N584">
            <v>0</v>
          </cell>
        </row>
        <row r="585">
          <cell r="B585">
            <v>432520</v>
          </cell>
          <cell r="C585" t="str">
            <v>صيانة المركبات البحرية</v>
          </cell>
          <cell r="D585" t="str">
            <v>Marine craft</v>
          </cell>
          <cell r="E585">
            <v>0</v>
          </cell>
          <cell r="F585">
            <v>0</v>
          </cell>
          <cell r="G585">
            <v>0</v>
          </cell>
          <cell r="H585">
            <v>0</v>
          </cell>
          <cell r="I585">
            <v>0</v>
          </cell>
          <cell r="J585">
            <v>0</v>
          </cell>
          <cell r="K585">
            <v>0</v>
          </cell>
          <cell r="L585">
            <v>0</v>
          </cell>
          <cell r="M585">
            <v>0</v>
          </cell>
          <cell r="N585">
            <v>0</v>
          </cell>
        </row>
        <row r="586">
          <cell r="B586">
            <v>432540</v>
          </cell>
          <cell r="C586" t="str">
            <v>صيانة حافلات النقل العام</v>
          </cell>
          <cell r="D586" t="str">
            <v>Motor vehicles (non-military)</v>
          </cell>
          <cell r="E586">
            <v>0</v>
          </cell>
          <cell r="F586">
            <v>0</v>
          </cell>
          <cell r="G586">
            <v>0</v>
          </cell>
          <cell r="H586">
            <v>0</v>
          </cell>
          <cell r="I586">
            <v>0</v>
          </cell>
          <cell r="J586">
            <v>0</v>
          </cell>
          <cell r="K586">
            <v>0</v>
          </cell>
          <cell r="L586">
            <v>0</v>
          </cell>
          <cell r="M586">
            <v>0</v>
          </cell>
          <cell r="N586">
            <v>0</v>
          </cell>
        </row>
        <row r="587">
          <cell r="B587">
            <v>432690</v>
          </cell>
          <cell r="C587" t="str">
            <v>صيانة اجهزة و معدات الطريق</v>
          </cell>
          <cell r="D587" t="str">
            <v>Plant, machinery and heavy equipment, not mentioned elsewhere</v>
          </cell>
          <cell r="E587">
            <v>0</v>
          </cell>
          <cell r="F587">
            <v>0</v>
          </cell>
          <cell r="G587">
            <v>0</v>
          </cell>
          <cell r="H587">
            <v>0</v>
          </cell>
          <cell r="I587">
            <v>0</v>
          </cell>
          <cell r="J587">
            <v>0</v>
          </cell>
          <cell r="K587">
            <v>0</v>
          </cell>
          <cell r="L587">
            <v>0</v>
          </cell>
          <cell r="M587">
            <v>0</v>
          </cell>
          <cell r="N587">
            <v>0</v>
          </cell>
        </row>
        <row r="588">
          <cell r="B588">
            <v>433909</v>
          </cell>
          <cell r="C588" t="str">
            <v>صيانة الطرق و الجسور</v>
          </cell>
          <cell r="D588" t="str">
            <v>Roads and bridges</v>
          </cell>
          <cell r="E588">
            <v>0</v>
          </cell>
          <cell r="F588">
            <v>0</v>
          </cell>
          <cell r="G588">
            <v>0</v>
          </cell>
          <cell r="H588">
            <v>0</v>
          </cell>
          <cell r="I588">
            <v>0</v>
          </cell>
          <cell r="J588">
            <v>0</v>
          </cell>
          <cell r="K588">
            <v>0</v>
          </cell>
          <cell r="L588">
            <v>0</v>
          </cell>
          <cell r="M588">
            <v>0</v>
          </cell>
          <cell r="N588">
            <v>0</v>
          </cell>
        </row>
        <row r="589">
          <cell r="B589">
            <v>435310</v>
          </cell>
          <cell r="C589" t="str">
            <v xml:space="preserve">الكتب و النشرات و الجرائد </v>
          </cell>
          <cell r="D589" t="str">
            <v>Newspapers, magazines, journals, etc</v>
          </cell>
          <cell r="E589">
            <v>0</v>
          </cell>
          <cell r="F589">
            <v>0</v>
          </cell>
          <cell r="G589">
            <v>0</v>
          </cell>
          <cell r="H589">
            <v>0</v>
          </cell>
          <cell r="I589">
            <v>0</v>
          </cell>
          <cell r="J589">
            <v>0</v>
          </cell>
          <cell r="K589">
            <v>0</v>
          </cell>
          <cell r="L589">
            <v>0</v>
          </cell>
          <cell r="M589">
            <v>0</v>
          </cell>
          <cell r="N589">
            <v>0</v>
          </cell>
        </row>
        <row r="590">
          <cell r="B590">
            <v>435730</v>
          </cell>
          <cell r="C590" t="str">
            <v>وقود وزيوت وشحوم للسفن و المعدات</v>
          </cell>
          <cell r="D590" t="str">
            <v>Marine craft</v>
          </cell>
          <cell r="E590">
            <v>0</v>
          </cell>
          <cell r="F590">
            <v>0</v>
          </cell>
          <cell r="G590">
            <v>0</v>
          </cell>
          <cell r="H590">
            <v>0</v>
          </cell>
          <cell r="I590">
            <v>0</v>
          </cell>
          <cell r="J590">
            <v>0</v>
          </cell>
          <cell r="K590">
            <v>0</v>
          </cell>
          <cell r="L590">
            <v>0</v>
          </cell>
          <cell r="M590">
            <v>0</v>
          </cell>
          <cell r="N590">
            <v>0</v>
          </cell>
        </row>
        <row r="591">
          <cell r="B591">
            <v>435740</v>
          </cell>
          <cell r="C591" t="str">
            <v>وقود و زيوت و شحوم للسيارات/الحافلات</v>
          </cell>
          <cell r="D591" t="str">
            <v>Motor vehicles</v>
          </cell>
          <cell r="E591">
            <v>0</v>
          </cell>
          <cell r="F591">
            <v>0</v>
          </cell>
          <cell r="G591">
            <v>0</v>
          </cell>
          <cell r="H591">
            <v>0</v>
          </cell>
          <cell r="I591">
            <v>0</v>
          </cell>
          <cell r="J591">
            <v>0</v>
          </cell>
          <cell r="K591">
            <v>0</v>
          </cell>
          <cell r="L591">
            <v>0</v>
          </cell>
          <cell r="M591">
            <v>0</v>
          </cell>
          <cell r="N591">
            <v>0</v>
          </cell>
        </row>
        <row r="592">
          <cell r="B592">
            <v>436110</v>
          </cell>
          <cell r="C592" t="str">
            <v xml:space="preserve">طباعة النماذج و المطبوعات الحكومية </v>
          </cell>
          <cell r="D592" t="str">
            <v>Printing supplies</v>
          </cell>
          <cell r="E592">
            <v>0</v>
          </cell>
          <cell r="F592">
            <v>0</v>
          </cell>
          <cell r="G592">
            <v>0</v>
          </cell>
          <cell r="H592">
            <v>0</v>
          </cell>
          <cell r="I592">
            <v>0</v>
          </cell>
          <cell r="J592">
            <v>0</v>
          </cell>
          <cell r="K592">
            <v>0</v>
          </cell>
          <cell r="L592">
            <v>0</v>
          </cell>
          <cell r="M592">
            <v>0</v>
          </cell>
          <cell r="N592">
            <v>0</v>
          </cell>
        </row>
        <row r="593">
          <cell r="B593">
            <v>436120</v>
          </cell>
          <cell r="C593" t="str">
            <v>القرطاسية + قرطاسية الحاسب الالي</v>
          </cell>
          <cell r="D593" t="str">
            <v>Stationery</v>
          </cell>
          <cell r="E593">
            <v>0</v>
          </cell>
          <cell r="F593">
            <v>0</v>
          </cell>
          <cell r="G593">
            <v>0</v>
          </cell>
          <cell r="H593">
            <v>0</v>
          </cell>
          <cell r="I593">
            <v>0</v>
          </cell>
          <cell r="J593">
            <v>0</v>
          </cell>
          <cell r="K593">
            <v>0</v>
          </cell>
          <cell r="L593">
            <v>0</v>
          </cell>
          <cell r="M593">
            <v>0</v>
          </cell>
          <cell r="N593">
            <v>0</v>
          </cell>
        </row>
        <row r="594">
          <cell r="B594">
            <v>471420</v>
          </cell>
          <cell r="C594" t="str">
            <v>عمولات توزيع بطاقات المواقف</v>
          </cell>
          <cell r="D594" t="str">
            <v>Parking cards distribution commission</v>
          </cell>
          <cell r="E594">
            <v>0</v>
          </cell>
          <cell r="F594">
            <v>0</v>
          </cell>
          <cell r="G594">
            <v>0</v>
          </cell>
          <cell r="H594">
            <v>0</v>
          </cell>
          <cell r="I594">
            <v>0</v>
          </cell>
          <cell r="J594">
            <v>0</v>
          </cell>
          <cell r="K594">
            <v>0</v>
          </cell>
          <cell r="L594">
            <v>0</v>
          </cell>
          <cell r="M594">
            <v>0</v>
          </cell>
          <cell r="N594">
            <v>0</v>
          </cell>
        </row>
        <row r="595">
          <cell r="B595">
            <v>492306</v>
          </cell>
          <cell r="C595" t="str">
            <v>اجهزة الوسائل التعليمية</v>
          </cell>
          <cell r="D595" t="str">
            <v>Educational training equipment</v>
          </cell>
          <cell r="E595">
            <v>0</v>
          </cell>
          <cell r="F595">
            <v>0</v>
          </cell>
          <cell r="G595">
            <v>0</v>
          </cell>
          <cell r="H595">
            <v>0</v>
          </cell>
          <cell r="I595">
            <v>0</v>
          </cell>
          <cell r="J595">
            <v>0</v>
          </cell>
          <cell r="K595">
            <v>0</v>
          </cell>
          <cell r="L595">
            <v>0</v>
          </cell>
          <cell r="M595">
            <v>0</v>
          </cell>
          <cell r="N595">
            <v>0</v>
          </cell>
        </row>
        <row r="596">
          <cell r="B596">
            <v>492310</v>
          </cell>
          <cell r="C596" t="str">
            <v>معدات الحاسب الالي و ملحقاتها</v>
          </cell>
          <cell r="D596" t="str">
            <v>Hardware and peripherals</v>
          </cell>
          <cell r="E596">
            <v>0</v>
          </cell>
          <cell r="F596">
            <v>0</v>
          </cell>
          <cell r="G596">
            <v>0</v>
          </cell>
          <cell r="H596">
            <v>0</v>
          </cell>
          <cell r="I596">
            <v>0</v>
          </cell>
          <cell r="J596">
            <v>0</v>
          </cell>
          <cell r="K596">
            <v>0</v>
          </cell>
          <cell r="L596">
            <v>0</v>
          </cell>
          <cell r="M596">
            <v>0</v>
          </cell>
          <cell r="N596">
            <v>0</v>
          </cell>
        </row>
        <row r="597">
          <cell r="B597">
            <v>492323</v>
          </cell>
          <cell r="C597" t="str">
            <v>اجهزة ارشاد بحرية</v>
          </cell>
          <cell r="D597" t="str">
            <v xml:space="preserve">Navigational markers, buoys and lights </v>
          </cell>
          <cell r="E597">
            <v>0</v>
          </cell>
          <cell r="F597">
            <v>0</v>
          </cell>
          <cell r="G597">
            <v>0</v>
          </cell>
          <cell r="H597">
            <v>0</v>
          </cell>
          <cell r="I597">
            <v>0</v>
          </cell>
          <cell r="J597">
            <v>0</v>
          </cell>
          <cell r="K597">
            <v>0</v>
          </cell>
          <cell r="L597">
            <v>0</v>
          </cell>
          <cell r="M597">
            <v>0</v>
          </cell>
          <cell r="N597">
            <v>0</v>
          </cell>
        </row>
        <row r="598">
          <cell r="B598">
            <v>492333</v>
          </cell>
          <cell r="C598" t="str">
            <v>معدات الهاتف و الفاكس و التلكس</v>
          </cell>
          <cell r="D598" t="str">
            <v>Telephone, fax and telex equipment</v>
          </cell>
          <cell r="E598">
            <v>0</v>
          </cell>
          <cell r="F598">
            <v>0</v>
          </cell>
          <cell r="G598">
            <v>0</v>
          </cell>
          <cell r="H598">
            <v>0</v>
          </cell>
          <cell r="I598">
            <v>0</v>
          </cell>
          <cell r="J598">
            <v>0</v>
          </cell>
          <cell r="K598">
            <v>0</v>
          </cell>
          <cell r="L598">
            <v>0</v>
          </cell>
          <cell r="M598">
            <v>0</v>
          </cell>
          <cell r="N598">
            <v>0</v>
          </cell>
        </row>
        <row r="599">
          <cell r="B599">
            <v>492340</v>
          </cell>
          <cell r="C599" t="str">
            <v>اجهزة الراديو و اللاسلكي و اخرى</v>
          </cell>
          <cell r="D599" t="str">
            <v>Wireless and radio equipment</v>
          </cell>
          <cell r="E599">
            <v>0</v>
          </cell>
          <cell r="F599">
            <v>0</v>
          </cell>
          <cell r="G599">
            <v>0</v>
          </cell>
          <cell r="H599">
            <v>0</v>
          </cell>
          <cell r="I599">
            <v>0</v>
          </cell>
          <cell r="J599">
            <v>0</v>
          </cell>
          <cell r="K599">
            <v>0</v>
          </cell>
          <cell r="L599">
            <v>0</v>
          </cell>
          <cell r="M599">
            <v>0</v>
          </cell>
          <cell r="N599">
            <v>0</v>
          </cell>
        </row>
        <row r="600">
          <cell r="B600">
            <v>492341</v>
          </cell>
          <cell r="C600" t="str">
            <v>معدات ورش</v>
          </cell>
          <cell r="D600" t="str">
            <v>Workshop equipment</v>
          </cell>
          <cell r="E600">
            <v>0</v>
          </cell>
          <cell r="F600">
            <v>0</v>
          </cell>
          <cell r="G600">
            <v>0</v>
          </cell>
          <cell r="H600">
            <v>0</v>
          </cell>
          <cell r="I600">
            <v>0</v>
          </cell>
          <cell r="J600">
            <v>0</v>
          </cell>
          <cell r="K600">
            <v>0</v>
          </cell>
          <cell r="L600">
            <v>0</v>
          </cell>
          <cell r="M600">
            <v>0</v>
          </cell>
          <cell r="N600">
            <v>0</v>
          </cell>
        </row>
        <row r="601">
          <cell r="B601">
            <v>492534</v>
          </cell>
          <cell r="C601" t="str">
            <v>باصات النقل العام</v>
          </cell>
          <cell r="D601" t="str">
            <v>Public transport buses</v>
          </cell>
          <cell r="E601">
            <v>0</v>
          </cell>
          <cell r="F601">
            <v>0</v>
          </cell>
          <cell r="G601">
            <v>0</v>
          </cell>
          <cell r="H601">
            <v>0</v>
          </cell>
          <cell r="I601">
            <v>0</v>
          </cell>
          <cell r="J601">
            <v>0</v>
          </cell>
          <cell r="K601">
            <v>0</v>
          </cell>
          <cell r="L601">
            <v>0</v>
          </cell>
          <cell r="M601">
            <v>0</v>
          </cell>
          <cell r="N601">
            <v>0</v>
          </cell>
        </row>
        <row r="602">
          <cell r="B602">
            <v>492610</v>
          </cell>
          <cell r="C602" t="str">
            <v>الاثاث المكتبي + أثاث خارجي للنقل العام</v>
          </cell>
          <cell r="D602" t="str">
            <v>Offices + Road Furniture</v>
          </cell>
          <cell r="E602">
            <v>0</v>
          </cell>
          <cell r="F602">
            <v>0</v>
          </cell>
          <cell r="G602">
            <v>0</v>
          </cell>
          <cell r="H602">
            <v>0</v>
          </cell>
          <cell r="I602">
            <v>0</v>
          </cell>
          <cell r="J602">
            <v>0</v>
          </cell>
          <cell r="K602">
            <v>0</v>
          </cell>
          <cell r="L602">
            <v>0</v>
          </cell>
          <cell r="M602">
            <v>0</v>
          </cell>
          <cell r="N602">
            <v>0</v>
          </cell>
        </row>
        <row r="603">
          <cell r="B603">
            <v>495120</v>
          </cell>
          <cell r="C603" t="str">
            <v>تركيب و تطوير انظمة حاسب الي</v>
          </cell>
          <cell r="D603" t="str">
            <v xml:space="preserve"> System development and implemention costs</v>
          </cell>
          <cell r="E603">
            <v>0</v>
          </cell>
          <cell r="F603">
            <v>0</v>
          </cell>
          <cell r="G603">
            <v>0</v>
          </cell>
          <cell r="H603">
            <v>0</v>
          </cell>
          <cell r="I603">
            <v>0</v>
          </cell>
          <cell r="J603">
            <v>0</v>
          </cell>
          <cell r="K603">
            <v>0</v>
          </cell>
          <cell r="L603">
            <v>0</v>
          </cell>
          <cell r="M603">
            <v>0</v>
          </cell>
          <cell r="N603">
            <v>0</v>
          </cell>
        </row>
        <row r="604">
          <cell r="B604">
            <v>497360</v>
          </cell>
          <cell r="C604" t="str">
            <v xml:space="preserve">اجهزة و معدات خارجية </v>
          </cell>
          <cell r="D604" t="str">
            <v>Other Public Transport Facilities</v>
          </cell>
          <cell r="E604">
            <v>0</v>
          </cell>
          <cell r="F604">
            <v>0</v>
          </cell>
          <cell r="G604">
            <v>0</v>
          </cell>
          <cell r="H604">
            <v>0</v>
          </cell>
          <cell r="I604">
            <v>0</v>
          </cell>
          <cell r="J604">
            <v>0</v>
          </cell>
          <cell r="K604">
            <v>0</v>
          </cell>
          <cell r="L604">
            <v>0</v>
          </cell>
          <cell r="M604">
            <v>0</v>
          </cell>
          <cell r="N604">
            <v>0</v>
          </cell>
        </row>
        <row r="606">
          <cell r="E606">
            <v>0</v>
          </cell>
          <cell r="F606">
            <v>0</v>
          </cell>
          <cell r="G606">
            <v>0</v>
          </cell>
          <cell r="H606">
            <v>0</v>
          </cell>
          <cell r="I606">
            <v>0</v>
          </cell>
          <cell r="J606">
            <v>0</v>
          </cell>
          <cell r="L606">
            <v>0</v>
          </cell>
          <cell r="M606">
            <v>0</v>
          </cell>
          <cell r="N606">
            <v>0</v>
          </cell>
        </row>
        <row r="650">
          <cell r="C650" t="str">
            <v>رقم العقد</v>
          </cell>
          <cell r="D650" t="str">
            <v>رقم البند</v>
          </cell>
        </row>
        <row r="651">
          <cell r="C651" t="str">
            <v>231/2009</v>
          </cell>
          <cell r="D651">
            <v>433909</v>
          </cell>
        </row>
        <row r="652">
          <cell r="C652" t="str">
            <v>232/2009</v>
          </cell>
          <cell r="D652">
            <v>433909</v>
          </cell>
        </row>
        <row r="653">
          <cell r="C653" t="str">
            <v>233/2009</v>
          </cell>
          <cell r="D653">
            <v>433909</v>
          </cell>
        </row>
        <row r="654">
          <cell r="C654" t="str">
            <v>71/2010</v>
          </cell>
          <cell r="D654">
            <v>433909</v>
          </cell>
        </row>
        <row r="655">
          <cell r="C655" t="str">
            <v>72/2010</v>
          </cell>
          <cell r="D655">
            <v>433909</v>
          </cell>
        </row>
        <row r="656">
          <cell r="C656" t="str">
            <v>73/2010</v>
          </cell>
          <cell r="D656">
            <v>433909</v>
          </cell>
        </row>
        <row r="657">
          <cell r="C657" t="str">
            <v>52/2008</v>
          </cell>
          <cell r="D657">
            <v>433909</v>
          </cell>
        </row>
        <row r="658">
          <cell r="C658" t="str">
            <v>172/2010</v>
          </cell>
          <cell r="D658">
            <v>433909</v>
          </cell>
        </row>
        <row r="659">
          <cell r="C659" t="str">
            <v>56/2008</v>
          </cell>
          <cell r="D659">
            <v>433909</v>
          </cell>
        </row>
        <row r="660">
          <cell r="C660" t="str">
            <v>47/2009</v>
          </cell>
          <cell r="D660">
            <v>433909</v>
          </cell>
        </row>
        <row r="661">
          <cell r="C661" t="str">
            <v>146/2009</v>
          </cell>
          <cell r="D661">
            <v>432540</v>
          </cell>
        </row>
        <row r="662">
          <cell r="C662" t="str">
            <v>169/2009</v>
          </cell>
          <cell r="D662">
            <v>432540</v>
          </cell>
        </row>
        <row r="663">
          <cell r="C663" t="str">
            <v>22/2010</v>
          </cell>
          <cell r="D663">
            <v>432120</v>
          </cell>
        </row>
        <row r="664">
          <cell r="C664" t="str">
            <v>92/2009</v>
          </cell>
          <cell r="D664">
            <v>432120</v>
          </cell>
        </row>
        <row r="665">
          <cell r="C665" t="str">
            <v>87/2010</v>
          </cell>
          <cell r="D665">
            <v>420900</v>
          </cell>
        </row>
        <row r="666">
          <cell r="C666" t="str">
            <v>224-ARN/2009</v>
          </cell>
          <cell r="D666">
            <v>420900</v>
          </cell>
        </row>
        <row r="667">
          <cell r="C667" t="str">
            <v>224/2009</v>
          </cell>
          <cell r="D667">
            <v>420900</v>
          </cell>
        </row>
        <row r="668">
          <cell r="C668" t="str">
            <v>224-PRN/2009</v>
          </cell>
          <cell r="D668">
            <v>420900</v>
          </cell>
        </row>
        <row r="669">
          <cell r="C669" t="str">
            <v>139/2009</v>
          </cell>
          <cell r="D669">
            <v>420900</v>
          </cell>
        </row>
        <row r="670">
          <cell r="C670" t="str">
            <v>226/2009</v>
          </cell>
          <cell r="D670">
            <v>420900</v>
          </cell>
        </row>
        <row r="671">
          <cell r="C671" t="str">
            <v>149/2010</v>
          </cell>
          <cell r="D671">
            <v>422900</v>
          </cell>
        </row>
        <row r="672">
          <cell r="C672" t="str">
            <v>60/2010</v>
          </cell>
          <cell r="D672">
            <v>422900</v>
          </cell>
        </row>
        <row r="673">
          <cell r="C673" t="str">
            <v>126/2009</v>
          </cell>
          <cell r="D673">
            <v>422900</v>
          </cell>
        </row>
        <row r="674">
          <cell r="C674" t="str">
            <v>39/2009</v>
          </cell>
          <cell r="D674">
            <v>422900</v>
          </cell>
        </row>
        <row r="675">
          <cell r="C675" t="str">
            <v>206/2009</v>
          </cell>
          <cell r="D675">
            <v>421200</v>
          </cell>
        </row>
        <row r="676">
          <cell r="C676" t="str">
            <v>23/2011</v>
          </cell>
          <cell r="D676">
            <v>421200</v>
          </cell>
        </row>
        <row r="677">
          <cell r="C677" t="str">
            <v>50/2009</v>
          </cell>
          <cell r="D677">
            <v>421200</v>
          </cell>
        </row>
        <row r="678">
          <cell r="C678" t="str">
            <v>005/2010</v>
          </cell>
          <cell r="D678">
            <v>421200</v>
          </cell>
        </row>
        <row r="679">
          <cell r="C679" t="str">
            <v>187/2009</v>
          </cell>
          <cell r="D679">
            <v>420310</v>
          </cell>
        </row>
        <row r="680">
          <cell r="C680" t="str">
            <v>237/2009</v>
          </cell>
          <cell r="D680">
            <v>436120</v>
          </cell>
        </row>
        <row r="681">
          <cell r="C681" t="str">
            <v>002/2010</v>
          </cell>
          <cell r="D681">
            <v>426610</v>
          </cell>
        </row>
        <row r="682">
          <cell r="C682" t="str">
            <v>209/2009</v>
          </cell>
          <cell r="D682">
            <v>426610</v>
          </cell>
        </row>
        <row r="683">
          <cell r="C683" t="str">
            <v>25/2010</v>
          </cell>
          <cell r="D683">
            <v>492310</v>
          </cell>
        </row>
        <row r="684">
          <cell r="C684" t="str">
            <v>147/2010</v>
          </cell>
          <cell r="D684">
            <v>492310</v>
          </cell>
        </row>
        <row r="685">
          <cell r="C685" t="str">
            <v>248/2009</v>
          </cell>
          <cell r="D685">
            <v>492310</v>
          </cell>
        </row>
        <row r="686">
          <cell r="C686" t="str">
            <v>134/2010</v>
          </cell>
          <cell r="D686">
            <v>492310</v>
          </cell>
        </row>
        <row r="687">
          <cell r="C687" t="str">
            <v>156/2009</v>
          </cell>
          <cell r="D687">
            <v>492310</v>
          </cell>
        </row>
        <row r="688">
          <cell r="C688" t="str">
            <v>37/2009</v>
          </cell>
          <cell r="D688">
            <v>492310</v>
          </cell>
        </row>
        <row r="689">
          <cell r="C689" t="str">
            <v>68/2010</v>
          </cell>
          <cell r="D689">
            <v>492310</v>
          </cell>
        </row>
        <row r="690">
          <cell r="C690" t="str">
            <v>26/2011</v>
          </cell>
          <cell r="D690">
            <v>492310</v>
          </cell>
        </row>
        <row r="691">
          <cell r="C691" t="str">
            <v>50/2009</v>
          </cell>
          <cell r="D691">
            <v>432205</v>
          </cell>
        </row>
        <row r="692">
          <cell r="C692" t="str">
            <v>152/2009</v>
          </cell>
          <cell r="D692">
            <v>432205</v>
          </cell>
        </row>
        <row r="693">
          <cell r="C693" t="str">
            <v>17/2010</v>
          </cell>
          <cell r="D693">
            <v>432205</v>
          </cell>
        </row>
        <row r="694">
          <cell r="C694" t="str">
            <v>130/2010</v>
          </cell>
          <cell r="D694">
            <v>432205</v>
          </cell>
        </row>
        <row r="695">
          <cell r="C695" t="str">
            <v>011/2007</v>
          </cell>
          <cell r="D695">
            <v>427000</v>
          </cell>
        </row>
        <row r="696">
          <cell r="C696" t="str">
            <v>010/2008</v>
          </cell>
          <cell r="D696">
            <v>427000</v>
          </cell>
        </row>
        <row r="697">
          <cell r="C697" t="str">
            <v>230/2009</v>
          </cell>
          <cell r="D697">
            <v>435740</v>
          </cell>
        </row>
        <row r="698">
          <cell r="C698" t="str">
            <v>230-ZEN/2009</v>
          </cell>
          <cell r="D698">
            <v>435740</v>
          </cell>
        </row>
        <row r="699">
          <cell r="C699" t="str">
            <v>99/2010</v>
          </cell>
          <cell r="D699">
            <v>422900</v>
          </cell>
        </row>
        <row r="700">
          <cell r="C700" t="str">
            <v>93-YR/2009</v>
          </cell>
          <cell r="D700">
            <v>425100</v>
          </cell>
        </row>
        <row r="701">
          <cell r="C701" t="str">
            <v>93-MP/2009</v>
          </cell>
          <cell r="D701">
            <v>425100</v>
          </cell>
        </row>
        <row r="702">
          <cell r="C702" t="str">
            <v>93-IM/2009</v>
          </cell>
          <cell r="D702">
            <v>425100</v>
          </cell>
        </row>
        <row r="703">
          <cell r="C703" t="str">
            <v>93-IB/2009</v>
          </cell>
          <cell r="D703">
            <v>425100</v>
          </cell>
        </row>
        <row r="704">
          <cell r="C704" t="str">
            <v>93-BG/2009</v>
          </cell>
          <cell r="D704">
            <v>425100</v>
          </cell>
        </row>
        <row r="705">
          <cell r="C705" t="str">
            <v>88/2010</v>
          </cell>
          <cell r="D705">
            <v>421200</v>
          </cell>
        </row>
        <row r="706">
          <cell r="C706" t="str">
            <v>41/2010</v>
          </cell>
          <cell r="D706">
            <v>422900</v>
          </cell>
        </row>
        <row r="707">
          <cell r="C707" t="str">
            <v>40/2011</v>
          </cell>
          <cell r="D707">
            <v>433909</v>
          </cell>
        </row>
        <row r="708">
          <cell r="C708" t="str">
            <v>39/2010</v>
          </cell>
          <cell r="D708">
            <v>430330</v>
          </cell>
        </row>
        <row r="709">
          <cell r="C709" t="str">
            <v>28/2011</v>
          </cell>
          <cell r="D709">
            <v>422900</v>
          </cell>
        </row>
        <row r="710">
          <cell r="C710" t="str">
            <v>255/2009</v>
          </cell>
          <cell r="D710">
            <v>427000</v>
          </cell>
        </row>
        <row r="711">
          <cell r="C711" t="str">
            <v>247/2009</v>
          </cell>
          <cell r="D711">
            <v>422900</v>
          </cell>
        </row>
        <row r="712">
          <cell r="C712" t="str">
            <v>23/2010</v>
          </cell>
          <cell r="D712">
            <v>492534</v>
          </cell>
        </row>
        <row r="713">
          <cell r="C713" t="str">
            <v>198/2011</v>
          </cell>
          <cell r="D713">
            <v>432690</v>
          </cell>
        </row>
        <row r="714">
          <cell r="C714" t="str">
            <v>19/2008</v>
          </cell>
          <cell r="D714">
            <v>433909</v>
          </cell>
        </row>
        <row r="715">
          <cell r="C715" t="str">
            <v>183/2011</v>
          </cell>
          <cell r="D715">
            <v>433909</v>
          </cell>
        </row>
        <row r="716">
          <cell r="C716" t="str">
            <v>15/2010</v>
          </cell>
          <cell r="D716">
            <v>427000</v>
          </cell>
        </row>
        <row r="717">
          <cell r="C717" t="str">
            <v>15/2010</v>
          </cell>
          <cell r="D717">
            <v>432520</v>
          </cell>
        </row>
        <row r="718">
          <cell r="C718" t="str">
            <v>14-GCG/2011</v>
          </cell>
          <cell r="D718">
            <v>436120</v>
          </cell>
        </row>
        <row r="719">
          <cell r="C719" t="str">
            <v>142/2009</v>
          </cell>
          <cell r="D719">
            <v>432310</v>
          </cell>
        </row>
        <row r="720">
          <cell r="C720" t="str">
            <v>14/2010 SH</v>
          </cell>
          <cell r="D720">
            <v>433909</v>
          </cell>
        </row>
        <row r="721">
          <cell r="C721" t="str">
            <v>121/2010</v>
          </cell>
          <cell r="D721">
            <v>429900</v>
          </cell>
        </row>
        <row r="722">
          <cell r="C722" t="str">
            <v>115/2009</v>
          </cell>
          <cell r="D722">
            <v>420900</v>
          </cell>
        </row>
        <row r="723">
          <cell r="C723" t="str">
            <v>103/2009-02</v>
          </cell>
          <cell r="D723">
            <v>425501</v>
          </cell>
        </row>
        <row r="724">
          <cell r="C724" t="str">
            <v>10023/2008</v>
          </cell>
          <cell r="D724">
            <v>420900</v>
          </cell>
        </row>
        <row r="725">
          <cell r="C725" t="str">
            <v>009/2011</v>
          </cell>
          <cell r="D725">
            <v>427000</v>
          </cell>
        </row>
        <row r="726">
          <cell r="C726" t="str">
            <v>09/2010/SH</v>
          </cell>
          <cell r="D726">
            <v>421200</v>
          </cell>
        </row>
        <row r="727">
          <cell r="C727" t="str">
            <v>008/2009</v>
          </cell>
          <cell r="D727">
            <v>429900</v>
          </cell>
        </row>
        <row r="728">
          <cell r="C728" t="str">
            <v>009/2010</v>
          </cell>
          <cell r="D728">
            <v>429900</v>
          </cell>
        </row>
        <row r="729">
          <cell r="C729" t="str">
            <v>123/2011</v>
          </cell>
          <cell r="D729">
            <v>427710</v>
          </cell>
        </row>
        <row r="730">
          <cell r="C730" t="str">
            <v>113/2009</v>
          </cell>
          <cell r="D730">
            <v>433909</v>
          </cell>
        </row>
        <row r="731">
          <cell r="C731" t="str">
            <v xml:space="preserve">TANZIFCO </v>
          </cell>
          <cell r="D731">
            <v>420310</v>
          </cell>
        </row>
        <row r="732">
          <cell r="C732" t="str">
            <v>STILLBOW/2010</v>
          </cell>
          <cell r="D732">
            <v>436120</v>
          </cell>
        </row>
        <row r="733">
          <cell r="C733" t="str">
            <v>SWAN/2010</v>
          </cell>
          <cell r="D733">
            <v>436120</v>
          </cell>
        </row>
        <row r="734">
          <cell r="C734" t="str">
            <v>003/2007 SH</v>
          </cell>
          <cell r="D734">
            <v>432690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Travel Unit Rate Buildup"/>
      <sheetName val="Calc Client Multiplier"/>
      <sheetName val="Expat Staff Cost Buildup"/>
      <sheetName val="John Parry's Rates"/>
      <sheetName val="Staffing Resource"/>
      <sheetName val="LOE Hrs"/>
      <sheetName val="Total Labor by WBS"/>
      <sheetName val="Raw Labor by WBS"/>
      <sheetName val="Allowances by WBS"/>
      <sheetName val="Fringe Costs by WBS"/>
      <sheetName val="Labor OH by WBS"/>
      <sheetName val="Fee on Labor by WBS"/>
      <sheetName val="DIRECT COSTS - MARGIN ANALYSIS"/>
      <sheetName val="Margin Metrics"/>
      <sheetName val="Summary - Low"/>
      <sheetName val="Summary - Mid"/>
      <sheetName val="Summary - High"/>
      <sheetName val="WBS Summ - Low"/>
      <sheetName val="WBS Summ - Mid"/>
      <sheetName val="WBS Summ - High"/>
      <sheetName val="INC"/>
      <sheetName val="PUB Sub"/>
      <sheetName val=" Sub"/>
      <sheetName val="Sub 3"/>
      <sheetName val="Sub 4"/>
      <sheetName val="Other"/>
      <sheetName val="Labor Detail"/>
      <sheetName val="ODC Detail"/>
      <sheetName val="Nonbillable Detail"/>
      <sheetName val="Tables 1-3 PMO Core"/>
      <sheetName val="Table 4-Transition"/>
      <sheetName val="Table 5-Reachback - US"/>
      <sheetName val="Table 5-Reachback - UK"/>
      <sheetName val="Table 5-Reachback - SNG"/>
      <sheetName val="Table 5-Reachback - Dubai"/>
      <sheetName val="Table 6 -Resource Schedules"/>
      <sheetName val="Table 7 - Travel Costs"/>
    </sheetNames>
    <sheetDataSet>
      <sheetData sheetId="0" refreshError="1">
        <row r="338">
          <cell r="C338" t="str">
            <v>Urgent Works</v>
          </cell>
          <cell r="F338" t="str">
            <v>Project Management</v>
          </cell>
          <cell r="J338" t="str">
            <v>General Management &amp; Planning</v>
          </cell>
        </row>
        <row r="339">
          <cell r="C339" t="str">
            <v>SIP Development</v>
          </cell>
          <cell r="F339" t="str">
            <v>Pumping Station Rehabiliation</v>
          </cell>
          <cell r="J339" t="str">
            <v>Cost &amp; Schedule Control</v>
          </cell>
        </row>
        <row r="340">
          <cell r="C340" t="str">
            <v>Programme Preliminary Design</v>
          </cell>
          <cell r="F340" t="str">
            <v>Data Collection &amp; Preliminary Analysis</v>
          </cell>
          <cell r="J340" t="str">
            <v>Project Liaison</v>
          </cell>
        </row>
        <row r="341">
          <cell r="F341" t="str">
            <v>Preliminary Designs</v>
          </cell>
          <cell r="J341" t="str">
            <v>Management Reporting</v>
          </cell>
        </row>
        <row r="342">
          <cell r="J342" t="str">
            <v>Technology Transfer</v>
          </cell>
        </row>
        <row r="343">
          <cell r="J343" t="str">
            <v>Mobilisation</v>
          </cell>
        </row>
        <row r="344">
          <cell r="J344" t="str">
            <v>Chartering &amp; Work Planning</v>
          </cell>
        </row>
        <row r="345">
          <cell r="J345" t="str">
            <v>Data Acquisition</v>
          </cell>
        </row>
        <row r="346">
          <cell r="J346" t="str">
            <v>Compilation, Application &amp; Analysis</v>
          </cell>
        </row>
        <row r="347">
          <cell r="J347" t="str">
            <v>Develop, Screen &amp; Select Alternatives</v>
          </cell>
        </row>
        <row r="348">
          <cell r="J348" t="str">
            <v>Conceptual Design (10%)</v>
          </cell>
        </row>
        <row r="349">
          <cell r="J349" t="str">
            <v>Preliminary Design (30%)</v>
          </cell>
        </row>
        <row r="350">
          <cell r="C350" t="str">
            <v>Task Order Description</v>
          </cell>
          <cell r="J350" t="str">
            <v>Calling &amp; Evaluation of Tenders</v>
          </cell>
        </row>
        <row r="351">
          <cell r="B351" t="str">
            <v>Low</v>
          </cell>
          <cell r="C351" t="str">
            <v>Low Cost Option - High Risk</v>
          </cell>
          <cell r="J351" t="str">
            <v>Project Implementation</v>
          </cell>
        </row>
        <row r="352">
          <cell r="B352" t="str">
            <v>Mid</v>
          </cell>
          <cell r="C352" t="str">
            <v>Mid Cost Option - Mid Risk</v>
          </cell>
          <cell r="J352" t="str">
            <v>Conceptual Design (10%) Pumping Sations</v>
          </cell>
        </row>
        <row r="353">
          <cell r="B353" t="str">
            <v>High</v>
          </cell>
          <cell r="C353" t="str">
            <v>High Cost Option - Low Risk</v>
          </cell>
          <cell r="J353" t="str">
            <v>Conceptual Design (10%) Sewers</v>
          </cell>
        </row>
        <row r="354">
          <cell r="J354" t="str">
            <v>Conceptual Design (10%) Treatment Projects</v>
          </cell>
        </row>
        <row r="355">
          <cell r="J355" t="str">
            <v>Conceptual Design (10%) Deep Gravity Sewer Tunnel</v>
          </cell>
        </row>
        <row r="356">
          <cell r="J356" t="str">
            <v>Preliminary Design (30%) Pumping Stations</v>
          </cell>
        </row>
        <row r="357">
          <cell r="J357" t="str">
            <v>Preliminary Design (30%) Sewers</v>
          </cell>
        </row>
        <row r="358">
          <cell r="J358" t="str">
            <v>Preliminary Design (30%) Treatment</v>
          </cell>
        </row>
        <row r="359">
          <cell r="J359" t="str">
            <v>Preliminary Design (30%) Deep Gravity Sewer Tunnel</v>
          </cell>
        </row>
        <row r="360">
          <cell r="J360" t="str">
            <v>Preliminary Design, Central Monitoring &amp; Control</v>
          </cell>
        </row>
        <row r="361">
          <cell r="J361" t="str">
            <v>Preliminary Cost Estimate &amp; Economic Analysis</v>
          </cell>
        </row>
      </sheetData>
      <sheetData sheetId="1" refreshError="1"/>
      <sheetData sheetId="2" refreshError="1"/>
      <sheetData sheetId="3" refreshError="1"/>
      <sheetData sheetId="4" refreshError="1"/>
      <sheetData sheetId="5" refreshError="1">
        <row r="3">
          <cell r="B3" t="str">
            <v>"Reach-Back" Staff - Cost EngineerF</v>
          </cell>
        </row>
        <row r="4">
          <cell r="B4" t="str">
            <v>"Reach-Back" Staff - Cost EngineerL</v>
          </cell>
        </row>
        <row r="5">
          <cell r="B5" t="str">
            <v>"Reach-Back" Staff - Project/Contract MgersF</v>
          </cell>
        </row>
        <row r="6">
          <cell r="B6" t="str">
            <v>"Reach-Back" Staff - Project/Contract MgersL</v>
          </cell>
        </row>
        <row r="7">
          <cell r="B7" t="str">
            <v>"Reach-Back" Staff - Project/Contract MgersF</v>
          </cell>
        </row>
        <row r="8">
          <cell r="B8" t="str">
            <v>"Reach-Back" Staff - Project/Contract MgersL</v>
          </cell>
        </row>
        <row r="9">
          <cell r="B9" t="str">
            <v>"Reach-Back" Staff - Other Mgers/Team LeadersF</v>
          </cell>
        </row>
        <row r="10">
          <cell r="B10" t="str">
            <v>"Reach-Back" Staff - Other Mgers/Team LeadersL</v>
          </cell>
        </row>
        <row r="11">
          <cell r="B11" t="str">
            <v>"Reach-Back" Staff - Other Mgers/Team LeadersF</v>
          </cell>
        </row>
        <row r="12">
          <cell r="B12" t="str">
            <v>"Reach-Back" Staff - Other Mgers/Team LeadersL</v>
          </cell>
        </row>
        <row r="13">
          <cell r="B13" t="str">
            <v>"Reach-Back" Staff - Contract StaffF</v>
          </cell>
        </row>
        <row r="14">
          <cell r="B14" t="str">
            <v>"Reach-Back" Staff - Contract StaffL</v>
          </cell>
        </row>
        <row r="15">
          <cell r="B15" t="str">
            <v>"Reach-Back" Staff - CE, ME, EEF</v>
          </cell>
        </row>
        <row r="16">
          <cell r="B16" t="str">
            <v>"Reach-Back" Staff - CE, ME, EEL</v>
          </cell>
        </row>
        <row r="17">
          <cell r="B17" t="str">
            <v>"Reach-Back" Staff - I&amp;C/SCADA EngineerF</v>
          </cell>
        </row>
        <row r="18">
          <cell r="B18" t="str">
            <v>"Reach-Back" Staff - I&amp;C/SCADA EngineerL</v>
          </cell>
        </row>
        <row r="19">
          <cell r="B19" t="str">
            <v>"Reach-Back" Staff - I&amp;C/SCADA EngineerF</v>
          </cell>
        </row>
        <row r="20">
          <cell r="B20" t="str">
            <v>"Reach-Back" Staff - I&amp;C/SCADA EngineerL</v>
          </cell>
        </row>
        <row r="21">
          <cell r="B21" t="str">
            <v>"Reach-Back" Staff - Other SpecialistsF</v>
          </cell>
        </row>
        <row r="22">
          <cell r="B22" t="str">
            <v>"Reach-Back" Staff - Other SpecialistsL</v>
          </cell>
        </row>
        <row r="23">
          <cell r="B23" t="str">
            <v>"Reach-Back" Staff - Other SpecialistsF</v>
          </cell>
        </row>
        <row r="24">
          <cell r="B24" t="str">
            <v>"Reach-Back" Staff - Other SpecialistsL</v>
          </cell>
        </row>
        <row r="25">
          <cell r="B25" t="str">
            <v>"Reach-Back" Staff - Quantity EstimatorsF</v>
          </cell>
        </row>
        <row r="26">
          <cell r="B26" t="str">
            <v>"Reach-Back" Staff - Quantity SurveyorsL</v>
          </cell>
        </row>
        <row r="27">
          <cell r="B27" t="str">
            <v>"Reach-Back" Staff - Quantity EstimatorsF</v>
          </cell>
        </row>
        <row r="28">
          <cell r="B28" t="str">
            <v>"Reach-Back" Staff - Quantity EstimatorsL</v>
          </cell>
        </row>
        <row r="29">
          <cell r="B29" t="str">
            <v>"Reach-Back" Staff - Purchasing SpecialistF</v>
          </cell>
        </row>
        <row r="30">
          <cell r="B30" t="str">
            <v>"Reach-Back" Staff - Purchasing SpecialistL</v>
          </cell>
        </row>
        <row r="31">
          <cell r="B31" t="str">
            <v>"Reach-Back" Staff - Purchasing SpecialistF</v>
          </cell>
        </row>
        <row r="32">
          <cell r="B32" t="str">
            <v>"Reach-Back" Staff - Purchasing SpecialistL</v>
          </cell>
        </row>
        <row r="33">
          <cell r="B33" t="str">
            <v>"Reach-Back" Staff - HSE/QA/QC SpecialistF</v>
          </cell>
        </row>
        <row r="34">
          <cell r="B34" t="str">
            <v>"Reach-Back" Staff - HSE/QA/QC SpecialistL</v>
          </cell>
        </row>
        <row r="35">
          <cell r="B35" t="str">
            <v>"Reach-Back" Staff - HSE/QA/QC SpecialistF</v>
          </cell>
        </row>
        <row r="36">
          <cell r="B36" t="str">
            <v>"Reach-Back" Staff - HSE/QA/QC SpecialistL</v>
          </cell>
        </row>
        <row r="37">
          <cell r="B37" t="str">
            <v>"Reach-Back" Staff - CE, ME, EEF</v>
          </cell>
        </row>
        <row r="38">
          <cell r="B38" t="str">
            <v>"Reach-Back" Staff - CE, ME, EEL</v>
          </cell>
        </row>
        <row r="39">
          <cell r="B39" t="str">
            <v>"Reach-Back" Staff - CAD/DraftsmanF</v>
          </cell>
        </row>
        <row r="40">
          <cell r="B40" t="str">
            <v>"Reach-Back" Staff - CAD/DraftsmanL</v>
          </cell>
        </row>
        <row r="41">
          <cell r="B41" t="str">
            <v>"Reach-Back" Staff - CAD/DraftsmanF</v>
          </cell>
        </row>
        <row r="42">
          <cell r="B42" t="str">
            <v>"Reach-Back" Staff - CAD/DraftsmanL</v>
          </cell>
        </row>
        <row r="43">
          <cell r="B43" t="str">
            <v>"Reach-Back" Staff - Hydraulic ModelersF</v>
          </cell>
        </row>
        <row r="44">
          <cell r="B44" t="str">
            <v>"Reach-Back" Staff - Hydraulic ModelersL</v>
          </cell>
        </row>
        <row r="45">
          <cell r="B45" t="str">
            <v>"Reach-Back" Staff - Stakeholder MgtF</v>
          </cell>
        </row>
        <row r="46">
          <cell r="B46" t="str">
            <v>"Reach-Back" Staff - Stakeholder MgtL</v>
          </cell>
        </row>
        <row r="47">
          <cell r="B47" t="str">
            <v>"Reach-Back" Staff - Other EngineerF</v>
          </cell>
        </row>
        <row r="48">
          <cell r="B48" t="str">
            <v>"Reach-Back" Staff - Other EngineerL</v>
          </cell>
        </row>
        <row r="49">
          <cell r="B49" t="str">
            <v>"Reach-Back" Staff - Geotechnical SpecialistF</v>
          </cell>
        </row>
        <row r="50">
          <cell r="B50" t="str">
            <v>"Reach-Back" Staff - Geotechnical SpecialistL</v>
          </cell>
        </row>
        <row r="51">
          <cell r="B51" t="str">
            <v>"Reach-Back" Staff - Geotechnical SpecialistF</v>
          </cell>
        </row>
        <row r="52">
          <cell r="B52" t="str">
            <v>"Reach-Back" Staff - Geotechnical SpecialistL</v>
          </cell>
        </row>
        <row r="53">
          <cell r="B53" t="str">
            <v>"Reach-Back" Staff - Geotechnical SpecialistF</v>
          </cell>
        </row>
        <row r="54">
          <cell r="B54" t="str">
            <v>"Reach-Back" Staff - Geotechnical SpecialistL</v>
          </cell>
        </row>
        <row r="55">
          <cell r="B55" t="str">
            <v>"Reach-Back" Staff - Risk MgerF</v>
          </cell>
        </row>
        <row r="56">
          <cell r="B56" t="str">
            <v>"Reach-Back" Staff - Risk MgerL</v>
          </cell>
        </row>
        <row r="57">
          <cell r="B57" t="str">
            <v>"Reach-Back" Staff - Risk MgerF</v>
          </cell>
        </row>
        <row r="58">
          <cell r="B58" t="str">
            <v>"Reach-Back" Staff - Risk MgerL</v>
          </cell>
        </row>
        <row r="59">
          <cell r="B59" t="str">
            <v>Core Team - Principal-in-ChargeL</v>
          </cell>
        </row>
        <row r="60">
          <cell r="B60" t="str">
            <v>Core Team - Programme ManagerF</v>
          </cell>
        </row>
        <row r="61">
          <cell r="B61" t="str">
            <v>Technical Expert - Blue Ribbon Panel (Treatment)F</v>
          </cell>
        </row>
        <row r="62">
          <cell r="B62" t="str">
            <v>Technical Expert - Blue Ribbon Panel (Treatment)L</v>
          </cell>
        </row>
        <row r="63">
          <cell r="B63" t="str">
            <v>Technical Expert - Blue Ribbon Panel (Programme)F</v>
          </cell>
        </row>
        <row r="64">
          <cell r="B64" t="str">
            <v>Technical Expert - Blue Ribbon Panel (Programme)L</v>
          </cell>
        </row>
        <row r="65">
          <cell r="B65" t="str">
            <v>Core Team - Health, Safety &amp; Environment MgrL</v>
          </cell>
        </row>
        <row r="66">
          <cell r="B66" t="str">
            <v>Core Team - Business Process &amp; Controls MgrF</v>
          </cell>
        </row>
        <row r="67">
          <cell r="B67" t="str">
            <v>Core Team - Business Process &amp; Controls MgrL</v>
          </cell>
        </row>
        <row r="68">
          <cell r="B68" t="str">
            <v>Core Team - Planning &amp; Integration MgrF</v>
          </cell>
        </row>
        <row r="69">
          <cell r="B69" t="str">
            <v>Core Team - Planning &amp; Integration MgrL</v>
          </cell>
        </row>
        <row r="70">
          <cell r="B70" t="str">
            <v>Core Team - Engineering &amp; Design MgrF</v>
          </cell>
        </row>
        <row r="71">
          <cell r="B71" t="str">
            <v>Core Team - Engineering &amp; Design MgrL</v>
          </cell>
        </row>
        <row r="72">
          <cell r="B72" t="str">
            <v>Core Team - Construction Mgt &amp; Commissioning MgrF</v>
          </cell>
        </row>
        <row r="73">
          <cell r="B73" t="str">
            <v>Core Team - Construction Mgt &amp; Commissioning MgrL</v>
          </cell>
        </row>
        <row r="74">
          <cell r="B74" t="str">
            <v>Transition Team Member 1F</v>
          </cell>
        </row>
        <row r="75">
          <cell r="B75" t="str">
            <v>Transition Team Member 1L</v>
          </cell>
        </row>
        <row r="76">
          <cell r="B76" t="str">
            <v>Transition Team Member 2F</v>
          </cell>
        </row>
        <row r="77">
          <cell r="B77" t="str">
            <v>Transition Team Member 2L</v>
          </cell>
        </row>
        <row r="78">
          <cell r="B78" t="str">
            <v>Transition Team Member 3L</v>
          </cell>
        </row>
        <row r="79">
          <cell r="B79" t="str">
            <v>Transition Team Member 4F</v>
          </cell>
        </row>
        <row r="80">
          <cell r="B80" t="str">
            <v>Transition Team Member 4L</v>
          </cell>
        </row>
        <row r="81">
          <cell r="B81" t="str">
            <v>Transition Team Member 5L</v>
          </cell>
        </row>
        <row r="82">
          <cell r="B82" t="str">
            <v>Technical Expert - Total Water MgtF</v>
          </cell>
        </row>
        <row r="83">
          <cell r="B83" t="str">
            <v>Technical Expert - Total Water MgtL</v>
          </cell>
        </row>
        <row r="84">
          <cell r="B84" t="str">
            <v>Technical Expert - Institutional StrengtheningL</v>
          </cell>
        </row>
        <row r="85">
          <cell r="B85" t="str">
            <v>Technical Expert - Odor ControlF</v>
          </cell>
        </row>
        <row r="86">
          <cell r="B86" t="str">
            <v>Technical Expert - Odor ControlL</v>
          </cell>
        </row>
        <row r="87">
          <cell r="B87" t="str">
            <v>Technical Expert - GIS/Data ManagementF</v>
          </cell>
        </row>
        <row r="88">
          <cell r="B88" t="str">
            <v>Technical Expert - GIS/Data ManagementL</v>
          </cell>
        </row>
        <row r="89">
          <cell r="B89" t="str">
            <v>Other Named Staff - Local Office SupportL</v>
          </cell>
        </row>
        <row r="90">
          <cell r="B90" t="str">
            <v>Other Named Staff - Home Office SupportF</v>
          </cell>
        </row>
        <row r="91">
          <cell r="B91" t="str">
            <v>Other Named Staff - Asset OptimisationF</v>
          </cell>
        </row>
        <row r="92">
          <cell r="B92" t="str">
            <v>Other Named Staff - Structural EngineeringF</v>
          </cell>
        </row>
        <row r="93">
          <cell r="B93" t="str">
            <v>Other Named Staff - Civil EngineerL</v>
          </cell>
        </row>
        <row r="94">
          <cell r="B94" t="str">
            <v>Other Named Staff - Asset OptimisationL</v>
          </cell>
        </row>
        <row r="95">
          <cell r="B95" t="str">
            <v>Other Named Staff - Structural EngineeringL</v>
          </cell>
        </row>
        <row r="96">
          <cell r="B96" t="str">
            <v>Other Named Staff - Corrosion ControlF</v>
          </cell>
        </row>
        <row r="97">
          <cell r="B97" t="str">
            <v>Other Named Staff - Cost EstimatingF</v>
          </cell>
        </row>
        <row r="98">
          <cell r="B98" t="str">
            <v>Other Named Staff - Water/Wastewater Treatment 1F</v>
          </cell>
        </row>
        <row r="99">
          <cell r="B99" t="str">
            <v>Other Named Staff - Water/Wastewater Treatment 2F</v>
          </cell>
        </row>
        <row r="100">
          <cell r="B100" t="str">
            <v>Other Named Staff - Corrosion ControlL</v>
          </cell>
        </row>
        <row r="101">
          <cell r="B101" t="str">
            <v>Other Named Staff - Cost EstimatingL</v>
          </cell>
        </row>
        <row r="102">
          <cell r="B102" t="str">
            <v>Other Named Staff - Water/Wastewater Treatment 1L</v>
          </cell>
        </row>
        <row r="103">
          <cell r="B103" t="str">
            <v>Other Named Staff - Water/Wastewater Treatment 2L</v>
          </cell>
        </row>
        <row r="104">
          <cell r="B104" t="str">
            <v>Other Named Staff - Electrical EngineerL</v>
          </cell>
        </row>
        <row r="105">
          <cell r="B105" t="str">
            <v>Other Named Staff - SchedulingL</v>
          </cell>
        </row>
        <row r="106">
          <cell r="B106" t="str">
            <v>Other Named Staff - Soils/Geotechnical Engineer 1F</v>
          </cell>
        </row>
        <row r="107">
          <cell r="B107" t="str">
            <v>Other Named Staff - Tunnelling 1F</v>
          </cell>
        </row>
        <row r="108">
          <cell r="B108" t="str">
            <v>Other Named Staff - Soils/Geotechnical Engineer 1L</v>
          </cell>
        </row>
        <row r="109">
          <cell r="B109" t="str">
            <v>Other Named Staff - Tunnelling 1L</v>
          </cell>
        </row>
        <row r="110">
          <cell r="B110" t="str">
            <v>Other Named Staff - Soils/Geotechnical Engineer 2F</v>
          </cell>
        </row>
        <row r="111">
          <cell r="B111" t="str">
            <v>Other Named Staff - Tunnelling/GeologyF</v>
          </cell>
        </row>
        <row r="112">
          <cell r="B112" t="str">
            <v>Other Named Staff - Soils/Geotechnical Engineer 2L</v>
          </cell>
        </row>
        <row r="113">
          <cell r="B113" t="str">
            <v>Other Named Staff - Tunnelling/GeologyL</v>
          </cell>
        </row>
        <row r="114">
          <cell r="B114" t="str">
            <v>Other Named Staff - HydraulicsF</v>
          </cell>
        </row>
        <row r="115">
          <cell r="B115" t="str">
            <v>Other Named Staff - Tunnelling 2F</v>
          </cell>
        </row>
        <row r="116">
          <cell r="B116" t="str">
            <v>Other Named Staff - HydraulicsL</v>
          </cell>
        </row>
        <row r="117">
          <cell r="B117" t="str">
            <v>Other Named Staff - Tunnelling 2L</v>
          </cell>
        </row>
        <row r="118">
          <cell r="B118" t="str">
            <v>Other Named Staff - Instrumentation &amp; ControlF</v>
          </cell>
        </row>
        <row r="119">
          <cell r="B119" t="str">
            <v>Other Named Staff - Water ConsultingF</v>
          </cell>
        </row>
        <row r="120">
          <cell r="B120" t="str">
            <v>Other Named Staff - Instrumentation &amp; ControlL</v>
          </cell>
        </row>
        <row r="121">
          <cell r="B121" t="str">
            <v>Other Named Staff - Water ConsultingL</v>
          </cell>
        </row>
        <row r="122">
          <cell r="B122" t="str">
            <v>Other Named Staff - Environmental Consulting/SustainabilityL</v>
          </cell>
        </row>
        <row r="123">
          <cell r="B123" t="str">
            <v>Other Named Staff - Mechanical EngineeringL</v>
          </cell>
        </row>
        <row r="124">
          <cell r="B124" t="str">
            <v>Other Named Staff - EconomicsF</v>
          </cell>
        </row>
        <row r="125">
          <cell r="B125" t="str">
            <v>Other Named Staff - Operations OptimisationL</v>
          </cell>
        </row>
        <row r="126">
          <cell r="B126" t="str">
            <v>Other Named Staff - EconomicsL</v>
          </cell>
        </row>
        <row r="127">
          <cell r="B127" t="str">
            <v>Other Named Staff - GIS/Remote Sensing/CADF</v>
          </cell>
        </row>
        <row r="128">
          <cell r="B128" t="str">
            <v>Other Named Staff - PipelineF</v>
          </cell>
        </row>
        <row r="129">
          <cell r="B129" t="str">
            <v>Other Named Staff - GIS/Remote Sensing/CADL</v>
          </cell>
        </row>
        <row r="130">
          <cell r="B130" t="str">
            <v>Other Named Staff - PipelineL</v>
          </cell>
        </row>
        <row r="131">
          <cell r="B131" t="str">
            <v>Other Named Staff - Urgent Works Team LeaderL</v>
          </cell>
        </row>
        <row r="132">
          <cell r="B132" t="str">
            <v>Other Named Staff - WW EngineerL</v>
          </cell>
        </row>
        <row r="133">
          <cell r="B133" t="str">
            <v>Other Named Staff - Local Civil EngineerL</v>
          </cell>
        </row>
        <row r="134">
          <cell r="B134" t="str">
            <v>Other Named Staff - Hydraulic ModelersL</v>
          </cell>
        </row>
        <row r="135">
          <cell r="B135" t="str">
            <v>Other Named Staff - CAD 1L</v>
          </cell>
        </row>
        <row r="136">
          <cell r="B136" t="str">
            <v>Other Named Staff - CAD 2L</v>
          </cell>
        </row>
        <row r="137">
          <cell r="B137" t="str">
            <v>Other Named Staff - Local Program Staff 1L</v>
          </cell>
        </row>
        <row r="138">
          <cell r="B138" t="str">
            <v>Other Named Staff - Local Program Staff 2L</v>
          </cell>
        </row>
        <row r="139">
          <cell r="B139" t="str">
            <v>Other Named Staff - Local Program Staff 3L</v>
          </cell>
        </row>
        <row r="140">
          <cell r="B140" t="str">
            <v>Other Named Staff - Operations Contract Oversight &amp; AssistanceL</v>
          </cell>
        </row>
        <row r="141">
          <cell r="B141">
            <v>0</v>
          </cell>
        </row>
        <row r="142">
          <cell r="B142">
            <v>0</v>
          </cell>
        </row>
        <row r="143">
          <cell r="B143">
            <v>0</v>
          </cell>
        </row>
        <row r="144">
          <cell r="B144">
            <v>0</v>
          </cell>
        </row>
        <row r="145">
          <cell r="B145">
            <v>0</v>
          </cell>
        </row>
        <row r="146">
          <cell r="B146">
            <v>0</v>
          </cell>
        </row>
        <row r="147">
          <cell r="B147">
            <v>0</v>
          </cell>
        </row>
        <row r="148">
          <cell r="B148">
            <v>0</v>
          </cell>
        </row>
        <row r="149">
          <cell r="B149">
            <v>0</v>
          </cell>
        </row>
        <row r="150">
          <cell r="B150">
            <v>0</v>
          </cell>
        </row>
        <row r="151">
          <cell r="B151">
            <v>0</v>
          </cell>
        </row>
        <row r="152">
          <cell r="B152">
            <v>0</v>
          </cell>
        </row>
        <row r="153">
          <cell r="B153">
            <v>0</v>
          </cell>
        </row>
        <row r="154">
          <cell r="B154">
            <v>0</v>
          </cell>
        </row>
        <row r="155">
          <cell r="B155">
            <v>0</v>
          </cell>
        </row>
        <row r="156">
          <cell r="B156">
            <v>0</v>
          </cell>
        </row>
        <row r="157">
          <cell r="B157">
            <v>0</v>
          </cell>
        </row>
        <row r="158">
          <cell r="B158">
            <v>0</v>
          </cell>
        </row>
        <row r="159">
          <cell r="B159">
            <v>0</v>
          </cell>
        </row>
        <row r="160">
          <cell r="B160">
            <v>0</v>
          </cell>
        </row>
        <row r="161">
          <cell r="B161">
            <v>0</v>
          </cell>
        </row>
        <row r="162">
          <cell r="B162">
            <v>0</v>
          </cell>
        </row>
        <row r="163">
          <cell r="B163">
            <v>0</v>
          </cell>
        </row>
        <row r="164">
          <cell r="B164">
            <v>0</v>
          </cell>
        </row>
        <row r="165">
          <cell r="B165">
            <v>0</v>
          </cell>
        </row>
        <row r="166">
          <cell r="B166">
            <v>0</v>
          </cell>
        </row>
        <row r="167">
          <cell r="B167">
            <v>0</v>
          </cell>
        </row>
        <row r="168">
          <cell r="B168">
            <v>0</v>
          </cell>
        </row>
        <row r="169">
          <cell r="B169">
            <v>0</v>
          </cell>
        </row>
        <row r="170">
          <cell r="B170">
            <v>0</v>
          </cell>
        </row>
        <row r="171">
          <cell r="B171">
            <v>0</v>
          </cell>
        </row>
        <row r="172">
          <cell r="B172">
            <v>0</v>
          </cell>
        </row>
        <row r="173">
          <cell r="B173">
            <v>0</v>
          </cell>
        </row>
        <row r="174">
          <cell r="B174">
            <v>0</v>
          </cell>
        </row>
        <row r="175">
          <cell r="B175">
            <v>0</v>
          </cell>
        </row>
        <row r="176">
          <cell r="B176">
            <v>0</v>
          </cell>
        </row>
        <row r="177">
          <cell r="B177">
            <v>0</v>
          </cell>
        </row>
        <row r="178">
          <cell r="B178">
            <v>0</v>
          </cell>
        </row>
        <row r="179">
          <cell r="B179">
            <v>0</v>
          </cell>
        </row>
        <row r="180">
          <cell r="B180">
            <v>0</v>
          </cell>
        </row>
        <row r="181">
          <cell r="B181">
            <v>0</v>
          </cell>
        </row>
        <row r="182">
          <cell r="B182">
            <v>0</v>
          </cell>
        </row>
        <row r="183">
          <cell r="B183">
            <v>0</v>
          </cell>
        </row>
        <row r="184">
          <cell r="B184">
            <v>0</v>
          </cell>
        </row>
        <row r="185">
          <cell r="B185">
            <v>0</v>
          </cell>
        </row>
        <row r="186">
          <cell r="B186">
            <v>0</v>
          </cell>
        </row>
        <row r="187">
          <cell r="B187">
            <v>0</v>
          </cell>
        </row>
        <row r="188">
          <cell r="B188">
            <v>0</v>
          </cell>
        </row>
        <row r="189">
          <cell r="B189">
            <v>0</v>
          </cell>
        </row>
        <row r="190">
          <cell r="B190">
            <v>0</v>
          </cell>
        </row>
        <row r="191">
          <cell r="B191">
            <v>0</v>
          </cell>
        </row>
        <row r="192">
          <cell r="B192">
            <v>0</v>
          </cell>
        </row>
        <row r="193">
          <cell r="B193">
            <v>0</v>
          </cell>
        </row>
        <row r="194">
          <cell r="B194">
            <v>0</v>
          </cell>
        </row>
        <row r="195">
          <cell r="B195">
            <v>0</v>
          </cell>
        </row>
        <row r="196">
          <cell r="B196">
            <v>0</v>
          </cell>
        </row>
        <row r="197">
          <cell r="B197">
            <v>0</v>
          </cell>
        </row>
        <row r="198">
          <cell r="B198">
            <v>0</v>
          </cell>
        </row>
        <row r="199">
          <cell r="B199">
            <v>0</v>
          </cell>
        </row>
        <row r="200">
          <cell r="B200">
            <v>0</v>
          </cell>
        </row>
        <row r="201">
          <cell r="B201">
            <v>0</v>
          </cell>
        </row>
        <row r="202">
          <cell r="B202">
            <v>0</v>
          </cell>
        </row>
        <row r="203">
          <cell r="B203">
            <v>0</v>
          </cell>
        </row>
        <row r="204">
          <cell r="B204">
            <v>0</v>
          </cell>
        </row>
        <row r="205">
          <cell r="B205">
            <v>0</v>
          </cell>
        </row>
        <row r="206">
          <cell r="B206">
            <v>0</v>
          </cell>
        </row>
        <row r="207">
          <cell r="B207">
            <v>0</v>
          </cell>
        </row>
        <row r="208">
          <cell r="B208">
            <v>0</v>
          </cell>
        </row>
        <row r="209">
          <cell r="B209">
            <v>0</v>
          </cell>
        </row>
        <row r="210">
          <cell r="B210">
            <v>0</v>
          </cell>
        </row>
        <row r="211">
          <cell r="B211">
            <v>0</v>
          </cell>
        </row>
        <row r="212">
          <cell r="B212">
            <v>0</v>
          </cell>
        </row>
        <row r="213">
          <cell r="B213">
            <v>0</v>
          </cell>
        </row>
        <row r="214">
          <cell r="B214">
            <v>0</v>
          </cell>
        </row>
        <row r="215">
          <cell r="B215">
            <v>0</v>
          </cell>
        </row>
        <row r="216">
          <cell r="B216">
            <v>0</v>
          </cell>
        </row>
        <row r="217">
          <cell r="B217">
            <v>0</v>
          </cell>
        </row>
        <row r="218">
          <cell r="B218">
            <v>0</v>
          </cell>
        </row>
        <row r="219">
          <cell r="B219">
            <v>0</v>
          </cell>
        </row>
        <row r="220">
          <cell r="B220">
            <v>0</v>
          </cell>
        </row>
        <row r="221">
          <cell r="B221">
            <v>0</v>
          </cell>
        </row>
        <row r="222">
          <cell r="B222">
            <v>0</v>
          </cell>
        </row>
        <row r="223">
          <cell r="B223">
            <v>0</v>
          </cell>
        </row>
        <row r="224">
          <cell r="B224">
            <v>0</v>
          </cell>
        </row>
        <row r="225">
          <cell r="B225">
            <v>0</v>
          </cell>
        </row>
        <row r="226">
          <cell r="B226">
            <v>0</v>
          </cell>
        </row>
        <row r="227">
          <cell r="B227">
            <v>0</v>
          </cell>
        </row>
        <row r="228">
          <cell r="B228">
            <v>0</v>
          </cell>
        </row>
        <row r="229">
          <cell r="B229">
            <v>0</v>
          </cell>
        </row>
        <row r="230">
          <cell r="B230">
            <v>0</v>
          </cell>
        </row>
        <row r="231">
          <cell r="B231">
            <v>0</v>
          </cell>
        </row>
        <row r="232">
          <cell r="B232">
            <v>0</v>
          </cell>
        </row>
        <row r="233">
          <cell r="B233">
            <v>0</v>
          </cell>
        </row>
        <row r="234">
          <cell r="B234">
            <v>0</v>
          </cell>
        </row>
        <row r="235">
          <cell r="B235">
            <v>0</v>
          </cell>
        </row>
        <row r="236">
          <cell r="B236">
            <v>0</v>
          </cell>
        </row>
        <row r="237">
          <cell r="B237">
            <v>0</v>
          </cell>
        </row>
        <row r="238">
          <cell r="B238">
            <v>0</v>
          </cell>
        </row>
        <row r="239">
          <cell r="B239">
            <v>0</v>
          </cell>
        </row>
        <row r="240">
          <cell r="B240">
            <v>0</v>
          </cell>
        </row>
        <row r="241">
          <cell r="B241">
            <v>0</v>
          </cell>
        </row>
        <row r="242">
          <cell r="B242">
            <v>0</v>
          </cell>
        </row>
        <row r="243">
          <cell r="B243">
            <v>0</v>
          </cell>
        </row>
        <row r="244">
          <cell r="B244">
            <v>0</v>
          </cell>
        </row>
        <row r="245">
          <cell r="B245">
            <v>0</v>
          </cell>
        </row>
        <row r="246">
          <cell r="B246">
            <v>0</v>
          </cell>
        </row>
        <row r="247">
          <cell r="B247">
            <v>0</v>
          </cell>
        </row>
        <row r="248">
          <cell r="B248">
            <v>0</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0</v>
          </cell>
        </row>
        <row r="260">
          <cell r="B260">
            <v>0</v>
          </cell>
        </row>
        <row r="261">
          <cell r="B261">
            <v>0</v>
          </cell>
        </row>
        <row r="262">
          <cell r="B262">
            <v>0</v>
          </cell>
        </row>
        <row r="263">
          <cell r="B263">
            <v>0</v>
          </cell>
        </row>
        <row r="264">
          <cell r="B264">
            <v>0</v>
          </cell>
        </row>
        <row r="265">
          <cell r="B265">
            <v>0</v>
          </cell>
        </row>
        <row r="266">
          <cell r="B266">
            <v>0</v>
          </cell>
        </row>
        <row r="267">
          <cell r="B267">
            <v>0</v>
          </cell>
        </row>
        <row r="268">
          <cell r="B268">
            <v>0</v>
          </cell>
        </row>
        <row r="269">
          <cell r="B269">
            <v>0</v>
          </cell>
        </row>
        <row r="270">
          <cell r="B270">
            <v>0</v>
          </cell>
        </row>
        <row r="271">
          <cell r="B271">
            <v>0</v>
          </cell>
        </row>
        <row r="272">
          <cell r="B272">
            <v>0</v>
          </cell>
        </row>
        <row r="273">
          <cell r="B273">
            <v>0</v>
          </cell>
        </row>
        <row r="274">
          <cell r="B274">
            <v>0</v>
          </cell>
        </row>
        <row r="275">
          <cell r="B275">
            <v>0</v>
          </cell>
        </row>
        <row r="276">
          <cell r="B276">
            <v>0</v>
          </cell>
        </row>
        <row r="277">
          <cell r="B277">
            <v>0</v>
          </cell>
        </row>
        <row r="278">
          <cell r="B278">
            <v>0</v>
          </cell>
        </row>
        <row r="279">
          <cell r="B279">
            <v>0</v>
          </cell>
        </row>
        <row r="280">
          <cell r="B280">
            <v>0</v>
          </cell>
        </row>
        <row r="281">
          <cell r="B281">
            <v>0</v>
          </cell>
        </row>
        <row r="282">
          <cell r="B282">
            <v>0</v>
          </cell>
        </row>
        <row r="283">
          <cell r="B283">
            <v>0</v>
          </cell>
        </row>
        <row r="284">
          <cell r="B284">
            <v>0</v>
          </cell>
        </row>
        <row r="285">
          <cell r="B285">
            <v>0</v>
          </cell>
        </row>
        <row r="286">
          <cell r="B286">
            <v>0</v>
          </cell>
        </row>
        <row r="287">
          <cell r="B287">
            <v>0</v>
          </cell>
        </row>
        <row r="288">
          <cell r="B288">
            <v>0</v>
          </cell>
        </row>
        <row r="289">
          <cell r="B289">
            <v>0</v>
          </cell>
        </row>
        <row r="290">
          <cell r="B290">
            <v>0</v>
          </cell>
        </row>
        <row r="291">
          <cell r="B291">
            <v>0</v>
          </cell>
        </row>
        <row r="292">
          <cell r="B292">
            <v>0</v>
          </cell>
        </row>
        <row r="293">
          <cell r="B293">
            <v>0</v>
          </cell>
        </row>
        <row r="294">
          <cell r="B294">
            <v>0</v>
          </cell>
        </row>
        <row r="295">
          <cell r="B295">
            <v>0</v>
          </cell>
        </row>
        <row r="296">
          <cell r="B296">
            <v>0</v>
          </cell>
        </row>
        <row r="297">
          <cell r="B297">
            <v>0</v>
          </cell>
        </row>
        <row r="298">
          <cell r="B298">
            <v>0</v>
          </cell>
        </row>
        <row r="299">
          <cell r="B299">
            <v>0</v>
          </cell>
        </row>
        <row r="300">
          <cell r="B300">
            <v>0</v>
          </cell>
        </row>
        <row r="301">
          <cell r="B301">
            <v>0</v>
          </cell>
        </row>
        <row r="302">
          <cell r="B302">
            <v>0</v>
          </cell>
        </row>
        <row r="303">
          <cell r="B303">
            <v>0</v>
          </cell>
        </row>
        <row r="304">
          <cell r="B304">
            <v>0</v>
          </cell>
        </row>
        <row r="305">
          <cell r="B305">
            <v>0</v>
          </cell>
        </row>
        <row r="306">
          <cell r="B306">
            <v>0</v>
          </cell>
        </row>
        <row r="307">
          <cell r="B307">
            <v>0</v>
          </cell>
        </row>
        <row r="308">
          <cell r="B308">
            <v>0</v>
          </cell>
        </row>
        <row r="309">
          <cell r="B309">
            <v>0</v>
          </cell>
        </row>
        <row r="310">
          <cell r="B310">
            <v>0</v>
          </cell>
        </row>
        <row r="311">
          <cell r="B311">
            <v>0</v>
          </cell>
        </row>
        <row r="312">
          <cell r="B312">
            <v>0</v>
          </cell>
        </row>
        <row r="313">
          <cell r="B313">
            <v>0</v>
          </cell>
        </row>
        <row r="314">
          <cell r="B314">
            <v>0</v>
          </cell>
        </row>
        <row r="315">
          <cell r="B315">
            <v>0</v>
          </cell>
        </row>
        <row r="316">
          <cell r="B316">
            <v>0</v>
          </cell>
        </row>
        <row r="317">
          <cell r="B317">
            <v>0</v>
          </cell>
        </row>
        <row r="318">
          <cell r="B318">
            <v>0</v>
          </cell>
        </row>
        <row r="319">
          <cell r="B319">
            <v>0</v>
          </cell>
        </row>
        <row r="320">
          <cell r="B320">
            <v>0</v>
          </cell>
        </row>
        <row r="321">
          <cell r="B321">
            <v>0</v>
          </cell>
        </row>
        <row r="322">
          <cell r="B322">
            <v>0</v>
          </cell>
        </row>
        <row r="323">
          <cell r="B323">
            <v>0</v>
          </cell>
        </row>
        <row r="324">
          <cell r="B324">
            <v>0</v>
          </cell>
        </row>
        <row r="325">
          <cell r="B325">
            <v>0</v>
          </cell>
        </row>
        <row r="326">
          <cell r="B326">
            <v>0</v>
          </cell>
        </row>
        <row r="327">
          <cell r="B327">
            <v>0</v>
          </cell>
        </row>
        <row r="328">
          <cell r="B328">
            <v>0</v>
          </cell>
        </row>
        <row r="329">
          <cell r="B329">
            <v>0</v>
          </cell>
        </row>
        <row r="330">
          <cell r="B330">
            <v>0</v>
          </cell>
        </row>
        <row r="331">
          <cell r="B331">
            <v>0</v>
          </cell>
        </row>
        <row r="332">
          <cell r="B332">
            <v>0</v>
          </cell>
        </row>
        <row r="333">
          <cell r="B333">
            <v>0</v>
          </cell>
        </row>
        <row r="334">
          <cell r="B334">
            <v>0</v>
          </cell>
        </row>
        <row r="335">
          <cell r="B335">
            <v>0</v>
          </cell>
        </row>
        <row r="336">
          <cell r="B336">
            <v>0</v>
          </cell>
        </row>
        <row r="337">
          <cell r="B337">
            <v>0</v>
          </cell>
        </row>
        <row r="338">
          <cell r="B338">
            <v>0</v>
          </cell>
        </row>
        <row r="339">
          <cell r="B339">
            <v>0</v>
          </cell>
        </row>
        <row r="340">
          <cell r="B340">
            <v>0</v>
          </cell>
        </row>
        <row r="341">
          <cell r="B341">
            <v>0</v>
          </cell>
        </row>
        <row r="342">
          <cell r="B342">
            <v>0</v>
          </cell>
        </row>
        <row r="343">
          <cell r="B343">
            <v>0</v>
          </cell>
        </row>
        <row r="344">
          <cell r="B344">
            <v>0</v>
          </cell>
        </row>
        <row r="345">
          <cell r="B345">
            <v>0</v>
          </cell>
        </row>
        <row r="346">
          <cell r="B346">
            <v>0</v>
          </cell>
        </row>
        <row r="347">
          <cell r="B347">
            <v>0</v>
          </cell>
        </row>
        <row r="348">
          <cell r="B348">
            <v>0</v>
          </cell>
        </row>
        <row r="349">
          <cell r="B349">
            <v>0</v>
          </cell>
        </row>
        <row r="350">
          <cell r="B350">
            <v>0</v>
          </cell>
        </row>
        <row r="351">
          <cell r="B351">
            <v>0</v>
          </cell>
        </row>
        <row r="352">
          <cell r="B352">
            <v>0</v>
          </cell>
        </row>
        <row r="353">
          <cell r="B353">
            <v>0</v>
          </cell>
        </row>
        <row r="354">
          <cell r="B354">
            <v>0</v>
          </cell>
        </row>
        <row r="355">
          <cell r="B355">
            <v>0</v>
          </cell>
        </row>
        <row r="356">
          <cell r="B356">
            <v>0</v>
          </cell>
        </row>
        <row r="357">
          <cell r="B357">
            <v>0</v>
          </cell>
        </row>
        <row r="358">
          <cell r="B358">
            <v>0</v>
          </cell>
        </row>
        <row r="359">
          <cell r="B359">
            <v>0</v>
          </cell>
        </row>
        <row r="360">
          <cell r="B360">
            <v>0</v>
          </cell>
        </row>
        <row r="361">
          <cell r="B361">
            <v>0</v>
          </cell>
        </row>
        <row r="362">
          <cell r="B362">
            <v>0</v>
          </cell>
        </row>
        <row r="363">
          <cell r="B363">
            <v>0</v>
          </cell>
        </row>
        <row r="364">
          <cell r="B364">
            <v>0</v>
          </cell>
        </row>
        <row r="365">
          <cell r="B365">
            <v>0</v>
          </cell>
        </row>
        <row r="366">
          <cell r="B366">
            <v>0</v>
          </cell>
        </row>
        <row r="367">
          <cell r="B367">
            <v>0</v>
          </cell>
        </row>
        <row r="368">
          <cell r="B368">
            <v>0</v>
          </cell>
        </row>
        <row r="369">
          <cell r="B369">
            <v>0</v>
          </cell>
        </row>
        <row r="370">
          <cell r="B370">
            <v>0</v>
          </cell>
        </row>
        <row r="371">
          <cell r="B371">
            <v>0</v>
          </cell>
        </row>
        <row r="372">
          <cell r="B372">
            <v>0</v>
          </cell>
        </row>
        <row r="373">
          <cell r="B373">
            <v>0</v>
          </cell>
        </row>
        <row r="374">
          <cell r="B374">
            <v>0</v>
          </cell>
        </row>
        <row r="375">
          <cell r="B375">
            <v>0</v>
          </cell>
        </row>
        <row r="376">
          <cell r="B376">
            <v>0</v>
          </cell>
        </row>
        <row r="377">
          <cell r="B377">
            <v>0</v>
          </cell>
        </row>
        <row r="378">
          <cell r="B378">
            <v>0</v>
          </cell>
        </row>
        <row r="379">
          <cell r="B379">
            <v>0</v>
          </cell>
        </row>
        <row r="380">
          <cell r="B380">
            <v>0</v>
          </cell>
        </row>
        <row r="381">
          <cell r="B381">
            <v>0</v>
          </cell>
        </row>
        <row r="382">
          <cell r="B382">
            <v>0</v>
          </cell>
        </row>
        <row r="383">
          <cell r="B383">
            <v>0</v>
          </cell>
        </row>
        <row r="384">
          <cell r="B384">
            <v>0</v>
          </cell>
        </row>
        <row r="385">
          <cell r="B385">
            <v>0</v>
          </cell>
        </row>
        <row r="386">
          <cell r="B386">
            <v>0</v>
          </cell>
        </row>
        <row r="387">
          <cell r="B387">
            <v>0</v>
          </cell>
        </row>
        <row r="388">
          <cell r="B388">
            <v>0</v>
          </cell>
        </row>
        <row r="389">
          <cell r="B389">
            <v>0</v>
          </cell>
        </row>
        <row r="390">
          <cell r="B390">
            <v>0</v>
          </cell>
        </row>
        <row r="391">
          <cell r="B391">
            <v>0</v>
          </cell>
        </row>
        <row r="392">
          <cell r="B392">
            <v>0</v>
          </cell>
        </row>
        <row r="393">
          <cell r="B393">
            <v>0</v>
          </cell>
        </row>
        <row r="394">
          <cell r="B394">
            <v>0</v>
          </cell>
        </row>
        <row r="395">
          <cell r="B395">
            <v>0</v>
          </cell>
        </row>
        <row r="396">
          <cell r="B396">
            <v>0</v>
          </cell>
        </row>
        <row r="397">
          <cell r="B397">
            <v>0</v>
          </cell>
        </row>
        <row r="398">
          <cell r="B398">
            <v>0</v>
          </cell>
        </row>
        <row r="399">
          <cell r="B399">
            <v>0</v>
          </cell>
        </row>
        <row r="400">
          <cell r="B400">
            <v>0</v>
          </cell>
        </row>
        <row r="401">
          <cell r="B401">
            <v>0</v>
          </cell>
        </row>
        <row r="402">
          <cell r="B402">
            <v>0</v>
          </cell>
        </row>
        <row r="403">
          <cell r="B403">
            <v>0</v>
          </cell>
        </row>
        <row r="404">
          <cell r="B404">
            <v>0</v>
          </cell>
        </row>
        <row r="405">
          <cell r="B405">
            <v>0</v>
          </cell>
        </row>
        <row r="406">
          <cell r="B406">
            <v>0</v>
          </cell>
        </row>
        <row r="407">
          <cell r="B407">
            <v>0</v>
          </cell>
        </row>
        <row r="408">
          <cell r="B408">
            <v>0</v>
          </cell>
        </row>
        <row r="409">
          <cell r="B409">
            <v>0</v>
          </cell>
        </row>
        <row r="410">
          <cell r="B410">
            <v>0</v>
          </cell>
        </row>
        <row r="411">
          <cell r="B411">
            <v>0</v>
          </cell>
        </row>
        <row r="412">
          <cell r="B412">
            <v>0</v>
          </cell>
        </row>
        <row r="413">
          <cell r="B413">
            <v>0</v>
          </cell>
        </row>
        <row r="414">
          <cell r="B414">
            <v>0</v>
          </cell>
        </row>
        <row r="415">
          <cell r="B415">
            <v>0</v>
          </cell>
        </row>
        <row r="416">
          <cell r="B416">
            <v>0</v>
          </cell>
        </row>
        <row r="417">
          <cell r="B417">
            <v>0</v>
          </cell>
        </row>
        <row r="418">
          <cell r="B418">
            <v>0</v>
          </cell>
        </row>
        <row r="419">
          <cell r="B419">
            <v>0</v>
          </cell>
        </row>
        <row r="420">
          <cell r="B420">
            <v>0</v>
          </cell>
        </row>
        <row r="421">
          <cell r="B421">
            <v>0</v>
          </cell>
        </row>
        <row r="422">
          <cell r="B422">
            <v>0</v>
          </cell>
        </row>
        <row r="423">
          <cell r="B423">
            <v>0</v>
          </cell>
        </row>
        <row r="424">
          <cell r="B424">
            <v>0</v>
          </cell>
        </row>
        <row r="425">
          <cell r="B425">
            <v>0</v>
          </cell>
        </row>
        <row r="426">
          <cell r="B426">
            <v>0</v>
          </cell>
        </row>
        <row r="427">
          <cell r="B427">
            <v>0</v>
          </cell>
        </row>
        <row r="428">
          <cell r="B428">
            <v>0</v>
          </cell>
        </row>
        <row r="429">
          <cell r="B429">
            <v>0</v>
          </cell>
        </row>
        <row r="430">
          <cell r="B430">
            <v>0</v>
          </cell>
        </row>
        <row r="431">
          <cell r="B431">
            <v>0</v>
          </cell>
        </row>
        <row r="432">
          <cell r="B432">
            <v>0</v>
          </cell>
        </row>
        <row r="433">
          <cell r="B433">
            <v>0</v>
          </cell>
        </row>
        <row r="434">
          <cell r="B434">
            <v>0</v>
          </cell>
        </row>
        <row r="435">
          <cell r="B435">
            <v>0</v>
          </cell>
        </row>
        <row r="436">
          <cell r="B436">
            <v>0</v>
          </cell>
        </row>
        <row r="437">
          <cell r="B437">
            <v>0</v>
          </cell>
        </row>
        <row r="438">
          <cell r="B438">
            <v>0</v>
          </cell>
        </row>
        <row r="439">
          <cell r="B439">
            <v>0</v>
          </cell>
        </row>
        <row r="440">
          <cell r="B440">
            <v>0</v>
          </cell>
        </row>
        <row r="441">
          <cell r="B441">
            <v>0</v>
          </cell>
        </row>
        <row r="442">
          <cell r="B442">
            <v>0</v>
          </cell>
        </row>
        <row r="443">
          <cell r="B443">
            <v>0</v>
          </cell>
        </row>
        <row r="444">
          <cell r="B444">
            <v>0</v>
          </cell>
        </row>
        <row r="445">
          <cell r="B445">
            <v>0</v>
          </cell>
        </row>
        <row r="446">
          <cell r="B446">
            <v>0</v>
          </cell>
        </row>
        <row r="447">
          <cell r="B447">
            <v>0</v>
          </cell>
        </row>
        <row r="448">
          <cell r="B448">
            <v>0</v>
          </cell>
        </row>
        <row r="449">
          <cell r="B449">
            <v>0</v>
          </cell>
        </row>
        <row r="450">
          <cell r="B450">
            <v>0</v>
          </cell>
        </row>
        <row r="451">
          <cell r="B451">
            <v>0</v>
          </cell>
        </row>
        <row r="452">
          <cell r="B452">
            <v>0</v>
          </cell>
        </row>
        <row r="453">
          <cell r="B453">
            <v>0</v>
          </cell>
        </row>
        <row r="454">
          <cell r="B454">
            <v>0</v>
          </cell>
        </row>
        <row r="455">
          <cell r="B455">
            <v>0</v>
          </cell>
        </row>
        <row r="456">
          <cell r="B456">
            <v>0</v>
          </cell>
        </row>
        <row r="457">
          <cell r="B457">
            <v>0</v>
          </cell>
        </row>
        <row r="458">
          <cell r="B458">
            <v>0</v>
          </cell>
        </row>
        <row r="459">
          <cell r="B459">
            <v>0</v>
          </cell>
        </row>
        <row r="460">
          <cell r="B460">
            <v>0</v>
          </cell>
        </row>
        <row r="461">
          <cell r="B461">
            <v>0</v>
          </cell>
        </row>
        <row r="462">
          <cell r="B462">
            <v>0</v>
          </cell>
        </row>
        <row r="463">
          <cell r="B463">
            <v>0</v>
          </cell>
        </row>
        <row r="464">
          <cell r="B464">
            <v>0</v>
          </cell>
        </row>
        <row r="465">
          <cell r="B465">
            <v>0</v>
          </cell>
        </row>
        <row r="466">
          <cell r="B466">
            <v>0</v>
          </cell>
        </row>
        <row r="467">
          <cell r="B467">
            <v>0</v>
          </cell>
        </row>
        <row r="468">
          <cell r="B468">
            <v>0</v>
          </cell>
        </row>
        <row r="469">
          <cell r="B469">
            <v>0</v>
          </cell>
        </row>
        <row r="470">
          <cell r="B470">
            <v>0</v>
          </cell>
        </row>
        <row r="471">
          <cell r="B471">
            <v>0</v>
          </cell>
        </row>
        <row r="472">
          <cell r="B472">
            <v>0</v>
          </cell>
        </row>
        <row r="473">
          <cell r="B473">
            <v>0</v>
          </cell>
        </row>
        <row r="474">
          <cell r="B474">
            <v>0</v>
          </cell>
        </row>
        <row r="475">
          <cell r="B475">
            <v>0</v>
          </cell>
        </row>
        <row r="476">
          <cell r="B476">
            <v>0</v>
          </cell>
        </row>
        <row r="477">
          <cell r="B477">
            <v>0</v>
          </cell>
        </row>
        <row r="478">
          <cell r="B478">
            <v>0</v>
          </cell>
        </row>
        <row r="479">
          <cell r="B479">
            <v>0</v>
          </cell>
        </row>
        <row r="480">
          <cell r="B480">
            <v>0</v>
          </cell>
        </row>
        <row r="481">
          <cell r="B481">
            <v>0</v>
          </cell>
        </row>
        <row r="482">
          <cell r="B482">
            <v>0</v>
          </cell>
        </row>
        <row r="483">
          <cell r="B483">
            <v>0</v>
          </cell>
        </row>
        <row r="484">
          <cell r="B484">
            <v>0</v>
          </cell>
        </row>
        <row r="485">
          <cell r="B485">
            <v>0</v>
          </cell>
        </row>
        <row r="486">
          <cell r="B486">
            <v>0</v>
          </cell>
        </row>
        <row r="487">
          <cell r="B487">
            <v>0</v>
          </cell>
        </row>
        <row r="488">
          <cell r="B488">
            <v>0</v>
          </cell>
        </row>
        <row r="489">
          <cell r="B489">
            <v>0</v>
          </cell>
        </row>
        <row r="490">
          <cell r="B490">
            <v>0</v>
          </cell>
        </row>
        <row r="491">
          <cell r="B491">
            <v>0</v>
          </cell>
        </row>
        <row r="492">
          <cell r="B492">
            <v>0</v>
          </cell>
        </row>
        <row r="493">
          <cell r="B493">
            <v>0</v>
          </cell>
        </row>
        <row r="494">
          <cell r="B494">
            <v>0</v>
          </cell>
        </row>
        <row r="495">
          <cell r="B495">
            <v>0</v>
          </cell>
        </row>
        <row r="496">
          <cell r="B496">
            <v>0</v>
          </cell>
        </row>
        <row r="497">
          <cell r="B497">
            <v>0</v>
          </cell>
        </row>
        <row r="498">
          <cell r="B498">
            <v>0</v>
          </cell>
        </row>
        <row r="499">
          <cell r="B499">
            <v>0</v>
          </cell>
        </row>
        <row r="500">
          <cell r="B500">
            <v>0</v>
          </cell>
        </row>
        <row r="501">
          <cell r="B501">
            <v>0</v>
          </cell>
        </row>
        <row r="502">
          <cell r="B502">
            <v>0</v>
          </cell>
        </row>
        <row r="503">
          <cell r="B503">
            <v>0</v>
          </cell>
        </row>
        <row r="504">
          <cell r="B504">
            <v>0</v>
          </cell>
        </row>
        <row r="505">
          <cell r="B505">
            <v>0</v>
          </cell>
        </row>
        <row r="506">
          <cell r="B506">
            <v>0</v>
          </cell>
        </row>
        <row r="507">
          <cell r="B507">
            <v>0</v>
          </cell>
        </row>
        <row r="508">
          <cell r="B508">
            <v>0</v>
          </cell>
        </row>
        <row r="509">
          <cell r="B509">
            <v>0</v>
          </cell>
        </row>
        <row r="510">
          <cell r="B510">
            <v>0</v>
          </cell>
        </row>
        <row r="511">
          <cell r="B511">
            <v>0</v>
          </cell>
        </row>
        <row r="512">
          <cell r="B512">
            <v>0</v>
          </cell>
        </row>
        <row r="513">
          <cell r="B513">
            <v>0</v>
          </cell>
        </row>
        <row r="514">
          <cell r="B514">
            <v>0</v>
          </cell>
        </row>
        <row r="515">
          <cell r="B515">
            <v>0</v>
          </cell>
        </row>
        <row r="516">
          <cell r="B516">
            <v>0</v>
          </cell>
        </row>
        <row r="517">
          <cell r="B517">
            <v>0</v>
          </cell>
        </row>
        <row r="518">
          <cell r="B518">
            <v>0</v>
          </cell>
        </row>
        <row r="519">
          <cell r="B519">
            <v>0</v>
          </cell>
        </row>
        <row r="520">
          <cell r="B520">
            <v>0</v>
          </cell>
        </row>
        <row r="521">
          <cell r="B521">
            <v>0</v>
          </cell>
        </row>
        <row r="522">
          <cell r="B522">
            <v>0</v>
          </cell>
        </row>
        <row r="523">
          <cell r="B523">
            <v>0</v>
          </cell>
        </row>
        <row r="524">
          <cell r="B524">
            <v>0</v>
          </cell>
        </row>
        <row r="525">
          <cell r="B525">
            <v>0</v>
          </cell>
        </row>
        <row r="526">
          <cell r="B526">
            <v>0</v>
          </cell>
        </row>
        <row r="527">
          <cell r="B527">
            <v>0</v>
          </cell>
        </row>
        <row r="528">
          <cell r="B528">
            <v>0</v>
          </cell>
        </row>
        <row r="529">
          <cell r="B529">
            <v>0</v>
          </cell>
        </row>
        <row r="530">
          <cell r="B530">
            <v>0</v>
          </cell>
        </row>
        <row r="531">
          <cell r="B531">
            <v>0</v>
          </cell>
        </row>
        <row r="532">
          <cell r="B532">
            <v>0</v>
          </cell>
        </row>
        <row r="533">
          <cell r="B533">
            <v>0</v>
          </cell>
        </row>
        <row r="534">
          <cell r="B534">
            <v>0</v>
          </cell>
        </row>
        <row r="535">
          <cell r="B535">
            <v>0</v>
          </cell>
        </row>
        <row r="536">
          <cell r="B536">
            <v>0</v>
          </cell>
        </row>
        <row r="537">
          <cell r="B537">
            <v>0</v>
          </cell>
        </row>
        <row r="538">
          <cell r="B538">
            <v>0</v>
          </cell>
        </row>
        <row r="539">
          <cell r="B539">
            <v>0</v>
          </cell>
        </row>
        <row r="540">
          <cell r="B540">
            <v>0</v>
          </cell>
        </row>
        <row r="541">
          <cell r="B541">
            <v>0</v>
          </cell>
        </row>
        <row r="542">
          <cell r="B542">
            <v>0</v>
          </cell>
        </row>
        <row r="543">
          <cell r="B543">
            <v>0</v>
          </cell>
        </row>
        <row r="544">
          <cell r="B544">
            <v>0</v>
          </cell>
        </row>
        <row r="545">
          <cell r="B545">
            <v>0</v>
          </cell>
        </row>
        <row r="546">
          <cell r="B546">
            <v>0</v>
          </cell>
        </row>
        <row r="547">
          <cell r="B547">
            <v>0</v>
          </cell>
        </row>
        <row r="548">
          <cell r="B548">
            <v>0</v>
          </cell>
        </row>
        <row r="549">
          <cell r="B549">
            <v>0</v>
          </cell>
        </row>
        <row r="550">
          <cell r="B550">
            <v>0</v>
          </cell>
        </row>
        <row r="551">
          <cell r="B551">
            <v>0</v>
          </cell>
        </row>
        <row r="552">
          <cell r="B552">
            <v>0</v>
          </cell>
        </row>
        <row r="553">
          <cell r="B553">
            <v>0</v>
          </cell>
        </row>
        <row r="554">
          <cell r="B554">
            <v>0</v>
          </cell>
        </row>
        <row r="555">
          <cell r="B555">
            <v>0</v>
          </cell>
        </row>
        <row r="556">
          <cell r="B556">
            <v>0</v>
          </cell>
        </row>
        <row r="557">
          <cell r="B557">
            <v>0</v>
          </cell>
        </row>
        <row r="558">
          <cell r="B558">
            <v>0</v>
          </cell>
        </row>
        <row r="559">
          <cell r="B559">
            <v>0</v>
          </cell>
        </row>
        <row r="560">
          <cell r="B560">
            <v>0</v>
          </cell>
        </row>
        <row r="561">
          <cell r="B561">
            <v>0</v>
          </cell>
        </row>
        <row r="562">
          <cell r="B562">
            <v>0</v>
          </cell>
        </row>
        <row r="563">
          <cell r="B563">
            <v>0</v>
          </cell>
        </row>
        <row r="564">
          <cell r="B564">
            <v>0</v>
          </cell>
        </row>
        <row r="565">
          <cell r="B565">
            <v>0</v>
          </cell>
        </row>
        <row r="566">
          <cell r="B566">
            <v>0</v>
          </cell>
        </row>
        <row r="567">
          <cell r="B567">
            <v>0</v>
          </cell>
        </row>
        <row r="568">
          <cell r="B568">
            <v>0</v>
          </cell>
        </row>
        <row r="569">
          <cell r="B569">
            <v>0</v>
          </cell>
        </row>
        <row r="570">
          <cell r="B570">
            <v>0</v>
          </cell>
        </row>
        <row r="571">
          <cell r="B571">
            <v>0</v>
          </cell>
        </row>
        <row r="572">
          <cell r="B572">
            <v>0</v>
          </cell>
        </row>
        <row r="573">
          <cell r="B573">
            <v>0</v>
          </cell>
        </row>
        <row r="574">
          <cell r="B574">
            <v>0</v>
          </cell>
        </row>
        <row r="575">
          <cell r="B575">
            <v>0</v>
          </cell>
        </row>
        <row r="576">
          <cell r="B576">
            <v>0</v>
          </cell>
        </row>
        <row r="577">
          <cell r="B577">
            <v>0</v>
          </cell>
        </row>
        <row r="578">
          <cell r="B578">
            <v>0</v>
          </cell>
        </row>
        <row r="579">
          <cell r="B579">
            <v>0</v>
          </cell>
        </row>
        <row r="580">
          <cell r="B580">
            <v>0</v>
          </cell>
        </row>
        <row r="581">
          <cell r="B581">
            <v>0</v>
          </cell>
        </row>
        <row r="582">
          <cell r="B582">
            <v>0</v>
          </cell>
        </row>
        <row r="583">
          <cell r="B583">
            <v>0</v>
          </cell>
        </row>
        <row r="584">
          <cell r="B584">
            <v>0</v>
          </cell>
        </row>
        <row r="585">
          <cell r="B585">
            <v>0</v>
          </cell>
        </row>
        <row r="586">
          <cell r="B586">
            <v>0</v>
          </cell>
        </row>
        <row r="587">
          <cell r="B587">
            <v>0</v>
          </cell>
        </row>
        <row r="588">
          <cell r="B588">
            <v>0</v>
          </cell>
        </row>
        <row r="589">
          <cell r="B589">
            <v>0</v>
          </cell>
        </row>
        <row r="590">
          <cell r="B590">
            <v>0</v>
          </cell>
        </row>
        <row r="591">
          <cell r="B591">
            <v>0</v>
          </cell>
        </row>
        <row r="592">
          <cell r="B592">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EM_LOAD"/>
    </sheetNames>
    <definedNames>
      <definedName name="Macro1"/>
    </defined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Pivot Table"/>
      <sheetName val="Costcenters"/>
      <sheetName val="TB 22.02.2012"/>
      <sheetName val="TB 31.12.2011"/>
      <sheetName val="Operating Initiatives"/>
      <sheetName val="تفاصيل العجز بالبنود"/>
      <sheetName val="Total"/>
    </sheetNames>
    <sheetDataSet>
      <sheetData sheetId="0"/>
      <sheetData sheetId="1"/>
      <sheetData sheetId="2"/>
      <sheetData sheetId="3">
        <row r="1">
          <cell r="A1" t="str">
            <v>Funds Available ( AED ): Account</v>
          </cell>
          <cell r="B1" t="str">
            <v>Funds Available ( AED ): Budget</v>
          </cell>
          <cell r="C1" t="str">
            <v>Funds Available ( AED ): Encumbrance</v>
          </cell>
          <cell r="D1" t="str">
            <v>Funds Available ( AED ): Actual</v>
          </cell>
          <cell r="E1" t="str">
            <v>Funds Available ( AED ): Funds Available</v>
          </cell>
        </row>
        <row r="2">
          <cell r="A2">
            <v>101500</v>
          </cell>
          <cell r="B2">
            <v>0</v>
          </cell>
          <cell r="C2">
            <v>0</v>
          </cell>
          <cell r="D2">
            <v>0</v>
          </cell>
          <cell r="E2">
            <v>0</v>
          </cell>
        </row>
        <row r="3">
          <cell r="A3">
            <v>102101</v>
          </cell>
          <cell r="B3">
            <v>0</v>
          </cell>
          <cell r="C3">
            <v>0</v>
          </cell>
          <cell r="D3">
            <v>-126175.5</v>
          </cell>
          <cell r="E3">
            <v>126175.5</v>
          </cell>
        </row>
        <row r="4">
          <cell r="A4">
            <v>105901</v>
          </cell>
          <cell r="B4">
            <v>0</v>
          </cell>
          <cell r="C4">
            <v>0</v>
          </cell>
          <cell r="D4">
            <v>-80518838.209999993</v>
          </cell>
          <cell r="E4">
            <v>80518838.209999993</v>
          </cell>
        </row>
        <row r="5">
          <cell r="A5">
            <v>108101</v>
          </cell>
          <cell r="B5">
            <v>0</v>
          </cell>
          <cell r="C5">
            <v>0</v>
          </cell>
          <cell r="D5">
            <v>0</v>
          </cell>
          <cell r="E5">
            <v>0</v>
          </cell>
        </row>
        <row r="6">
          <cell r="A6">
            <v>109910</v>
          </cell>
          <cell r="B6">
            <v>0</v>
          </cell>
          <cell r="C6">
            <v>0</v>
          </cell>
          <cell r="D6">
            <v>0</v>
          </cell>
          <cell r="E6">
            <v>0</v>
          </cell>
        </row>
        <row r="7">
          <cell r="A7">
            <v>120211</v>
          </cell>
          <cell r="B7">
            <v>0</v>
          </cell>
          <cell r="C7">
            <v>0</v>
          </cell>
          <cell r="D7">
            <v>-636.5</v>
          </cell>
          <cell r="E7">
            <v>636.5</v>
          </cell>
        </row>
        <row r="8">
          <cell r="A8">
            <v>120214</v>
          </cell>
          <cell r="B8">
            <v>0</v>
          </cell>
          <cell r="C8">
            <v>0</v>
          </cell>
          <cell r="D8">
            <v>436242.95</v>
          </cell>
          <cell r="E8">
            <v>-436242.95</v>
          </cell>
        </row>
        <row r="9">
          <cell r="A9">
            <v>120223</v>
          </cell>
          <cell r="B9">
            <v>0</v>
          </cell>
          <cell r="C9">
            <v>0</v>
          </cell>
          <cell r="D9">
            <v>0</v>
          </cell>
          <cell r="E9">
            <v>0</v>
          </cell>
        </row>
        <row r="10">
          <cell r="A10">
            <v>120224</v>
          </cell>
          <cell r="B10">
            <v>0</v>
          </cell>
          <cell r="C10">
            <v>0</v>
          </cell>
          <cell r="D10">
            <v>0</v>
          </cell>
          <cell r="E10">
            <v>0</v>
          </cell>
        </row>
        <row r="11">
          <cell r="A11">
            <v>120227</v>
          </cell>
          <cell r="B11">
            <v>0</v>
          </cell>
          <cell r="C11">
            <v>0</v>
          </cell>
          <cell r="D11">
            <v>0</v>
          </cell>
          <cell r="E11">
            <v>0</v>
          </cell>
        </row>
        <row r="12">
          <cell r="A12">
            <v>120310</v>
          </cell>
          <cell r="B12">
            <v>0</v>
          </cell>
          <cell r="C12">
            <v>0</v>
          </cell>
          <cell r="D12">
            <v>0</v>
          </cell>
          <cell r="E12">
            <v>0</v>
          </cell>
        </row>
        <row r="13">
          <cell r="A13">
            <v>120510</v>
          </cell>
          <cell r="B13">
            <v>0</v>
          </cell>
          <cell r="C13">
            <v>0</v>
          </cell>
          <cell r="D13">
            <v>0</v>
          </cell>
          <cell r="E13">
            <v>0</v>
          </cell>
        </row>
        <row r="14">
          <cell r="A14">
            <v>121010</v>
          </cell>
          <cell r="B14">
            <v>0</v>
          </cell>
          <cell r="C14">
            <v>0</v>
          </cell>
          <cell r="D14">
            <v>-30415443.18</v>
          </cell>
          <cell r="E14">
            <v>30415443.18</v>
          </cell>
        </row>
        <row r="15">
          <cell r="A15">
            <v>122201</v>
          </cell>
          <cell r="B15">
            <v>0</v>
          </cell>
          <cell r="C15">
            <v>0</v>
          </cell>
          <cell r="D15">
            <v>0</v>
          </cell>
          <cell r="E15">
            <v>0</v>
          </cell>
        </row>
        <row r="16">
          <cell r="A16">
            <v>130990</v>
          </cell>
          <cell r="B16">
            <v>0</v>
          </cell>
          <cell r="C16">
            <v>0</v>
          </cell>
          <cell r="D16">
            <v>0</v>
          </cell>
          <cell r="E16">
            <v>0</v>
          </cell>
        </row>
        <row r="17">
          <cell r="A17">
            <v>171040</v>
          </cell>
          <cell r="B17">
            <v>0</v>
          </cell>
          <cell r="C17">
            <v>0</v>
          </cell>
          <cell r="D17">
            <v>0</v>
          </cell>
          <cell r="E17">
            <v>0</v>
          </cell>
        </row>
        <row r="18">
          <cell r="A18">
            <v>171220</v>
          </cell>
          <cell r="B18">
            <v>0</v>
          </cell>
          <cell r="C18">
            <v>0</v>
          </cell>
          <cell r="D18">
            <v>0</v>
          </cell>
          <cell r="E18">
            <v>0</v>
          </cell>
        </row>
        <row r="19">
          <cell r="A19">
            <v>171221</v>
          </cell>
          <cell r="B19">
            <v>0</v>
          </cell>
          <cell r="C19">
            <v>0</v>
          </cell>
          <cell r="D19">
            <v>0</v>
          </cell>
          <cell r="E19">
            <v>0</v>
          </cell>
        </row>
        <row r="20">
          <cell r="A20">
            <v>171230</v>
          </cell>
          <cell r="B20">
            <v>0</v>
          </cell>
          <cell r="C20">
            <v>0</v>
          </cell>
          <cell r="D20">
            <v>0</v>
          </cell>
          <cell r="E20">
            <v>0</v>
          </cell>
        </row>
        <row r="21">
          <cell r="A21">
            <v>171260</v>
          </cell>
          <cell r="B21">
            <v>0</v>
          </cell>
          <cell r="C21">
            <v>0</v>
          </cell>
          <cell r="D21">
            <v>0</v>
          </cell>
          <cell r="E21">
            <v>0</v>
          </cell>
        </row>
        <row r="22">
          <cell r="A22">
            <v>171320</v>
          </cell>
          <cell r="B22">
            <v>0</v>
          </cell>
          <cell r="C22">
            <v>0</v>
          </cell>
          <cell r="D22">
            <v>0</v>
          </cell>
          <cell r="E22">
            <v>0</v>
          </cell>
        </row>
        <row r="23">
          <cell r="A23">
            <v>171321</v>
          </cell>
          <cell r="B23">
            <v>0</v>
          </cell>
          <cell r="C23">
            <v>0</v>
          </cell>
          <cell r="D23">
            <v>0</v>
          </cell>
          <cell r="E23">
            <v>0</v>
          </cell>
        </row>
        <row r="24">
          <cell r="A24">
            <v>171330</v>
          </cell>
          <cell r="B24">
            <v>0</v>
          </cell>
          <cell r="C24">
            <v>0</v>
          </cell>
          <cell r="D24">
            <v>0</v>
          </cell>
          <cell r="E24">
            <v>0</v>
          </cell>
        </row>
        <row r="25">
          <cell r="A25">
            <v>171360</v>
          </cell>
          <cell r="B25">
            <v>0</v>
          </cell>
          <cell r="C25">
            <v>0</v>
          </cell>
          <cell r="D25">
            <v>0</v>
          </cell>
          <cell r="E25">
            <v>0</v>
          </cell>
        </row>
        <row r="26">
          <cell r="A26">
            <v>171520</v>
          </cell>
          <cell r="B26">
            <v>0</v>
          </cell>
          <cell r="C26">
            <v>0</v>
          </cell>
          <cell r="D26">
            <v>0</v>
          </cell>
          <cell r="E26">
            <v>0</v>
          </cell>
        </row>
        <row r="27">
          <cell r="A27">
            <v>171521</v>
          </cell>
          <cell r="B27">
            <v>0</v>
          </cell>
          <cell r="C27">
            <v>0</v>
          </cell>
          <cell r="D27">
            <v>0</v>
          </cell>
          <cell r="E27">
            <v>0</v>
          </cell>
        </row>
        <row r="28">
          <cell r="A28">
            <v>171530</v>
          </cell>
          <cell r="B28">
            <v>0</v>
          </cell>
          <cell r="C28">
            <v>0</v>
          </cell>
          <cell r="D28">
            <v>0</v>
          </cell>
          <cell r="E28">
            <v>0</v>
          </cell>
        </row>
        <row r="29">
          <cell r="A29">
            <v>171560</v>
          </cell>
          <cell r="B29">
            <v>0</v>
          </cell>
          <cell r="C29">
            <v>0</v>
          </cell>
          <cell r="D29">
            <v>0</v>
          </cell>
          <cell r="E29">
            <v>0</v>
          </cell>
        </row>
        <row r="30">
          <cell r="A30">
            <v>171720</v>
          </cell>
          <cell r="B30">
            <v>0</v>
          </cell>
          <cell r="C30">
            <v>0</v>
          </cell>
          <cell r="D30">
            <v>0</v>
          </cell>
          <cell r="E30">
            <v>0</v>
          </cell>
        </row>
        <row r="31">
          <cell r="A31">
            <v>171721</v>
          </cell>
          <cell r="B31">
            <v>0</v>
          </cell>
          <cell r="C31">
            <v>0</v>
          </cell>
          <cell r="D31">
            <v>0</v>
          </cell>
          <cell r="E31">
            <v>0</v>
          </cell>
        </row>
        <row r="32">
          <cell r="A32">
            <v>171730</v>
          </cell>
          <cell r="B32">
            <v>0</v>
          </cell>
          <cell r="C32">
            <v>0</v>
          </cell>
          <cell r="D32">
            <v>0</v>
          </cell>
          <cell r="E32">
            <v>0</v>
          </cell>
        </row>
        <row r="33">
          <cell r="A33">
            <v>171760</v>
          </cell>
          <cell r="B33">
            <v>0</v>
          </cell>
          <cell r="C33">
            <v>0</v>
          </cell>
          <cell r="D33">
            <v>0</v>
          </cell>
          <cell r="E33">
            <v>0</v>
          </cell>
        </row>
        <row r="34">
          <cell r="A34">
            <v>172020</v>
          </cell>
          <cell r="B34">
            <v>0</v>
          </cell>
          <cell r="C34">
            <v>0</v>
          </cell>
          <cell r="D34">
            <v>0</v>
          </cell>
          <cell r="E34">
            <v>0</v>
          </cell>
        </row>
        <row r="35">
          <cell r="A35">
            <v>172021</v>
          </cell>
          <cell r="B35">
            <v>0</v>
          </cell>
          <cell r="C35">
            <v>0</v>
          </cell>
          <cell r="D35">
            <v>0</v>
          </cell>
          <cell r="E35">
            <v>0</v>
          </cell>
        </row>
        <row r="36">
          <cell r="A36">
            <v>172030</v>
          </cell>
          <cell r="B36">
            <v>0</v>
          </cell>
          <cell r="C36">
            <v>0</v>
          </cell>
          <cell r="D36">
            <v>0</v>
          </cell>
          <cell r="E36">
            <v>0</v>
          </cell>
        </row>
        <row r="37">
          <cell r="A37">
            <v>172060</v>
          </cell>
          <cell r="B37">
            <v>0</v>
          </cell>
          <cell r="C37">
            <v>0</v>
          </cell>
          <cell r="D37">
            <v>0</v>
          </cell>
          <cell r="E37">
            <v>0</v>
          </cell>
        </row>
        <row r="38">
          <cell r="A38">
            <v>173120</v>
          </cell>
          <cell r="B38">
            <v>0</v>
          </cell>
          <cell r="C38">
            <v>0</v>
          </cell>
          <cell r="D38">
            <v>0</v>
          </cell>
          <cell r="E38">
            <v>0</v>
          </cell>
        </row>
        <row r="39">
          <cell r="A39">
            <v>173121</v>
          </cell>
          <cell r="B39">
            <v>0</v>
          </cell>
          <cell r="C39">
            <v>0</v>
          </cell>
          <cell r="D39">
            <v>0</v>
          </cell>
          <cell r="E39">
            <v>0</v>
          </cell>
        </row>
        <row r="40">
          <cell r="A40">
            <v>173130</v>
          </cell>
          <cell r="B40">
            <v>0</v>
          </cell>
          <cell r="C40">
            <v>0</v>
          </cell>
          <cell r="D40">
            <v>0</v>
          </cell>
          <cell r="E40">
            <v>0</v>
          </cell>
        </row>
        <row r="41">
          <cell r="A41">
            <v>173160</v>
          </cell>
          <cell r="B41">
            <v>0</v>
          </cell>
          <cell r="C41">
            <v>0</v>
          </cell>
          <cell r="D41">
            <v>0</v>
          </cell>
          <cell r="E41">
            <v>0</v>
          </cell>
        </row>
        <row r="42">
          <cell r="A42">
            <v>200110</v>
          </cell>
          <cell r="B42">
            <v>0</v>
          </cell>
          <cell r="C42">
            <v>0</v>
          </cell>
          <cell r="D42">
            <v>0</v>
          </cell>
          <cell r="E42">
            <v>0</v>
          </cell>
        </row>
        <row r="43">
          <cell r="A43">
            <v>201100</v>
          </cell>
          <cell r="B43">
            <v>0</v>
          </cell>
          <cell r="C43">
            <v>0</v>
          </cell>
          <cell r="D43">
            <v>0</v>
          </cell>
          <cell r="E43">
            <v>0</v>
          </cell>
        </row>
        <row r="44">
          <cell r="A44">
            <v>201701</v>
          </cell>
          <cell r="B44">
            <v>0</v>
          </cell>
          <cell r="C44">
            <v>0</v>
          </cell>
          <cell r="D44">
            <v>0</v>
          </cell>
          <cell r="E44">
            <v>0</v>
          </cell>
        </row>
        <row r="45">
          <cell r="A45">
            <v>211111</v>
          </cell>
          <cell r="B45">
            <v>0</v>
          </cell>
          <cell r="C45">
            <v>0</v>
          </cell>
          <cell r="D45">
            <v>0</v>
          </cell>
          <cell r="E45">
            <v>0</v>
          </cell>
        </row>
        <row r="46">
          <cell r="A46">
            <v>211113</v>
          </cell>
          <cell r="B46">
            <v>0</v>
          </cell>
          <cell r="C46">
            <v>0</v>
          </cell>
          <cell r="D46">
            <v>0</v>
          </cell>
          <cell r="E46">
            <v>0</v>
          </cell>
        </row>
        <row r="47">
          <cell r="A47">
            <v>235199</v>
          </cell>
          <cell r="B47">
            <v>0</v>
          </cell>
          <cell r="C47">
            <v>0</v>
          </cell>
          <cell r="D47">
            <v>0</v>
          </cell>
          <cell r="E47">
            <v>0</v>
          </cell>
        </row>
        <row r="48">
          <cell r="A48">
            <v>235210</v>
          </cell>
          <cell r="B48">
            <v>0</v>
          </cell>
          <cell r="C48">
            <v>0</v>
          </cell>
          <cell r="D48">
            <v>398979.6</v>
          </cell>
          <cell r="E48">
            <v>-398979.6</v>
          </cell>
        </row>
        <row r="49">
          <cell r="A49">
            <v>235301</v>
          </cell>
          <cell r="B49">
            <v>0</v>
          </cell>
          <cell r="C49">
            <v>0</v>
          </cell>
          <cell r="D49">
            <v>0</v>
          </cell>
          <cell r="E49">
            <v>0</v>
          </cell>
        </row>
        <row r="50">
          <cell r="A50">
            <v>235630</v>
          </cell>
          <cell r="B50">
            <v>0</v>
          </cell>
          <cell r="C50">
            <v>0</v>
          </cell>
          <cell r="D50">
            <v>0</v>
          </cell>
          <cell r="E50">
            <v>0</v>
          </cell>
        </row>
        <row r="51">
          <cell r="A51">
            <v>235990</v>
          </cell>
          <cell r="B51">
            <v>0</v>
          </cell>
          <cell r="C51">
            <v>0</v>
          </cell>
          <cell r="D51">
            <v>0</v>
          </cell>
          <cell r="E51">
            <v>0</v>
          </cell>
        </row>
        <row r="52">
          <cell r="A52">
            <v>335230</v>
          </cell>
          <cell r="B52">
            <v>0</v>
          </cell>
          <cell r="C52">
            <v>0</v>
          </cell>
          <cell r="D52">
            <v>0</v>
          </cell>
          <cell r="E52">
            <v>0</v>
          </cell>
        </row>
        <row r="53">
          <cell r="A53">
            <v>335310</v>
          </cell>
          <cell r="B53">
            <v>0</v>
          </cell>
          <cell r="C53">
            <v>0</v>
          </cell>
          <cell r="D53">
            <v>0</v>
          </cell>
          <cell r="E53">
            <v>0</v>
          </cell>
        </row>
        <row r="54">
          <cell r="A54">
            <v>351201</v>
          </cell>
          <cell r="B54">
            <v>0</v>
          </cell>
          <cell r="C54">
            <v>0</v>
          </cell>
          <cell r="D54">
            <v>-104036683.7</v>
          </cell>
          <cell r="E54">
            <v>104036683.7</v>
          </cell>
        </row>
        <row r="55">
          <cell r="A55">
            <v>361100</v>
          </cell>
          <cell r="B55">
            <v>1500000</v>
          </cell>
          <cell r="C55">
            <v>0</v>
          </cell>
          <cell r="D55">
            <v>0</v>
          </cell>
          <cell r="E55">
            <v>1500000</v>
          </cell>
        </row>
        <row r="56">
          <cell r="A56">
            <v>361600</v>
          </cell>
          <cell r="B56">
            <v>521295000</v>
          </cell>
          <cell r="C56">
            <v>0</v>
          </cell>
          <cell r="D56">
            <v>0</v>
          </cell>
          <cell r="E56">
            <v>521295000</v>
          </cell>
        </row>
        <row r="57">
          <cell r="A57">
            <v>361711</v>
          </cell>
          <cell r="B57">
            <v>173000000</v>
          </cell>
          <cell r="C57">
            <v>0</v>
          </cell>
          <cell r="D57">
            <v>0</v>
          </cell>
          <cell r="E57">
            <v>173000000</v>
          </cell>
        </row>
        <row r="58">
          <cell r="A58">
            <v>361721</v>
          </cell>
          <cell r="B58">
            <v>1800000</v>
          </cell>
          <cell r="C58">
            <v>0</v>
          </cell>
          <cell r="D58">
            <v>0</v>
          </cell>
          <cell r="E58">
            <v>1800000</v>
          </cell>
        </row>
        <row r="59">
          <cell r="A59">
            <v>361722</v>
          </cell>
          <cell r="B59">
            <v>2200000</v>
          </cell>
          <cell r="C59">
            <v>0</v>
          </cell>
          <cell r="D59">
            <v>0</v>
          </cell>
          <cell r="E59">
            <v>2200000</v>
          </cell>
        </row>
        <row r="60">
          <cell r="A60">
            <v>365305</v>
          </cell>
          <cell r="B60">
            <v>0</v>
          </cell>
          <cell r="C60">
            <v>0</v>
          </cell>
          <cell r="D60">
            <v>0</v>
          </cell>
          <cell r="E60">
            <v>0</v>
          </cell>
        </row>
        <row r="61">
          <cell r="A61">
            <v>365710</v>
          </cell>
          <cell r="B61">
            <v>600000</v>
          </cell>
          <cell r="C61">
            <v>0</v>
          </cell>
          <cell r="D61">
            <v>0</v>
          </cell>
          <cell r="E61">
            <v>600000</v>
          </cell>
        </row>
        <row r="62">
          <cell r="A62">
            <v>365720</v>
          </cell>
          <cell r="B62">
            <v>200000</v>
          </cell>
          <cell r="C62">
            <v>0</v>
          </cell>
          <cell r="D62">
            <v>0</v>
          </cell>
          <cell r="E62">
            <v>200000</v>
          </cell>
        </row>
        <row r="63">
          <cell r="A63">
            <v>365810</v>
          </cell>
          <cell r="B63">
            <v>0</v>
          </cell>
          <cell r="C63">
            <v>0</v>
          </cell>
          <cell r="D63">
            <v>0</v>
          </cell>
          <cell r="E63">
            <v>0</v>
          </cell>
        </row>
        <row r="64">
          <cell r="A64">
            <v>368201</v>
          </cell>
          <cell r="B64">
            <v>3000000</v>
          </cell>
          <cell r="C64">
            <v>0</v>
          </cell>
          <cell r="D64">
            <v>0</v>
          </cell>
          <cell r="E64">
            <v>3000000</v>
          </cell>
        </row>
        <row r="65">
          <cell r="A65">
            <v>368202</v>
          </cell>
          <cell r="B65">
            <v>1000000</v>
          </cell>
          <cell r="C65">
            <v>0</v>
          </cell>
          <cell r="D65">
            <v>0</v>
          </cell>
          <cell r="E65">
            <v>1000000</v>
          </cell>
        </row>
        <row r="66">
          <cell r="A66">
            <v>369000</v>
          </cell>
          <cell r="B66">
            <v>1267000</v>
          </cell>
          <cell r="C66">
            <v>0</v>
          </cell>
          <cell r="D66">
            <v>0</v>
          </cell>
          <cell r="E66">
            <v>1267000</v>
          </cell>
        </row>
        <row r="67">
          <cell r="A67">
            <v>375201</v>
          </cell>
          <cell r="B67">
            <v>0</v>
          </cell>
          <cell r="C67">
            <v>0</v>
          </cell>
          <cell r="D67">
            <v>0</v>
          </cell>
          <cell r="E67">
            <v>0</v>
          </cell>
        </row>
        <row r="68">
          <cell r="A68">
            <v>375205</v>
          </cell>
          <cell r="B68">
            <v>1000000</v>
          </cell>
          <cell r="C68">
            <v>0</v>
          </cell>
          <cell r="D68">
            <v>0</v>
          </cell>
          <cell r="E68">
            <v>1000000</v>
          </cell>
        </row>
        <row r="69">
          <cell r="A69">
            <v>375301</v>
          </cell>
          <cell r="B69">
            <v>600000</v>
          </cell>
          <cell r="C69">
            <v>0</v>
          </cell>
          <cell r="D69">
            <v>0</v>
          </cell>
          <cell r="E69">
            <v>600000</v>
          </cell>
        </row>
        <row r="70">
          <cell r="A70">
            <v>375302</v>
          </cell>
          <cell r="B70">
            <v>192000</v>
          </cell>
          <cell r="C70">
            <v>0</v>
          </cell>
          <cell r="D70">
            <v>0</v>
          </cell>
          <cell r="E70">
            <v>192000</v>
          </cell>
        </row>
        <row r="71">
          <cell r="A71">
            <v>375303</v>
          </cell>
          <cell r="B71">
            <v>227303000</v>
          </cell>
          <cell r="C71">
            <v>0</v>
          </cell>
          <cell r="D71">
            <v>0</v>
          </cell>
          <cell r="E71">
            <v>227303000</v>
          </cell>
        </row>
        <row r="72">
          <cell r="A72">
            <v>377220</v>
          </cell>
          <cell r="B72">
            <v>0</v>
          </cell>
          <cell r="C72">
            <v>0</v>
          </cell>
          <cell r="D72">
            <v>0</v>
          </cell>
          <cell r="E72">
            <v>0</v>
          </cell>
        </row>
        <row r="73">
          <cell r="A73">
            <v>378110</v>
          </cell>
          <cell r="B73">
            <v>0</v>
          </cell>
          <cell r="C73">
            <v>0</v>
          </cell>
          <cell r="D73">
            <v>0</v>
          </cell>
          <cell r="E73">
            <v>0</v>
          </cell>
        </row>
        <row r="74">
          <cell r="A74">
            <v>378120</v>
          </cell>
          <cell r="B74">
            <v>90000</v>
          </cell>
          <cell r="C74">
            <v>0</v>
          </cell>
          <cell r="D74">
            <v>0</v>
          </cell>
          <cell r="E74">
            <v>90000</v>
          </cell>
        </row>
        <row r="75">
          <cell r="A75">
            <v>378130</v>
          </cell>
          <cell r="B75">
            <v>0</v>
          </cell>
          <cell r="C75">
            <v>0</v>
          </cell>
          <cell r="D75">
            <v>0</v>
          </cell>
          <cell r="E75">
            <v>0</v>
          </cell>
        </row>
        <row r="76">
          <cell r="A76">
            <v>382020</v>
          </cell>
          <cell r="B76">
            <v>0</v>
          </cell>
          <cell r="C76">
            <v>0</v>
          </cell>
          <cell r="D76">
            <v>631.51</v>
          </cell>
          <cell r="E76">
            <v>-631.51</v>
          </cell>
        </row>
        <row r="77">
          <cell r="A77">
            <v>382220</v>
          </cell>
          <cell r="B77">
            <v>22428000</v>
          </cell>
          <cell r="C77">
            <v>0</v>
          </cell>
          <cell r="D77">
            <v>0</v>
          </cell>
          <cell r="E77">
            <v>22428000</v>
          </cell>
        </row>
        <row r="78">
          <cell r="A78">
            <v>382500</v>
          </cell>
          <cell r="B78">
            <v>0</v>
          </cell>
          <cell r="C78">
            <v>0</v>
          </cell>
          <cell r="D78">
            <v>0</v>
          </cell>
          <cell r="E78">
            <v>0</v>
          </cell>
        </row>
        <row r="79">
          <cell r="A79">
            <v>385007</v>
          </cell>
          <cell r="B79">
            <v>0</v>
          </cell>
          <cell r="C79">
            <v>0</v>
          </cell>
          <cell r="D79">
            <v>0</v>
          </cell>
          <cell r="E79">
            <v>0</v>
          </cell>
        </row>
        <row r="80">
          <cell r="A80">
            <v>386000</v>
          </cell>
          <cell r="B80">
            <v>168000</v>
          </cell>
          <cell r="C80">
            <v>0</v>
          </cell>
          <cell r="D80">
            <v>0</v>
          </cell>
          <cell r="E80">
            <v>168000</v>
          </cell>
        </row>
        <row r="81">
          <cell r="A81">
            <v>412110</v>
          </cell>
          <cell r="B81">
            <v>223464000</v>
          </cell>
          <cell r="C81">
            <v>0</v>
          </cell>
          <cell r="D81">
            <v>20251936.390000001</v>
          </cell>
          <cell r="E81">
            <v>203212063.61000001</v>
          </cell>
        </row>
        <row r="82">
          <cell r="A82">
            <v>412121</v>
          </cell>
          <cell r="B82">
            <v>22767000</v>
          </cell>
          <cell r="C82">
            <v>0</v>
          </cell>
          <cell r="D82">
            <v>2473031.67</v>
          </cell>
          <cell r="E82">
            <v>20293968.329999998</v>
          </cell>
        </row>
        <row r="83">
          <cell r="A83">
            <v>412123</v>
          </cell>
          <cell r="B83">
            <v>1219000</v>
          </cell>
          <cell r="C83">
            <v>0</v>
          </cell>
          <cell r="D83">
            <v>132173.35</v>
          </cell>
          <cell r="E83">
            <v>1086826.6499999999</v>
          </cell>
        </row>
        <row r="84">
          <cell r="A84">
            <v>412162</v>
          </cell>
          <cell r="B84">
            <v>100000</v>
          </cell>
          <cell r="C84">
            <v>0</v>
          </cell>
          <cell r="D84">
            <v>0</v>
          </cell>
          <cell r="E84">
            <v>100000</v>
          </cell>
        </row>
        <row r="85">
          <cell r="A85">
            <v>412164</v>
          </cell>
          <cell r="B85">
            <v>0</v>
          </cell>
          <cell r="C85">
            <v>0</v>
          </cell>
          <cell r="D85">
            <v>0</v>
          </cell>
          <cell r="E85">
            <v>0</v>
          </cell>
        </row>
        <row r="86">
          <cell r="A86">
            <v>412165</v>
          </cell>
          <cell r="B86">
            <v>165000</v>
          </cell>
          <cell r="C86">
            <v>0</v>
          </cell>
          <cell r="D86">
            <v>0</v>
          </cell>
          <cell r="E86">
            <v>165000</v>
          </cell>
        </row>
        <row r="87">
          <cell r="A87">
            <v>412511</v>
          </cell>
          <cell r="B87">
            <v>50436000</v>
          </cell>
          <cell r="C87">
            <v>0</v>
          </cell>
          <cell r="D87">
            <v>5779833.3399999999</v>
          </cell>
          <cell r="E87">
            <v>44656166.659999996</v>
          </cell>
        </row>
        <row r="88">
          <cell r="A88">
            <v>412512</v>
          </cell>
          <cell r="B88">
            <v>2247000</v>
          </cell>
          <cell r="C88">
            <v>0</v>
          </cell>
          <cell r="D88">
            <v>193250</v>
          </cell>
          <cell r="E88">
            <v>2053750</v>
          </cell>
        </row>
        <row r="89">
          <cell r="A89">
            <v>412523</v>
          </cell>
          <cell r="B89">
            <v>763000</v>
          </cell>
          <cell r="C89">
            <v>0</v>
          </cell>
          <cell r="D89">
            <v>86440</v>
          </cell>
          <cell r="E89">
            <v>676560</v>
          </cell>
        </row>
        <row r="90">
          <cell r="A90">
            <v>412540</v>
          </cell>
          <cell r="B90">
            <v>96000</v>
          </cell>
          <cell r="C90">
            <v>0</v>
          </cell>
          <cell r="D90">
            <v>6622.74</v>
          </cell>
          <cell r="E90">
            <v>89377.26</v>
          </cell>
        </row>
        <row r="91">
          <cell r="A91">
            <v>412590</v>
          </cell>
          <cell r="B91">
            <v>0</v>
          </cell>
          <cell r="C91">
            <v>0</v>
          </cell>
          <cell r="D91">
            <v>59.19</v>
          </cell>
          <cell r="E91">
            <v>-59.19</v>
          </cell>
        </row>
        <row r="92">
          <cell r="A92">
            <v>415110</v>
          </cell>
          <cell r="B92">
            <v>0</v>
          </cell>
          <cell r="C92">
            <v>0</v>
          </cell>
          <cell r="D92">
            <v>1001294.88</v>
          </cell>
          <cell r="E92">
            <v>-1001294.88</v>
          </cell>
        </row>
        <row r="93">
          <cell r="A93">
            <v>415210</v>
          </cell>
          <cell r="B93">
            <v>10000</v>
          </cell>
          <cell r="C93">
            <v>0</v>
          </cell>
          <cell r="D93">
            <v>0</v>
          </cell>
          <cell r="E93">
            <v>10000</v>
          </cell>
        </row>
        <row r="94">
          <cell r="A94">
            <v>415310</v>
          </cell>
          <cell r="B94">
            <v>9684000</v>
          </cell>
          <cell r="C94">
            <v>0</v>
          </cell>
          <cell r="D94">
            <v>0</v>
          </cell>
          <cell r="E94">
            <v>9684000</v>
          </cell>
        </row>
        <row r="95">
          <cell r="A95">
            <v>415320</v>
          </cell>
          <cell r="B95">
            <v>4000000</v>
          </cell>
          <cell r="C95">
            <v>0</v>
          </cell>
          <cell r="D95">
            <v>0</v>
          </cell>
          <cell r="E95">
            <v>4000000</v>
          </cell>
        </row>
        <row r="96">
          <cell r="A96">
            <v>415410</v>
          </cell>
          <cell r="B96">
            <v>100000</v>
          </cell>
          <cell r="C96">
            <v>0</v>
          </cell>
          <cell r="D96">
            <v>0</v>
          </cell>
          <cell r="E96">
            <v>100000</v>
          </cell>
        </row>
        <row r="97">
          <cell r="A97">
            <v>415420</v>
          </cell>
          <cell r="B97">
            <v>10000</v>
          </cell>
          <cell r="C97">
            <v>0</v>
          </cell>
          <cell r="D97">
            <v>0</v>
          </cell>
          <cell r="E97">
            <v>10000</v>
          </cell>
        </row>
        <row r="98">
          <cell r="A98">
            <v>416110</v>
          </cell>
          <cell r="B98">
            <v>400000</v>
          </cell>
          <cell r="C98">
            <v>0</v>
          </cell>
          <cell r="D98">
            <v>56520</v>
          </cell>
          <cell r="E98">
            <v>343480</v>
          </cell>
        </row>
        <row r="99">
          <cell r="A99">
            <v>416210</v>
          </cell>
          <cell r="B99">
            <v>924000</v>
          </cell>
          <cell r="C99">
            <v>0</v>
          </cell>
          <cell r="D99">
            <v>0</v>
          </cell>
          <cell r="E99">
            <v>924000</v>
          </cell>
        </row>
        <row r="100">
          <cell r="A100">
            <v>416310</v>
          </cell>
          <cell r="B100">
            <v>2272000</v>
          </cell>
          <cell r="C100">
            <v>0</v>
          </cell>
          <cell r="D100">
            <v>0</v>
          </cell>
          <cell r="E100">
            <v>2272000</v>
          </cell>
        </row>
        <row r="101">
          <cell r="A101">
            <v>420120</v>
          </cell>
          <cell r="B101">
            <v>800000</v>
          </cell>
          <cell r="C101">
            <v>0</v>
          </cell>
          <cell r="D101">
            <v>0</v>
          </cell>
          <cell r="E101">
            <v>800000</v>
          </cell>
        </row>
        <row r="102">
          <cell r="A102">
            <v>420310</v>
          </cell>
          <cell r="B102">
            <v>7765000</v>
          </cell>
          <cell r="C102">
            <v>0</v>
          </cell>
          <cell r="D102">
            <v>0</v>
          </cell>
          <cell r="E102">
            <v>7765000</v>
          </cell>
        </row>
        <row r="103">
          <cell r="A103">
            <v>420800</v>
          </cell>
          <cell r="B103">
            <v>1950000</v>
          </cell>
          <cell r="C103">
            <v>0</v>
          </cell>
          <cell r="D103">
            <v>0</v>
          </cell>
          <cell r="E103">
            <v>1950000</v>
          </cell>
        </row>
        <row r="104">
          <cell r="A104">
            <v>420900</v>
          </cell>
          <cell r="B104">
            <v>6810000</v>
          </cell>
          <cell r="C104">
            <v>0</v>
          </cell>
          <cell r="D104">
            <v>0</v>
          </cell>
          <cell r="E104">
            <v>6810000</v>
          </cell>
        </row>
        <row r="105">
          <cell r="A105">
            <v>421100</v>
          </cell>
          <cell r="B105">
            <v>3710000</v>
          </cell>
          <cell r="C105">
            <v>0</v>
          </cell>
          <cell r="D105">
            <v>0</v>
          </cell>
          <cell r="E105">
            <v>3710000</v>
          </cell>
        </row>
        <row r="106">
          <cell r="A106">
            <v>421200</v>
          </cell>
          <cell r="B106">
            <v>276570000</v>
          </cell>
          <cell r="C106">
            <v>0</v>
          </cell>
          <cell r="D106">
            <v>0</v>
          </cell>
          <cell r="E106">
            <v>276570000</v>
          </cell>
        </row>
        <row r="107">
          <cell r="A107">
            <v>421600</v>
          </cell>
          <cell r="B107">
            <v>8948000</v>
          </cell>
          <cell r="C107">
            <v>0</v>
          </cell>
          <cell r="D107">
            <v>0</v>
          </cell>
          <cell r="E107">
            <v>8948000</v>
          </cell>
        </row>
        <row r="108">
          <cell r="A108">
            <v>422900</v>
          </cell>
          <cell r="B108">
            <v>112333000</v>
          </cell>
          <cell r="C108">
            <v>0</v>
          </cell>
          <cell r="D108">
            <v>0</v>
          </cell>
          <cell r="E108">
            <v>112333000</v>
          </cell>
        </row>
        <row r="109">
          <cell r="A109">
            <v>425100</v>
          </cell>
          <cell r="B109">
            <v>5000000</v>
          </cell>
          <cell r="C109">
            <v>0</v>
          </cell>
          <cell r="D109">
            <v>0</v>
          </cell>
          <cell r="E109">
            <v>5000000</v>
          </cell>
        </row>
        <row r="110">
          <cell r="A110">
            <v>425300</v>
          </cell>
          <cell r="B110">
            <v>100000</v>
          </cell>
          <cell r="C110">
            <v>0</v>
          </cell>
          <cell r="D110">
            <v>0</v>
          </cell>
          <cell r="E110">
            <v>100000</v>
          </cell>
        </row>
        <row r="111">
          <cell r="A111">
            <v>425400</v>
          </cell>
          <cell r="B111">
            <v>500000</v>
          </cell>
          <cell r="C111">
            <v>0</v>
          </cell>
          <cell r="D111">
            <v>0</v>
          </cell>
          <cell r="E111">
            <v>500000</v>
          </cell>
        </row>
        <row r="112">
          <cell r="A112">
            <v>425500</v>
          </cell>
          <cell r="B112">
            <v>0</v>
          </cell>
          <cell r="C112">
            <v>0</v>
          </cell>
          <cell r="D112">
            <v>0</v>
          </cell>
          <cell r="E112">
            <v>0</v>
          </cell>
        </row>
        <row r="113">
          <cell r="A113">
            <v>425510</v>
          </cell>
          <cell r="B113">
            <v>2500000</v>
          </cell>
          <cell r="C113">
            <v>0</v>
          </cell>
          <cell r="D113">
            <v>0</v>
          </cell>
          <cell r="E113">
            <v>2500000</v>
          </cell>
        </row>
        <row r="114">
          <cell r="A114">
            <v>425900</v>
          </cell>
          <cell r="B114">
            <v>1000000</v>
          </cell>
          <cell r="C114">
            <v>-11400</v>
          </cell>
          <cell r="D114">
            <v>11400</v>
          </cell>
          <cell r="E114">
            <v>1000000</v>
          </cell>
        </row>
        <row r="115">
          <cell r="A115">
            <v>426210</v>
          </cell>
          <cell r="B115">
            <v>0</v>
          </cell>
          <cell r="C115">
            <v>0</v>
          </cell>
          <cell r="D115">
            <v>0</v>
          </cell>
          <cell r="E115">
            <v>0</v>
          </cell>
        </row>
        <row r="116">
          <cell r="A116">
            <v>426220</v>
          </cell>
          <cell r="B116">
            <v>0</v>
          </cell>
          <cell r="C116">
            <v>0</v>
          </cell>
          <cell r="D116">
            <v>0</v>
          </cell>
          <cell r="E116">
            <v>0</v>
          </cell>
        </row>
        <row r="117">
          <cell r="A117">
            <v>426230</v>
          </cell>
          <cell r="B117">
            <v>0</v>
          </cell>
          <cell r="C117">
            <v>0</v>
          </cell>
          <cell r="D117">
            <v>0</v>
          </cell>
          <cell r="E117">
            <v>0</v>
          </cell>
        </row>
        <row r="118">
          <cell r="A118">
            <v>426240</v>
          </cell>
          <cell r="B118">
            <v>0</v>
          </cell>
          <cell r="C118">
            <v>201290.13</v>
          </cell>
          <cell r="D118">
            <v>0</v>
          </cell>
          <cell r="E118">
            <v>-201290.13</v>
          </cell>
        </row>
        <row r="119">
          <cell r="A119">
            <v>426250</v>
          </cell>
          <cell r="B119">
            <v>0</v>
          </cell>
          <cell r="C119">
            <v>0</v>
          </cell>
          <cell r="D119">
            <v>0</v>
          </cell>
          <cell r="E119">
            <v>0</v>
          </cell>
        </row>
        <row r="120">
          <cell r="A120">
            <v>426290</v>
          </cell>
          <cell r="B120">
            <v>0</v>
          </cell>
          <cell r="C120">
            <v>0</v>
          </cell>
          <cell r="D120">
            <v>0</v>
          </cell>
          <cell r="E120">
            <v>0</v>
          </cell>
        </row>
        <row r="121">
          <cell r="A121">
            <v>426610</v>
          </cell>
          <cell r="B121">
            <v>8400000</v>
          </cell>
          <cell r="C121">
            <v>0</v>
          </cell>
          <cell r="D121">
            <v>0</v>
          </cell>
          <cell r="E121">
            <v>8400000</v>
          </cell>
        </row>
        <row r="122">
          <cell r="A122">
            <v>426900</v>
          </cell>
          <cell r="B122">
            <v>100000</v>
          </cell>
          <cell r="C122">
            <v>0</v>
          </cell>
          <cell r="D122">
            <v>0</v>
          </cell>
          <cell r="E122">
            <v>100000</v>
          </cell>
        </row>
        <row r="123">
          <cell r="A123">
            <v>427000</v>
          </cell>
          <cell r="B123">
            <v>63910000</v>
          </cell>
          <cell r="C123">
            <v>0</v>
          </cell>
          <cell r="D123">
            <v>0</v>
          </cell>
          <cell r="E123">
            <v>63910000</v>
          </cell>
        </row>
        <row r="124">
          <cell r="A124">
            <v>427710</v>
          </cell>
          <cell r="B124">
            <v>750000</v>
          </cell>
          <cell r="C124">
            <v>0</v>
          </cell>
          <cell r="D124">
            <v>0</v>
          </cell>
          <cell r="E124">
            <v>750000</v>
          </cell>
        </row>
        <row r="125">
          <cell r="A125">
            <v>427810</v>
          </cell>
          <cell r="B125">
            <v>1765000</v>
          </cell>
          <cell r="C125">
            <v>0</v>
          </cell>
          <cell r="D125">
            <v>-1324.83</v>
          </cell>
          <cell r="E125">
            <v>1766324.83</v>
          </cell>
        </row>
        <row r="126">
          <cell r="A126">
            <v>427820</v>
          </cell>
          <cell r="B126">
            <v>3000000</v>
          </cell>
          <cell r="C126">
            <v>0</v>
          </cell>
          <cell r="D126">
            <v>0</v>
          </cell>
          <cell r="E126">
            <v>3000000</v>
          </cell>
        </row>
        <row r="127">
          <cell r="A127">
            <v>427900</v>
          </cell>
          <cell r="B127">
            <v>200000</v>
          </cell>
          <cell r="C127">
            <v>0</v>
          </cell>
          <cell r="D127">
            <v>0</v>
          </cell>
          <cell r="E127">
            <v>200000</v>
          </cell>
        </row>
        <row r="128">
          <cell r="A128">
            <v>428000</v>
          </cell>
          <cell r="B128">
            <v>3500000</v>
          </cell>
          <cell r="C128">
            <v>0</v>
          </cell>
          <cell r="D128">
            <v>0</v>
          </cell>
          <cell r="E128">
            <v>3500000</v>
          </cell>
        </row>
        <row r="129">
          <cell r="A129">
            <v>428100</v>
          </cell>
          <cell r="B129">
            <v>0</v>
          </cell>
          <cell r="C129">
            <v>0</v>
          </cell>
          <cell r="D129">
            <v>0</v>
          </cell>
          <cell r="E129">
            <v>0</v>
          </cell>
        </row>
        <row r="130">
          <cell r="A130">
            <v>428110</v>
          </cell>
          <cell r="B130">
            <v>14580000</v>
          </cell>
          <cell r="C130">
            <v>9600</v>
          </cell>
          <cell r="D130">
            <v>-9600</v>
          </cell>
          <cell r="E130">
            <v>14580000</v>
          </cell>
        </row>
        <row r="131">
          <cell r="A131">
            <v>429900</v>
          </cell>
          <cell r="B131">
            <v>2000000</v>
          </cell>
          <cell r="C131">
            <v>-40245</v>
          </cell>
          <cell r="D131">
            <v>39750</v>
          </cell>
          <cell r="E131">
            <v>2000495</v>
          </cell>
        </row>
        <row r="132">
          <cell r="A132">
            <v>430120</v>
          </cell>
          <cell r="B132">
            <v>34219000</v>
          </cell>
          <cell r="C132">
            <v>0</v>
          </cell>
          <cell r="D132">
            <v>0</v>
          </cell>
          <cell r="E132">
            <v>34219000</v>
          </cell>
        </row>
        <row r="133">
          <cell r="A133">
            <v>430330</v>
          </cell>
          <cell r="B133">
            <v>9864000</v>
          </cell>
          <cell r="C133">
            <v>0</v>
          </cell>
          <cell r="D133">
            <v>0</v>
          </cell>
          <cell r="E133">
            <v>9864000</v>
          </cell>
        </row>
        <row r="134">
          <cell r="A134">
            <v>432120</v>
          </cell>
          <cell r="B134">
            <v>11201000</v>
          </cell>
          <cell r="C134">
            <v>0</v>
          </cell>
          <cell r="D134">
            <v>0</v>
          </cell>
          <cell r="E134">
            <v>11201000</v>
          </cell>
        </row>
        <row r="135">
          <cell r="A135">
            <v>432205</v>
          </cell>
          <cell r="B135">
            <v>4820000</v>
          </cell>
          <cell r="C135">
            <v>-48000</v>
          </cell>
          <cell r="D135">
            <v>48000</v>
          </cell>
          <cell r="E135">
            <v>4820000</v>
          </cell>
        </row>
        <row r="136">
          <cell r="A136">
            <v>432212</v>
          </cell>
          <cell r="B136">
            <v>30000</v>
          </cell>
          <cell r="C136">
            <v>0</v>
          </cell>
          <cell r="D136">
            <v>0</v>
          </cell>
          <cell r="E136">
            <v>30000</v>
          </cell>
        </row>
        <row r="137">
          <cell r="A137">
            <v>432310</v>
          </cell>
          <cell r="B137">
            <v>1000000</v>
          </cell>
          <cell r="C137">
            <v>0</v>
          </cell>
          <cell r="D137">
            <v>0</v>
          </cell>
          <cell r="E137">
            <v>1000000</v>
          </cell>
        </row>
        <row r="138">
          <cell r="A138">
            <v>432520</v>
          </cell>
          <cell r="B138">
            <v>1500000</v>
          </cell>
          <cell r="C138">
            <v>0</v>
          </cell>
          <cell r="D138">
            <v>0</v>
          </cell>
          <cell r="E138">
            <v>1500000</v>
          </cell>
        </row>
        <row r="139">
          <cell r="A139">
            <v>432540</v>
          </cell>
          <cell r="B139">
            <v>228932000</v>
          </cell>
          <cell r="C139">
            <v>0</v>
          </cell>
          <cell r="D139">
            <v>0</v>
          </cell>
          <cell r="E139">
            <v>228932000</v>
          </cell>
        </row>
        <row r="140">
          <cell r="A140">
            <v>432690</v>
          </cell>
          <cell r="B140">
            <v>1000000</v>
          </cell>
          <cell r="C140">
            <v>0</v>
          </cell>
          <cell r="D140">
            <v>0</v>
          </cell>
          <cell r="E140">
            <v>1000000</v>
          </cell>
        </row>
        <row r="141">
          <cell r="A141">
            <v>433909</v>
          </cell>
          <cell r="B141">
            <v>485486000</v>
          </cell>
          <cell r="C141">
            <v>-429400</v>
          </cell>
          <cell r="D141">
            <v>-42000</v>
          </cell>
          <cell r="E141">
            <v>485957400</v>
          </cell>
        </row>
        <row r="142">
          <cell r="A142">
            <v>435310</v>
          </cell>
          <cell r="B142">
            <v>50000</v>
          </cell>
          <cell r="C142">
            <v>0</v>
          </cell>
          <cell r="D142">
            <v>0</v>
          </cell>
          <cell r="E142">
            <v>50000</v>
          </cell>
        </row>
        <row r="143">
          <cell r="A143">
            <v>435730</v>
          </cell>
          <cell r="B143">
            <v>250000</v>
          </cell>
          <cell r="C143">
            <v>0</v>
          </cell>
          <cell r="D143">
            <v>0</v>
          </cell>
          <cell r="E143">
            <v>250000</v>
          </cell>
        </row>
        <row r="144">
          <cell r="A144">
            <v>435740</v>
          </cell>
          <cell r="B144">
            <v>55000000</v>
          </cell>
          <cell r="C144">
            <v>0</v>
          </cell>
          <cell r="D144">
            <v>0</v>
          </cell>
          <cell r="E144">
            <v>55000000</v>
          </cell>
        </row>
        <row r="145">
          <cell r="A145">
            <v>436110</v>
          </cell>
          <cell r="B145">
            <v>500000</v>
          </cell>
          <cell r="C145">
            <v>0</v>
          </cell>
          <cell r="D145">
            <v>0</v>
          </cell>
          <cell r="E145">
            <v>500000</v>
          </cell>
        </row>
        <row r="146">
          <cell r="A146">
            <v>436120</v>
          </cell>
          <cell r="B146">
            <v>500000</v>
          </cell>
          <cell r="C146">
            <v>0</v>
          </cell>
          <cell r="D146">
            <v>0</v>
          </cell>
          <cell r="E146">
            <v>500000</v>
          </cell>
        </row>
        <row r="147">
          <cell r="A147">
            <v>451120</v>
          </cell>
          <cell r="B147">
            <v>0</v>
          </cell>
          <cell r="C147">
            <v>0</v>
          </cell>
          <cell r="D147">
            <v>0</v>
          </cell>
          <cell r="E147">
            <v>0</v>
          </cell>
        </row>
        <row r="148">
          <cell r="A148">
            <v>452201</v>
          </cell>
          <cell r="B148">
            <v>0</v>
          </cell>
          <cell r="C148">
            <v>0</v>
          </cell>
          <cell r="D148">
            <v>0</v>
          </cell>
          <cell r="E148">
            <v>0</v>
          </cell>
        </row>
        <row r="149">
          <cell r="A149">
            <v>458163</v>
          </cell>
          <cell r="B149">
            <v>0</v>
          </cell>
          <cell r="C149">
            <v>0</v>
          </cell>
          <cell r="D149">
            <v>0</v>
          </cell>
          <cell r="E149">
            <v>0</v>
          </cell>
        </row>
        <row r="150">
          <cell r="A150">
            <v>474000</v>
          </cell>
          <cell r="B150">
            <v>0</v>
          </cell>
          <cell r="C150">
            <v>0</v>
          </cell>
          <cell r="D150">
            <v>0</v>
          </cell>
          <cell r="E150">
            <v>0</v>
          </cell>
        </row>
        <row r="151">
          <cell r="A151">
            <v>475210</v>
          </cell>
          <cell r="B151">
            <v>0</v>
          </cell>
          <cell r="C151">
            <v>0</v>
          </cell>
          <cell r="D151">
            <v>0</v>
          </cell>
          <cell r="E151">
            <v>0</v>
          </cell>
        </row>
        <row r="152">
          <cell r="A152">
            <v>475220</v>
          </cell>
          <cell r="B152">
            <v>0</v>
          </cell>
          <cell r="C152">
            <v>0</v>
          </cell>
          <cell r="D152">
            <v>0</v>
          </cell>
          <cell r="E152">
            <v>0</v>
          </cell>
        </row>
        <row r="153">
          <cell r="A153">
            <v>475230</v>
          </cell>
          <cell r="B153">
            <v>0</v>
          </cell>
          <cell r="C153">
            <v>0</v>
          </cell>
          <cell r="D153">
            <v>0</v>
          </cell>
          <cell r="E153">
            <v>0</v>
          </cell>
        </row>
        <row r="154">
          <cell r="A154">
            <v>475240</v>
          </cell>
          <cell r="B154">
            <v>0</v>
          </cell>
          <cell r="C154">
            <v>0</v>
          </cell>
          <cell r="D154">
            <v>0</v>
          </cell>
          <cell r="E154">
            <v>0</v>
          </cell>
        </row>
        <row r="155">
          <cell r="A155">
            <v>475250</v>
          </cell>
          <cell r="B155">
            <v>0</v>
          </cell>
          <cell r="C155">
            <v>0</v>
          </cell>
          <cell r="D155">
            <v>0</v>
          </cell>
          <cell r="E155">
            <v>0</v>
          </cell>
        </row>
        <row r="156">
          <cell r="A156">
            <v>492306</v>
          </cell>
          <cell r="B156">
            <v>300000</v>
          </cell>
          <cell r="C156">
            <v>0</v>
          </cell>
          <cell r="D156">
            <v>0</v>
          </cell>
          <cell r="E156">
            <v>300000</v>
          </cell>
        </row>
        <row r="157">
          <cell r="A157">
            <v>492310</v>
          </cell>
          <cell r="B157">
            <v>15000000</v>
          </cell>
          <cell r="C157">
            <v>0</v>
          </cell>
          <cell r="D157">
            <v>0</v>
          </cell>
          <cell r="E157">
            <v>15000000</v>
          </cell>
        </row>
        <row r="158">
          <cell r="A158">
            <v>492323</v>
          </cell>
          <cell r="B158">
            <v>1000000</v>
          </cell>
          <cell r="C158">
            <v>0</v>
          </cell>
          <cell r="D158">
            <v>0</v>
          </cell>
          <cell r="E158">
            <v>1000000</v>
          </cell>
        </row>
        <row r="159">
          <cell r="A159">
            <v>492333</v>
          </cell>
          <cell r="B159">
            <v>200000</v>
          </cell>
          <cell r="C159">
            <v>0</v>
          </cell>
          <cell r="D159">
            <v>0</v>
          </cell>
          <cell r="E159">
            <v>200000</v>
          </cell>
        </row>
        <row r="160">
          <cell r="A160">
            <v>492340</v>
          </cell>
          <cell r="B160">
            <v>500000</v>
          </cell>
          <cell r="C160">
            <v>0</v>
          </cell>
          <cell r="D160">
            <v>0</v>
          </cell>
          <cell r="E160">
            <v>500000</v>
          </cell>
        </row>
        <row r="161">
          <cell r="A161">
            <v>492521</v>
          </cell>
          <cell r="B161">
            <v>0</v>
          </cell>
          <cell r="C161">
            <v>0</v>
          </cell>
          <cell r="D161">
            <v>0</v>
          </cell>
          <cell r="E161">
            <v>0</v>
          </cell>
        </row>
        <row r="162">
          <cell r="A162">
            <v>492534</v>
          </cell>
          <cell r="B162">
            <v>140000000</v>
          </cell>
          <cell r="C162">
            <v>0</v>
          </cell>
          <cell r="D162">
            <v>0</v>
          </cell>
          <cell r="E162">
            <v>140000000</v>
          </cell>
        </row>
        <row r="163">
          <cell r="A163">
            <v>492610</v>
          </cell>
          <cell r="B163">
            <v>659000</v>
          </cell>
          <cell r="C163">
            <v>-11719.6</v>
          </cell>
          <cell r="D163">
            <v>8969.6</v>
          </cell>
          <cell r="E163">
            <v>661750</v>
          </cell>
        </row>
        <row r="164">
          <cell r="A164">
            <v>495120</v>
          </cell>
          <cell r="B164">
            <v>1634000</v>
          </cell>
          <cell r="C164">
            <v>0</v>
          </cell>
          <cell r="D164">
            <v>0</v>
          </cell>
          <cell r="E164">
            <v>1634000</v>
          </cell>
        </row>
        <row r="165">
          <cell r="A165">
            <v>497360</v>
          </cell>
          <cell r="B165">
            <v>1500000</v>
          </cell>
          <cell r="C165">
            <v>0</v>
          </cell>
          <cell r="D165">
            <v>0</v>
          </cell>
          <cell r="E165">
            <v>1500000</v>
          </cell>
        </row>
        <row r="166">
          <cell r="B166">
            <v>1839993000</v>
          </cell>
          <cell r="C166">
            <v>-329874.46999999997</v>
          </cell>
          <cell r="D166">
            <v>30036356.330000006</v>
          </cell>
          <cell r="E166">
            <v>1810286518.1400001</v>
          </cell>
        </row>
      </sheetData>
      <sheetData sheetId="4"/>
      <sheetData sheetId="5">
        <row r="4">
          <cell r="I4">
            <v>7880983.3968299543</v>
          </cell>
          <cell r="L4">
            <v>11650000</v>
          </cell>
        </row>
        <row r="12">
          <cell r="I12">
            <v>5547129.9445498381</v>
          </cell>
          <cell r="L12">
            <v>8200000</v>
          </cell>
        </row>
        <row r="16">
          <cell r="I16">
            <v>34540759.825561829</v>
          </cell>
          <cell r="L16">
            <v>51059599</v>
          </cell>
        </row>
        <row r="31">
          <cell r="I31">
            <v>30787669.118093066</v>
          </cell>
          <cell r="L31">
            <v>45511623</v>
          </cell>
        </row>
        <row r="43">
          <cell r="I43">
            <v>1420944.6888447483</v>
          </cell>
          <cell r="L43">
            <v>2100500</v>
          </cell>
        </row>
      </sheetData>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avings template"/>
      <sheetName val="Entity validation"/>
    </sheetNames>
    <sheetDataSet>
      <sheetData sheetId="0" refreshError="1"/>
      <sheetData sheetId="1">
        <row r="1">
          <cell r="C1" t="str">
            <v>Municipalities and Urban Planning</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s>
    <sheetDataSet>
      <sheetData sheetId="0"/>
      <sheetData sheetId="1">
        <row r="2">
          <cell r="B2" t="str">
            <v>متقدم عن خطة العمل</v>
          </cell>
        </row>
        <row r="3">
          <cell r="B3" t="str">
            <v>مستمر حسب الخطة</v>
          </cell>
        </row>
        <row r="4">
          <cell r="B4" t="str">
            <v>متأخر عن خطة العمل</v>
          </cell>
        </row>
        <row r="5">
          <cell r="B5" t="str">
            <v>لا توجد خطة عمل</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 val="Breakdown"/>
      <sheetName val="Costcenters"/>
    </sheetNames>
    <sheetDataSet>
      <sheetData sheetId="0"/>
      <sheetData sheetId="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إدارة النقد والتخطيط المالي"/>
    </sheetNames>
    <sheetDataSet>
      <sheetData sheetId="0">
        <row r="8">
          <cell r="H8">
            <v>319384361.04000002</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rop Down List"/>
      <sheetName val="اعتماد الموازنة المقترحة"/>
      <sheetName val="التقديرات الإجمالية"/>
      <sheetName val=" النفقات الجارية"/>
      <sheetName val=" المشاريع الاستراتيجية"/>
      <sheetName val=" ترشيد الانفاق"/>
      <sheetName val="ملخص الباب 1"/>
      <sheetName val="ملخص الباب 2"/>
      <sheetName val="ملخص الباب 3"/>
      <sheetName val="ملخص الباب 4"/>
      <sheetName val="ملخص الباب 5"/>
      <sheetName val="التدفقات النقدية"/>
      <sheetName val="امكانية تخفيض البنود"/>
      <sheetName val="بيانات عامة"/>
      <sheetName val="5 | الالتزامات غير المدفوعة"/>
      <sheetName val="412110"/>
      <sheetName val="412121"/>
      <sheetName val="412123"/>
      <sheetName val="412124"/>
      <sheetName val="412125"/>
      <sheetName val="412126"/>
      <sheetName val="412151"/>
      <sheetName val="412161"/>
      <sheetName val="412162"/>
      <sheetName val="412164"/>
      <sheetName val="412165"/>
      <sheetName val="412168"/>
      <sheetName val="412184"/>
      <sheetName val="412511"/>
      <sheetName val="412512"/>
      <sheetName val="412513"/>
      <sheetName val="412521"/>
      <sheetName val="412522"/>
      <sheetName val="412523"/>
      <sheetName val="412524"/>
      <sheetName val="416930"/>
      <sheetName val="412526"/>
      <sheetName val="412527"/>
      <sheetName val="412529"/>
      <sheetName val="412530"/>
      <sheetName val="412531"/>
      <sheetName val="412532"/>
      <sheetName val="412533"/>
      <sheetName val="412534"/>
      <sheetName val="412535"/>
      <sheetName val="412537"/>
      <sheetName val="412538"/>
      <sheetName val="412539"/>
      <sheetName val="412540"/>
      <sheetName val="412542"/>
      <sheetName val="412544"/>
      <sheetName val="412546"/>
      <sheetName val="412572"/>
      <sheetName val="412573"/>
      <sheetName val="412575"/>
      <sheetName val="412590"/>
      <sheetName val="413121"/>
      <sheetName val="413310"/>
      <sheetName val="414110"/>
      <sheetName val="414120"/>
      <sheetName val="413710"/>
      <sheetName val="414310"/>
      <sheetName val="414320"/>
      <sheetName val="415110"/>
      <sheetName val="415120"/>
      <sheetName val="415181"/>
      <sheetName val="415182"/>
      <sheetName val="415183"/>
      <sheetName val="415184"/>
      <sheetName val="415185"/>
      <sheetName val="415210"/>
      <sheetName val="415220"/>
      <sheetName val="415230"/>
      <sheetName val="415310"/>
      <sheetName val="415320"/>
      <sheetName val="415330"/>
      <sheetName val="415351"/>
      <sheetName val="415352"/>
      <sheetName val="415353"/>
      <sheetName val="415410"/>
      <sheetName val="415420"/>
      <sheetName val="416110"/>
      <sheetName val="416210"/>
      <sheetName val="416230"/>
      <sheetName val="416310"/>
      <sheetName val="420110"/>
      <sheetName val="420120"/>
      <sheetName val="420130"/>
      <sheetName val="420200"/>
      <sheetName val="420310"/>
      <sheetName val="420320"/>
      <sheetName val="420500"/>
      <sheetName val="420600"/>
      <sheetName val="428640"/>
      <sheetName val="428200"/>
      <sheetName val="427710"/>
      <sheetName val="427100"/>
      <sheetName val="426800"/>
      <sheetName val="426751"/>
      <sheetName val="420570"/>
      <sheetName val="420700"/>
      <sheetName val="420800"/>
      <sheetName val="420810"/>
      <sheetName val="420900"/>
      <sheetName val="421000"/>
      <sheetName val="421100"/>
      <sheetName val="421200"/>
      <sheetName val="421600"/>
      <sheetName val="421700"/>
      <sheetName val="421800"/>
      <sheetName val="422100"/>
      <sheetName val="422400"/>
      <sheetName val="422900"/>
      <sheetName val="425100"/>
      <sheetName val="425110"/>
      <sheetName val="425300"/>
      <sheetName val="425350"/>
      <sheetName val="425400"/>
      <sheetName val="425550"/>
      <sheetName val="425510"/>
      <sheetName val="420550"/>
      <sheetName val="425720"/>
      <sheetName val="425740"/>
      <sheetName val="425741"/>
      <sheetName val="425742"/>
      <sheetName val="425743"/>
      <sheetName val="425744"/>
      <sheetName val="425745"/>
      <sheetName val="425746"/>
      <sheetName val="425747"/>
      <sheetName val="425749"/>
      <sheetName val="425750"/>
      <sheetName val="425760"/>
      <sheetName val="425761"/>
      <sheetName val="425762"/>
      <sheetName val="425763"/>
      <sheetName val="Sheet2"/>
      <sheetName val="425770"/>
      <sheetName val="425900"/>
      <sheetName val="426000"/>
      <sheetName val="426100"/>
      <sheetName val="426210"/>
      <sheetName val="426220"/>
      <sheetName val="426230"/>
      <sheetName val="426240"/>
      <sheetName val="426250"/>
      <sheetName val="426260"/>
      <sheetName val="426270"/>
      <sheetName val="426280"/>
      <sheetName val="426290"/>
      <sheetName val="426500"/>
      <sheetName val="426610"/>
      <sheetName val="426630"/>
      <sheetName val="426900"/>
      <sheetName val="427200"/>
      <sheetName val="427310"/>
      <sheetName val="427510"/>
      <sheetName val="427520"/>
      <sheetName val="427550"/>
      <sheetName val="427810"/>
      <sheetName val="427820"/>
      <sheetName val="427830"/>
      <sheetName val="427840"/>
      <sheetName val="427850"/>
      <sheetName val="427900"/>
      <sheetName val="428000"/>
      <sheetName val="428010"/>
      <sheetName val="428020"/>
      <sheetName val="428030"/>
      <sheetName val="428040"/>
      <sheetName val="428090"/>
      <sheetName val="428100"/>
      <sheetName val="428110"/>
      <sheetName val="428111"/>
      <sheetName val="428112"/>
      <sheetName val="428400"/>
      <sheetName val="428600"/>
      <sheetName val="429900"/>
      <sheetName val="430120"/>
      <sheetName val="430230"/>
      <sheetName val="430330"/>
      <sheetName val="430340"/>
      <sheetName val="432120"/>
      <sheetName val="432204"/>
      <sheetName val="436600"/>
      <sheetName val="436220"/>
      <sheetName val="435530"/>
      <sheetName val="435523"/>
      <sheetName val="435519"/>
      <sheetName val="435510"/>
      <sheetName val="435508"/>
      <sheetName val="435410"/>
      <sheetName val="435350"/>
      <sheetName val="435330"/>
      <sheetName val="432320"/>
      <sheetName val="432210"/>
      <sheetName val="432209"/>
      <sheetName val="432170"/>
      <sheetName val="432205"/>
      <sheetName val="432212"/>
      <sheetName val="432540"/>
      <sheetName val="432690"/>
      <sheetName val="435310"/>
      <sheetName val="435340"/>
      <sheetName val="435590"/>
      <sheetName val="435710"/>
      <sheetName val="435730"/>
      <sheetName val="435740"/>
      <sheetName val="435750"/>
      <sheetName val="436110"/>
      <sheetName val="461990"/>
      <sheetName val="436120"/>
      <sheetName val="474000"/>
      <sheetName val="492200"/>
      <sheetName val="492310"/>
      <sheetName val="492316"/>
      <sheetName val="492324"/>
      <sheetName val="492610"/>
      <sheetName val="495140"/>
      <sheetName val="495110"/>
      <sheetName val="Sheet3"/>
      <sheetName val="495120"/>
      <sheetName val="46185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38">
          <cell r="L238">
            <v>324804501.44780087</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abSelected="1" zoomScaleNormal="100" workbookViewId="0">
      <pane xSplit="2" ySplit="1" topLeftCell="C2" activePane="bottomRight" state="frozen"/>
      <selection pane="topRight" activeCell="G1" sqref="G1"/>
      <selection pane="bottomLeft" activeCell="A2" sqref="A2"/>
      <selection pane="bottomRight" activeCell="B2" sqref="B2"/>
    </sheetView>
  </sheetViews>
  <sheetFormatPr defaultColWidth="48.5703125" defaultRowHeight="39.950000000000003" customHeight="1" x14ac:dyDescent="0.25"/>
  <cols>
    <col min="1" max="1" width="2" style="11" bestFit="1" customWidth="1"/>
    <col min="2" max="2" width="48.7109375" style="11" bestFit="1" customWidth="1"/>
    <col min="3" max="3" width="14.140625" style="15" bestFit="1" customWidth="1"/>
    <col min="4" max="4" width="14.140625" style="11" bestFit="1" customWidth="1"/>
    <col min="5" max="9" width="40.5703125" style="11" customWidth="1"/>
    <col min="10" max="16384" width="48.5703125" style="11"/>
  </cols>
  <sheetData>
    <row r="1" spans="1:9" s="6" customFormat="1" ht="30" x14ac:dyDescent="0.25">
      <c r="A1" s="1"/>
      <c r="B1" s="2" t="s">
        <v>0</v>
      </c>
      <c r="C1" s="3" t="s">
        <v>28</v>
      </c>
      <c r="D1" s="4" t="s">
        <v>29</v>
      </c>
      <c r="E1" s="5" t="s">
        <v>1</v>
      </c>
      <c r="F1" s="5" t="s">
        <v>2</v>
      </c>
      <c r="G1" s="5" t="s">
        <v>3</v>
      </c>
      <c r="H1" s="5" t="s">
        <v>4</v>
      </c>
      <c r="I1" s="4" t="s">
        <v>5</v>
      </c>
    </row>
    <row r="2" spans="1:9" ht="30" x14ac:dyDescent="0.25">
      <c r="A2" s="7">
        <v>1</v>
      </c>
      <c r="B2" s="8" t="s">
        <v>6</v>
      </c>
      <c r="C2" s="9">
        <v>1.1000000000000001</v>
      </c>
      <c r="D2" s="19">
        <v>1.2865942605912621</v>
      </c>
      <c r="E2" s="20" t="s">
        <v>21</v>
      </c>
      <c r="F2" s="29" t="s">
        <v>20</v>
      </c>
      <c r="G2" s="21"/>
      <c r="H2" s="22"/>
      <c r="I2" s="17" t="s">
        <v>7</v>
      </c>
    </row>
    <row r="3" spans="1:9" s="13" customFormat="1" ht="75" x14ac:dyDescent="0.25">
      <c r="A3" s="12">
        <v>2</v>
      </c>
      <c r="B3" s="8" t="s">
        <v>8</v>
      </c>
      <c r="C3" s="9">
        <v>0.05</v>
      </c>
      <c r="D3" s="30">
        <f>('[18]إدارة النقد والتخطيط المالي'!$H$8-'[19]التدفقات النقدية'!$L$238)/'[18]إدارة النقد والتخطيط المالي'!$H$8</f>
        <v>-1.6970588009229511E-2</v>
      </c>
      <c r="E3" s="36" t="s">
        <v>30</v>
      </c>
      <c r="F3" s="37" t="s">
        <v>31</v>
      </c>
      <c r="G3" s="20" t="s">
        <v>16</v>
      </c>
      <c r="H3" s="20" t="s">
        <v>17</v>
      </c>
      <c r="I3" s="17" t="s">
        <v>7</v>
      </c>
    </row>
    <row r="4" spans="1:9" ht="59.1" customHeight="1" x14ac:dyDescent="0.25">
      <c r="A4" s="7">
        <v>3</v>
      </c>
      <c r="B4" s="8" t="s">
        <v>9</v>
      </c>
      <c r="C4" s="10">
        <v>0.9</v>
      </c>
      <c r="D4" s="31">
        <v>0.97931026064033511</v>
      </c>
      <c r="E4" s="36" t="s">
        <v>30</v>
      </c>
      <c r="F4" s="37" t="s">
        <v>31</v>
      </c>
      <c r="G4" s="27" t="s">
        <v>16</v>
      </c>
      <c r="H4" s="20" t="s">
        <v>17</v>
      </c>
      <c r="I4" s="28" t="s">
        <v>7</v>
      </c>
    </row>
    <row r="5" spans="1:9" ht="56.45" customHeight="1" x14ac:dyDescent="0.25">
      <c r="A5" s="12">
        <v>4</v>
      </c>
      <c r="B5" s="8" t="s">
        <v>10</v>
      </c>
      <c r="C5" s="10">
        <v>0.91</v>
      </c>
      <c r="D5" s="19">
        <v>1</v>
      </c>
      <c r="E5" s="27" t="s">
        <v>25</v>
      </c>
      <c r="F5" s="27" t="s">
        <v>26</v>
      </c>
      <c r="G5" s="18"/>
      <c r="H5" s="18"/>
      <c r="I5" s="17" t="s">
        <v>7</v>
      </c>
    </row>
    <row r="6" spans="1:9" ht="39.950000000000003" hidden="1" customHeight="1" x14ac:dyDescent="0.25">
      <c r="A6" s="7">
        <v>5</v>
      </c>
      <c r="B6" s="14" t="s">
        <v>11</v>
      </c>
      <c r="C6" s="10">
        <v>0.91</v>
      </c>
      <c r="D6" s="10"/>
      <c r="E6" s="16" t="s">
        <v>12</v>
      </c>
      <c r="F6" s="16" t="s">
        <v>13</v>
      </c>
      <c r="G6" s="18"/>
      <c r="H6" s="18"/>
      <c r="I6" s="17" t="s">
        <v>7</v>
      </c>
    </row>
    <row r="7" spans="1:9" ht="65.45" customHeight="1" x14ac:dyDescent="0.25">
      <c r="A7" s="12">
        <v>6</v>
      </c>
      <c r="B7" s="8" t="s">
        <v>14</v>
      </c>
      <c r="C7" s="9">
        <v>1</v>
      </c>
      <c r="D7" s="9">
        <v>0.99199999999999999</v>
      </c>
      <c r="E7" s="23" t="s">
        <v>18</v>
      </c>
      <c r="F7" s="23" t="s">
        <v>15</v>
      </c>
      <c r="G7" s="24" t="s">
        <v>27</v>
      </c>
      <c r="H7" s="25" t="s">
        <v>19</v>
      </c>
      <c r="I7" s="26" t="s">
        <v>7</v>
      </c>
    </row>
    <row r="10" spans="1:9" ht="39.950000000000003" customHeight="1" x14ac:dyDescent="0.25">
      <c r="C10" s="15" t="s">
        <v>22</v>
      </c>
      <c r="D10" s="32">
        <v>324804501.44780087</v>
      </c>
    </row>
    <row r="11" spans="1:9" ht="39.950000000000003" customHeight="1" x14ac:dyDescent="0.25">
      <c r="C11" s="15" t="s">
        <v>23</v>
      </c>
      <c r="D11" s="33">
        <v>501428161.7100001</v>
      </c>
    </row>
    <row r="12" spans="1:9" ht="39.950000000000003" customHeight="1" x14ac:dyDescent="0.25">
      <c r="C12" s="15" t="s">
        <v>24</v>
      </c>
      <c r="D12" s="11">
        <v>819512542.68000007</v>
      </c>
    </row>
    <row r="13" spans="1:9" ht="39.950000000000003" customHeight="1" x14ac:dyDescent="0.25">
      <c r="D13" s="34">
        <f>D12-D11</f>
        <v>318084380.96999997</v>
      </c>
    </row>
    <row r="14" spans="1:9" ht="39.950000000000003" customHeight="1" x14ac:dyDescent="0.25">
      <c r="D14" s="35">
        <f>D13/D10</f>
        <v>0.97931026064033511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Q2 2022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Eiman Al Khoori</dc:creator>
  <cp:lastModifiedBy>Al Anood Al Khoori</cp:lastModifiedBy>
  <dcterms:created xsi:type="dcterms:W3CDTF">2022-04-15T06:29:21Z</dcterms:created>
  <dcterms:modified xsi:type="dcterms:W3CDTF">2023-09-12T06:58:33Z</dcterms:modified>
</cp:coreProperties>
</file>