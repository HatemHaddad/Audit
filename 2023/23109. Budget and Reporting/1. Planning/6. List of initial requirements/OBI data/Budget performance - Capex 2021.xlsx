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31" documentId="11_0B7EDA7F142881A38008692AB5AF3BD15B46AF9C" xr6:coauthVersionLast="47" xr6:coauthVersionMax="47" xr10:uidLastSave="{919CDFA0-F663-4F06-B708-98747E59684D}"/>
  <bookViews>
    <workbookView xWindow="-110" yWindow="-110" windowWidth="19420" windowHeight="104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Sheet1!$A$3:$M$49</definedName>
  </definedNames>
  <calcPr calcId="191029"/>
  <pivotCaches>
    <pivotCache cacheId="1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0" i="2"/>
  <c r="D9" i="2"/>
</calcChain>
</file>

<file path=xl/sharedStrings.xml><?xml version="1.0" encoding="utf-8"?>
<sst xmlns="http://schemas.openxmlformats.org/spreadsheetml/2006/main" count="293" uniqueCount="133">
  <si>
    <t>Budget performance - Capex</t>
  </si>
  <si>
    <t/>
  </si>
  <si>
    <t>Ledger Name</t>
  </si>
  <si>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</si>
  <si>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</si>
  <si>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</si>
  <si>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</si>
  <si>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</si>
  <si>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</si>
  <si>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</si>
  <si>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</si>
  <si>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</si>
  <si>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</si>
  <si>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</si>
  <si>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</si>
  <si>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8470110</t>
  </si>
  <si>
    <t>KUST - Office of the President</t>
  </si>
  <si>
    <t>492316</t>
  </si>
  <si>
    <t>Laboratory equipment</t>
  </si>
  <si>
    <t>847.8470110.1.492316.000000.847001.300180</t>
  </si>
  <si>
    <t>8470140</t>
  </si>
  <si>
    <t>KUST - Communication</t>
  </si>
  <si>
    <t>492310</t>
  </si>
  <si>
    <t>Hardware &amp; peripherals</t>
  </si>
  <si>
    <t>847.8470140.1.492310.000000.847001.300180</t>
  </si>
  <si>
    <t>8470220</t>
  </si>
  <si>
    <t>KUST - Office of the Provost</t>
  </si>
  <si>
    <t>847.8470220.1.492316.000000.847001.300180</t>
  </si>
  <si>
    <t>8470305</t>
  </si>
  <si>
    <t>KUST - Dean Of Engineering</t>
  </si>
  <si>
    <t>847.8470305.1.492316.000000.847001.000000</t>
  </si>
  <si>
    <t>8470310</t>
  </si>
  <si>
    <t>KUST - Aerospace Engineering</t>
  </si>
  <si>
    <t>847.8470310.1.492316.000000.847001.300180</t>
  </si>
  <si>
    <t>8470315</t>
  </si>
  <si>
    <t>KUST - Biomedical Engineering</t>
  </si>
  <si>
    <t>847.8470315.1.492316.000000.847001.300180</t>
  </si>
  <si>
    <t>8470325</t>
  </si>
  <si>
    <t>KUST - Civil Engineering</t>
  </si>
  <si>
    <t>847.8470325.1.492316.000000.847001.300180</t>
  </si>
  <si>
    <t>8470330</t>
  </si>
  <si>
    <t>KUST - Electrical &amp; Computer Engineering</t>
  </si>
  <si>
    <t>847.8470330.1.492316.000000.847001.300180</t>
  </si>
  <si>
    <t>8470335</t>
  </si>
  <si>
    <t>KUST - Management, Science &amp; Engineering</t>
  </si>
  <si>
    <t>847.8470335.1.492316.000000.847001.300180</t>
  </si>
  <si>
    <t>8470340</t>
  </si>
  <si>
    <t>KUST - Mechanical Engineering</t>
  </si>
  <si>
    <t>847.8470340.1.492316.000000.847001.300180</t>
  </si>
  <si>
    <t>8470345</t>
  </si>
  <si>
    <t>KUST - Nuclear Engineering</t>
  </si>
  <si>
    <t>847.8470345.1.492316.000000.847001.300180</t>
  </si>
  <si>
    <t>8470350</t>
  </si>
  <si>
    <t>KUST - Petroleum Engineering</t>
  </si>
  <si>
    <t>847.8470350.1.492316.000000.847001.300180</t>
  </si>
  <si>
    <t>8470415</t>
  </si>
  <si>
    <t>KUST - Chemistry</t>
  </si>
  <si>
    <t>847.8470415.1.492316.000000.847001.300180</t>
  </si>
  <si>
    <t>8470425</t>
  </si>
  <si>
    <t>KUST - Physics</t>
  </si>
  <si>
    <t>847.8470425.1.492316.000000.847001.300180</t>
  </si>
  <si>
    <t>8470530</t>
  </si>
  <si>
    <t>KUST - Facilities Management</t>
  </si>
  <si>
    <t>492200</t>
  </si>
  <si>
    <t>Capital expense - Buildings</t>
  </si>
  <si>
    <t>847.8470530.1.492200.000000.847001.300180</t>
  </si>
  <si>
    <t>847.8470530.1.492200.000000.847010.300180</t>
  </si>
  <si>
    <t>847.8470530.1.492200.000000.847015.300180</t>
  </si>
  <si>
    <t>847.8470530.1.492200.000000.847020.300180</t>
  </si>
  <si>
    <t>847.8470530.1.492200.000000.847030.000000</t>
  </si>
  <si>
    <t>847.8470530.1.492200.000000.847951.300180</t>
  </si>
  <si>
    <t>847.8470530.1.492316.000000.847010.300180</t>
  </si>
  <si>
    <t>847.8470530.1.492316.000000.847030.300180</t>
  </si>
  <si>
    <t>492610</t>
  </si>
  <si>
    <t>Furniture &amp; Fixtures - Offices</t>
  </si>
  <si>
    <t>847.8470530.1.492610.000000.847010.300180</t>
  </si>
  <si>
    <t>847.8470530.1.492610.000000.847015.300180</t>
  </si>
  <si>
    <t>847.8470530.1.492610.000000.847030.300180</t>
  </si>
  <si>
    <t>495140</t>
  </si>
  <si>
    <t>Copyrights, patents and licenses</t>
  </si>
  <si>
    <t>847.8470530.1.495140.000000.847010.300180</t>
  </si>
  <si>
    <t>8470620</t>
  </si>
  <si>
    <t>KUST - Finance Operations</t>
  </si>
  <si>
    <t>847.8470620.1.495140.000000.847001.000000</t>
  </si>
  <si>
    <t>8470720</t>
  </si>
  <si>
    <t>KUST - Procurement and Contracts</t>
  </si>
  <si>
    <t>495110</t>
  </si>
  <si>
    <t>Computer software</t>
  </si>
  <si>
    <t>847.8470720.1.495110.000000.847001.300180</t>
  </si>
  <si>
    <t>8470730</t>
  </si>
  <si>
    <t>KUST - Human Resources</t>
  </si>
  <si>
    <t>847.8470730.1.495140.000000.847001.300180</t>
  </si>
  <si>
    <t>8470810</t>
  </si>
  <si>
    <t>KUST - Ankabut office</t>
  </si>
  <si>
    <t>847.8470810.1.492310.000000.847001.300180</t>
  </si>
  <si>
    <t>847.8470810.1.492316.000000.847001.300180</t>
  </si>
  <si>
    <t>847.8470810.1.495110.000000.847001.300180</t>
  </si>
  <si>
    <t>8471110</t>
  </si>
  <si>
    <t>KUST - SVP/ Research &amp; Development Office</t>
  </si>
  <si>
    <t>847.8471110.1.492316.000000.847001.300180</t>
  </si>
  <si>
    <t>8471130</t>
  </si>
  <si>
    <t>KUST - Research Service</t>
  </si>
  <si>
    <t>847.8471130.1.492316.000000.847001.300180</t>
  </si>
  <si>
    <t>8471140</t>
  </si>
  <si>
    <t>KUST - University Sponsored Research</t>
  </si>
  <si>
    <t>847.8471140.1.492316.000000.847001.300180</t>
  </si>
  <si>
    <t>8471160</t>
  </si>
  <si>
    <t>KUST - Research Laboratories</t>
  </si>
  <si>
    <t>847.8471160.1.492200.000000.847001.300180</t>
  </si>
  <si>
    <t>847.8471160.1.492316.000000.847001.300180</t>
  </si>
  <si>
    <t>8471170</t>
  </si>
  <si>
    <t>KUST - Research Computing</t>
  </si>
  <si>
    <t>847.8471170.1.492310.000000.847001.300180</t>
  </si>
  <si>
    <t>847.8471170.1.492316.000000.847001.300180</t>
  </si>
  <si>
    <t>847.8471170.1.495110.000000.847001.300180</t>
  </si>
  <si>
    <t>8471305</t>
  </si>
  <si>
    <t>KUST - Dean Of Medicine</t>
  </si>
  <si>
    <t>847.8471305.1.492310.000000.847001.300180</t>
  </si>
  <si>
    <t>847.8471305.1.492316.000000.847001.300180</t>
  </si>
  <si>
    <t>847.8471305.1.492610.000000.847001.300180</t>
  </si>
  <si>
    <t>847.8471305.1.495140.000000.847001.300180</t>
  </si>
  <si>
    <t>Grand Total</t>
  </si>
  <si>
    <t>Chapter</t>
  </si>
  <si>
    <t xml:space="preserve">Administration </t>
  </si>
  <si>
    <t>Academics</t>
  </si>
  <si>
    <t>Research</t>
  </si>
  <si>
    <t>Row Labels</t>
  </si>
  <si>
    <t>Sum of Annual Budget</t>
  </si>
  <si>
    <t>Sum of Revised Budget</t>
  </si>
  <si>
    <t>Sum of Actual Amount</t>
  </si>
  <si>
    <t>Sum of PR</t>
  </si>
  <si>
    <t>Sum of PO</t>
  </si>
  <si>
    <t>Sum of Fund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</si>
</sst>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4" x14ac:knownFonts="1">
    <font>
      <sz val="11"/>
      <color theme="1"/>
      <name val="Calibri"/>
    </font>
    <font>
      <b/>
      <sz val="11"/>
      <color rgb="FF333399"/>
      <name val="Calibri"/>
    </font>
    <font>
      <sz val="8"/>
      <color theme="1"/>
      <name val="Calibri"/>
    </font>
    <font>
      <b/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3" fontId="2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3" fontId="3" fillId="2" borderId="0" xfId="0" applyNumberFormat="1" applyFont="1" applyFill="1" applyAlignment="1">
      <alignment horizontal="righ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4"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217.378872569447" createdVersion="8" refreshedVersion="8" minRefreshableVersion="3" recordCount="44" xr:uid="{077600A5-D641-44FF-A259-888A53A79D3E}">
  <cacheSource type="worksheet">
    <worksheetSource ref="B3:M47" sheet="Sheet1"/>
  </cacheSource>
  <cacheFields count="12">
    <cacheField name="Cost Center Code" numFmtId="0">
      <sharedItems/>
    </cacheField>
    <cacheField name="Cost Center Description" numFmtId="0">
      <sharedItems/>
    </cacheField>
    <cacheField name="Account Code" numFmtId="0">
      <sharedItems/>
    </cacheField>
    <cacheField name="Account Description" numFmtId="0">
      <sharedItems/>
    </cacheField>
    <cacheField name="GL Account Combination" numFmtId="0">
      <sharedItems/>
    </cacheField>
    <cacheField name="Annual Budget" numFmtId="0">
      <sharedItems containsString="0" containsBlank="1" containsNumber="1" containsInteger="1" minValue="0" maxValue="18440891"/>
    </cacheField>
    <cacheField name="Revised Budget" numFmtId="0">
      <sharedItems containsString="0" containsBlank="1" containsNumber="1" containsInteger="1" minValue="-554772" maxValue="25179818"/>
    </cacheField>
    <cacheField name="Actual Amount" numFmtId="0">
      <sharedItems containsString="0" containsBlank="1" containsNumber="1" minValue="-53578" maxValue="25040687.859999999"/>
    </cacheField>
    <cacheField name="PR" numFmtId="0">
      <sharedItems containsString="0" containsBlank="1" containsNumber="1" minValue="-1.6298074001497301E-11" maxValue="4.65661287307739E-10"/>
    </cacheField>
    <cacheField name="PO" numFmtId="0">
      <sharedItems containsString="0" containsBlank="1" containsNumber="1" minValue="-4.65661287307739E-10" maxValue="2.3283064365386999E-10"/>
    </cacheField>
    <cacheField name="Fund Available" numFmtId="3">
      <sharedItems containsSemiMixedTypes="0" containsString="0" containsNumber="1" minValue="-2389662.5" maxValue="2321559.16"/>
    </cacheField>
    <cacheField name="Chapter" numFmtId="0">
      <sharedItems count="3">
        <s v="Administration "/>
        <s v="Academics"/>
        <s v="Researc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8470110"/>
    <s v="KUST - Office of the President"/>
    <s v="492316"/>
    <s v="Laboratory equipment"/>
    <s v="847.8470110.1.492316.000000.847001.300180"/>
    <n v="0"/>
    <n v="2847371"/>
    <n v="2847291.49"/>
    <m/>
    <n v="-4.65661287307739E-10"/>
    <n v="79.510000000763696"/>
    <x v="0"/>
  </r>
  <r>
    <s v="8470140"/>
    <s v="KUST - Communication"/>
    <s v="492310"/>
    <s v="Hardware &amp; peripherals"/>
    <s v="847.8470140.1.492310.000000.847001.300180"/>
    <n v="200000"/>
    <n v="255000"/>
    <n v="248690"/>
    <n v="0"/>
    <n v="0"/>
    <n v="6310"/>
    <x v="0"/>
  </r>
  <r>
    <s v="8470220"/>
    <s v="KUST - Office of the Provost"/>
    <s v="492316"/>
    <s v="Laboratory equipment"/>
    <s v="847.8470220.1.492316.000000.847001.300180"/>
    <n v="160720"/>
    <n v="160720"/>
    <n v="160720"/>
    <m/>
    <n v="0"/>
    <n v="0"/>
    <x v="1"/>
  </r>
  <r>
    <s v="8470305"/>
    <s v="KUST - Dean Of Engineering"/>
    <s v="492316"/>
    <s v="Laboratory equipment"/>
    <s v="847.8470305.1.492316.000000.847001.000000"/>
    <m/>
    <m/>
    <m/>
    <m/>
    <n v="0"/>
    <n v="0"/>
    <x v="1"/>
  </r>
  <r>
    <s v="8470310"/>
    <s v="KUST - Aerospace Engineering"/>
    <s v="492316"/>
    <s v="Laboratory equipment"/>
    <s v="847.8470310.1.492316.000000.847001.300180"/>
    <n v="759151"/>
    <n v="759151"/>
    <n v="658396"/>
    <n v="7.2759576141834308E-12"/>
    <n v="0"/>
    <n v="100755"/>
    <x v="1"/>
  </r>
  <r>
    <s v="8470315"/>
    <s v="KUST - Biomedical Engineering"/>
    <s v="492316"/>
    <s v="Laboratory equipment"/>
    <s v="847.8470315.1.492316.000000.847001.300180"/>
    <n v="109201"/>
    <n v="109201"/>
    <n v="106915.12"/>
    <n v="0"/>
    <n v="0"/>
    <n v="2285.8799999999901"/>
    <x v="1"/>
  </r>
  <r>
    <s v="8470325"/>
    <s v="KUST - Civil Engineering"/>
    <s v="492316"/>
    <s v="Laboratory equipment"/>
    <s v="847.8470325.1.492316.000000.847001.300180"/>
    <n v="224144"/>
    <n v="190264"/>
    <n v="190263"/>
    <n v="0"/>
    <n v="0"/>
    <n v="1"/>
    <x v="1"/>
  </r>
  <r>
    <s v="8470330"/>
    <s v="KUST - Electrical &amp; Computer Engineering"/>
    <s v="492316"/>
    <s v="Laboratory equipment"/>
    <s v="847.8470330.1.492316.000000.847001.300180"/>
    <n v="233948"/>
    <n v="228098"/>
    <n v="228093.3"/>
    <n v="-1.6298074001497301E-11"/>
    <n v="0"/>
    <n v="4.6999999999988402"/>
    <x v="1"/>
  </r>
  <r>
    <s v="8470335"/>
    <s v="KUST - Management, Science &amp; Engineering"/>
    <s v="492316"/>
    <s v="Laboratory equipment"/>
    <s v="847.8470335.1.492316.000000.847001.300180"/>
    <n v="80120"/>
    <n v="80120"/>
    <n v="31330"/>
    <n v="0"/>
    <n v="0"/>
    <n v="48790"/>
    <x v="1"/>
  </r>
  <r>
    <s v="8470340"/>
    <s v="KUST - Mechanical Engineering"/>
    <s v="492316"/>
    <s v="Laboratory equipment"/>
    <s v="847.8470340.1.492316.000000.847001.300180"/>
    <n v="269248"/>
    <n v="269248"/>
    <n v="267712"/>
    <n v="0"/>
    <n v="0"/>
    <n v="1536"/>
    <x v="1"/>
  </r>
  <r>
    <s v="8470345"/>
    <s v="KUST - Nuclear Engineering"/>
    <s v="492316"/>
    <s v="Laboratory equipment"/>
    <s v="847.8470345.1.492316.000000.847001.300180"/>
    <n v="139983"/>
    <n v="139983"/>
    <n v="77504.460000000006"/>
    <n v="0"/>
    <n v="0"/>
    <n v="62478.54"/>
    <x v="1"/>
  </r>
  <r>
    <s v="8470350"/>
    <s v="KUST - Petroleum Engineering"/>
    <s v="492316"/>
    <s v="Laboratory equipment"/>
    <s v="847.8470350.1.492316.000000.847001.300180"/>
    <n v="772173"/>
    <n v="765454"/>
    <m/>
    <n v="0"/>
    <n v="0"/>
    <n v="765454"/>
    <x v="1"/>
  </r>
  <r>
    <s v="8470415"/>
    <s v="KUST - Chemistry"/>
    <s v="492316"/>
    <s v="Laboratory equipment"/>
    <s v="847.8470415.1.492316.000000.847001.300180"/>
    <n v="781895"/>
    <n v="751051"/>
    <n v="751050"/>
    <n v="0"/>
    <n v="0"/>
    <n v="1"/>
    <x v="1"/>
  </r>
  <r>
    <s v="8470425"/>
    <s v="KUST - Physics"/>
    <s v="492316"/>
    <s v="Laboratory equipment"/>
    <s v="847.8470425.1.492316.000000.847001.300180"/>
    <n v="2912920"/>
    <n v="2437146"/>
    <n v="1788235.67"/>
    <n v="0"/>
    <n v="-6.9121597334742494E-11"/>
    <n v="648910.33000000101"/>
    <x v="1"/>
  </r>
  <r>
    <s v="8470530"/>
    <s v="KUST - Facilities Management"/>
    <s v="492200"/>
    <s v="Capital expense - Buildings"/>
    <s v="847.8470530.1.492200.000000.847001.300180"/>
    <n v="7523465"/>
    <n v="0"/>
    <m/>
    <n v="0"/>
    <m/>
    <n v="0"/>
    <x v="0"/>
  </r>
  <r>
    <s v="8470530"/>
    <s v="KUST - Facilities Management"/>
    <s v="492200"/>
    <s v="Capital expense - Buildings"/>
    <s v="847.8470530.1.492200.000000.847010.300180"/>
    <n v="6090150"/>
    <n v="25179818"/>
    <n v="25040687.859999999"/>
    <n v="0"/>
    <n v="0"/>
    <n v="139130.13999998901"/>
    <x v="0"/>
  </r>
  <r>
    <s v="8470530"/>
    <s v="KUST - Facilities Management"/>
    <s v="492200"/>
    <s v="Capital expense - Buildings"/>
    <s v="847.8470530.1.492200.000000.847015.300180"/>
    <n v="0"/>
    <n v="1725750"/>
    <n v="1343400"/>
    <n v="0"/>
    <n v="0"/>
    <n v="382350"/>
    <x v="0"/>
  </r>
  <r>
    <s v="8470530"/>
    <s v="KUST - Facilities Management"/>
    <s v="492200"/>
    <s v="Capital expense - Buildings"/>
    <s v="847.8470530.1.492200.000000.847020.300180"/>
    <n v="6910200"/>
    <n v="2319769"/>
    <n v="2319769"/>
    <n v="0"/>
    <n v="0"/>
    <n v="0"/>
    <x v="0"/>
  </r>
  <r>
    <s v="8470530"/>
    <s v="KUST - Facilities Management"/>
    <s v="492200"/>
    <s v="Capital expense - Buildings"/>
    <s v="847.8470530.1.492200.000000.847030.000000"/>
    <m/>
    <m/>
    <n v="-19240"/>
    <m/>
    <n v="0"/>
    <n v="19240"/>
    <x v="0"/>
  </r>
  <r>
    <s v="8470530"/>
    <s v="KUST - Facilities Management"/>
    <s v="492200"/>
    <s v="Capital expense - Buildings"/>
    <s v="847.8470530.1.492200.000000.847951.300180"/>
    <n v="38000"/>
    <n v="38000"/>
    <m/>
    <m/>
    <m/>
    <n v="38000"/>
    <x v="0"/>
  </r>
  <r>
    <s v="8470530"/>
    <s v="KUST - Facilities Management"/>
    <s v="492316"/>
    <s v="Laboratory equipment"/>
    <s v="847.8470530.1.492316.000000.847010.300180"/>
    <n v="245879"/>
    <n v="142551"/>
    <n v="146450"/>
    <n v="0"/>
    <n v="0"/>
    <n v="-3899"/>
    <x v="0"/>
  </r>
  <r>
    <s v="8470530"/>
    <s v="KUST - Facilities Management"/>
    <s v="492316"/>
    <s v="Laboratory equipment"/>
    <s v="847.8470530.1.492316.000000.847030.300180"/>
    <m/>
    <m/>
    <m/>
    <m/>
    <n v="0"/>
    <n v="0"/>
    <x v="0"/>
  </r>
  <r>
    <s v="8470530"/>
    <s v="KUST - Facilities Management"/>
    <s v="492610"/>
    <s v="Furniture &amp; Fixtures - Offices"/>
    <s v="847.8470530.1.492610.000000.847010.300180"/>
    <n v="4202925"/>
    <n v="2456175"/>
    <n v="1623493.7"/>
    <n v="0"/>
    <n v="0"/>
    <n v="832681.3"/>
    <x v="0"/>
  </r>
  <r>
    <s v="8470530"/>
    <s v="KUST - Facilities Management"/>
    <s v="492610"/>
    <s v="Furniture &amp; Fixtures - Offices"/>
    <s v="847.8470530.1.492610.000000.847015.300180"/>
    <n v="0"/>
    <n v="200000"/>
    <n v="142490"/>
    <n v="0"/>
    <n v="0"/>
    <n v="57510"/>
    <x v="0"/>
  </r>
  <r>
    <s v="8470530"/>
    <s v="KUST - Facilities Management"/>
    <s v="492610"/>
    <s v="Furniture &amp; Fixtures - Offices"/>
    <s v="847.8470530.1.492610.000000.847030.300180"/>
    <m/>
    <m/>
    <n v="-41758.5"/>
    <m/>
    <m/>
    <n v="41758.5"/>
    <x v="0"/>
  </r>
  <r>
    <s v="8470530"/>
    <s v="KUST - Facilities Management"/>
    <s v="495140"/>
    <s v="Copyrights, patents and licenses"/>
    <s v="847.8470530.1.495140.000000.847010.300180"/>
    <n v="51057"/>
    <n v="51057"/>
    <n v="18149.5"/>
    <n v="0"/>
    <n v="0"/>
    <n v="32907.5"/>
    <x v="0"/>
  </r>
  <r>
    <s v="8470620"/>
    <s v="KUST - Finance Operations"/>
    <s v="495140"/>
    <s v="Copyrights, patents and licenses"/>
    <s v="847.8470620.1.495140.000000.847001.000000"/>
    <m/>
    <m/>
    <n v="-16200"/>
    <m/>
    <n v="0"/>
    <n v="16200"/>
    <x v="0"/>
  </r>
  <r>
    <s v="8470720"/>
    <s v="KUST - Procurement and Contracts"/>
    <s v="495110"/>
    <s v="Computer software"/>
    <s v="847.8470720.1.495110.000000.847001.300180"/>
    <n v="0"/>
    <n v="72750"/>
    <m/>
    <m/>
    <m/>
    <n v="72750"/>
    <x v="0"/>
  </r>
  <r>
    <s v="8470730"/>
    <s v="KUST - Human Resources"/>
    <s v="495140"/>
    <s v="Copyrights, patents and licenses"/>
    <s v="847.8470730.1.495140.000000.847001.300180"/>
    <n v="110494"/>
    <n v="110494"/>
    <n v="18149.5"/>
    <n v="0"/>
    <n v="0"/>
    <n v="92344.5"/>
    <x v="0"/>
  </r>
  <r>
    <s v="8470810"/>
    <s v="KUST - Ankabut office"/>
    <s v="492310"/>
    <s v="Hardware &amp; peripherals"/>
    <s v="847.8470810.1.492310.000000.847001.300180"/>
    <n v="3472296"/>
    <n v="3472296"/>
    <n v="3471424"/>
    <n v="0"/>
    <n v="0"/>
    <n v="872"/>
    <x v="0"/>
  </r>
  <r>
    <s v="8470810"/>
    <s v="KUST - Ankabut office"/>
    <s v="492316"/>
    <s v="Laboratory equipment"/>
    <s v="847.8470810.1.492316.000000.847001.300180"/>
    <n v="0"/>
    <n v="-38605"/>
    <n v="-53578"/>
    <n v="0"/>
    <n v="0"/>
    <n v="14973"/>
    <x v="0"/>
  </r>
  <r>
    <s v="8470810"/>
    <s v="KUST - Ankabut office"/>
    <s v="495110"/>
    <s v="Computer software"/>
    <s v="847.8470810.1.495110.000000.847001.300180"/>
    <n v="800000"/>
    <n v="800000"/>
    <n v="796333.2"/>
    <n v="0"/>
    <n v="0"/>
    <n v="3666.8000000000502"/>
    <x v="0"/>
  </r>
  <r>
    <s v="8471110"/>
    <s v="KUST - SVP/ Research &amp; Development Office"/>
    <s v="492316"/>
    <s v="Laboratory equipment"/>
    <s v="847.8471110.1.492316.000000.847001.300180"/>
    <n v="0"/>
    <n v="6996916"/>
    <n v="6996915.5499999998"/>
    <m/>
    <n v="-2.23517418115882E-10"/>
    <n v="0.450000000409782"/>
    <x v="2"/>
  </r>
  <r>
    <s v="8471130"/>
    <s v="KUST - Research Service"/>
    <s v="492316"/>
    <s v="Laboratory equipment"/>
    <s v="847.8471130.1.492316.000000.847001.300180"/>
    <n v="0"/>
    <n v="0"/>
    <m/>
    <m/>
    <m/>
    <n v="0"/>
    <x v="2"/>
  </r>
  <r>
    <s v="8471140"/>
    <s v="KUST - University Sponsored Research"/>
    <s v="492316"/>
    <s v="Laboratory equipment"/>
    <s v="847.8471140.1.492316.000000.847001.300180"/>
    <n v="1248535"/>
    <n v="1356558"/>
    <n v="1011699.92"/>
    <n v="0"/>
    <n v="2.3283064365386999E-10"/>
    <n v="344858.08"/>
    <x v="2"/>
  </r>
  <r>
    <s v="8471160"/>
    <s v="KUST - Research Laboratories"/>
    <s v="492200"/>
    <s v="Capital expense - Buildings"/>
    <s v="847.8471160.1.492200.000000.847001.300180"/>
    <n v="6000000"/>
    <n v="-554772"/>
    <n v="1834890.5"/>
    <n v="0"/>
    <n v="0"/>
    <n v="-2389662.5"/>
    <x v="2"/>
  </r>
  <r>
    <s v="8471160"/>
    <s v="KUST - Research Laboratories"/>
    <s v="492316"/>
    <s v="Laboratory equipment"/>
    <s v="847.8471160.1.492316.000000.847001.300180"/>
    <n v="9652373"/>
    <n v="9725383"/>
    <n v="7403823.8399999999"/>
    <n v="0"/>
    <n v="0"/>
    <n v="2321559.16"/>
    <x v="2"/>
  </r>
  <r>
    <s v="8471170"/>
    <s v="KUST - Research Computing"/>
    <s v="492310"/>
    <s v="Hardware &amp; peripherals"/>
    <s v="847.8471170.1.492310.000000.847001.300180"/>
    <n v="10000"/>
    <n v="10000"/>
    <n v="9510"/>
    <n v="0"/>
    <n v="0"/>
    <n v="490"/>
    <x v="2"/>
  </r>
  <r>
    <s v="8471170"/>
    <s v="KUST - Research Computing"/>
    <s v="492316"/>
    <s v="Laboratory equipment"/>
    <s v="847.8471170.1.492316.000000.847001.300180"/>
    <n v="6595858"/>
    <n v="6595858"/>
    <n v="6593486"/>
    <n v="0"/>
    <n v="0"/>
    <n v="2372"/>
    <x v="2"/>
  </r>
  <r>
    <s v="8471170"/>
    <s v="KUST - Research Computing"/>
    <s v="495110"/>
    <s v="Computer software"/>
    <s v="847.8471170.1.495110.000000.847001.300180"/>
    <n v="190000"/>
    <n v="117250"/>
    <n v="33644"/>
    <n v="0"/>
    <n v="0"/>
    <n v="83606"/>
    <x v="2"/>
  </r>
  <r>
    <s v="8471305"/>
    <s v="KUST - Dean Of Medicine"/>
    <s v="492310"/>
    <s v="Hardware &amp; peripherals"/>
    <s v="847.8471305.1.492310.000000.847001.300180"/>
    <n v="2697637"/>
    <n v="4910637"/>
    <n v="4058968.47"/>
    <n v="0"/>
    <n v="0"/>
    <n v="851668.53"/>
    <x v="1"/>
  </r>
  <r>
    <s v="8471305"/>
    <s v="KUST - Dean Of Medicine"/>
    <s v="492316"/>
    <s v="Laboratory equipment"/>
    <s v="847.8471305.1.492316.000000.847001.300180"/>
    <n v="18440891"/>
    <n v="12352549"/>
    <n v="11810091.060000001"/>
    <n v="4.65661287307739E-10"/>
    <n v="0"/>
    <n v="542457.93999999901"/>
    <x v="1"/>
  </r>
  <r>
    <s v="8471305"/>
    <s v="KUST - Dean Of Medicine"/>
    <s v="492610"/>
    <s v="Furniture &amp; Fixtures - Offices"/>
    <s v="847.8471305.1.492610.000000.847001.300180"/>
    <n v="1630483"/>
    <n v="650000"/>
    <n v="327989.92"/>
    <n v="0"/>
    <n v="0"/>
    <n v="322010.08"/>
    <x v="1"/>
  </r>
  <r>
    <s v="8471305"/>
    <s v="KUST - Dean Of Medicine"/>
    <s v="495140"/>
    <s v="Copyrights, patents and licenses"/>
    <s v="847.8471305.1.495140.000000.847001.300180"/>
    <n v="4653254"/>
    <n v="111528"/>
    <m/>
    <m/>
    <m/>
    <n v="11152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7DE9D8-6C96-44D8-A070-57B62F1DD805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7" firstHeaderRow="0" firstDataRow="1" firstDataCol="1"/>
  <pivotFields count="12"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numFmtId="3" showAll="0"/>
    <pivotField axis="axisRow" showAll="0">
      <items count="4">
        <item x="1"/>
        <item x="0"/>
        <item x="2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Annual Budget" fld="5" baseField="0" baseItem="0"/>
    <dataField name="Sum of Revised Budget" fld="6" baseField="0" baseItem="0"/>
    <dataField name="Sum of Actual Amount" fld="7" baseField="0" baseItem="0"/>
    <dataField name="Sum of PR" fld="8" baseField="0" baseItem="0"/>
    <dataField name="Sum of PO" fld="9" baseField="0" baseItem="0"/>
    <dataField name="Sum of Fund Available" fld="10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BF84-4B60-4AF0-ABBB-5DE0BEEF57FA}">
  <dimension ref="A3:G11"/>
  <sheetViews>
    <sheetView tabSelected="1" workbookViewId="0">
      <selection activeCell="B7" sqref="B7:D7"/>
    </sheetView>
  </sheetViews>
  <sheetFormatPr defaultRowHeight="14.5" x14ac:dyDescent="0.35"/>
  <cols>
    <col min="1" max="1" width="13.7265625" bestFit="1" customWidth="1"/>
    <col min="2" max="2" width="19.54296875" bestFit="1" customWidth="1"/>
    <col min="3" max="3" width="20" bestFit="1" customWidth="1"/>
    <col min="4" max="4" width="19.81640625" bestFit="1" customWidth="1"/>
    <col min="5" max="5" width="9.26953125" bestFit="1" customWidth="1"/>
    <col min="6" max="6" width="9.54296875" bestFit="1" customWidth="1"/>
    <col min="7" max="7" width="19.453125" bestFit="1" customWidth="1"/>
  </cols>
  <sheetData>
    <row r="3" spans="1:7" x14ac:dyDescent="0.35">
      <c r="A3" s="13" t="s">
        <v>126</v>
      </c>
      <c r="B3" t="s">
        <v>127</v>
      </c>
      <c r="C3" t="s">
        <v>128</v>
      </c>
      <c r="D3" t="s">
        <v>129</v>
      </c>
      <c r="E3" t="s">
        <v>130</v>
      </c>
      <c r="F3" t="s">
        <v>131</v>
      </c>
      <c r="G3" t="s">
        <v>132</v>
      </c>
    </row>
    <row r="4" spans="1:7" x14ac:dyDescent="0.35">
      <c r="A4" s="14" t="s">
        <v>124</v>
      </c>
      <c r="B4" s="15">
        <v>33865768</v>
      </c>
      <c r="C4" s="15">
        <v>23915150</v>
      </c>
      <c r="D4" s="15">
        <v>20457269</v>
      </c>
      <c r="E4" s="15">
        <v>4.5663917092042513E-10</v>
      </c>
      <c r="F4" s="15">
        <v>-6.9121597334742494E-11</v>
      </c>
      <c r="G4" s="15">
        <v>3457881.0000000005</v>
      </c>
    </row>
    <row r="5" spans="1:7" x14ac:dyDescent="0.35">
      <c r="A5" s="14" t="s">
        <v>123</v>
      </c>
      <c r="B5" s="15">
        <v>29644466</v>
      </c>
      <c r="C5" s="15">
        <v>39632426</v>
      </c>
      <c r="D5" s="15">
        <v>37885551.75</v>
      </c>
      <c r="E5" s="15">
        <v>0</v>
      </c>
      <c r="F5" s="15">
        <v>-4.65661287307739E-10</v>
      </c>
      <c r="G5" s="15">
        <v>1746874.24999999</v>
      </c>
    </row>
    <row r="6" spans="1:7" x14ac:dyDescent="0.35">
      <c r="A6" s="14" t="s">
        <v>125</v>
      </c>
      <c r="B6" s="15">
        <v>23696766</v>
      </c>
      <c r="C6" s="15">
        <v>24247193</v>
      </c>
      <c r="D6" s="15">
        <v>23883969.809999999</v>
      </c>
      <c r="E6" s="15">
        <v>0</v>
      </c>
      <c r="F6" s="15">
        <v>9.3132255379879939E-12</v>
      </c>
      <c r="G6" s="15">
        <v>363223.19000000064</v>
      </c>
    </row>
    <row r="7" spans="1:7" x14ac:dyDescent="0.35">
      <c r="A7" s="14" t="s">
        <v>121</v>
      </c>
      <c r="B7" s="15">
        <v>87207000</v>
      </c>
      <c r="C7" s="15">
        <v>87794769</v>
      </c>
      <c r="D7" s="15">
        <v>82226790.560000002</v>
      </c>
      <c r="E7" s="15">
        <v>4.5663917092042513E-10</v>
      </c>
      <c r="F7" s="15">
        <v>-5.2546965910449353E-10</v>
      </c>
      <c r="G7" s="15">
        <v>5567978.4399999911</v>
      </c>
    </row>
    <row r="9" spans="1:7" x14ac:dyDescent="0.35">
      <c r="D9" s="15">
        <f>D4+E4+F4</f>
        <v>20457269</v>
      </c>
    </row>
    <row r="10" spans="1:7" x14ac:dyDescent="0.35">
      <c r="D10" s="15">
        <f t="shared" ref="D10:D11" si="0">D5+E5+F5</f>
        <v>37885551.75</v>
      </c>
    </row>
    <row r="11" spans="1:7" x14ac:dyDescent="0.35">
      <c r="D11" s="15">
        <f t="shared" si="0"/>
        <v>23883969.809999999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showGridLines="0" topLeftCell="A27" workbookViewId="0">
      <selection activeCell="B31" sqref="A31:XFD31"/>
    </sheetView>
  </sheetViews>
  <sheetFormatPr defaultRowHeight="14.5" x14ac:dyDescent="0.35"/>
  <cols>
    <col min="1" max="1" width="28.6328125" customWidth="1"/>
    <col min="2" max="2" width="7.26953125" customWidth="1"/>
    <col min="3" max="3" width="12" customWidth="1"/>
    <col min="4" max="4" width="6.90625" customWidth="1"/>
    <col min="5" max="5" width="9.7265625" customWidth="1"/>
    <col min="6" max="6" width="33.54296875" customWidth="1"/>
    <col min="7" max="8" width="9" customWidth="1"/>
    <col min="9" max="9" width="9.54296875" customWidth="1"/>
    <col min="10" max="10" width="3.453125" customWidth="1"/>
    <col min="11" max="11" width="3.54296875" customWidth="1"/>
    <col min="12" max="12" width="9" customWidth="1"/>
  </cols>
  <sheetData>
    <row r="1" spans="1:13" x14ac:dyDescent="0.35">
      <c r="A1" s="1" t="s">
        <v>0</v>
      </c>
    </row>
    <row r="2" spans="1:13" x14ac:dyDescent="0.35">
      <c r="A2" s="2" t="s">
        <v>1</v>
      </c>
    </row>
    <row r="3" spans="1:13" ht="31.5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12" t="s">
        <v>122</v>
      </c>
    </row>
    <row r="4" spans="1:13" ht="21" x14ac:dyDescent="0.35">
      <c r="A4" s="10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5">
        <v>0</v>
      </c>
      <c r="H4" s="5">
        <v>2847371</v>
      </c>
      <c r="I4" s="5">
        <v>2847291.49</v>
      </c>
      <c r="J4" s="6"/>
      <c r="K4" s="5">
        <v>-4.65661287307739E-10</v>
      </c>
      <c r="L4" s="5">
        <v>79.510000000763696</v>
      </c>
      <c r="M4" t="s">
        <v>123</v>
      </c>
    </row>
    <row r="5" spans="1:13" ht="21" x14ac:dyDescent="0.35">
      <c r="A5" s="11"/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5">
        <v>200000</v>
      </c>
      <c r="H5" s="5">
        <v>255000</v>
      </c>
      <c r="I5" s="5">
        <v>248690</v>
      </c>
      <c r="J5" s="5">
        <v>0</v>
      </c>
      <c r="K5" s="5">
        <v>0</v>
      </c>
      <c r="L5" s="5">
        <v>6310</v>
      </c>
      <c r="M5" t="s">
        <v>123</v>
      </c>
    </row>
    <row r="6" spans="1:13" ht="21" x14ac:dyDescent="0.35">
      <c r="A6" s="11"/>
      <c r="B6" s="4" t="s">
        <v>25</v>
      </c>
      <c r="C6" s="4" t="s">
        <v>26</v>
      </c>
      <c r="D6" s="4" t="s">
        <v>17</v>
      </c>
      <c r="E6" s="4" t="s">
        <v>18</v>
      </c>
      <c r="F6" s="4" t="s">
        <v>27</v>
      </c>
      <c r="G6" s="5">
        <v>160720</v>
      </c>
      <c r="H6" s="5">
        <v>160720</v>
      </c>
      <c r="I6" s="5">
        <v>160720</v>
      </c>
      <c r="J6" s="6"/>
      <c r="K6" s="5">
        <v>0</v>
      </c>
      <c r="L6" s="5">
        <v>0</v>
      </c>
      <c r="M6" t="s">
        <v>124</v>
      </c>
    </row>
    <row r="7" spans="1:13" ht="21" x14ac:dyDescent="0.35">
      <c r="A7" s="11"/>
      <c r="B7" s="4" t="s">
        <v>28</v>
      </c>
      <c r="C7" s="4" t="s">
        <v>29</v>
      </c>
      <c r="D7" s="4" t="s">
        <v>17</v>
      </c>
      <c r="E7" s="4" t="s">
        <v>18</v>
      </c>
      <c r="F7" s="4" t="s">
        <v>30</v>
      </c>
      <c r="G7" s="6"/>
      <c r="H7" s="6"/>
      <c r="I7" s="6"/>
      <c r="J7" s="6"/>
      <c r="K7" s="5">
        <v>0</v>
      </c>
      <c r="L7" s="5">
        <v>0</v>
      </c>
      <c r="M7" t="s">
        <v>124</v>
      </c>
    </row>
    <row r="8" spans="1:13" ht="21" x14ac:dyDescent="0.35">
      <c r="A8" s="11"/>
      <c r="B8" s="4" t="s">
        <v>31</v>
      </c>
      <c r="C8" s="4" t="s">
        <v>32</v>
      </c>
      <c r="D8" s="4" t="s">
        <v>17</v>
      </c>
      <c r="E8" s="4" t="s">
        <v>18</v>
      </c>
      <c r="F8" s="4" t="s">
        <v>33</v>
      </c>
      <c r="G8" s="5">
        <v>759151</v>
      </c>
      <c r="H8" s="5">
        <v>759151</v>
      </c>
      <c r="I8" s="5">
        <v>658396</v>
      </c>
      <c r="J8" s="5">
        <v>7.2759576141834308E-12</v>
      </c>
      <c r="K8" s="5">
        <v>0</v>
      </c>
      <c r="L8" s="5">
        <v>100755</v>
      </c>
      <c r="M8" t="s">
        <v>124</v>
      </c>
    </row>
    <row r="9" spans="1:13" ht="21" x14ac:dyDescent="0.35">
      <c r="A9" s="11"/>
      <c r="B9" s="4" t="s">
        <v>34</v>
      </c>
      <c r="C9" s="4" t="s">
        <v>35</v>
      </c>
      <c r="D9" s="4" t="s">
        <v>17</v>
      </c>
      <c r="E9" s="4" t="s">
        <v>18</v>
      </c>
      <c r="F9" s="4" t="s">
        <v>36</v>
      </c>
      <c r="G9" s="5">
        <v>109201</v>
      </c>
      <c r="H9" s="5">
        <v>109201</v>
      </c>
      <c r="I9" s="5">
        <v>106915.12</v>
      </c>
      <c r="J9" s="5">
        <v>0</v>
      </c>
      <c r="K9" s="5">
        <v>0</v>
      </c>
      <c r="L9" s="5">
        <v>2285.8799999999901</v>
      </c>
      <c r="M9" t="s">
        <v>124</v>
      </c>
    </row>
    <row r="10" spans="1:13" ht="21" x14ac:dyDescent="0.35">
      <c r="A10" s="11"/>
      <c r="B10" s="4" t="s">
        <v>37</v>
      </c>
      <c r="C10" s="4" t="s">
        <v>38</v>
      </c>
      <c r="D10" s="4" t="s">
        <v>17</v>
      </c>
      <c r="E10" s="4" t="s">
        <v>18</v>
      </c>
      <c r="F10" s="4" t="s">
        <v>39</v>
      </c>
      <c r="G10" s="5">
        <v>224144</v>
      </c>
      <c r="H10" s="5">
        <v>190264</v>
      </c>
      <c r="I10" s="5">
        <v>190263</v>
      </c>
      <c r="J10" s="5">
        <v>0</v>
      </c>
      <c r="K10" s="5">
        <v>0</v>
      </c>
      <c r="L10" s="5">
        <v>1</v>
      </c>
      <c r="M10" t="s">
        <v>124</v>
      </c>
    </row>
    <row r="11" spans="1:13" ht="31.5" x14ac:dyDescent="0.35">
      <c r="A11" s="11"/>
      <c r="B11" s="4" t="s">
        <v>40</v>
      </c>
      <c r="C11" s="4" t="s">
        <v>41</v>
      </c>
      <c r="D11" s="4" t="s">
        <v>17</v>
      </c>
      <c r="E11" s="4" t="s">
        <v>18</v>
      </c>
      <c r="F11" s="4" t="s">
        <v>42</v>
      </c>
      <c r="G11" s="5">
        <v>233948</v>
      </c>
      <c r="H11" s="5">
        <v>228098</v>
      </c>
      <c r="I11" s="5">
        <v>228093.3</v>
      </c>
      <c r="J11" s="5">
        <v>-1.6298074001497301E-11</v>
      </c>
      <c r="K11" s="5">
        <v>0</v>
      </c>
      <c r="L11" s="5">
        <v>4.6999999999988402</v>
      </c>
      <c r="M11" t="s">
        <v>124</v>
      </c>
    </row>
    <row r="12" spans="1:13" ht="42" x14ac:dyDescent="0.35">
      <c r="A12" s="11"/>
      <c r="B12" s="4" t="s">
        <v>43</v>
      </c>
      <c r="C12" s="4" t="s">
        <v>44</v>
      </c>
      <c r="D12" s="4" t="s">
        <v>17</v>
      </c>
      <c r="E12" s="4" t="s">
        <v>18</v>
      </c>
      <c r="F12" s="4" t="s">
        <v>45</v>
      </c>
      <c r="G12" s="5">
        <v>80120</v>
      </c>
      <c r="H12" s="5">
        <v>80120</v>
      </c>
      <c r="I12" s="5">
        <v>31330</v>
      </c>
      <c r="J12" s="5">
        <v>0</v>
      </c>
      <c r="K12" s="5">
        <v>0</v>
      </c>
      <c r="L12" s="5">
        <v>48790</v>
      </c>
      <c r="M12" t="s">
        <v>124</v>
      </c>
    </row>
    <row r="13" spans="1:13" ht="21" x14ac:dyDescent="0.35">
      <c r="A13" s="11"/>
      <c r="B13" s="4" t="s">
        <v>46</v>
      </c>
      <c r="C13" s="4" t="s">
        <v>47</v>
      </c>
      <c r="D13" s="4" t="s">
        <v>17</v>
      </c>
      <c r="E13" s="4" t="s">
        <v>18</v>
      </c>
      <c r="F13" s="4" t="s">
        <v>48</v>
      </c>
      <c r="G13" s="5">
        <v>269248</v>
      </c>
      <c r="H13" s="5">
        <v>269248</v>
      </c>
      <c r="I13" s="5">
        <v>267712</v>
      </c>
      <c r="J13" s="5">
        <v>0</v>
      </c>
      <c r="K13" s="5">
        <v>0</v>
      </c>
      <c r="L13" s="5">
        <v>1536</v>
      </c>
      <c r="M13" t="s">
        <v>124</v>
      </c>
    </row>
    <row r="14" spans="1:13" ht="21" x14ac:dyDescent="0.35">
      <c r="A14" s="11"/>
      <c r="B14" s="4" t="s">
        <v>49</v>
      </c>
      <c r="C14" s="4" t="s">
        <v>50</v>
      </c>
      <c r="D14" s="4" t="s">
        <v>17</v>
      </c>
      <c r="E14" s="4" t="s">
        <v>18</v>
      </c>
      <c r="F14" s="4" t="s">
        <v>51</v>
      </c>
      <c r="G14" s="5">
        <v>139983</v>
      </c>
      <c r="H14" s="5">
        <v>139983</v>
      </c>
      <c r="I14" s="5">
        <v>77504.460000000006</v>
      </c>
      <c r="J14" s="5">
        <v>0</v>
      </c>
      <c r="K14" s="5">
        <v>0</v>
      </c>
      <c r="L14" s="5">
        <v>62478.54</v>
      </c>
      <c r="M14" t="s">
        <v>124</v>
      </c>
    </row>
    <row r="15" spans="1:13" ht="21" x14ac:dyDescent="0.35">
      <c r="A15" s="11"/>
      <c r="B15" s="4" t="s">
        <v>52</v>
      </c>
      <c r="C15" s="4" t="s">
        <v>53</v>
      </c>
      <c r="D15" s="4" t="s">
        <v>17</v>
      </c>
      <c r="E15" s="4" t="s">
        <v>18</v>
      </c>
      <c r="F15" s="4" t="s">
        <v>54</v>
      </c>
      <c r="G15" s="5">
        <v>772173</v>
      </c>
      <c r="H15" s="5">
        <v>765454</v>
      </c>
      <c r="I15" s="6"/>
      <c r="J15" s="5">
        <v>0</v>
      </c>
      <c r="K15" s="5">
        <v>0</v>
      </c>
      <c r="L15" s="5">
        <v>765454</v>
      </c>
      <c r="M15" t="s">
        <v>124</v>
      </c>
    </row>
    <row r="16" spans="1:13" ht="21" x14ac:dyDescent="0.35">
      <c r="A16" s="11"/>
      <c r="B16" s="4" t="s">
        <v>55</v>
      </c>
      <c r="C16" s="4" t="s">
        <v>56</v>
      </c>
      <c r="D16" s="4" t="s">
        <v>17</v>
      </c>
      <c r="E16" s="4" t="s">
        <v>18</v>
      </c>
      <c r="F16" s="4" t="s">
        <v>57</v>
      </c>
      <c r="G16" s="5">
        <v>781895</v>
      </c>
      <c r="H16" s="5">
        <v>751051</v>
      </c>
      <c r="I16" s="5">
        <v>751050</v>
      </c>
      <c r="J16" s="5">
        <v>0</v>
      </c>
      <c r="K16" s="5">
        <v>0</v>
      </c>
      <c r="L16" s="5">
        <v>1</v>
      </c>
      <c r="M16" t="s">
        <v>124</v>
      </c>
    </row>
    <row r="17" spans="1:13" ht="21" x14ac:dyDescent="0.35">
      <c r="A17" s="11"/>
      <c r="B17" s="4" t="s">
        <v>58</v>
      </c>
      <c r="C17" s="4" t="s">
        <v>59</v>
      </c>
      <c r="D17" s="4" t="s">
        <v>17</v>
      </c>
      <c r="E17" s="4" t="s">
        <v>18</v>
      </c>
      <c r="F17" s="4" t="s">
        <v>60</v>
      </c>
      <c r="G17" s="5">
        <v>2912920</v>
      </c>
      <c r="H17" s="5">
        <v>2437146</v>
      </c>
      <c r="I17" s="5">
        <v>1788235.67</v>
      </c>
      <c r="J17" s="5">
        <v>0</v>
      </c>
      <c r="K17" s="5">
        <v>-6.9121597334742494E-11</v>
      </c>
      <c r="L17" s="5">
        <v>648910.33000000101</v>
      </c>
      <c r="M17" t="s">
        <v>124</v>
      </c>
    </row>
    <row r="18" spans="1:13" ht="31.5" x14ac:dyDescent="0.35">
      <c r="A18" s="11"/>
      <c r="B18" s="4" t="s">
        <v>61</v>
      </c>
      <c r="C18" s="4" t="s">
        <v>62</v>
      </c>
      <c r="D18" s="4" t="s">
        <v>63</v>
      </c>
      <c r="E18" s="4" t="s">
        <v>64</v>
      </c>
      <c r="F18" s="4" t="s">
        <v>65</v>
      </c>
      <c r="G18" s="5">
        <v>7523465</v>
      </c>
      <c r="H18" s="5">
        <v>0</v>
      </c>
      <c r="I18" s="6"/>
      <c r="J18" s="5">
        <v>0</v>
      </c>
      <c r="K18" s="6"/>
      <c r="L18" s="5">
        <v>0</v>
      </c>
      <c r="M18" t="s">
        <v>123</v>
      </c>
    </row>
    <row r="19" spans="1:13" ht="31.5" x14ac:dyDescent="0.35">
      <c r="A19" s="11"/>
      <c r="B19" s="4" t="s">
        <v>61</v>
      </c>
      <c r="C19" s="4" t="s">
        <v>62</v>
      </c>
      <c r="D19" s="4" t="s">
        <v>63</v>
      </c>
      <c r="E19" s="4" t="s">
        <v>64</v>
      </c>
      <c r="F19" s="4" t="s">
        <v>66</v>
      </c>
      <c r="G19" s="5">
        <v>6090150</v>
      </c>
      <c r="H19" s="5">
        <v>25179818</v>
      </c>
      <c r="I19" s="5">
        <v>25040687.859999999</v>
      </c>
      <c r="J19" s="5">
        <v>0</v>
      </c>
      <c r="K19" s="5">
        <v>0</v>
      </c>
      <c r="L19" s="5">
        <v>139130.13999998901</v>
      </c>
      <c r="M19" t="s">
        <v>123</v>
      </c>
    </row>
    <row r="20" spans="1:13" ht="31.5" x14ac:dyDescent="0.35">
      <c r="A20" s="11"/>
      <c r="B20" s="4" t="s">
        <v>61</v>
      </c>
      <c r="C20" s="4" t="s">
        <v>62</v>
      </c>
      <c r="D20" s="4" t="s">
        <v>63</v>
      </c>
      <c r="E20" s="4" t="s">
        <v>64</v>
      </c>
      <c r="F20" s="4" t="s">
        <v>67</v>
      </c>
      <c r="G20" s="5">
        <v>0</v>
      </c>
      <c r="H20" s="5">
        <v>1725750</v>
      </c>
      <c r="I20" s="5">
        <v>1343400</v>
      </c>
      <c r="J20" s="5">
        <v>0</v>
      </c>
      <c r="K20" s="5">
        <v>0</v>
      </c>
      <c r="L20" s="5">
        <v>382350</v>
      </c>
      <c r="M20" t="s">
        <v>123</v>
      </c>
    </row>
    <row r="21" spans="1:13" ht="31.5" x14ac:dyDescent="0.35">
      <c r="A21" s="11"/>
      <c r="B21" s="4" t="s">
        <v>61</v>
      </c>
      <c r="C21" s="4" t="s">
        <v>62</v>
      </c>
      <c r="D21" s="4" t="s">
        <v>63</v>
      </c>
      <c r="E21" s="4" t="s">
        <v>64</v>
      </c>
      <c r="F21" s="4" t="s">
        <v>68</v>
      </c>
      <c r="G21" s="5">
        <v>6910200</v>
      </c>
      <c r="H21" s="5">
        <v>2319769</v>
      </c>
      <c r="I21" s="5">
        <v>2319769</v>
      </c>
      <c r="J21" s="5">
        <v>0</v>
      </c>
      <c r="K21" s="5">
        <v>0</v>
      </c>
      <c r="L21" s="5">
        <v>0</v>
      </c>
      <c r="M21" t="s">
        <v>123</v>
      </c>
    </row>
    <row r="22" spans="1:13" ht="31.5" x14ac:dyDescent="0.35">
      <c r="A22" s="11"/>
      <c r="B22" s="4" t="s">
        <v>61</v>
      </c>
      <c r="C22" s="4" t="s">
        <v>62</v>
      </c>
      <c r="D22" s="4" t="s">
        <v>63</v>
      </c>
      <c r="E22" s="4" t="s">
        <v>64</v>
      </c>
      <c r="F22" s="4" t="s">
        <v>69</v>
      </c>
      <c r="G22" s="6"/>
      <c r="H22" s="6"/>
      <c r="I22" s="5">
        <v>-19240</v>
      </c>
      <c r="J22" s="6"/>
      <c r="K22" s="5">
        <v>0</v>
      </c>
      <c r="L22" s="5">
        <v>19240</v>
      </c>
      <c r="M22" t="s">
        <v>123</v>
      </c>
    </row>
    <row r="23" spans="1:13" ht="31.5" x14ac:dyDescent="0.35">
      <c r="A23" s="11"/>
      <c r="B23" s="4" t="s">
        <v>61</v>
      </c>
      <c r="C23" s="4" t="s">
        <v>62</v>
      </c>
      <c r="D23" s="4" t="s">
        <v>63</v>
      </c>
      <c r="E23" s="4" t="s">
        <v>64</v>
      </c>
      <c r="F23" s="4" t="s">
        <v>70</v>
      </c>
      <c r="G23" s="5">
        <v>38000</v>
      </c>
      <c r="H23" s="5">
        <v>38000</v>
      </c>
      <c r="I23" s="6"/>
      <c r="J23" s="6"/>
      <c r="K23" s="6"/>
      <c r="L23" s="5">
        <v>38000</v>
      </c>
      <c r="M23" t="s">
        <v>123</v>
      </c>
    </row>
    <row r="24" spans="1:13" ht="21" x14ac:dyDescent="0.35">
      <c r="A24" s="11"/>
      <c r="B24" s="4" t="s">
        <v>61</v>
      </c>
      <c r="C24" s="4" t="s">
        <v>62</v>
      </c>
      <c r="D24" s="4" t="s">
        <v>17</v>
      </c>
      <c r="E24" s="4" t="s">
        <v>18</v>
      </c>
      <c r="F24" s="4" t="s">
        <v>71</v>
      </c>
      <c r="G24" s="5">
        <v>245879</v>
      </c>
      <c r="H24" s="5">
        <v>142551</v>
      </c>
      <c r="I24" s="5">
        <v>146450</v>
      </c>
      <c r="J24" s="5">
        <v>0</v>
      </c>
      <c r="K24" s="5">
        <v>0</v>
      </c>
      <c r="L24" s="5">
        <v>-3899</v>
      </c>
      <c r="M24" t="s">
        <v>123</v>
      </c>
    </row>
    <row r="25" spans="1:13" ht="21" x14ac:dyDescent="0.35">
      <c r="A25" s="11"/>
      <c r="B25" s="4" t="s">
        <v>61</v>
      </c>
      <c r="C25" s="4" t="s">
        <v>62</v>
      </c>
      <c r="D25" s="4" t="s">
        <v>17</v>
      </c>
      <c r="E25" s="4" t="s">
        <v>18</v>
      </c>
      <c r="F25" s="4" t="s">
        <v>72</v>
      </c>
      <c r="G25" s="6"/>
      <c r="H25" s="6"/>
      <c r="I25" s="6"/>
      <c r="J25" s="6"/>
      <c r="K25" s="5">
        <v>0</v>
      </c>
      <c r="L25" s="5">
        <v>0</v>
      </c>
      <c r="M25" t="s">
        <v>123</v>
      </c>
    </row>
    <row r="26" spans="1:13" ht="31.5" x14ac:dyDescent="0.35">
      <c r="A26" s="11"/>
      <c r="B26" s="4" t="s">
        <v>61</v>
      </c>
      <c r="C26" s="4" t="s">
        <v>62</v>
      </c>
      <c r="D26" s="4" t="s">
        <v>73</v>
      </c>
      <c r="E26" s="4" t="s">
        <v>74</v>
      </c>
      <c r="F26" s="4" t="s">
        <v>75</v>
      </c>
      <c r="G26" s="5">
        <v>4202925</v>
      </c>
      <c r="H26" s="5">
        <v>2456175</v>
      </c>
      <c r="I26" s="5">
        <v>1623493.7</v>
      </c>
      <c r="J26" s="5">
        <v>0</v>
      </c>
      <c r="K26" s="5">
        <v>0</v>
      </c>
      <c r="L26" s="5">
        <v>832681.3</v>
      </c>
      <c r="M26" t="s">
        <v>123</v>
      </c>
    </row>
    <row r="27" spans="1:13" ht="31.5" x14ac:dyDescent="0.35">
      <c r="A27" s="11"/>
      <c r="B27" s="4" t="s">
        <v>61</v>
      </c>
      <c r="C27" s="4" t="s">
        <v>62</v>
      </c>
      <c r="D27" s="4" t="s">
        <v>73</v>
      </c>
      <c r="E27" s="4" t="s">
        <v>74</v>
      </c>
      <c r="F27" s="4" t="s">
        <v>76</v>
      </c>
      <c r="G27" s="5">
        <v>0</v>
      </c>
      <c r="H27" s="5">
        <v>200000</v>
      </c>
      <c r="I27" s="5">
        <v>142490</v>
      </c>
      <c r="J27" s="5">
        <v>0</v>
      </c>
      <c r="K27" s="5">
        <v>0</v>
      </c>
      <c r="L27" s="5">
        <v>57510</v>
      </c>
      <c r="M27" t="s">
        <v>123</v>
      </c>
    </row>
    <row r="28" spans="1:13" ht="31.5" x14ac:dyDescent="0.35">
      <c r="A28" s="11"/>
      <c r="B28" s="4" t="s">
        <v>61</v>
      </c>
      <c r="C28" s="4" t="s">
        <v>62</v>
      </c>
      <c r="D28" s="4" t="s">
        <v>73</v>
      </c>
      <c r="E28" s="4" t="s">
        <v>74</v>
      </c>
      <c r="F28" s="4" t="s">
        <v>77</v>
      </c>
      <c r="G28" s="6"/>
      <c r="H28" s="6"/>
      <c r="I28" s="5">
        <v>-41758.5</v>
      </c>
      <c r="J28" s="6"/>
      <c r="K28" s="6"/>
      <c r="L28" s="5">
        <v>41758.5</v>
      </c>
      <c r="M28" t="s">
        <v>123</v>
      </c>
    </row>
    <row r="29" spans="1:13" ht="31.5" x14ac:dyDescent="0.35">
      <c r="A29" s="11"/>
      <c r="B29" s="4" t="s">
        <v>61</v>
      </c>
      <c r="C29" s="4" t="s">
        <v>62</v>
      </c>
      <c r="D29" s="4" t="s">
        <v>78</v>
      </c>
      <c r="E29" s="4" t="s">
        <v>79</v>
      </c>
      <c r="F29" s="4" t="s">
        <v>80</v>
      </c>
      <c r="G29" s="5">
        <v>51057</v>
      </c>
      <c r="H29" s="5">
        <v>51057</v>
      </c>
      <c r="I29" s="5">
        <v>18149.5</v>
      </c>
      <c r="J29" s="5">
        <v>0</v>
      </c>
      <c r="K29" s="5">
        <v>0</v>
      </c>
      <c r="L29" s="5">
        <v>32907.5</v>
      </c>
      <c r="M29" t="s">
        <v>123</v>
      </c>
    </row>
    <row r="30" spans="1:13" ht="31.5" x14ac:dyDescent="0.35">
      <c r="A30" s="11"/>
      <c r="B30" s="4" t="s">
        <v>81</v>
      </c>
      <c r="C30" s="4" t="s">
        <v>82</v>
      </c>
      <c r="D30" s="4" t="s">
        <v>78</v>
      </c>
      <c r="E30" s="4" t="s">
        <v>79</v>
      </c>
      <c r="F30" s="4" t="s">
        <v>83</v>
      </c>
      <c r="G30" s="6"/>
      <c r="H30" s="6"/>
      <c r="I30" s="5">
        <v>-16200</v>
      </c>
      <c r="J30" s="6"/>
      <c r="K30" s="5">
        <v>0</v>
      </c>
      <c r="L30" s="5">
        <v>16200</v>
      </c>
      <c r="M30" t="s">
        <v>123</v>
      </c>
    </row>
    <row r="31" spans="1:13" ht="31.5" x14ac:dyDescent="0.35">
      <c r="A31" s="11"/>
      <c r="B31" s="4" t="s">
        <v>84</v>
      </c>
      <c r="C31" s="4" t="s">
        <v>85</v>
      </c>
      <c r="D31" s="4" t="s">
        <v>86</v>
      </c>
      <c r="E31" s="4" t="s">
        <v>87</v>
      </c>
      <c r="F31" s="4" t="s">
        <v>88</v>
      </c>
      <c r="G31" s="5">
        <v>0</v>
      </c>
      <c r="H31" s="5">
        <v>72750</v>
      </c>
      <c r="I31" s="6"/>
      <c r="J31" s="6"/>
      <c r="K31" s="6"/>
      <c r="L31" s="5">
        <v>72750</v>
      </c>
      <c r="M31" t="s">
        <v>123</v>
      </c>
    </row>
    <row r="32" spans="1:13" ht="31.5" x14ac:dyDescent="0.35">
      <c r="A32" s="11"/>
      <c r="B32" s="4" t="s">
        <v>89</v>
      </c>
      <c r="C32" s="4" t="s">
        <v>90</v>
      </c>
      <c r="D32" s="4" t="s">
        <v>78</v>
      </c>
      <c r="E32" s="4" t="s">
        <v>79</v>
      </c>
      <c r="F32" s="4" t="s">
        <v>91</v>
      </c>
      <c r="G32" s="5">
        <v>110494</v>
      </c>
      <c r="H32" s="5">
        <v>110494</v>
      </c>
      <c r="I32" s="5">
        <v>18149.5</v>
      </c>
      <c r="J32" s="5">
        <v>0</v>
      </c>
      <c r="K32" s="5">
        <v>0</v>
      </c>
      <c r="L32" s="5">
        <v>92344.5</v>
      </c>
      <c r="M32" t="s">
        <v>123</v>
      </c>
    </row>
    <row r="33" spans="1:13" ht="21" x14ac:dyDescent="0.35">
      <c r="A33" s="11"/>
      <c r="B33" s="4" t="s">
        <v>92</v>
      </c>
      <c r="C33" s="4" t="s">
        <v>93</v>
      </c>
      <c r="D33" s="4" t="s">
        <v>22</v>
      </c>
      <c r="E33" s="4" t="s">
        <v>23</v>
      </c>
      <c r="F33" s="4" t="s">
        <v>94</v>
      </c>
      <c r="G33" s="5">
        <v>3472296</v>
      </c>
      <c r="H33" s="5">
        <v>3472296</v>
      </c>
      <c r="I33" s="5">
        <v>3471424</v>
      </c>
      <c r="J33" s="5">
        <v>0</v>
      </c>
      <c r="K33" s="5">
        <v>0</v>
      </c>
      <c r="L33" s="5">
        <v>872</v>
      </c>
      <c r="M33" t="s">
        <v>123</v>
      </c>
    </row>
    <row r="34" spans="1:13" ht="21" x14ac:dyDescent="0.35">
      <c r="A34" s="11"/>
      <c r="B34" s="4" t="s">
        <v>92</v>
      </c>
      <c r="C34" s="4" t="s">
        <v>93</v>
      </c>
      <c r="D34" s="4" t="s">
        <v>17</v>
      </c>
      <c r="E34" s="4" t="s">
        <v>18</v>
      </c>
      <c r="F34" s="4" t="s">
        <v>95</v>
      </c>
      <c r="G34" s="5">
        <v>0</v>
      </c>
      <c r="H34" s="5">
        <v>-38605</v>
      </c>
      <c r="I34" s="5">
        <v>-53578</v>
      </c>
      <c r="J34" s="5">
        <v>0</v>
      </c>
      <c r="K34" s="5">
        <v>0</v>
      </c>
      <c r="L34" s="5">
        <v>14973</v>
      </c>
      <c r="M34" t="s">
        <v>123</v>
      </c>
    </row>
    <row r="35" spans="1:13" ht="21" x14ac:dyDescent="0.35">
      <c r="A35" s="11"/>
      <c r="B35" s="4" t="s">
        <v>92</v>
      </c>
      <c r="C35" s="4" t="s">
        <v>93</v>
      </c>
      <c r="D35" s="4" t="s">
        <v>86</v>
      </c>
      <c r="E35" s="4" t="s">
        <v>87</v>
      </c>
      <c r="F35" s="4" t="s">
        <v>96</v>
      </c>
      <c r="G35" s="5">
        <v>800000</v>
      </c>
      <c r="H35" s="5">
        <v>800000</v>
      </c>
      <c r="I35" s="5">
        <v>796333.2</v>
      </c>
      <c r="J35" s="5">
        <v>0</v>
      </c>
      <c r="K35" s="5">
        <v>0</v>
      </c>
      <c r="L35" s="5">
        <v>3666.8000000000502</v>
      </c>
      <c r="M35" t="s">
        <v>123</v>
      </c>
    </row>
    <row r="36" spans="1:13" ht="42" x14ac:dyDescent="0.35">
      <c r="A36" s="11"/>
      <c r="B36" s="4" t="s">
        <v>97</v>
      </c>
      <c r="C36" s="4" t="s">
        <v>98</v>
      </c>
      <c r="D36" s="4" t="s">
        <v>17</v>
      </c>
      <c r="E36" s="4" t="s">
        <v>18</v>
      </c>
      <c r="F36" s="4" t="s">
        <v>99</v>
      </c>
      <c r="G36" s="5">
        <v>0</v>
      </c>
      <c r="H36" s="5">
        <v>6996916</v>
      </c>
      <c r="I36" s="5">
        <v>6996915.5499999998</v>
      </c>
      <c r="J36" s="6"/>
      <c r="K36" s="5">
        <v>-2.23517418115882E-10</v>
      </c>
      <c r="L36" s="5">
        <v>0.450000000409782</v>
      </c>
      <c r="M36" t="s">
        <v>125</v>
      </c>
    </row>
    <row r="37" spans="1:13" ht="21" x14ac:dyDescent="0.35">
      <c r="A37" s="11"/>
      <c r="B37" s="4" t="s">
        <v>100</v>
      </c>
      <c r="C37" s="4" t="s">
        <v>101</v>
      </c>
      <c r="D37" s="4" t="s">
        <v>17</v>
      </c>
      <c r="E37" s="4" t="s">
        <v>18</v>
      </c>
      <c r="F37" s="4" t="s">
        <v>102</v>
      </c>
      <c r="G37" s="5">
        <v>0</v>
      </c>
      <c r="H37" s="5">
        <v>0</v>
      </c>
      <c r="I37" s="6"/>
      <c r="J37" s="6"/>
      <c r="K37" s="6"/>
      <c r="L37" s="5">
        <v>0</v>
      </c>
      <c r="M37" t="s">
        <v>125</v>
      </c>
    </row>
    <row r="38" spans="1:13" ht="31.5" x14ac:dyDescent="0.35">
      <c r="A38" s="11"/>
      <c r="B38" s="4" t="s">
        <v>103</v>
      </c>
      <c r="C38" s="4" t="s">
        <v>104</v>
      </c>
      <c r="D38" s="4" t="s">
        <v>17</v>
      </c>
      <c r="E38" s="4" t="s">
        <v>18</v>
      </c>
      <c r="F38" s="4" t="s">
        <v>105</v>
      </c>
      <c r="G38" s="5">
        <v>1248535</v>
      </c>
      <c r="H38" s="5">
        <v>1356558</v>
      </c>
      <c r="I38" s="5">
        <v>1011699.92</v>
      </c>
      <c r="J38" s="5">
        <v>0</v>
      </c>
      <c r="K38" s="5">
        <v>2.3283064365386999E-10</v>
      </c>
      <c r="L38" s="5">
        <v>344858.08</v>
      </c>
      <c r="M38" t="s">
        <v>125</v>
      </c>
    </row>
    <row r="39" spans="1:13" ht="31.5" x14ac:dyDescent="0.35">
      <c r="A39" s="11"/>
      <c r="B39" s="4" t="s">
        <v>106</v>
      </c>
      <c r="C39" s="4" t="s">
        <v>107</v>
      </c>
      <c r="D39" s="4" t="s">
        <v>63</v>
      </c>
      <c r="E39" s="4" t="s">
        <v>64</v>
      </c>
      <c r="F39" s="4" t="s">
        <v>108</v>
      </c>
      <c r="G39" s="5">
        <v>6000000</v>
      </c>
      <c r="H39" s="5">
        <v>-554772</v>
      </c>
      <c r="I39" s="5">
        <v>1834890.5</v>
      </c>
      <c r="J39" s="5">
        <v>0</v>
      </c>
      <c r="K39" s="5">
        <v>0</v>
      </c>
      <c r="L39" s="5">
        <v>-2389662.5</v>
      </c>
      <c r="M39" t="s">
        <v>125</v>
      </c>
    </row>
    <row r="40" spans="1:13" ht="21" x14ac:dyDescent="0.35">
      <c r="A40" s="11"/>
      <c r="B40" s="4" t="s">
        <v>106</v>
      </c>
      <c r="C40" s="4" t="s">
        <v>107</v>
      </c>
      <c r="D40" s="4" t="s">
        <v>17</v>
      </c>
      <c r="E40" s="4" t="s">
        <v>18</v>
      </c>
      <c r="F40" s="4" t="s">
        <v>109</v>
      </c>
      <c r="G40" s="5">
        <v>9652373</v>
      </c>
      <c r="H40" s="5">
        <v>9725383</v>
      </c>
      <c r="I40" s="5">
        <v>7403823.8399999999</v>
      </c>
      <c r="J40" s="5">
        <v>0</v>
      </c>
      <c r="K40" s="5">
        <v>0</v>
      </c>
      <c r="L40" s="5">
        <v>2321559.16</v>
      </c>
      <c r="M40" t="s">
        <v>125</v>
      </c>
    </row>
    <row r="41" spans="1:13" ht="21" x14ac:dyDescent="0.35">
      <c r="A41" s="11"/>
      <c r="B41" s="4" t="s">
        <v>110</v>
      </c>
      <c r="C41" s="4" t="s">
        <v>111</v>
      </c>
      <c r="D41" s="4" t="s">
        <v>22</v>
      </c>
      <c r="E41" s="4" t="s">
        <v>23</v>
      </c>
      <c r="F41" s="4" t="s">
        <v>112</v>
      </c>
      <c r="G41" s="5">
        <v>10000</v>
      </c>
      <c r="H41" s="5">
        <v>10000</v>
      </c>
      <c r="I41" s="5">
        <v>9510</v>
      </c>
      <c r="J41" s="5">
        <v>0</v>
      </c>
      <c r="K41" s="5">
        <v>0</v>
      </c>
      <c r="L41" s="5">
        <v>490</v>
      </c>
      <c r="M41" t="s">
        <v>125</v>
      </c>
    </row>
    <row r="42" spans="1:13" ht="21" x14ac:dyDescent="0.35">
      <c r="A42" s="11"/>
      <c r="B42" s="4" t="s">
        <v>110</v>
      </c>
      <c r="C42" s="4" t="s">
        <v>111</v>
      </c>
      <c r="D42" s="4" t="s">
        <v>17</v>
      </c>
      <c r="E42" s="4" t="s">
        <v>18</v>
      </c>
      <c r="F42" s="4" t="s">
        <v>113</v>
      </c>
      <c r="G42" s="5">
        <v>6595858</v>
      </c>
      <c r="H42" s="5">
        <v>6595858</v>
      </c>
      <c r="I42" s="5">
        <v>6593486</v>
      </c>
      <c r="J42" s="5">
        <v>0</v>
      </c>
      <c r="K42" s="5">
        <v>0</v>
      </c>
      <c r="L42" s="5">
        <v>2372</v>
      </c>
      <c r="M42" t="s">
        <v>125</v>
      </c>
    </row>
    <row r="43" spans="1:13" ht="21" x14ac:dyDescent="0.35">
      <c r="A43" s="11"/>
      <c r="B43" s="4" t="s">
        <v>110</v>
      </c>
      <c r="C43" s="4" t="s">
        <v>111</v>
      </c>
      <c r="D43" s="4" t="s">
        <v>86</v>
      </c>
      <c r="E43" s="4" t="s">
        <v>87</v>
      </c>
      <c r="F43" s="4" t="s">
        <v>114</v>
      </c>
      <c r="G43" s="5">
        <v>190000</v>
      </c>
      <c r="H43" s="5">
        <v>117250</v>
      </c>
      <c r="I43" s="5">
        <v>33644</v>
      </c>
      <c r="J43" s="5">
        <v>0</v>
      </c>
      <c r="K43" s="5">
        <v>0</v>
      </c>
      <c r="L43" s="5">
        <v>83606</v>
      </c>
      <c r="M43" t="s">
        <v>125</v>
      </c>
    </row>
    <row r="44" spans="1:13" ht="21" x14ac:dyDescent="0.35">
      <c r="A44" s="11"/>
      <c r="B44" s="4" t="s">
        <v>115</v>
      </c>
      <c r="C44" s="4" t="s">
        <v>116</v>
      </c>
      <c r="D44" s="4" t="s">
        <v>22</v>
      </c>
      <c r="E44" s="4" t="s">
        <v>23</v>
      </c>
      <c r="F44" s="4" t="s">
        <v>117</v>
      </c>
      <c r="G44" s="5">
        <v>2697637</v>
      </c>
      <c r="H44" s="5">
        <v>4910637</v>
      </c>
      <c r="I44" s="5">
        <v>4058968.47</v>
      </c>
      <c r="J44" s="5">
        <v>0</v>
      </c>
      <c r="K44" s="5">
        <v>0</v>
      </c>
      <c r="L44" s="5">
        <v>851668.53</v>
      </c>
      <c r="M44" t="s">
        <v>124</v>
      </c>
    </row>
    <row r="45" spans="1:13" ht="21" x14ac:dyDescent="0.35">
      <c r="A45" s="11"/>
      <c r="B45" s="4" t="s">
        <v>115</v>
      </c>
      <c r="C45" s="4" t="s">
        <v>116</v>
      </c>
      <c r="D45" s="4" t="s">
        <v>17</v>
      </c>
      <c r="E45" s="4" t="s">
        <v>18</v>
      </c>
      <c r="F45" s="4" t="s">
        <v>118</v>
      </c>
      <c r="G45" s="5">
        <v>18440891</v>
      </c>
      <c r="H45" s="5">
        <v>12352549</v>
      </c>
      <c r="I45" s="5">
        <v>11810091.060000001</v>
      </c>
      <c r="J45" s="5">
        <v>4.65661287307739E-10</v>
      </c>
      <c r="K45" s="5">
        <v>0</v>
      </c>
      <c r="L45" s="5">
        <v>542457.93999999901</v>
      </c>
      <c r="M45" t="s">
        <v>124</v>
      </c>
    </row>
    <row r="46" spans="1:13" ht="31.5" x14ac:dyDescent="0.35">
      <c r="A46" s="11"/>
      <c r="B46" s="4" t="s">
        <v>115</v>
      </c>
      <c r="C46" s="4" t="s">
        <v>116</v>
      </c>
      <c r="D46" s="4" t="s">
        <v>73</v>
      </c>
      <c r="E46" s="4" t="s">
        <v>74</v>
      </c>
      <c r="F46" s="4" t="s">
        <v>119</v>
      </c>
      <c r="G46" s="5">
        <v>1630483</v>
      </c>
      <c r="H46" s="5">
        <v>650000</v>
      </c>
      <c r="I46" s="5">
        <v>327989.92</v>
      </c>
      <c r="J46" s="5">
        <v>0</v>
      </c>
      <c r="K46" s="5">
        <v>0</v>
      </c>
      <c r="L46" s="5">
        <v>322010.08</v>
      </c>
      <c r="M46" t="s">
        <v>124</v>
      </c>
    </row>
    <row r="47" spans="1:13" ht="31.5" x14ac:dyDescent="0.35">
      <c r="A47" s="11"/>
      <c r="B47" s="4" t="s">
        <v>115</v>
      </c>
      <c r="C47" s="4" t="s">
        <v>116</v>
      </c>
      <c r="D47" s="4" t="s">
        <v>78</v>
      </c>
      <c r="E47" s="4" t="s">
        <v>79</v>
      </c>
      <c r="F47" s="4" t="s">
        <v>120</v>
      </c>
      <c r="G47" s="5">
        <v>4653254</v>
      </c>
      <c r="H47" s="5">
        <v>111528</v>
      </c>
      <c r="I47" s="6"/>
      <c r="J47" s="6"/>
      <c r="K47" s="6"/>
      <c r="L47" s="5">
        <v>111528</v>
      </c>
      <c r="M47" t="s">
        <v>124</v>
      </c>
    </row>
    <row r="48" spans="1:13" x14ac:dyDescent="0.35">
      <c r="A48" s="7" t="s">
        <v>121</v>
      </c>
      <c r="B48" s="8"/>
      <c r="C48" s="8"/>
      <c r="D48" s="8"/>
      <c r="E48" s="8"/>
      <c r="F48" s="8"/>
      <c r="G48" s="9">
        <v>87207000</v>
      </c>
      <c r="H48" s="9">
        <v>87794769</v>
      </c>
      <c r="I48" s="9">
        <v>45111342.280000001</v>
      </c>
      <c r="J48" s="9">
        <v>4.65661287307739E-10</v>
      </c>
      <c r="K48" s="9">
        <v>0</v>
      </c>
      <c r="L48" s="9">
        <v>42683426.719999999</v>
      </c>
    </row>
    <row r="49" spans="1:1" x14ac:dyDescent="0.35">
      <c r="A49" s="2" t="s">
        <v>1</v>
      </c>
    </row>
  </sheetData>
  <autoFilter ref="A3:M49" xr:uid="{00000000-0001-0000-0000-000000000000}"/>
  <mergeCells count="1">
    <mergeCell ref="A4:A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2023-10-17T19:04:08Z</dcterms:created>
  <dcterms:modified xsi:type="dcterms:W3CDTF">2023-10-18T05:06:43Z</dcterms:modified>
</cp:coreProperties>
</file>