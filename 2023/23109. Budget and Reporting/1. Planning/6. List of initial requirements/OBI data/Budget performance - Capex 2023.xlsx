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21" documentId="11_066EF86AC04005AAC809693D5DF2ADBB7BCE30F1" xr6:coauthVersionLast="47" xr6:coauthVersionMax="47" xr10:uidLastSave="{5B8EA802-D98A-4567-A08A-0D38CE5C0AB0}"/>
  <bookViews>
    <workbookView xWindow="-110" yWindow="-110" windowWidth="19420" windowHeight="104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Sheet1!$A$3:$M$56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D10" i="2"/>
  <c r="D9" i="2"/>
</calcChain>
</file>

<file path=xl/sharedStrings.xml><?xml version="1.0" encoding="utf-8"?>
<sst xmlns="http://schemas.openxmlformats.org/spreadsheetml/2006/main" count="335" uniqueCount="156">
  <si>
    <t>Budget performance - Capex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</si>
  <si>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</si>
  <si>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</si>
  <si>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</si>
  <si>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</si>
  <si>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</si>
  <si>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</si>
  <si>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</si>
  <si>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</si>
  <si>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</si>
  <si>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</si>
  <si>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</si>
  <si>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</si>
  <si>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</si>
  <si>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</si>
  <si>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8470110</t>
  </si>
  <si>
    <t>KUST - Office of the President</t>
  </si>
  <si>
    <t>492316</t>
  </si>
  <si>
    <t>Laboratory equipment</t>
  </si>
  <si>
    <t>847.8470110.1.492316.000000.847001.300180</t>
  </si>
  <si>
    <t>8470120</t>
  </si>
  <si>
    <t>KUST - Audit</t>
  </si>
  <si>
    <t>847.8470120.1.492316.000000.847001.300180</t>
  </si>
  <si>
    <t>495113</t>
  </si>
  <si>
    <t>Computer software-Application, Platform</t>
  </si>
  <si>
    <t>847.8470120.1.495113.000000.847001.300180</t>
  </si>
  <si>
    <t>8470160</t>
  </si>
  <si>
    <t>KUST - SVP/ Support Services Office</t>
  </si>
  <si>
    <t>847.8470160.1.492316.000000.847001.300180</t>
  </si>
  <si>
    <t>8470210</t>
  </si>
  <si>
    <t>KUST - Khalifa University of Science &amp; Technology - General Administration</t>
  </si>
  <si>
    <t>847.8470210.1.492316.000000.847001.300180</t>
  </si>
  <si>
    <t>8470220</t>
  </si>
  <si>
    <t>KUST - Office of the Provost</t>
  </si>
  <si>
    <t>492310</t>
  </si>
  <si>
    <t>Hardware &amp; peripherals</t>
  </si>
  <si>
    <t>847.8470220.1.492310.000000.847001.300180</t>
  </si>
  <si>
    <t>847.8470220.1.492316.000000.847001.300180</t>
  </si>
  <si>
    <t>847.8470220.1.492316.000000.847020.050589</t>
  </si>
  <si>
    <t>8470230</t>
  </si>
  <si>
    <t>KUST - Graduate Studies</t>
  </si>
  <si>
    <t>847.8470230.1.492310.000000.847001.300180</t>
  </si>
  <si>
    <t>8470305</t>
  </si>
  <si>
    <t>KUST - Dean Of Engineering</t>
  </si>
  <si>
    <t>847.8470305.1.492316.000000.847001.300180</t>
  </si>
  <si>
    <t>8470310</t>
  </si>
  <si>
    <t>KUST - Aerospace Engineering</t>
  </si>
  <si>
    <t>847.8470310.1.492316.000000.847001.300180</t>
  </si>
  <si>
    <t>8470320</t>
  </si>
  <si>
    <t>KUST - Chemical Engineering</t>
  </si>
  <si>
    <t>847.8470320.1.492316.000000.847001.300180</t>
  </si>
  <si>
    <t>8470321</t>
  </si>
  <si>
    <t>KUST - Chemical &amp; Petroleum Engineering</t>
  </si>
  <si>
    <t>847.8470321.1.492316.000000.847001.300180</t>
  </si>
  <si>
    <t>8470325</t>
  </si>
  <si>
    <t>KUST - Civil Engineering</t>
  </si>
  <si>
    <t>847.8470325.1.492316.000000.847001.300180</t>
  </si>
  <si>
    <t>8470330</t>
  </si>
  <si>
    <t>KUST - Electrical &amp; Computer Engineering</t>
  </si>
  <si>
    <t>847.8470330.1.492316.000000.847001.300180</t>
  </si>
  <si>
    <t>8470335</t>
  </si>
  <si>
    <t>KUST - Management, Science &amp; Engineering</t>
  </si>
  <si>
    <t>847.8470335.1.492316.000000.847001.300180</t>
  </si>
  <si>
    <t>8470341</t>
  </si>
  <si>
    <t>KUST - Mechanical &amp; Nuclear Engineering</t>
  </si>
  <si>
    <t>847.8470341.1.492316.000000.847001.300180</t>
  </si>
  <si>
    <t>8470345</t>
  </si>
  <si>
    <t>KUST - Nuclear Engineering</t>
  </si>
  <si>
    <t>847.8470345.1.492316.000000.847001.300180</t>
  </si>
  <si>
    <t>8470405</t>
  </si>
  <si>
    <t>KUST - Dean of Science</t>
  </si>
  <si>
    <t>847.8470405.1.492316.000000.847001.300180</t>
  </si>
  <si>
    <t>8470415</t>
  </si>
  <si>
    <t>KUST - Chemistry</t>
  </si>
  <si>
    <t>847.8470415.1.492316.000000.847001.300180</t>
  </si>
  <si>
    <t>8470425</t>
  </si>
  <si>
    <t>KUST - Physics</t>
  </si>
  <si>
    <t>847.8470425.1.492316.000000.847001.300180</t>
  </si>
  <si>
    <t>8470445</t>
  </si>
  <si>
    <t>KUST - Mathematics</t>
  </si>
  <si>
    <t>847.8470445.1.492316.000000.847001.300180</t>
  </si>
  <si>
    <t>8470450</t>
  </si>
  <si>
    <t>KUST - Earth Science</t>
  </si>
  <si>
    <t>847.8470450.1.492310.000000.847001.300180</t>
  </si>
  <si>
    <t>847.8470450.1.492316.000000.847001.300180</t>
  </si>
  <si>
    <t>8470455</t>
  </si>
  <si>
    <t>KUST – Biology</t>
  </si>
  <si>
    <t>847.8470455.1.492316.000000.847001.300180</t>
  </si>
  <si>
    <t>8470530</t>
  </si>
  <si>
    <t>KUST - Facilities Management</t>
  </si>
  <si>
    <t>492200</t>
  </si>
  <si>
    <t>Capital expense - Buildings</t>
  </si>
  <si>
    <t>847.8470530.1.492200.000000.847001.300180</t>
  </si>
  <si>
    <t>847.8470530.1.492200.000000.847010.050640</t>
  </si>
  <si>
    <t>847.8470530.1.492200.000000.847010.300180</t>
  </si>
  <si>
    <t>847.8470530.1.492200.000000.847020.050640</t>
  </si>
  <si>
    <t>847.8470530.1.492200.000000.847020.300180</t>
  </si>
  <si>
    <t>492521</t>
  </si>
  <si>
    <t>Launches, tug boats &amp; barges</t>
  </si>
  <si>
    <t>847.8470530.1.492521.000000.847001.300180</t>
  </si>
  <si>
    <t>492610</t>
  </si>
  <si>
    <t>Furniture &amp; Fixtures - Offices</t>
  </si>
  <si>
    <t>847.8470530.1.492610.000000.847010.050640</t>
  </si>
  <si>
    <t>847.8470530.1.492610.000000.847010.300180</t>
  </si>
  <si>
    <t>847.8470530.1.492610.000000.847015.300180</t>
  </si>
  <si>
    <t>847.8470530.1.492610.000000.847020.050640</t>
  </si>
  <si>
    <t>847.8470530.1.492610.000000.847020.300180</t>
  </si>
  <si>
    <t>847.8470530.1.495113.000000.847010.300180</t>
  </si>
  <si>
    <t>8470620</t>
  </si>
  <si>
    <t>KUST - Finance Operations</t>
  </si>
  <si>
    <t>499999</t>
  </si>
  <si>
    <t>Adjustments - prior years expense</t>
  </si>
  <si>
    <t>847.8470620.1.499999.000000.847001.000000</t>
  </si>
  <si>
    <t>8470730</t>
  </si>
  <si>
    <t>KUST - Human Resources</t>
  </si>
  <si>
    <t>847.8470730.1.495113.000000.847001.300180</t>
  </si>
  <si>
    <t>8470810</t>
  </si>
  <si>
    <t>KUST - Ankabut office</t>
  </si>
  <si>
    <t>847.8470810.1.492310.000000.847001.300180</t>
  </si>
  <si>
    <t>492352</t>
  </si>
  <si>
    <t>Hardware &amp; peripherals-Network Devices</t>
  </si>
  <si>
    <t>847.8470810.1.492352.000000.847001.300180</t>
  </si>
  <si>
    <t>492354</t>
  </si>
  <si>
    <t>Hardware &amp; peripherals-Peripherals &amp; Infrastructure Components</t>
  </si>
  <si>
    <t>847.8470810.1.492354.000000.847001.300180</t>
  </si>
  <si>
    <t>492356</t>
  </si>
  <si>
    <t>Hardware &amp; peripherals-Conferencing &amp; AV</t>
  </si>
  <si>
    <t>847.8470810.1.492356.000000.847001.300180</t>
  </si>
  <si>
    <t>847.8470810.1.495113.000000.847001.300180</t>
  </si>
  <si>
    <t>8471140</t>
  </si>
  <si>
    <t>KUST - University Sponsored Research</t>
  </si>
  <si>
    <t>847.8471140.1.495113.000000.847001.300180</t>
  </si>
  <si>
    <t>8471160</t>
  </si>
  <si>
    <t>KUST - Research Laboratories</t>
  </si>
  <si>
    <t>847.8471160.1.492200.000000.847001.300180</t>
  </si>
  <si>
    <t>847.8471160.1.492316.000000.847001.300180</t>
  </si>
  <si>
    <t>8471170</t>
  </si>
  <si>
    <t>KUST - Research Computing</t>
  </si>
  <si>
    <t>847.8471170.1.492316.000000.847001.300180</t>
  </si>
  <si>
    <t>847.8471170.1.495113.000000.847001.300180</t>
  </si>
  <si>
    <t>8471305</t>
  </si>
  <si>
    <t>KUST - Dean Of Medicine</t>
  </si>
  <si>
    <t>847.8471305.1.492310.000000.847001.300180</t>
  </si>
  <si>
    <t>847.8471305.1.492316.000000.847001.300180</t>
  </si>
  <si>
    <t>Grand Total</t>
  </si>
  <si>
    <t>Chapter</t>
  </si>
  <si>
    <t xml:space="preserve">Administration </t>
  </si>
  <si>
    <t>Academics</t>
  </si>
  <si>
    <t>Research</t>
  </si>
  <si>
    <t>Row Labels</t>
  </si>
  <si>
    <t>Sum of Annual Budget</t>
  </si>
  <si>
    <t>Sum of Revised Budget</t>
  </si>
  <si>
    <t>Sum of Actual Amount</t>
  </si>
  <si>
    <t>Sum of PR</t>
  </si>
  <si>
    <t>Sum of PO</t>
  </si>
  <si>
    <t>Sum of Fund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</si>
</sst>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Calibri"/>
    </font>
    <font>
      <b/>
      <sz val="11"/>
      <color rgb="FF333399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2" borderId="0" xfId="0" applyFont="1" applyFill="1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numFmt numFmtId="164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217.509400115741" createdVersion="8" refreshedVersion="8" minRefreshableVersion="3" recordCount="51" xr:uid="{45394474-5980-436F-8D4C-9ED9C7FF8ECB}">
  <cacheSource type="worksheet">
    <worksheetSource ref="B3:M54" sheet="Sheet1"/>
  </cacheSource>
  <cacheFields count="12">
    <cacheField name="Cost Center Code" numFmtId="0">
      <sharedItems/>
    </cacheField>
    <cacheField name="Cost Center Description" numFmtId="0">
      <sharedItems/>
    </cacheField>
    <cacheField name="Account Code" numFmtId="0">
      <sharedItems/>
    </cacheField>
    <cacheField name="Account Description" numFmtId="0">
      <sharedItems/>
    </cacheField>
    <cacheField name="GL Account Combination" numFmtId="0">
      <sharedItems/>
    </cacheField>
    <cacheField name="Annual Budget" numFmtId="0">
      <sharedItems containsString="0" containsBlank="1" containsNumber="1" containsInteger="1" minValue="0" maxValue="67100050"/>
    </cacheField>
    <cacheField name="Revised Budget" numFmtId="0">
      <sharedItems containsString="0" containsBlank="1" containsNumber="1" containsInteger="1" minValue="0" maxValue="69483635"/>
    </cacheField>
    <cacheField name="Actual Amount" numFmtId="0">
      <sharedItems containsString="0" containsBlank="1" containsNumber="1" minValue="-1361994.5" maxValue="11151201.6"/>
    </cacheField>
    <cacheField name="PR" numFmtId="0">
      <sharedItems containsString="0" containsBlank="1" containsNumber="1" minValue="-805100" maxValue="9877489.3499999996"/>
    </cacheField>
    <cacheField name="PO" numFmtId="0">
      <sharedItems containsString="0" containsBlank="1" containsNumber="1" minValue="-3.6379788070917101E-12" maxValue="9826995.1799999997"/>
    </cacheField>
    <cacheField name="Fund Available" numFmtId="3">
      <sharedItems containsSemiMixedTypes="0" containsString="0" containsNumber="1" minValue="0" maxValue="68447604.310000002"/>
    </cacheField>
    <cacheField name="Chapter" numFmtId="0">
      <sharedItems count="3">
        <s v="Administration "/>
        <s v="Academics"/>
        <s v="Resear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8470110"/>
    <s v="KUST - Office of the President"/>
    <s v="492316"/>
    <s v="Laboratory equipment"/>
    <s v="847.8470110.1.492316.000000.847001.300180"/>
    <n v="1220302"/>
    <n v="0"/>
    <m/>
    <m/>
    <m/>
    <n v="0"/>
    <x v="0"/>
  </r>
  <r>
    <s v="8470120"/>
    <s v="KUST - Audit"/>
    <s v="492316"/>
    <s v="Laboratory equipment"/>
    <s v="847.8470120.1.492316.000000.847001.300180"/>
    <n v="44351"/>
    <n v="0"/>
    <m/>
    <m/>
    <m/>
    <n v="0"/>
    <x v="0"/>
  </r>
  <r>
    <s v="8470120"/>
    <s v="KUST - Audit"/>
    <s v="495113"/>
    <s v="Computer software-Application, Platform"/>
    <s v="847.8470120.1.495113.000000.847001.300180"/>
    <n v="0"/>
    <n v="344351"/>
    <m/>
    <n v="300000"/>
    <n v="21854.35"/>
    <n v="22496.65"/>
    <x v="0"/>
  </r>
  <r>
    <s v="8470160"/>
    <s v="KUST - SVP/ Support Services Office"/>
    <s v="492316"/>
    <s v="Laboratory equipment"/>
    <s v="847.8470160.1.492316.000000.847001.300180"/>
    <n v="0"/>
    <n v="1617415"/>
    <m/>
    <n v="810652"/>
    <n v="253670"/>
    <n v="553093"/>
    <x v="0"/>
  </r>
  <r>
    <s v="8470210"/>
    <s v="KUST - Khalifa University of Science &amp; Technology - General Administration"/>
    <s v="492316"/>
    <s v="Laboratory equipment"/>
    <s v="847.8470210.1.492316.000000.847001.300180"/>
    <n v="0"/>
    <n v="99302"/>
    <m/>
    <m/>
    <m/>
    <n v="99302"/>
    <x v="0"/>
  </r>
  <r>
    <s v="8470220"/>
    <s v="KUST - Office of the Provost"/>
    <s v="492310"/>
    <s v="Hardware &amp; peripherals"/>
    <s v="847.8470220.1.492310.000000.847001.300180"/>
    <n v="5050303"/>
    <n v="244323"/>
    <n v="167911"/>
    <n v="0"/>
    <n v="0"/>
    <n v="76412"/>
    <x v="1"/>
  </r>
  <r>
    <s v="8470220"/>
    <s v="KUST - Office of the Provost"/>
    <s v="492316"/>
    <s v="Laboratory equipment"/>
    <s v="847.8470220.1.492316.000000.847001.300180"/>
    <n v="189697"/>
    <n v="697"/>
    <n v="-8400"/>
    <m/>
    <m/>
    <n v="9097"/>
    <x v="1"/>
  </r>
  <r>
    <s v="8470220"/>
    <s v="KUST - Office of the Provost"/>
    <s v="492316"/>
    <s v="Laboratory equipment"/>
    <s v="847.8470220.1.492316.000000.847020.050589"/>
    <n v="15000000"/>
    <n v="15000000"/>
    <n v="2790365"/>
    <n v="4316565"/>
    <n v="7294521.21"/>
    <n v="598548.79000000097"/>
    <x v="1"/>
  </r>
  <r>
    <s v="8470230"/>
    <s v="KUST - Graduate Studies"/>
    <s v="492310"/>
    <s v="Hardware &amp; peripherals"/>
    <s v="847.8470230.1.492310.000000.847001.300180"/>
    <n v="1333260"/>
    <n v="1333260"/>
    <n v="1326000"/>
    <n v="0"/>
    <n v="0"/>
    <n v="7260"/>
    <x v="1"/>
  </r>
  <r>
    <s v="8470305"/>
    <s v="KUST - Dean Of Engineering"/>
    <s v="492316"/>
    <s v="Laboratory equipment"/>
    <s v="847.8470305.1.492316.000000.847001.300180"/>
    <n v="0"/>
    <n v="1000000"/>
    <m/>
    <n v="0"/>
    <n v="987552"/>
    <n v="12448"/>
    <x v="1"/>
  </r>
  <r>
    <s v="8470310"/>
    <s v="KUST - Aerospace Engineering"/>
    <s v="492316"/>
    <s v="Laboratory equipment"/>
    <s v="847.8470310.1.492316.000000.847001.300180"/>
    <n v="805100"/>
    <n v="805100"/>
    <n v="800481"/>
    <n v="-805100"/>
    <n v="805100"/>
    <n v="4619"/>
    <x v="1"/>
  </r>
  <r>
    <s v="8470320"/>
    <s v="KUST - Chemical Engineering"/>
    <s v="492316"/>
    <s v="Laboratory equipment"/>
    <s v="847.8470320.1.492316.000000.847001.300180"/>
    <n v="433322"/>
    <n v="430001"/>
    <n v="380756"/>
    <n v="-380756"/>
    <n v="430000"/>
    <n v="1"/>
    <x v="1"/>
  </r>
  <r>
    <s v="8470321"/>
    <s v="KUST - Chemical &amp; Petroleum Engineering"/>
    <s v="492316"/>
    <s v="Laboratory equipment"/>
    <s v="847.8470321.1.492316.000000.847001.300180"/>
    <n v="0"/>
    <n v="28321"/>
    <m/>
    <m/>
    <m/>
    <n v="28321"/>
    <x v="1"/>
  </r>
  <r>
    <s v="8470325"/>
    <s v="KUST - Civil Engineering"/>
    <s v="492316"/>
    <s v="Laboratory equipment"/>
    <s v="847.8470325.1.492316.000000.847001.300180"/>
    <n v="13410"/>
    <n v="44410"/>
    <m/>
    <m/>
    <m/>
    <n v="44410"/>
    <x v="1"/>
  </r>
  <r>
    <s v="8470330"/>
    <s v="KUST - Electrical &amp; Computer Engineering"/>
    <s v="492316"/>
    <s v="Laboratory equipment"/>
    <s v="847.8470330.1.492316.000000.847001.300180"/>
    <n v="0"/>
    <n v="21000"/>
    <m/>
    <m/>
    <m/>
    <n v="21000"/>
    <x v="1"/>
  </r>
  <r>
    <s v="8470335"/>
    <s v="KUST - Management, Science &amp; Engineering"/>
    <s v="492316"/>
    <s v="Laboratory equipment"/>
    <s v="847.8470335.1.492316.000000.847001.300180"/>
    <n v="223066"/>
    <n v="223066"/>
    <n v="35669.660000000003"/>
    <n v="-43554"/>
    <n v="227970"/>
    <n v="2980.34"/>
    <x v="1"/>
  </r>
  <r>
    <s v="8470341"/>
    <s v="KUST - Mechanical &amp; Nuclear Engineering"/>
    <s v="492316"/>
    <s v="Laboratory equipment"/>
    <s v="847.8470341.1.492316.000000.847001.300180"/>
    <n v="0"/>
    <n v="1336"/>
    <m/>
    <m/>
    <m/>
    <n v="1336"/>
    <x v="1"/>
  </r>
  <r>
    <s v="8470345"/>
    <s v="KUST - Nuclear Engineering"/>
    <s v="492316"/>
    <s v="Laboratory equipment"/>
    <s v="847.8470345.1.492316.000000.847001.300180"/>
    <n v="142219"/>
    <n v="191063"/>
    <n v="330370.78999999998"/>
    <n v="-139309.26999999999"/>
    <n v="-3.6379788070917101E-12"/>
    <n v="1.47999999998137"/>
    <x v="1"/>
  </r>
  <r>
    <s v="8470405"/>
    <s v="KUST - Dean of Science"/>
    <s v="492316"/>
    <s v="Laboratory equipment"/>
    <s v="847.8470405.1.492316.000000.847001.300180"/>
    <n v="0"/>
    <n v="1"/>
    <m/>
    <m/>
    <m/>
    <n v="1"/>
    <x v="1"/>
  </r>
  <r>
    <s v="8470415"/>
    <s v="KUST - Chemistry"/>
    <s v="492316"/>
    <s v="Laboratory equipment"/>
    <s v="847.8470415.1.492316.000000.847001.300180"/>
    <n v="57654"/>
    <n v="1158260"/>
    <n v="233937.1"/>
    <n v="-10259.77"/>
    <n v="929578"/>
    <n v="5004.66999999993"/>
    <x v="1"/>
  </r>
  <r>
    <s v="8470425"/>
    <s v="KUST - Physics"/>
    <s v="492316"/>
    <s v="Laboratory equipment"/>
    <s v="847.8470425.1.492316.000000.847001.300180"/>
    <n v="224882"/>
    <n v="894488"/>
    <n v="503319.74"/>
    <n v="-15249.7"/>
    <n v="342599.26"/>
    <n v="63818.7"/>
    <x v="1"/>
  </r>
  <r>
    <s v="8470445"/>
    <s v="KUST - Mathematics"/>
    <s v="492316"/>
    <s v="Laboratory equipment"/>
    <s v="847.8470445.1.492316.000000.847001.300180"/>
    <n v="0"/>
    <n v="68000"/>
    <m/>
    <m/>
    <m/>
    <n v="68000"/>
    <x v="1"/>
  </r>
  <r>
    <s v="8470450"/>
    <s v="KUST - Earth Science"/>
    <s v="492310"/>
    <s v="Hardware &amp; peripherals"/>
    <s v="847.8470450.1.492310.000000.847001.300180"/>
    <m/>
    <m/>
    <n v="0"/>
    <m/>
    <m/>
    <n v="0"/>
    <x v="1"/>
  </r>
  <r>
    <s v="8470450"/>
    <s v="KUST - Earth Science"/>
    <s v="492316"/>
    <s v="Laboratory equipment"/>
    <s v="847.8470450.1.492316.000000.847001.300180"/>
    <n v="25100"/>
    <n v="285100"/>
    <n v="47150"/>
    <n v="115648.56"/>
    <n v="112058"/>
    <n v="10243.44"/>
    <x v="1"/>
  </r>
  <r>
    <s v="8470455"/>
    <s v="KUST – Biology"/>
    <s v="492316"/>
    <s v="Laboratory equipment"/>
    <s v="847.8470455.1.492316.000000.847001.300180"/>
    <n v="12968"/>
    <n v="545755"/>
    <n v="16648.8"/>
    <n v="56700"/>
    <n v="454006.25"/>
    <n v="18399.95"/>
    <x v="1"/>
  </r>
  <r>
    <s v="8470530"/>
    <s v="KUST - Facilities Management"/>
    <s v="492200"/>
    <s v="Capital expense - Buildings"/>
    <s v="847.8470530.1.492200.000000.847001.300180"/>
    <n v="1624208"/>
    <n v="596258"/>
    <n v="394197.62"/>
    <n v="0"/>
    <n v="40000"/>
    <n v="162060.38"/>
    <x v="0"/>
  </r>
  <r>
    <s v="8470530"/>
    <s v="KUST - Facilities Management"/>
    <s v="492200"/>
    <s v="Capital expense - Buildings"/>
    <s v="847.8470530.1.492200.000000.847010.050640"/>
    <n v="0"/>
    <n v="1812700"/>
    <m/>
    <n v="300000"/>
    <n v="1157857"/>
    <n v="354843"/>
    <x v="0"/>
  </r>
  <r>
    <s v="8470530"/>
    <s v="KUST - Facilities Management"/>
    <s v="492200"/>
    <s v="Capital expense - Buildings"/>
    <s v="847.8470530.1.492200.000000.847010.300180"/>
    <n v="29208099"/>
    <n v="31396241"/>
    <n v="11151201.6"/>
    <n v="9877489.3499999996"/>
    <n v="9826995.1799999997"/>
    <n v="540554.87000000104"/>
    <x v="0"/>
  </r>
  <r>
    <s v="8470530"/>
    <s v="KUST - Facilities Management"/>
    <s v="492200"/>
    <s v="Capital expense - Buildings"/>
    <s v="847.8470530.1.492200.000000.847020.050640"/>
    <n v="0"/>
    <n v="0"/>
    <m/>
    <m/>
    <m/>
    <n v="0"/>
    <x v="0"/>
  </r>
  <r>
    <s v="8470530"/>
    <s v="KUST - Facilities Management"/>
    <s v="492200"/>
    <s v="Capital expense - Buildings"/>
    <s v="847.8470530.1.492200.000000.847020.300180"/>
    <n v="21619046"/>
    <n v="18610274"/>
    <n v="1835758.85"/>
    <n v="8867000"/>
    <n v="7813320.7999999998"/>
    <n v="94194.350000001505"/>
    <x v="0"/>
  </r>
  <r>
    <s v="8470530"/>
    <s v="KUST - Facilities Management"/>
    <s v="492521"/>
    <s v="Launches, tug boats &amp; barges"/>
    <s v="847.8470530.1.492521.000000.847001.300180"/>
    <n v="0"/>
    <n v="116250"/>
    <m/>
    <n v="0"/>
    <n v="102000"/>
    <n v="14250"/>
    <x v="0"/>
  </r>
  <r>
    <s v="8470530"/>
    <s v="KUST - Facilities Management"/>
    <s v="492610"/>
    <s v="Furniture &amp; Fixtures - Offices"/>
    <s v="847.8470530.1.492610.000000.847010.050640"/>
    <n v="0"/>
    <n v="187300"/>
    <n v="187300"/>
    <n v="0"/>
    <n v="0"/>
    <n v="0"/>
    <x v="0"/>
  </r>
  <r>
    <s v="8470530"/>
    <s v="KUST - Facilities Management"/>
    <s v="492610"/>
    <s v="Furniture &amp; Fixtures - Offices"/>
    <s v="847.8470530.1.492610.000000.847010.300180"/>
    <n v="289920"/>
    <n v="0"/>
    <m/>
    <n v="0"/>
    <m/>
    <n v="0"/>
    <x v="0"/>
  </r>
  <r>
    <s v="8470530"/>
    <s v="KUST - Facilities Management"/>
    <s v="492610"/>
    <s v="Furniture &amp; Fixtures - Offices"/>
    <s v="847.8470530.1.492610.000000.847015.300180"/>
    <n v="31488"/>
    <n v="31488"/>
    <m/>
    <n v="0"/>
    <m/>
    <n v="31488"/>
    <x v="0"/>
  </r>
  <r>
    <s v="8470530"/>
    <s v="KUST - Facilities Management"/>
    <s v="492610"/>
    <s v="Furniture &amp; Fixtures - Offices"/>
    <s v="847.8470530.1.492610.000000.847020.050640"/>
    <n v="6000000"/>
    <n v="4000000"/>
    <n v="214960"/>
    <n v="1"/>
    <n v="196765"/>
    <n v="3588274"/>
    <x v="0"/>
  </r>
  <r>
    <s v="8470530"/>
    <s v="KUST - Facilities Management"/>
    <s v="492610"/>
    <s v="Furniture &amp; Fixtures - Offices"/>
    <s v="847.8470530.1.492610.000000.847020.300180"/>
    <n v="41141"/>
    <n v="22891"/>
    <m/>
    <n v="1"/>
    <m/>
    <n v="22890"/>
    <x v="0"/>
  </r>
  <r>
    <s v="8470530"/>
    <s v="KUST - Facilities Management"/>
    <s v="495113"/>
    <s v="Computer software-Application, Platform"/>
    <s v="847.8470530.1.495113.000000.847010.300180"/>
    <n v="0"/>
    <n v="181000"/>
    <n v="30302.25"/>
    <n v="150000"/>
    <n v="0"/>
    <n v="697.75"/>
    <x v="0"/>
  </r>
  <r>
    <s v="8470620"/>
    <s v="KUST - Finance Operations"/>
    <s v="499999"/>
    <s v="Adjustments - prior years expense"/>
    <s v="847.8470620.1.499999.000000.847001.000000"/>
    <m/>
    <m/>
    <n v="-1361994.5"/>
    <m/>
    <m/>
    <n v="1361994.5"/>
    <x v="0"/>
  </r>
  <r>
    <s v="8470730"/>
    <s v="KUST - Human Resources"/>
    <s v="495113"/>
    <s v="Computer software-Application, Platform"/>
    <s v="847.8470730.1.495113.000000.847001.300180"/>
    <n v="0"/>
    <n v="719000"/>
    <m/>
    <m/>
    <m/>
    <n v="719000"/>
    <x v="0"/>
  </r>
  <r>
    <s v="8470810"/>
    <s v="KUST - Ankabut office"/>
    <s v="492310"/>
    <s v="Hardware &amp; peripherals"/>
    <s v="847.8470810.1.492310.000000.847001.300180"/>
    <n v="181050"/>
    <n v="274935"/>
    <n v="274935"/>
    <n v="0"/>
    <n v="0"/>
    <n v="0"/>
    <x v="0"/>
  </r>
  <r>
    <s v="8470810"/>
    <s v="KUST - Ankabut office"/>
    <s v="492352"/>
    <s v="Hardware &amp; peripherals-Network Devices"/>
    <s v="847.8470810.1.492352.000000.847001.300180"/>
    <n v="1999373"/>
    <n v="687864"/>
    <n v="485558"/>
    <n v="142006"/>
    <n v="57569.26"/>
    <n v="2730.7399999999898"/>
    <x v="0"/>
  </r>
  <r>
    <s v="8470810"/>
    <s v="KUST - Ankabut office"/>
    <s v="492354"/>
    <s v="Hardware &amp; peripherals-Peripherals &amp; Infrastructure Components"/>
    <s v="847.8470810.1.492354.000000.847001.300180"/>
    <n v="321320"/>
    <n v="24560"/>
    <n v="24560"/>
    <n v="0"/>
    <n v="0"/>
    <n v="0"/>
    <x v="0"/>
  </r>
  <r>
    <s v="8470810"/>
    <s v="KUST - Ankabut office"/>
    <s v="492356"/>
    <s v="Hardware &amp; peripherals-Conferencing &amp; AV"/>
    <s v="847.8470810.1.492356.000000.847001.300180"/>
    <n v="566743"/>
    <n v="2430092"/>
    <n v="12002"/>
    <n v="1698340"/>
    <n v="398028"/>
    <n v="321722"/>
    <x v="0"/>
  </r>
  <r>
    <s v="8470810"/>
    <s v="KUST - Ankabut office"/>
    <s v="495113"/>
    <s v="Computer software-Application, Platform"/>
    <s v="847.8470810.1.495113.000000.847001.300180"/>
    <n v="23965"/>
    <n v="0"/>
    <m/>
    <m/>
    <m/>
    <n v="0"/>
    <x v="0"/>
  </r>
  <r>
    <s v="8471140"/>
    <s v="KUST - University Sponsored Research"/>
    <s v="495113"/>
    <s v="Computer software-Application, Platform"/>
    <s v="847.8471140.1.495113.000000.847001.300180"/>
    <n v="0"/>
    <n v="289000"/>
    <n v="287963.2"/>
    <m/>
    <m/>
    <n v="1036.79999999999"/>
    <x v="2"/>
  </r>
  <r>
    <s v="8471160"/>
    <s v="KUST - Research Laboratories"/>
    <s v="492200"/>
    <s v="Capital expense - Buildings"/>
    <s v="847.8471160.1.492200.000000.847001.300180"/>
    <n v="724500"/>
    <n v="724500"/>
    <n v="64500"/>
    <n v="-32000"/>
    <n v="0"/>
    <n v="692000"/>
    <x v="2"/>
  </r>
  <r>
    <s v="8471160"/>
    <s v="KUST - Research Laboratories"/>
    <s v="492316"/>
    <s v="Laboratory equipment"/>
    <s v="847.8471160.1.492316.000000.847001.300180"/>
    <n v="67100050"/>
    <n v="69483635"/>
    <n v="948665.42"/>
    <n v="-494808.71"/>
    <n v="582173.98"/>
    <n v="68447604.310000002"/>
    <x v="2"/>
  </r>
  <r>
    <s v="8471170"/>
    <s v="KUST - Research Computing"/>
    <s v="492316"/>
    <s v="Laboratory equipment"/>
    <s v="847.8471170.1.492316.000000.847001.300180"/>
    <n v="5000000"/>
    <n v="0"/>
    <m/>
    <m/>
    <m/>
    <n v="0"/>
    <x v="2"/>
  </r>
  <r>
    <s v="8471170"/>
    <s v="KUST - Research Computing"/>
    <s v="495113"/>
    <s v="Computer software-Application, Platform"/>
    <s v="847.8471170.1.495113.000000.847001.300180"/>
    <n v="240000"/>
    <n v="0"/>
    <m/>
    <m/>
    <m/>
    <n v="0"/>
    <x v="2"/>
  </r>
  <r>
    <s v="8471305"/>
    <s v="KUST - Dean Of Medicine"/>
    <s v="492310"/>
    <s v="Hardware &amp; peripherals"/>
    <s v="847.8471305.1.492310.000000.847001.300180"/>
    <n v="0"/>
    <n v="12000"/>
    <n v="-1341.2"/>
    <m/>
    <m/>
    <n v="13341.2"/>
    <x v="1"/>
  </r>
  <r>
    <s v="8471305"/>
    <s v="KUST - Dean Of Medicine"/>
    <s v="492316"/>
    <s v="Laboratory equipment"/>
    <s v="847.8471305.1.492316.000000.847001.300180"/>
    <n v="1053463"/>
    <n v="4864763"/>
    <n v="3207230.7"/>
    <n v="-285346.5"/>
    <n v="1942761.97"/>
    <n v="116.83000000030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CD9B0-EAD9-46C6-BEF3-BE627115EF92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" firstHeaderRow="0" firstDataRow="1" firstDataCol="1"/>
  <pivotFields count="12"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numFmtId="3" showAll="0"/>
    <pivotField axis="axisRow" showAll="0">
      <items count="4">
        <item x="1"/>
        <item x="0"/>
        <item x="2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Annual Budget" fld="5" baseField="0" baseItem="0"/>
    <dataField name="Sum of Revised Budget" fld="6" baseField="0" baseItem="0"/>
    <dataField name="Sum of Actual Amount" fld="7" baseField="0" baseItem="0"/>
    <dataField name="Sum of PR" fld="8" baseField="0" baseItem="0"/>
    <dataField name="Sum of PO" fld="9" baseField="0" baseItem="0"/>
    <dataField name="Sum of Fund Available" fld="1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EBA2-792F-48E9-8CD3-90F64848F30B}">
  <dimension ref="A3:G12"/>
  <sheetViews>
    <sheetView workbookViewId="0">
      <selection activeCell="D12" sqref="D12"/>
    </sheetView>
  </sheetViews>
  <sheetFormatPr defaultRowHeight="14.5" x14ac:dyDescent="0.35"/>
  <cols>
    <col min="1" max="1" width="13.7265625" bestFit="1" customWidth="1"/>
    <col min="2" max="2" width="19.6328125" bestFit="1" customWidth="1"/>
    <col min="3" max="3" width="20.08984375" bestFit="1" customWidth="1"/>
    <col min="4" max="4" width="19.90625" bestFit="1" customWidth="1"/>
    <col min="5" max="6" width="13.81640625" bestFit="1" customWidth="1"/>
    <col min="7" max="7" width="19.54296875" bestFit="1" customWidth="1"/>
  </cols>
  <sheetData>
    <row r="3" spans="1:7" x14ac:dyDescent="0.35">
      <c r="A3" s="11" t="s">
        <v>149</v>
      </c>
      <c r="B3" t="s">
        <v>150</v>
      </c>
      <c r="C3" t="s">
        <v>151</v>
      </c>
      <c r="D3" t="s">
        <v>152</v>
      </c>
      <c r="E3" t="s">
        <v>153</v>
      </c>
      <c r="F3" t="s">
        <v>154</v>
      </c>
      <c r="G3" t="s">
        <v>155</v>
      </c>
    </row>
    <row r="4" spans="1:7" x14ac:dyDescent="0.35">
      <c r="A4" s="12" t="s">
        <v>147</v>
      </c>
      <c r="B4" s="13">
        <v>24564444</v>
      </c>
      <c r="C4" s="13">
        <v>27150944</v>
      </c>
      <c r="D4" s="13">
        <v>9830098.5899999999</v>
      </c>
      <c r="E4" s="13">
        <v>2809338.32</v>
      </c>
      <c r="F4" s="13">
        <v>13526146.690000001</v>
      </c>
      <c r="G4" s="13">
        <v>985360.40000000095</v>
      </c>
    </row>
    <row r="5" spans="1:7" x14ac:dyDescent="0.35">
      <c r="A5" s="12" t="s">
        <v>146</v>
      </c>
      <c r="B5" s="13">
        <v>63171006</v>
      </c>
      <c r="C5" s="13">
        <v>63151921</v>
      </c>
      <c r="D5" s="13">
        <v>13248780.819999998</v>
      </c>
      <c r="E5" s="13">
        <v>22145489.350000001</v>
      </c>
      <c r="F5" s="13">
        <v>19868059.59</v>
      </c>
      <c r="G5" s="13">
        <v>7889591.240000003</v>
      </c>
    </row>
    <row r="6" spans="1:7" x14ac:dyDescent="0.35">
      <c r="A6" s="12" t="s">
        <v>148</v>
      </c>
      <c r="B6" s="13">
        <v>73064550</v>
      </c>
      <c r="C6" s="13">
        <v>70497135</v>
      </c>
      <c r="D6" s="13">
        <v>1301128.6200000001</v>
      </c>
      <c r="E6" s="13">
        <v>-526808.71</v>
      </c>
      <c r="F6" s="13">
        <v>582173.98</v>
      </c>
      <c r="G6" s="13">
        <v>69140641.109999999</v>
      </c>
    </row>
    <row r="7" spans="1:7" x14ac:dyDescent="0.35">
      <c r="A7" s="12" t="s">
        <v>144</v>
      </c>
      <c r="B7" s="13">
        <v>160800000</v>
      </c>
      <c r="C7" s="13">
        <v>160800000</v>
      </c>
      <c r="D7" s="13">
        <v>24380008.029999997</v>
      </c>
      <c r="E7" s="13">
        <v>24428018.960000001</v>
      </c>
      <c r="F7" s="13">
        <v>33976380.259999998</v>
      </c>
      <c r="G7" s="13">
        <v>78015592.75</v>
      </c>
    </row>
    <row r="9" spans="1:7" x14ac:dyDescent="0.35">
      <c r="D9" s="13">
        <f>D4+E4+F4</f>
        <v>26165583.600000001</v>
      </c>
    </row>
    <row r="10" spans="1:7" x14ac:dyDescent="0.35">
      <c r="D10" s="13">
        <f t="shared" ref="D10:D12" si="0">D5+E5+F5</f>
        <v>55262329.760000005</v>
      </c>
    </row>
    <row r="11" spans="1:7" x14ac:dyDescent="0.35">
      <c r="D11" s="13">
        <f t="shared" si="0"/>
        <v>1356493.8900000001</v>
      </c>
    </row>
    <row r="12" spans="1:7" x14ac:dyDescent="0.35">
      <c r="D12" s="13">
        <f t="shared" si="0"/>
        <v>82784407.25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showGridLines="0" tabSelected="1" topLeftCell="A42" workbookViewId="0">
      <selection activeCell="B4" sqref="B4:L54"/>
    </sheetView>
  </sheetViews>
  <sheetFormatPr defaultRowHeight="14.5" x14ac:dyDescent="0.35"/>
  <cols>
    <col min="1" max="1" width="28.6328125" customWidth="1"/>
    <col min="2" max="2" width="7.26953125" customWidth="1"/>
    <col min="3" max="3" width="11" customWidth="1"/>
    <col min="4" max="4" width="6.90625" customWidth="1"/>
    <col min="5" max="5" width="18.453125" customWidth="1"/>
    <col min="6" max="6" width="33.54296875" customWidth="1"/>
    <col min="7" max="8" width="9.7265625" customWidth="1"/>
    <col min="9" max="12" width="9" customWidth="1"/>
  </cols>
  <sheetData>
    <row r="1" spans="1:13" x14ac:dyDescent="0.35">
      <c r="A1" s="1" t="s">
        <v>0</v>
      </c>
    </row>
    <row r="2" spans="1:13" x14ac:dyDescent="0.35">
      <c r="A2" s="2" t="s">
        <v>1</v>
      </c>
    </row>
    <row r="3" spans="1:13" ht="31.5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10" t="s">
        <v>145</v>
      </c>
    </row>
    <row r="4" spans="1:13" ht="21" x14ac:dyDescent="0.35">
      <c r="A4" s="1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1220302</v>
      </c>
      <c r="H4" s="5">
        <v>0</v>
      </c>
      <c r="I4" s="6"/>
      <c r="J4" s="6"/>
      <c r="K4" s="6"/>
      <c r="L4" s="5">
        <v>0</v>
      </c>
      <c r="M4" t="s">
        <v>146</v>
      </c>
    </row>
    <row r="5" spans="1:13" x14ac:dyDescent="0.35">
      <c r="A5" s="15"/>
      <c r="B5" s="4" t="s">
        <v>20</v>
      </c>
      <c r="C5" s="4" t="s">
        <v>21</v>
      </c>
      <c r="D5" s="4" t="s">
        <v>17</v>
      </c>
      <c r="E5" s="4" t="s">
        <v>18</v>
      </c>
      <c r="F5" s="4" t="s">
        <v>22</v>
      </c>
      <c r="G5" s="5">
        <v>44351</v>
      </c>
      <c r="H5" s="5">
        <v>0</v>
      </c>
      <c r="I5" s="6"/>
      <c r="J5" s="6"/>
      <c r="K5" s="6"/>
      <c r="L5" s="5">
        <v>0</v>
      </c>
      <c r="M5" t="s">
        <v>146</v>
      </c>
    </row>
    <row r="6" spans="1:13" ht="21" x14ac:dyDescent="0.35">
      <c r="A6" s="15"/>
      <c r="B6" s="4" t="s">
        <v>20</v>
      </c>
      <c r="C6" s="4" t="s">
        <v>21</v>
      </c>
      <c r="D6" s="4" t="s">
        <v>23</v>
      </c>
      <c r="E6" s="4" t="s">
        <v>24</v>
      </c>
      <c r="F6" s="4" t="s">
        <v>25</v>
      </c>
      <c r="G6" s="5">
        <v>0</v>
      </c>
      <c r="H6" s="5">
        <v>344351</v>
      </c>
      <c r="I6" s="6"/>
      <c r="J6" s="5">
        <v>300000</v>
      </c>
      <c r="K6" s="5">
        <v>21854.35</v>
      </c>
      <c r="L6" s="5">
        <v>22496.65</v>
      </c>
      <c r="M6" t="s">
        <v>146</v>
      </c>
    </row>
    <row r="7" spans="1:13" ht="31.5" x14ac:dyDescent="0.35">
      <c r="A7" s="15"/>
      <c r="B7" s="4" t="s">
        <v>26</v>
      </c>
      <c r="C7" s="4" t="s">
        <v>27</v>
      </c>
      <c r="D7" s="4" t="s">
        <v>17</v>
      </c>
      <c r="E7" s="4" t="s">
        <v>18</v>
      </c>
      <c r="F7" s="4" t="s">
        <v>28</v>
      </c>
      <c r="G7" s="5">
        <v>0</v>
      </c>
      <c r="H7" s="5">
        <v>1617415</v>
      </c>
      <c r="I7" s="6"/>
      <c r="J7" s="5">
        <v>810652</v>
      </c>
      <c r="K7" s="5">
        <v>253670</v>
      </c>
      <c r="L7" s="5">
        <v>553093</v>
      </c>
      <c r="M7" t="s">
        <v>146</v>
      </c>
    </row>
    <row r="8" spans="1:13" ht="63" x14ac:dyDescent="0.35">
      <c r="A8" s="15"/>
      <c r="B8" s="4" t="s">
        <v>29</v>
      </c>
      <c r="C8" s="4" t="s">
        <v>30</v>
      </c>
      <c r="D8" s="4" t="s">
        <v>17</v>
      </c>
      <c r="E8" s="4" t="s">
        <v>18</v>
      </c>
      <c r="F8" s="4" t="s">
        <v>31</v>
      </c>
      <c r="G8" s="5">
        <v>0</v>
      </c>
      <c r="H8" s="5">
        <v>99302</v>
      </c>
      <c r="I8" s="6"/>
      <c r="J8" s="6"/>
      <c r="K8" s="6"/>
      <c r="L8" s="5">
        <v>99302</v>
      </c>
      <c r="M8" t="s">
        <v>146</v>
      </c>
    </row>
    <row r="9" spans="1:13" ht="21" x14ac:dyDescent="0.35">
      <c r="A9" s="15"/>
      <c r="B9" s="4" t="s">
        <v>32</v>
      </c>
      <c r="C9" s="4" t="s">
        <v>33</v>
      </c>
      <c r="D9" s="4" t="s">
        <v>34</v>
      </c>
      <c r="E9" s="4" t="s">
        <v>35</v>
      </c>
      <c r="F9" s="4" t="s">
        <v>36</v>
      </c>
      <c r="G9" s="5">
        <v>5050303</v>
      </c>
      <c r="H9" s="5">
        <v>244323</v>
      </c>
      <c r="I9" s="5">
        <v>167911</v>
      </c>
      <c r="J9" s="5">
        <v>0</v>
      </c>
      <c r="K9" s="5">
        <v>0</v>
      </c>
      <c r="L9" s="5">
        <v>76412</v>
      </c>
      <c r="M9" t="s">
        <v>147</v>
      </c>
    </row>
    <row r="10" spans="1:13" ht="21" x14ac:dyDescent="0.35">
      <c r="A10" s="15"/>
      <c r="B10" s="4" t="s">
        <v>32</v>
      </c>
      <c r="C10" s="4" t="s">
        <v>33</v>
      </c>
      <c r="D10" s="4" t="s">
        <v>17</v>
      </c>
      <c r="E10" s="4" t="s">
        <v>18</v>
      </c>
      <c r="F10" s="4" t="s">
        <v>37</v>
      </c>
      <c r="G10" s="5">
        <v>189697</v>
      </c>
      <c r="H10" s="5">
        <v>697</v>
      </c>
      <c r="I10" s="5">
        <v>-8400</v>
      </c>
      <c r="J10" s="6"/>
      <c r="K10" s="6"/>
      <c r="L10" s="5">
        <v>9097</v>
      </c>
      <c r="M10" t="s">
        <v>147</v>
      </c>
    </row>
    <row r="11" spans="1:13" ht="21" x14ac:dyDescent="0.35">
      <c r="A11" s="15"/>
      <c r="B11" s="4" t="s">
        <v>32</v>
      </c>
      <c r="C11" s="4" t="s">
        <v>33</v>
      </c>
      <c r="D11" s="4" t="s">
        <v>17</v>
      </c>
      <c r="E11" s="4" t="s">
        <v>18</v>
      </c>
      <c r="F11" s="4" t="s">
        <v>38</v>
      </c>
      <c r="G11" s="5">
        <v>15000000</v>
      </c>
      <c r="H11" s="5">
        <v>15000000</v>
      </c>
      <c r="I11" s="5">
        <v>2790365</v>
      </c>
      <c r="J11" s="5">
        <v>4316565</v>
      </c>
      <c r="K11" s="5">
        <v>7294521.21</v>
      </c>
      <c r="L11" s="5">
        <v>598548.79000000097</v>
      </c>
      <c r="M11" t="s">
        <v>147</v>
      </c>
    </row>
    <row r="12" spans="1:13" ht="21" x14ac:dyDescent="0.35">
      <c r="A12" s="15"/>
      <c r="B12" s="4" t="s">
        <v>39</v>
      </c>
      <c r="C12" s="4" t="s">
        <v>40</v>
      </c>
      <c r="D12" s="4" t="s">
        <v>34</v>
      </c>
      <c r="E12" s="4" t="s">
        <v>35</v>
      </c>
      <c r="F12" s="4" t="s">
        <v>41</v>
      </c>
      <c r="G12" s="5">
        <v>1333260</v>
      </c>
      <c r="H12" s="5">
        <v>1333260</v>
      </c>
      <c r="I12" s="5">
        <v>1326000</v>
      </c>
      <c r="J12" s="5">
        <v>0</v>
      </c>
      <c r="K12" s="5">
        <v>0</v>
      </c>
      <c r="L12" s="5">
        <v>7260</v>
      </c>
      <c r="M12" t="s">
        <v>147</v>
      </c>
    </row>
    <row r="13" spans="1:13" ht="21" x14ac:dyDescent="0.35">
      <c r="A13" s="15"/>
      <c r="B13" s="4" t="s">
        <v>42</v>
      </c>
      <c r="C13" s="4" t="s">
        <v>43</v>
      </c>
      <c r="D13" s="4" t="s">
        <v>17</v>
      </c>
      <c r="E13" s="4" t="s">
        <v>18</v>
      </c>
      <c r="F13" s="4" t="s">
        <v>44</v>
      </c>
      <c r="G13" s="5">
        <v>0</v>
      </c>
      <c r="H13" s="5">
        <v>1000000</v>
      </c>
      <c r="I13" s="6"/>
      <c r="J13" s="5">
        <v>0</v>
      </c>
      <c r="K13" s="5">
        <v>987552</v>
      </c>
      <c r="L13" s="5">
        <v>12448</v>
      </c>
      <c r="M13" t="s">
        <v>147</v>
      </c>
    </row>
    <row r="14" spans="1:13" ht="21" x14ac:dyDescent="0.35">
      <c r="A14" s="15"/>
      <c r="B14" s="4" t="s">
        <v>45</v>
      </c>
      <c r="C14" s="4" t="s">
        <v>46</v>
      </c>
      <c r="D14" s="4" t="s">
        <v>17</v>
      </c>
      <c r="E14" s="4" t="s">
        <v>18</v>
      </c>
      <c r="F14" s="4" t="s">
        <v>47</v>
      </c>
      <c r="G14" s="5">
        <v>805100</v>
      </c>
      <c r="H14" s="5">
        <v>805100</v>
      </c>
      <c r="I14" s="5">
        <v>800481</v>
      </c>
      <c r="J14" s="5">
        <v>-805100</v>
      </c>
      <c r="K14" s="5">
        <v>805100</v>
      </c>
      <c r="L14" s="5">
        <v>4619</v>
      </c>
      <c r="M14" t="s">
        <v>147</v>
      </c>
    </row>
    <row r="15" spans="1:13" ht="21" x14ac:dyDescent="0.35">
      <c r="A15" s="15"/>
      <c r="B15" s="4" t="s">
        <v>48</v>
      </c>
      <c r="C15" s="4" t="s">
        <v>49</v>
      </c>
      <c r="D15" s="4" t="s">
        <v>17</v>
      </c>
      <c r="E15" s="4" t="s">
        <v>18</v>
      </c>
      <c r="F15" s="4" t="s">
        <v>50</v>
      </c>
      <c r="G15" s="5">
        <v>433322</v>
      </c>
      <c r="H15" s="5">
        <v>430001</v>
      </c>
      <c r="I15" s="5">
        <v>380756</v>
      </c>
      <c r="J15" s="5">
        <v>-380756</v>
      </c>
      <c r="K15" s="5">
        <v>430000</v>
      </c>
      <c r="L15" s="5">
        <v>1</v>
      </c>
      <c r="M15" t="s">
        <v>147</v>
      </c>
    </row>
    <row r="16" spans="1:13" ht="31.5" x14ac:dyDescent="0.35">
      <c r="A16" s="15"/>
      <c r="B16" s="4" t="s">
        <v>51</v>
      </c>
      <c r="C16" s="4" t="s">
        <v>52</v>
      </c>
      <c r="D16" s="4" t="s">
        <v>17</v>
      </c>
      <c r="E16" s="4" t="s">
        <v>18</v>
      </c>
      <c r="F16" s="4" t="s">
        <v>53</v>
      </c>
      <c r="G16" s="5">
        <v>0</v>
      </c>
      <c r="H16" s="5">
        <v>28321</v>
      </c>
      <c r="I16" s="6"/>
      <c r="J16" s="6"/>
      <c r="K16" s="6"/>
      <c r="L16" s="5">
        <v>28321</v>
      </c>
      <c r="M16" t="s">
        <v>147</v>
      </c>
    </row>
    <row r="17" spans="1:13" ht="21" x14ac:dyDescent="0.35">
      <c r="A17" s="15"/>
      <c r="B17" s="4" t="s">
        <v>54</v>
      </c>
      <c r="C17" s="4" t="s">
        <v>55</v>
      </c>
      <c r="D17" s="4" t="s">
        <v>17</v>
      </c>
      <c r="E17" s="4" t="s">
        <v>18</v>
      </c>
      <c r="F17" s="4" t="s">
        <v>56</v>
      </c>
      <c r="G17" s="5">
        <v>13410</v>
      </c>
      <c r="H17" s="5">
        <v>44410</v>
      </c>
      <c r="I17" s="6"/>
      <c r="J17" s="6"/>
      <c r="K17" s="6"/>
      <c r="L17" s="5">
        <v>44410</v>
      </c>
      <c r="M17" t="s">
        <v>147</v>
      </c>
    </row>
    <row r="18" spans="1:13" ht="31.5" x14ac:dyDescent="0.35">
      <c r="A18" s="15"/>
      <c r="B18" s="4" t="s">
        <v>57</v>
      </c>
      <c r="C18" s="4" t="s">
        <v>58</v>
      </c>
      <c r="D18" s="4" t="s">
        <v>17</v>
      </c>
      <c r="E18" s="4" t="s">
        <v>18</v>
      </c>
      <c r="F18" s="4" t="s">
        <v>59</v>
      </c>
      <c r="G18" s="5">
        <v>0</v>
      </c>
      <c r="H18" s="5">
        <v>21000</v>
      </c>
      <c r="I18" s="6"/>
      <c r="J18" s="6"/>
      <c r="K18" s="6"/>
      <c r="L18" s="5">
        <v>21000</v>
      </c>
      <c r="M18" t="s">
        <v>147</v>
      </c>
    </row>
    <row r="19" spans="1:13" ht="42" x14ac:dyDescent="0.35">
      <c r="A19" s="15"/>
      <c r="B19" s="4" t="s">
        <v>60</v>
      </c>
      <c r="C19" s="4" t="s">
        <v>61</v>
      </c>
      <c r="D19" s="4" t="s">
        <v>17</v>
      </c>
      <c r="E19" s="4" t="s">
        <v>18</v>
      </c>
      <c r="F19" s="4" t="s">
        <v>62</v>
      </c>
      <c r="G19" s="5">
        <v>223066</v>
      </c>
      <c r="H19" s="5">
        <v>223066</v>
      </c>
      <c r="I19" s="5">
        <v>35669.660000000003</v>
      </c>
      <c r="J19" s="5">
        <v>-43554</v>
      </c>
      <c r="K19" s="5">
        <v>227970</v>
      </c>
      <c r="L19" s="5">
        <v>2980.34</v>
      </c>
      <c r="M19" t="s">
        <v>147</v>
      </c>
    </row>
    <row r="20" spans="1:13" ht="42" x14ac:dyDescent="0.35">
      <c r="A20" s="15"/>
      <c r="B20" s="4" t="s">
        <v>63</v>
      </c>
      <c r="C20" s="4" t="s">
        <v>64</v>
      </c>
      <c r="D20" s="4" t="s">
        <v>17</v>
      </c>
      <c r="E20" s="4" t="s">
        <v>18</v>
      </c>
      <c r="F20" s="4" t="s">
        <v>65</v>
      </c>
      <c r="G20" s="5">
        <v>0</v>
      </c>
      <c r="H20" s="5">
        <v>1336</v>
      </c>
      <c r="I20" s="6"/>
      <c r="J20" s="6"/>
      <c r="K20" s="6"/>
      <c r="L20" s="5">
        <v>1336</v>
      </c>
      <c r="M20" t="s">
        <v>147</v>
      </c>
    </row>
    <row r="21" spans="1:13" ht="21" x14ac:dyDescent="0.35">
      <c r="A21" s="15"/>
      <c r="B21" s="4" t="s">
        <v>66</v>
      </c>
      <c r="C21" s="4" t="s">
        <v>67</v>
      </c>
      <c r="D21" s="4" t="s">
        <v>17</v>
      </c>
      <c r="E21" s="4" t="s">
        <v>18</v>
      </c>
      <c r="F21" s="4" t="s">
        <v>68</v>
      </c>
      <c r="G21" s="5">
        <v>142219</v>
      </c>
      <c r="H21" s="5">
        <v>191063</v>
      </c>
      <c r="I21" s="5">
        <v>330370.78999999998</v>
      </c>
      <c r="J21" s="5">
        <v>-139309.26999999999</v>
      </c>
      <c r="K21" s="5">
        <v>-3.6379788070917101E-12</v>
      </c>
      <c r="L21" s="5">
        <v>1.47999999998137</v>
      </c>
      <c r="M21" t="s">
        <v>147</v>
      </c>
    </row>
    <row r="22" spans="1:13" ht="21" x14ac:dyDescent="0.35">
      <c r="A22" s="15"/>
      <c r="B22" s="4" t="s">
        <v>69</v>
      </c>
      <c r="C22" s="4" t="s">
        <v>70</v>
      </c>
      <c r="D22" s="4" t="s">
        <v>17</v>
      </c>
      <c r="E22" s="4" t="s">
        <v>18</v>
      </c>
      <c r="F22" s="4" t="s">
        <v>71</v>
      </c>
      <c r="G22" s="5">
        <v>0</v>
      </c>
      <c r="H22" s="5">
        <v>1</v>
      </c>
      <c r="I22" s="6"/>
      <c r="J22" s="6"/>
      <c r="K22" s="6"/>
      <c r="L22" s="5">
        <v>1</v>
      </c>
      <c r="M22" t="s">
        <v>147</v>
      </c>
    </row>
    <row r="23" spans="1:13" x14ac:dyDescent="0.35">
      <c r="A23" s="15"/>
      <c r="B23" s="4" t="s">
        <v>72</v>
      </c>
      <c r="C23" s="4" t="s">
        <v>73</v>
      </c>
      <c r="D23" s="4" t="s">
        <v>17</v>
      </c>
      <c r="E23" s="4" t="s">
        <v>18</v>
      </c>
      <c r="F23" s="4" t="s">
        <v>74</v>
      </c>
      <c r="G23" s="5">
        <v>57654</v>
      </c>
      <c r="H23" s="5">
        <v>1158260</v>
      </c>
      <c r="I23" s="5">
        <v>233937.1</v>
      </c>
      <c r="J23" s="5">
        <v>-10259.77</v>
      </c>
      <c r="K23" s="5">
        <v>929578</v>
      </c>
      <c r="L23" s="5">
        <v>5004.66999999993</v>
      </c>
      <c r="M23" t="s">
        <v>147</v>
      </c>
    </row>
    <row r="24" spans="1:13" x14ac:dyDescent="0.35">
      <c r="A24" s="15"/>
      <c r="B24" s="4" t="s">
        <v>75</v>
      </c>
      <c r="C24" s="4" t="s">
        <v>76</v>
      </c>
      <c r="D24" s="4" t="s">
        <v>17</v>
      </c>
      <c r="E24" s="4" t="s">
        <v>18</v>
      </c>
      <c r="F24" s="4" t="s">
        <v>77</v>
      </c>
      <c r="G24" s="5">
        <v>224882</v>
      </c>
      <c r="H24" s="5">
        <v>894488</v>
      </c>
      <c r="I24" s="5">
        <v>503319.74</v>
      </c>
      <c r="J24" s="5">
        <v>-15249.7</v>
      </c>
      <c r="K24" s="5">
        <v>342599.26</v>
      </c>
      <c r="L24" s="5">
        <v>63818.7</v>
      </c>
      <c r="M24" t="s">
        <v>147</v>
      </c>
    </row>
    <row r="25" spans="1:13" ht="21" x14ac:dyDescent="0.35">
      <c r="A25" s="15"/>
      <c r="B25" s="4" t="s">
        <v>78</v>
      </c>
      <c r="C25" s="4" t="s">
        <v>79</v>
      </c>
      <c r="D25" s="4" t="s">
        <v>17</v>
      </c>
      <c r="E25" s="4" t="s">
        <v>18</v>
      </c>
      <c r="F25" s="4" t="s">
        <v>80</v>
      </c>
      <c r="G25" s="5">
        <v>0</v>
      </c>
      <c r="H25" s="5">
        <v>68000</v>
      </c>
      <c r="I25" s="6"/>
      <c r="J25" s="6"/>
      <c r="K25" s="6"/>
      <c r="L25" s="5">
        <v>68000</v>
      </c>
      <c r="M25" t="s">
        <v>147</v>
      </c>
    </row>
    <row r="26" spans="1:13" ht="21" x14ac:dyDescent="0.35">
      <c r="A26" s="15"/>
      <c r="B26" s="4" t="s">
        <v>81</v>
      </c>
      <c r="C26" s="4" t="s">
        <v>82</v>
      </c>
      <c r="D26" s="4" t="s">
        <v>34</v>
      </c>
      <c r="E26" s="4" t="s">
        <v>35</v>
      </c>
      <c r="F26" s="4" t="s">
        <v>83</v>
      </c>
      <c r="G26" s="6"/>
      <c r="H26" s="6"/>
      <c r="I26" s="5">
        <v>0</v>
      </c>
      <c r="J26" s="6"/>
      <c r="K26" s="6"/>
      <c r="L26" s="5">
        <v>0</v>
      </c>
      <c r="M26" t="s">
        <v>147</v>
      </c>
    </row>
    <row r="27" spans="1:13" ht="21" x14ac:dyDescent="0.35">
      <c r="A27" s="15"/>
      <c r="B27" s="4" t="s">
        <v>81</v>
      </c>
      <c r="C27" s="4" t="s">
        <v>82</v>
      </c>
      <c r="D27" s="4" t="s">
        <v>17</v>
      </c>
      <c r="E27" s="4" t="s">
        <v>18</v>
      </c>
      <c r="F27" s="4" t="s">
        <v>84</v>
      </c>
      <c r="G27" s="5">
        <v>25100</v>
      </c>
      <c r="H27" s="5">
        <v>285100</v>
      </c>
      <c r="I27" s="5">
        <v>47150</v>
      </c>
      <c r="J27" s="5">
        <v>115648.56</v>
      </c>
      <c r="K27" s="5">
        <v>112058</v>
      </c>
      <c r="L27" s="5">
        <v>10243.44</v>
      </c>
      <c r="M27" t="s">
        <v>147</v>
      </c>
    </row>
    <row r="28" spans="1:13" x14ac:dyDescent="0.35">
      <c r="A28" s="15"/>
      <c r="B28" s="4" t="s">
        <v>85</v>
      </c>
      <c r="C28" s="4" t="s">
        <v>86</v>
      </c>
      <c r="D28" s="4" t="s">
        <v>17</v>
      </c>
      <c r="E28" s="4" t="s">
        <v>18</v>
      </c>
      <c r="F28" s="4" t="s">
        <v>87</v>
      </c>
      <c r="G28" s="5">
        <v>12968</v>
      </c>
      <c r="H28" s="5">
        <v>545755</v>
      </c>
      <c r="I28" s="5">
        <v>16648.8</v>
      </c>
      <c r="J28" s="5">
        <v>56700</v>
      </c>
      <c r="K28" s="5">
        <v>454006.25</v>
      </c>
      <c r="L28" s="5">
        <v>18399.95</v>
      </c>
      <c r="M28" t="s">
        <v>147</v>
      </c>
    </row>
    <row r="29" spans="1:13" ht="21" x14ac:dyDescent="0.35">
      <c r="A29" s="15"/>
      <c r="B29" s="4" t="s">
        <v>88</v>
      </c>
      <c r="C29" s="4" t="s">
        <v>89</v>
      </c>
      <c r="D29" s="4" t="s">
        <v>90</v>
      </c>
      <c r="E29" s="4" t="s">
        <v>91</v>
      </c>
      <c r="F29" s="4" t="s">
        <v>92</v>
      </c>
      <c r="G29" s="5">
        <v>1624208</v>
      </c>
      <c r="H29" s="5">
        <v>596258</v>
      </c>
      <c r="I29" s="5">
        <v>394197.62</v>
      </c>
      <c r="J29" s="5">
        <v>0</v>
      </c>
      <c r="K29" s="5">
        <v>40000</v>
      </c>
      <c r="L29" s="5">
        <v>162060.38</v>
      </c>
      <c r="M29" t="s">
        <v>146</v>
      </c>
    </row>
    <row r="30" spans="1:13" ht="21" x14ac:dyDescent="0.35">
      <c r="A30" s="15"/>
      <c r="B30" s="4" t="s">
        <v>88</v>
      </c>
      <c r="C30" s="4" t="s">
        <v>89</v>
      </c>
      <c r="D30" s="4" t="s">
        <v>90</v>
      </c>
      <c r="E30" s="4" t="s">
        <v>91</v>
      </c>
      <c r="F30" s="4" t="s">
        <v>93</v>
      </c>
      <c r="G30" s="5">
        <v>0</v>
      </c>
      <c r="H30" s="5">
        <v>1812700</v>
      </c>
      <c r="I30" s="6"/>
      <c r="J30" s="5">
        <v>300000</v>
      </c>
      <c r="K30" s="5">
        <v>1157857</v>
      </c>
      <c r="L30" s="5">
        <v>354843</v>
      </c>
      <c r="M30" t="s">
        <v>146</v>
      </c>
    </row>
    <row r="31" spans="1:13" ht="21" x14ac:dyDescent="0.35">
      <c r="A31" s="15"/>
      <c r="B31" s="4" t="s">
        <v>88</v>
      </c>
      <c r="C31" s="4" t="s">
        <v>89</v>
      </c>
      <c r="D31" s="4" t="s">
        <v>90</v>
      </c>
      <c r="E31" s="4" t="s">
        <v>91</v>
      </c>
      <c r="F31" s="4" t="s">
        <v>94</v>
      </c>
      <c r="G31" s="5">
        <v>29208099</v>
      </c>
      <c r="H31" s="5">
        <v>31396241</v>
      </c>
      <c r="I31" s="5">
        <v>11151201.6</v>
      </c>
      <c r="J31" s="5">
        <v>9877489.3499999996</v>
      </c>
      <c r="K31" s="5">
        <v>9826995.1799999997</v>
      </c>
      <c r="L31" s="5">
        <v>540554.87000000104</v>
      </c>
      <c r="M31" t="s">
        <v>146</v>
      </c>
    </row>
    <row r="32" spans="1:13" ht="21" x14ac:dyDescent="0.35">
      <c r="A32" s="15"/>
      <c r="B32" s="4" t="s">
        <v>88</v>
      </c>
      <c r="C32" s="4" t="s">
        <v>89</v>
      </c>
      <c r="D32" s="4" t="s">
        <v>90</v>
      </c>
      <c r="E32" s="4" t="s">
        <v>91</v>
      </c>
      <c r="F32" s="4" t="s">
        <v>95</v>
      </c>
      <c r="G32" s="5">
        <v>0</v>
      </c>
      <c r="H32" s="5">
        <v>0</v>
      </c>
      <c r="I32" s="6"/>
      <c r="J32" s="6"/>
      <c r="K32" s="6"/>
      <c r="L32" s="5">
        <v>0</v>
      </c>
      <c r="M32" t="s">
        <v>146</v>
      </c>
    </row>
    <row r="33" spans="1:13" ht="21" x14ac:dyDescent="0.35">
      <c r="A33" s="15"/>
      <c r="B33" s="4" t="s">
        <v>88</v>
      </c>
      <c r="C33" s="4" t="s">
        <v>89</v>
      </c>
      <c r="D33" s="4" t="s">
        <v>90</v>
      </c>
      <c r="E33" s="4" t="s">
        <v>91</v>
      </c>
      <c r="F33" s="4" t="s">
        <v>96</v>
      </c>
      <c r="G33" s="5">
        <v>21619046</v>
      </c>
      <c r="H33" s="5">
        <v>18610274</v>
      </c>
      <c r="I33" s="5">
        <v>1835758.85</v>
      </c>
      <c r="J33" s="5">
        <v>8867000</v>
      </c>
      <c r="K33" s="5">
        <v>7813320.7999999998</v>
      </c>
      <c r="L33" s="5">
        <v>94194.350000001505</v>
      </c>
      <c r="M33" t="s">
        <v>146</v>
      </c>
    </row>
    <row r="34" spans="1:13" ht="21" x14ac:dyDescent="0.35">
      <c r="A34" s="15"/>
      <c r="B34" s="4" t="s">
        <v>88</v>
      </c>
      <c r="C34" s="4" t="s">
        <v>89</v>
      </c>
      <c r="D34" s="4" t="s">
        <v>97</v>
      </c>
      <c r="E34" s="4" t="s">
        <v>98</v>
      </c>
      <c r="F34" s="4" t="s">
        <v>99</v>
      </c>
      <c r="G34" s="5">
        <v>0</v>
      </c>
      <c r="H34" s="5">
        <v>116250</v>
      </c>
      <c r="I34" s="6"/>
      <c r="J34" s="5">
        <v>0</v>
      </c>
      <c r="K34" s="5">
        <v>102000</v>
      </c>
      <c r="L34" s="5">
        <v>14250</v>
      </c>
      <c r="M34" t="s">
        <v>146</v>
      </c>
    </row>
    <row r="35" spans="1:13" ht="21" x14ac:dyDescent="0.35">
      <c r="A35" s="15"/>
      <c r="B35" s="4" t="s">
        <v>88</v>
      </c>
      <c r="C35" s="4" t="s">
        <v>89</v>
      </c>
      <c r="D35" s="4" t="s">
        <v>100</v>
      </c>
      <c r="E35" s="4" t="s">
        <v>101</v>
      </c>
      <c r="F35" s="4" t="s">
        <v>102</v>
      </c>
      <c r="G35" s="5">
        <v>0</v>
      </c>
      <c r="H35" s="5">
        <v>187300</v>
      </c>
      <c r="I35" s="5">
        <v>187300</v>
      </c>
      <c r="J35" s="5">
        <v>0</v>
      </c>
      <c r="K35" s="5">
        <v>0</v>
      </c>
      <c r="L35" s="5">
        <v>0</v>
      </c>
      <c r="M35" t="s">
        <v>146</v>
      </c>
    </row>
    <row r="36" spans="1:13" ht="21" x14ac:dyDescent="0.35">
      <c r="A36" s="15"/>
      <c r="B36" s="4" t="s">
        <v>88</v>
      </c>
      <c r="C36" s="4" t="s">
        <v>89</v>
      </c>
      <c r="D36" s="4" t="s">
        <v>100</v>
      </c>
      <c r="E36" s="4" t="s">
        <v>101</v>
      </c>
      <c r="F36" s="4" t="s">
        <v>103</v>
      </c>
      <c r="G36" s="5">
        <v>289920</v>
      </c>
      <c r="H36" s="5">
        <v>0</v>
      </c>
      <c r="I36" s="6"/>
      <c r="J36" s="5">
        <v>0</v>
      </c>
      <c r="K36" s="6"/>
      <c r="L36" s="5">
        <v>0</v>
      </c>
      <c r="M36" t="s">
        <v>146</v>
      </c>
    </row>
    <row r="37" spans="1:13" ht="21" x14ac:dyDescent="0.35">
      <c r="A37" s="15"/>
      <c r="B37" s="4" t="s">
        <v>88</v>
      </c>
      <c r="C37" s="4" t="s">
        <v>89</v>
      </c>
      <c r="D37" s="4" t="s">
        <v>100</v>
      </c>
      <c r="E37" s="4" t="s">
        <v>101</v>
      </c>
      <c r="F37" s="4" t="s">
        <v>104</v>
      </c>
      <c r="G37" s="5">
        <v>31488</v>
      </c>
      <c r="H37" s="5">
        <v>31488</v>
      </c>
      <c r="I37" s="6"/>
      <c r="J37" s="5">
        <v>0</v>
      </c>
      <c r="K37" s="6"/>
      <c r="L37" s="5">
        <v>31488</v>
      </c>
      <c r="M37" t="s">
        <v>146</v>
      </c>
    </row>
    <row r="38" spans="1:13" ht="21" x14ac:dyDescent="0.35">
      <c r="A38" s="15"/>
      <c r="B38" s="4" t="s">
        <v>88</v>
      </c>
      <c r="C38" s="4" t="s">
        <v>89</v>
      </c>
      <c r="D38" s="4" t="s">
        <v>100</v>
      </c>
      <c r="E38" s="4" t="s">
        <v>101</v>
      </c>
      <c r="F38" s="4" t="s">
        <v>105</v>
      </c>
      <c r="G38" s="5">
        <v>6000000</v>
      </c>
      <c r="H38" s="5">
        <v>4000000</v>
      </c>
      <c r="I38" s="5">
        <v>214960</v>
      </c>
      <c r="J38" s="5">
        <v>1</v>
      </c>
      <c r="K38" s="5">
        <v>196765</v>
      </c>
      <c r="L38" s="5">
        <v>3588274</v>
      </c>
      <c r="M38" t="s">
        <v>146</v>
      </c>
    </row>
    <row r="39" spans="1:13" ht="21" x14ac:dyDescent="0.35">
      <c r="A39" s="15"/>
      <c r="B39" s="4" t="s">
        <v>88</v>
      </c>
      <c r="C39" s="4" t="s">
        <v>89</v>
      </c>
      <c r="D39" s="4" t="s">
        <v>100</v>
      </c>
      <c r="E39" s="4" t="s">
        <v>101</v>
      </c>
      <c r="F39" s="4" t="s">
        <v>106</v>
      </c>
      <c r="G39" s="5">
        <v>41141</v>
      </c>
      <c r="H39" s="5">
        <v>22891</v>
      </c>
      <c r="I39" s="6"/>
      <c r="J39" s="5">
        <v>1</v>
      </c>
      <c r="K39" s="6"/>
      <c r="L39" s="5">
        <v>22890</v>
      </c>
      <c r="M39" t="s">
        <v>146</v>
      </c>
    </row>
    <row r="40" spans="1:13" ht="21" x14ac:dyDescent="0.35">
      <c r="A40" s="15"/>
      <c r="B40" s="4" t="s">
        <v>88</v>
      </c>
      <c r="C40" s="4" t="s">
        <v>89</v>
      </c>
      <c r="D40" s="4" t="s">
        <v>23</v>
      </c>
      <c r="E40" s="4" t="s">
        <v>24</v>
      </c>
      <c r="F40" s="4" t="s">
        <v>107</v>
      </c>
      <c r="G40" s="5">
        <v>0</v>
      </c>
      <c r="H40" s="5">
        <v>181000</v>
      </c>
      <c r="I40" s="5">
        <v>30302.25</v>
      </c>
      <c r="J40" s="5">
        <v>150000</v>
      </c>
      <c r="K40" s="5">
        <v>0</v>
      </c>
      <c r="L40" s="5">
        <v>697.75</v>
      </c>
      <c r="M40" t="s">
        <v>146</v>
      </c>
    </row>
    <row r="41" spans="1:13" ht="21" x14ac:dyDescent="0.35">
      <c r="A41" s="15"/>
      <c r="B41" s="4" t="s">
        <v>108</v>
      </c>
      <c r="C41" s="4" t="s">
        <v>109</v>
      </c>
      <c r="D41" s="4" t="s">
        <v>110</v>
      </c>
      <c r="E41" s="4" t="s">
        <v>111</v>
      </c>
      <c r="F41" s="4" t="s">
        <v>112</v>
      </c>
      <c r="G41" s="6"/>
      <c r="H41" s="6"/>
      <c r="I41" s="5">
        <v>-1361994.5</v>
      </c>
      <c r="J41" s="6"/>
      <c r="K41" s="6"/>
      <c r="L41" s="5">
        <v>1361994.5</v>
      </c>
      <c r="M41" t="s">
        <v>146</v>
      </c>
    </row>
    <row r="42" spans="1:13" ht="21" x14ac:dyDescent="0.35">
      <c r="A42" s="15"/>
      <c r="B42" s="4" t="s">
        <v>113</v>
      </c>
      <c r="C42" s="4" t="s">
        <v>114</v>
      </c>
      <c r="D42" s="4" t="s">
        <v>23</v>
      </c>
      <c r="E42" s="4" t="s">
        <v>24</v>
      </c>
      <c r="F42" s="4" t="s">
        <v>115</v>
      </c>
      <c r="G42" s="5">
        <v>0</v>
      </c>
      <c r="H42" s="5">
        <v>719000</v>
      </c>
      <c r="I42" s="6"/>
      <c r="J42" s="6"/>
      <c r="K42" s="6"/>
      <c r="L42" s="5">
        <v>719000</v>
      </c>
      <c r="M42" t="s">
        <v>146</v>
      </c>
    </row>
    <row r="43" spans="1:13" ht="21" x14ac:dyDescent="0.35">
      <c r="A43" s="15"/>
      <c r="B43" s="4" t="s">
        <v>116</v>
      </c>
      <c r="C43" s="4" t="s">
        <v>117</v>
      </c>
      <c r="D43" s="4" t="s">
        <v>34</v>
      </c>
      <c r="E43" s="4" t="s">
        <v>35</v>
      </c>
      <c r="F43" s="4" t="s">
        <v>118</v>
      </c>
      <c r="G43" s="5">
        <v>181050</v>
      </c>
      <c r="H43" s="5">
        <v>274935</v>
      </c>
      <c r="I43" s="5">
        <v>274935</v>
      </c>
      <c r="J43" s="5">
        <v>0</v>
      </c>
      <c r="K43" s="5">
        <v>0</v>
      </c>
      <c r="L43" s="5">
        <v>0</v>
      </c>
      <c r="M43" t="s">
        <v>146</v>
      </c>
    </row>
    <row r="44" spans="1:13" ht="21" x14ac:dyDescent="0.35">
      <c r="A44" s="15"/>
      <c r="B44" s="4" t="s">
        <v>116</v>
      </c>
      <c r="C44" s="4" t="s">
        <v>117</v>
      </c>
      <c r="D44" s="4" t="s">
        <v>119</v>
      </c>
      <c r="E44" s="4" t="s">
        <v>120</v>
      </c>
      <c r="F44" s="4" t="s">
        <v>121</v>
      </c>
      <c r="G44" s="5">
        <v>1999373</v>
      </c>
      <c r="H44" s="5">
        <v>687864</v>
      </c>
      <c r="I44" s="5">
        <v>485558</v>
      </c>
      <c r="J44" s="5">
        <v>142006</v>
      </c>
      <c r="K44" s="5">
        <v>57569.26</v>
      </c>
      <c r="L44" s="5">
        <v>2730.7399999999898</v>
      </c>
      <c r="M44" t="s">
        <v>146</v>
      </c>
    </row>
    <row r="45" spans="1:13" ht="31.5" x14ac:dyDescent="0.35">
      <c r="A45" s="15"/>
      <c r="B45" s="4" t="s">
        <v>116</v>
      </c>
      <c r="C45" s="4" t="s">
        <v>117</v>
      </c>
      <c r="D45" s="4" t="s">
        <v>122</v>
      </c>
      <c r="E45" s="4" t="s">
        <v>123</v>
      </c>
      <c r="F45" s="4" t="s">
        <v>124</v>
      </c>
      <c r="G45" s="5">
        <v>321320</v>
      </c>
      <c r="H45" s="5">
        <v>24560</v>
      </c>
      <c r="I45" s="5">
        <v>24560</v>
      </c>
      <c r="J45" s="5">
        <v>0</v>
      </c>
      <c r="K45" s="5">
        <v>0</v>
      </c>
      <c r="L45" s="5">
        <v>0</v>
      </c>
      <c r="M45" t="s">
        <v>146</v>
      </c>
    </row>
    <row r="46" spans="1:13" ht="21" x14ac:dyDescent="0.35">
      <c r="A46" s="15"/>
      <c r="B46" s="4" t="s">
        <v>116</v>
      </c>
      <c r="C46" s="4" t="s">
        <v>117</v>
      </c>
      <c r="D46" s="4" t="s">
        <v>125</v>
      </c>
      <c r="E46" s="4" t="s">
        <v>126</v>
      </c>
      <c r="F46" s="4" t="s">
        <v>127</v>
      </c>
      <c r="G46" s="5">
        <v>566743</v>
      </c>
      <c r="H46" s="5">
        <v>2430092</v>
      </c>
      <c r="I46" s="5">
        <v>12002</v>
      </c>
      <c r="J46" s="5">
        <v>1698340</v>
      </c>
      <c r="K46" s="5">
        <v>398028</v>
      </c>
      <c r="L46" s="5">
        <v>321722</v>
      </c>
      <c r="M46" t="s">
        <v>146</v>
      </c>
    </row>
    <row r="47" spans="1:13" ht="21" x14ac:dyDescent="0.35">
      <c r="A47" s="15"/>
      <c r="B47" s="4" t="s">
        <v>116</v>
      </c>
      <c r="C47" s="4" t="s">
        <v>117</v>
      </c>
      <c r="D47" s="4" t="s">
        <v>23</v>
      </c>
      <c r="E47" s="4" t="s">
        <v>24</v>
      </c>
      <c r="F47" s="4" t="s">
        <v>128</v>
      </c>
      <c r="G47" s="5">
        <v>23965</v>
      </c>
      <c r="H47" s="5">
        <v>0</v>
      </c>
      <c r="I47" s="6"/>
      <c r="J47" s="6"/>
      <c r="K47" s="6"/>
      <c r="L47" s="5">
        <v>0</v>
      </c>
      <c r="M47" t="s">
        <v>146</v>
      </c>
    </row>
    <row r="48" spans="1:13" ht="31.5" x14ac:dyDescent="0.35">
      <c r="A48" s="15"/>
      <c r="B48" s="4" t="s">
        <v>129</v>
      </c>
      <c r="C48" s="4" t="s">
        <v>130</v>
      </c>
      <c r="D48" s="4" t="s">
        <v>23</v>
      </c>
      <c r="E48" s="4" t="s">
        <v>24</v>
      </c>
      <c r="F48" s="4" t="s">
        <v>131</v>
      </c>
      <c r="G48" s="5">
        <v>0</v>
      </c>
      <c r="H48" s="5">
        <v>289000</v>
      </c>
      <c r="I48" s="5">
        <v>287963.2</v>
      </c>
      <c r="J48" s="6"/>
      <c r="K48" s="6"/>
      <c r="L48" s="5">
        <v>1036.79999999999</v>
      </c>
      <c r="M48" t="s">
        <v>148</v>
      </c>
    </row>
    <row r="49" spans="1:13" ht="21" x14ac:dyDescent="0.35">
      <c r="A49" s="15"/>
      <c r="B49" s="4" t="s">
        <v>132</v>
      </c>
      <c r="C49" s="4" t="s">
        <v>133</v>
      </c>
      <c r="D49" s="4" t="s">
        <v>90</v>
      </c>
      <c r="E49" s="4" t="s">
        <v>91</v>
      </c>
      <c r="F49" s="4" t="s">
        <v>134</v>
      </c>
      <c r="G49" s="5">
        <v>724500</v>
      </c>
      <c r="H49" s="5">
        <v>724500</v>
      </c>
      <c r="I49" s="5">
        <v>64500</v>
      </c>
      <c r="J49" s="5">
        <v>-32000</v>
      </c>
      <c r="K49" s="5">
        <v>0</v>
      </c>
      <c r="L49" s="5">
        <v>692000</v>
      </c>
      <c r="M49" t="s">
        <v>148</v>
      </c>
    </row>
    <row r="50" spans="1:13" ht="21" x14ac:dyDescent="0.35">
      <c r="A50" s="15"/>
      <c r="B50" s="4" t="s">
        <v>132</v>
      </c>
      <c r="C50" s="4" t="s">
        <v>133</v>
      </c>
      <c r="D50" s="4" t="s">
        <v>17</v>
      </c>
      <c r="E50" s="4" t="s">
        <v>18</v>
      </c>
      <c r="F50" s="4" t="s">
        <v>135</v>
      </c>
      <c r="G50" s="5">
        <v>67100050</v>
      </c>
      <c r="H50" s="5">
        <v>69483635</v>
      </c>
      <c r="I50" s="5">
        <v>948665.42</v>
      </c>
      <c r="J50" s="5">
        <v>-494808.71</v>
      </c>
      <c r="K50" s="5">
        <v>582173.98</v>
      </c>
      <c r="L50" s="5">
        <v>68447604.310000002</v>
      </c>
      <c r="M50" t="s">
        <v>148</v>
      </c>
    </row>
    <row r="51" spans="1:13" ht="21" x14ac:dyDescent="0.35">
      <c r="A51" s="15"/>
      <c r="B51" s="4" t="s">
        <v>136</v>
      </c>
      <c r="C51" s="4" t="s">
        <v>137</v>
      </c>
      <c r="D51" s="4" t="s">
        <v>17</v>
      </c>
      <c r="E51" s="4" t="s">
        <v>18</v>
      </c>
      <c r="F51" s="4" t="s">
        <v>138</v>
      </c>
      <c r="G51" s="5">
        <v>5000000</v>
      </c>
      <c r="H51" s="5">
        <v>0</v>
      </c>
      <c r="I51" s="6"/>
      <c r="J51" s="6"/>
      <c r="K51" s="6"/>
      <c r="L51" s="5">
        <v>0</v>
      </c>
      <c r="M51" t="s">
        <v>148</v>
      </c>
    </row>
    <row r="52" spans="1:13" ht="21" x14ac:dyDescent="0.35">
      <c r="A52" s="15"/>
      <c r="B52" s="4" t="s">
        <v>136</v>
      </c>
      <c r="C52" s="4" t="s">
        <v>137</v>
      </c>
      <c r="D52" s="4" t="s">
        <v>23</v>
      </c>
      <c r="E52" s="4" t="s">
        <v>24</v>
      </c>
      <c r="F52" s="4" t="s">
        <v>139</v>
      </c>
      <c r="G52" s="5">
        <v>240000</v>
      </c>
      <c r="H52" s="5">
        <v>0</v>
      </c>
      <c r="I52" s="6"/>
      <c r="J52" s="6"/>
      <c r="K52" s="6"/>
      <c r="L52" s="5">
        <v>0</v>
      </c>
      <c r="M52" t="s">
        <v>148</v>
      </c>
    </row>
    <row r="53" spans="1:13" ht="21" x14ac:dyDescent="0.35">
      <c r="A53" s="15"/>
      <c r="B53" s="4" t="s">
        <v>140</v>
      </c>
      <c r="C53" s="4" t="s">
        <v>141</v>
      </c>
      <c r="D53" s="4" t="s">
        <v>34</v>
      </c>
      <c r="E53" s="4" t="s">
        <v>35</v>
      </c>
      <c r="F53" s="4" t="s">
        <v>142</v>
      </c>
      <c r="G53" s="5">
        <v>0</v>
      </c>
      <c r="H53" s="5">
        <v>12000</v>
      </c>
      <c r="I53" s="5">
        <v>-1341.2</v>
      </c>
      <c r="J53" s="6"/>
      <c r="K53" s="6"/>
      <c r="L53" s="5">
        <v>13341.2</v>
      </c>
      <c r="M53" t="s">
        <v>147</v>
      </c>
    </row>
    <row r="54" spans="1:13" ht="21" x14ac:dyDescent="0.35">
      <c r="A54" s="15"/>
      <c r="B54" s="4" t="s">
        <v>140</v>
      </c>
      <c r="C54" s="4" t="s">
        <v>141</v>
      </c>
      <c r="D54" s="4" t="s">
        <v>17</v>
      </c>
      <c r="E54" s="4" t="s">
        <v>18</v>
      </c>
      <c r="F54" s="4" t="s">
        <v>143</v>
      </c>
      <c r="G54" s="5">
        <v>1053463</v>
      </c>
      <c r="H54" s="5">
        <v>4864763</v>
      </c>
      <c r="I54" s="5">
        <v>3207230.7</v>
      </c>
      <c r="J54" s="5">
        <v>-285346.5</v>
      </c>
      <c r="K54" s="5">
        <v>1942761.97</v>
      </c>
      <c r="L54" s="5">
        <v>116.830000000307</v>
      </c>
      <c r="M54" t="s">
        <v>147</v>
      </c>
    </row>
    <row r="55" spans="1:13" x14ac:dyDescent="0.35">
      <c r="A55" s="7" t="s">
        <v>144</v>
      </c>
      <c r="B55" s="8"/>
      <c r="C55" s="8"/>
      <c r="D55" s="8"/>
      <c r="E55" s="8"/>
      <c r="F55" s="8"/>
      <c r="G55" s="9">
        <v>160800000</v>
      </c>
      <c r="H55" s="9">
        <v>160800000</v>
      </c>
      <c r="I55" s="9">
        <v>24380008.030000001</v>
      </c>
      <c r="J55" s="9">
        <v>24428018.960000001</v>
      </c>
      <c r="K55" s="9">
        <v>33976380.259999998</v>
      </c>
      <c r="L55" s="9">
        <v>78015592.75</v>
      </c>
    </row>
    <row r="56" spans="1:13" x14ac:dyDescent="0.35">
      <c r="A56" s="2" t="s">
        <v>1</v>
      </c>
    </row>
  </sheetData>
  <autoFilter ref="A3:M56" xr:uid="{00000000-0001-0000-0000-000000000000}"/>
  <mergeCells count="1">
    <mergeCell ref="A4:A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2023-10-18T05:36:56Z</dcterms:created>
  <dcterms:modified xsi:type="dcterms:W3CDTF">2023-10-19T12:05:22Z</dcterms:modified>
</cp:coreProperties>
</file>