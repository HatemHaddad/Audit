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36" documentId="11_11D6BB7AA990C4D40E103125B0F6988F7BCA5950" xr6:coauthVersionLast="47" xr6:coauthVersionMax="47" xr10:uidLastSave="{3839732D-9D0B-4911-963E-623FF7B0DBC8}"/>
  <bookViews>
    <workbookView xWindow="-110" yWindow="-110" windowWidth="19420" windowHeight="104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Sheet1!$A$3:$M$480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2" i="1" l="1"/>
  <c r="I482" i="1"/>
  <c r="G482" i="1"/>
  <c r="D12" i="2"/>
  <c r="D11" i="2"/>
  <c r="D10" i="2"/>
  <c r="D9" i="2"/>
</calcChain>
</file>

<file path=xl/sharedStrings.xml><?xml version="1.0" encoding="utf-8"?>
<sst xmlns="http://schemas.openxmlformats.org/spreadsheetml/2006/main" count="2880" uniqueCount="772">
  <si>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</si>
  <si>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</si>
  <si>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</si>
  <si>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</si>
  <si>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</si>
  <si>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</si>
  <si>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</si>
  <si>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</si>
  <si>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</si>
  <si>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</si>
  <si>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</si>
  <si>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</si>
  <si>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</si>
  <si>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</si>
  <si>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</si>
  <si>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8470110</t>
  </si>
  <si>
    <t>KUST - Office of the President</t>
  </si>
  <si>
    <t>420550</t>
  </si>
  <si>
    <t>Academic Advisory Service</t>
  </si>
  <si>
    <t>847.8470110.1.420550.000000.847001.200179</t>
  </si>
  <si>
    <t>425510</t>
  </si>
  <si>
    <t>Conferences, seminars and exhibitions and other events: - Local Events</t>
  </si>
  <si>
    <t>847.8470110.1.425510.000000.847001.200179</t>
  </si>
  <si>
    <t>425550</t>
  </si>
  <si>
    <t>Conferences, seminars and exhibitions and other events: - Overseas event</t>
  </si>
  <si>
    <t>847.8470110.1.425550.000000.847001.200179</t>
  </si>
  <si>
    <t>425900</t>
  </si>
  <si>
    <t>Entertainment and hospitality</t>
  </si>
  <si>
    <t>847.8470110.1.425900.000000.847001.200179</t>
  </si>
  <si>
    <t>427900</t>
  </si>
  <si>
    <t>Translation and interpretation service</t>
  </si>
  <si>
    <t>847.8470110.1.427900.000000.847001.200179</t>
  </si>
  <si>
    <t>428090</t>
  </si>
  <si>
    <t>Business Travel - Combined expenses</t>
  </si>
  <si>
    <t>847.8470110.1.428090.000000.847001.200179</t>
  </si>
  <si>
    <t>8470120</t>
  </si>
  <si>
    <t>KUST - Audit</t>
  </si>
  <si>
    <t>420120</t>
  </si>
  <si>
    <t>Internal Audit service</t>
  </si>
  <si>
    <t>847.8470120.1.420120.000000.847001.200179</t>
  </si>
  <si>
    <t>847.8470120.1.425900.000000.847001.200179</t>
  </si>
  <si>
    <t>847.8470120.1.428090.000000.847001.200179</t>
  </si>
  <si>
    <t>8470121</t>
  </si>
  <si>
    <t>KUST - Compliance and Risk Management</t>
  </si>
  <si>
    <t>421000</t>
  </si>
  <si>
    <t>Management consultancy</t>
  </si>
  <si>
    <t>847.8470121.1.421000.000000.847001.200179</t>
  </si>
  <si>
    <t>421700</t>
  </si>
  <si>
    <t>Standards Certification Services (e.g. ISO)</t>
  </si>
  <si>
    <t>847.8470121.1.421700.000000.847001.200179</t>
  </si>
  <si>
    <t>847.8470121.1.425900.000000.847001.200179</t>
  </si>
  <si>
    <t>426610</t>
  </si>
  <si>
    <t>Computer software licenses-Software License Renewal</t>
  </si>
  <si>
    <t>847.8470121.1.426610.000000.847001.200179</t>
  </si>
  <si>
    <t>847.8470121.1.428090.000000.847001.200179</t>
  </si>
  <si>
    <t>8470130</t>
  </si>
  <si>
    <t>KUST - Institutional Research &amp; Planning</t>
  </si>
  <si>
    <t>847.8470130.1.421000.000000.847001.200179</t>
  </si>
  <si>
    <t>847.8470130.1.426610.000000.847001.200179</t>
  </si>
  <si>
    <t>427710</t>
  </si>
  <si>
    <t>Subscriptions and membership fees: Trade organisations</t>
  </si>
  <si>
    <t>847.8470130.1.427710.000000.847001.200179</t>
  </si>
  <si>
    <t>847.8470130.1.428090.000000.847001.200179</t>
  </si>
  <si>
    <t>8470140</t>
  </si>
  <si>
    <t>KUST - Communication</t>
  </si>
  <si>
    <t>425100</t>
  </si>
  <si>
    <t>Advertising Services (General)</t>
  </si>
  <si>
    <t>847.8470140.1.425100.000000.847001.200179</t>
  </si>
  <si>
    <t>847.8470140.1.425510.000000.847001.200179</t>
  </si>
  <si>
    <t>847.8470140.1.425550.000000.847001.200179</t>
  </si>
  <si>
    <t>425763</t>
  </si>
  <si>
    <t>Student Project Expenses</t>
  </si>
  <si>
    <t>847.8470140.1.425763.000000.847001.200179</t>
  </si>
  <si>
    <t>427100</t>
  </si>
  <si>
    <t>Public relations</t>
  </si>
  <si>
    <t>847.8470140.1.427100.000000.847001.200179</t>
  </si>
  <si>
    <t>427200</t>
  </si>
  <si>
    <t>Printing and publishing</t>
  </si>
  <si>
    <t>847.8470140.1.427200.000000.847001.200179</t>
  </si>
  <si>
    <t>428640</t>
  </si>
  <si>
    <t>Events - Awards, prizes &amp; gifts</t>
  </si>
  <si>
    <t>847.8470140.1.428640.000000.847001.200179</t>
  </si>
  <si>
    <t>435519</t>
  </si>
  <si>
    <t>Photography - Consumable materials /Tools</t>
  </si>
  <si>
    <t>847.8470140.1.435519.000000.847001.200179</t>
  </si>
  <si>
    <t>8470150</t>
  </si>
  <si>
    <t>KUST - General Counsel</t>
  </si>
  <si>
    <t>420900</t>
  </si>
  <si>
    <t>Legal services</t>
  </si>
  <si>
    <t>847.8470150.1.420900.000000.847001.200179</t>
  </si>
  <si>
    <t>847.8470150.1.426610.000000.847001.200179</t>
  </si>
  <si>
    <t>8470160</t>
  </si>
  <si>
    <t>KUST - SVP/ Support Services Office</t>
  </si>
  <si>
    <t>847.8470160.1.420900.000000.847001.200179</t>
  </si>
  <si>
    <t>847.8470160.1.425550.000000.847001.200179</t>
  </si>
  <si>
    <t>847.8470160.1.425900.000000.847001.200179</t>
  </si>
  <si>
    <t>847.8470160.1.426610.000000.847001.200179</t>
  </si>
  <si>
    <t>847.8470160.1.428090.000000.847001.200179</t>
  </si>
  <si>
    <t>847.8470160.1.428640.000000.847001.200179</t>
  </si>
  <si>
    <t>435523</t>
  </si>
  <si>
    <t>Scientific</t>
  </si>
  <si>
    <t>847.8470160.1.435523.000000.847001.200179</t>
  </si>
  <si>
    <t>8470210</t>
  </si>
  <si>
    <t>KUST - Khalifa University of Science &amp; Technology - General Administration</t>
  </si>
  <si>
    <t>420811</t>
  </si>
  <si>
    <t>IT Systems &amp; Support expenses-Application/Systems Operation</t>
  </si>
  <si>
    <t>847.8470210.1.420811.000000.847001.200179</t>
  </si>
  <si>
    <t>847.8470210.1.420900.000000.847001.200179</t>
  </si>
  <si>
    <t>425747</t>
  </si>
  <si>
    <t>Student Accommodation</t>
  </si>
  <si>
    <t>847.8470210.1.425747.000000.847001.200179</t>
  </si>
  <si>
    <t>425749</t>
  </si>
  <si>
    <t>Postgraduate Student Salaries</t>
  </si>
  <si>
    <t>847.8470210.1.425749.000000.847001.200179</t>
  </si>
  <si>
    <t>847.8470210.1.435523.000000.847001.200179</t>
  </si>
  <si>
    <t>8470220</t>
  </si>
  <si>
    <t>KUST - Office of the Provost</t>
  </si>
  <si>
    <t>847.8470220.1.420550.000000.847001.200179</t>
  </si>
  <si>
    <t>420570</t>
  </si>
  <si>
    <t>Academic Collaborative Partnership Services</t>
  </si>
  <si>
    <t>847.8470220.1.420570.000000.847001.200179</t>
  </si>
  <si>
    <t>847.8470220.1.421700.000000.847001.200179</t>
  </si>
  <si>
    <t>847.8470220.1.425510.000000.847001.200179</t>
  </si>
  <si>
    <t>847.8470220.1.425550.000000.847001.200179</t>
  </si>
  <si>
    <t>847.8470220.1.425900.000000.847001.200179</t>
  </si>
  <si>
    <t>847.8470220.1.428090.000000.847001.200179</t>
  </si>
  <si>
    <t>847.8470220.1.428640.000000.847001.200179</t>
  </si>
  <si>
    <t>847.8470220.1.428640.000000.847020.050589</t>
  </si>
  <si>
    <t>432205</t>
  </si>
  <si>
    <t>Maintenance: Computers and peripherals-End user and Infrastructure components maintenance and support</t>
  </si>
  <si>
    <t>847.8470220.1.432205.000000.847001.200179</t>
  </si>
  <si>
    <t>435350</t>
  </si>
  <si>
    <t>Academic Publications</t>
  </si>
  <si>
    <t>847.8470220.1.435350.000000.847020.050589</t>
  </si>
  <si>
    <t>435508</t>
  </si>
  <si>
    <t>Laboratory - Scientific</t>
  </si>
  <si>
    <t>847.8470220.1.435508.000000.847001.200179</t>
  </si>
  <si>
    <t>8470221</t>
  </si>
  <si>
    <t>KUST - General Education</t>
  </si>
  <si>
    <t>847.8470221.1.425763.000000.847001.200179</t>
  </si>
  <si>
    <t>425770</t>
  </si>
  <si>
    <t>Academic Missions - Combined expenses</t>
  </si>
  <si>
    <t>847.8470221.1.425770.000000.847001.200179</t>
  </si>
  <si>
    <t>847.8470221.1.426610.000000.847001.200179</t>
  </si>
  <si>
    <t>429900</t>
  </si>
  <si>
    <t>Other services, not specifically mentioned elsewhere</t>
  </si>
  <si>
    <t>847.8470221.1.429900.000000.847001.200179</t>
  </si>
  <si>
    <t>847.8470221.1.435508.000000.847001.200179</t>
  </si>
  <si>
    <t>8470230</t>
  </si>
  <si>
    <t>KUST - Graduate Studies</t>
  </si>
  <si>
    <t>847.8470230.1.420550.000000.847001.200179</t>
  </si>
  <si>
    <t>847.8470230.1.425510.000000.847001.200179</t>
  </si>
  <si>
    <t>847.8470230.1.425550.000000.847001.200179</t>
  </si>
  <si>
    <t>425744</t>
  </si>
  <si>
    <t>Student medical insurance</t>
  </si>
  <si>
    <t>847.8470230.1.425744.000000.847001.200179</t>
  </si>
  <si>
    <t>425745</t>
  </si>
  <si>
    <t>Student relocation &amp; travel exps</t>
  </si>
  <si>
    <t>847.8470230.1.425745.000000.847001.200179</t>
  </si>
  <si>
    <t>847.8470230.1.425749.000000.847001.200179</t>
  </si>
  <si>
    <t>425762</t>
  </si>
  <si>
    <t>Student Internship</t>
  </si>
  <si>
    <t>847.8470230.1.425762.000000.847001.200179</t>
  </si>
  <si>
    <t>847.8470230.1.425900.000000.847001.200179</t>
  </si>
  <si>
    <t>8470305</t>
  </si>
  <si>
    <t>KUST - Dean Of Engineering</t>
  </si>
  <si>
    <t>847.8470305.1.420550.000000.847001.200179</t>
  </si>
  <si>
    <t>847.8470305.1.425510.000000.847001.200179</t>
  </si>
  <si>
    <t>425760</t>
  </si>
  <si>
    <t>Student activities &amp; field trip expenses</t>
  </si>
  <si>
    <t>847.8470305.1.425760.000000.847001.200179</t>
  </si>
  <si>
    <t>847.8470305.1.425763.000000.847001.200179</t>
  </si>
  <si>
    <t>847.8470305.1.425770.000000.847001.200179</t>
  </si>
  <si>
    <t>847.8470305.1.425900.000000.847001.200179</t>
  </si>
  <si>
    <t>847.8470305.1.426610.000000.847001.200179</t>
  </si>
  <si>
    <t>847.8470305.1.428090.000000.847001.200179</t>
  </si>
  <si>
    <t>432209</t>
  </si>
  <si>
    <t>Laboratory Equipment maintenance</t>
  </si>
  <si>
    <t>847.8470305.1.432209.000000.847001.200179</t>
  </si>
  <si>
    <t>847.8470305.1.435350.000000.847001.200179</t>
  </si>
  <si>
    <t>847.8470305.1.435508.000000.847001.200179</t>
  </si>
  <si>
    <t>8470310</t>
  </si>
  <si>
    <t>KUST - Aerospace Engineering</t>
  </si>
  <si>
    <t>847.8470310.1.420550.000000.847001.200179</t>
  </si>
  <si>
    <t>847.8470310.1.425510.000000.847001.200179</t>
  </si>
  <si>
    <t>847.8470310.1.425760.000000.847001.200179</t>
  </si>
  <si>
    <t>847.8470310.1.425763.000000.847001.200179</t>
  </si>
  <si>
    <t>847.8470310.1.425770.000000.847001.200179</t>
  </si>
  <si>
    <t>847.8470310.1.425900.000000.847001.200179</t>
  </si>
  <si>
    <t>847.8470310.1.426610.000000.847001.200179</t>
  </si>
  <si>
    <t>847.8470310.1.435350.000000.847001.200179</t>
  </si>
  <si>
    <t>847.8470310.1.435508.000000.847001.200179</t>
  </si>
  <si>
    <t>8470315</t>
  </si>
  <si>
    <t>KUST - Biomedical Engineering</t>
  </si>
  <si>
    <t>847.8470315.1.420550.000000.847001.200179</t>
  </si>
  <si>
    <t>847.8470315.1.425510.000000.847001.200179</t>
  </si>
  <si>
    <t>847.8470315.1.425760.000000.847001.200179</t>
  </si>
  <si>
    <t>847.8470315.1.425763.000000.847001.200179</t>
  </si>
  <si>
    <t>847.8470315.1.425770.000000.847001.200179</t>
  </si>
  <si>
    <t>847.8470315.1.425900.000000.847001.200179</t>
  </si>
  <si>
    <t>847.8470315.1.426610.000000.847001.200179</t>
  </si>
  <si>
    <t>847.8470315.1.428090.000000.847001.200179</t>
  </si>
  <si>
    <t>847.8470315.1.432209.000000.847001.200179</t>
  </si>
  <si>
    <t>847.8470315.1.435350.000000.847001.200179</t>
  </si>
  <si>
    <t>847.8470315.1.435508.000000.847001.200179</t>
  </si>
  <si>
    <t>8470320</t>
  </si>
  <si>
    <t>KUST - Chemical Engineering</t>
  </si>
  <si>
    <t>847.8470320.1.425510.000000.847001.200179</t>
  </si>
  <si>
    <t>847.8470320.1.425760.000000.847001.200179</t>
  </si>
  <si>
    <t>847.8470320.1.425763.000000.847001.200179</t>
  </si>
  <si>
    <t>847.8470320.1.425770.000000.847001.200179</t>
  </si>
  <si>
    <t>847.8470320.1.425900.000000.847001.200179</t>
  </si>
  <si>
    <t>847.8470320.1.426610.000000.847001.200179</t>
  </si>
  <si>
    <t>847.8470320.1.435350.000000.847001.200179</t>
  </si>
  <si>
    <t>847.8470320.1.435508.000000.847001.200179</t>
  </si>
  <si>
    <t>436110</t>
  </si>
  <si>
    <t>Printing supplies</t>
  </si>
  <si>
    <t>847.8470320.1.436110.000000.847001.200179</t>
  </si>
  <si>
    <t>436600</t>
  </si>
  <si>
    <t>Training/Teaching equipment and other educational aid</t>
  </si>
  <si>
    <t>847.8470320.1.436600.000000.847001.200179</t>
  </si>
  <si>
    <t>8470321</t>
  </si>
  <si>
    <t>KUST - Chemical &amp; Petroleum Engineering</t>
  </si>
  <si>
    <t>847.8470321.1.425510.000000.847001.200179</t>
  </si>
  <si>
    <t>847.8470321.1.425760.000000.847001.200179</t>
  </si>
  <si>
    <t>847.8470321.1.425763.000000.847001.200179</t>
  </si>
  <si>
    <t>847.8470321.1.425770.000000.847001.200179</t>
  </si>
  <si>
    <t>847.8470321.1.425900.000000.847001.200179</t>
  </si>
  <si>
    <t>847.8470321.1.426610.000000.847001.200179</t>
  </si>
  <si>
    <t>847.8470321.1.435350.000000.847001.200179</t>
  </si>
  <si>
    <t>847.8470321.1.435508.000000.847001.200179</t>
  </si>
  <si>
    <t>847.8470321.1.436110.000000.847001.200179</t>
  </si>
  <si>
    <t>847.8470321.1.436600.000000.847001.200179</t>
  </si>
  <si>
    <t>8470325</t>
  </si>
  <si>
    <t>KUST - Civil Engineering</t>
  </si>
  <si>
    <t>847.8470325.1.425510.000000.847001.200179</t>
  </si>
  <si>
    <t>847.8470325.1.425763.000000.847001.200179</t>
  </si>
  <si>
    <t>847.8470325.1.425770.000000.847001.200179</t>
  </si>
  <si>
    <t>847.8470325.1.425900.000000.847001.200179</t>
  </si>
  <si>
    <t>847.8470325.1.426610.000000.847001.200179</t>
  </si>
  <si>
    <t>847.8470325.1.432209.000000.847001.200179</t>
  </si>
  <si>
    <t>847.8470325.1.435350.000000.847001.200179</t>
  </si>
  <si>
    <t>847.8470325.1.435508.000000.847001.200179</t>
  </si>
  <si>
    <t>847.8470325.1.436600.000000.847001.200179</t>
  </si>
  <si>
    <t>8470330</t>
  </si>
  <si>
    <t>KUST - Electrical &amp; Computer Engineering</t>
  </si>
  <si>
    <t>847.8470330.1.420550.000000.847001.200179</t>
  </si>
  <si>
    <t>847.8470330.1.425510.000000.847001.200179</t>
  </si>
  <si>
    <t>847.8470330.1.425760.000000.847001.200179</t>
  </si>
  <si>
    <t>847.8470330.1.425763.000000.847001.200179</t>
  </si>
  <si>
    <t>847.8470330.1.425770.000000.847001.200179</t>
  </si>
  <si>
    <t>847.8470330.1.425900.000000.847001.200179</t>
  </si>
  <si>
    <t>847.8470330.1.426610.000000.847001.200179</t>
  </si>
  <si>
    <t>847.8470330.1.432209.000000.847001.200179</t>
  </si>
  <si>
    <t>847.8470330.1.435350.000000.847001.200179</t>
  </si>
  <si>
    <t>847.8470330.1.435508.000000.847001.200179</t>
  </si>
  <si>
    <t>8470335</t>
  </si>
  <si>
    <t>KUST - Management, Science &amp; Engineering</t>
  </si>
  <si>
    <t>847.8470335.1.425510.000000.847001.200179</t>
  </si>
  <si>
    <t>425720</t>
  </si>
  <si>
    <t>Education-Outsourced training service</t>
  </si>
  <si>
    <t>847.8470335.1.425720.000000.847001.200179</t>
  </si>
  <si>
    <t>847.8470335.1.425760.000000.847001.200179</t>
  </si>
  <si>
    <t>847.8470335.1.425763.000000.847001.200179</t>
  </si>
  <si>
    <t>847.8470335.1.425770.000000.847001.200179</t>
  </si>
  <si>
    <t>847.8470335.1.425900.000000.847001.200179</t>
  </si>
  <si>
    <t>847.8470335.1.426610.000000.847001.200179</t>
  </si>
  <si>
    <t>847.8470335.1.435350.000000.847001.200179</t>
  </si>
  <si>
    <t>847.8470335.1.435508.000000.847001.200179</t>
  </si>
  <si>
    <t>847.8470335.1.436600.000000.847001.200179</t>
  </si>
  <si>
    <t>8470340</t>
  </si>
  <si>
    <t>KUST - Mechanical Engineering</t>
  </si>
  <si>
    <t>847.8470340.1.425510.000000.847001.200179</t>
  </si>
  <si>
    <t>847.8470340.1.425720.000000.847001.200179</t>
  </si>
  <si>
    <t>847.8470340.1.425760.000000.847001.200179</t>
  </si>
  <si>
    <t>847.8470340.1.425763.000000.847001.200179</t>
  </si>
  <si>
    <t>847.8470340.1.425770.000000.847001.200179</t>
  </si>
  <si>
    <t>847.8470340.1.425900.000000.847001.200179</t>
  </si>
  <si>
    <t>847.8470340.1.426610.000000.847001.200179</t>
  </si>
  <si>
    <t>847.8470340.1.428090.000000.847001.200179</t>
  </si>
  <si>
    <t>847.8470340.1.432209.000000.847001.200179</t>
  </si>
  <si>
    <t>847.8470340.1.435350.000000.847001.200179</t>
  </si>
  <si>
    <t>847.8470340.1.435508.000000.847001.200179</t>
  </si>
  <si>
    <t>847.8470340.1.436110.000000.847001.200179</t>
  </si>
  <si>
    <t>847.8470340.1.436600.000000.847001.200179</t>
  </si>
  <si>
    <t>8470341</t>
  </si>
  <si>
    <t>KUST - Mechanical &amp; Nuclear Engineering</t>
  </si>
  <si>
    <t>847.8470341.1.425760.000000.847001.200179</t>
  </si>
  <si>
    <t>425761</t>
  </si>
  <si>
    <t>Student Field trips</t>
  </si>
  <si>
    <t>847.8470341.1.425761.000000.847001.200179</t>
  </si>
  <si>
    <t>847.8470341.1.425763.000000.847001.200179</t>
  </si>
  <si>
    <t>847.8470341.1.425770.000000.847001.200179</t>
  </si>
  <si>
    <t>847.8470341.1.425900.000000.847001.200179</t>
  </si>
  <si>
    <t>847.8470341.1.426610.000000.847001.200179</t>
  </si>
  <si>
    <t>847.8470341.1.428090.000000.847001.200179</t>
  </si>
  <si>
    <t>847.8470341.1.432209.000000.847001.200179</t>
  </si>
  <si>
    <t>847.8470341.1.435350.000000.847001.200179</t>
  </si>
  <si>
    <t>847.8470341.1.435508.000000.847001.200179</t>
  </si>
  <si>
    <t>847.8470341.1.436600.000000.847001.200179</t>
  </si>
  <si>
    <t>8470345</t>
  </si>
  <si>
    <t>KUST - Nuclear Engineering</t>
  </si>
  <si>
    <t>847.8470345.1.425510.000000.847001.200179</t>
  </si>
  <si>
    <t>847.8470345.1.425760.000000.847001.200179</t>
  </si>
  <si>
    <t>847.8470345.1.425761.000000.847001.200179</t>
  </si>
  <si>
    <t>847.8470345.1.425770.000000.847001.200179</t>
  </si>
  <si>
    <t>847.8470345.1.425900.000000.847001.200179</t>
  </si>
  <si>
    <t>847.8470345.1.426610.000000.847001.200179</t>
  </si>
  <si>
    <t>847.8470345.1.435350.000000.847001.200179</t>
  </si>
  <si>
    <t>847.8470345.1.435508.000000.847001.200179</t>
  </si>
  <si>
    <t>847.8470345.1.436600.000000.847001.200179</t>
  </si>
  <si>
    <t>8470350</t>
  </si>
  <si>
    <t>KUST - Petroleum Engineering</t>
  </si>
  <si>
    <t>847.8470350.1.425510.000000.847001.200179</t>
  </si>
  <si>
    <t>847.8470350.1.425763.000000.847001.200179</t>
  </si>
  <si>
    <t>847.8470350.1.425770.000000.847001.200179</t>
  </si>
  <si>
    <t>847.8470350.1.425900.000000.847001.200179</t>
  </si>
  <si>
    <t>847.8470350.1.426610.000000.847001.200179</t>
  </si>
  <si>
    <t>847.8470350.1.427710.000000.847001.200179</t>
  </si>
  <si>
    <t>847.8470350.1.432209.000000.847001.200179</t>
  </si>
  <si>
    <t>847.8470350.1.435350.000000.847001.200179</t>
  </si>
  <si>
    <t>847.8470350.1.435508.000000.847001.200179</t>
  </si>
  <si>
    <t>847.8470350.1.436600.000000.847001.200179</t>
  </si>
  <si>
    <t>8470405</t>
  </si>
  <si>
    <t>KUST - Dean of Science</t>
  </si>
  <si>
    <t>847.8470405.1.420550.000000.847001.200179</t>
  </si>
  <si>
    <t>847.8470405.1.421700.000000.847001.200179</t>
  </si>
  <si>
    <t>847.8470405.1.425510.000000.847001.200179</t>
  </si>
  <si>
    <t>847.8470405.1.425550.000000.847001.200179</t>
  </si>
  <si>
    <t>847.8470405.1.425720.000000.847001.200179</t>
  </si>
  <si>
    <t>847.8470405.1.425770.000000.847001.200179</t>
  </si>
  <si>
    <t>847.8470405.1.425900.000000.847001.200179</t>
  </si>
  <si>
    <t>847.8470405.1.427710.000000.847001.200179</t>
  </si>
  <si>
    <t>847.8470405.1.428090.000000.847001.200179</t>
  </si>
  <si>
    <t>847.8470405.1.435350.000000.847001.200179</t>
  </si>
  <si>
    <t>847.8470405.1.436600.000000.847001.200179</t>
  </si>
  <si>
    <t>8470410</t>
  </si>
  <si>
    <t>KUST - Institute of International &amp; Civil Security</t>
  </si>
  <si>
    <t>847.8470410.1.425770.000000.847001.200179</t>
  </si>
  <si>
    <t>847.8470410.1.426610.000000.847001.200179</t>
  </si>
  <si>
    <t>847.8470410.1.428090.000000.847001.200179</t>
  </si>
  <si>
    <t>435310</t>
  </si>
  <si>
    <t>Newspapers, magazines, journals, etc</t>
  </si>
  <si>
    <t>847.8470410.1.435310.000000.847001.200179</t>
  </si>
  <si>
    <t>847.8470410.1.435350.000000.847001.200179</t>
  </si>
  <si>
    <t>8470415</t>
  </si>
  <si>
    <t>KUST - Chemistry</t>
  </si>
  <si>
    <t>847.8470415.1.425510.000000.847001.200179</t>
  </si>
  <si>
    <t>847.8470415.1.425763.000000.847001.200179</t>
  </si>
  <si>
    <t>847.8470415.1.425770.000000.847001.200179</t>
  </si>
  <si>
    <t>847.8470415.1.425900.000000.847001.200179</t>
  </si>
  <si>
    <t>847.8470415.1.426610.000000.847001.200179</t>
  </si>
  <si>
    <t>847.8470415.1.428090.000000.847001.200179</t>
  </si>
  <si>
    <t>847.8470415.1.432209.000000.847001.200179</t>
  </si>
  <si>
    <t>847.8470415.1.435350.000000.847001.200179</t>
  </si>
  <si>
    <t>847.8470415.1.435508.000000.847001.200179</t>
  </si>
  <si>
    <t>8470425</t>
  </si>
  <si>
    <t>KUST - Physics</t>
  </si>
  <si>
    <t>847.8470425.1.425510.000000.847001.200179</t>
  </si>
  <si>
    <t>847.8470425.1.425550.000000.847001.200179</t>
  </si>
  <si>
    <t>847.8470425.1.425763.000000.847001.200179</t>
  </si>
  <si>
    <t>847.8470425.1.425770.000000.847001.200179</t>
  </si>
  <si>
    <t>847.8470425.1.425900.000000.847001.200179</t>
  </si>
  <si>
    <t>847.8470425.1.426610.000000.847001.200179</t>
  </si>
  <si>
    <t>847.8470425.1.428090.000000.847001.200179</t>
  </si>
  <si>
    <t>847.8470425.1.435350.000000.847001.200179</t>
  </si>
  <si>
    <t>847.8470425.1.435508.000000.847001.200179</t>
  </si>
  <si>
    <t>8470430</t>
  </si>
  <si>
    <t>KUST - Preparatory Program</t>
  </si>
  <si>
    <t>847.8470430.1.425763.000000.847001.200179</t>
  </si>
  <si>
    <t>847.8470430.1.425770.000000.847001.200179</t>
  </si>
  <si>
    <t>847.8470430.1.426610.000000.847001.200179</t>
  </si>
  <si>
    <t>847.8470430.1.432209.000000.847001.200179</t>
  </si>
  <si>
    <t>847.8470430.1.435508.000000.847001.200179</t>
  </si>
  <si>
    <t>8470435</t>
  </si>
  <si>
    <t>KUST - Department of English</t>
  </si>
  <si>
    <t>847.8470435.1.429900.000000.847001.200179</t>
  </si>
  <si>
    <t>8470440</t>
  </si>
  <si>
    <t>KUST - Social Sciences</t>
  </si>
  <si>
    <t>847.8470440.1.420550.000000.847001.200179</t>
  </si>
  <si>
    <t>847.8470440.1.425510.000000.847001.200179</t>
  </si>
  <si>
    <t>847.8470440.1.425550.000000.847001.200179</t>
  </si>
  <si>
    <t>847.8470440.1.425770.000000.847001.200179</t>
  </si>
  <si>
    <t>847.8470440.1.426610.000000.847001.200179</t>
  </si>
  <si>
    <t>847.8470440.1.427710.000000.847001.200179</t>
  </si>
  <si>
    <t>847.8470440.1.428090.000000.847001.200179</t>
  </si>
  <si>
    <t>847.8470440.1.428640.000000.847001.200179</t>
  </si>
  <si>
    <t>847.8470440.1.435350.000000.847001.200179</t>
  </si>
  <si>
    <t>847.8470440.1.436600.000000.847001.200179</t>
  </si>
  <si>
    <t>8470445</t>
  </si>
  <si>
    <t>KUST - Mathematics</t>
  </si>
  <si>
    <t>847.8470445.1.425510.000000.847001.200179</t>
  </si>
  <si>
    <t>847.8470445.1.425720.000000.847001.200179</t>
  </si>
  <si>
    <t>847.8470445.1.425770.000000.847001.200179</t>
  </si>
  <si>
    <t>847.8470445.1.426610.000000.847001.200179</t>
  </si>
  <si>
    <t>847.8470445.1.435350.000000.847001.200179</t>
  </si>
  <si>
    <t>8470450</t>
  </si>
  <si>
    <t>KUST - Earth Science</t>
  </si>
  <si>
    <t>847.8470450.1.420550.000000.847001.200179</t>
  </si>
  <si>
    <t>847.8470450.1.421700.000000.847001.200179</t>
  </si>
  <si>
    <t>847.8470450.1.425510.000000.847001.200179</t>
  </si>
  <si>
    <t>847.8470450.1.425761.000000.847001.200179</t>
  </si>
  <si>
    <t>847.8470450.1.425763.000000.847001.200179</t>
  </si>
  <si>
    <t>847.8470450.1.425770.000000.847001.200179</t>
  </si>
  <si>
    <t>847.8470450.1.426610.000000.847001.200179</t>
  </si>
  <si>
    <t>847.8470450.1.432209.000000.847001.200179</t>
  </si>
  <si>
    <t>847.8470450.1.435350.000000.847001.200179</t>
  </si>
  <si>
    <t>8470455</t>
  </si>
  <si>
    <t>KUST – Biology</t>
  </si>
  <si>
    <t>847.8470455.1.425770.000000.847001.200179</t>
  </si>
  <si>
    <t>847.8470455.1.425900.000000.847001.200179</t>
  </si>
  <si>
    <t>847.8470455.1.426610.000000.847001.200179</t>
  </si>
  <si>
    <t>847.8470455.1.432209.000000.847001.200179</t>
  </si>
  <si>
    <t>847.8470455.1.435350.000000.847001.200179</t>
  </si>
  <si>
    <t>847.8470455.1.435508.000000.847001.200179</t>
  </si>
  <si>
    <t>8470520</t>
  </si>
  <si>
    <t>KUST - Environment, Health &amp; Safety</t>
  </si>
  <si>
    <t>847.8470520.1.425510.000000.847001.200179</t>
  </si>
  <si>
    <t>847.8470520.1.427710.000000.847001.200179</t>
  </si>
  <si>
    <t>428200</t>
  </si>
  <si>
    <t>Health,safety&amp;environment awareness</t>
  </si>
  <si>
    <t>847.8470520.1.428200.000000.847001.200179</t>
  </si>
  <si>
    <t>8470530</t>
  </si>
  <si>
    <t>KUST - Facilities Management</t>
  </si>
  <si>
    <t>420310</t>
  </si>
  <si>
    <t>Cleaning Services: Business premises</t>
  </si>
  <si>
    <t>847.8470530.1.420310.000000.847010.200179</t>
  </si>
  <si>
    <t>847.8470530.1.420310.000000.847015.200179</t>
  </si>
  <si>
    <t>847.8470530.1.420310.000000.847020.200179</t>
  </si>
  <si>
    <t>847.8470530.1.421000.000000.847010.200179</t>
  </si>
  <si>
    <t>421600</t>
  </si>
  <si>
    <t>Security service</t>
  </si>
  <si>
    <t>847.8470530.1.421600.000000.847010.200179</t>
  </si>
  <si>
    <t>847.8470530.1.421600.000000.847015.200179</t>
  </si>
  <si>
    <t>847.8470530.1.421600.000000.847020.200179</t>
  </si>
  <si>
    <t>847.8470530.1.421600.000000.847030.200179</t>
  </si>
  <si>
    <t>847.8470530.1.421700.000000.847010.200179</t>
  </si>
  <si>
    <t>847.8470530.1.425510.000000.847010.200179</t>
  </si>
  <si>
    <t>847.8470530.1.425747.000000.847015.200179</t>
  </si>
  <si>
    <t>847.8470530.1.425900.000000.847010.200179</t>
  </si>
  <si>
    <t>426220</t>
  </si>
  <si>
    <t>Insurance - Fire and allied perils</t>
  </si>
  <si>
    <t>847.8470530.1.426220.000000.847010.200179</t>
  </si>
  <si>
    <t>426630</t>
  </si>
  <si>
    <t>Other licenses, not mentioned elsewhere</t>
  </si>
  <si>
    <t>847.8470530.1.426630.000000.847020.200179</t>
  </si>
  <si>
    <t>426900</t>
  </si>
  <si>
    <t>Postal, courier and other document delivery expenses</t>
  </si>
  <si>
    <t>847.8470530.1.426900.000000.847010.200179</t>
  </si>
  <si>
    <t>847.8470530.1.428090.000000.847001.200179</t>
  </si>
  <si>
    <t>847.8470530.1.429900.000000.847010.200179</t>
  </si>
  <si>
    <t>430110</t>
  </si>
  <si>
    <t>Rental - Land</t>
  </si>
  <si>
    <t>847.8470530.1.430110.000000.847020.200179</t>
  </si>
  <si>
    <t>432120</t>
  </si>
  <si>
    <t>Bldg maintenance-Business premises</t>
  </si>
  <si>
    <t>847.8470530.1.432120.000000.847010.200179</t>
  </si>
  <si>
    <t>847.8470530.1.432120.000000.847015.200179</t>
  </si>
  <si>
    <t>847.8470530.1.432120.000000.847020.200179</t>
  </si>
  <si>
    <t>847.8470530.1.432120.000000.847030.200179</t>
  </si>
  <si>
    <t>432170</t>
  </si>
  <si>
    <t>Bldg decoration &amp; minor improvements</t>
  </si>
  <si>
    <t>847.8470530.1.432170.000000.847010.200179</t>
  </si>
  <si>
    <t>432320</t>
  </si>
  <si>
    <t>Residential Furniture and fixtures Maintenance</t>
  </si>
  <si>
    <t>847.8470530.1.432320.000000.847001.200179</t>
  </si>
  <si>
    <t>847.8470530.1.432320.000000.847010.200179</t>
  </si>
  <si>
    <t>432540</t>
  </si>
  <si>
    <t>Motor vehicles (non-military)</t>
  </si>
  <si>
    <t>847.8470530.1.432540.000000.847010.200179</t>
  </si>
  <si>
    <t>435410</t>
  </si>
  <si>
    <t>Catering supplies: Offices</t>
  </si>
  <si>
    <t>847.8470530.1.435410.000000.847020.200179</t>
  </si>
  <si>
    <t>436220</t>
  </si>
  <si>
    <t>Road signs</t>
  </si>
  <si>
    <t>847.8470530.1.436220.000000.847010.200179</t>
  </si>
  <si>
    <t>8470540</t>
  </si>
  <si>
    <t>KUST - Administration</t>
  </si>
  <si>
    <t>421100</t>
  </si>
  <si>
    <t>Manpower supply "Other Than IT Related"</t>
  </si>
  <si>
    <t>847.8470540.1.421100.000000.847010.200179</t>
  </si>
  <si>
    <t>426800</t>
  </si>
  <si>
    <t>Motor vehicle registration and inspection charges</t>
  </si>
  <si>
    <t>847.8470540.1.426800.000000.847001.200179</t>
  </si>
  <si>
    <t>847.8470540.1.427710.000000.847001.200179</t>
  </si>
  <si>
    <t>428111</t>
  </si>
  <si>
    <t>Electricity consumption charges</t>
  </si>
  <si>
    <t>847.8470540.1.428111.000000.847010.200179</t>
  </si>
  <si>
    <t>847.8470540.1.428111.000000.847015.200179</t>
  </si>
  <si>
    <t>847.8470540.1.428111.000000.847020.200179</t>
  </si>
  <si>
    <t>428112</t>
  </si>
  <si>
    <t>Water consumption charges</t>
  </si>
  <si>
    <t>847.8470540.1.428112.000000.847010.200179</t>
  </si>
  <si>
    <t>847.8470540.1.428112.000000.847015.200179</t>
  </si>
  <si>
    <t>847.8470540.1.428112.000000.847020.200179</t>
  </si>
  <si>
    <t>847.8470540.1.429900.000000.847010.200179</t>
  </si>
  <si>
    <t>430230</t>
  </si>
  <si>
    <t>Rental - Equipment</t>
  </si>
  <si>
    <t>847.8470540.1.430230.000000.847001.200179</t>
  </si>
  <si>
    <t>430330</t>
  </si>
  <si>
    <t>Rental - Motor vehicles</t>
  </si>
  <si>
    <t>847.8470540.1.430330.000000.847010.200179</t>
  </si>
  <si>
    <t>847.8470540.1.432540.000000.847010.200179</t>
  </si>
  <si>
    <t>847.8470540.1.435410.000000.847020.200179</t>
  </si>
  <si>
    <t>435740</t>
  </si>
  <si>
    <t>Fuel, oil and lubricants: Motor vehicles</t>
  </si>
  <si>
    <t>847.8470540.1.435740.000000.847010.200179</t>
  </si>
  <si>
    <t>847.8470540.1.436110.000000.847010.200179</t>
  </si>
  <si>
    <t>8470605</t>
  </si>
  <si>
    <t>KUST - SVP / Finance &amp; Investment Office</t>
  </si>
  <si>
    <t>847.8470605.1.421000.000000.847001.200179</t>
  </si>
  <si>
    <t>847.8470605.1.425720.000000.847001.200179</t>
  </si>
  <si>
    <t>847.8470605.1.425900.000000.847001.200179</t>
  </si>
  <si>
    <t>847.8470605.1.428090.000000.847001.200179</t>
  </si>
  <si>
    <t>847.8470605.1.429900.000000.847001.200179</t>
  </si>
  <si>
    <t>8470620</t>
  </si>
  <si>
    <t>KUST - Finance Operations</t>
  </si>
  <si>
    <t>420130</t>
  </si>
  <si>
    <t>External Audit service</t>
  </si>
  <si>
    <t>847.8470620.1.420130.000000.847001.200179</t>
  </si>
  <si>
    <t>422900</t>
  </si>
  <si>
    <t>Other specialised professional services, not mentioned elsewhere</t>
  </si>
  <si>
    <t>847.8470620.1.422900.000000.847001.200179</t>
  </si>
  <si>
    <t>425300</t>
  </si>
  <si>
    <t>Banking service charges / Fees</t>
  </si>
  <si>
    <t>847.8470620.1.425300.000000.847001.200179</t>
  </si>
  <si>
    <t>425350</t>
  </si>
  <si>
    <t>Fees for processing e-payments-e-Payment operation</t>
  </si>
  <si>
    <t>847.8470620.1.425350.000000.847001.200179</t>
  </si>
  <si>
    <t>847.8470620.1.425900.000000.847001.200179</t>
  </si>
  <si>
    <t>847.8470620.1.426610.000000.847001.200179</t>
  </si>
  <si>
    <t>8470720</t>
  </si>
  <si>
    <t>KUST - Procurement and Contracts</t>
  </si>
  <si>
    <t>847.8470720.1.421000.000000.847001.200179</t>
  </si>
  <si>
    <t>847.8470720.1.421700.000000.847001.200179</t>
  </si>
  <si>
    <t>847.8470720.1.422900.000000.847001.200179</t>
  </si>
  <si>
    <t>847.8470720.1.425100.000000.847001.200179</t>
  </si>
  <si>
    <t>847.8470720.1.425900.000000.847001.200179</t>
  </si>
  <si>
    <t>847.8470720.1.426610.000000.847001.200179</t>
  </si>
  <si>
    <t>847.8470720.1.426900.000000.847001.200179</t>
  </si>
  <si>
    <t>847.8470720.1.428090.000000.847001.200179</t>
  </si>
  <si>
    <t>847.8470720.1.428200.000000.847001.200179</t>
  </si>
  <si>
    <t>847.8470720.1.428640.000000.847001.200179</t>
  </si>
  <si>
    <t>847.8470720.1.435410.000000.847001.200179</t>
  </si>
  <si>
    <t>847.8470720.1.436110.000000.847001.200179</t>
  </si>
  <si>
    <t>436120</t>
  </si>
  <si>
    <t>Stationery</t>
  </si>
  <si>
    <t>847.8470720.1.436120.000000.847001.200179</t>
  </si>
  <si>
    <t>8470730</t>
  </si>
  <si>
    <t>KUST - Human Resources</t>
  </si>
  <si>
    <t>847.8470730.1.421000.000000.847001.200179</t>
  </si>
  <si>
    <t>847.8470730.1.425900.000000.847001.200179</t>
  </si>
  <si>
    <t>426260</t>
  </si>
  <si>
    <t>Insurance - Workman's compensation</t>
  </si>
  <si>
    <t>847.8470730.1.426260.000000.847001.200179</t>
  </si>
  <si>
    <t>847.8470730.1.426610.000000.847001.200179</t>
  </si>
  <si>
    <t>847.8470730.1.428090.000000.847001.200179</t>
  </si>
  <si>
    <t>847.8470730.1.428640.000000.847001.200179</t>
  </si>
  <si>
    <t>847.8470730.1.436110.000000.847001.200179</t>
  </si>
  <si>
    <t>8470810</t>
  </si>
  <si>
    <t>KUST - Ankabut office</t>
  </si>
  <si>
    <t>847.8470810.1.420811.000000.847001.200179</t>
  </si>
  <si>
    <t>847.8470810.1.421100.000000.847001.200179</t>
  </si>
  <si>
    <t>847.8470810.1.425900.000000.847001.200179</t>
  </si>
  <si>
    <t>847.8470810.1.426610.000000.847001.200179</t>
  </si>
  <si>
    <t>427810</t>
  </si>
  <si>
    <t>Telephone and telefax charges-Telecommunication, Satellite services</t>
  </si>
  <si>
    <t>847.8470810.1.427810.000000.847001.200179</t>
  </si>
  <si>
    <t>427850</t>
  </si>
  <si>
    <t>Data Transmission charges-Data Transmission charges</t>
  </si>
  <si>
    <t>847.8470810.1.427850.000000.847001.200179</t>
  </si>
  <si>
    <t>847.8470810.1.428090.000000.847001.200179</t>
  </si>
  <si>
    <t>847.8470810.1.430230.000000.847001.200179</t>
  </si>
  <si>
    <t>430250</t>
  </si>
  <si>
    <t>Rental - Computer hardware-Rental/Subscription - Computer hardware</t>
  </si>
  <si>
    <t>847.8470810.1.430250.000000.847001.200179</t>
  </si>
  <si>
    <t>847.8470810.1.432205.000000.847001.200179</t>
  </si>
  <si>
    <t>432226</t>
  </si>
  <si>
    <t>Computers and peripherals-Printers maintenance and support</t>
  </si>
  <si>
    <t>847.8470810.1.432226.000000.847001.200179</t>
  </si>
  <si>
    <t>8470910</t>
  </si>
  <si>
    <t>KUST - Executive Vice President Office</t>
  </si>
  <si>
    <t>847.8470910.1.425900.000000.847001.200179</t>
  </si>
  <si>
    <t>847.8470910.1.428090.000000.847001.200179</t>
  </si>
  <si>
    <t>8471010</t>
  </si>
  <si>
    <t>KUST - Continuing Education Office</t>
  </si>
  <si>
    <t>847.8471010.1.425100.000000.847001.200179</t>
  </si>
  <si>
    <t>847.8471010.1.425510.000000.847001.200179</t>
  </si>
  <si>
    <t>847.8471010.1.425720.000000.847001.200179</t>
  </si>
  <si>
    <t>847.8471010.1.425900.000000.847001.200179</t>
  </si>
  <si>
    <t>847.8471010.1.436110.000000.847001.200179</t>
  </si>
  <si>
    <t>8471110</t>
  </si>
  <si>
    <t>KUST - SVP/ Research &amp; Development Office</t>
  </si>
  <si>
    <t>847.8471110.1.425900.000000.847001.200179</t>
  </si>
  <si>
    <t>847.8471110.1.427710.000000.847001.200179</t>
  </si>
  <si>
    <t>847.8471110.1.428090.000000.847001.200179</t>
  </si>
  <si>
    <t>8471130</t>
  </si>
  <si>
    <t>KUST - Research Service</t>
  </si>
  <si>
    <t>847.8471130.1.420811.000000.847001.200179</t>
  </si>
  <si>
    <t>847.8471130.1.425900.000000.847001.200179</t>
  </si>
  <si>
    <t>847.8471130.1.426610.000000.847001.200179</t>
  </si>
  <si>
    <t>847.8471130.1.427900.000000.847001.200179</t>
  </si>
  <si>
    <t>847.8471130.1.428090.000000.847001.200179</t>
  </si>
  <si>
    <t>847.8471130.1.435523.000000.847001.000000</t>
  </si>
  <si>
    <t>847.8471130.1.435523.000000.847001.200179</t>
  </si>
  <si>
    <t>8471140</t>
  </si>
  <si>
    <t>KUST - University Sponsored Research</t>
  </si>
  <si>
    <t>847.8471140.1.420570.000000.847001.050583</t>
  </si>
  <si>
    <t>847.8471140.1.420570.000000.847001.200179</t>
  </si>
  <si>
    <t>847.8471140.1.421000.000000.847001.050583</t>
  </si>
  <si>
    <t>847.8471140.1.428090.000000.847001.200179</t>
  </si>
  <si>
    <t>435330</t>
  </si>
  <si>
    <t>Library books</t>
  </si>
  <si>
    <t>847.8471140.1.435330.000000.847001.050583</t>
  </si>
  <si>
    <t>847.8471140.1.435523.000000.847001.050583</t>
  </si>
  <si>
    <t>847.8471140.1.435523.000000.847001.200179</t>
  </si>
  <si>
    <t>8471150</t>
  </si>
  <si>
    <t>KUST - Technology Management &amp; Innovation</t>
  </si>
  <si>
    <t>847.8471150.1.420900.000000.847001.050587</t>
  </si>
  <si>
    <t>847.8471150.1.420900.000000.847001.200179</t>
  </si>
  <si>
    <t>847.8471150.1.425510.000000.847001.050587</t>
  </si>
  <si>
    <t>847.8471150.1.425510.000000.847001.200179</t>
  </si>
  <si>
    <t>847.8471150.1.425550.000000.847001.200179</t>
  </si>
  <si>
    <t>847.8471150.1.426610.000000.847001.200179</t>
  </si>
  <si>
    <t>8471160</t>
  </si>
  <si>
    <t>KUST - Research Laboratories</t>
  </si>
  <si>
    <t>422100</t>
  </si>
  <si>
    <t>Waste management service</t>
  </si>
  <si>
    <t>847.8471160.1.422100.000000.847001.200179</t>
  </si>
  <si>
    <t>847.8471160.1.425900.000000.847001.200179</t>
  </si>
  <si>
    <t>847.8471160.1.426610.000000.847001.200179</t>
  </si>
  <si>
    <t>847.8471160.1.428090.000000.847001.200179</t>
  </si>
  <si>
    <t>847.8471160.1.432209.000000.847001.000000</t>
  </si>
  <si>
    <t>847.8471160.1.432209.000000.847001.200179</t>
  </si>
  <si>
    <t>847.8471160.1.435508.000000.847001.000000</t>
  </si>
  <si>
    <t>847.8471160.1.435508.000000.847001.200179</t>
  </si>
  <si>
    <t>847.8471160.1.436600.000000.847001.200179</t>
  </si>
  <si>
    <t>8471170</t>
  </si>
  <si>
    <t>KUST - Research Computing</t>
  </si>
  <si>
    <t>847.8471170.1.420811.000000.847001.200179</t>
  </si>
  <si>
    <t>847.8471170.1.426610.000000.847001.200179</t>
  </si>
  <si>
    <t>847.8471170.1.428090.000000.847001.200179</t>
  </si>
  <si>
    <t>8471210</t>
  </si>
  <si>
    <t>KUST - SVP/ Academic &amp; Student Services Office</t>
  </si>
  <si>
    <t>847.8471210.1.425900.000000.847001.200179</t>
  </si>
  <si>
    <t>847.8471210.1.428090.000000.847001.200179</t>
  </si>
  <si>
    <t>8471220</t>
  </si>
  <si>
    <t>KUST - Registrar</t>
  </si>
  <si>
    <t>847.8471220.1.425510.000000.847001.200179</t>
  </si>
  <si>
    <t>425741</t>
  </si>
  <si>
    <t>Student stipend</t>
  </si>
  <si>
    <t>847.8471220.1.425741.000000.847001.200179</t>
  </si>
  <si>
    <t>847.8471220.1.425745.000000.847001.200179</t>
  </si>
  <si>
    <t>847.8471220.1.425762.000000.847001.200179</t>
  </si>
  <si>
    <t>435340</t>
  </si>
  <si>
    <t>Text books and library books</t>
  </si>
  <si>
    <t>847.8471220.1.435340.000000.847001.200179</t>
  </si>
  <si>
    <t>847.8471220.1.436110.000000.847001.200179</t>
  </si>
  <si>
    <t>8471230</t>
  </si>
  <si>
    <t>KUST - Student Enrollment</t>
  </si>
  <si>
    <t>425742</t>
  </si>
  <si>
    <t>Enrollment expenses</t>
  </si>
  <si>
    <t>847.8471230.1.425742.000000.847001.200179</t>
  </si>
  <si>
    <t>847.8471230.1.426610.000000.847001.200179</t>
  </si>
  <si>
    <t>8471240</t>
  </si>
  <si>
    <t>KUST - Student Success</t>
  </si>
  <si>
    <t>847.8471240.1.425510.000000.847001.200179</t>
  </si>
  <si>
    <t>847.8471240.1.425720.000000.847001.200179</t>
  </si>
  <si>
    <t>847.8471240.1.425761.000000.847001.050584</t>
  </si>
  <si>
    <t>847.8471240.1.425761.000000.847001.200179</t>
  </si>
  <si>
    <t>847.8471240.1.425762.000000.847001.050584</t>
  </si>
  <si>
    <t>847.8471240.1.425762.000000.847001.200179</t>
  </si>
  <si>
    <t>847.8471240.1.425900.000000.847001.200179</t>
  </si>
  <si>
    <t>847.8471240.1.426610.000000.847001.200179</t>
  </si>
  <si>
    <t>847.8471240.1.427710.000000.847001.200179</t>
  </si>
  <si>
    <t>847.8471240.1.428090.000000.847001.200179</t>
  </si>
  <si>
    <t>8471250</t>
  </si>
  <si>
    <t>KUST - Career Services</t>
  </si>
  <si>
    <t>847.8471250.1.425510.000000.847001.050584</t>
  </si>
  <si>
    <t>847.8471250.1.425510.000000.847001.050585</t>
  </si>
  <si>
    <t>847.8471250.1.425510.000000.847001.200179</t>
  </si>
  <si>
    <t>847.8471250.1.425761.000000.847001.200179</t>
  </si>
  <si>
    <t>847.8471250.1.425762.000000.847001.050584</t>
  </si>
  <si>
    <t>847.8471250.1.425762.000000.847001.200179</t>
  </si>
  <si>
    <t>847.8471250.1.425900.000000.847001.200179</t>
  </si>
  <si>
    <t>847.8471250.1.426610.000000.847001.050585</t>
  </si>
  <si>
    <t>847.8471250.1.426610.000000.847001.200179</t>
  </si>
  <si>
    <t>847.8471250.1.428090.000000.847001.200179</t>
  </si>
  <si>
    <t>847.8471250.1.436110.000000.847001.200179</t>
  </si>
  <si>
    <t>8471260</t>
  </si>
  <si>
    <t>KUST - Student Life</t>
  </si>
  <si>
    <t>847.8471260.1.421100.000000.847001.200179</t>
  </si>
  <si>
    <t>847.8471260.1.425510.000000.847001.200179</t>
  </si>
  <si>
    <t>425746</t>
  </si>
  <si>
    <t>Student Transport</t>
  </si>
  <si>
    <t>847.8471260.1.425746.000000.847001.200179</t>
  </si>
  <si>
    <t>847.8471260.1.425747.000000.847001.200179</t>
  </si>
  <si>
    <t>847.8471260.1.425760.000000.847001.200179</t>
  </si>
  <si>
    <t>847.8471260.1.425900.000000.847001.200179</t>
  </si>
  <si>
    <t>847.8471260.1.428640.000000.847001.200179</t>
  </si>
  <si>
    <t>847.8471260.1.429900.000000.847001.200179</t>
  </si>
  <si>
    <t>435530</t>
  </si>
  <si>
    <t>School consumables, not specifically mentioned elsewhere</t>
  </si>
  <si>
    <t>847.8471260.1.435530.000000.847001.200179</t>
  </si>
  <si>
    <t>847.8471260.1.436110.000000.847001.200179</t>
  </si>
  <si>
    <t>8471270</t>
  </si>
  <si>
    <t>KUST - Libraries</t>
  </si>
  <si>
    <t>847.8471270.1.425900.000000.847001.200179</t>
  </si>
  <si>
    <t>847.8471270.1.435330.000000.847001.050589</t>
  </si>
  <si>
    <t>847.8471270.1.435330.000000.847001.200179</t>
  </si>
  <si>
    <t>8471280</t>
  </si>
  <si>
    <t>KUST - Center for Teaching &amp; Learning</t>
  </si>
  <si>
    <t>847.8471280.1.425100.000000.847001.200179</t>
  </si>
  <si>
    <t>847.8471280.1.425510.000000.847001.200179</t>
  </si>
  <si>
    <t>847.8471280.1.425550.000000.847001.200179</t>
  </si>
  <si>
    <t>425710</t>
  </si>
  <si>
    <t>Higher education and specialisation incentives</t>
  </si>
  <si>
    <t>847.8471280.1.425710.000000.847001.200179</t>
  </si>
  <si>
    <t>847.8471280.1.425720.000000.847001.200179</t>
  </si>
  <si>
    <t>847.8471280.1.425760.000000.847001.200179</t>
  </si>
  <si>
    <t>847.8471280.1.425770.000000.847001.200179</t>
  </si>
  <si>
    <t>847.8471280.1.425900.000000.847001.200179</t>
  </si>
  <si>
    <t>847.8471280.1.426610.000000.847001.200179</t>
  </si>
  <si>
    <t>847.8471280.1.427710.000000.847001.200179</t>
  </si>
  <si>
    <t>847.8471280.1.428640.000000.847001.200179</t>
  </si>
  <si>
    <t>847.8471280.1.435340.000000.847001.200179</t>
  </si>
  <si>
    <t>847.8471280.1.435530.000000.847001.200179</t>
  </si>
  <si>
    <t>847.8471280.1.436110.000000.847001.200179</t>
  </si>
  <si>
    <t>8471305</t>
  </si>
  <si>
    <t>KUST - Dean Of Medicine</t>
  </si>
  <si>
    <t>847.8471305.1.420570.000000.847001.200179</t>
  </si>
  <si>
    <t>847.8471305.1.421000.000000.847001.200179</t>
  </si>
  <si>
    <t>847.8471305.1.421700.000000.847001.200179</t>
  </si>
  <si>
    <t>847.8471305.1.425510.000000.847001.200179</t>
  </si>
  <si>
    <t>847.8471305.1.425550.000000.847001.200179</t>
  </si>
  <si>
    <t>847.8471305.1.425720.000000.847001.200179</t>
  </si>
  <si>
    <t>847.8471305.1.425742.000000.847001.200179</t>
  </si>
  <si>
    <t>847.8471305.1.425744.000000.847001.200179</t>
  </si>
  <si>
    <t>847.8471305.1.425745.000000.847001.200179</t>
  </si>
  <si>
    <t>847.8471305.1.425749.000000.847001.200179</t>
  </si>
  <si>
    <t>425750</t>
  </si>
  <si>
    <t>Skill assessment service</t>
  </si>
  <si>
    <t>847.8471305.1.425750.000000.847001.200179</t>
  </si>
  <si>
    <t>847.8471305.1.425762.000000.847001.200179</t>
  </si>
  <si>
    <t>847.8471305.1.425763.000000.847001.200179</t>
  </si>
  <si>
    <t>847.8471305.1.425770.000000.847001.200179</t>
  </si>
  <si>
    <t>847.8471305.1.425900.000000.847001.200179</t>
  </si>
  <si>
    <t>847.8471305.1.426610.000000.847001.200179</t>
  </si>
  <si>
    <t>847.8471305.1.426900.000000.847001.200179</t>
  </si>
  <si>
    <t>847.8471305.1.427710.000000.847001.200179</t>
  </si>
  <si>
    <t>847.8471305.1.428090.000000.847001.200179</t>
  </si>
  <si>
    <t>847.8471305.1.428640.000000.847001.200179</t>
  </si>
  <si>
    <t>847.8471305.1.432205.000000.847001.200179</t>
  </si>
  <si>
    <t>847.8471305.1.432209.000000.847001.200179</t>
  </si>
  <si>
    <t>847.8471305.1.435330.000000.847001.200179</t>
  </si>
  <si>
    <t>847.8471305.1.435340.000000.847001.200179</t>
  </si>
  <si>
    <t>847.8471305.1.435350.000000.847001.200179</t>
  </si>
  <si>
    <t>847.8471305.1.435508.000000.847001.200179</t>
  </si>
  <si>
    <t>847.8471305.1.435530.000000.847001.200179</t>
  </si>
  <si>
    <t>847.8471305.1.436120.000000.847001.200179</t>
  </si>
  <si>
    <t>Grand Total</t>
  </si>
  <si>
    <t>Chapter</t>
  </si>
  <si>
    <t xml:space="preserve">Administration </t>
  </si>
  <si>
    <t>Research</t>
  </si>
  <si>
    <t>Academics</t>
  </si>
  <si>
    <t>Row Labels</t>
  </si>
  <si>
    <t>Sum of Annual Budget</t>
  </si>
  <si>
    <t>Sum of Revised Budget</t>
  </si>
  <si>
    <t>Sum of Actual Amount</t>
  </si>
  <si>
    <t>Sum of PR</t>
  </si>
  <si>
    <t>Sum of PO</t>
  </si>
  <si>
    <t>Sum of Fund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</si>
</sst>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color theme="1"/>
      <name val="Calibri"/>
    </font>
    <font>
      <b/>
      <sz val="10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4" fillId="2" borderId="0" xfId="0" applyFont="1" applyFill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</cellXfs>
  <cellStyles count="1">
    <cellStyle name="Normal" xfId="0" builtinId="0"/>
  </cellStyles>
  <dxfs count="1">
    <dxf>
      <numFmt numFmtId="164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217.505130787038" createdVersion="8" refreshedVersion="8" minRefreshableVersion="3" recordCount="475" xr:uid="{D3D00AFA-CCCA-41C3-8216-5198EA21EADD}">
  <cacheSource type="worksheet">
    <worksheetSource ref="B3:M478" sheet="Sheet1"/>
  </cacheSource>
  <cacheFields count="12">
    <cacheField name="Cost Center Code" numFmtId="0">
      <sharedItems/>
    </cacheField>
    <cacheField name="Cost Center Description" numFmtId="0">
      <sharedItems/>
    </cacheField>
    <cacheField name="Account Code" numFmtId="0">
      <sharedItems/>
    </cacheField>
    <cacheField name="Account Description" numFmtId="0">
      <sharedItems/>
    </cacheField>
    <cacheField name="GL Account Combination" numFmtId="0">
      <sharedItems/>
    </cacheField>
    <cacheField name="Annual Budget" numFmtId="0">
      <sharedItems containsString="0" containsBlank="1" containsNumber="1" containsInteger="1" minValue="0" maxValue="173750000"/>
    </cacheField>
    <cacheField name="Revised Budget" numFmtId="0">
      <sharedItems containsString="0" containsBlank="1" containsNumber="1" containsInteger="1" minValue="0" maxValue="158286650"/>
    </cacheField>
    <cacheField name="Actual Amount" numFmtId="0">
      <sharedItems containsString="0" containsBlank="1" containsNumber="1" minValue="-68176.3" maxValue="102396753.12"/>
    </cacheField>
    <cacheField name="PR" numFmtId="0">
      <sharedItems containsString="0" containsBlank="1" containsNumber="1" minValue="-2232369.79" maxValue="3337606"/>
    </cacheField>
    <cacheField name="PO" numFmtId="0">
      <sharedItems containsString="0" containsBlank="1" containsNumber="1" minValue="-198647.15" maxValue="7983140.1799999997"/>
    </cacheField>
    <cacheField name="Fund Available" numFmtId="3">
      <sharedItems containsSemiMixedTypes="0" containsString="0" containsNumber="1" minValue="-1.7199999999720601" maxValue="55889896.880000003"/>
    </cacheField>
    <cacheField name="Chapter" numFmtId="0">
      <sharedItems count="3">
        <s v="Administration "/>
        <s v="Research"/>
        <s v="Academ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s v="8470110"/>
    <s v="KUST - Office of the President"/>
    <s v="420550"/>
    <s v="Academic Advisory Service"/>
    <s v="847.8470110.1.420550.000000.847001.200179"/>
    <n v="0"/>
    <n v="500000"/>
    <m/>
    <m/>
    <m/>
    <n v="500000"/>
    <x v="0"/>
  </r>
  <r>
    <s v="8470110"/>
    <s v="KUST - Office of the President"/>
    <s v="425510"/>
    <s v="Conferences, seminars and exhibitions and other events: - Local Events"/>
    <s v="847.8470110.1.425510.000000.847001.200179"/>
    <n v="52920"/>
    <n v="52920"/>
    <n v="10530"/>
    <m/>
    <m/>
    <n v="42390"/>
    <x v="0"/>
  </r>
  <r>
    <s v="8470110"/>
    <s v="KUST - Office of the President"/>
    <s v="425550"/>
    <s v="Conferences, seminars and exhibitions and other events: - Overseas event"/>
    <s v="847.8470110.1.425550.000000.847001.200179"/>
    <n v="22225"/>
    <n v="22225"/>
    <n v="3300"/>
    <m/>
    <m/>
    <n v="18925"/>
    <x v="0"/>
  </r>
  <r>
    <s v="8470110"/>
    <s v="KUST - Office of the President"/>
    <s v="425900"/>
    <s v="Entertainment and hospitality"/>
    <s v="847.8470110.1.425900.000000.847001.200179"/>
    <n v="14286"/>
    <n v="318000"/>
    <n v="49961.75"/>
    <m/>
    <m/>
    <n v="268038.25"/>
    <x v="0"/>
  </r>
  <r>
    <s v="8470110"/>
    <s v="KUST - Office of the President"/>
    <s v="427900"/>
    <s v="Translation and interpretation service"/>
    <s v="847.8470110.1.427900.000000.847001.200179"/>
    <n v="0"/>
    <n v="2000"/>
    <m/>
    <n v="600"/>
    <m/>
    <n v="1400"/>
    <x v="0"/>
  </r>
  <r>
    <s v="8470110"/>
    <s v="KUST - Office of the President"/>
    <s v="428090"/>
    <s v="Business Travel - Combined expenses"/>
    <s v="847.8470110.1.428090.000000.847001.200179"/>
    <n v="379941"/>
    <n v="1079941"/>
    <n v="406908"/>
    <m/>
    <m/>
    <n v="673033"/>
    <x v="0"/>
  </r>
  <r>
    <s v="8470120"/>
    <s v="KUST - Audit"/>
    <s v="420120"/>
    <s v="Internal Audit service"/>
    <s v="847.8470120.1.420120.000000.847001.200179"/>
    <n v="550028"/>
    <n v="550028"/>
    <n v="425925.92"/>
    <n v="-242128.46"/>
    <n v="366229.54"/>
    <n v="1.0000000000145499"/>
    <x v="0"/>
  </r>
  <r>
    <s v="8470120"/>
    <s v="KUST - Audit"/>
    <s v="425900"/>
    <s v="Entertainment and hospitality"/>
    <s v="847.8470120.1.425900.000000.847001.200179"/>
    <n v="0"/>
    <n v="20000"/>
    <m/>
    <m/>
    <m/>
    <n v="20000"/>
    <x v="0"/>
  </r>
  <r>
    <s v="8470120"/>
    <s v="KUST - Audit"/>
    <s v="428090"/>
    <s v="Business Travel - Combined expenses"/>
    <s v="847.8470120.1.428090.000000.847001.200179"/>
    <n v="37075"/>
    <n v="100000"/>
    <n v="19775.45"/>
    <m/>
    <m/>
    <n v="80224.55"/>
    <x v="0"/>
  </r>
  <r>
    <s v="8470121"/>
    <s v="KUST - Compliance and Risk Management"/>
    <s v="421000"/>
    <s v="Management consultancy"/>
    <s v="847.8470121.1.421000.000000.847001.200179"/>
    <n v="55000"/>
    <n v="650000"/>
    <m/>
    <n v="0"/>
    <n v="495000"/>
    <n v="155000"/>
    <x v="0"/>
  </r>
  <r>
    <s v="8470121"/>
    <s v="KUST - Compliance and Risk Management"/>
    <s v="421700"/>
    <s v="Standards Certification Services (e.g. ISO)"/>
    <s v="847.8470121.1.421700.000000.847001.200179"/>
    <n v="55000"/>
    <n v="100000"/>
    <m/>
    <n v="100000"/>
    <m/>
    <n v="0"/>
    <x v="0"/>
  </r>
  <r>
    <s v="8470121"/>
    <s v="KUST - Compliance and Risk Management"/>
    <s v="425900"/>
    <s v="Entertainment and hospitality"/>
    <s v="847.8470121.1.425900.000000.847001.200179"/>
    <n v="3000"/>
    <n v="32000"/>
    <m/>
    <m/>
    <m/>
    <n v="32000"/>
    <x v="0"/>
  </r>
  <r>
    <s v="8470121"/>
    <s v="KUST - Compliance and Risk Management"/>
    <s v="426610"/>
    <s v="Computer software licenses-Software License Renewal"/>
    <s v="847.8470121.1.426610.000000.847001.200179"/>
    <n v="75000"/>
    <n v="173000"/>
    <n v="52467.6"/>
    <n v="0"/>
    <n v="0"/>
    <n v="120532.4"/>
    <x v="0"/>
  </r>
  <r>
    <s v="8470121"/>
    <s v="KUST - Compliance and Risk Management"/>
    <s v="428090"/>
    <s v="Business Travel - Combined expenses"/>
    <s v="847.8470121.1.428090.000000.847001.200179"/>
    <n v="0"/>
    <n v="0"/>
    <m/>
    <m/>
    <m/>
    <n v="0"/>
    <x v="0"/>
  </r>
  <r>
    <s v="8470130"/>
    <s v="KUST - Institutional Research &amp; Planning"/>
    <s v="421000"/>
    <s v="Management consultancy"/>
    <s v="847.8470130.1.421000.000000.847001.200179"/>
    <n v="202500"/>
    <n v="202500"/>
    <m/>
    <m/>
    <m/>
    <n v="202500"/>
    <x v="1"/>
  </r>
  <r>
    <s v="8470130"/>
    <s v="KUST - Institutional Research &amp; Planning"/>
    <s v="426610"/>
    <s v="Computer software licenses-Software License Renewal"/>
    <s v="847.8470130.1.426610.000000.847001.200179"/>
    <n v="0"/>
    <n v="647100"/>
    <n v="297513"/>
    <n v="0"/>
    <n v="0"/>
    <n v="349587"/>
    <x v="1"/>
  </r>
  <r>
    <s v="8470130"/>
    <s v="KUST - Institutional Research &amp; Planning"/>
    <s v="427710"/>
    <s v="Subscriptions and membership fees: Trade organisations"/>
    <s v="847.8470130.1.427710.000000.847001.200179"/>
    <n v="114759"/>
    <n v="114759"/>
    <n v="114759"/>
    <m/>
    <m/>
    <n v="0"/>
    <x v="1"/>
  </r>
  <r>
    <s v="8470130"/>
    <s v="KUST - Institutional Research &amp; Planning"/>
    <s v="428090"/>
    <s v="Business Travel - Combined expenses"/>
    <s v="847.8470130.1.428090.000000.847001.200179"/>
    <n v="20000"/>
    <n v="20000"/>
    <m/>
    <m/>
    <m/>
    <n v="20000"/>
    <x v="1"/>
  </r>
  <r>
    <s v="8470140"/>
    <s v="KUST - Communication"/>
    <s v="425100"/>
    <s v="Advertising Services (General)"/>
    <s v="847.8470140.1.425100.000000.847001.200179"/>
    <n v="4978531"/>
    <n v="7076181"/>
    <n v="4136354.47"/>
    <n v="1179371.25"/>
    <n v="936660"/>
    <n v="823795.28000000096"/>
    <x v="0"/>
  </r>
  <r>
    <s v="8470140"/>
    <s v="KUST - Communication"/>
    <s v="425510"/>
    <s v="Conferences, seminars and exhibitions and other events: - Local Events"/>
    <s v="847.8470140.1.425510.000000.847001.200179"/>
    <n v="6769802"/>
    <n v="9269587"/>
    <n v="6740365.9100000001"/>
    <n v="568920"/>
    <n v="1954252.38"/>
    <n v="6048.70999999996"/>
    <x v="0"/>
  </r>
  <r>
    <s v="8470140"/>
    <s v="KUST - Communication"/>
    <s v="425550"/>
    <s v="Conferences, seminars and exhibitions and other events: - Overseas event"/>
    <s v="847.8470140.1.425550.000000.847001.200179"/>
    <n v="64327"/>
    <n v="5300"/>
    <n v="5298.58"/>
    <m/>
    <m/>
    <n v="1.4200000000000701"/>
    <x v="0"/>
  </r>
  <r>
    <s v="8470140"/>
    <s v="KUST - Communication"/>
    <s v="425763"/>
    <s v="Student Project Expenses"/>
    <s v="847.8470140.1.425763.000000.847001.200179"/>
    <n v="154663"/>
    <n v="1"/>
    <m/>
    <m/>
    <m/>
    <n v="1"/>
    <x v="0"/>
  </r>
  <r>
    <s v="8470140"/>
    <s v="KUST - Communication"/>
    <s v="427100"/>
    <s v="Public relations"/>
    <s v="847.8470140.1.427100.000000.847001.200179"/>
    <n v="928026"/>
    <n v="432002"/>
    <n v="712427.38"/>
    <n v="-432001.91"/>
    <n v="151576.44"/>
    <n v="8.9999999909195993E-2"/>
    <x v="0"/>
  </r>
  <r>
    <s v="8470140"/>
    <s v="KUST - Communication"/>
    <s v="427200"/>
    <s v="Printing and publishing"/>
    <s v="847.8470140.1.427200.000000.847001.200179"/>
    <n v="23653"/>
    <n v="0"/>
    <m/>
    <m/>
    <m/>
    <n v="0"/>
    <x v="0"/>
  </r>
  <r>
    <s v="8470140"/>
    <s v="KUST - Communication"/>
    <s v="428640"/>
    <s v="Events - Awards, prizes &amp; gifts"/>
    <s v="847.8470140.1.428640.000000.847001.200179"/>
    <n v="45999"/>
    <n v="2205"/>
    <n v="2205"/>
    <m/>
    <m/>
    <n v="0"/>
    <x v="0"/>
  </r>
  <r>
    <s v="8470140"/>
    <s v="KUST - Communication"/>
    <s v="435519"/>
    <s v="Photography - Consumable materials /Tools"/>
    <s v="847.8470140.1.435519.000000.847001.200179"/>
    <n v="58125"/>
    <n v="0"/>
    <m/>
    <m/>
    <m/>
    <n v="0"/>
    <x v="0"/>
  </r>
  <r>
    <s v="8470150"/>
    <s v="KUST - General Counsel"/>
    <s v="420900"/>
    <s v="Legal services"/>
    <s v="847.8470150.1.420900.000000.847001.200179"/>
    <n v="33692"/>
    <n v="353692"/>
    <n v="72600.210000000006"/>
    <n v="0"/>
    <n v="222040"/>
    <n v="59051.79"/>
    <x v="0"/>
  </r>
  <r>
    <s v="8470150"/>
    <s v="KUST - General Counsel"/>
    <s v="426610"/>
    <s v="Computer software licenses-Software License Renewal"/>
    <s v="847.8470150.1.426610.000000.847001.200179"/>
    <n v="0"/>
    <n v="25000"/>
    <n v="15000"/>
    <m/>
    <m/>
    <n v="10000"/>
    <x v="0"/>
  </r>
  <r>
    <s v="8470160"/>
    <s v="KUST - SVP/ Support Services Office"/>
    <s v="420900"/>
    <s v="Legal services"/>
    <s v="847.8470160.1.420900.000000.847001.200179"/>
    <n v="0"/>
    <n v="0"/>
    <m/>
    <m/>
    <m/>
    <n v="0"/>
    <x v="0"/>
  </r>
  <r>
    <s v="8470160"/>
    <s v="KUST - SVP/ Support Services Office"/>
    <s v="425550"/>
    <s v="Conferences, seminars and exhibitions and other events: - Overseas event"/>
    <s v="847.8470160.1.425550.000000.847001.200179"/>
    <n v="37000"/>
    <n v="37000"/>
    <m/>
    <m/>
    <m/>
    <n v="37000"/>
    <x v="0"/>
  </r>
  <r>
    <s v="8470160"/>
    <s v="KUST - SVP/ Support Services Office"/>
    <s v="425900"/>
    <s v="Entertainment and hospitality"/>
    <s v="847.8470160.1.425900.000000.847001.200179"/>
    <n v="195000"/>
    <n v="195000"/>
    <n v="66531.25"/>
    <n v="0"/>
    <n v="109715"/>
    <n v="18753.75"/>
    <x v="0"/>
  </r>
  <r>
    <s v="8470160"/>
    <s v="KUST - SVP/ Support Services Office"/>
    <s v="426610"/>
    <s v="Computer software licenses-Software License Renewal"/>
    <s v="847.8470160.1.426610.000000.847001.200179"/>
    <n v="0"/>
    <n v="5001"/>
    <m/>
    <n v="4408"/>
    <m/>
    <n v="593"/>
    <x v="0"/>
  </r>
  <r>
    <s v="8470160"/>
    <s v="KUST - SVP/ Support Services Office"/>
    <s v="428090"/>
    <s v="Business Travel - Combined expenses"/>
    <s v="847.8470160.1.428090.000000.847001.200179"/>
    <n v="37075"/>
    <n v="95000"/>
    <n v="6650"/>
    <m/>
    <m/>
    <n v="88350"/>
    <x v="0"/>
  </r>
  <r>
    <s v="8470160"/>
    <s v="KUST - SVP/ Support Services Office"/>
    <s v="428640"/>
    <s v="Events - Awards, prizes &amp; gifts"/>
    <s v="847.8470160.1.428640.000000.847001.200179"/>
    <n v="20000"/>
    <n v="4600"/>
    <m/>
    <m/>
    <m/>
    <n v="4600"/>
    <x v="0"/>
  </r>
  <r>
    <s v="8470160"/>
    <s v="KUST - SVP/ Support Services Office"/>
    <s v="435523"/>
    <s v="Scientific"/>
    <s v="847.8470160.1.435523.000000.847001.200179"/>
    <n v="0"/>
    <n v="2085000"/>
    <n v="1792911.9"/>
    <n v="0"/>
    <m/>
    <n v="292088.09999999998"/>
    <x v="0"/>
  </r>
  <r>
    <s v="8470210"/>
    <s v="KUST - Khalifa University of Science &amp; Technology - General Administration"/>
    <s v="420811"/>
    <s v="IT Systems &amp; Support expenses-Application/Systems Operation"/>
    <s v="847.8470210.1.420811.000000.847001.200179"/>
    <n v="14000000"/>
    <n v="10905900"/>
    <m/>
    <m/>
    <m/>
    <n v="10905900"/>
    <x v="0"/>
  </r>
  <r>
    <s v="8470210"/>
    <s v="KUST - Khalifa University of Science &amp; Technology - General Administration"/>
    <s v="420900"/>
    <s v="Legal services"/>
    <s v="847.8470210.1.420900.000000.847001.200179"/>
    <n v="1000000"/>
    <n v="1000000"/>
    <m/>
    <m/>
    <m/>
    <n v="1000000"/>
    <x v="0"/>
  </r>
  <r>
    <s v="8470210"/>
    <s v="KUST - Khalifa University of Science &amp; Technology - General Administration"/>
    <s v="425747"/>
    <s v="Student Accommodation"/>
    <s v="847.8470210.1.425747.000000.847001.200179"/>
    <n v="15000000"/>
    <n v="11750000"/>
    <m/>
    <m/>
    <m/>
    <n v="11750000"/>
    <x v="0"/>
  </r>
  <r>
    <s v="8470210"/>
    <s v="KUST - Khalifa University of Science &amp; Technology - General Administration"/>
    <s v="425749"/>
    <s v="Postgraduate Student Salaries"/>
    <s v="847.8470210.1.425749.000000.847001.200179"/>
    <n v="0"/>
    <n v="11760725"/>
    <m/>
    <m/>
    <m/>
    <n v="11760725"/>
    <x v="0"/>
  </r>
  <r>
    <s v="8470210"/>
    <s v="KUST - Khalifa University of Science &amp; Technology - General Administration"/>
    <s v="435523"/>
    <s v="Scientific"/>
    <s v="847.8470210.1.435523.000000.847001.200179"/>
    <n v="9000000"/>
    <n v="8000000"/>
    <m/>
    <m/>
    <m/>
    <n v="7941000"/>
    <x v="0"/>
  </r>
  <r>
    <s v="8470220"/>
    <s v="KUST - Office of the Provost"/>
    <s v="420550"/>
    <s v="Academic Advisory Service"/>
    <s v="847.8470220.1.420550.000000.847001.200179"/>
    <n v="0"/>
    <n v="26159"/>
    <m/>
    <m/>
    <m/>
    <n v="26159"/>
    <x v="2"/>
  </r>
  <r>
    <s v="8470220"/>
    <s v="KUST - Office of the Provost"/>
    <s v="420570"/>
    <s v="Academic Collaborative Partnership Services"/>
    <s v="847.8470220.1.420570.000000.847001.200179"/>
    <n v="500000"/>
    <n v="185000"/>
    <n v="183640.84"/>
    <n v="0"/>
    <m/>
    <n v="1359.16"/>
    <x v="2"/>
  </r>
  <r>
    <s v="8470220"/>
    <s v="KUST - Office of the Provost"/>
    <s v="421700"/>
    <s v="Standards Certification Services (e.g. ISO)"/>
    <s v="847.8470220.1.421700.000000.847001.200179"/>
    <n v="1100000"/>
    <n v="1337497"/>
    <n v="50006"/>
    <m/>
    <m/>
    <n v="1287491"/>
    <x v="2"/>
  </r>
  <r>
    <s v="8470220"/>
    <s v="KUST - Office of the Provost"/>
    <s v="425510"/>
    <s v="Conferences, seminars and exhibitions and other events: - Local Events"/>
    <s v="847.8470220.1.425510.000000.847001.200179"/>
    <n v="13750"/>
    <n v="1344058"/>
    <n v="783620"/>
    <n v="0"/>
    <n v="0"/>
    <n v="560438"/>
    <x v="2"/>
  </r>
  <r>
    <s v="8470220"/>
    <s v="KUST - Office of the Provost"/>
    <s v="425550"/>
    <s v="Conferences, seminars and exhibitions and other events: - Overseas event"/>
    <s v="847.8470220.1.425550.000000.847001.200179"/>
    <n v="13790"/>
    <n v="13790"/>
    <m/>
    <m/>
    <m/>
    <n v="13790"/>
    <x v="2"/>
  </r>
  <r>
    <s v="8470220"/>
    <s v="KUST - Office of the Provost"/>
    <s v="425900"/>
    <s v="Entertainment and hospitality"/>
    <s v="847.8470220.1.425900.000000.847001.200179"/>
    <n v="21378"/>
    <n v="51378"/>
    <n v="15927.54"/>
    <n v="0"/>
    <n v="4285.71"/>
    <n v="31164.75"/>
    <x v="2"/>
  </r>
  <r>
    <s v="8470220"/>
    <s v="KUST - Office of the Provost"/>
    <s v="428090"/>
    <s v="Business Travel - Combined expenses"/>
    <s v="847.8470220.1.428090.000000.847001.200179"/>
    <n v="33100"/>
    <n v="551900"/>
    <n v="10869.52"/>
    <m/>
    <m/>
    <n v="541030.48"/>
    <x v="2"/>
  </r>
  <r>
    <s v="8470220"/>
    <s v="KUST - Office of the Provost"/>
    <s v="428640"/>
    <s v="Events - Awards, prizes &amp; gifts"/>
    <s v="847.8470220.1.428640.000000.847001.200179"/>
    <n v="6320"/>
    <n v="261820"/>
    <n v="225500.98"/>
    <n v="0"/>
    <n v="4950"/>
    <n v="31369.02"/>
    <x v="2"/>
  </r>
  <r>
    <s v="8470220"/>
    <s v="KUST - Office of the Provost"/>
    <s v="428640"/>
    <s v="Events - Awards, prizes &amp; gifts"/>
    <s v="847.8470220.1.428640.000000.847020.050589"/>
    <n v="2000000"/>
    <n v="2000000"/>
    <n v="478533.25"/>
    <m/>
    <m/>
    <n v="1521466.75"/>
    <x v="2"/>
  </r>
  <r>
    <s v="8470220"/>
    <s v="KUST - Office of the Provost"/>
    <s v="432205"/>
    <s v="Maintenance: Computers and peripherals-End user and Infrastructure components maintenance and support"/>
    <s v="847.8470220.1.432205.000000.847001.200179"/>
    <n v="4648"/>
    <n v="4648"/>
    <m/>
    <m/>
    <m/>
    <n v="4648"/>
    <x v="2"/>
  </r>
  <r>
    <s v="8470220"/>
    <s v="KUST - Office of the Provost"/>
    <s v="435350"/>
    <s v="Academic Publications"/>
    <s v="847.8470220.1.435350.000000.847020.050589"/>
    <n v="3500000"/>
    <n v="3000000"/>
    <n v="335140.55"/>
    <m/>
    <m/>
    <n v="2664859.4500000002"/>
    <x v="2"/>
  </r>
  <r>
    <s v="8470220"/>
    <s v="KUST - Office of the Provost"/>
    <s v="435508"/>
    <s v="Laboratory - Scientific"/>
    <s v="847.8470220.1.435508.000000.847001.200179"/>
    <n v="0"/>
    <n v="300000"/>
    <n v="152706.39000000001"/>
    <n v="28455"/>
    <n v="96269"/>
    <n v="22569.61"/>
    <x v="2"/>
  </r>
  <r>
    <s v="8470221"/>
    <s v="KUST - General Education"/>
    <s v="425763"/>
    <s v="Student Project Expenses"/>
    <s v="847.8470221.1.425763.000000.847001.200179"/>
    <n v="0"/>
    <n v="6238"/>
    <m/>
    <m/>
    <m/>
    <n v="6238"/>
    <x v="2"/>
  </r>
  <r>
    <s v="8470221"/>
    <s v="KUST - General Education"/>
    <s v="425770"/>
    <s v="Academic Missions - Combined expenses"/>
    <s v="847.8470221.1.425770.000000.847001.200179"/>
    <n v="0"/>
    <n v="19000"/>
    <m/>
    <m/>
    <m/>
    <n v="19000"/>
    <x v="2"/>
  </r>
  <r>
    <s v="8470221"/>
    <s v="KUST - General Education"/>
    <s v="426610"/>
    <s v="Computer software licenses-Software License Renewal"/>
    <s v="847.8470221.1.426610.000000.847001.200179"/>
    <n v="0"/>
    <n v="15336"/>
    <m/>
    <m/>
    <m/>
    <n v="15336"/>
    <x v="2"/>
  </r>
  <r>
    <s v="8470221"/>
    <s v="KUST - General Education"/>
    <s v="429900"/>
    <s v="Other services, not specifically mentioned elsewhere"/>
    <s v="847.8470221.1.429900.000000.847001.200179"/>
    <n v="0"/>
    <n v="2000"/>
    <m/>
    <m/>
    <m/>
    <n v="2000"/>
    <x v="2"/>
  </r>
  <r>
    <s v="8470221"/>
    <s v="KUST - General Education"/>
    <s v="435508"/>
    <s v="Laboratory - Scientific"/>
    <s v="847.8470221.1.435508.000000.847001.200179"/>
    <n v="0"/>
    <n v="9790"/>
    <m/>
    <m/>
    <m/>
    <n v="9790"/>
    <x v="2"/>
  </r>
  <r>
    <s v="8470230"/>
    <s v="KUST - Graduate Studies"/>
    <s v="420550"/>
    <s v="Academic Advisory Service"/>
    <s v="847.8470230.1.420550.000000.847001.200179"/>
    <n v="93666"/>
    <n v="463666"/>
    <n v="395530.33"/>
    <m/>
    <m/>
    <n v="68960.97"/>
    <x v="2"/>
  </r>
  <r>
    <s v="8470230"/>
    <s v="KUST - Graduate Studies"/>
    <s v="425510"/>
    <s v="Conferences, seminars and exhibitions and other events: - Local Events"/>
    <s v="847.8470230.1.425510.000000.847001.200179"/>
    <n v="9463"/>
    <n v="9463"/>
    <n v="4980"/>
    <m/>
    <m/>
    <n v="4483"/>
    <x v="2"/>
  </r>
  <r>
    <s v="8470230"/>
    <s v="KUST - Graduate Studies"/>
    <s v="425550"/>
    <s v="Conferences, seminars and exhibitions and other events: - Overseas event"/>
    <s v="847.8470230.1.425550.000000.847001.200179"/>
    <n v="133200"/>
    <n v="433200"/>
    <n v="395656.24"/>
    <m/>
    <m/>
    <n v="37543.760000000097"/>
    <x v="2"/>
  </r>
  <r>
    <s v="8470230"/>
    <s v="KUST - Graduate Studies"/>
    <s v="425744"/>
    <s v="Student medical insurance"/>
    <s v="847.8470230.1.425744.000000.847001.200179"/>
    <n v="3612600"/>
    <n v="3362600"/>
    <n v="2944488.39"/>
    <m/>
    <m/>
    <n v="418111.61"/>
    <x v="2"/>
  </r>
  <r>
    <s v="8470230"/>
    <s v="KUST - Graduate Studies"/>
    <s v="425745"/>
    <s v="Student relocation &amp; travel exps"/>
    <s v="847.8470230.1.425745.000000.847001.200179"/>
    <n v="1183248"/>
    <n v="2106598"/>
    <n v="1271895.72"/>
    <m/>
    <m/>
    <n v="834702.28"/>
    <x v="2"/>
  </r>
  <r>
    <s v="8470230"/>
    <s v="KUST - Graduate Studies"/>
    <s v="425749"/>
    <s v="Postgraduate Student Salaries"/>
    <s v="847.8470230.1.425749.000000.847001.200179"/>
    <n v="173750000"/>
    <n v="158286650"/>
    <n v="102396753.12"/>
    <m/>
    <m/>
    <n v="55889896.880000003"/>
    <x v="2"/>
  </r>
  <r>
    <s v="8470230"/>
    <s v="KUST - Graduate Studies"/>
    <s v="425762"/>
    <s v="Student Internship"/>
    <s v="847.8470230.1.425762.000000.847001.200179"/>
    <n v="97200"/>
    <n v="247200"/>
    <n v="215005.04"/>
    <m/>
    <m/>
    <n v="32194.959999999999"/>
    <x v="2"/>
  </r>
  <r>
    <s v="8470230"/>
    <s v="KUST - Graduate Studies"/>
    <s v="425900"/>
    <s v="Entertainment and hospitality"/>
    <s v="847.8470230.1.425900.000000.847001.200179"/>
    <n v="9913"/>
    <n v="20000"/>
    <n v="4308.05"/>
    <m/>
    <m/>
    <n v="15691.95"/>
    <x v="2"/>
  </r>
  <r>
    <s v="8470305"/>
    <s v="KUST - Dean Of Engineering"/>
    <s v="420550"/>
    <s v="Academic Advisory Service"/>
    <s v="847.8470305.1.420550.000000.847001.200179"/>
    <m/>
    <m/>
    <n v="0"/>
    <m/>
    <m/>
    <n v="0"/>
    <x v="2"/>
  </r>
  <r>
    <s v="8470305"/>
    <s v="KUST - Dean Of Engineering"/>
    <s v="425510"/>
    <s v="Conferences, seminars and exhibitions and other events: - Local Events"/>
    <s v="847.8470305.1.425510.000000.847001.200179"/>
    <n v="9100"/>
    <n v="9100"/>
    <n v="8807.6"/>
    <m/>
    <m/>
    <n v="292.39999999999998"/>
    <x v="2"/>
  </r>
  <r>
    <s v="8470305"/>
    <s v="KUST - Dean Of Engineering"/>
    <s v="425760"/>
    <s v="Student activities &amp; field trip expenses"/>
    <s v="847.8470305.1.425760.000000.847001.200179"/>
    <n v="109500"/>
    <n v="30000"/>
    <m/>
    <m/>
    <m/>
    <n v="30000"/>
    <x v="2"/>
  </r>
  <r>
    <s v="8470305"/>
    <s v="KUST - Dean Of Engineering"/>
    <s v="425763"/>
    <s v="Student Project Expenses"/>
    <s v="847.8470305.1.425763.000000.847001.200179"/>
    <n v="270000"/>
    <n v="190000"/>
    <n v="129182.76"/>
    <m/>
    <m/>
    <n v="60817.24"/>
    <x v="2"/>
  </r>
  <r>
    <s v="8470305"/>
    <s v="KUST - Dean Of Engineering"/>
    <s v="425770"/>
    <s v="Academic Missions - Combined expenses"/>
    <s v="847.8470305.1.425770.000000.847001.200179"/>
    <n v="69895"/>
    <n v="109895"/>
    <n v="38935"/>
    <m/>
    <m/>
    <n v="70960"/>
    <x v="2"/>
  </r>
  <r>
    <s v="8470305"/>
    <s v="KUST - Dean Of Engineering"/>
    <s v="425900"/>
    <s v="Entertainment and hospitality"/>
    <s v="847.8470305.1.425900.000000.847001.200179"/>
    <n v="4800"/>
    <n v="35000"/>
    <n v="20799"/>
    <n v="0"/>
    <n v="13482.07"/>
    <n v="14818.93"/>
    <x v="2"/>
  </r>
  <r>
    <s v="8470305"/>
    <s v="KUST - Dean Of Engineering"/>
    <s v="426610"/>
    <s v="Computer software licenses-Software License Renewal"/>
    <s v="847.8470305.1.426610.000000.847001.200179"/>
    <n v="46943"/>
    <n v="23270"/>
    <n v="23269.03"/>
    <n v="0"/>
    <n v="0"/>
    <n v="0.97000000000116404"/>
    <x v="2"/>
  </r>
  <r>
    <s v="8470305"/>
    <s v="KUST - Dean Of Engineering"/>
    <s v="428090"/>
    <s v="Business Travel - Combined expenses"/>
    <s v="847.8470305.1.428090.000000.847001.200179"/>
    <n v="15000"/>
    <n v="120000"/>
    <n v="25335"/>
    <m/>
    <m/>
    <n v="94665"/>
    <x v="2"/>
  </r>
  <r>
    <s v="8470305"/>
    <s v="KUST - Dean Of Engineering"/>
    <s v="432209"/>
    <s v="Laboratory Equipment maintenance"/>
    <s v="847.8470305.1.432209.000000.847001.200179"/>
    <n v="43796"/>
    <n v="43796"/>
    <m/>
    <n v="0"/>
    <n v="22500"/>
    <n v="21296"/>
    <x v="2"/>
  </r>
  <r>
    <s v="8470305"/>
    <s v="KUST - Dean Of Engineering"/>
    <s v="435350"/>
    <s v="Academic Publications"/>
    <s v="847.8470305.1.435350.000000.847001.200179"/>
    <n v="53040"/>
    <n v="83040"/>
    <n v="20412.419999999998"/>
    <m/>
    <m/>
    <n v="62627.58"/>
    <x v="2"/>
  </r>
  <r>
    <s v="8470305"/>
    <s v="KUST - Dean Of Engineering"/>
    <s v="435508"/>
    <s v="Laboratory - Scientific"/>
    <s v="847.8470305.1.435508.000000.847001.200179"/>
    <n v="19087"/>
    <n v="19087"/>
    <n v="12250"/>
    <n v="0"/>
    <n v="0"/>
    <n v="6837"/>
    <x v="2"/>
  </r>
  <r>
    <s v="8470310"/>
    <s v="KUST - Aerospace Engineering"/>
    <s v="420550"/>
    <s v="Academic Advisory Service"/>
    <s v="847.8470310.1.420550.000000.847001.200179"/>
    <n v="1610"/>
    <n v="1610"/>
    <m/>
    <m/>
    <m/>
    <n v="1610"/>
    <x v="2"/>
  </r>
  <r>
    <s v="8470310"/>
    <s v="KUST - Aerospace Engineering"/>
    <s v="425510"/>
    <s v="Conferences, seminars and exhibitions and other events: - Local Events"/>
    <s v="847.8470310.1.425510.000000.847001.200179"/>
    <n v="5918"/>
    <n v="5918"/>
    <n v="264.60000000000002"/>
    <m/>
    <m/>
    <n v="5653.4"/>
    <x v="2"/>
  </r>
  <r>
    <s v="8470310"/>
    <s v="KUST - Aerospace Engineering"/>
    <s v="425760"/>
    <s v="Student activities &amp; field trip expenses"/>
    <s v="847.8470310.1.425760.000000.847001.200179"/>
    <n v="7300"/>
    <n v="96514"/>
    <n v="71200"/>
    <m/>
    <m/>
    <n v="25314"/>
    <x v="2"/>
  </r>
  <r>
    <s v="8470310"/>
    <s v="KUST - Aerospace Engineering"/>
    <s v="425763"/>
    <s v="Student Project Expenses"/>
    <s v="847.8470310.1.425763.000000.847001.200179"/>
    <n v="153000"/>
    <n v="268594"/>
    <n v="266396.93"/>
    <m/>
    <m/>
    <n v="2197.0700000000702"/>
    <x v="2"/>
  </r>
  <r>
    <s v="8470310"/>
    <s v="KUST - Aerospace Engineering"/>
    <s v="425770"/>
    <s v="Academic Missions - Combined expenses"/>
    <s v="847.8470310.1.425770.000000.847001.200179"/>
    <n v="80689"/>
    <n v="130689"/>
    <n v="38785.47"/>
    <m/>
    <m/>
    <n v="91903.53"/>
    <x v="2"/>
  </r>
  <r>
    <s v="8470310"/>
    <s v="KUST - Aerospace Engineering"/>
    <s v="425900"/>
    <s v="Entertainment and hospitality"/>
    <s v="847.8470310.1.425900.000000.847001.200179"/>
    <n v="1360"/>
    <n v="8360"/>
    <n v="2064"/>
    <m/>
    <m/>
    <n v="6296"/>
    <x v="2"/>
  </r>
  <r>
    <s v="8470310"/>
    <s v="KUST - Aerospace Engineering"/>
    <s v="426610"/>
    <s v="Computer software licenses-Software License Renewal"/>
    <s v="847.8470310.1.426610.000000.847001.200179"/>
    <n v="8896"/>
    <n v="32569"/>
    <n v="6228.66"/>
    <n v="0"/>
    <n v="0"/>
    <n v="26340.34"/>
    <x v="2"/>
  </r>
  <r>
    <s v="8470310"/>
    <s v="KUST - Aerospace Engineering"/>
    <s v="435350"/>
    <s v="Academic Publications"/>
    <s v="847.8470310.1.435350.000000.847001.200179"/>
    <n v="18000"/>
    <n v="78000"/>
    <n v="11100.87"/>
    <m/>
    <m/>
    <n v="66899.13"/>
    <x v="2"/>
  </r>
  <r>
    <s v="8470310"/>
    <s v="KUST - Aerospace Engineering"/>
    <s v="435508"/>
    <s v="Laboratory - Scientific"/>
    <s v="847.8470310.1.435508.000000.847001.200179"/>
    <n v="64332"/>
    <n v="38173"/>
    <n v="29922.35"/>
    <n v="0"/>
    <n v="0"/>
    <n v="8250.65"/>
    <x v="2"/>
  </r>
  <r>
    <s v="8470315"/>
    <s v="KUST - Biomedical Engineering"/>
    <s v="420550"/>
    <s v="Academic Advisory Service"/>
    <s v="847.8470315.1.420550.000000.847001.200179"/>
    <n v="2363"/>
    <n v="2363"/>
    <m/>
    <m/>
    <m/>
    <n v="2363"/>
    <x v="2"/>
  </r>
  <r>
    <s v="8470315"/>
    <s v="KUST - Biomedical Engineering"/>
    <s v="425510"/>
    <s v="Conferences, seminars and exhibitions and other events: - Local Events"/>
    <s v="847.8470315.1.425510.000000.847001.200179"/>
    <n v="4095"/>
    <n v="6712"/>
    <n v="6712"/>
    <m/>
    <m/>
    <n v="3.6379788070917101E-12"/>
    <x v="2"/>
  </r>
  <r>
    <s v="8470315"/>
    <s v="KUST - Biomedical Engineering"/>
    <s v="425760"/>
    <s v="Student activities &amp; field trip expenses"/>
    <s v="847.8470315.1.425760.000000.847001.200179"/>
    <n v="0"/>
    <n v="52500"/>
    <m/>
    <m/>
    <m/>
    <n v="52500"/>
    <x v="2"/>
  </r>
  <r>
    <s v="8470315"/>
    <s v="KUST - Biomedical Engineering"/>
    <s v="425763"/>
    <s v="Student Project Expenses"/>
    <s v="847.8470315.1.425763.000000.847001.200179"/>
    <n v="90000"/>
    <n v="167045"/>
    <n v="4092.06"/>
    <m/>
    <m/>
    <n v="162952.94"/>
    <x v="2"/>
  </r>
  <r>
    <s v="8470315"/>
    <s v="KUST - Biomedical Engineering"/>
    <s v="425770"/>
    <s v="Academic Missions - Combined expenses"/>
    <s v="847.8470315.1.425770.000000.847001.200179"/>
    <n v="126000"/>
    <n v="135883"/>
    <n v="99987.34"/>
    <m/>
    <m/>
    <n v="35895.660000000003"/>
    <x v="2"/>
  </r>
  <r>
    <s v="8470315"/>
    <s v="KUST - Biomedical Engineering"/>
    <s v="425900"/>
    <s v="Entertainment and hospitality"/>
    <s v="847.8470315.1.425900.000000.847001.200179"/>
    <n v="3072"/>
    <n v="3072"/>
    <n v="2861.25"/>
    <m/>
    <m/>
    <n v="210.75"/>
    <x v="2"/>
  </r>
  <r>
    <s v="8470315"/>
    <s v="KUST - Biomedical Engineering"/>
    <s v="426610"/>
    <s v="Computer software licenses-Software License Renewal"/>
    <s v="847.8470315.1.426610.000000.847001.200179"/>
    <n v="7412"/>
    <n v="3387"/>
    <n v="3386.51"/>
    <m/>
    <m/>
    <n v="0.489999999999782"/>
    <x v="2"/>
  </r>
  <r>
    <s v="8470315"/>
    <s v="KUST - Biomedical Engineering"/>
    <s v="428090"/>
    <s v="Business Travel - Combined expenses"/>
    <s v="847.8470315.1.428090.000000.847001.200179"/>
    <n v="10400"/>
    <n v="10400"/>
    <m/>
    <m/>
    <m/>
    <n v="10400"/>
    <x v="2"/>
  </r>
  <r>
    <s v="8470315"/>
    <s v="KUST - Biomedical Engineering"/>
    <s v="432209"/>
    <s v="Laboratory Equipment maintenance"/>
    <s v="847.8470315.1.432209.000000.847001.200179"/>
    <n v="88394"/>
    <n v="104069"/>
    <n v="25117.8"/>
    <n v="-26517.8"/>
    <n v="105469"/>
    <n v="-1.45519152283669E-11"/>
    <x v="2"/>
  </r>
  <r>
    <s v="8470315"/>
    <s v="KUST - Biomedical Engineering"/>
    <s v="435350"/>
    <s v="Academic Publications"/>
    <s v="847.8470315.1.435350.000000.847001.200179"/>
    <n v="22246"/>
    <n v="42246"/>
    <n v="37989.339999999997"/>
    <m/>
    <m/>
    <n v="4256.66"/>
    <x v="2"/>
  </r>
  <r>
    <s v="8470315"/>
    <s v="KUST - Biomedical Engineering"/>
    <s v="435508"/>
    <s v="Laboratory - Scientific"/>
    <s v="847.8470315.1.435508.000000.847001.200179"/>
    <n v="23139"/>
    <n v="151430"/>
    <n v="12491.38"/>
    <n v="46808.22"/>
    <n v="85696.14"/>
    <n v="6434.2600000000102"/>
    <x v="2"/>
  </r>
  <r>
    <s v="8470320"/>
    <s v="KUST - Chemical Engineering"/>
    <s v="425510"/>
    <s v="Conferences, seminars and exhibitions and other events: - Local Events"/>
    <s v="847.8470320.1.425510.000000.847001.200179"/>
    <n v="13650"/>
    <n v="11096"/>
    <n v="11094.75"/>
    <m/>
    <m/>
    <n v="1.25"/>
    <x v="2"/>
  </r>
  <r>
    <s v="8470320"/>
    <s v="KUST - Chemical Engineering"/>
    <s v="425760"/>
    <s v="Student activities &amp; field trip expenses"/>
    <s v="847.8470320.1.425760.000000.847001.200179"/>
    <n v="5390"/>
    <n v="1"/>
    <m/>
    <m/>
    <m/>
    <n v="1"/>
    <x v="2"/>
  </r>
  <r>
    <s v="8470320"/>
    <s v="KUST - Chemical Engineering"/>
    <s v="425763"/>
    <s v="Student Project Expenses"/>
    <s v="847.8470320.1.425763.000000.847001.200179"/>
    <n v="45000"/>
    <n v="42210"/>
    <n v="42209.05"/>
    <n v="0"/>
    <n v="0"/>
    <n v="0.95000000001164198"/>
    <x v="2"/>
  </r>
  <r>
    <s v="8470320"/>
    <s v="KUST - Chemical Engineering"/>
    <s v="425770"/>
    <s v="Academic Missions - Combined expenses"/>
    <s v="847.8470320.1.425770.000000.847001.200179"/>
    <n v="61600"/>
    <n v="110430"/>
    <n v="109864.97"/>
    <m/>
    <m/>
    <n v="565.02999999999895"/>
    <x v="2"/>
  </r>
  <r>
    <s v="8470320"/>
    <s v="KUST - Chemical Engineering"/>
    <s v="425900"/>
    <s v="Entertainment and hospitality"/>
    <s v="847.8470320.1.425900.000000.847001.200179"/>
    <n v="4750"/>
    <n v="2416"/>
    <n v="2415"/>
    <m/>
    <m/>
    <n v="1"/>
    <x v="2"/>
  </r>
  <r>
    <s v="8470320"/>
    <s v="KUST - Chemical Engineering"/>
    <s v="426610"/>
    <s v="Computer software licenses-Software License Renewal"/>
    <s v="847.8470320.1.426610.000000.847001.200179"/>
    <n v="60384"/>
    <n v="52568"/>
    <n v="40052.620000000003"/>
    <n v="0"/>
    <n v="12513.91"/>
    <n v="1.4699999999975299"/>
    <x v="2"/>
  </r>
  <r>
    <s v="8470320"/>
    <s v="KUST - Chemical Engineering"/>
    <s v="435350"/>
    <s v="Academic Publications"/>
    <s v="847.8470320.1.435350.000000.847001.200179"/>
    <n v="15857"/>
    <n v="17155"/>
    <n v="17154.259999999998"/>
    <m/>
    <m/>
    <n v="0.73999999999796295"/>
    <x v="2"/>
  </r>
  <r>
    <s v="8470320"/>
    <s v="KUST - Chemical Engineering"/>
    <s v="435508"/>
    <s v="Laboratory - Scientific"/>
    <s v="847.8470320.1.435508.000000.847001.200179"/>
    <n v="60095"/>
    <n v="13422"/>
    <n v="6473.28"/>
    <n v="-1613.7"/>
    <n v="8561.84"/>
    <n v="0.57999999999992702"/>
    <x v="2"/>
  </r>
  <r>
    <s v="8470320"/>
    <s v="KUST - Chemical Engineering"/>
    <s v="436110"/>
    <s v="Printing supplies"/>
    <s v="847.8470320.1.436110.000000.847001.200179"/>
    <n v="10850"/>
    <n v="1"/>
    <m/>
    <m/>
    <m/>
    <n v="1"/>
    <x v="2"/>
  </r>
  <r>
    <s v="8470320"/>
    <s v="KUST - Chemical Engineering"/>
    <s v="436600"/>
    <s v="Training/Teaching equipment and other educational aid"/>
    <s v="847.8470320.1.436600.000000.847001.200179"/>
    <n v="5175"/>
    <n v="1"/>
    <m/>
    <m/>
    <m/>
    <n v="1"/>
    <x v="2"/>
  </r>
  <r>
    <s v="8470321"/>
    <s v="KUST - Chemical &amp; Petroleum Engineering"/>
    <s v="425510"/>
    <s v="Conferences, seminars and exhibitions and other events: - Local Events"/>
    <s v="847.8470321.1.425510.000000.847001.200179"/>
    <n v="0"/>
    <n v="1231"/>
    <m/>
    <m/>
    <m/>
    <n v="1231"/>
    <x v="2"/>
  </r>
  <r>
    <s v="8470321"/>
    <s v="KUST - Chemical &amp; Petroleum Engineering"/>
    <s v="425760"/>
    <s v="Student activities &amp; field trip expenses"/>
    <s v="847.8470321.1.425760.000000.847001.200179"/>
    <n v="0"/>
    <n v="5390"/>
    <m/>
    <m/>
    <m/>
    <n v="5390"/>
    <x v="2"/>
  </r>
  <r>
    <s v="8470321"/>
    <s v="KUST - Chemical &amp; Petroleum Engineering"/>
    <s v="425763"/>
    <s v="Student Project Expenses"/>
    <s v="847.8470321.1.425763.000000.847001.200179"/>
    <n v="0"/>
    <n v="65408"/>
    <m/>
    <m/>
    <m/>
    <n v="65408"/>
    <x v="2"/>
  </r>
  <r>
    <s v="8470321"/>
    <s v="KUST - Chemical &amp; Petroleum Engineering"/>
    <s v="425770"/>
    <s v="Academic Missions - Combined expenses"/>
    <s v="847.8470321.1.425770.000000.847001.200179"/>
    <n v="0"/>
    <n v="209587"/>
    <n v="54759.49"/>
    <m/>
    <m/>
    <n v="154827.51"/>
    <x v="2"/>
  </r>
  <r>
    <s v="8470321"/>
    <s v="KUST - Chemical &amp; Petroleum Engineering"/>
    <s v="425900"/>
    <s v="Entertainment and hospitality"/>
    <s v="847.8470321.1.425900.000000.847001.200179"/>
    <n v="0"/>
    <n v="5928"/>
    <m/>
    <m/>
    <m/>
    <n v="5928"/>
    <x v="2"/>
  </r>
  <r>
    <s v="8470321"/>
    <s v="KUST - Chemical &amp; Petroleum Engineering"/>
    <s v="426610"/>
    <s v="Computer software licenses-Software License Renewal"/>
    <s v="847.8470321.1.426610.000000.847001.200179"/>
    <n v="0"/>
    <n v="56521"/>
    <m/>
    <m/>
    <m/>
    <n v="56521"/>
    <x v="2"/>
  </r>
  <r>
    <s v="8470321"/>
    <s v="KUST - Chemical &amp; Petroleum Engineering"/>
    <s v="435350"/>
    <s v="Academic Publications"/>
    <s v="847.8470321.1.435350.000000.847001.200179"/>
    <n v="0"/>
    <n v="33220"/>
    <m/>
    <m/>
    <m/>
    <n v="33220"/>
    <x v="2"/>
  </r>
  <r>
    <s v="8470321"/>
    <s v="KUST - Chemical &amp; Petroleum Engineering"/>
    <s v="435508"/>
    <s v="Laboratory - Scientific"/>
    <s v="847.8470321.1.435508.000000.847001.200179"/>
    <n v="0"/>
    <n v="145047"/>
    <m/>
    <n v="0"/>
    <n v="105396.56"/>
    <n v="39650.44"/>
    <x v="2"/>
  </r>
  <r>
    <s v="8470321"/>
    <s v="KUST - Chemical &amp; Petroleum Engineering"/>
    <s v="436110"/>
    <s v="Printing supplies"/>
    <s v="847.8470321.1.436110.000000.847001.200179"/>
    <n v="0"/>
    <n v="10850"/>
    <m/>
    <m/>
    <m/>
    <n v="10850"/>
    <x v="2"/>
  </r>
  <r>
    <s v="8470321"/>
    <s v="KUST - Chemical &amp; Petroleum Engineering"/>
    <s v="436600"/>
    <s v="Training/Teaching equipment and other educational aid"/>
    <s v="847.8470321.1.436600.000000.847001.200179"/>
    <n v="0"/>
    <n v="5175"/>
    <m/>
    <m/>
    <m/>
    <n v="5175"/>
    <x v="2"/>
  </r>
  <r>
    <s v="8470325"/>
    <s v="KUST - Civil Engineering"/>
    <s v="425510"/>
    <s v="Conferences, seminars and exhibitions and other events: - Local Events"/>
    <s v="847.8470325.1.425510.000000.847001.200179"/>
    <n v="3003"/>
    <n v="3003"/>
    <n v="1218.3599999999999"/>
    <m/>
    <m/>
    <n v="1784.64"/>
    <x v="2"/>
  </r>
  <r>
    <s v="8470325"/>
    <s v="KUST - Civil Engineering"/>
    <s v="425763"/>
    <s v="Student Project Expenses"/>
    <s v="847.8470325.1.425763.000000.847001.200179"/>
    <n v="170809"/>
    <n v="96000"/>
    <n v="11443.75"/>
    <m/>
    <m/>
    <n v="84556.25"/>
    <x v="2"/>
  </r>
  <r>
    <s v="8470325"/>
    <s v="KUST - Civil Engineering"/>
    <s v="425770"/>
    <s v="Academic Missions - Combined expenses"/>
    <s v="847.8470325.1.425770.000000.847001.200179"/>
    <n v="264435"/>
    <n v="264435"/>
    <n v="183841.63"/>
    <n v="0"/>
    <m/>
    <n v="80593.37"/>
    <x v="2"/>
  </r>
  <r>
    <s v="8470325"/>
    <s v="KUST - Civil Engineering"/>
    <s v="425900"/>
    <s v="Entertainment and hospitality"/>
    <s v="847.8470325.1.425900.000000.847001.200179"/>
    <n v="9600"/>
    <n v="9600"/>
    <n v="472.5"/>
    <m/>
    <m/>
    <n v="9127.5"/>
    <x v="2"/>
  </r>
  <r>
    <s v="8470325"/>
    <s v="KUST - Civil Engineering"/>
    <s v="426610"/>
    <s v="Computer software licenses-Software License Renewal"/>
    <s v="847.8470325.1.426610.000000.847001.200179"/>
    <n v="24683"/>
    <n v="31683"/>
    <n v="21297.18"/>
    <n v="5840.07"/>
    <n v="7674.74"/>
    <n v="1588.39"/>
    <x v="2"/>
  </r>
  <r>
    <s v="8470325"/>
    <s v="KUST - Civil Engineering"/>
    <s v="432209"/>
    <s v="Laboratory Equipment maintenance"/>
    <s v="847.8470325.1.432209.000000.847001.200179"/>
    <n v="177182"/>
    <n v="170182"/>
    <n v="9505"/>
    <n v="-7755"/>
    <n v="71701"/>
    <n v="96731"/>
    <x v="2"/>
  </r>
  <r>
    <s v="8470325"/>
    <s v="KUST - Civil Engineering"/>
    <s v="435350"/>
    <s v="Academic Publications"/>
    <s v="847.8470325.1.435350.000000.847001.200179"/>
    <n v="153994"/>
    <n v="38400"/>
    <n v="15676.44"/>
    <m/>
    <m/>
    <n v="22723.56"/>
    <x v="2"/>
  </r>
  <r>
    <s v="8470325"/>
    <s v="KUST - Civil Engineering"/>
    <s v="435508"/>
    <s v="Laboratory - Scientific"/>
    <s v="847.8470325.1.435508.000000.847001.200179"/>
    <n v="14674"/>
    <n v="65766"/>
    <n v="16531.03"/>
    <n v="-9705"/>
    <n v="50934.8"/>
    <n v="8005.17"/>
    <x v="2"/>
  </r>
  <r>
    <s v="8470325"/>
    <s v="KUST - Civil Engineering"/>
    <s v="436600"/>
    <s v="Training/Teaching equipment and other educational aid"/>
    <s v="847.8470325.1.436600.000000.847001.200179"/>
    <n v="19420"/>
    <n v="0"/>
    <m/>
    <m/>
    <m/>
    <n v="0"/>
    <x v="2"/>
  </r>
  <r>
    <s v="8470330"/>
    <s v="KUST - Electrical &amp; Computer Engineering"/>
    <s v="420550"/>
    <s v="Academic Advisory Service"/>
    <s v="847.8470330.1.420550.000000.847001.200179"/>
    <n v="5520"/>
    <n v="5520"/>
    <m/>
    <m/>
    <m/>
    <n v="5520"/>
    <x v="2"/>
  </r>
  <r>
    <s v="8470330"/>
    <s v="KUST - Electrical &amp; Computer Engineering"/>
    <s v="425510"/>
    <s v="Conferences, seminars and exhibitions and other events: - Local Events"/>
    <s v="847.8470330.1.425510.000000.847001.200179"/>
    <n v="4550"/>
    <n v="4550"/>
    <n v="4520.25"/>
    <m/>
    <m/>
    <n v="29.75"/>
    <x v="2"/>
  </r>
  <r>
    <s v="8470330"/>
    <s v="KUST - Electrical &amp; Computer Engineering"/>
    <s v="425760"/>
    <s v="Student activities &amp; field trip expenses"/>
    <s v="847.8470330.1.425760.000000.847001.200179"/>
    <n v="5434"/>
    <n v="23634"/>
    <m/>
    <m/>
    <m/>
    <n v="23634"/>
    <x v="2"/>
  </r>
  <r>
    <s v="8470330"/>
    <s v="KUST - Electrical &amp; Computer Engineering"/>
    <s v="425763"/>
    <s v="Student Project Expenses"/>
    <s v="847.8470330.1.425763.000000.847001.200179"/>
    <n v="50000"/>
    <n v="210809"/>
    <n v="175250"/>
    <m/>
    <m/>
    <n v="35559"/>
    <x v="2"/>
  </r>
  <r>
    <s v="8470330"/>
    <s v="KUST - Electrical &amp; Computer Engineering"/>
    <s v="425770"/>
    <s v="Academic Missions - Combined expenses"/>
    <s v="847.8470330.1.425770.000000.847001.200179"/>
    <n v="106489"/>
    <n v="356489"/>
    <n v="312894.67"/>
    <m/>
    <m/>
    <n v="43594.33"/>
    <x v="2"/>
  </r>
  <r>
    <s v="8470330"/>
    <s v="KUST - Electrical &amp; Computer Engineering"/>
    <s v="425900"/>
    <s v="Entertainment and hospitality"/>
    <s v="847.8470330.1.425900.000000.847001.200179"/>
    <n v="9600"/>
    <n v="11400"/>
    <n v="11340"/>
    <m/>
    <m/>
    <n v="1410"/>
    <x v="2"/>
  </r>
  <r>
    <s v="8470330"/>
    <s v="KUST - Electrical &amp; Computer Engineering"/>
    <s v="426610"/>
    <s v="Computer software licenses-Software License Renewal"/>
    <s v="847.8470330.1.426610.000000.847001.200179"/>
    <n v="414733"/>
    <n v="342733"/>
    <n v="115815.16"/>
    <n v="-23310"/>
    <n v="45000"/>
    <n v="205227.84"/>
    <x v="2"/>
  </r>
  <r>
    <s v="8470330"/>
    <s v="KUST - Electrical &amp; Computer Engineering"/>
    <s v="432209"/>
    <s v="Laboratory Equipment maintenance"/>
    <s v="847.8470330.1.432209.000000.847001.200179"/>
    <n v="18994"/>
    <n v="18994"/>
    <m/>
    <m/>
    <m/>
    <n v="18994"/>
    <x v="2"/>
  </r>
  <r>
    <s v="8470330"/>
    <s v="KUST - Electrical &amp; Computer Engineering"/>
    <s v="435350"/>
    <s v="Academic Publications"/>
    <s v="847.8470330.1.435350.000000.847001.200179"/>
    <n v="23640"/>
    <n v="123640"/>
    <n v="96423.03"/>
    <m/>
    <m/>
    <n v="27216.97"/>
    <x v="2"/>
  </r>
  <r>
    <s v="8470330"/>
    <s v="KUST - Electrical &amp; Computer Engineering"/>
    <s v="435508"/>
    <s v="Laboratory - Scientific"/>
    <s v="847.8470330.1.435508.000000.847001.200179"/>
    <n v="70003"/>
    <n v="74960"/>
    <n v="10507.12"/>
    <n v="13128"/>
    <n v="41045"/>
    <n v="10279.879999999999"/>
    <x v="2"/>
  </r>
  <r>
    <s v="8470335"/>
    <s v="KUST - Management, Science &amp; Engineering"/>
    <s v="425510"/>
    <s v="Conferences, seminars and exhibitions and other events: - Local Events"/>
    <s v="847.8470335.1.425510.000000.847001.200179"/>
    <n v="3750"/>
    <n v="3750"/>
    <n v="350"/>
    <m/>
    <m/>
    <n v="3400"/>
    <x v="2"/>
  </r>
  <r>
    <s v="8470335"/>
    <s v="KUST - Management, Science &amp; Engineering"/>
    <s v="425720"/>
    <s v="Education-Outsourced training service"/>
    <s v="847.8470335.1.425720.000000.847001.200179"/>
    <n v="32092"/>
    <n v="4000"/>
    <m/>
    <m/>
    <m/>
    <n v="4000"/>
    <x v="2"/>
  </r>
  <r>
    <s v="8470335"/>
    <s v="KUST - Management, Science &amp; Engineering"/>
    <s v="425760"/>
    <s v="Student activities &amp; field trip expenses"/>
    <s v="847.8470335.1.425760.000000.847001.200179"/>
    <n v="4380"/>
    <n v="7330"/>
    <n v="5040"/>
    <m/>
    <m/>
    <n v="2290"/>
    <x v="2"/>
  </r>
  <r>
    <s v="8470335"/>
    <s v="KUST - Management, Science &amp; Engineering"/>
    <s v="425763"/>
    <s v="Student Project Expenses"/>
    <s v="847.8470335.1.425763.000000.847001.200179"/>
    <n v="187500"/>
    <n v="60000"/>
    <n v="8948"/>
    <n v="13242.87"/>
    <n v="7346"/>
    <n v="30463.13"/>
    <x v="2"/>
  </r>
  <r>
    <s v="8470335"/>
    <s v="KUST - Management, Science &amp; Engineering"/>
    <s v="425770"/>
    <s v="Academic Missions - Combined expenses"/>
    <s v="847.8470335.1.425770.000000.847001.200179"/>
    <n v="192500"/>
    <n v="247550"/>
    <n v="163432.46"/>
    <m/>
    <m/>
    <n v="84117.54"/>
    <x v="2"/>
  </r>
  <r>
    <s v="8470335"/>
    <s v="KUST - Management, Science &amp; Engineering"/>
    <s v="425900"/>
    <s v="Entertainment and hospitality"/>
    <s v="847.8470335.1.425900.000000.847001.200179"/>
    <n v="4095"/>
    <n v="16095"/>
    <n v="5670"/>
    <m/>
    <m/>
    <n v="10425"/>
    <x v="2"/>
  </r>
  <r>
    <s v="8470335"/>
    <s v="KUST - Management, Science &amp; Engineering"/>
    <s v="426610"/>
    <s v="Computer software licenses-Software License Renewal"/>
    <s v="847.8470335.1.426610.000000.847001.200179"/>
    <n v="154616"/>
    <n v="164616"/>
    <n v="134031.56"/>
    <n v="0"/>
    <n v="28567.68"/>
    <n v="2016.76"/>
    <x v="2"/>
  </r>
  <r>
    <s v="8470335"/>
    <s v="KUST - Management, Science &amp; Engineering"/>
    <s v="435350"/>
    <s v="Academic Publications"/>
    <s v="847.8470335.1.435350.000000.847001.200179"/>
    <n v="84000"/>
    <n v="70000"/>
    <n v="39728.519999999997"/>
    <m/>
    <m/>
    <n v="30271.48"/>
    <x v="2"/>
  </r>
  <r>
    <s v="8470335"/>
    <s v="KUST - Management, Science &amp; Engineering"/>
    <s v="435508"/>
    <s v="Laboratory - Scientific"/>
    <s v="847.8470335.1.435508.000000.847001.200179"/>
    <n v="89880"/>
    <n v="60880"/>
    <n v="56172.84"/>
    <n v="-9834.4599999999991"/>
    <n v="0"/>
    <n v="14541.62"/>
    <x v="2"/>
  </r>
  <r>
    <s v="8470335"/>
    <s v="KUST - Management, Science &amp; Engineering"/>
    <s v="436600"/>
    <s v="Training/Teaching equipment and other educational aid"/>
    <s v="847.8470335.1.436600.000000.847001.200179"/>
    <n v="2760"/>
    <n v="2760"/>
    <m/>
    <m/>
    <m/>
    <n v="2760"/>
    <x v="2"/>
  </r>
  <r>
    <s v="8470340"/>
    <s v="KUST - Mechanical Engineering"/>
    <s v="425510"/>
    <s v="Conferences, seminars and exhibitions and other events: - Local Events"/>
    <s v="847.8470340.1.425510.000000.847001.200179"/>
    <n v="0"/>
    <n v="10500"/>
    <n v="10462.700000000001"/>
    <m/>
    <m/>
    <n v="37.299999999999301"/>
    <x v="2"/>
  </r>
  <r>
    <s v="8470340"/>
    <s v="KUST - Mechanical Engineering"/>
    <s v="425720"/>
    <s v="Education-Outsourced training service"/>
    <s v="847.8470340.1.425720.000000.847001.200179"/>
    <n v="0"/>
    <n v="29054"/>
    <n v="58820.18"/>
    <n v="-29766.77"/>
    <n v="0"/>
    <n v="0.58999999999287001"/>
    <x v="2"/>
  </r>
  <r>
    <s v="8470340"/>
    <s v="KUST - Mechanical Engineering"/>
    <s v="425760"/>
    <s v="Student activities &amp; field trip expenses"/>
    <s v="847.8470340.1.425760.000000.847001.200179"/>
    <n v="58400"/>
    <n v="1182"/>
    <n v="1181.25"/>
    <m/>
    <m/>
    <n v="0.75"/>
    <x v="2"/>
  </r>
  <r>
    <s v="8470340"/>
    <s v="KUST - Mechanical Engineering"/>
    <s v="425763"/>
    <s v="Student Project Expenses"/>
    <s v="847.8470340.1.425763.000000.847001.200179"/>
    <n v="0"/>
    <n v="171891"/>
    <n v="145378.93"/>
    <m/>
    <m/>
    <n v="26512.07"/>
    <x v="2"/>
  </r>
  <r>
    <s v="8470340"/>
    <s v="KUST - Mechanical Engineering"/>
    <s v="425770"/>
    <s v="Academic Missions - Combined expenses"/>
    <s v="847.8470340.1.425770.000000.847001.200179"/>
    <n v="38500"/>
    <n v="144663"/>
    <n v="144662.42000000001"/>
    <m/>
    <m/>
    <n v="0.57999999995081497"/>
    <x v="2"/>
  </r>
  <r>
    <s v="8470340"/>
    <s v="KUST - Mechanical Engineering"/>
    <s v="425900"/>
    <s v="Entertainment and hospitality"/>
    <s v="847.8470340.1.425900.000000.847001.200179"/>
    <n v="3200"/>
    <n v="31801"/>
    <n v="23889.9"/>
    <n v="0"/>
    <n v="7910"/>
    <n v="1.09999999999127"/>
    <x v="2"/>
  </r>
  <r>
    <s v="8470340"/>
    <s v="KUST - Mechanical Engineering"/>
    <s v="426610"/>
    <s v="Computer software licenses-Software License Renewal"/>
    <s v="847.8470340.1.426610.000000.847001.200179"/>
    <n v="177090"/>
    <n v="193536"/>
    <n v="166056.51999999999"/>
    <n v="0"/>
    <n v="23100"/>
    <n v="4379.4800000000096"/>
    <x v="2"/>
  </r>
  <r>
    <s v="8470340"/>
    <s v="KUST - Mechanical Engineering"/>
    <s v="428090"/>
    <s v="Business Travel - Combined expenses"/>
    <s v="847.8470340.1.428090.000000.847001.200179"/>
    <n v="9043"/>
    <n v="1"/>
    <m/>
    <m/>
    <m/>
    <n v="1"/>
    <x v="2"/>
  </r>
  <r>
    <s v="8470340"/>
    <s v="KUST - Mechanical Engineering"/>
    <s v="432209"/>
    <s v="Laboratory Equipment maintenance"/>
    <s v="847.8470340.1.432209.000000.847001.200179"/>
    <n v="20000"/>
    <n v="75301"/>
    <n v="800"/>
    <n v="0"/>
    <n v="74500"/>
    <n v="1"/>
    <x v="2"/>
  </r>
  <r>
    <s v="8470340"/>
    <s v="KUST - Mechanical Engineering"/>
    <s v="435350"/>
    <s v="Academic Publications"/>
    <s v="847.8470340.1.435350.000000.847001.200179"/>
    <n v="52403"/>
    <n v="45908"/>
    <n v="45906.52"/>
    <m/>
    <m/>
    <n v="1.4799999999959299"/>
    <x v="2"/>
  </r>
  <r>
    <s v="8470340"/>
    <s v="KUST - Mechanical Engineering"/>
    <s v="435508"/>
    <s v="Laboratory - Scientific"/>
    <s v="847.8470340.1.435508.000000.847001.200179"/>
    <n v="72954"/>
    <n v="80161"/>
    <n v="37237.89"/>
    <n v="-21000"/>
    <n v="63922"/>
    <n v="1.1100000000005801"/>
    <x v="2"/>
  </r>
  <r>
    <s v="8470340"/>
    <s v="KUST - Mechanical Engineering"/>
    <s v="436110"/>
    <s v="Printing supplies"/>
    <s v="847.8470340.1.436110.000000.847001.200179"/>
    <n v="1860"/>
    <n v="0"/>
    <m/>
    <m/>
    <m/>
    <n v="0"/>
    <x v="2"/>
  </r>
  <r>
    <s v="8470340"/>
    <s v="KUST - Mechanical Engineering"/>
    <s v="436600"/>
    <s v="Training/Teaching equipment and other educational aid"/>
    <s v="847.8470340.1.436600.000000.847001.200179"/>
    <n v="7998"/>
    <n v="0"/>
    <m/>
    <m/>
    <m/>
    <n v="0"/>
    <x v="2"/>
  </r>
  <r>
    <s v="8470341"/>
    <s v="KUST - Mechanical &amp; Nuclear Engineering"/>
    <s v="425760"/>
    <s v="Student activities &amp; field trip expenses"/>
    <s v="847.8470341.1.425760.000000.847001.200179"/>
    <n v="0"/>
    <n v="2218"/>
    <m/>
    <m/>
    <m/>
    <n v="2218"/>
    <x v="2"/>
  </r>
  <r>
    <s v="8470341"/>
    <s v="KUST - Mechanical &amp; Nuclear Engineering"/>
    <s v="425761"/>
    <s v="Student Field trips"/>
    <s v="847.8470341.1.425761.000000.847001.200179"/>
    <n v="0"/>
    <n v="3500"/>
    <m/>
    <m/>
    <m/>
    <n v="3500"/>
    <x v="2"/>
  </r>
  <r>
    <s v="8470341"/>
    <s v="KUST - Mechanical &amp; Nuclear Engineering"/>
    <s v="425763"/>
    <s v="Student Project Expenses"/>
    <s v="847.8470341.1.425763.000000.847001.200179"/>
    <n v="0"/>
    <n v="71259"/>
    <n v="65000"/>
    <m/>
    <m/>
    <n v="6259"/>
    <x v="2"/>
  </r>
  <r>
    <s v="8470341"/>
    <s v="KUST - Mechanical &amp; Nuclear Engineering"/>
    <s v="425770"/>
    <s v="Academic Missions - Combined expenses"/>
    <s v="847.8470341.1.425770.000000.847001.200179"/>
    <n v="0"/>
    <n v="47926"/>
    <m/>
    <m/>
    <m/>
    <n v="47926"/>
    <x v="2"/>
  </r>
  <r>
    <s v="8470341"/>
    <s v="KUST - Mechanical &amp; Nuclear Engineering"/>
    <s v="425900"/>
    <s v="Entertainment and hospitality"/>
    <s v="847.8470341.1.425900.000000.847001.200179"/>
    <n v="0"/>
    <n v="100"/>
    <m/>
    <m/>
    <m/>
    <n v="100"/>
    <x v="2"/>
  </r>
  <r>
    <s v="8470341"/>
    <s v="KUST - Mechanical &amp; Nuclear Engineering"/>
    <s v="426610"/>
    <s v="Computer software licenses-Software License Renewal"/>
    <s v="847.8470341.1.426610.000000.847001.200179"/>
    <n v="0"/>
    <n v="4605"/>
    <n v="4595.45"/>
    <m/>
    <n v="0"/>
    <n v="9.5500000000001801"/>
    <x v="2"/>
  </r>
  <r>
    <s v="8470341"/>
    <s v="KUST - Mechanical &amp; Nuclear Engineering"/>
    <s v="428090"/>
    <s v="Business Travel - Combined expenses"/>
    <s v="847.8470341.1.428090.000000.847001.200179"/>
    <n v="0"/>
    <n v="543"/>
    <m/>
    <m/>
    <m/>
    <n v="543"/>
    <x v="2"/>
  </r>
  <r>
    <s v="8470341"/>
    <s v="KUST - Mechanical &amp; Nuclear Engineering"/>
    <s v="432209"/>
    <s v="Laboratory Equipment maintenance"/>
    <s v="847.8470341.1.432209.000000.847001.200179"/>
    <n v="0"/>
    <n v="200"/>
    <m/>
    <m/>
    <m/>
    <n v="200"/>
    <x v="2"/>
  </r>
  <r>
    <s v="8470341"/>
    <s v="KUST - Mechanical &amp; Nuclear Engineering"/>
    <s v="435350"/>
    <s v="Academic Publications"/>
    <s v="847.8470341.1.435350.000000.847001.200179"/>
    <n v="0"/>
    <n v="85306"/>
    <m/>
    <m/>
    <m/>
    <n v="85306"/>
    <x v="2"/>
  </r>
  <r>
    <s v="8470341"/>
    <s v="KUST - Mechanical &amp; Nuclear Engineering"/>
    <s v="435508"/>
    <s v="Laboratory - Scientific"/>
    <s v="847.8470341.1.435508.000000.847001.200179"/>
    <n v="0"/>
    <n v="3187"/>
    <m/>
    <m/>
    <m/>
    <n v="3187"/>
    <x v="2"/>
  </r>
  <r>
    <s v="8470341"/>
    <s v="KUST - Mechanical &amp; Nuclear Engineering"/>
    <s v="436600"/>
    <s v="Training/Teaching equipment and other educational aid"/>
    <s v="847.8470341.1.436600.000000.847001.200179"/>
    <n v="0"/>
    <n v="14216"/>
    <m/>
    <m/>
    <m/>
    <n v="14216"/>
    <x v="2"/>
  </r>
  <r>
    <s v="8470345"/>
    <s v="KUST - Nuclear Engineering"/>
    <s v="425510"/>
    <s v="Conferences, seminars and exhibitions and other events: - Local Events"/>
    <s v="847.8470345.1.425510.000000.847001.200179"/>
    <n v="6485"/>
    <n v="0"/>
    <m/>
    <m/>
    <m/>
    <n v="0"/>
    <x v="2"/>
  </r>
  <r>
    <s v="8470345"/>
    <s v="KUST - Nuclear Engineering"/>
    <s v="425760"/>
    <s v="Student activities &amp; field trip expenses"/>
    <s v="847.8470345.1.425760.000000.847001.200179"/>
    <n v="11393"/>
    <n v="0"/>
    <n v="0"/>
    <m/>
    <m/>
    <n v="0"/>
    <x v="2"/>
  </r>
  <r>
    <s v="8470345"/>
    <s v="KUST - Nuclear Engineering"/>
    <s v="425761"/>
    <s v="Student Field trips"/>
    <s v="847.8470345.1.425761.000000.847001.200179"/>
    <n v="255500"/>
    <n v="25720"/>
    <n v="25720"/>
    <m/>
    <m/>
    <n v="0"/>
    <x v="2"/>
  </r>
  <r>
    <s v="8470345"/>
    <s v="KUST - Nuclear Engineering"/>
    <s v="425770"/>
    <s v="Academic Missions - Combined expenses"/>
    <s v="847.8470345.1.425770.000000.847001.200179"/>
    <n v="72308"/>
    <n v="59113"/>
    <n v="59112.45"/>
    <m/>
    <m/>
    <n v="0.55000000000291005"/>
    <x v="2"/>
  </r>
  <r>
    <s v="8470345"/>
    <s v="KUST - Nuclear Engineering"/>
    <s v="425900"/>
    <s v="Entertainment and hospitality"/>
    <s v="847.8470345.1.425900.000000.847001.200179"/>
    <n v="4578"/>
    <n v="0"/>
    <m/>
    <m/>
    <m/>
    <n v="0"/>
    <x v="2"/>
  </r>
  <r>
    <s v="8470345"/>
    <s v="KUST - Nuclear Engineering"/>
    <s v="426610"/>
    <s v="Computer software licenses-Software License Renewal"/>
    <s v="847.8470345.1.426610.000000.847001.200179"/>
    <n v="82655"/>
    <n v="99804"/>
    <n v="123663.69"/>
    <n v="-23860.5"/>
    <n v="0"/>
    <n v="0.80999999999767203"/>
    <x v="2"/>
  </r>
  <r>
    <s v="8470345"/>
    <s v="KUST - Nuclear Engineering"/>
    <s v="435350"/>
    <s v="Academic Publications"/>
    <s v="847.8470345.1.435350.000000.847001.200179"/>
    <n v="36148"/>
    <n v="19362"/>
    <n v="19361.47"/>
    <m/>
    <m/>
    <n v="0.52999999999883596"/>
    <x v="2"/>
  </r>
  <r>
    <s v="8470345"/>
    <s v="KUST - Nuclear Engineering"/>
    <s v="435508"/>
    <s v="Laboratory - Scientific"/>
    <s v="847.8470345.1.435508.000000.847001.200179"/>
    <n v="19761"/>
    <n v="63479"/>
    <n v="110154.56"/>
    <n v="-47590.95"/>
    <n v="914.550000000007"/>
    <n v="0.83999999999650798"/>
    <x v="2"/>
  </r>
  <r>
    <s v="8470345"/>
    <s v="KUST - Nuclear Engineering"/>
    <s v="436600"/>
    <s v="Training/Teaching equipment and other educational aid"/>
    <s v="847.8470345.1.436600.000000.847001.200179"/>
    <n v="29716"/>
    <n v="1"/>
    <m/>
    <m/>
    <m/>
    <n v="1"/>
    <x v="2"/>
  </r>
  <r>
    <s v="8470350"/>
    <s v="KUST - Petroleum Engineering"/>
    <s v="425510"/>
    <s v="Conferences, seminars and exhibitions and other events: - Local Events"/>
    <s v="847.8470350.1.425510.000000.847001.200179"/>
    <n v="8764"/>
    <n v="8354"/>
    <n v="8353.1"/>
    <m/>
    <m/>
    <n v="0.89999999999963598"/>
    <x v="2"/>
  </r>
  <r>
    <s v="8470350"/>
    <s v="KUST - Petroleum Engineering"/>
    <s v="425763"/>
    <s v="Student Project Expenses"/>
    <s v="847.8470350.1.425763.000000.847001.200179"/>
    <n v="0"/>
    <n v="1"/>
    <m/>
    <m/>
    <m/>
    <n v="1"/>
    <x v="2"/>
  </r>
  <r>
    <s v="8470350"/>
    <s v="KUST - Petroleum Engineering"/>
    <s v="425770"/>
    <s v="Academic Missions - Combined expenses"/>
    <s v="847.8470350.1.425770.000000.847001.200179"/>
    <n v="87014"/>
    <n v="45848"/>
    <n v="45846.87"/>
    <m/>
    <m/>
    <n v="1.12999999999738"/>
    <x v="2"/>
  </r>
  <r>
    <s v="8470350"/>
    <s v="KUST - Petroleum Engineering"/>
    <s v="425900"/>
    <s v="Entertainment and hospitality"/>
    <s v="847.8470350.1.425900.000000.847001.200179"/>
    <n v="4578"/>
    <n v="5986"/>
    <n v="5985"/>
    <m/>
    <m/>
    <n v="1"/>
    <x v="2"/>
  </r>
  <r>
    <s v="8470350"/>
    <s v="KUST - Petroleum Engineering"/>
    <s v="426610"/>
    <s v="Computer software licenses-Software License Renewal"/>
    <s v="847.8470350.1.426610.000000.847001.200179"/>
    <n v="201762"/>
    <n v="12057"/>
    <n v="7964.53"/>
    <n v="0"/>
    <n v="4091.19"/>
    <n v="1.27999999999975"/>
    <x v="2"/>
  </r>
  <r>
    <s v="8470350"/>
    <s v="KUST - Petroleum Engineering"/>
    <s v="427710"/>
    <s v="Subscriptions and membership fees: Trade organisations"/>
    <s v="847.8470350.1.427710.000000.847001.200179"/>
    <n v="0"/>
    <n v="0"/>
    <m/>
    <m/>
    <m/>
    <n v="0"/>
    <x v="2"/>
  </r>
  <r>
    <s v="8470350"/>
    <s v="KUST - Petroleum Engineering"/>
    <s v="432209"/>
    <s v="Laboratory Equipment maintenance"/>
    <s v="847.8470350.1.432209.000000.847001.200179"/>
    <n v="1839402"/>
    <n v="1024505"/>
    <n v="483508.13"/>
    <n v="-9000"/>
    <n v="549998.59"/>
    <n v="-1.7199999999720601"/>
    <x v="2"/>
  </r>
  <r>
    <s v="8470350"/>
    <s v="KUST - Petroleum Engineering"/>
    <s v="435350"/>
    <s v="Academic Publications"/>
    <s v="847.8470350.1.435350.000000.847001.200179"/>
    <n v="45176"/>
    <n v="13659"/>
    <n v="13658.08"/>
    <m/>
    <m/>
    <n v="0.91999999999825399"/>
    <x v="2"/>
  </r>
  <r>
    <s v="8470350"/>
    <s v="KUST - Petroleum Engineering"/>
    <s v="435508"/>
    <s v="Laboratory - Scientific"/>
    <s v="847.8470350.1.435508.000000.847001.200179"/>
    <n v="431791"/>
    <n v="16151"/>
    <n v="4326.22"/>
    <n v="-3976.22"/>
    <n v="15800"/>
    <n v="0.99999999999818101"/>
    <x v="2"/>
  </r>
  <r>
    <s v="8470350"/>
    <s v="KUST - Petroleum Engineering"/>
    <s v="436600"/>
    <s v="Training/Teaching equipment and other educational aid"/>
    <s v="847.8470350.1.436600.000000.847001.200179"/>
    <n v="0"/>
    <n v="18220"/>
    <n v="36432"/>
    <n v="-18216"/>
    <n v="0"/>
    <n v="4"/>
    <x v="2"/>
  </r>
  <r>
    <s v="8470405"/>
    <s v="KUST - Dean of Science"/>
    <s v="420550"/>
    <s v="Academic Advisory Service"/>
    <s v="847.8470405.1.420550.000000.847001.200179"/>
    <n v="5406"/>
    <n v="18150"/>
    <n v="14698.72"/>
    <m/>
    <m/>
    <n v="3451.28"/>
    <x v="2"/>
  </r>
  <r>
    <s v="8470405"/>
    <s v="KUST - Dean of Science"/>
    <s v="421700"/>
    <s v="Standards Certification Services (e.g. ISO)"/>
    <s v="847.8470405.1.421700.000000.847001.200179"/>
    <n v="105000"/>
    <n v="90156"/>
    <m/>
    <m/>
    <m/>
    <n v="90156"/>
    <x v="2"/>
  </r>
  <r>
    <s v="8470405"/>
    <s v="KUST - Dean of Science"/>
    <s v="425510"/>
    <s v="Conferences, seminars and exhibitions and other events: - Local Events"/>
    <s v="847.8470405.1.425510.000000.847001.200179"/>
    <n v="6825"/>
    <n v="8925"/>
    <m/>
    <n v="0"/>
    <n v="5450.16"/>
    <n v="3474.84"/>
    <x v="2"/>
  </r>
  <r>
    <s v="8470405"/>
    <s v="KUST - Dean of Science"/>
    <s v="425550"/>
    <s v="Conferences, seminars and exhibitions and other events: - Overseas event"/>
    <s v="847.8470405.1.425550.000000.847001.200179"/>
    <n v="5625"/>
    <n v="17000"/>
    <n v="8512.2099999999991"/>
    <m/>
    <m/>
    <n v="8487.7900000000009"/>
    <x v="2"/>
  </r>
  <r>
    <s v="8470405"/>
    <s v="KUST - Dean of Science"/>
    <s v="425720"/>
    <s v="Education-Outsourced training service"/>
    <s v="847.8470405.1.425720.000000.847001.200179"/>
    <n v="0"/>
    <n v="19340"/>
    <n v="19340"/>
    <m/>
    <m/>
    <n v="0"/>
    <x v="2"/>
  </r>
  <r>
    <s v="8470405"/>
    <s v="KUST - Dean of Science"/>
    <s v="425770"/>
    <s v="Academic Missions - Combined expenses"/>
    <s v="847.8470405.1.425770.000000.847001.200179"/>
    <n v="5625"/>
    <n v="24435"/>
    <n v="21891.53"/>
    <m/>
    <m/>
    <n v="2543.4699999999998"/>
    <x v="2"/>
  </r>
  <r>
    <s v="8470405"/>
    <s v="KUST - Dean of Science"/>
    <s v="425900"/>
    <s v="Entertainment and hospitality"/>
    <s v="847.8470405.1.425900.000000.847001.200179"/>
    <n v="0"/>
    <n v="20000"/>
    <n v="7455"/>
    <m/>
    <m/>
    <n v="8140"/>
    <x v="2"/>
  </r>
  <r>
    <s v="8470405"/>
    <s v="KUST - Dean of Science"/>
    <s v="427710"/>
    <s v="Subscriptions and membership fees: Trade organisations"/>
    <s v="847.8470405.1.427710.000000.847001.200179"/>
    <n v="20175"/>
    <n v="8190"/>
    <n v="0"/>
    <m/>
    <m/>
    <n v="8190"/>
    <x v="2"/>
  </r>
  <r>
    <s v="8470405"/>
    <s v="KUST - Dean of Science"/>
    <s v="428090"/>
    <s v="Business Travel - Combined expenses"/>
    <s v="847.8470405.1.428090.000000.847001.200179"/>
    <n v="0"/>
    <n v="24495"/>
    <n v="11420.96"/>
    <n v="0"/>
    <m/>
    <n v="13074.04"/>
    <x v="2"/>
  </r>
  <r>
    <s v="8470405"/>
    <s v="KUST - Dean of Science"/>
    <s v="435350"/>
    <s v="Academic Publications"/>
    <s v="847.8470405.1.435350.000000.847001.200179"/>
    <n v="14400"/>
    <n v="13085"/>
    <n v="13072.77"/>
    <m/>
    <m/>
    <n v="12.2300000000014"/>
    <x v="2"/>
  </r>
  <r>
    <s v="8470405"/>
    <s v="KUST - Dean of Science"/>
    <s v="436600"/>
    <s v="Training/Teaching equipment and other educational aid"/>
    <s v="847.8470405.1.436600.000000.847001.200179"/>
    <n v="0"/>
    <n v="54190"/>
    <n v="54190"/>
    <m/>
    <m/>
    <n v="0"/>
    <x v="2"/>
  </r>
  <r>
    <s v="8470410"/>
    <s v="KUST - Institute of International &amp; Civil Security"/>
    <s v="425770"/>
    <s v="Academic Missions - Combined expenses"/>
    <s v="847.8470410.1.425770.000000.847001.200179"/>
    <n v="39600"/>
    <n v="74500"/>
    <n v="49603.22"/>
    <m/>
    <m/>
    <n v="24896.78"/>
    <x v="2"/>
  </r>
  <r>
    <s v="8470410"/>
    <s v="KUST - Institute of International &amp; Civil Security"/>
    <s v="426610"/>
    <s v="Computer software licenses-Software License Renewal"/>
    <s v="847.8470410.1.426610.000000.847001.200179"/>
    <n v="1612"/>
    <n v="5579"/>
    <n v="4262.2"/>
    <n v="0"/>
    <n v="0"/>
    <n v="1316.8"/>
    <x v="2"/>
  </r>
  <r>
    <s v="8470410"/>
    <s v="KUST - Institute of International &amp; Civil Security"/>
    <s v="428090"/>
    <s v="Business Travel - Combined expenses"/>
    <s v="847.8470410.1.428090.000000.847001.200179"/>
    <n v="0"/>
    <n v="7700"/>
    <n v="7700"/>
    <m/>
    <m/>
    <n v="0"/>
    <x v="2"/>
  </r>
  <r>
    <s v="8470410"/>
    <s v="KUST - Institute of International &amp; Civil Security"/>
    <s v="435310"/>
    <s v="Newspapers, magazines, journals, etc"/>
    <s v="847.8470410.1.435310.000000.847001.200179"/>
    <n v="13288"/>
    <n v="15688"/>
    <n v="10743.53"/>
    <n v="0"/>
    <m/>
    <n v="4944.47"/>
    <x v="2"/>
  </r>
  <r>
    <s v="8470410"/>
    <s v="KUST - Institute of International &amp; Civil Security"/>
    <s v="435350"/>
    <s v="Academic Publications"/>
    <s v="847.8470410.1.435350.000000.847001.200179"/>
    <n v="25633"/>
    <n v="29966"/>
    <n v="29899.52"/>
    <m/>
    <m/>
    <n v="66.479999999999606"/>
    <x v="2"/>
  </r>
  <r>
    <s v="8470415"/>
    <s v="KUST - Chemistry"/>
    <s v="425510"/>
    <s v="Conferences, seminars and exhibitions and other events: - Local Events"/>
    <s v="847.8470415.1.425510.000000.847001.200179"/>
    <n v="0"/>
    <n v="237"/>
    <n v="225"/>
    <m/>
    <m/>
    <n v="12"/>
    <x v="2"/>
  </r>
  <r>
    <s v="8470415"/>
    <s v="KUST - Chemistry"/>
    <s v="425763"/>
    <s v="Student Project Expenses"/>
    <s v="847.8470415.1.425763.000000.847001.200179"/>
    <n v="48844"/>
    <n v="63844"/>
    <n v="17948.75"/>
    <n v="-1711.5"/>
    <n v="-9655"/>
    <n v="57261.75"/>
    <x v="2"/>
  </r>
  <r>
    <s v="8470415"/>
    <s v="KUST - Chemistry"/>
    <s v="425770"/>
    <s v="Academic Missions - Combined expenses"/>
    <s v="847.8470415.1.425770.000000.847001.200179"/>
    <n v="119625"/>
    <n v="246775"/>
    <n v="185297.06"/>
    <m/>
    <m/>
    <n v="61477.94"/>
    <x v="2"/>
  </r>
  <r>
    <s v="8470415"/>
    <s v="KUST - Chemistry"/>
    <s v="425900"/>
    <s v="Entertainment and hospitality"/>
    <s v="847.8470415.1.425900.000000.847001.200179"/>
    <n v="9340"/>
    <n v="9340"/>
    <n v="1890"/>
    <m/>
    <m/>
    <n v="7450"/>
    <x v="2"/>
  </r>
  <r>
    <s v="8470415"/>
    <s v="KUST - Chemistry"/>
    <s v="426610"/>
    <s v="Computer software licenses-Software License Renewal"/>
    <s v="847.8470415.1.426610.000000.847001.200179"/>
    <n v="130504"/>
    <n v="130504"/>
    <n v="123483.85"/>
    <n v="-37806.980000000003"/>
    <n v="0"/>
    <n v="44827.13"/>
    <x v="2"/>
  </r>
  <r>
    <s v="8470415"/>
    <s v="KUST - Chemistry"/>
    <s v="428090"/>
    <s v="Business Travel - Combined expenses"/>
    <s v="847.8470415.1.428090.000000.847001.200179"/>
    <n v="0"/>
    <n v="7850"/>
    <n v="7850"/>
    <m/>
    <m/>
    <n v="0"/>
    <x v="2"/>
  </r>
  <r>
    <s v="8470415"/>
    <s v="KUST - Chemistry"/>
    <s v="432209"/>
    <s v="Laboratory Equipment maintenance"/>
    <s v="847.8470415.1.432209.000000.847001.200179"/>
    <n v="1954697"/>
    <n v="710674"/>
    <n v="56540"/>
    <n v="0"/>
    <n v="535434.06999999995"/>
    <n v="93699.929999999906"/>
    <x v="2"/>
  </r>
  <r>
    <s v="8470415"/>
    <s v="KUST - Chemistry"/>
    <s v="435350"/>
    <s v="Academic Publications"/>
    <s v="847.8470415.1.435350.000000.847001.200179"/>
    <n v="5138"/>
    <n v="39738"/>
    <n v="33915.11"/>
    <m/>
    <m/>
    <n v="5822.89"/>
    <x v="2"/>
  </r>
  <r>
    <s v="8470415"/>
    <s v="KUST - Chemistry"/>
    <s v="435508"/>
    <s v="Laboratory - Scientific"/>
    <s v="847.8470415.1.435508.000000.847001.200179"/>
    <n v="440614"/>
    <n v="643979"/>
    <n v="577199.51"/>
    <n v="-121661.8"/>
    <n v="187970.04"/>
    <n v="471.24999999998499"/>
    <x v="2"/>
  </r>
  <r>
    <s v="8470425"/>
    <s v="KUST - Physics"/>
    <s v="425510"/>
    <s v="Conferences, seminars and exhibitions and other events: - Local Events"/>
    <s v="847.8470425.1.425510.000000.847001.200179"/>
    <n v="21259"/>
    <n v="31259"/>
    <n v="34448.81"/>
    <n v="-11600"/>
    <n v="0"/>
    <n v="8410.19"/>
    <x v="2"/>
  </r>
  <r>
    <s v="8470425"/>
    <s v="KUST - Physics"/>
    <s v="425550"/>
    <s v="Conferences, seminars and exhibitions and other events: - Overseas event"/>
    <s v="847.8470425.1.425550.000000.847001.200179"/>
    <n v="54661"/>
    <n v="54661"/>
    <n v="20464.14"/>
    <m/>
    <m/>
    <n v="34196.86"/>
    <x v="2"/>
  </r>
  <r>
    <s v="8470425"/>
    <s v="KUST - Physics"/>
    <s v="425763"/>
    <s v="Student Project Expenses"/>
    <s v="847.8470425.1.425763.000000.847001.200179"/>
    <n v="0"/>
    <n v="58000"/>
    <m/>
    <m/>
    <m/>
    <n v="58000"/>
    <x v="2"/>
  </r>
  <r>
    <s v="8470425"/>
    <s v="KUST - Physics"/>
    <s v="425770"/>
    <s v="Academic Missions - Combined expenses"/>
    <s v="847.8470425.1.425770.000000.847001.200179"/>
    <n v="39895"/>
    <n v="159895"/>
    <n v="33328.959999999999"/>
    <m/>
    <m/>
    <n v="126566.04"/>
    <x v="2"/>
  </r>
  <r>
    <s v="8470425"/>
    <s v="KUST - Physics"/>
    <s v="425900"/>
    <s v="Entertainment and hospitality"/>
    <s v="847.8470425.1.425900.000000.847001.200179"/>
    <n v="2973"/>
    <n v="6426"/>
    <n v="2566"/>
    <m/>
    <m/>
    <n v="3860"/>
    <x v="2"/>
  </r>
  <r>
    <s v="8470425"/>
    <s v="KUST - Physics"/>
    <s v="426610"/>
    <s v="Computer software licenses-Software License Renewal"/>
    <s v="847.8470425.1.426610.000000.847001.200179"/>
    <n v="22498"/>
    <n v="9045"/>
    <n v="3010"/>
    <n v="0"/>
    <n v="0"/>
    <n v="6035"/>
    <x v="2"/>
  </r>
  <r>
    <s v="8470425"/>
    <s v="KUST - Physics"/>
    <s v="428090"/>
    <s v="Business Travel - Combined expenses"/>
    <s v="847.8470425.1.428090.000000.847001.200179"/>
    <n v="6445"/>
    <n v="6445"/>
    <m/>
    <m/>
    <m/>
    <n v="6445"/>
    <x v="2"/>
  </r>
  <r>
    <s v="8470425"/>
    <s v="KUST - Physics"/>
    <s v="435350"/>
    <s v="Academic Publications"/>
    <s v="847.8470425.1.435350.000000.847001.200179"/>
    <n v="36000"/>
    <n v="76000"/>
    <n v="54783.360000000001"/>
    <m/>
    <m/>
    <n v="21216.639999999999"/>
    <x v="2"/>
  </r>
  <r>
    <s v="8470425"/>
    <s v="KUST - Physics"/>
    <s v="435508"/>
    <s v="Laboratory - Scientific"/>
    <s v="847.8470425.1.435508.000000.847001.200179"/>
    <n v="122650"/>
    <n v="169693"/>
    <n v="15400"/>
    <n v="69300"/>
    <n v="68545.81"/>
    <n v="16447.189999999999"/>
    <x v="2"/>
  </r>
  <r>
    <s v="8470430"/>
    <s v="KUST - Preparatory Program"/>
    <s v="425763"/>
    <s v="Student Project Expenses"/>
    <s v="847.8470430.1.425763.000000.847001.200179"/>
    <n v="0"/>
    <n v="1"/>
    <m/>
    <m/>
    <m/>
    <n v="1"/>
    <x v="2"/>
  </r>
  <r>
    <s v="8470430"/>
    <s v="KUST - Preparatory Program"/>
    <s v="425770"/>
    <s v="Academic Missions - Combined expenses"/>
    <s v="847.8470430.1.425770.000000.847001.200179"/>
    <n v="44724"/>
    <n v="19486"/>
    <n v="19485.36"/>
    <m/>
    <m/>
    <n v="0.63999999999941803"/>
    <x v="2"/>
  </r>
  <r>
    <s v="8470430"/>
    <s v="KUST - Preparatory Program"/>
    <s v="426610"/>
    <s v="Computer software licenses-Software License Renewal"/>
    <s v="847.8470430.1.426610.000000.847001.200179"/>
    <n v="22981"/>
    <n v="7645"/>
    <n v="7644.21"/>
    <n v="0"/>
    <n v="0"/>
    <n v="0.78999999999905401"/>
    <x v="2"/>
  </r>
  <r>
    <s v="8470430"/>
    <s v="KUST - Preparatory Program"/>
    <s v="432209"/>
    <s v="Laboratory Equipment maintenance"/>
    <s v="847.8470430.1.432209.000000.847001.200179"/>
    <n v="1500"/>
    <n v="1500"/>
    <n v="878.9"/>
    <m/>
    <m/>
    <n v="621.1"/>
    <x v="2"/>
  </r>
  <r>
    <s v="8470430"/>
    <s v="KUST - Preparatory Program"/>
    <s v="435508"/>
    <s v="Laboratory - Scientific"/>
    <s v="847.8470430.1.435508.000000.847001.200179"/>
    <n v="9790"/>
    <n v="1"/>
    <m/>
    <m/>
    <m/>
    <n v="1"/>
    <x v="2"/>
  </r>
  <r>
    <s v="8470435"/>
    <s v="KUST - Department of English"/>
    <s v="429900"/>
    <s v="Other services, not specifically mentioned elsewhere"/>
    <s v="847.8470435.1.429900.000000.847001.200179"/>
    <n v="0"/>
    <n v="0"/>
    <m/>
    <m/>
    <m/>
    <n v="0"/>
    <x v="2"/>
  </r>
  <r>
    <s v="8470440"/>
    <s v="KUST - Social Sciences"/>
    <s v="420550"/>
    <s v="Academic Advisory Service"/>
    <s v="847.8470440.1.420550.000000.847001.200179"/>
    <n v="20593"/>
    <n v="20593"/>
    <m/>
    <n v="0"/>
    <m/>
    <n v="20593"/>
    <x v="2"/>
  </r>
  <r>
    <s v="8470440"/>
    <s v="KUST - Social Sciences"/>
    <s v="425510"/>
    <s v="Conferences, seminars and exhibitions and other events: - Local Events"/>
    <s v="847.8470440.1.425510.000000.847001.200179"/>
    <n v="11270"/>
    <n v="11270"/>
    <m/>
    <n v="0"/>
    <m/>
    <n v="11270"/>
    <x v="2"/>
  </r>
  <r>
    <s v="8470440"/>
    <s v="KUST - Social Sciences"/>
    <s v="425550"/>
    <s v="Conferences, seminars and exhibitions and other events: - Overseas event"/>
    <s v="847.8470440.1.425550.000000.847001.200179"/>
    <n v="25688"/>
    <n v="25688"/>
    <n v="15644.27"/>
    <m/>
    <m/>
    <n v="10043.73"/>
    <x v="2"/>
  </r>
  <r>
    <s v="8470440"/>
    <s v="KUST - Social Sciences"/>
    <s v="425770"/>
    <s v="Academic Missions - Combined expenses"/>
    <s v="847.8470440.1.425770.000000.847001.200179"/>
    <n v="82500"/>
    <n v="82500"/>
    <n v="53580.08"/>
    <m/>
    <m/>
    <n v="28919.919999999998"/>
    <x v="2"/>
  </r>
  <r>
    <s v="8470440"/>
    <s v="KUST - Social Sciences"/>
    <s v="426610"/>
    <s v="Computer software licenses-Software License Renewal"/>
    <s v="847.8470440.1.426610.000000.847001.200179"/>
    <n v="22589"/>
    <n v="22589"/>
    <n v="34229.1"/>
    <n v="-13590.1"/>
    <n v="0"/>
    <n v="1950"/>
    <x v="2"/>
  </r>
  <r>
    <s v="8470440"/>
    <s v="KUST - Social Sciences"/>
    <s v="427710"/>
    <s v="Subscriptions and membership fees: Trade organisations"/>
    <s v="847.8470440.1.427710.000000.847001.200179"/>
    <n v="1942"/>
    <n v="1942"/>
    <n v="440.4"/>
    <n v="0"/>
    <m/>
    <n v="1501.6"/>
    <x v="2"/>
  </r>
  <r>
    <s v="8470440"/>
    <s v="KUST - Social Sciences"/>
    <s v="428090"/>
    <s v="Business Travel - Combined expenses"/>
    <s v="847.8470440.1.428090.000000.847001.200179"/>
    <n v="4219"/>
    <n v="4219"/>
    <m/>
    <n v="0"/>
    <m/>
    <n v="4219"/>
    <x v="2"/>
  </r>
  <r>
    <s v="8470440"/>
    <s v="KUST - Social Sciences"/>
    <s v="428640"/>
    <s v="Events - Awards, prizes &amp; gifts"/>
    <s v="847.8470440.1.428640.000000.847001.200179"/>
    <n v="2174"/>
    <n v="2174"/>
    <m/>
    <n v="0"/>
    <m/>
    <n v="2174"/>
    <x v="2"/>
  </r>
  <r>
    <s v="8470440"/>
    <s v="KUST - Social Sciences"/>
    <s v="435350"/>
    <s v="Academic Publications"/>
    <s v="847.8470440.1.435350.000000.847001.200179"/>
    <n v="9600"/>
    <n v="29600"/>
    <n v="1092.1300000000001"/>
    <n v="0"/>
    <m/>
    <n v="28507.87"/>
    <x v="2"/>
  </r>
  <r>
    <s v="8470440"/>
    <s v="KUST - Social Sciences"/>
    <s v="436600"/>
    <s v="Training/Teaching equipment and other educational aid"/>
    <s v="847.8470440.1.436600.000000.847001.200179"/>
    <n v="4195"/>
    <n v="4195"/>
    <m/>
    <n v="0"/>
    <m/>
    <n v="4195"/>
    <x v="2"/>
  </r>
  <r>
    <s v="8470445"/>
    <s v="KUST - Mathematics"/>
    <s v="425510"/>
    <s v="Conferences, seminars and exhibitions and other events: - Local Events"/>
    <s v="847.8470445.1.425510.000000.847001.200179"/>
    <n v="0"/>
    <n v="20000"/>
    <n v="16688.009999999998"/>
    <m/>
    <m/>
    <n v="3311.99"/>
    <x v="2"/>
  </r>
  <r>
    <s v="8470445"/>
    <s v="KUST - Mathematics"/>
    <s v="425720"/>
    <s v="Education-Outsourced training service"/>
    <s v="847.8470445.1.425720.000000.847001.200179"/>
    <n v="19190"/>
    <n v="19190"/>
    <n v="36730"/>
    <n v="-18365"/>
    <n v="0"/>
    <n v="825"/>
    <x v="2"/>
  </r>
  <r>
    <s v="8470445"/>
    <s v="KUST - Mathematics"/>
    <s v="425770"/>
    <s v="Academic Missions - Combined expenses"/>
    <s v="847.8470445.1.425770.000000.847001.200179"/>
    <n v="282010"/>
    <n v="375593"/>
    <n v="109596.06"/>
    <m/>
    <m/>
    <n v="265996.94"/>
    <x v="2"/>
  </r>
  <r>
    <s v="8470445"/>
    <s v="KUST - Mathematics"/>
    <s v="426610"/>
    <s v="Computer software licenses-Software License Renewal"/>
    <s v="847.8470445.1.426610.000000.847001.200179"/>
    <n v="21928"/>
    <n v="28512"/>
    <n v="15511.64"/>
    <n v="0"/>
    <n v="0"/>
    <n v="13000.36"/>
    <x v="2"/>
  </r>
  <r>
    <s v="8470445"/>
    <s v="KUST - Mathematics"/>
    <s v="435350"/>
    <s v="Academic Publications"/>
    <s v="847.8470445.1.435350.000000.847001.200179"/>
    <n v="162000"/>
    <n v="202000"/>
    <n v="83083.25"/>
    <n v="12979.03"/>
    <m/>
    <n v="105937.72"/>
    <x v="2"/>
  </r>
  <r>
    <s v="8470450"/>
    <s v="KUST - Earth Science"/>
    <s v="420550"/>
    <s v="Academic Advisory Service"/>
    <s v="847.8470450.1.420550.000000.847001.200179"/>
    <n v="23000"/>
    <n v="0"/>
    <m/>
    <m/>
    <m/>
    <n v="0"/>
    <x v="2"/>
  </r>
  <r>
    <s v="8470450"/>
    <s v="KUST - Earth Science"/>
    <s v="421700"/>
    <s v="Standards Certification Services (e.g. ISO)"/>
    <s v="847.8470450.1.421700.000000.847001.200179"/>
    <n v="225000"/>
    <n v="0"/>
    <m/>
    <m/>
    <m/>
    <n v="0"/>
    <x v="2"/>
  </r>
  <r>
    <s v="8470450"/>
    <s v="KUST - Earth Science"/>
    <s v="425510"/>
    <s v="Conferences, seminars and exhibitions and other events: - Local Events"/>
    <s v="847.8470450.1.425510.000000.847001.200179"/>
    <n v="9100"/>
    <n v="9100"/>
    <n v="4135"/>
    <m/>
    <m/>
    <n v="4965"/>
    <x v="2"/>
  </r>
  <r>
    <s v="8470450"/>
    <s v="KUST - Earth Science"/>
    <s v="425761"/>
    <s v="Student Field trips"/>
    <s v="847.8470450.1.425761.000000.847001.200179"/>
    <n v="0"/>
    <n v="302244"/>
    <n v="91335"/>
    <m/>
    <m/>
    <n v="210909"/>
    <x v="2"/>
  </r>
  <r>
    <s v="8470450"/>
    <s v="KUST - Earth Science"/>
    <s v="425763"/>
    <s v="Student Project Expenses"/>
    <s v="847.8470450.1.425763.000000.847001.200179"/>
    <n v="52244"/>
    <n v="745"/>
    <n v="743.33"/>
    <m/>
    <m/>
    <n v="1.66999999999996"/>
    <x v="2"/>
  </r>
  <r>
    <s v="8470450"/>
    <s v="KUST - Earth Science"/>
    <s v="425770"/>
    <s v="Academic Missions - Combined expenses"/>
    <s v="847.8470450.1.425770.000000.847001.200179"/>
    <n v="0"/>
    <n v="110000"/>
    <n v="73741.600000000006"/>
    <n v="0"/>
    <n v="9000"/>
    <n v="27258.400000000001"/>
    <x v="2"/>
  </r>
  <r>
    <s v="8470450"/>
    <s v="KUST - Earth Science"/>
    <s v="426610"/>
    <s v="Computer software licenses-Software License Renewal"/>
    <s v="847.8470450.1.426610.000000.847001.200179"/>
    <n v="35628"/>
    <n v="35628"/>
    <m/>
    <n v="0"/>
    <n v="7346"/>
    <n v="28282"/>
    <x v="2"/>
  </r>
  <r>
    <s v="8470450"/>
    <s v="KUST - Earth Science"/>
    <s v="432209"/>
    <s v="Laboratory Equipment maintenance"/>
    <s v="847.8470450.1.432209.000000.847001.200179"/>
    <n v="34643"/>
    <n v="33898"/>
    <n v="10447.15"/>
    <n v="0"/>
    <n v="15000"/>
    <n v="8450.85"/>
    <x v="2"/>
  </r>
  <r>
    <s v="8470450"/>
    <s v="KUST - Earth Science"/>
    <s v="435350"/>
    <s v="Academic Publications"/>
    <s v="847.8470450.1.435350.000000.847001.200179"/>
    <n v="0"/>
    <n v="20000"/>
    <m/>
    <m/>
    <m/>
    <n v="20000"/>
    <x v="2"/>
  </r>
  <r>
    <s v="8470455"/>
    <s v="KUST – Biology"/>
    <s v="425770"/>
    <s v="Academic Missions - Combined expenses"/>
    <s v="847.8470455.1.425770.000000.847001.200179"/>
    <n v="121585"/>
    <n v="74285"/>
    <n v="43853.23"/>
    <m/>
    <m/>
    <n v="30431.77"/>
    <x v="2"/>
  </r>
  <r>
    <s v="8470455"/>
    <s v="KUST – Biology"/>
    <s v="425900"/>
    <s v="Entertainment and hospitality"/>
    <s v="847.8470455.1.425900.000000.847001.200179"/>
    <n v="5020"/>
    <n v="5020"/>
    <n v="2700"/>
    <n v="0"/>
    <m/>
    <n v="2320"/>
    <x v="2"/>
  </r>
  <r>
    <s v="8470455"/>
    <s v="KUST – Biology"/>
    <s v="426610"/>
    <s v="Computer software licenses-Software License Renewal"/>
    <s v="847.8470455.1.426610.000000.847001.200179"/>
    <n v="30436"/>
    <n v="30436"/>
    <n v="2800"/>
    <n v="5876.8"/>
    <n v="0"/>
    <n v="21759.200000000001"/>
    <x v="2"/>
  </r>
  <r>
    <s v="8470455"/>
    <s v="KUST – Biology"/>
    <s v="432209"/>
    <s v="Laboratory Equipment maintenance"/>
    <s v="847.8470455.1.432209.000000.847001.200179"/>
    <n v="291800"/>
    <n v="291800"/>
    <n v="3000"/>
    <n v="233932"/>
    <n v="47496"/>
    <n v="7372"/>
    <x v="2"/>
  </r>
  <r>
    <s v="8470455"/>
    <s v="KUST – Biology"/>
    <s v="435350"/>
    <s v="Academic Publications"/>
    <s v="847.8470455.1.435350.000000.847001.200179"/>
    <n v="20510"/>
    <n v="40510"/>
    <n v="6747.11"/>
    <m/>
    <m/>
    <n v="33762.89"/>
    <x v="2"/>
  </r>
  <r>
    <s v="8470455"/>
    <s v="KUST – Biology"/>
    <s v="435508"/>
    <s v="Laboratory - Scientific"/>
    <s v="847.8470455.1.435508.000000.847001.200179"/>
    <n v="17220"/>
    <n v="259440"/>
    <n v="217488.31"/>
    <n v="-59908"/>
    <n v="71429.429999999993"/>
    <n v="30430.2600000001"/>
    <x v="2"/>
  </r>
  <r>
    <s v="8470520"/>
    <s v="KUST - Environment, Health &amp; Safety"/>
    <s v="425510"/>
    <s v="Conferences, seminars and exhibitions and other events: - Local Events"/>
    <s v="847.8470520.1.425510.000000.847001.200179"/>
    <n v="7162"/>
    <n v="7162"/>
    <n v="1659"/>
    <m/>
    <m/>
    <n v="5503"/>
    <x v="0"/>
  </r>
  <r>
    <s v="8470520"/>
    <s v="KUST - Environment, Health &amp; Safety"/>
    <s v="427710"/>
    <s v="Subscriptions and membership fees: Trade organisations"/>
    <s v="847.8470520.1.427710.000000.847001.200179"/>
    <n v="10510"/>
    <n v="10510"/>
    <m/>
    <n v="0"/>
    <n v="4250"/>
    <n v="6260"/>
    <x v="0"/>
  </r>
  <r>
    <s v="8470520"/>
    <s v="KUST - Environment, Health &amp; Safety"/>
    <s v="428200"/>
    <s v="Health,safety&amp;environment awareness"/>
    <s v="847.8470520.1.428200.000000.847001.200179"/>
    <n v="333750"/>
    <n v="479750"/>
    <n v="233045.88"/>
    <n v="23644.48"/>
    <n v="118855.01"/>
    <n v="104204.63"/>
    <x v="0"/>
  </r>
  <r>
    <s v="8470530"/>
    <s v="KUST - Facilities Management"/>
    <s v="420310"/>
    <s v="Cleaning Services: Business premises"/>
    <s v="847.8470530.1.420310.000000.847010.200179"/>
    <n v="4076217"/>
    <n v="4200474"/>
    <n v="2327799.73"/>
    <n v="0"/>
    <n v="1872157.5"/>
    <n v="516.77000000048395"/>
    <x v="0"/>
  </r>
  <r>
    <s v="8470530"/>
    <s v="KUST - Facilities Management"/>
    <s v="420310"/>
    <s v="Cleaning Services: Business premises"/>
    <s v="847.8470530.1.420310.000000.847015.200179"/>
    <n v="747242"/>
    <n v="2507010"/>
    <n v="1426583.87"/>
    <n v="0"/>
    <n v="1069224.51"/>
    <n v="11201.620000000299"/>
    <x v="0"/>
  </r>
  <r>
    <s v="8470530"/>
    <s v="KUST - Facilities Management"/>
    <s v="420310"/>
    <s v="Cleaning Services: Business premises"/>
    <s v="847.8470530.1.420310.000000.847020.200179"/>
    <n v="4349278"/>
    <n v="2486253"/>
    <n v="1414238.23"/>
    <n v="40000"/>
    <n v="1022162.44"/>
    <n v="9852.3299999998399"/>
    <x v="0"/>
  </r>
  <r>
    <s v="8470530"/>
    <s v="KUST - Facilities Management"/>
    <s v="421000"/>
    <s v="Management consultancy"/>
    <s v="847.8470530.1.421000.000000.847010.200179"/>
    <n v="850000"/>
    <n v="833500"/>
    <m/>
    <n v="500000"/>
    <n v="329900"/>
    <n v="3600"/>
    <x v="0"/>
  </r>
  <r>
    <s v="8470530"/>
    <s v="KUST - Facilities Management"/>
    <s v="421600"/>
    <s v="Security service"/>
    <s v="847.8470530.1.421600.000000.847010.200179"/>
    <n v="3615061"/>
    <n v="3615061"/>
    <n v="2373966.21"/>
    <n v="905971"/>
    <n v="42197.2"/>
    <n v="292926.59000000003"/>
    <x v="0"/>
  </r>
  <r>
    <s v="8470530"/>
    <s v="KUST - Facilities Management"/>
    <s v="421600"/>
    <s v="Security service"/>
    <s v="847.8470530.1.421600.000000.847015.200179"/>
    <n v="2421018"/>
    <n v="2421018"/>
    <n v="1015401.78"/>
    <n v="814652.1"/>
    <n v="0"/>
    <n v="590964.12"/>
    <x v="0"/>
  </r>
  <r>
    <s v="8470530"/>
    <s v="KUST - Facilities Management"/>
    <s v="421600"/>
    <s v="Security service"/>
    <s v="847.8470530.1.421600.000000.847020.200179"/>
    <n v="1972180"/>
    <n v="1972180"/>
    <n v="1189869.68"/>
    <n v="546003.11"/>
    <n v="0"/>
    <n v="236307.21"/>
    <x v="0"/>
  </r>
  <r>
    <s v="8470530"/>
    <s v="KUST - Facilities Management"/>
    <s v="421600"/>
    <s v="Security service"/>
    <s v="847.8470530.1.421600.000000.847030.200179"/>
    <n v="592937"/>
    <n v="592937"/>
    <n v="314443.89"/>
    <n v="159367.70000000001"/>
    <n v="920"/>
    <n v="118205.41"/>
    <x v="0"/>
  </r>
  <r>
    <s v="8470530"/>
    <s v="KUST - Facilities Management"/>
    <s v="421700"/>
    <s v="Standards Certification Services (e.g. ISO)"/>
    <s v="847.8470530.1.421700.000000.847010.200179"/>
    <n v="187500"/>
    <n v="0"/>
    <m/>
    <m/>
    <m/>
    <n v="0"/>
    <x v="0"/>
  </r>
  <r>
    <s v="8470530"/>
    <s v="KUST - Facilities Management"/>
    <s v="425510"/>
    <s v="Conferences, seminars and exhibitions and other events: - Local Events"/>
    <s v="847.8470530.1.425510.000000.847010.200179"/>
    <n v="21793"/>
    <n v="6793"/>
    <n v="3239.25"/>
    <m/>
    <m/>
    <n v="3553.75"/>
    <x v="0"/>
  </r>
  <r>
    <s v="8470530"/>
    <s v="KUST - Facilities Management"/>
    <s v="425747"/>
    <s v="Student Accommodation"/>
    <s v="847.8470530.1.425747.000000.847015.200179"/>
    <n v="8600000"/>
    <n v="8473395"/>
    <n v="8473395"/>
    <m/>
    <m/>
    <n v="0"/>
    <x v="0"/>
  </r>
  <r>
    <s v="8470530"/>
    <s v="KUST - Facilities Management"/>
    <s v="425900"/>
    <s v="Entertainment and hospitality"/>
    <s v="847.8470530.1.425900.000000.847010.200179"/>
    <n v="13200"/>
    <n v="20000"/>
    <n v="11415"/>
    <m/>
    <m/>
    <n v="8585"/>
    <x v="0"/>
  </r>
  <r>
    <s v="8470530"/>
    <s v="KUST - Facilities Management"/>
    <s v="426220"/>
    <s v="Insurance - Fire and allied perils"/>
    <s v="847.8470530.1.426220.000000.847010.200179"/>
    <n v="879708"/>
    <n v="879708"/>
    <n v="56099.61"/>
    <n v="332802.02"/>
    <m/>
    <n v="490806.37"/>
    <x v="0"/>
  </r>
  <r>
    <s v="8470530"/>
    <s v="KUST - Facilities Management"/>
    <s v="426630"/>
    <s v="Other licenses, not mentioned elsewhere"/>
    <s v="847.8470530.1.426630.000000.847020.200179"/>
    <n v="0"/>
    <n v="2000"/>
    <m/>
    <m/>
    <m/>
    <n v="2000"/>
    <x v="0"/>
  </r>
  <r>
    <s v="8470530"/>
    <s v="KUST - Facilities Management"/>
    <s v="426900"/>
    <s v="Postal, courier and other document delivery expenses"/>
    <s v="847.8470530.1.426900.000000.847010.200179"/>
    <n v="3000"/>
    <n v="6000"/>
    <n v="5800"/>
    <m/>
    <m/>
    <n v="200"/>
    <x v="0"/>
  </r>
  <r>
    <s v="8470530"/>
    <s v="KUST - Facilities Management"/>
    <s v="428090"/>
    <s v="Business Travel - Combined expenses"/>
    <s v="847.8470530.1.428090.000000.847001.200179"/>
    <n v="75000"/>
    <n v="100000"/>
    <m/>
    <m/>
    <m/>
    <n v="100000"/>
    <x v="0"/>
  </r>
  <r>
    <s v="8470530"/>
    <s v="KUST - Facilities Management"/>
    <s v="429900"/>
    <s v="Other services, not specifically mentioned elsewhere"/>
    <s v="847.8470530.1.429900.000000.847010.200179"/>
    <n v="1776"/>
    <n v="1776"/>
    <n v="1361.69"/>
    <m/>
    <m/>
    <n v="414.31"/>
    <x v="0"/>
  </r>
  <r>
    <s v="8470530"/>
    <s v="KUST - Facilities Management"/>
    <s v="430110"/>
    <s v="Rental - Land"/>
    <s v="847.8470530.1.430110.000000.847020.200179"/>
    <n v="0"/>
    <n v="199500"/>
    <n v="199212.79999999999"/>
    <m/>
    <m/>
    <n v="287.19999999998299"/>
    <x v="0"/>
  </r>
  <r>
    <s v="8470530"/>
    <s v="KUST - Facilities Management"/>
    <s v="432120"/>
    <s v="Bldg maintenance-Business premises"/>
    <s v="847.8470530.1.432120.000000.847010.200179"/>
    <n v="20269255"/>
    <n v="12613765"/>
    <n v="5961187.04"/>
    <n v="1888675.25"/>
    <n v="4645221.12"/>
    <n v="118681.59"/>
    <x v="0"/>
  </r>
  <r>
    <s v="8470530"/>
    <s v="KUST - Facilities Management"/>
    <s v="432120"/>
    <s v="Bldg maintenance-Business premises"/>
    <s v="847.8470530.1.432120.000000.847015.200179"/>
    <n v="5021641"/>
    <n v="5388310"/>
    <n v="2650832.2200000002"/>
    <n v="-326424.8"/>
    <n v="2716865.8"/>
    <n v="347036.78"/>
    <x v="0"/>
  </r>
  <r>
    <s v="8470530"/>
    <s v="KUST - Facilities Management"/>
    <s v="432120"/>
    <s v="Bldg maintenance-Business premises"/>
    <s v="847.8470530.1.432120.000000.847020.200179"/>
    <n v="5551314"/>
    <n v="7417157"/>
    <n v="2741194.76"/>
    <n v="779573.05"/>
    <n v="3490512.2"/>
    <n v="329876.99"/>
    <x v="0"/>
  </r>
  <r>
    <s v="8470530"/>
    <s v="KUST - Facilities Management"/>
    <s v="432120"/>
    <s v="Bldg maintenance-Business premises"/>
    <s v="847.8470530.1.432120.000000.847030.200179"/>
    <n v="1164983"/>
    <n v="1164983"/>
    <n v="580627.59"/>
    <n v="0"/>
    <n v="145875.54999999999"/>
    <n v="438479.86"/>
    <x v="0"/>
  </r>
  <r>
    <s v="8470530"/>
    <s v="KUST - Facilities Management"/>
    <s v="432170"/>
    <s v="Bldg decoration &amp; minor improvements"/>
    <s v="847.8470530.1.432170.000000.847010.200179"/>
    <n v="19200"/>
    <n v="19200"/>
    <n v="17784.759999999998"/>
    <m/>
    <m/>
    <n v="1415.24"/>
    <x v="0"/>
  </r>
  <r>
    <s v="8470530"/>
    <s v="KUST - Facilities Management"/>
    <s v="432320"/>
    <s v="Residential Furniture and fixtures Maintenance"/>
    <s v="847.8470530.1.432320.000000.847001.200179"/>
    <n v="3748"/>
    <n v="8248"/>
    <n v="1883.74"/>
    <n v="2775"/>
    <n v="1883.74"/>
    <n v="1705.52"/>
    <x v="0"/>
  </r>
  <r>
    <s v="8470530"/>
    <s v="KUST - Facilities Management"/>
    <s v="432320"/>
    <s v="Residential Furniture and fixtures Maintenance"/>
    <s v="847.8470530.1.432320.000000.847010.200179"/>
    <n v="0"/>
    <n v="0"/>
    <n v="-9.0949470177292804E-13"/>
    <m/>
    <m/>
    <n v="9.0949470177292804E-13"/>
    <x v="0"/>
  </r>
  <r>
    <s v="8470530"/>
    <s v="KUST - Facilities Management"/>
    <s v="432540"/>
    <s v="Motor vehicles (non-military)"/>
    <s v="847.8470530.1.432540.000000.847010.200179"/>
    <n v="89602"/>
    <n v="10000"/>
    <n v="10000"/>
    <m/>
    <m/>
    <n v="0"/>
    <x v="0"/>
  </r>
  <r>
    <s v="8470530"/>
    <s v="KUST - Facilities Management"/>
    <s v="435410"/>
    <s v="Catering supplies: Offices"/>
    <s v="847.8470530.1.435410.000000.847020.200179"/>
    <n v="641386"/>
    <n v="43914"/>
    <n v="43913.55"/>
    <n v="0"/>
    <n v="0"/>
    <n v="0.44999999999709001"/>
    <x v="0"/>
  </r>
  <r>
    <s v="8470530"/>
    <s v="KUST - Facilities Management"/>
    <s v="436220"/>
    <s v="Road signs"/>
    <s v="847.8470530.1.436220.000000.847010.200179"/>
    <n v="0"/>
    <n v="173000"/>
    <m/>
    <n v="173000"/>
    <m/>
    <n v="0"/>
    <x v="0"/>
  </r>
  <r>
    <s v="8470540"/>
    <s v="KUST - Administration"/>
    <s v="421100"/>
    <s v="Manpower supply &quot;Other Than IT Related&quot;"/>
    <s v="847.8470540.1.421100.000000.847010.200179"/>
    <n v="29417"/>
    <n v="0"/>
    <m/>
    <m/>
    <m/>
    <n v="0"/>
    <x v="0"/>
  </r>
  <r>
    <s v="8470540"/>
    <s v="KUST - Administration"/>
    <s v="426800"/>
    <s v="Motor vehicle registration and inspection charges"/>
    <s v="847.8470540.1.426800.000000.847001.200179"/>
    <n v="848"/>
    <n v="848"/>
    <n v="816"/>
    <m/>
    <m/>
    <n v="32"/>
    <x v="0"/>
  </r>
  <r>
    <s v="8470540"/>
    <s v="KUST - Administration"/>
    <s v="427710"/>
    <s v="Subscriptions and membership fees: Trade organisations"/>
    <s v="847.8470540.1.427710.000000.847001.200179"/>
    <n v="4000"/>
    <n v="4000"/>
    <n v="3916"/>
    <m/>
    <m/>
    <n v="84"/>
    <x v="0"/>
  </r>
  <r>
    <s v="8470540"/>
    <s v="KUST - Administration"/>
    <s v="428111"/>
    <s v="Electricity consumption charges"/>
    <s v="847.8470540.1.428111.000000.847010.200179"/>
    <n v="11609542"/>
    <n v="11609542"/>
    <n v="5428197.7300000004"/>
    <m/>
    <m/>
    <n v="6181344.2699999996"/>
    <x v="0"/>
  </r>
  <r>
    <s v="8470540"/>
    <s v="KUST - Administration"/>
    <s v="428111"/>
    <s v="Electricity consumption charges"/>
    <s v="847.8470540.1.428111.000000.847015.200179"/>
    <n v="4835641"/>
    <n v="4835641"/>
    <n v="3052657.78"/>
    <m/>
    <m/>
    <n v="1782983.22"/>
    <x v="0"/>
  </r>
  <r>
    <s v="8470540"/>
    <s v="KUST - Administration"/>
    <s v="428111"/>
    <s v="Electricity consumption charges"/>
    <s v="847.8470540.1.428111.000000.847020.200179"/>
    <n v="5255311"/>
    <n v="5255311"/>
    <n v="3162110.96"/>
    <m/>
    <m/>
    <n v="2093200.04"/>
    <x v="0"/>
  </r>
  <r>
    <s v="8470540"/>
    <s v="KUST - Administration"/>
    <s v="428112"/>
    <s v="Water consumption charges"/>
    <s v="847.8470540.1.428112.000000.847010.200179"/>
    <n v="1687672"/>
    <n v="1687672"/>
    <n v="826970.68"/>
    <m/>
    <m/>
    <n v="860701.32"/>
    <x v="0"/>
  </r>
  <r>
    <s v="8470540"/>
    <s v="KUST - Administration"/>
    <s v="428112"/>
    <s v="Water consumption charges"/>
    <s v="847.8470540.1.428112.000000.847015.200179"/>
    <n v="1479473"/>
    <n v="1479473"/>
    <n v="847442.38"/>
    <m/>
    <m/>
    <n v="632030.62"/>
    <x v="0"/>
  </r>
  <r>
    <s v="8470540"/>
    <s v="KUST - Administration"/>
    <s v="428112"/>
    <s v="Water consumption charges"/>
    <s v="847.8470540.1.428112.000000.847020.200179"/>
    <n v="1523249"/>
    <n v="1523249"/>
    <n v="929447.58"/>
    <m/>
    <m/>
    <n v="593801.42000000004"/>
    <x v="0"/>
  </r>
  <r>
    <s v="8470540"/>
    <s v="KUST - Administration"/>
    <s v="429900"/>
    <s v="Other services, not specifically mentioned elsewhere"/>
    <s v="847.8470540.1.429900.000000.847010.200179"/>
    <n v="0"/>
    <n v="19417"/>
    <m/>
    <m/>
    <m/>
    <n v="19417"/>
    <x v="0"/>
  </r>
  <r>
    <s v="8470540"/>
    <s v="KUST - Administration"/>
    <s v="430230"/>
    <s v="Rental - Equipment"/>
    <s v="847.8470540.1.430230.000000.847001.200179"/>
    <n v="0"/>
    <n v="19000"/>
    <m/>
    <n v="6320"/>
    <m/>
    <n v="12680"/>
    <x v="0"/>
  </r>
  <r>
    <s v="8470540"/>
    <s v="KUST - Administration"/>
    <s v="430330"/>
    <s v="Rental - Motor vehicles"/>
    <s v="847.8470540.1.430330.000000.847010.200179"/>
    <n v="989463"/>
    <n v="1278068"/>
    <n v="55546.61"/>
    <n v="197225"/>
    <n v="986853.39"/>
    <n v="38442.999999999804"/>
    <x v="0"/>
  </r>
  <r>
    <s v="8470540"/>
    <s v="KUST - Administration"/>
    <s v="432540"/>
    <s v="Motor vehicles (non-military)"/>
    <s v="847.8470540.1.432540.000000.847010.200179"/>
    <n v="0"/>
    <n v="79602"/>
    <n v="34247.660000000003"/>
    <n v="2"/>
    <n v="23232"/>
    <n v="22120.34"/>
    <x v="0"/>
  </r>
  <r>
    <s v="8470540"/>
    <s v="KUST - Administration"/>
    <s v="435410"/>
    <s v="Catering supplies: Offices"/>
    <s v="847.8470540.1.435410.000000.847020.200179"/>
    <n v="0"/>
    <n v="942472"/>
    <n v="378105.62"/>
    <n v="-11386.08"/>
    <n v="300461.90000000002"/>
    <n v="275290.56"/>
    <x v="0"/>
  </r>
  <r>
    <s v="8470540"/>
    <s v="KUST - Administration"/>
    <s v="435740"/>
    <s v="Fuel, oil and lubricants: Motor vehicles"/>
    <s v="847.8470540.1.435740.000000.847010.200179"/>
    <n v="252000"/>
    <n v="52566"/>
    <n v="33782.480000000003"/>
    <m/>
    <m/>
    <n v="18783.52"/>
    <x v="0"/>
  </r>
  <r>
    <s v="8470540"/>
    <s v="KUST - Administration"/>
    <s v="436110"/>
    <s v="Printing supplies"/>
    <s v="847.8470540.1.436110.000000.847010.200179"/>
    <n v="53134"/>
    <n v="65619"/>
    <n v="38361"/>
    <n v="0"/>
    <n v="10000"/>
    <n v="17258"/>
    <x v="0"/>
  </r>
  <r>
    <s v="8470605"/>
    <s v="KUST - SVP / Finance &amp; Investment Office"/>
    <s v="421000"/>
    <s v="Management consultancy"/>
    <s v="847.8470605.1.421000.000000.847001.200179"/>
    <n v="860913"/>
    <n v="410913"/>
    <n v="367499.98"/>
    <n v="0"/>
    <n v="30625"/>
    <n v="12788.02"/>
    <x v="0"/>
  </r>
  <r>
    <s v="8470605"/>
    <s v="KUST - SVP / Finance &amp; Investment Office"/>
    <s v="425720"/>
    <s v="Education-Outsourced training service"/>
    <s v="847.8470605.1.425720.000000.847001.200179"/>
    <n v="500000"/>
    <n v="65000"/>
    <m/>
    <m/>
    <m/>
    <n v="65000"/>
    <x v="0"/>
  </r>
  <r>
    <s v="8470605"/>
    <s v="KUST - SVP / Finance &amp; Investment Office"/>
    <s v="425900"/>
    <s v="Entertainment and hospitality"/>
    <s v="847.8470605.1.425900.000000.847001.200179"/>
    <n v="780442"/>
    <n v="371942"/>
    <n v="3553.14"/>
    <n v="0"/>
    <n v="14848"/>
    <n v="353540.86"/>
    <x v="0"/>
  </r>
  <r>
    <s v="8470605"/>
    <s v="KUST - SVP / Finance &amp; Investment Office"/>
    <s v="428090"/>
    <s v="Business Travel - Combined expenses"/>
    <s v="847.8470605.1.428090.000000.847001.200179"/>
    <n v="962922"/>
    <n v="694922"/>
    <n v="67845"/>
    <m/>
    <m/>
    <n v="627077"/>
    <x v="0"/>
  </r>
  <r>
    <s v="8470605"/>
    <s v="KUST - SVP / Finance &amp; Investment Office"/>
    <s v="429900"/>
    <s v="Other services, not specifically mentioned elsewhere"/>
    <s v="847.8470605.1.429900.000000.847001.200179"/>
    <n v="500000"/>
    <n v="394800"/>
    <m/>
    <m/>
    <m/>
    <n v="394800"/>
    <x v="0"/>
  </r>
  <r>
    <s v="8470620"/>
    <s v="KUST - Finance Operations"/>
    <s v="420130"/>
    <s v="External Audit service"/>
    <s v="847.8470620.1.420130.000000.847001.200179"/>
    <n v="383200"/>
    <n v="363200"/>
    <n v="101000"/>
    <n v="142410"/>
    <m/>
    <n v="119790"/>
    <x v="0"/>
  </r>
  <r>
    <s v="8470620"/>
    <s v="KUST - Finance Operations"/>
    <s v="422900"/>
    <s v="Other specialised professional services, not mentioned elsewhere"/>
    <s v="847.8470620.1.422900.000000.847001.200179"/>
    <n v="1119270"/>
    <n v="956070"/>
    <n v="422860"/>
    <n v="392140"/>
    <n v="132860"/>
    <n v="8210"/>
    <x v="0"/>
  </r>
  <r>
    <s v="8470620"/>
    <s v="KUST - Finance Operations"/>
    <s v="425300"/>
    <s v="Banking service charges / Fees"/>
    <s v="847.8470620.1.425300.000000.847001.200179"/>
    <n v="537"/>
    <n v="3537"/>
    <n v="646.08000000000004"/>
    <m/>
    <m/>
    <n v="2890.92"/>
    <x v="0"/>
  </r>
  <r>
    <s v="8470620"/>
    <s v="KUST - Finance Operations"/>
    <s v="425350"/>
    <s v="Fees for processing e-payments-e-Payment operation"/>
    <s v="847.8470620.1.425350.000000.847001.200179"/>
    <n v="99124"/>
    <n v="136524"/>
    <n v="102510.38"/>
    <m/>
    <m/>
    <n v="34013.620000000003"/>
    <x v="0"/>
  </r>
  <r>
    <s v="8470620"/>
    <s v="KUST - Finance Operations"/>
    <s v="425900"/>
    <s v="Entertainment and hospitality"/>
    <s v="847.8470620.1.425900.000000.847001.200179"/>
    <n v="2176"/>
    <n v="5176"/>
    <m/>
    <m/>
    <m/>
    <n v="5176"/>
    <x v="0"/>
  </r>
  <r>
    <s v="8470620"/>
    <s v="KUST - Finance Operations"/>
    <s v="426610"/>
    <s v="Computer software licenses-Software License Renewal"/>
    <s v="847.8470620.1.426610.000000.847001.200179"/>
    <n v="31680"/>
    <n v="171480"/>
    <n v="2676.89"/>
    <n v="0"/>
    <n v="31680"/>
    <n v="137123.10999999999"/>
    <x v="0"/>
  </r>
  <r>
    <s v="8470720"/>
    <s v="KUST - Procurement and Contracts"/>
    <s v="421000"/>
    <s v="Management consultancy"/>
    <s v="847.8470720.1.421000.000000.847001.200179"/>
    <n v="225000"/>
    <n v="245500"/>
    <m/>
    <n v="10075"/>
    <n v="212520"/>
    <n v="22905"/>
    <x v="0"/>
  </r>
  <r>
    <s v="8470720"/>
    <s v="KUST - Procurement and Contracts"/>
    <s v="421700"/>
    <s v="Standards Certification Services (e.g. ISO)"/>
    <s v="847.8470720.1.421700.000000.847001.200179"/>
    <n v="10000"/>
    <n v="10000"/>
    <n v="3935.96"/>
    <n v="5425"/>
    <m/>
    <n v="639.04"/>
    <x v="0"/>
  </r>
  <r>
    <s v="8470720"/>
    <s v="KUST - Procurement and Contracts"/>
    <s v="422900"/>
    <s v="Other specialised professional services, not mentioned elsewhere"/>
    <s v="847.8470720.1.422900.000000.847001.200179"/>
    <n v="75000"/>
    <n v="0"/>
    <m/>
    <m/>
    <m/>
    <n v="0"/>
    <x v="0"/>
  </r>
  <r>
    <s v="8470720"/>
    <s v="KUST - Procurement and Contracts"/>
    <s v="425100"/>
    <s v="Advertising Services (General)"/>
    <s v="847.8470720.1.425100.000000.847001.200179"/>
    <n v="0"/>
    <n v="40000"/>
    <m/>
    <n v="30000"/>
    <m/>
    <n v="10000"/>
    <x v="0"/>
  </r>
  <r>
    <s v="8470720"/>
    <s v="KUST - Procurement and Contracts"/>
    <s v="425900"/>
    <s v="Entertainment and hospitality"/>
    <s v="847.8470720.1.425900.000000.847001.200179"/>
    <n v="0"/>
    <n v="25000"/>
    <n v="15750"/>
    <m/>
    <m/>
    <n v="9250"/>
    <x v="0"/>
  </r>
  <r>
    <s v="8470720"/>
    <s v="KUST - Procurement and Contracts"/>
    <s v="426610"/>
    <s v="Computer software licenses-Software License Renewal"/>
    <s v="847.8470720.1.426610.000000.847001.200179"/>
    <n v="5000"/>
    <n v="5000"/>
    <m/>
    <m/>
    <m/>
    <n v="5000"/>
    <x v="0"/>
  </r>
  <r>
    <s v="8470720"/>
    <s v="KUST - Procurement and Contracts"/>
    <s v="426900"/>
    <s v="Postal, courier and other document delivery expenses"/>
    <s v="847.8470720.1.426900.000000.847001.200179"/>
    <n v="10000"/>
    <n v="10000"/>
    <n v="3464.73"/>
    <m/>
    <m/>
    <n v="6551.27"/>
    <x v="0"/>
  </r>
  <r>
    <s v="8470720"/>
    <s v="KUST - Procurement and Contracts"/>
    <s v="428090"/>
    <s v="Business Travel - Combined expenses"/>
    <s v="847.8470720.1.428090.000000.847001.200179"/>
    <n v="0"/>
    <n v="100000"/>
    <m/>
    <m/>
    <m/>
    <n v="100000"/>
    <x v="0"/>
  </r>
  <r>
    <s v="8470720"/>
    <s v="KUST - Procurement and Contracts"/>
    <s v="428200"/>
    <s v="Health,safety&amp;environment awareness"/>
    <s v="847.8470720.1.428200.000000.847001.200179"/>
    <n v="300000"/>
    <n v="293700"/>
    <n v="175939.9"/>
    <n v="0"/>
    <n v="64683.8"/>
    <n v="53076.3"/>
    <x v="0"/>
  </r>
  <r>
    <s v="8470720"/>
    <s v="KUST - Procurement and Contracts"/>
    <s v="428640"/>
    <s v="Events - Awards, prizes &amp; gifts"/>
    <s v="847.8470720.1.428640.000000.847001.200179"/>
    <n v="0"/>
    <n v="1405"/>
    <n v="3320.08"/>
    <m/>
    <m/>
    <n v="2656.58"/>
    <x v="0"/>
  </r>
  <r>
    <s v="8470720"/>
    <s v="KUST - Procurement and Contracts"/>
    <s v="435410"/>
    <s v="Catering supplies: Offices"/>
    <s v="847.8470720.1.435410.000000.847001.200179"/>
    <n v="450"/>
    <n v="1750"/>
    <m/>
    <m/>
    <m/>
    <n v="1750"/>
    <x v="0"/>
  </r>
  <r>
    <s v="8470720"/>
    <s v="KUST - Procurement and Contracts"/>
    <s v="436110"/>
    <s v="Printing supplies"/>
    <s v="847.8470720.1.436110.000000.847001.200179"/>
    <n v="25000"/>
    <n v="23595"/>
    <n v="567"/>
    <m/>
    <m/>
    <n v="23028"/>
    <x v="0"/>
  </r>
  <r>
    <s v="8470720"/>
    <s v="KUST - Procurement and Contracts"/>
    <s v="436120"/>
    <s v="Stationery"/>
    <s v="847.8470720.1.436120.000000.847001.200179"/>
    <n v="168681"/>
    <n v="168681"/>
    <n v="161583.85"/>
    <n v="0"/>
    <n v="2.18278728425503E-11"/>
    <n v="7097.1499999999696"/>
    <x v="0"/>
  </r>
  <r>
    <s v="8470730"/>
    <s v="KUST - Human Resources"/>
    <s v="421000"/>
    <s v="Management consultancy"/>
    <s v="847.8470730.1.421000.000000.847001.200179"/>
    <n v="132578"/>
    <n v="566478"/>
    <n v="220214.46"/>
    <n v="-132578.07"/>
    <n v="44941.68"/>
    <n v="433899.93"/>
    <x v="0"/>
  </r>
  <r>
    <s v="8470730"/>
    <s v="KUST - Human Resources"/>
    <s v="425900"/>
    <s v="Entertainment and hospitality"/>
    <s v="847.8470730.1.425900.000000.847001.200179"/>
    <n v="7140"/>
    <n v="22770"/>
    <n v="17140"/>
    <n v="-7140"/>
    <n v="7140"/>
    <n v="5630"/>
    <x v="0"/>
  </r>
  <r>
    <s v="8470730"/>
    <s v="KUST - Human Resources"/>
    <s v="426260"/>
    <s v="Insurance - Workman's compensation"/>
    <s v="847.8470730.1.426260.000000.847001.200179"/>
    <n v="0"/>
    <n v="1"/>
    <m/>
    <m/>
    <m/>
    <n v="1"/>
    <x v="0"/>
  </r>
  <r>
    <s v="8470730"/>
    <s v="KUST - Human Resources"/>
    <s v="426610"/>
    <s v="Computer software licenses-Software License Renewal"/>
    <s v="847.8470730.1.426610.000000.847001.200179"/>
    <n v="183285"/>
    <n v="154069"/>
    <n v="17850"/>
    <n v="-17850"/>
    <n v="18000"/>
    <n v="136069"/>
    <x v="0"/>
  </r>
  <r>
    <s v="8470730"/>
    <s v="KUST - Human Resources"/>
    <s v="428090"/>
    <s v="Business Travel - Combined expenses"/>
    <s v="847.8470730.1.428090.000000.847001.200179"/>
    <n v="0"/>
    <n v="0"/>
    <m/>
    <m/>
    <m/>
    <n v="0"/>
    <x v="0"/>
  </r>
  <r>
    <s v="8470730"/>
    <s v="KUST - Human Resources"/>
    <s v="428640"/>
    <s v="Events - Awards, prizes &amp; gifts"/>
    <s v="847.8470730.1.428640.000000.847001.200179"/>
    <n v="205048"/>
    <n v="821493"/>
    <n v="690592.5"/>
    <n v="-143100"/>
    <n v="17000.11"/>
    <n v="257000.39"/>
    <x v="0"/>
  </r>
  <r>
    <s v="8470730"/>
    <s v="KUST - Human Resources"/>
    <s v="436110"/>
    <s v="Printing supplies"/>
    <s v="847.8470730.1.436110.000000.847001.200179"/>
    <n v="51945"/>
    <n v="68045"/>
    <n v="83219"/>
    <n v="-32875"/>
    <n v="11830"/>
    <n v="5871"/>
    <x v="0"/>
  </r>
  <r>
    <s v="8470810"/>
    <s v="KUST - Ankabut office"/>
    <s v="420811"/>
    <s v="IT Systems &amp; Support expenses-Application/Systems Operation"/>
    <s v="847.8470810.1.420811.000000.847001.200179"/>
    <n v="8100000"/>
    <n v="7162263"/>
    <n v="7162262.5"/>
    <m/>
    <m/>
    <n v="0.5"/>
    <x v="0"/>
  </r>
  <r>
    <s v="8470810"/>
    <s v="KUST - Ankabut office"/>
    <s v="421100"/>
    <s v="Manpower supply &quot;Other Than IT Related&quot;"/>
    <s v="847.8470810.1.421100.000000.847001.200179"/>
    <n v="563543"/>
    <n v="0"/>
    <m/>
    <m/>
    <m/>
    <n v="0"/>
    <x v="0"/>
  </r>
  <r>
    <s v="8470810"/>
    <s v="KUST - Ankabut office"/>
    <s v="425900"/>
    <s v="Entertainment and hospitality"/>
    <s v="847.8470810.1.425900.000000.847001.200179"/>
    <n v="0"/>
    <n v="20000"/>
    <m/>
    <m/>
    <m/>
    <n v="20000"/>
    <x v="0"/>
  </r>
  <r>
    <s v="8470810"/>
    <s v="KUST - Ankabut office"/>
    <s v="426610"/>
    <s v="Computer software licenses-Software License Renewal"/>
    <s v="847.8470810.1.426610.000000.847001.200179"/>
    <n v="8959671"/>
    <n v="9523213"/>
    <n v="4663815.63"/>
    <n v="1969962.77"/>
    <n v="1738228.63"/>
    <n v="1151205.97"/>
    <x v="0"/>
  </r>
  <r>
    <s v="8470810"/>
    <s v="KUST - Ankabut office"/>
    <s v="427810"/>
    <s v="Telephone and telefax charges-Telecommunication, Satellite services"/>
    <s v="847.8470810.1.427810.000000.847001.200179"/>
    <n v="2640700"/>
    <n v="787507"/>
    <n v="502780.63"/>
    <m/>
    <m/>
    <n v="258274.82"/>
    <x v="0"/>
  </r>
  <r>
    <s v="8470810"/>
    <s v="KUST - Ankabut office"/>
    <s v="427850"/>
    <s v="Data Transmission charges-Data Transmission charges"/>
    <s v="847.8470810.1.427850.000000.847001.200179"/>
    <n v="2078611"/>
    <n v="2078611"/>
    <n v="1703052.48"/>
    <m/>
    <m/>
    <n v="348716.02"/>
    <x v="0"/>
  </r>
  <r>
    <s v="8470810"/>
    <s v="KUST - Ankabut office"/>
    <s v="428090"/>
    <s v="Business Travel - Combined expenses"/>
    <s v="847.8470810.1.428090.000000.847001.200179"/>
    <n v="4400"/>
    <n v="141460"/>
    <n v="37969"/>
    <m/>
    <m/>
    <n v="103491"/>
    <x v="0"/>
  </r>
  <r>
    <s v="8470810"/>
    <s v="KUST - Ankabut office"/>
    <s v="430230"/>
    <s v="Rental - Equipment"/>
    <s v="847.8470810.1.430230.000000.847001.200179"/>
    <m/>
    <m/>
    <n v="0"/>
    <m/>
    <m/>
    <n v="0"/>
    <x v="0"/>
  </r>
  <r>
    <s v="8470810"/>
    <s v="KUST - Ankabut office"/>
    <s v="430250"/>
    <s v="Rental - Computer hardware-Rental/Subscription - Computer hardware"/>
    <s v="847.8470810.1.430250.000000.847001.200179"/>
    <n v="1020766"/>
    <n v="2624341"/>
    <n v="2256504.89"/>
    <n v="-239413.69"/>
    <n v="450112"/>
    <n v="157137.79999999999"/>
    <x v="0"/>
  </r>
  <r>
    <s v="8470810"/>
    <s v="KUST - Ankabut office"/>
    <s v="432205"/>
    <s v="Maintenance: Computers and peripherals-End user and Infrastructure components maintenance and support"/>
    <s v="847.8470810.1.432205.000000.847001.200179"/>
    <n v="3655434"/>
    <n v="5318171"/>
    <n v="876664.81"/>
    <n v="3337606"/>
    <n v="213074"/>
    <n v="890826.18999999901"/>
    <x v="0"/>
  </r>
  <r>
    <s v="8470810"/>
    <s v="KUST - Ankabut office"/>
    <s v="432226"/>
    <s v="Computers and peripherals-Printers maintenance and support"/>
    <s v="847.8470810.1.432226.000000.847001.200179"/>
    <n v="362742"/>
    <n v="451700"/>
    <n v="237145.02"/>
    <n v="0"/>
    <n v="214376.45"/>
    <n v="178.52999999996999"/>
    <x v="0"/>
  </r>
  <r>
    <s v="8470910"/>
    <s v="KUST - Executive Vice President Office"/>
    <s v="425900"/>
    <s v="Entertainment and hospitality"/>
    <s v="847.8470910.1.425900.000000.847001.200179"/>
    <n v="0"/>
    <n v="30000"/>
    <n v="4500"/>
    <m/>
    <m/>
    <n v="25500"/>
    <x v="0"/>
  </r>
  <r>
    <s v="8470910"/>
    <s v="KUST - Executive Vice President Office"/>
    <s v="428090"/>
    <s v="Business Travel - Combined expenses"/>
    <s v="847.8470910.1.428090.000000.847001.200179"/>
    <n v="0"/>
    <n v="211000"/>
    <n v="201890"/>
    <m/>
    <m/>
    <n v="9110"/>
    <x v="0"/>
  </r>
  <r>
    <s v="8471010"/>
    <s v="KUST - Continuing Education Office"/>
    <s v="425100"/>
    <s v="Advertising Services (General)"/>
    <s v="847.8471010.1.425100.000000.847001.200179"/>
    <n v="90000"/>
    <n v="0"/>
    <m/>
    <m/>
    <m/>
    <n v="0"/>
    <x v="0"/>
  </r>
  <r>
    <s v="8471010"/>
    <s v="KUST - Continuing Education Office"/>
    <s v="425510"/>
    <s v="Conferences, seminars and exhibitions and other events: - Local Events"/>
    <s v="847.8471010.1.425510.000000.847001.200179"/>
    <n v="5877"/>
    <n v="0"/>
    <m/>
    <m/>
    <m/>
    <n v="0"/>
    <x v="0"/>
  </r>
  <r>
    <s v="8471010"/>
    <s v="KUST - Continuing Education Office"/>
    <s v="425720"/>
    <s v="Education-Outsourced training service"/>
    <s v="847.8471010.1.425720.000000.847001.200179"/>
    <n v="35396"/>
    <n v="2768"/>
    <n v="2768"/>
    <m/>
    <m/>
    <n v="0"/>
    <x v="0"/>
  </r>
  <r>
    <s v="8471010"/>
    <s v="KUST - Continuing Education Office"/>
    <s v="425900"/>
    <s v="Entertainment and hospitality"/>
    <s v="847.8471010.1.425900.000000.847001.200179"/>
    <n v="14586"/>
    <n v="46227"/>
    <n v="46226.25"/>
    <m/>
    <m/>
    <n v="0.75"/>
    <x v="0"/>
  </r>
  <r>
    <s v="8471010"/>
    <s v="KUST - Continuing Education Office"/>
    <s v="436110"/>
    <s v="Printing supplies"/>
    <s v="847.8471010.1.436110.000000.847001.200179"/>
    <n v="6200"/>
    <n v="0"/>
    <m/>
    <m/>
    <m/>
    <n v="0"/>
    <x v="0"/>
  </r>
  <r>
    <s v="8471110"/>
    <s v="KUST - SVP/ Research &amp; Development Office"/>
    <s v="425900"/>
    <s v="Entertainment and hospitality"/>
    <s v="847.8471110.1.425900.000000.847001.200179"/>
    <n v="3045"/>
    <n v="30000"/>
    <n v="4641"/>
    <m/>
    <m/>
    <n v="25359"/>
    <x v="1"/>
  </r>
  <r>
    <s v="8471110"/>
    <s v="KUST - SVP/ Research &amp; Development Office"/>
    <s v="427710"/>
    <s v="Subscriptions and membership fees: Trade organisations"/>
    <s v="847.8471110.1.427710.000000.847001.200179"/>
    <n v="30707"/>
    <n v="395707"/>
    <n v="343812.69"/>
    <n v="32977.760000000002"/>
    <n v="18915.95"/>
    <n v="0.59999999999854503"/>
    <x v="1"/>
  </r>
  <r>
    <s v="8471110"/>
    <s v="KUST - SVP/ Research &amp; Development Office"/>
    <s v="428090"/>
    <s v="Business Travel - Combined expenses"/>
    <s v="847.8471110.1.428090.000000.847001.200179"/>
    <n v="48418"/>
    <n v="100000"/>
    <n v="10000"/>
    <m/>
    <m/>
    <n v="90000"/>
    <x v="1"/>
  </r>
  <r>
    <s v="8471130"/>
    <s v="KUST - Research Service"/>
    <s v="420811"/>
    <s v="IT Systems &amp; Support expenses-Application/Systems Operation"/>
    <s v="847.8471130.1.420811.000000.847001.200179"/>
    <n v="0"/>
    <n v="18365"/>
    <n v="18365"/>
    <n v="0"/>
    <n v="0"/>
    <n v="0"/>
    <x v="1"/>
  </r>
  <r>
    <s v="8471130"/>
    <s v="KUST - Research Service"/>
    <s v="425900"/>
    <s v="Entertainment and hospitality"/>
    <s v="847.8471130.1.425900.000000.847001.200179"/>
    <n v="0"/>
    <n v="3000"/>
    <m/>
    <m/>
    <m/>
    <n v="3000"/>
    <x v="1"/>
  </r>
  <r>
    <s v="8471130"/>
    <s v="KUST - Research Service"/>
    <s v="426610"/>
    <s v="Computer software licenses-Software License Renewal"/>
    <s v="847.8471130.1.426610.000000.847001.200179"/>
    <n v="171713"/>
    <n v="171713"/>
    <n v="1277.18"/>
    <n v="0"/>
    <n v="0"/>
    <n v="170435.82"/>
    <x v="1"/>
  </r>
  <r>
    <s v="8471130"/>
    <s v="KUST - Research Service"/>
    <s v="427900"/>
    <s v="Translation and interpretation service"/>
    <s v="847.8471130.1.427900.000000.847001.200179"/>
    <n v="0"/>
    <n v="10000"/>
    <m/>
    <m/>
    <m/>
    <n v="10000"/>
    <x v="1"/>
  </r>
  <r>
    <s v="8471130"/>
    <s v="KUST - Research Service"/>
    <s v="428090"/>
    <s v="Business Travel - Combined expenses"/>
    <s v="847.8471130.1.428090.000000.847001.200179"/>
    <n v="23760"/>
    <n v="115395"/>
    <n v="38486.559999999998"/>
    <m/>
    <m/>
    <n v="76908.44"/>
    <x v="1"/>
  </r>
  <r>
    <s v="8471130"/>
    <s v="KUST - Research Service"/>
    <s v="435523"/>
    <s v="Scientific"/>
    <s v="847.8471130.1.435523.000000.847001.000000"/>
    <m/>
    <m/>
    <m/>
    <n v="-28130"/>
    <m/>
    <n v="28130"/>
    <x v="1"/>
  </r>
  <r>
    <s v="8471130"/>
    <s v="KUST - Research Service"/>
    <s v="435523"/>
    <s v="Scientific"/>
    <s v="847.8471130.1.435523.000000.847001.200179"/>
    <n v="157190"/>
    <n v="344190"/>
    <n v="175282.11"/>
    <n v="0"/>
    <n v="22038"/>
    <n v="146869.89000000001"/>
    <x v="1"/>
  </r>
  <r>
    <s v="8471140"/>
    <s v="KUST - University Sponsored Research"/>
    <s v="420570"/>
    <s v="Academic Collaborative Partnership Services"/>
    <s v="847.8471140.1.420570.000000.847001.050583"/>
    <n v="4818360"/>
    <n v="2715876"/>
    <n v="1718250"/>
    <m/>
    <m/>
    <n v="997626"/>
    <x v="1"/>
  </r>
  <r>
    <s v="8471140"/>
    <s v="KUST - University Sponsored Research"/>
    <s v="420570"/>
    <s v="Academic Collaborative Partnership Services"/>
    <s v="847.8471140.1.420570.000000.847001.200179"/>
    <n v="290123"/>
    <n v="410123"/>
    <n v="344516.94"/>
    <m/>
    <m/>
    <n v="65606.06"/>
    <x v="1"/>
  </r>
  <r>
    <s v="8471140"/>
    <s v="KUST - University Sponsored Research"/>
    <s v="421000"/>
    <s v="Management consultancy"/>
    <s v="847.8471140.1.421000.000000.847001.050583"/>
    <n v="551250"/>
    <n v="684250"/>
    <m/>
    <n v="26445.599999999999"/>
    <n v="652767.68999999994"/>
    <n v="5036.70999999996"/>
    <x v="1"/>
  </r>
  <r>
    <s v="8471140"/>
    <s v="KUST - University Sponsored Research"/>
    <s v="428090"/>
    <s v="Business Travel - Combined expenses"/>
    <s v="847.8471140.1.428090.000000.847001.200179"/>
    <n v="37500"/>
    <n v="100000"/>
    <n v="41872.410000000003"/>
    <m/>
    <m/>
    <n v="58127.59"/>
    <x v="1"/>
  </r>
  <r>
    <s v="8471140"/>
    <s v="KUST - University Sponsored Research"/>
    <s v="435330"/>
    <s v="Library books"/>
    <s v="847.8471140.1.435330.000000.847001.050583"/>
    <n v="0"/>
    <n v="0"/>
    <m/>
    <m/>
    <m/>
    <n v="0"/>
    <x v="1"/>
  </r>
  <r>
    <s v="8471140"/>
    <s v="KUST - University Sponsored Research"/>
    <s v="435523"/>
    <s v="Scientific"/>
    <s v="847.8471140.1.435523.000000.847001.050583"/>
    <n v="37853390"/>
    <n v="39822874"/>
    <n v="20008049.390000001"/>
    <n v="935149.19"/>
    <n v="1106163.6299999999"/>
    <n v="17773511.789999999"/>
    <x v="1"/>
  </r>
  <r>
    <s v="8471140"/>
    <s v="KUST - University Sponsored Research"/>
    <s v="435523"/>
    <s v="Scientific"/>
    <s v="847.8471140.1.435523.000000.847001.200179"/>
    <n v="43229013"/>
    <n v="43589863"/>
    <n v="36093757.469999999"/>
    <n v="203011.42"/>
    <n v="1951968.2"/>
    <n v="5366718.0300000301"/>
    <x v="1"/>
  </r>
  <r>
    <s v="8471150"/>
    <s v="KUST - Technology Management &amp; Innovation"/>
    <s v="420900"/>
    <s v="Legal services"/>
    <s v="847.8471150.1.420900.000000.847001.050587"/>
    <n v="4979000"/>
    <n v="4969000"/>
    <n v="1660219.88"/>
    <n v="807099.94"/>
    <n v="2378201.5299999998"/>
    <n v="123478.65"/>
    <x v="0"/>
  </r>
  <r>
    <s v="8471150"/>
    <s v="KUST - Technology Management &amp; Innovation"/>
    <s v="420900"/>
    <s v="Legal services"/>
    <s v="847.8471150.1.420900.000000.847001.200179"/>
    <m/>
    <m/>
    <n v="-1216.43"/>
    <m/>
    <n v="1216.43"/>
    <n v="0"/>
    <x v="0"/>
  </r>
  <r>
    <s v="8471150"/>
    <s v="KUST - Technology Management &amp; Innovation"/>
    <s v="425510"/>
    <s v="Conferences, seminars and exhibitions and other events: - Local Events"/>
    <s v="847.8471150.1.425510.000000.847001.050587"/>
    <n v="0"/>
    <n v="10000"/>
    <m/>
    <m/>
    <m/>
    <n v="10000"/>
    <x v="0"/>
  </r>
  <r>
    <s v="8471150"/>
    <s v="KUST - Technology Management &amp; Innovation"/>
    <s v="425510"/>
    <s v="Conferences, seminars and exhibitions and other events: - Local Events"/>
    <s v="847.8471150.1.425510.000000.847001.200179"/>
    <n v="2000"/>
    <n v="2000"/>
    <n v="2283.75"/>
    <m/>
    <m/>
    <n v="16.25"/>
    <x v="0"/>
  </r>
  <r>
    <s v="8471150"/>
    <s v="KUST - Technology Management &amp; Innovation"/>
    <s v="425550"/>
    <s v="Conferences, seminars and exhibitions and other events: - Overseas event"/>
    <s v="847.8471150.1.425550.000000.847001.200179"/>
    <n v="26095"/>
    <n v="26095"/>
    <n v="20122.400000000001"/>
    <m/>
    <m/>
    <n v="5972.6"/>
    <x v="0"/>
  </r>
  <r>
    <s v="8471150"/>
    <s v="KUST - Technology Management &amp; Innovation"/>
    <s v="426610"/>
    <s v="Computer software licenses-Software License Renewal"/>
    <s v="847.8471150.1.426610.000000.847001.200179"/>
    <n v="3881"/>
    <n v="3881"/>
    <m/>
    <m/>
    <m/>
    <n v="3881"/>
    <x v="0"/>
  </r>
  <r>
    <s v="8471160"/>
    <s v="KUST - Research Laboratories"/>
    <s v="422100"/>
    <s v="Waste management service"/>
    <s v="847.8471160.1.422100.000000.847001.200179"/>
    <n v="0"/>
    <n v="31902"/>
    <m/>
    <m/>
    <m/>
    <n v="31902"/>
    <x v="1"/>
  </r>
  <r>
    <s v="8471160"/>
    <s v="KUST - Research Laboratories"/>
    <s v="425900"/>
    <s v="Entertainment and hospitality"/>
    <s v="847.8471160.1.425900.000000.847001.200179"/>
    <n v="0"/>
    <n v="12000"/>
    <n v="8368.5"/>
    <m/>
    <m/>
    <n v="3631.5"/>
    <x v="1"/>
  </r>
  <r>
    <s v="8471160"/>
    <s v="KUST - Research Laboratories"/>
    <s v="426610"/>
    <s v="Computer software licenses-Software License Renewal"/>
    <s v="847.8471160.1.426610.000000.847001.200179"/>
    <n v="440763"/>
    <n v="106522"/>
    <n v="305169"/>
    <n v="0"/>
    <n v="-198647.15"/>
    <n v="0.14999999999417901"/>
    <x v="1"/>
  </r>
  <r>
    <s v="8471160"/>
    <s v="KUST - Research Laboratories"/>
    <s v="428090"/>
    <s v="Business Travel - Combined expenses"/>
    <s v="847.8471160.1.428090.000000.847001.200179"/>
    <n v="0"/>
    <n v="298240"/>
    <n v="298240"/>
    <m/>
    <m/>
    <n v="-5.8207660913467401E-11"/>
    <x v="1"/>
  </r>
  <r>
    <s v="8471160"/>
    <s v="KUST - Research Laboratories"/>
    <s v="432209"/>
    <s v="Laboratory Equipment maintenance"/>
    <s v="847.8471160.1.432209.000000.847001.000000"/>
    <m/>
    <m/>
    <n v="-68176.3"/>
    <m/>
    <n v="0.04"/>
    <n v="68176.259999999995"/>
    <x v="1"/>
  </r>
  <r>
    <s v="8471160"/>
    <s v="KUST - Research Laboratories"/>
    <s v="432209"/>
    <s v="Laboratory Equipment maintenance"/>
    <s v="847.8471160.1.432209.000000.847001.200179"/>
    <n v="11611153"/>
    <n v="16861586"/>
    <n v="11217330.91"/>
    <n v="-2232369.79"/>
    <n v="6692606.4100000001"/>
    <n v="1184018.47"/>
    <x v="1"/>
  </r>
  <r>
    <s v="8471160"/>
    <s v="KUST - Research Laboratories"/>
    <s v="435508"/>
    <s v="Laboratory - Scientific"/>
    <s v="847.8471160.1.435508.000000.847001.000000"/>
    <m/>
    <m/>
    <m/>
    <n v="-25469.33"/>
    <m/>
    <n v="25469.33"/>
    <x v="1"/>
  </r>
  <r>
    <s v="8471160"/>
    <s v="KUST - Research Laboratories"/>
    <s v="435508"/>
    <s v="Laboratory - Scientific"/>
    <s v="847.8471160.1.435508.000000.847001.200179"/>
    <n v="2823455"/>
    <n v="3522533"/>
    <n v="3189753.88"/>
    <n v="-342273.93"/>
    <n v="673841.79"/>
    <n v="1211.26000000001"/>
    <x v="1"/>
  </r>
  <r>
    <s v="8471160"/>
    <s v="KUST - Research Laboratories"/>
    <s v="436600"/>
    <s v="Training/Teaching equipment and other educational aid"/>
    <s v="847.8471160.1.436600.000000.847001.200179"/>
    <n v="0"/>
    <n v="6000"/>
    <n v="1220"/>
    <m/>
    <m/>
    <n v="4780"/>
    <x v="1"/>
  </r>
  <r>
    <s v="8471170"/>
    <s v="KUST - Research Computing"/>
    <s v="420811"/>
    <s v="IT Systems &amp; Support expenses-Application/Systems Operation"/>
    <s v="847.8471170.1.420811.000000.847001.200179"/>
    <n v="551000"/>
    <n v="871940"/>
    <n v="1102000"/>
    <n v="-551000"/>
    <n v="320932.8"/>
    <n v="7.2000000000116398"/>
    <x v="1"/>
  </r>
  <r>
    <s v="8471170"/>
    <s v="KUST - Research Computing"/>
    <s v="426610"/>
    <s v="Computer software licenses-Software License Renewal"/>
    <s v="847.8471170.1.426610.000000.847001.200179"/>
    <n v="1654849"/>
    <n v="2240909"/>
    <n v="1165334.3"/>
    <n v="223316.45"/>
    <n v="609699.64"/>
    <n v="242558.61"/>
    <x v="1"/>
  </r>
  <r>
    <s v="8471170"/>
    <s v="KUST - Research Computing"/>
    <s v="428090"/>
    <s v="Business Travel - Combined expenses"/>
    <s v="847.8471170.1.428090.000000.847001.200179"/>
    <n v="42585"/>
    <n v="42585"/>
    <m/>
    <m/>
    <m/>
    <n v="42585"/>
    <x v="1"/>
  </r>
  <r>
    <s v="8471210"/>
    <s v="KUST - SVP/ Academic &amp; Student Services Office"/>
    <s v="425900"/>
    <s v="Entertainment and hospitality"/>
    <s v="847.8471210.1.425900.000000.847001.200179"/>
    <n v="2400"/>
    <n v="30000"/>
    <n v="525"/>
    <m/>
    <m/>
    <n v="29475"/>
    <x v="2"/>
  </r>
  <r>
    <s v="8471210"/>
    <s v="KUST - SVP/ Academic &amp; Student Services Office"/>
    <s v="428090"/>
    <s v="Business Travel - Combined expenses"/>
    <s v="847.8471210.1.428090.000000.847001.200179"/>
    <n v="60000"/>
    <n v="200000"/>
    <n v="54155"/>
    <m/>
    <m/>
    <n v="145845"/>
    <x v="2"/>
  </r>
  <r>
    <s v="8471220"/>
    <s v="KUST - Registrar"/>
    <s v="425510"/>
    <s v="Conferences, seminars and exhibitions and other events: - Local Events"/>
    <s v="847.8471220.1.425510.000000.847001.200179"/>
    <n v="1820"/>
    <n v="1820"/>
    <m/>
    <m/>
    <m/>
    <n v="1820"/>
    <x v="0"/>
  </r>
  <r>
    <s v="8471220"/>
    <s v="KUST - Registrar"/>
    <s v="425741"/>
    <s v="Student stipend"/>
    <s v="847.8471220.1.425741.000000.847001.200179"/>
    <n v="89952604"/>
    <n v="89952604"/>
    <n v="53088619"/>
    <m/>
    <m/>
    <n v="36863985"/>
    <x v="0"/>
  </r>
  <r>
    <s v="8471220"/>
    <s v="KUST - Registrar"/>
    <s v="425745"/>
    <s v="Student relocation &amp; travel exps"/>
    <s v="847.8471220.1.425745.000000.847001.200179"/>
    <m/>
    <m/>
    <n v="-46367.96"/>
    <m/>
    <m/>
    <n v="46367.96"/>
    <x v="0"/>
  </r>
  <r>
    <s v="8471220"/>
    <s v="KUST - Registrar"/>
    <s v="425762"/>
    <s v="Student Internship"/>
    <s v="847.8471220.1.425762.000000.847001.200179"/>
    <m/>
    <m/>
    <n v="0"/>
    <m/>
    <m/>
    <n v="0"/>
    <x v="0"/>
  </r>
  <r>
    <s v="8471220"/>
    <s v="KUST - Registrar"/>
    <s v="435340"/>
    <s v="Text books and library books"/>
    <s v="847.8471220.1.435340.000000.847001.200179"/>
    <n v="11232706"/>
    <n v="5442873"/>
    <n v="5370294.9000000004"/>
    <n v="0"/>
    <n v="70332.910000000105"/>
    <n v="2245.1899999994798"/>
    <x v="0"/>
  </r>
  <r>
    <s v="8471220"/>
    <s v="KUST - Registrar"/>
    <s v="436110"/>
    <s v="Printing supplies"/>
    <s v="847.8471220.1.436110.000000.847001.200179"/>
    <n v="131300"/>
    <n v="131300"/>
    <m/>
    <n v="108960"/>
    <m/>
    <n v="22340"/>
    <x v="0"/>
  </r>
  <r>
    <s v="8471230"/>
    <s v="KUST - Student Enrollment"/>
    <s v="425742"/>
    <s v="Enrollment expenses"/>
    <s v="847.8471230.1.425742.000000.847001.200179"/>
    <n v="1286117"/>
    <n v="1286117"/>
    <n v="766330.38"/>
    <n v="237108.67"/>
    <n v="0"/>
    <n v="282677.95"/>
    <x v="2"/>
  </r>
  <r>
    <s v="8471230"/>
    <s v="KUST - Student Enrollment"/>
    <s v="426610"/>
    <s v="Computer software licenses-Software License Renewal"/>
    <s v="847.8471230.1.426610.000000.847001.200179"/>
    <n v="14480"/>
    <n v="14480"/>
    <m/>
    <m/>
    <m/>
    <n v="14480"/>
    <x v="2"/>
  </r>
  <r>
    <s v="8471240"/>
    <s v="KUST - Student Success"/>
    <s v="425510"/>
    <s v="Conferences, seminars and exhibitions and other events: - Local Events"/>
    <s v="847.8471240.1.425510.000000.847001.200179"/>
    <n v="72587"/>
    <n v="72587"/>
    <n v="72508.75"/>
    <n v="0"/>
    <n v="0"/>
    <n v="78.25"/>
    <x v="2"/>
  </r>
  <r>
    <s v="8471240"/>
    <s v="KUST - Student Success"/>
    <s v="425720"/>
    <s v="Education-Outsourced training service"/>
    <s v="847.8471240.1.425720.000000.847001.200179"/>
    <n v="59520"/>
    <n v="13091"/>
    <n v="13780.58"/>
    <n v="0"/>
    <n v="0"/>
    <n v="12776.67"/>
    <x v="2"/>
  </r>
  <r>
    <s v="8471240"/>
    <s v="KUST - Student Success"/>
    <s v="425761"/>
    <s v="Student Field trips"/>
    <s v="847.8471240.1.425761.000000.847001.050584"/>
    <n v="700000"/>
    <n v="0"/>
    <m/>
    <m/>
    <m/>
    <n v="0"/>
    <x v="2"/>
  </r>
  <r>
    <s v="8471240"/>
    <s v="KUST - Student Success"/>
    <s v="425761"/>
    <s v="Student Field trips"/>
    <s v="847.8471240.1.425761.000000.847001.200179"/>
    <n v="1177351"/>
    <n v="343722"/>
    <n v="43722"/>
    <m/>
    <m/>
    <n v="300000"/>
    <x v="2"/>
  </r>
  <r>
    <s v="8471240"/>
    <s v="KUST - Student Success"/>
    <s v="425762"/>
    <s v="Student Internship"/>
    <s v="847.8471240.1.425762.000000.847001.050584"/>
    <n v="0"/>
    <n v="700000"/>
    <m/>
    <m/>
    <m/>
    <n v="700000"/>
    <x v="2"/>
  </r>
  <r>
    <s v="8471240"/>
    <s v="KUST - Student Success"/>
    <s v="425762"/>
    <s v="Student Internship"/>
    <s v="847.8471240.1.425762.000000.847001.200179"/>
    <n v="0"/>
    <n v="557351"/>
    <n v="485435.76"/>
    <m/>
    <m/>
    <n v="71915.240000000005"/>
    <x v="2"/>
  </r>
  <r>
    <s v="8471240"/>
    <s v="KUST - Student Success"/>
    <s v="425900"/>
    <s v="Entertainment and hospitality"/>
    <s v="847.8471240.1.425900.000000.847001.200179"/>
    <n v="3840"/>
    <n v="30118"/>
    <n v="20221.2"/>
    <m/>
    <m/>
    <n v="9896.7999999999993"/>
    <x v="2"/>
  </r>
  <r>
    <s v="8471240"/>
    <s v="KUST - Student Success"/>
    <s v="426610"/>
    <s v="Computer software licenses-Software License Renewal"/>
    <s v="847.8471240.1.426610.000000.847001.200179"/>
    <n v="362782"/>
    <n v="649211"/>
    <n v="639899.77"/>
    <n v="-217669.33"/>
    <n v="224199.2"/>
    <n v="2781.3599999999801"/>
    <x v="2"/>
  </r>
  <r>
    <s v="8471240"/>
    <s v="KUST - Student Success"/>
    <s v="427710"/>
    <s v="Subscriptions and membership fees: Trade organisations"/>
    <s v="847.8471240.1.427710.000000.847001.200179"/>
    <n v="11019"/>
    <n v="11019"/>
    <m/>
    <m/>
    <m/>
    <n v="11019"/>
    <x v="2"/>
  </r>
  <r>
    <s v="8471240"/>
    <s v="KUST - Student Success"/>
    <s v="428090"/>
    <s v="Business Travel - Combined expenses"/>
    <s v="847.8471240.1.428090.000000.847001.200179"/>
    <n v="20092"/>
    <n v="30092"/>
    <n v="23224.2"/>
    <m/>
    <m/>
    <n v="6867.8"/>
    <x v="2"/>
  </r>
  <r>
    <s v="8471250"/>
    <s v="KUST - Career Services"/>
    <s v="425510"/>
    <s v="Conferences, seminars and exhibitions and other events: - Local Events"/>
    <s v="847.8471250.1.425510.000000.847001.050584"/>
    <n v="300000"/>
    <n v="300000"/>
    <m/>
    <n v="0"/>
    <n v="202500"/>
    <n v="97500"/>
    <x v="2"/>
  </r>
  <r>
    <s v="8471250"/>
    <s v="KUST - Career Services"/>
    <s v="425510"/>
    <s v="Conferences, seminars and exhibitions and other events: - Local Events"/>
    <s v="847.8471250.1.425510.000000.847001.050585"/>
    <n v="350000"/>
    <n v="350000"/>
    <n v="75400"/>
    <n v="0"/>
    <n v="188000"/>
    <n v="86600"/>
    <x v="2"/>
  </r>
  <r>
    <s v="8471250"/>
    <s v="KUST - Career Services"/>
    <s v="425510"/>
    <s v="Conferences, seminars and exhibitions and other events: - Local Events"/>
    <s v="847.8471250.1.425510.000000.847001.200179"/>
    <n v="1277041"/>
    <n v="1239541"/>
    <n v="125598"/>
    <n v="663275"/>
    <n v="200000"/>
    <n v="250668"/>
    <x v="2"/>
  </r>
  <r>
    <s v="8471250"/>
    <s v="KUST - Career Services"/>
    <s v="425761"/>
    <s v="Student Field trips"/>
    <s v="847.8471250.1.425761.000000.847001.200179"/>
    <n v="0"/>
    <n v="4335"/>
    <n v="4335"/>
    <m/>
    <m/>
    <n v="0"/>
    <x v="2"/>
  </r>
  <r>
    <s v="8471250"/>
    <s v="KUST - Career Services"/>
    <s v="425762"/>
    <s v="Student Internship"/>
    <s v="847.8471250.1.425762.000000.847001.050584"/>
    <n v="750000"/>
    <n v="750000"/>
    <n v="747917.75"/>
    <m/>
    <m/>
    <n v="2082.25"/>
    <x v="2"/>
  </r>
  <r>
    <s v="8471250"/>
    <s v="KUST - Career Services"/>
    <s v="425762"/>
    <s v="Student Internship"/>
    <s v="847.8471250.1.425762.000000.847001.200179"/>
    <n v="1233338"/>
    <n v="891853"/>
    <n v="3572.25"/>
    <n v="0"/>
    <m/>
    <n v="888280.75"/>
    <x v="2"/>
  </r>
  <r>
    <s v="8471250"/>
    <s v="KUST - Career Services"/>
    <s v="425900"/>
    <s v="Entertainment and hospitality"/>
    <s v="847.8471250.1.425900.000000.847001.200179"/>
    <n v="12375"/>
    <n v="1050"/>
    <n v="1050"/>
    <m/>
    <m/>
    <n v="0"/>
    <x v="2"/>
  </r>
  <r>
    <s v="8471250"/>
    <s v="KUST - Career Services"/>
    <s v="426610"/>
    <s v="Computer software licenses-Software License Renewal"/>
    <s v="847.8471250.1.426610.000000.847001.050585"/>
    <n v="300000"/>
    <n v="300000"/>
    <m/>
    <n v="300000"/>
    <m/>
    <n v="0"/>
    <x v="2"/>
  </r>
  <r>
    <s v="8471250"/>
    <s v="KUST - Career Services"/>
    <s v="426610"/>
    <s v="Computer software licenses-Software License Renewal"/>
    <s v="847.8471250.1.426610.000000.847001.200179"/>
    <n v="360605"/>
    <n v="340605"/>
    <m/>
    <n v="72961.33"/>
    <n v="43892.35"/>
    <n v="223751.32"/>
    <x v="2"/>
  </r>
  <r>
    <s v="8471250"/>
    <s v="KUST - Career Services"/>
    <s v="428090"/>
    <s v="Business Travel - Combined expenses"/>
    <s v="847.8471250.1.428090.000000.847001.200179"/>
    <n v="0"/>
    <n v="88000"/>
    <n v="62581.85"/>
    <m/>
    <m/>
    <n v="25418.15"/>
    <x v="2"/>
  </r>
  <r>
    <s v="8471250"/>
    <s v="KUST - Career Services"/>
    <s v="436110"/>
    <s v="Printing supplies"/>
    <s v="847.8471250.1.436110.000000.847001.200179"/>
    <n v="0"/>
    <n v="11890"/>
    <n v="11775"/>
    <n v="0"/>
    <n v="0"/>
    <n v="115"/>
    <x v="2"/>
  </r>
  <r>
    <s v="8471260"/>
    <s v="KUST - Student Life"/>
    <s v="421100"/>
    <s v="Manpower supply &quot;Other Than IT Related&quot;"/>
    <s v="847.8471260.1.421100.000000.847001.200179"/>
    <m/>
    <m/>
    <n v="0"/>
    <m/>
    <m/>
    <n v="0"/>
    <x v="2"/>
  </r>
  <r>
    <s v="8471260"/>
    <s v="KUST - Student Life"/>
    <s v="425510"/>
    <s v="Conferences, seminars and exhibitions and other events: - Local Events"/>
    <s v="847.8471260.1.425510.000000.847001.200179"/>
    <n v="83642"/>
    <n v="83642"/>
    <n v="7084.79"/>
    <n v="0"/>
    <n v="24500"/>
    <n v="52057.21"/>
    <x v="2"/>
  </r>
  <r>
    <s v="8471260"/>
    <s v="KUST - Student Life"/>
    <s v="425746"/>
    <s v="Student Transport"/>
    <s v="847.8471260.1.425746.000000.847001.200179"/>
    <n v="13916828"/>
    <n v="15416828"/>
    <n v="6528403.9800000004"/>
    <n v="0"/>
    <n v="7983140.1799999997"/>
    <n v="905283.83999999799"/>
    <x v="2"/>
  </r>
  <r>
    <s v="8471260"/>
    <s v="KUST - Student Life"/>
    <s v="425747"/>
    <s v="Student Accommodation"/>
    <s v="847.8471260.1.425747.000000.847001.200179"/>
    <n v="580994"/>
    <n v="420994"/>
    <n v="136526.22"/>
    <n v="0"/>
    <n v="0"/>
    <n v="284467.78000000003"/>
    <x v="2"/>
  </r>
  <r>
    <s v="8471260"/>
    <s v="KUST - Student Life"/>
    <s v="425760"/>
    <s v="Student activities &amp; field trip expenses"/>
    <s v="847.8471260.1.425760.000000.847001.200179"/>
    <n v="508333"/>
    <n v="674211"/>
    <n v="361337.25"/>
    <n v="123000"/>
    <n v="50000"/>
    <n v="139873.75"/>
    <x v="2"/>
  </r>
  <r>
    <s v="8471260"/>
    <s v="KUST - Student Life"/>
    <s v="425900"/>
    <s v="Entertainment and hospitality"/>
    <s v="847.8471260.1.425900.000000.847001.200179"/>
    <n v="27460"/>
    <n v="135910"/>
    <n v="79031.5"/>
    <m/>
    <m/>
    <n v="56878.5"/>
    <x v="2"/>
  </r>
  <r>
    <s v="8471260"/>
    <s v="KUST - Student Life"/>
    <s v="428640"/>
    <s v="Events - Awards, prizes &amp; gifts"/>
    <s v="847.8471260.1.428640.000000.847001.200179"/>
    <n v="12800"/>
    <n v="12800"/>
    <n v="8221.34"/>
    <m/>
    <m/>
    <n v="4578.66"/>
    <x v="2"/>
  </r>
  <r>
    <s v="8471260"/>
    <s v="KUST - Student Life"/>
    <s v="429900"/>
    <s v="Other services, not specifically mentioned elsewhere"/>
    <s v="847.8471260.1.429900.000000.847001.200179"/>
    <n v="0"/>
    <n v="324000"/>
    <n v="160130"/>
    <m/>
    <m/>
    <n v="163870"/>
    <x v="2"/>
  </r>
  <r>
    <s v="8471260"/>
    <s v="KUST - Student Life"/>
    <s v="435530"/>
    <s v="School consumables, not specifically mentioned elsewhere"/>
    <s v="847.8471260.1.435530.000000.847001.200179"/>
    <n v="8518"/>
    <n v="38518"/>
    <n v="3149.85"/>
    <n v="33212"/>
    <n v="0"/>
    <n v="2156.1499999999901"/>
    <x v="2"/>
  </r>
  <r>
    <s v="8471260"/>
    <s v="KUST - Student Life"/>
    <s v="436110"/>
    <s v="Printing supplies"/>
    <s v="847.8471260.1.436110.000000.847001.200179"/>
    <n v="5952"/>
    <n v="5952"/>
    <n v="5088.51"/>
    <m/>
    <m/>
    <n v="863.49"/>
    <x v="2"/>
  </r>
  <r>
    <s v="8471270"/>
    <s v="KUST - Libraries"/>
    <s v="425900"/>
    <s v="Entertainment and hospitality"/>
    <s v="847.8471270.1.425900.000000.847001.200179"/>
    <n v="2961"/>
    <n v="2961"/>
    <n v="708.75"/>
    <m/>
    <m/>
    <n v="2252.25"/>
    <x v="2"/>
  </r>
  <r>
    <s v="8471270"/>
    <s v="KUST - Libraries"/>
    <s v="435330"/>
    <s v="Library books"/>
    <s v="847.8471270.1.435330.000000.847001.050589"/>
    <n v="0"/>
    <n v="500000"/>
    <n v="246832.36"/>
    <n v="252920"/>
    <n v="0"/>
    <n v="247.63999999998501"/>
    <x v="2"/>
  </r>
  <r>
    <s v="8471270"/>
    <s v="KUST - Libraries"/>
    <s v="435330"/>
    <s v="Library books"/>
    <s v="847.8471270.1.435330.000000.847001.200179"/>
    <n v="14472062"/>
    <n v="14988862"/>
    <n v="14280307.42"/>
    <n v="-40.459999999962697"/>
    <n v="638680.450000001"/>
    <n v="69914.589999998105"/>
    <x v="2"/>
  </r>
  <r>
    <s v="8471280"/>
    <s v="KUST - Center for Teaching &amp; Learning"/>
    <s v="425100"/>
    <s v="Advertising Services (General)"/>
    <s v="847.8471280.1.425100.000000.847001.200179"/>
    <n v="0"/>
    <n v="110000"/>
    <m/>
    <m/>
    <m/>
    <n v="110000"/>
    <x v="2"/>
  </r>
  <r>
    <s v="8471280"/>
    <s v="KUST - Center for Teaching &amp; Learning"/>
    <s v="425510"/>
    <s v="Conferences, seminars and exhibitions and other events: - Local Events"/>
    <s v="847.8471280.1.425510.000000.847001.200179"/>
    <n v="32760"/>
    <n v="180637"/>
    <n v="114565.58"/>
    <n v="0"/>
    <n v="0"/>
    <n v="66071.42"/>
    <x v="2"/>
  </r>
  <r>
    <s v="8471280"/>
    <s v="KUST - Center for Teaching &amp; Learning"/>
    <s v="425550"/>
    <s v="Conferences, seminars and exhibitions and other events: - Overseas event"/>
    <s v="847.8471280.1.425550.000000.847001.200179"/>
    <n v="28417"/>
    <n v="128417"/>
    <n v="23267.09"/>
    <m/>
    <m/>
    <n v="105149.91"/>
    <x v="2"/>
  </r>
  <r>
    <s v="8471280"/>
    <s v="KUST - Center for Teaching &amp; Learning"/>
    <s v="425710"/>
    <s v="Higher education and specialisation incentives"/>
    <s v="847.8471280.1.425710.000000.847001.200179"/>
    <n v="112500"/>
    <n v="112500"/>
    <m/>
    <m/>
    <m/>
    <n v="112500"/>
    <x v="2"/>
  </r>
  <r>
    <s v="8471280"/>
    <s v="KUST - Center for Teaching &amp; Learning"/>
    <s v="425720"/>
    <s v="Education-Outsourced training service"/>
    <s v="847.8471280.1.425720.000000.847001.200179"/>
    <n v="0"/>
    <n v="664480"/>
    <n v="337257.5"/>
    <n v="0"/>
    <n v="0"/>
    <n v="327222.5"/>
    <x v="2"/>
  </r>
  <r>
    <s v="8471280"/>
    <s v="KUST - Center for Teaching &amp; Learning"/>
    <s v="425760"/>
    <s v="Student activities &amp; field trip expenses"/>
    <s v="847.8471280.1.425760.000000.847001.200179"/>
    <n v="13140"/>
    <n v="13140"/>
    <n v="5131"/>
    <m/>
    <m/>
    <n v="8009"/>
    <x v="2"/>
  </r>
  <r>
    <s v="8471280"/>
    <s v="KUST - Center for Teaching &amp; Learning"/>
    <s v="425770"/>
    <s v="Academic Missions - Combined expenses"/>
    <s v="847.8471280.1.425770.000000.847001.200179"/>
    <n v="66000"/>
    <n v="0"/>
    <m/>
    <m/>
    <m/>
    <n v="0"/>
    <x v="2"/>
  </r>
  <r>
    <s v="8471280"/>
    <s v="KUST - Center for Teaching &amp; Learning"/>
    <s v="425900"/>
    <s v="Entertainment and hospitality"/>
    <s v="847.8471280.1.425900.000000.847001.200179"/>
    <n v="0"/>
    <n v="535844"/>
    <n v="137727.25"/>
    <m/>
    <m/>
    <n v="398116.75"/>
    <x v="2"/>
  </r>
  <r>
    <s v="8471280"/>
    <s v="KUST - Center for Teaching &amp; Learning"/>
    <s v="426610"/>
    <s v="Computer software licenses-Software License Renewal"/>
    <s v="847.8471280.1.426610.000000.847001.200179"/>
    <n v="282200"/>
    <n v="312200"/>
    <n v="201236.45"/>
    <n v="29200"/>
    <n v="79753.87"/>
    <n v="2009.6800000000401"/>
    <x v="2"/>
  </r>
  <r>
    <s v="8471280"/>
    <s v="KUST - Center for Teaching &amp; Learning"/>
    <s v="427710"/>
    <s v="Subscriptions and membership fees: Trade organisations"/>
    <s v="847.8471280.1.427710.000000.847001.200179"/>
    <n v="0"/>
    <n v="5000"/>
    <n v="1775.04"/>
    <m/>
    <m/>
    <n v="3224.96"/>
    <x v="2"/>
  </r>
  <r>
    <s v="8471280"/>
    <s v="KUST - Center for Teaching &amp; Learning"/>
    <s v="428640"/>
    <s v="Events - Awards, prizes &amp; gifts"/>
    <s v="847.8471280.1.428640.000000.847001.200179"/>
    <n v="0"/>
    <n v="40000"/>
    <n v="6250"/>
    <n v="0"/>
    <n v="31000"/>
    <n v="2750"/>
    <x v="2"/>
  </r>
  <r>
    <s v="8471280"/>
    <s v="KUST - Center for Teaching &amp; Learning"/>
    <s v="435340"/>
    <s v="Text books and library books"/>
    <s v="847.8471280.1.435340.000000.847001.200179"/>
    <n v="0"/>
    <n v="5539833"/>
    <m/>
    <n v="2"/>
    <m/>
    <n v="5539831"/>
    <x v="2"/>
  </r>
  <r>
    <s v="8471280"/>
    <s v="KUST - Center for Teaching &amp; Learning"/>
    <s v="435530"/>
    <s v="School consumables, not specifically mentioned elsewhere"/>
    <s v="847.8471280.1.435530.000000.847001.200179"/>
    <n v="763"/>
    <n v="763"/>
    <m/>
    <m/>
    <m/>
    <n v="763"/>
    <x v="2"/>
  </r>
  <r>
    <s v="8471280"/>
    <s v="KUST - Center for Teaching &amp; Learning"/>
    <s v="436110"/>
    <s v="Printing supplies"/>
    <s v="847.8471280.1.436110.000000.847001.200179"/>
    <n v="0"/>
    <n v="154200"/>
    <n v="9300"/>
    <n v="0"/>
    <n v="3420"/>
    <n v="141480"/>
    <x v="2"/>
  </r>
  <r>
    <s v="8471305"/>
    <s v="KUST - Dean Of Medicine"/>
    <s v="420570"/>
    <s v="Academic Collaborative Partnership Services"/>
    <s v="847.8471305.1.420570.000000.847001.200179"/>
    <n v="35155240"/>
    <n v="30155240"/>
    <m/>
    <n v="0"/>
    <n v="750000"/>
    <n v="29405240"/>
    <x v="2"/>
  </r>
  <r>
    <s v="8471305"/>
    <s v="KUST - Dean Of Medicine"/>
    <s v="421000"/>
    <s v="Management consultancy"/>
    <s v="847.8471305.1.421000.000000.847001.200179"/>
    <n v="147834"/>
    <n v="147834"/>
    <n v="118270.6"/>
    <n v="0"/>
    <n v="0"/>
    <n v="29563.4"/>
    <x v="2"/>
  </r>
  <r>
    <s v="8471305"/>
    <s v="KUST - Dean Of Medicine"/>
    <s v="421700"/>
    <s v="Standards Certification Services (e.g. ISO)"/>
    <s v="847.8471305.1.421700.000000.847001.200179"/>
    <n v="73837"/>
    <n v="73837"/>
    <m/>
    <m/>
    <m/>
    <n v="73837"/>
    <x v="2"/>
  </r>
  <r>
    <s v="8471305"/>
    <s v="KUST - Dean Of Medicine"/>
    <s v="425510"/>
    <s v="Conferences, seminars and exhibitions and other events: - Local Events"/>
    <s v="847.8471305.1.425510.000000.847001.200179"/>
    <n v="343341"/>
    <n v="1043341"/>
    <n v="401252.85"/>
    <n v="0"/>
    <n v="0"/>
    <n v="642088.15"/>
    <x v="2"/>
  </r>
  <r>
    <s v="8471305"/>
    <s v="KUST - Dean Of Medicine"/>
    <s v="425550"/>
    <s v="Conferences, seminars and exhibitions and other events: - Overseas event"/>
    <s v="847.8471305.1.425550.000000.847001.200179"/>
    <n v="388107"/>
    <n v="538107"/>
    <n v="440947.53"/>
    <m/>
    <m/>
    <n v="97159.470000000103"/>
    <x v="2"/>
  </r>
  <r>
    <s v="8471305"/>
    <s v="KUST - Dean Of Medicine"/>
    <s v="425720"/>
    <s v="Education-Outsourced training service"/>
    <s v="847.8471305.1.425720.000000.847001.200179"/>
    <n v="1840471"/>
    <n v="1816965"/>
    <n v="1645465.81"/>
    <n v="-460470.1"/>
    <n v="101500"/>
    <n v="530469.29"/>
    <x v="2"/>
  </r>
  <r>
    <s v="8471305"/>
    <s v="KUST - Dean Of Medicine"/>
    <s v="425742"/>
    <s v="Enrollment expenses"/>
    <s v="847.8471305.1.425742.000000.847001.200179"/>
    <n v="178785"/>
    <n v="178785"/>
    <n v="39452.76"/>
    <m/>
    <m/>
    <n v="139332.24"/>
    <x v="2"/>
  </r>
  <r>
    <s v="8471305"/>
    <s v="KUST - Dean Of Medicine"/>
    <s v="425744"/>
    <s v="Student medical insurance"/>
    <s v="847.8471305.1.425744.000000.847001.200179"/>
    <n v="100002"/>
    <n v="193002"/>
    <n v="183332.87"/>
    <m/>
    <m/>
    <n v="9669.1299999999992"/>
    <x v="2"/>
  </r>
  <r>
    <s v="8471305"/>
    <s v="KUST - Dean Of Medicine"/>
    <s v="425745"/>
    <s v="Student relocation &amp; travel exps"/>
    <s v="847.8471305.1.425745.000000.847001.200179"/>
    <n v="54543"/>
    <n v="54543"/>
    <m/>
    <m/>
    <m/>
    <n v="54543"/>
    <x v="2"/>
  </r>
  <r>
    <s v="8471305"/>
    <s v="KUST - Dean Of Medicine"/>
    <s v="425749"/>
    <s v="Postgraduate Student Salaries"/>
    <s v="847.8471305.1.425749.000000.847001.200179"/>
    <n v="40876000"/>
    <n v="32783000"/>
    <n v="21113466.75"/>
    <m/>
    <m/>
    <n v="11669533.25"/>
    <x v="2"/>
  </r>
  <r>
    <s v="8471305"/>
    <s v="KUST - Dean Of Medicine"/>
    <s v="425750"/>
    <s v="Skill assessment service"/>
    <s v="847.8471305.1.425750.000000.847001.200179"/>
    <n v="179593"/>
    <n v="219593"/>
    <n v="177907.76"/>
    <n v="13039.15"/>
    <m/>
    <n v="28646.09"/>
    <x v="2"/>
  </r>
  <r>
    <s v="8471305"/>
    <s v="KUST - Dean Of Medicine"/>
    <s v="425762"/>
    <s v="Student Internship"/>
    <s v="847.8471305.1.425762.000000.847001.200179"/>
    <n v="500000"/>
    <n v="2225000"/>
    <n v="1843235.48"/>
    <m/>
    <m/>
    <n v="381764.52"/>
    <x v="2"/>
  </r>
  <r>
    <s v="8471305"/>
    <s v="KUST - Dean Of Medicine"/>
    <s v="425763"/>
    <s v="Student Project Expenses"/>
    <s v="847.8471305.1.425763.000000.847001.200179"/>
    <n v="2940"/>
    <n v="2940"/>
    <m/>
    <m/>
    <m/>
    <n v="2940"/>
    <x v="2"/>
  </r>
  <r>
    <s v="8471305"/>
    <s v="KUST - Dean Of Medicine"/>
    <s v="425770"/>
    <s v="Academic Missions - Combined expenses"/>
    <s v="847.8471305.1.425770.000000.847001.200179"/>
    <n v="0"/>
    <n v="350000"/>
    <n v="2750"/>
    <m/>
    <m/>
    <n v="347250"/>
    <x v="2"/>
  </r>
  <r>
    <s v="8471305"/>
    <s v="KUST - Dean Of Medicine"/>
    <s v="425900"/>
    <s v="Entertainment and hospitality"/>
    <s v="847.8471305.1.425900.000000.847001.200179"/>
    <n v="58984"/>
    <n v="58984"/>
    <n v="41775.019999999997"/>
    <m/>
    <m/>
    <n v="17208.98"/>
    <x v="2"/>
  </r>
  <r>
    <s v="8471305"/>
    <s v="KUST - Dean Of Medicine"/>
    <s v="426610"/>
    <s v="Computer software licenses-Software License Renewal"/>
    <s v="847.8471305.1.426610.000000.847001.200179"/>
    <n v="2862530"/>
    <n v="977363"/>
    <n v="617020.71"/>
    <n v="0"/>
    <n v="261032.35"/>
    <n v="99309.940000000104"/>
    <x v="2"/>
  </r>
  <r>
    <s v="8471305"/>
    <s v="KUST - Dean Of Medicine"/>
    <s v="426900"/>
    <s v="Postal, courier and other document delivery expenses"/>
    <s v="847.8471305.1.426900.000000.847001.200179"/>
    <n v="5000"/>
    <n v="5000"/>
    <m/>
    <n v="0"/>
    <n v="1440"/>
    <n v="3560"/>
    <x v="2"/>
  </r>
  <r>
    <s v="8471305"/>
    <s v="KUST - Dean Of Medicine"/>
    <s v="427710"/>
    <s v="Subscriptions and membership fees: Trade organisations"/>
    <s v="847.8471305.1.427710.000000.847001.200179"/>
    <n v="50517"/>
    <n v="50517"/>
    <n v="47196.29"/>
    <n v="0"/>
    <n v="0"/>
    <n v="3320.71000000001"/>
    <x v="2"/>
  </r>
  <r>
    <s v="8471305"/>
    <s v="KUST - Dean Of Medicine"/>
    <s v="428090"/>
    <s v="Business Travel - Combined expenses"/>
    <s v="847.8471305.1.428090.000000.847001.200179"/>
    <n v="43038"/>
    <n v="400000"/>
    <n v="122468.93"/>
    <m/>
    <m/>
    <n v="277531.07"/>
    <x v="2"/>
  </r>
  <r>
    <s v="8471305"/>
    <s v="KUST - Dean Of Medicine"/>
    <s v="428640"/>
    <s v="Events - Awards, prizes &amp; gifts"/>
    <s v="847.8471305.1.428640.000000.847001.200179"/>
    <n v="2820"/>
    <n v="2820"/>
    <n v="1040"/>
    <m/>
    <m/>
    <n v="1780"/>
    <x v="2"/>
  </r>
  <r>
    <s v="8471305"/>
    <s v="KUST - Dean Of Medicine"/>
    <s v="432205"/>
    <s v="Maintenance: Computers and peripherals-End user and Infrastructure components maintenance and support"/>
    <s v="847.8471305.1.432205.000000.847001.200179"/>
    <n v="522981"/>
    <n v="897981"/>
    <m/>
    <n v="206000"/>
    <n v="387000"/>
    <n v="304981"/>
    <x v="2"/>
  </r>
  <r>
    <s v="8471305"/>
    <s v="KUST - Dean Of Medicine"/>
    <s v="432209"/>
    <s v="Laboratory Equipment maintenance"/>
    <s v="847.8471305.1.432209.000000.847001.200179"/>
    <n v="570373"/>
    <n v="570373"/>
    <n v="41064.5"/>
    <n v="-4021"/>
    <n v="167660"/>
    <n v="365669.5"/>
    <x v="2"/>
  </r>
  <r>
    <s v="8471305"/>
    <s v="KUST - Dean Of Medicine"/>
    <s v="435330"/>
    <s v="Library books"/>
    <s v="847.8471305.1.435330.000000.847001.200179"/>
    <n v="731845"/>
    <n v="1291904"/>
    <n v="786898.17"/>
    <n v="-142768.5"/>
    <n v="143648.67000000001"/>
    <n v="504125.66"/>
    <x v="2"/>
  </r>
  <r>
    <s v="8471305"/>
    <s v="KUST - Dean Of Medicine"/>
    <s v="435340"/>
    <s v="Text books and library books"/>
    <s v="847.8471305.1.435340.000000.847001.200179"/>
    <n v="306"/>
    <n v="306"/>
    <m/>
    <m/>
    <m/>
    <n v="306"/>
    <x v="2"/>
  </r>
  <r>
    <s v="8471305"/>
    <s v="KUST - Dean Of Medicine"/>
    <s v="435350"/>
    <s v="Academic Publications"/>
    <s v="847.8471305.1.435350.000000.847001.200179"/>
    <n v="304395"/>
    <n v="357401"/>
    <n v="252993.32"/>
    <n v="0"/>
    <m/>
    <n v="104407.67999999999"/>
    <x v="2"/>
  </r>
  <r>
    <s v="8471305"/>
    <s v="KUST - Dean Of Medicine"/>
    <s v="435508"/>
    <s v="Laboratory - Scientific"/>
    <s v="847.8471305.1.435508.000000.847001.200179"/>
    <n v="2000000"/>
    <n v="2600000"/>
    <n v="1221068.43"/>
    <n v="700618.8"/>
    <n v="427962.55"/>
    <n v="250350.22"/>
    <x v="2"/>
  </r>
  <r>
    <s v="8471305"/>
    <s v="KUST - Dean Of Medicine"/>
    <s v="435530"/>
    <s v="School consumables, not specifically mentioned elsewhere"/>
    <s v="847.8471305.1.435530.000000.847001.200179"/>
    <n v="5000"/>
    <n v="5000"/>
    <n v="240"/>
    <m/>
    <m/>
    <n v="4760"/>
    <x v="2"/>
  </r>
  <r>
    <s v="8471305"/>
    <s v="KUST - Dean Of Medicine"/>
    <s v="436120"/>
    <s v="Stationery"/>
    <s v="847.8471305.1.436120.000000.847001.200179"/>
    <n v="3166"/>
    <n v="3166"/>
    <n v="535.9"/>
    <m/>
    <m/>
    <n v="2630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097EE-4C3A-4D38-88C6-CECDF5887B7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0" firstDataRow="1" firstDataCol="1"/>
  <pivotFields count="12"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numFmtId="3" showAll="0"/>
    <pivotField axis="axisRow" showAll="0">
      <items count="4">
        <item x="2"/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Annual Budget" fld="5" baseField="0" baseItem="0"/>
    <dataField name="Sum of Revised Budget" fld="6" baseField="0" baseItem="0"/>
    <dataField name="Sum of Actual Amount" fld="7" baseField="0" baseItem="0"/>
    <dataField name="Sum of PR" fld="8" baseField="0" baseItem="0"/>
    <dataField name="Sum of PO" fld="9" baseField="0" baseItem="0"/>
    <dataField name="Sum of Fund Availabl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713C-4D6D-4890-9C8D-2357AF231333}">
  <dimension ref="A3:G12"/>
  <sheetViews>
    <sheetView workbookViewId="0">
      <selection activeCell="B14" sqref="B14"/>
    </sheetView>
  </sheetViews>
  <sheetFormatPr defaultRowHeight="14.5" x14ac:dyDescent="0.35"/>
  <cols>
    <col min="1" max="1" width="13.7265625" bestFit="1" customWidth="1"/>
    <col min="2" max="2" width="19.6328125" bestFit="1" customWidth="1"/>
    <col min="3" max="3" width="20.08984375" bestFit="1" customWidth="1"/>
    <col min="4" max="4" width="19.90625" bestFit="1" customWidth="1"/>
    <col min="5" max="6" width="13.81640625" bestFit="1" customWidth="1"/>
    <col min="7" max="7" width="19.54296875" bestFit="1" customWidth="1"/>
  </cols>
  <sheetData>
    <row r="3" spans="1:7" x14ac:dyDescent="0.35">
      <c r="A3" s="11" t="s">
        <v>765</v>
      </c>
      <c r="B3" t="s">
        <v>766</v>
      </c>
      <c r="C3" t="s">
        <v>767</v>
      </c>
      <c r="D3" t="s">
        <v>768</v>
      </c>
      <c r="E3" t="s">
        <v>769</v>
      </c>
      <c r="F3" t="s">
        <v>770</v>
      </c>
      <c r="G3" t="s">
        <v>771</v>
      </c>
    </row>
    <row r="4" spans="1:7" x14ac:dyDescent="0.35">
      <c r="A4" s="12" t="s">
        <v>764</v>
      </c>
      <c r="B4" s="13">
        <v>323989165</v>
      </c>
      <c r="C4" s="13">
        <v>312333791</v>
      </c>
      <c r="D4" s="13">
        <v>171270846.50999999</v>
      </c>
      <c r="E4" s="13">
        <v>1739139.77</v>
      </c>
      <c r="F4" s="13">
        <v>14298975.91</v>
      </c>
      <c r="G4" s="13">
        <v>125029882.73999996</v>
      </c>
    </row>
    <row r="5" spans="1:7" x14ac:dyDescent="0.35">
      <c r="A5" s="12" t="s">
        <v>762</v>
      </c>
      <c r="B5" s="13">
        <v>283335302</v>
      </c>
      <c r="C5" s="13">
        <v>286176277</v>
      </c>
      <c r="D5" s="13">
        <v>140617474.88</v>
      </c>
      <c r="E5" s="13">
        <v>13442090.66</v>
      </c>
      <c r="F5" s="13">
        <v>26667716.259999994</v>
      </c>
      <c r="G5" s="13">
        <v>105265588.81000002</v>
      </c>
    </row>
    <row r="6" spans="1:7" x14ac:dyDescent="0.35">
      <c r="A6" s="12" t="s">
        <v>763</v>
      </c>
      <c r="B6" s="13">
        <v>104675533</v>
      </c>
      <c r="C6" s="13">
        <v>113489932</v>
      </c>
      <c r="D6" s="13">
        <v>76429823.039999992</v>
      </c>
      <c r="E6" s="13">
        <v>-1758342.6300000001</v>
      </c>
      <c r="F6" s="13">
        <v>11850287</v>
      </c>
      <c r="G6" s="13">
        <v>26993756.710000027</v>
      </c>
    </row>
    <row r="7" spans="1:7" x14ac:dyDescent="0.35">
      <c r="A7" s="12" t="s">
        <v>760</v>
      </c>
      <c r="B7" s="13">
        <v>712000000</v>
      </c>
      <c r="C7" s="13">
        <v>712000000</v>
      </c>
      <c r="D7" s="13">
        <v>388318144.42999995</v>
      </c>
      <c r="E7" s="13">
        <v>13422887.799999999</v>
      </c>
      <c r="F7" s="13">
        <v>52816979.169999994</v>
      </c>
      <c r="G7" s="13">
        <v>257289228.26000002</v>
      </c>
    </row>
    <row r="9" spans="1:7" x14ac:dyDescent="0.35">
      <c r="D9" s="13">
        <f>D4+E4+F4</f>
        <v>187308962.19</v>
      </c>
    </row>
    <row r="10" spans="1:7" x14ac:dyDescent="0.35">
      <c r="D10" s="13">
        <f t="shared" ref="D10:D12" si="0">D5+E5+F5</f>
        <v>180727281.79999998</v>
      </c>
    </row>
    <row r="11" spans="1:7" x14ac:dyDescent="0.35">
      <c r="D11" s="13">
        <f t="shared" si="0"/>
        <v>86521767.409999996</v>
      </c>
    </row>
    <row r="12" spans="1:7" x14ac:dyDescent="0.35">
      <c r="D12" s="13">
        <f t="shared" si="0"/>
        <v>454558011.39999998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2"/>
  <sheetViews>
    <sheetView showGridLines="0" tabSelected="1" topLeftCell="A466" workbookViewId="0">
      <selection activeCell="B4" sqref="B4:L478"/>
    </sheetView>
  </sheetViews>
  <sheetFormatPr defaultRowHeight="14.5" x14ac:dyDescent="0.35"/>
  <cols>
    <col min="1" max="1" width="24" customWidth="1"/>
    <col min="2" max="2" width="7.26953125" customWidth="1"/>
    <col min="3" max="3" width="12" customWidth="1"/>
    <col min="4" max="4" width="6.90625" customWidth="1"/>
    <col min="5" max="5" width="22.08984375" customWidth="1"/>
    <col min="6" max="6" width="33.54296875" customWidth="1"/>
    <col min="7" max="9" width="9.81640625" customWidth="1"/>
    <col min="10" max="10" width="8.81640625" customWidth="1"/>
    <col min="11" max="11" width="9" customWidth="1"/>
    <col min="12" max="12" width="9.81640625" customWidth="1"/>
  </cols>
  <sheetData>
    <row r="1" spans="1:13" x14ac:dyDescent="0.35">
      <c r="A1" s="1" t="s">
        <v>0</v>
      </c>
    </row>
    <row r="2" spans="1:13" x14ac:dyDescent="0.35">
      <c r="A2" s="2" t="s">
        <v>1</v>
      </c>
    </row>
    <row r="3" spans="1:13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0" t="s">
        <v>761</v>
      </c>
    </row>
    <row r="4" spans="1:13" ht="21" x14ac:dyDescent="0.35">
      <c r="A4" s="1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0</v>
      </c>
      <c r="H4" s="5">
        <v>500000</v>
      </c>
      <c r="I4" s="6"/>
      <c r="J4" s="6"/>
      <c r="K4" s="6"/>
      <c r="L4" s="5">
        <v>500000</v>
      </c>
      <c r="M4" t="s">
        <v>762</v>
      </c>
    </row>
    <row r="5" spans="1:13" ht="31.5" x14ac:dyDescent="0.35">
      <c r="A5" s="15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52920</v>
      </c>
      <c r="H5" s="5">
        <v>52920</v>
      </c>
      <c r="I5" s="5">
        <v>10530</v>
      </c>
      <c r="J5" s="6"/>
      <c r="K5" s="6"/>
      <c r="L5" s="5">
        <v>42390</v>
      </c>
      <c r="M5" t="s">
        <v>762</v>
      </c>
    </row>
    <row r="6" spans="1:13" ht="31.5" x14ac:dyDescent="0.35">
      <c r="A6" s="15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22225</v>
      </c>
      <c r="H6" s="5">
        <v>22225</v>
      </c>
      <c r="I6" s="5">
        <v>3300</v>
      </c>
      <c r="J6" s="6"/>
      <c r="K6" s="6"/>
      <c r="L6" s="5">
        <v>18925</v>
      </c>
      <c r="M6" t="s">
        <v>762</v>
      </c>
    </row>
    <row r="7" spans="1:13" ht="21" x14ac:dyDescent="0.35">
      <c r="A7" s="15"/>
      <c r="B7" s="4" t="s">
        <v>15</v>
      </c>
      <c r="C7" s="4" t="s">
        <v>16</v>
      </c>
      <c r="D7" s="4" t="s">
        <v>26</v>
      </c>
      <c r="E7" s="4" t="s">
        <v>27</v>
      </c>
      <c r="F7" s="4" t="s">
        <v>28</v>
      </c>
      <c r="G7" s="5">
        <v>14286</v>
      </c>
      <c r="H7" s="5">
        <v>318000</v>
      </c>
      <c r="I7" s="5">
        <v>49961.75</v>
      </c>
      <c r="J7" s="6"/>
      <c r="K7" s="6"/>
      <c r="L7" s="5">
        <v>268038.25</v>
      </c>
      <c r="M7" t="s">
        <v>762</v>
      </c>
    </row>
    <row r="8" spans="1:13" ht="21" x14ac:dyDescent="0.35">
      <c r="A8" s="15"/>
      <c r="B8" s="4" t="s">
        <v>15</v>
      </c>
      <c r="C8" s="4" t="s">
        <v>16</v>
      </c>
      <c r="D8" s="4" t="s">
        <v>29</v>
      </c>
      <c r="E8" s="4" t="s">
        <v>30</v>
      </c>
      <c r="F8" s="4" t="s">
        <v>31</v>
      </c>
      <c r="G8" s="5">
        <v>0</v>
      </c>
      <c r="H8" s="5">
        <v>2000</v>
      </c>
      <c r="I8" s="6"/>
      <c r="J8" s="5">
        <v>600</v>
      </c>
      <c r="K8" s="6"/>
      <c r="L8" s="5">
        <v>1400</v>
      </c>
      <c r="M8" t="s">
        <v>762</v>
      </c>
    </row>
    <row r="9" spans="1:13" ht="21" x14ac:dyDescent="0.35">
      <c r="A9" s="15"/>
      <c r="B9" s="4" t="s">
        <v>15</v>
      </c>
      <c r="C9" s="4" t="s">
        <v>16</v>
      </c>
      <c r="D9" s="4" t="s">
        <v>32</v>
      </c>
      <c r="E9" s="4" t="s">
        <v>33</v>
      </c>
      <c r="F9" s="4" t="s">
        <v>34</v>
      </c>
      <c r="G9" s="5">
        <v>379941</v>
      </c>
      <c r="H9" s="5">
        <v>1079941</v>
      </c>
      <c r="I9" s="5">
        <v>406908</v>
      </c>
      <c r="J9" s="6"/>
      <c r="K9" s="6"/>
      <c r="L9" s="5">
        <v>673033</v>
      </c>
      <c r="M9" t="s">
        <v>762</v>
      </c>
    </row>
    <row r="10" spans="1:13" x14ac:dyDescent="0.35">
      <c r="A10" s="15"/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5">
        <v>550028</v>
      </c>
      <c r="H10" s="5">
        <v>550028</v>
      </c>
      <c r="I10" s="5">
        <v>425925.92</v>
      </c>
      <c r="J10" s="5">
        <v>-242128.46</v>
      </c>
      <c r="K10" s="5">
        <v>366229.54</v>
      </c>
      <c r="L10" s="5">
        <v>1.0000000000145499</v>
      </c>
      <c r="M10" t="s">
        <v>762</v>
      </c>
    </row>
    <row r="11" spans="1:13" x14ac:dyDescent="0.35">
      <c r="A11" s="15"/>
      <c r="B11" s="4" t="s">
        <v>35</v>
      </c>
      <c r="C11" s="4" t="s">
        <v>36</v>
      </c>
      <c r="D11" s="4" t="s">
        <v>26</v>
      </c>
      <c r="E11" s="4" t="s">
        <v>27</v>
      </c>
      <c r="F11" s="4" t="s">
        <v>40</v>
      </c>
      <c r="G11" s="5">
        <v>0</v>
      </c>
      <c r="H11" s="5">
        <v>20000</v>
      </c>
      <c r="I11" s="6"/>
      <c r="J11" s="6"/>
      <c r="K11" s="6"/>
      <c r="L11" s="5">
        <v>20000</v>
      </c>
      <c r="M11" t="s">
        <v>762</v>
      </c>
    </row>
    <row r="12" spans="1:13" ht="21" x14ac:dyDescent="0.35">
      <c r="A12" s="15"/>
      <c r="B12" s="4" t="s">
        <v>35</v>
      </c>
      <c r="C12" s="4" t="s">
        <v>36</v>
      </c>
      <c r="D12" s="4" t="s">
        <v>32</v>
      </c>
      <c r="E12" s="4" t="s">
        <v>33</v>
      </c>
      <c r="F12" s="4" t="s">
        <v>41</v>
      </c>
      <c r="G12" s="5">
        <v>37075</v>
      </c>
      <c r="H12" s="5">
        <v>100000</v>
      </c>
      <c r="I12" s="5">
        <v>19775.45</v>
      </c>
      <c r="J12" s="6"/>
      <c r="K12" s="6"/>
      <c r="L12" s="5">
        <v>80224.55</v>
      </c>
      <c r="M12" t="s">
        <v>762</v>
      </c>
    </row>
    <row r="13" spans="1:13" ht="31.5" x14ac:dyDescent="0.35">
      <c r="A13" s="15"/>
      <c r="B13" s="4" t="s">
        <v>42</v>
      </c>
      <c r="C13" s="4" t="s">
        <v>43</v>
      </c>
      <c r="D13" s="4" t="s">
        <v>44</v>
      </c>
      <c r="E13" s="4" t="s">
        <v>45</v>
      </c>
      <c r="F13" s="4" t="s">
        <v>46</v>
      </c>
      <c r="G13" s="5">
        <v>55000</v>
      </c>
      <c r="H13" s="5">
        <v>650000</v>
      </c>
      <c r="I13" s="6"/>
      <c r="J13" s="5">
        <v>0</v>
      </c>
      <c r="K13" s="5">
        <v>495000</v>
      </c>
      <c r="L13" s="5">
        <v>155000</v>
      </c>
      <c r="M13" t="s">
        <v>762</v>
      </c>
    </row>
    <row r="14" spans="1:13" ht="31.5" x14ac:dyDescent="0.35">
      <c r="A14" s="15"/>
      <c r="B14" s="4" t="s">
        <v>42</v>
      </c>
      <c r="C14" s="4" t="s">
        <v>43</v>
      </c>
      <c r="D14" s="4" t="s">
        <v>47</v>
      </c>
      <c r="E14" s="4" t="s">
        <v>48</v>
      </c>
      <c r="F14" s="4" t="s">
        <v>49</v>
      </c>
      <c r="G14" s="5">
        <v>55000</v>
      </c>
      <c r="H14" s="5">
        <v>100000</v>
      </c>
      <c r="I14" s="6"/>
      <c r="J14" s="5">
        <v>100000</v>
      </c>
      <c r="K14" s="6"/>
      <c r="L14" s="5">
        <v>0</v>
      </c>
      <c r="M14" t="s">
        <v>762</v>
      </c>
    </row>
    <row r="15" spans="1:13" ht="31.5" x14ac:dyDescent="0.35">
      <c r="A15" s="15"/>
      <c r="B15" s="4" t="s">
        <v>42</v>
      </c>
      <c r="C15" s="4" t="s">
        <v>43</v>
      </c>
      <c r="D15" s="4" t="s">
        <v>26</v>
      </c>
      <c r="E15" s="4" t="s">
        <v>27</v>
      </c>
      <c r="F15" s="4" t="s">
        <v>50</v>
      </c>
      <c r="G15" s="5">
        <v>3000</v>
      </c>
      <c r="H15" s="5">
        <v>32000</v>
      </c>
      <c r="I15" s="6"/>
      <c r="J15" s="6"/>
      <c r="K15" s="6"/>
      <c r="L15" s="5">
        <v>32000</v>
      </c>
      <c r="M15" t="s">
        <v>762</v>
      </c>
    </row>
    <row r="16" spans="1:13" ht="31.5" x14ac:dyDescent="0.35">
      <c r="A16" s="15"/>
      <c r="B16" s="4" t="s">
        <v>42</v>
      </c>
      <c r="C16" s="4" t="s">
        <v>43</v>
      </c>
      <c r="D16" s="4" t="s">
        <v>51</v>
      </c>
      <c r="E16" s="4" t="s">
        <v>52</v>
      </c>
      <c r="F16" s="4" t="s">
        <v>53</v>
      </c>
      <c r="G16" s="5">
        <v>75000</v>
      </c>
      <c r="H16" s="5">
        <v>173000</v>
      </c>
      <c r="I16" s="5">
        <v>52467.6</v>
      </c>
      <c r="J16" s="5">
        <v>0</v>
      </c>
      <c r="K16" s="5">
        <v>0</v>
      </c>
      <c r="L16" s="5">
        <v>120532.4</v>
      </c>
      <c r="M16" t="s">
        <v>762</v>
      </c>
    </row>
    <row r="17" spans="1:13" ht="31.5" x14ac:dyDescent="0.35">
      <c r="A17" s="15"/>
      <c r="B17" s="4" t="s">
        <v>42</v>
      </c>
      <c r="C17" s="4" t="s">
        <v>43</v>
      </c>
      <c r="D17" s="4" t="s">
        <v>32</v>
      </c>
      <c r="E17" s="4" t="s">
        <v>33</v>
      </c>
      <c r="F17" s="4" t="s">
        <v>54</v>
      </c>
      <c r="G17" s="5">
        <v>0</v>
      </c>
      <c r="H17" s="5">
        <v>0</v>
      </c>
      <c r="I17" s="6"/>
      <c r="J17" s="6"/>
      <c r="K17" s="6"/>
      <c r="L17" s="5">
        <v>0</v>
      </c>
      <c r="M17" t="s">
        <v>762</v>
      </c>
    </row>
    <row r="18" spans="1:13" ht="31.5" x14ac:dyDescent="0.35">
      <c r="A18" s="15"/>
      <c r="B18" s="4" t="s">
        <v>55</v>
      </c>
      <c r="C18" s="4" t="s">
        <v>56</v>
      </c>
      <c r="D18" s="4" t="s">
        <v>44</v>
      </c>
      <c r="E18" s="4" t="s">
        <v>45</v>
      </c>
      <c r="F18" s="4" t="s">
        <v>57</v>
      </c>
      <c r="G18" s="5">
        <v>202500</v>
      </c>
      <c r="H18" s="5">
        <v>202500</v>
      </c>
      <c r="I18" s="6"/>
      <c r="J18" s="6"/>
      <c r="K18" s="6"/>
      <c r="L18" s="5">
        <v>202500</v>
      </c>
      <c r="M18" t="s">
        <v>763</v>
      </c>
    </row>
    <row r="19" spans="1:13" ht="31.5" x14ac:dyDescent="0.35">
      <c r="A19" s="15"/>
      <c r="B19" s="4" t="s">
        <v>55</v>
      </c>
      <c r="C19" s="4" t="s">
        <v>56</v>
      </c>
      <c r="D19" s="4" t="s">
        <v>51</v>
      </c>
      <c r="E19" s="4" t="s">
        <v>52</v>
      </c>
      <c r="F19" s="4" t="s">
        <v>58</v>
      </c>
      <c r="G19" s="5">
        <v>0</v>
      </c>
      <c r="H19" s="5">
        <v>647100</v>
      </c>
      <c r="I19" s="5">
        <v>297513</v>
      </c>
      <c r="J19" s="5">
        <v>0</v>
      </c>
      <c r="K19" s="5">
        <v>0</v>
      </c>
      <c r="L19" s="5">
        <v>349587</v>
      </c>
      <c r="M19" t="s">
        <v>763</v>
      </c>
    </row>
    <row r="20" spans="1:13" ht="31.5" x14ac:dyDescent="0.35">
      <c r="A20" s="15"/>
      <c r="B20" s="4" t="s">
        <v>55</v>
      </c>
      <c r="C20" s="4" t="s">
        <v>56</v>
      </c>
      <c r="D20" s="4" t="s">
        <v>59</v>
      </c>
      <c r="E20" s="4" t="s">
        <v>60</v>
      </c>
      <c r="F20" s="4" t="s">
        <v>61</v>
      </c>
      <c r="G20" s="5">
        <v>114759</v>
      </c>
      <c r="H20" s="5">
        <v>114759</v>
      </c>
      <c r="I20" s="5">
        <v>114759</v>
      </c>
      <c r="J20" s="6"/>
      <c r="K20" s="6"/>
      <c r="L20" s="5">
        <v>0</v>
      </c>
      <c r="M20" t="s">
        <v>763</v>
      </c>
    </row>
    <row r="21" spans="1:13" ht="31.5" x14ac:dyDescent="0.35">
      <c r="A21" s="15"/>
      <c r="B21" s="4" t="s">
        <v>55</v>
      </c>
      <c r="C21" s="4" t="s">
        <v>56</v>
      </c>
      <c r="D21" s="4" t="s">
        <v>32</v>
      </c>
      <c r="E21" s="4" t="s">
        <v>33</v>
      </c>
      <c r="F21" s="4" t="s">
        <v>62</v>
      </c>
      <c r="G21" s="5">
        <v>20000</v>
      </c>
      <c r="H21" s="5">
        <v>20000</v>
      </c>
      <c r="I21" s="6"/>
      <c r="J21" s="6"/>
      <c r="K21" s="6"/>
      <c r="L21" s="5">
        <v>20000</v>
      </c>
      <c r="M21" t="s">
        <v>763</v>
      </c>
    </row>
    <row r="22" spans="1:13" ht="21" x14ac:dyDescent="0.35">
      <c r="A22" s="15"/>
      <c r="B22" s="4" t="s">
        <v>63</v>
      </c>
      <c r="C22" s="4" t="s">
        <v>64</v>
      </c>
      <c r="D22" s="4" t="s">
        <v>65</v>
      </c>
      <c r="E22" s="4" t="s">
        <v>66</v>
      </c>
      <c r="F22" s="4" t="s">
        <v>67</v>
      </c>
      <c r="G22" s="5">
        <v>4978531</v>
      </c>
      <c r="H22" s="5">
        <v>7076181</v>
      </c>
      <c r="I22" s="5">
        <v>4136354.47</v>
      </c>
      <c r="J22" s="5">
        <v>1179371.25</v>
      </c>
      <c r="K22" s="5">
        <v>936660</v>
      </c>
      <c r="L22" s="5">
        <v>823795.28000000096</v>
      </c>
      <c r="M22" t="s">
        <v>762</v>
      </c>
    </row>
    <row r="23" spans="1:13" ht="31.5" x14ac:dyDescent="0.35">
      <c r="A23" s="15"/>
      <c r="B23" s="4" t="s">
        <v>63</v>
      </c>
      <c r="C23" s="4" t="s">
        <v>64</v>
      </c>
      <c r="D23" s="4" t="s">
        <v>20</v>
      </c>
      <c r="E23" s="4" t="s">
        <v>21</v>
      </c>
      <c r="F23" s="4" t="s">
        <v>68</v>
      </c>
      <c r="G23" s="5">
        <v>6769802</v>
      </c>
      <c r="H23" s="5">
        <v>9269587</v>
      </c>
      <c r="I23" s="5">
        <v>6740365.9100000001</v>
      </c>
      <c r="J23" s="5">
        <v>568920</v>
      </c>
      <c r="K23" s="5">
        <v>1954252.38</v>
      </c>
      <c r="L23" s="5">
        <v>6048.70999999996</v>
      </c>
      <c r="M23" t="s">
        <v>762</v>
      </c>
    </row>
    <row r="24" spans="1:13" ht="31.5" x14ac:dyDescent="0.35">
      <c r="A24" s="15"/>
      <c r="B24" s="4" t="s">
        <v>63</v>
      </c>
      <c r="C24" s="4" t="s">
        <v>64</v>
      </c>
      <c r="D24" s="4" t="s">
        <v>23</v>
      </c>
      <c r="E24" s="4" t="s">
        <v>24</v>
      </c>
      <c r="F24" s="4" t="s">
        <v>69</v>
      </c>
      <c r="G24" s="5">
        <v>64327</v>
      </c>
      <c r="H24" s="5">
        <v>5300</v>
      </c>
      <c r="I24" s="5">
        <v>5298.58</v>
      </c>
      <c r="J24" s="6"/>
      <c r="K24" s="6"/>
      <c r="L24" s="5">
        <v>1.4200000000000701</v>
      </c>
      <c r="M24" t="s">
        <v>762</v>
      </c>
    </row>
    <row r="25" spans="1:13" ht="21" x14ac:dyDescent="0.35">
      <c r="A25" s="15"/>
      <c r="B25" s="4" t="s">
        <v>63</v>
      </c>
      <c r="C25" s="4" t="s">
        <v>64</v>
      </c>
      <c r="D25" s="4" t="s">
        <v>70</v>
      </c>
      <c r="E25" s="4" t="s">
        <v>71</v>
      </c>
      <c r="F25" s="4" t="s">
        <v>72</v>
      </c>
      <c r="G25" s="5">
        <v>154663</v>
      </c>
      <c r="H25" s="5">
        <v>1</v>
      </c>
      <c r="I25" s="6"/>
      <c r="J25" s="6"/>
      <c r="K25" s="6"/>
      <c r="L25" s="5">
        <v>1</v>
      </c>
      <c r="M25" t="s">
        <v>762</v>
      </c>
    </row>
    <row r="26" spans="1:13" ht="21" x14ac:dyDescent="0.35">
      <c r="A26" s="15"/>
      <c r="B26" s="4" t="s">
        <v>63</v>
      </c>
      <c r="C26" s="4" t="s">
        <v>64</v>
      </c>
      <c r="D26" s="4" t="s">
        <v>73</v>
      </c>
      <c r="E26" s="4" t="s">
        <v>74</v>
      </c>
      <c r="F26" s="4" t="s">
        <v>75</v>
      </c>
      <c r="G26" s="5">
        <v>928026</v>
      </c>
      <c r="H26" s="5">
        <v>432002</v>
      </c>
      <c r="I26" s="5">
        <v>712427.38</v>
      </c>
      <c r="J26" s="5">
        <v>-432001.91</v>
      </c>
      <c r="K26" s="5">
        <v>151576.44</v>
      </c>
      <c r="L26" s="5">
        <v>8.9999999909195993E-2</v>
      </c>
      <c r="M26" t="s">
        <v>762</v>
      </c>
    </row>
    <row r="27" spans="1:13" ht="21" x14ac:dyDescent="0.35">
      <c r="A27" s="15"/>
      <c r="B27" s="4" t="s">
        <v>63</v>
      </c>
      <c r="C27" s="4" t="s">
        <v>64</v>
      </c>
      <c r="D27" s="4" t="s">
        <v>76</v>
      </c>
      <c r="E27" s="4" t="s">
        <v>77</v>
      </c>
      <c r="F27" s="4" t="s">
        <v>78</v>
      </c>
      <c r="G27" s="5">
        <v>23653</v>
      </c>
      <c r="H27" s="5">
        <v>0</v>
      </c>
      <c r="I27" s="6"/>
      <c r="J27" s="6"/>
      <c r="K27" s="6"/>
      <c r="L27" s="5">
        <v>0</v>
      </c>
      <c r="M27" t="s">
        <v>762</v>
      </c>
    </row>
    <row r="28" spans="1:13" ht="21" x14ac:dyDescent="0.35">
      <c r="A28" s="15"/>
      <c r="B28" s="4" t="s">
        <v>63</v>
      </c>
      <c r="C28" s="4" t="s">
        <v>64</v>
      </c>
      <c r="D28" s="4" t="s">
        <v>79</v>
      </c>
      <c r="E28" s="4" t="s">
        <v>80</v>
      </c>
      <c r="F28" s="4" t="s">
        <v>81</v>
      </c>
      <c r="G28" s="5">
        <v>45999</v>
      </c>
      <c r="H28" s="5">
        <v>2205</v>
      </c>
      <c r="I28" s="5">
        <v>2205</v>
      </c>
      <c r="J28" s="6"/>
      <c r="K28" s="6"/>
      <c r="L28" s="5">
        <v>0</v>
      </c>
      <c r="M28" t="s">
        <v>762</v>
      </c>
    </row>
    <row r="29" spans="1:13" ht="21" x14ac:dyDescent="0.35">
      <c r="A29" s="15"/>
      <c r="B29" s="4" t="s">
        <v>63</v>
      </c>
      <c r="C29" s="4" t="s">
        <v>64</v>
      </c>
      <c r="D29" s="4" t="s">
        <v>82</v>
      </c>
      <c r="E29" s="4" t="s">
        <v>83</v>
      </c>
      <c r="F29" s="4" t="s">
        <v>84</v>
      </c>
      <c r="G29" s="5">
        <v>58125</v>
      </c>
      <c r="H29" s="5">
        <v>0</v>
      </c>
      <c r="I29" s="6"/>
      <c r="J29" s="6"/>
      <c r="K29" s="6"/>
      <c r="L29" s="5">
        <v>0</v>
      </c>
      <c r="M29" t="s">
        <v>762</v>
      </c>
    </row>
    <row r="30" spans="1:13" ht="21" x14ac:dyDescent="0.35">
      <c r="A30" s="15"/>
      <c r="B30" s="4" t="s">
        <v>85</v>
      </c>
      <c r="C30" s="4" t="s">
        <v>86</v>
      </c>
      <c r="D30" s="4" t="s">
        <v>87</v>
      </c>
      <c r="E30" s="4" t="s">
        <v>88</v>
      </c>
      <c r="F30" s="4" t="s">
        <v>89</v>
      </c>
      <c r="G30" s="5">
        <v>33692</v>
      </c>
      <c r="H30" s="5">
        <v>353692</v>
      </c>
      <c r="I30" s="5">
        <v>72600.210000000006</v>
      </c>
      <c r="J30" s="5">
        <v>0</v>
      </c>
      <c r="K30" s="5">
        <v>222040</v>
      </c>
      <c r="L30" s="5">
        <v>59051.79</v>
      </c>
      <c r="M30" t="s">
        <v>762</v>
      </c>
    </row>
    <row r="31" spans="1:13" ht="21" x14ac:dyDescent="0.35">
      <c r="A31" s="15"/>
      <c r="B31" s="4" t="s">
        <v>85</v>
      </c>
      <c r="C31" s="4" t="s">
        <v>86</v>
      </c>
      <c r="D31" s="4" t="s">
        <v>51</v>
      </c>
      <c r="E31" s="4" t="s">
        <v>52</v>
      </c>
      <c r="F31" s="4" t="s">
        <v>90</v>
      </c>
      <c r="G31" s="5">
        <v>0</v>
      </c>
      <c r="H31" s="5">
        <v>25000</v>
      </c>
      <c r="I31" s="5">
        <v>15000</v>
      </c>
      <c r="J31" s="6"/>
      <c r="K31" s="6"/>
      <c r="L31" s="5">
        <v>10000</v>
      </c>
      <c r="M31" t="s">
        <v>762</v>
      </c>
    </row>
    <row r="32" spans="1:13" ht="31.5" x14ac:dyDescent="0.35">
      <c r="A32" s="15"/>
      <c r="B32" s="4" t="s">
        <v>91</v>
      </c>
      <c r="C32" s="4" t="s">
        <v>92</v>
      </c>
      <c r="D32" s="4" t="s">
        <v>87</v>
      </c>
      <c r="E32" s="4" t="s">
        <v>88</v>
      </c>
      <c r="F32" s="4" t="s">
        <v>93</v>
      </c>
      <c r="G32" s="5">
        <v>0</v>
      </c>
      <c r="H32" s="5">
        <v>0</v>
      </c>
      <c r="I32" s="6"/>
      <c r="J32" s="6"/>
      <c r="K32" s="6"/>
      <c r="L32" s="5">
        <v>0</v>
      </c>
      <c r="M32" t="s">
        <v>762</v>
      </c>
    </row>
    <row r="33" spans="1:13" ht="31.5" x14ac:dyDescent="0.35">
      <c r="A33" s="15"/>
      <c r="B33" s="4" t="s">
        <v>91</v>
      </c>
      <c r="C33" s="4" t="s">
        <v>92</v>
      </c>
      <c r="D33" s="4" t="s">
        <v>23</v>
      </c>
      <c r="E33" s="4" t="s">
        <v>24</v>
      </c>
      <c r="F33" s="4" t="s">
        <v>94</v>
      </c>
      <c r="G33" s="5">
        <v>37000</v>
      </c>
      <c r="H33" s="5">
        <v>37000</v>
      </c>
      <c r="I33" s="6"/>
      <c r="J33" s="6"/>
      <c r="K33" s="6"/>
      <c r="L33" s="5">
        <v>37000</v>
      </c>
      <c r="M33" t="s">
        <v>762</v>
      </c>
    </row>
    <row r="34" spans="1:13" ht="31.5" x14ac:dyDescent="0.35">
      <c r="A34" s="15"/>
      <c r="B34" s="4" t="s">
        <v>91</v>
      </c>
      <c r="C34" s="4" t="s">
        <v>92</v>
      </c>
      <c r="D34" s="4" t="s">
        <v>26</v>
      </c>
      <c r="E34" s="4" t="s">
        <v>27</v>
      </c>
      <c r="F34" s="4" t="s">
        <v>95</v>
      </c>
      <c r="G34" s="5">
        <v>195000</v>
      </c>
      <c r="H34" s="5">
        <v>195000</v>
      </c>
      <c r="I34" s="5">
        <v>66531.25</v>
      </c>
      <c r="J34" s="5">
        <v>0</v>
      </c>
      <c r="K34" s="5">
        <v>109715</v>
      </c>
      <c r="L34" s="5">
        <v>18753.75</v>
      </c>
      <c r="M34" t="s">
        <v>762</v>
      </c>
    </row>
    <row r="35" spans="1:13" ht="31.5" x14ac:dyDescent="0.35">
      <c r="A35" s="15"/>
      <c r="B35" s="4" t="s">
        <v>91</v>
      </c>
      <c r="C35" s="4" t="s">
        <v>92</v>
      </c>
      <c r="D35" s="4" t="s">
        <v>51</v>
      </c>
      <c r="E35" s="4" t="s">
        <v>52</v>
      </c>
      <c r="F35" s="4" t="s">
        <v>96</v>
      </c>
      <c r="G35" s="5">
        <v>0</v>
      </c>
      <c r="H35" s="5">
        <v>5001</v>
      </c>
      <c r="I35" s="6"/>
      <c r="J35" s="5">
        <v>4408</v>
      </c>
      <c r="K35" s="6"/>
      <c r="L35" s="5">
        <v>593</v>
      </c>
      <c r="M35" t="s">
        <v>762</v>
      </c>
    </row>
    <row r="36" spans="1:13" ht="31.5" x14ac:dyDescent="0.35">
      <c r="A36" s="15"/>
      <c r="B36" s="4" t="s">
        <v>91</v>
      </c>
      <c r="C36" s="4" t="s">
        <v>92</v>
      </c>
      <c r="D36" s="4" t="s">
        <v>32</v>
      </c>
      <c r="E36" s="4" t="s">
        <v>33</v>
      </c>
      <c r="F36" s="4" t="s">
        <v>97</v>
      </c>
      <c r="G36" s="5">
        <v>37075</v>
      </c>
      <c r="H36" s="5">
        <v>95000</v>
      </c>
      <c r="I36" s="5">
        <v>6650</v>
      </c>
      <c r="J36" s="6"/>
      <c r="K36" s="6"/>
      <c r="L36" s="5">
        <v>88350</v>
      </c>
      <c r="M36" t="s">
        <v>762</v>
      </c>
    </row>
    <row r="37" spans="1:13" ht="31.5" x14ac:dyDescent="0.35">
      <c r="A37" s="15"/>
      <c r="B37" s="4" t="s">
        <v>91</v>
      </c>
      <c r="C37" s="4" t="s">
        <v>92</v>
      </c>
      <c r="D37" s="4" t="s">
        <v>79</v>
      </c>
      <c r="E37" s="4" t="s">
        <v>80</v>
      </c>
      <c r="F37" s="4" t="s">
        <v>98</v>
      </c>
      <c r="G37" s="5">
        <v>20000</v>
      </c>
      <c r="H37" s="5">
        <v>4600</v>
      </c>
      <c r="I37" s="6"/>
      <c r="J37" s="6"/>
      <c r="K37" s="6"/>
      <c r="L37" s="5">
        <v>4600</v>
      </c>
      <c r="M37" t="s">
        <v>762</v>
      </c>
    </row>
    <row r="38" spans="1:13" ht="31.5" x14ac:dyDescent="0.35">
      <c r="A38" s="15"/>
      <c r="B38" s="4" t="s">
        <v>91</v>
      </c>
      <c r="C38" s="4" t="s">
        <v>92</v>
      </c>
      <c r="D38" s="4" t="s">
        <v>99</v>
      </c>
      <c r="E38" s="4" t="s">
        <v>100</v>
      </c>
      <c r="F38" s="4" t="s">
        <v>101</v>
      </c>
      <c r="G38" s="5">
        <v>0</v>
      </c>
      <c r="H38" s="5">
        <v>2085000</v>
      </c>
      <c r="I38" s="5">
        <v>1792911.9</v>
      </c>
      <c r="J38" s="5">
        <v>0</v>
      </c>
      <c r="K38" s="6"/>
      <c r="L38" s="5">
        <v>292088.09999999998</v>
      </c>
      <c r="M38" t="s">
        <v>762</v>
      </c>
    </row>
    <row r="39" spans="1:13" ht="63" x14ac:dyDescent="0.35">
      <c r="A39" s="15"/>
      <c r="B39" s="4" t="s">
        <v>102</v>
      </c>
      <c r="C39" s="4" t="s">
        <v>103</v>
      </c>
      <c r="D39" s="4" t="s">
        <v>104</v>
      </c>
      <c r="E39" s="4" t="s">
        <v>105</v>
      </c>
      <c r="F39" s="4" t="s">
        <v>106</v>
      </c>
      <c r="G39" s="5">
        <v>14000000</v>
      </c>
      <c r="H39" s="5">
        <v>10905900</v>
      </c>
      <c r="I39" s="6"/>
      <c r="J39" s="6"/>
      <c r="K39" s="6"/>
      <c r="L39" s="5">
        <v>10905900</v>
      </c>
      <c r="M39" t="s">
        <v>762</v>
      </c>
    </row>
    <row r="40" spans="1:13" ht="63" x14ac:dyDescent="0.35">
      <c r="A40" s="15"/>
      <c r="B40" s="4" t="s">
        <v>102</v>
      </c>
      <c r="C40" s="4" t="s">
        <v>103</v>
      </c>
      <c r="D40" s="4" t="s">
        <v>87</v>
      </c>
      <c r="E40" s="4" t="s">
        <v>88</v>
      </c>
      <c r="F40" s="4" t="s">
        <v>107</v>
      </c>
      <c r="G40" s="5">
        <v>1000000</v>
      </c>
      <c r="H40" s="5">
        <v>1000000</v>
      </c>
      <c r="I40" s="6"/>
      <c r="J40" s="6"/>
      <c r="K40" s="6"/>
      <c r="L40" s="5">
        <v>1000000</v>
      </c>
      <c r="M40" t="s">
        <v>762</v>
      </c>
    </row>
    <row r="41" spans="1:13" ht="63" x14ac:dyDescent="0.35">
      <c r="A41" s="15"/>
      <c r="B41" s="4" t="s">
        <v>102</v>
      </c>
      <c r="C41" s="4" t="s">
        <v>103</v>
      </c>
      <c r="D41" s="4" t="s">
        <v>108</v>
      </c>
      <c r="E41" s="4" t="s">
        <v>109</v>
      </c>
      <c r="F41" s="4" t="s">
        <v>110</v>
      </c>
      <c r="G41" s="5">
        <v>15000000</v>
      </c>
      <c r="H41" s="5">
        <v>11750000</v>
      </c>
      <c r="I41" s="6"/>
      <c r="J41" s="6"/>
      <c r="K41" s="6"/>
      <c r="L41" s="5">
        <v>11750000</v>
      </c>
      <c r="M41" t="s">
        <v>762</v>
      </c>
    </row>
    <row r="42" spans="1:13" ht="63" x14ac:dyDescent="0.35">
      <c r="A42" s="15"/>
      <c r="B42" s="4" t="s">
        <v>102</v>
      </c>
      <c r="C42" s="4" t="s">
        <v>103</v>
      </c>
      <c r="D42" s="4" t="s">
        <v>111</v>
      </c>
      <c r="E42" s="4" t="s">
        <v>112</v>
      </c>
      <c r="F42" s="4" t="s">
        <v>113</v>
      </c>
      <c r="G42" s="5">
        <v>0</v>
      </c>
      <c r="H42" s="5">
        <v>11760725</v>
      </c>
      <c r="I42" s="6"/>
      <c r="J42" s="6"/>
      <c r="K42" s="6"/>
      <c r="L42" s="5">
        <v>11760725</v>
      </c>
      <c r="M42" t="s">
        <v>762</v>
      </c>
    </row>
    <row r="43" spans="1:13" ht="63" x14ac:dyDescent="0.35">
      <c r="A43" s="15"/>
      <c r="B43" s="4" t="s">
        <v>102</v>
      </c>
      <c r="C43" s="4" t="s">
        <v>103</v>
      </c>
      <c r="D43" s="4" t="s">
        <v>99</v>
      </c>
      <c r="E43" s="4" t="s">
        <v>100</v>
      </c>
      <c r="F43" s="4" t="s">
        <v>114</v>
      </c>
      <c r="G43" s="5">
        <v>9000000</v>
      </c>
      <c r="H43" s="5">
        <v>8000000</v>
      </c>
      <c r="I43" s="6"/>
      <c r="J43" s="6"/>
      <c r="K43" s="6"/>
      <c r="L43" s="5">
        <v>7941000</v>
      </c>
      <c r="M43" t="s">
        <v>762</v>
      </c>
    </row>
    <row r="44" spans="1:13" ht="21" x14ac:dyDescent="0.35">
      <c r="A44" s="15"/>
      <c r="B44" s="4" t="s">
        <v>115</v>
      </c>
      <c r="C44" s="4" t="s">
        <v>116</v>
      </c>
      <c r="D44" s="4" t="s">
        <v>17</v>
      </c>
      <c r="E44" s="4" t="s">
        <v>18</v>
      </c>
      <c r="F44" s="4" t="s">
        <v>117</v>
      </c>
      <c r="G44" s="5">
        <v>0</v>
      </c>
      <c r="H44" s="5">
        <v>26159</v>
      </c>
      <c r="I44" s="6"/>
      <c r="J44" s="6"/>
      <c r="K44" s="6"/>
      <c r="L44" s="5">
        <v>26159</v>
      </c>
      <c r="M44" t="s">
        <v>764</v>
      </c>
    </row>
    <row r="45" spans="1:13" ht="21" x14ac:dyDescent="0.35">
      <c r="A45" s="15"/>
      <c r="B45" s="4" t="s">
        <v>115</v>
      </c>
      <c r="C45" s="4" t="s">
        <v>116</v>
      </c>
      <c r="D45" s="4" t="s">
        <v>118</v>
      </c>
      <c r="E45" s="4" t="s">
        <v>119</v>
      </c>
      <c r="F45" s="4" t="s">
        <v>120</v>
      </c>
      <c r="G45" s="5">
        <v>500000</v>
      </c>
      <c r="H45" s="5">
        <v>185000</v>
      </c>
      <c r="I45" s="5">
        <v>183640.84</v>
      </c>
      <c r="J45" s="5">
        <v>0</v>
      </c>
      <c r="K45" s="6"/>
      <c r="L45" s="5">
        <v>1359.16</v>
      </c>
      <c r="M45" t="s">
        <v>764</v>
      </c>
    </row>
    <row r="46" spans="1:13" ht="21" x14ac:dyDescent="0.35">
      <c r="A46" s="15"/>
      <c r="B46" s="4" t="s">
        <v>115</v>
      </c>
      <c r="C46" s="4" t="s">
        <v>116</v>
      </c>
      <c r="D46" s="4" t="s">
        <v>47</v>
      </c>
      <c r="E46" s="4" t="s">
        <v>48</v>
      </c>
      <c r="F46" s="4" t="s">
        <v>121</v>
      </c>
      <c r="G46" s="5">
        <v>1100000</v>
      </c>
      <c r="H46" s="5">
        <v>1337497</v>
      </c>
      <c r="I46" s="5">
        <v>50006</v>
      </c>
      <c r="J46" s="6"/>
      <c r="K46" s="6"/>
      <c r="L46" s="5">
        <v>1287491</v>
      </c>
      <c r="M46" t="s">
        <v>764</v>
      </c>
    </row>
    <row r="47" spans="1:13" ht="31.5" x14ac:dyDescent="0.35">
      <c r="A47" s="15"/>
      <c r="B47" s="4" t="s">
        <v>115</v>
      </c>
      <c r="C47" s="4" t="s">
        <v>116</v>
      </c>
      <c r="D47" s="4" t="s">
        <v>20</v>
      </c>
      <c r="E47" s="4" t="s">
        <v>21</v>
      </c>
      <c r="F47" s="4" t="s">
        <v>122</v>
      </c>
      <c r="G47" s="5">
        <v>13750</v>
      </c>
      <c r="H47" s="5">
        <v>1344058</v>
      </c>
      <c r="I47" s="5">
        <v>783620</v>
      </c>
      <c r="J47" s="5">
        <v>0</v>
      </c>
      <c r="K47" s="5">
        <v>0</v>
      </c>
      <c r="L47" s="5">
        <v>560438</v>
      </c>
      <c r="M47" t="s">
        <v>764</v>
      </c>
    </row>
    <row r="48" spans="1:13" ht="31.5" x14ac:dyDescent="0.35">
      <c r="A48" s="15"/>
      <c r="B48" s="4" t="s">
        <v>115</v>
      </c>
      <c r="C48" s="4" t="s">
        <v>116</v>
      </c>
      <c r="D48" s="4" t="s">
        <v>23</v>
      </c>
      <c r="E48" s="4" t="s">
        <v>24</v>
      </c>
      <c r="F48" s="4" t="s">
        <v>123</v>
      </c>
      <c r="G48" s="5">
        <v>13790</v>
      </c>
      <c r="H48" s="5">
        <v>13790</v>
      </c>
      <c r="I48" s="6"/>
      <c r="J48" s="6"/>
      <c r="K48" s="6"/>
      <c r="L48" s="5">
        <v>13790</v>
      </c>
      <c r="M48" t="s">
        <v>764</v>
      </c>
    </row>
    <row r="49" spans="1:13" ht="21" x14ac:dyDescent="0.35">
      <c r="A49" s="15"/>
      <c r="B49" s="4" t="s">
        <v>115</v>
      </c>
      <c r="C49" s="4" t="s">
        <v>116</v>
      </c>
      <c r="D49" s="4" t="s">
        <v>26</v>
      </c>
      <c r="E49" s="4" t="s">
        <v>27</v>
      </c>
      <c r="F49" s="4" t="s">
        <v>124</v>
      </c>
      <c r="G49" s="5">
        <v>21378</v>
      </c>
      <c r="H49" s="5">
        <v>51378</v>
      </c>
      <c r="I49" s="5">
        <v>15927.54</v>
      </c>
      <c r="J49" s="5">
        <v>0</v>
      </c>
      <c r="K49" s="5">
        <v>4285.71</v>
      </c>
      <c r="L49" s="5">
        <v>31164.75</v>
      </c>
      <c r="M49" t="s">
        <v>764</v>
      </c>
    </row>
    <row r="50" spans="1:13" ht="21" x14ac:dyDescent="0.35">
      <c r="A50" s="15"/>
      <c r="B50" s="4" t="s">
        <v>115</v>
      </c>
      <c r="C50" s="4" t="s">
        <v>116</v>
      </c>
      <c r="D50" s="4" t="s">
        <v>32</v>
      </c>
      <c r="E50" s="4" t="s">
        <v>33</v>
      </c>
      <c r="F50" s="4" t="s">
        <v>125</v>
      </c>
      <c r="G50" s="5">
        <v>33100</v>
      </c>
      <c r="H50" s="5">
        <v>551900</v>
      </c>
      <c r="I50" s="5">
        <v>10869.52</v>
      </c>
      <c r="J50" s="6"/>
      <c r="K50" s="6"/>
      <c r="L50" s="5">
        <v>541030.48</v>
      </c>
      <c r="M50" t="s">
        <v>764</v>
      </c>
    </row>
    <row r="51" spans="1:13" ht="21" x14ac:dyDescent="0.35">
      <c r="A51" s="15"/>
      <c r="B51" s="4" t="s">
        <v>115</v>
      </c>
      <c r="C51" s="4" t="s">
        <v>116</v>
      </c>
      <c r="D51" s="4" t="s">
        <v>79</v>
      </c>
      <c r="E51" s="4" t="s">
        <v>80</v>
      </c>
      <c r="F51" s="4" t="s">
        <v>126</v>
      </c>
      <c r="G51" s="5">
        <v>6320</v>
      </c>
      <c r="H51" s="5">
        <v>261820</v>
      </c>
      <c r="I51" s="5">
        <v>225500.98</v>
      </c>
      <c r="J51" s="5">
        <v>0</v>
      </c>
      <c r="K51" s="5">
        <v>4950</v>
      </c>
      <c r="L51" s="5">
        <v>31369.02</v>
      </c>
      <c r="M51" t="s">
        <v>764</v>
      </c>
    </row>
    <row r="52" spans="1:13" ht="21" x14ac:dyDescent="0.35">
      <c r="A52" s="15"/>
      <c r="B52" s="4" t="s">
        <v>115</v>
      </c>
      <c r="C52" s="4" t="s">
        <v>116</v>
      </c>
      <c r="D52" s="4" t="s">
        <v>79</v>
      </c>
      <c r="E52" s="4" t="s">
        <v>80</v>
      </c>
      <c r="F52" s="4" t="s">
        <v>127</v>
      </c>
      <c r="G52" s="5">
        <v>2000000</v>
      </c>
      <c r="H52" s="5">
        <v>2000000</v>
      </c>
      <c r="I52" s="5">
        <v>478533.25</v>
      </c>
      <c r="J52" s="6"/>
      <c r="K52" s="6"/>
      <c r="L52" s="5">
        <v>1521466.75</v>
      </c>
      <c r="M52" t="s">
        <v>764</v>
      </c>
    </row>
    <row r="53" spans="1:13" ht="42" x14ac:dyDescent="0.35">
      <c r="A53" s="15"/>
      <c r="B53" s="4" t="s">
        <v>115</v>
      </c>
      <c r="C53" s="4" t="s">
        <v>116</v>
      </c>
      <c r="D53" s="4" t="s">
        <v>128</v>
      </c>
      <c r="E53" s="4" t="s">
        <v>129</v>
      </c>
      <c r="F53" s="4" t="s">
        <v>130</v>
      </c>
      <c r="G53" s="5">
        <v>4648</v>
      </c>
      <c r="H53" s="5">
        <v>4648</v>
      </c>
      <c r="I53" s="6"/>
      <c r="J53" s="6"/>
      <c r="K53" s="6"/>
      <c r="L53" s="5">
        <v>4648</v>
      </c>
      <c r="M53" t="s">
        <v>764</v>
      </c>
    </row>
    <row r="54" spans="1:13" ht="21" x14ac:dyDescent="0.35">
      <c r="A54" s="15"/>
      <c r="B54" s="4" t="s">
        <v>115</v>
      </c>
      <c r="C54" s="4" t="s">
        <v>116</v>
      </c>
      <c r="D54" s="4" t="s">
        <v>131</v>
      </c>
      <c r="E54" s="4" t="s">
        <v>132</v>
      </c>
      <c r="F54" s="4" t="s">
        <v>133</v>
      </c>
      <c r="G54" s="5">
        <v>3500000</v>
      </c>
      <c r="H54" s="5">
        <v>3000000</v>
      </c>
      <c r="I54" s="5">
        <v>335140.55</v>
      </c>
      <c r="J54" s="6"/>
      <c r="K54" s="6"/>
      <c r="L54" s="5">
        <v>2664859.4500000002</v>
      </c>
      <c r="M54" t="s">
        <v>764</v>
      </c>
    </row>
    <row r="55" spans="1:13" ht="21" x14ac:dyDescent="0.35">
      <c r="A55" s="15"/>
      <c r="B55" s="4" t="s">
        <v>115</v>
      </c>
      <c r="C55" s="4" t="s">
        <v>116</v>
      </c>
      <c r="D55" s="4" t="s">
        <v>134</v>
      </c>
      <c r="E55" s="4" t="s">
        <v>135</v>
      </c>
      <c r="F55" s="4" t="s">
        <v>136</v>
      </c>
      <c r="G55" s="5">
        <v>0</v>
      </c>
      <c r="H55" s="5">
        <v>300000</v>
      </c>
      <c r="I55" s="5">
        <v>152706.39000000001</v>
      </c>
      <c r="J55" s="5">
        <v>28455</v>
      </c>
      <c r="K55" s="5">
        <v>96269</v>
      </c>
      <c r="L55" s="5">
        <v>22569.61</v>
      </c>
      <c r="M55" t="s">
        <v>764</v>
      </c>
    </row>
    <row r="56" spans="1:13" ht="21" x14ac:dyDescent="0.35">
      <c r="A56" s="15"/>
      <c r="B56" s="4" t="s">
        <v>137</v>
      </c>
      <c r="C56" s="4" t="s">
        <v>138</v>
      </c>
      <c r="D56" s="4" t="s">
        <v>70</v>
      </c>
      <c r="E56" s="4" t="s">
        <v>71</v>
      </c>
      <c r="F56" s="4" t="s">
        <v>139</v>
      </c>
      <c r="G56" s="5">
        <v>0</v>
      </c>
      <c r="H56" s="5">
        <v>6238</v>
      </c>
      <c r="I56" s="6"/>
      <c r="J56" s="6"/>
      <c r="K56" s="6"/>
      <c r="L56" s="5">
        <v>6238</v>
      </c>
      <c r="M56" t="s">
        <v>764</v>
      </c>
    </row>
    <row r="57" spans="1:13" ht="21" x14ac:dyDescent="0.35">
      <c r="A57" s="15"/>
      <c r="B57" s="4" t="s">
        <v>137</v>
      </c>
      <c r="C57" s="4" t="s">
        <v>138</v>
      </c>
      <c r="D57" s="4" t="s">
        <v>140</v>
      </c>
      <c r="E57" s="4" t="s">
        <v>141</v>
      </c>
      <c r="F57" s="4" t="s">
        <v>142</v>
      </c>
      <c r="G57" s="5">
        <v>0</v>
      </c>
      <c r="H57" s="5">
        <v>19000</v>
      </c>
      <c r="I57" s="6"/>
      <c r="J57" s="6"/>
      <c r="K57" s="6"/>
      <c r="L57" s="5">
        <v>19000</v>
      </c>
      <c r="M57" t="s">
        <v>764</v>
      </c>
    </row>
    <row r="58" spans="1:13" ht="21" x14ac:dyDescent="0.35">
      <c r="A58" s="15"/>
      <c r="B58" s="4" t="s">
        <v>137</v>
      </c>
      <c r="C58" s="4" t="s">
        <v>138</v>
      </c>
      <c r="D58" s="4" t="s">
        <v>51</v>
      </c>
      <c r="E58" s="4" t="s">
        <v>52</v>
      </c>
      <c r="F58" s="4" t="s">
        <v>143</v>
      </c>
      <c r="G58" s="5">
        <v>0</v>
      </c>
      <c r="H58" s="5">
        <v>15336</v>
      </c>
      <c r="I58" s="6"/>
      <c r="J58" s="6"/>
      <c r="K58" s="6"/>
      <c r="L58" s="5">
        <v>15336</v>
      </c>
      <c r="M58" t="s">
        <v>764</v>
      </c>
    </row>
    <row r="59" spans="1:13" ht="21" x14ac:dyDescent="0.35">
      <c r="A59" s="15"/>
      <c r="B59" s="4" t="s">
        <v>137</v>
      </c>
      <c r="C59" s="4" t="s">
        <v>138</v>
      </c>
      <c r="D59" s="4" t="s">
        <v>144</v>
      </c>
      <c r="E59" s="4" t="s">
        <v>145</v>
      </c>
      <c r="F59" s="4" t="s">
        <v>146</v>
      </c>
      <c r="G59" s="5">
        <v>0</v>
      </c>
      <c r="H59" s="5">
        <v>2000</v>
      </c>
      <c r="I59" s="6"/>
      <c r="J59" s="6"/>
      <c r="K59" s="6"/>
      <c r="L59" s="5">
        <v>2000</v>
      </c>
      <c r="M59" t="s">
        <v>764</v>
      </c>
    </row>
    <row r="60" spans="1:13" ht="21" x14ac:dyDescent="0.35">
      <c r="A60" s="15"/>
      <c r="B60" s="4" t="s">
        <v>137</v>
      </c>
      <c r="C60" s="4" t="s">
        <v>138</v>
      </c>
      <c r="D60" s="4" t="s">
        <v>134</v>
      </c>
      <c r="E60" s="4" t="s">
        <v>135</v>
      </c>
      <c r="F60" s="4" t="s">
        <v>147</v>
      </c>
      <c r="G60" s="5">
        <v>0</v>
      </c>
      <c r="H60" s="5">
        <v>9790</v>
      </c>
      <c r="I60" s="6"/>
      <c r="J60" s="6"/>
      <c r="K60" s="6"/>
      <c r="L60" s="5">
        <v>9790</v>
      </c>
      <c r="M60" t="s">
        <v>764</v>
      </c>
    </row>
    <row r="61" spans="1:13" ht="21" x14ac:dyDescent="0.35">
      <c r="A61" s="15"/>
      <c r="B61" s="4" t="s">
        <v>148</v>
      </c>
      <c r="C61" s="4" t="s">
        <v>149</v>
      </c>
      <c r="D61" s="4" t="s">
        <v>17</v>
      </c>
      <c r="E61" s="4" t="s">
        <v>18</v>
      </c>
      <c r="F61" s="4" t="s">
        <v>150</v>
      </c>
      <c r="G61" s="5">
        <v>93666</v>
      </c>
      <c r="H61" s="5">
        <v>463666</v>
      </c>
      <c r="I61" s="5">
        <v>395530.33</v>
      </c>
      <c r="J61" s="6"/>
      <c r="K61" s="6"/>
      <c r="L61" s="5">
        <v>68960.97</v>
      </c>
      <c r="M61" t="s">
        <v>764</v>
      </c>
    </row>
    <row r="62" spans="1:13" ht="31.5" x14ac:dyDescent="0.35">
      <c r="A62" s="15"/>
      <c r="B62" s="4" t="s">
        <v>148</v>
      </c>
      <c r="C62" s="4" t="s">
        <v>149</v>
      </c>
      <c r="D62" s="4" t="s">
        <v>20</v>
      </c>
      <c r="E62" s="4" t="s">
        <v>21</v>
      </c>
      <c r="F62" s="4" t="s">
        <v>151</v>
      </c>
      <c r="G62" s="5">
        <v>9463</v>
      </c>
      <c r="H62" s="5">
        <v>9463</v>
      </c>
      <c r="I62" s="5">
        <v>4980</v>
      </c>
      <c r="J62" s="6"/>
      <c r="K62" s="6"/>
      <c r="L62" s="5">
        <v>4483</v>
      </c>
      <c r="M62" t="s">
        <v>764</v>
      </c>
    </row>
    <row r="63" spans="1:13" ht="31.5" x14ac:dyDescent="0.35">
      <c r="A63" s="15"/>
      <c r="B63" s="4" t="s">
        <v>148</v>
      </c>
      <c r="C63" s="4" t="s">
        <v>149</v>
      </c>
      <c r="D63" s="4" t="s">
        <v>23</v>
      </c>
      <c r="E63" s="4" t="s">
        <v>24</v>
      </c>
      <c r="F63" s="4" t="s">
        <v>152</v>
      </c>
      <c r="G63" s="5">
        <v>133200</v>
      </c>
      <c r="H63" s="5">
        <v>433200</v>
      </c>
      <c r="I63" s="5">
        <v>395656.24</v>
      </c>
      <c r="J63" s="6"/>
      <c r="K63" s="6"/>
      <c r="L63" s="5">
        <v>37543.760000000097</v>
      </c>
      <c r="M63" t="s">
        <v>764</v>
      </c>
    </row>
    <row r="64" spans="1:13" ht="21" x14ac:dyDescent="0.35">
      <c r="A64" s="15"/>
      <c r="B64" s="4" t="s">
        <v>148</v>
      </c>
      <c r="C64" s="4" t="s">
        <v>149</v>
      </c>
      <c r="D64" s="4" t="s">
        <v>153</v>
      </c>
      <c r="E64" s="4" t="s">
        <v>154</v>
      </c>
      <c r="F64" s="4" t="s">
        <v>155</v>
      </c>
      <c r="G64" s="5">
        <v>3612600</v>
      </c>
      <c r="H64" s="5">
        <v>3362600</v>
      </c>
      <c r="I64" s="5">
        <v>2944488.39</v>
      </c>
      <c r="J64" s="6"/>
      <c r="K64" s="6"/>
      <c r="L64" s="5">
        <v>418111.61</v>
      </c>
      <c r="M64" t="s">
        <v>764</v>
      </c>
    </row>
    <row r="65" spans="1:13" ht="21" x14ac:dyDescent="0.35">
      <c r="A65" s="15"/>
      <c r="B65" s="4" t="s">
        <v>148</v>
      </c>
      <c r="C65" s="4" t="s">
        <v>149</v>
      </c>
      <c r="D65" s="4" t="s">
        <v>156</v>
      </c>
      <c r="E65" s="4" t="s">
        <v>157</v>
      </c>
      <c r="F65" s="4" t="s">
        <v>158</v>
      </c>
      <c r="G65" s="5">
        <v>1183248</v>
      </c>
      <c r="H65" s="5">
        <v>2106598</v>
      </c>
      <c r="I65" s="5">
        <v>1271895.72</v>
      </c>
      <c r="J65" s="6"/>
      <c r="K65" s="6"/>
      <c r="L65" s="5">
        <v>834702.28</v>
      </c>
      <c r="M65" t="s">
        <v>764</v>
      </c>
    </row>
    <row r="66" spans="1:13" ht="21" x14ac:dyDescent="0.35">
      <c r="A66" s="15"/>
      <c r="B66" s="4" t="s">
        <v>148</v>
      </c>
      <c r="C66" s="4" t="s">
        <v>149</v>
      </c>
      <c r="D66" s="4" t="s">
        <v>111</v>
      </c>
      <c r="E66" s="4" t="s">
        <v>112</v>
      </c>
      <c r="F66" s="4" t="s">
        <v>159</v>
      </c>
      <c r="G66" s="5">
        <v>173750000</v>
      </c>
      <c r="H66" s="5">
        <v>158286650</v>
      </c>
      <c r="I66" s="5">
        <v>102396753.12</v>
      </c>
      <c r="J66" s="6"/>
      <c r="K66" s="6"/>
      <c r="L66" s="5">
        <v>55889896.880000003</v>
      </c>
      <c r="M66" t="s">
        <v>764</v>
      </c>
    </row>
    <row r="67" spans="1:13" ht="21" x14ac:dyDescent="0.35">
      <c r="A67" s="15"/>
      <c r="B67" s="4" t="s">
        <v>148</v>
      </c>
      <c r="C67" s="4" t="s">
        <v>149</v>
      </c>
      <c r="D67" s="4" t="s">
        <v>160</v>
      </c>
      <c r="E67" s="4" t="s">
        <v>161</v>
      </c>
      <c r="F67" s="4" t="s">
        <v>162</v>
      </c>
      <c r="G67" s="5">
        <v>97200</v>
      </c>
      <c r="H67" s="5">
        <v>247200</v>
      </c>
      <c r="I67" s="5">
        <v>215005.04</v>
      </c>
      <c r="J67" s="6"/>
      <c r="K67" s="6"/>
      <c r="L67" s="5">
        <v>32194.959999999999</v>
      </c>
      <c r="M67" t="s">
        <v>764</v>
      </c>
    </row>
    <row r="68" spans="1:13" ht="21" x14ac:dyDescent="0.35">
      <c r="A68" s="15"/>
      <c r="B68" s="4" t="s">
        <v>148</v>
      </c>
      <c r="C68" s="4" t="s">
        <v>149</v>
      </c>
      <c r="D68" s="4" t="s">
        <v>26</v>
      </c>
      <c r="E68" s="4" t="s">
        <v>27</v>
      </c>
      <c r="F68" s="4" t="s">
        <v>163</v>
      </c>
      <c r="G68" s="5">
        <v>9913</v>
      </c>
      <c r="H68" s="5">
        <v>20000</v>
      </c>
      <c r="I68" s="5">
        <v>4308.05</v>
      </c>
      <c r="J68" s="6"/>
      <c r="K68" s="6"/>
      <c r="L68" s="5">
        <v>15691.95</v>
      </c>
      <c r="M68" t="s">
        <v>764</v>
      </c>
    </row>
    <row r="69" spans="1:13" ht="21" x14ac:dyDescent="0.35">
      <c r="A69" s="15"/>
      <c r="B69" s="4" t="s">
        <v>164</v>
      </c>
      <c r="C69" s="4" t="s">
        <v>165</v>
      </c>
      <c r="D69" s="4" t="s">
        <v>17</v>
      </c>
      <c r="E69" s="4" t="s">
        <v>18</v>
      </c>
      <c r="F69" s="4" t="s">
        <v>166</v>
      </c>
      <c r="G69" s="6"/>
      <c r="H69" s="6"/>
      <c r="I69" s="5">
        <v>0</v>
      </c>
      <c r="J69" s="6"/>
      <c r="K69" s="6"/>
      <c r="L69" s="5">
        <v>0</v>
      </c>
      <c r="M69" t="s">
        <v>764</v>
      </c>
    </row>
    <row r="70" spans="1:13" ht="31.5" x14ac:dyDescent="0.35">
      <c r="A70" s="15"/>
      <c r="B70" s="4" t="s">
        <v>164</v>
      </c>
      <c r="C70" s="4" t="s">
        <v>165</v>
      </c>
      <c r="D70" s="4" t="s">
        <v>20</v>
      </c>
      <c r="E70" s="4" t="s">
        <v>21</v>
      </c>
      <c r="F70" s="4" t="s">
        <v>167</v>
      </c>
      <c r="G70" s="5">
        <v>9100</v>
      </c>
      <c r="H70" s="5">
        <v>9100</v>
      </c>
      <c r="I70" s="5">
        <v>8807.6</v>
      </c>
      <c r="J70" s="6"/>
      <c r="K70" s="6"/>
      <c r="L70" s="5">
        <v>292.39999999999998</v>
      </c>
      <c r="M70" t="s">
        <v>764</v>
      </c>
    </row>
    <row r="71" spans="1:13" ht="21" x14ac:dyDescent="0.35">
      <c r="A71" s="15"/>
      <c r="B71" s="4" t="s">
        <v>164</v>
      </c>
      <c r="C71" s="4" t="s">
        <v>165</v>
      </c>
      <c r="D71" s="4" t="s">
        <v>168</v>
      </c>
      <c r="E71" s="4" t="s">
        <v>169</v>
      </c>
      <c r="F71" s="4" t="s">
        <v>170</v>
      </c>
      <c r="G71" s="5">
        <v>109500</v>
      </c>
      <c r="H71" s="5">
        <v>30000</v>
      </c>
      <c r="I71" s="6"/>
      <c r="J71" s="6"/>
      <c r="K71" s="6"/>
      <c r="L71" s="5">
        <v>30000</v>
      </c>
      <c r="M71" t="s">
        <v>764</v>
      </c>
    </row>
    <row r="72" spans="1:13" ht="21" x14ac:dyDescent="0.35">
      <c r="A72" s="15"/>
      <c r="B72" s="4" t="s">
        <v>164</v>
      </c>
      <c r="C72" s="4" t="s">
        <v>165</v>
      </c>
      <c r="D72" s="4" t="s">
        <v>70</v>
      </c>
      <c r="E72" s="4" t="s">
        <v>71</v>
      </c>
      <c r="F72" s="4" t="s">
        <v>171</v>
      </c>
      <c r="G72" s="5">
        <v>270000</v>
      </c>
      <c r="H72" s="5">
        <v>190000</v>
      </c>
      <c r="I72" s="5">
        <v>129182.76</v>
      </c>
      <c r="J72" s="6"/>
      <c r="K72" s="6"/>
      <c r="L72" s="5">
        <v>60817.24</v>
      </c>
      <c r="M72" t="s">
        <v>764</v>
      </c>
    </row>
    <row r="73" spans="1:13" ht="21" x14ac:dyDescent="0.35">
      <c r="A73" s="15"/>
      <c r="B73" s="4" t="s">
        <v>164</v>
      </c>
      <c r="C73" s="4" t="s">
        <v>165</v>
      </c>
      <c r="D73" s="4" t="s">
        <v>140</v>
      </c>
      <c r="E73" s="4" t="s">
        <v>141</v>
      </c>
      <c r="F73" s="4" t="s">
        <v>172</v>
      </c>
      <c r="G73" s="5">
        <v>69895</v>
      </c>
      <c r="H73" s="5">
        <v>109895</v>
      </c>
      <c r="I73" s="5">
        <v>38935</v>
      </c>
      <c r="J73" s="6"/>
      <c r="K73" s="6"/>
      <c r="L73" s="5">
        <v>70960</v>
      </c>
      <c r="M73" t="s">
        <v>764</v>
      </c>
    </row>
    <row r="74" spans="1:13" ht="21" x14ac:dyDescent="0.35">
      <c r="A74" s="15"/>
      <c r="B74" s="4" t="s">
        <v>164</v>
      </c>
      <c r="C74" s="4" t="s">
        <v>165</v>
      </c>
      <c r="D74" s="4" t="s">
        <v>26</v>
      </c>
      <c r="E74" s="4" t="s">
        <v>27</v>
      </c>
      <c r="F74" s="4" t="s">
        <v>173</v>
      </c>
      <c r="G74" s="5">
        <v>4800</v>
      </c>
      <c r="H74" s="5">
        <v>35000</v>
      </c>
      <c r="I74" s="5">
        <v>20799</v>
      </c>
      <c r="J74" s="5">
        <v>0</v>
      </c>
      <c r="K74" s="5">
        <v>13482.07</v>
      </c>
      <c r="L74" s="5">
        <v>14818.93</v>
      </c>
      <c r="M74" t="s">
        <v>764</v>
      </c>
    </row>
    <row r="75" spans="1:13" ht="21" x14ac:dyDescent="0.35">
      <c r="A75" s="15"/>
      <c r="B75" s="4" t="s">
        <v>164</v>
      </c>
      <c r="C75" s="4" t="s">
        <v>165</v>
      </c>
      <c r="D75" s="4" t="s">
        <v>51</v>
      </c>
      <c r="E75" s="4" t="s">
        <v>52</v>
      </c>
      <c r="F75" s="4" t="s">
        <v>174</v>
      </c>
      <c r="G75" s="5">
        <v>46943</v>
      </c>
      <c r="H75" s="5">
        <v>23270</v>
      </c>
      <c r="I75" s="5">
        <v>23269.03</v>
      </c>
      <c r="J75" s="5">
        <v>0</v>
      </c>
      <c r="K75" s="5">
        <v>0</v>
      </c>
      <c r="L75" s="5">
        <v>0.97000000000116404</v>
      </c>
      <c r="M75" t="s">
        <v>764</v>
      </c>
    </row>
    <row r="76" spans="1:13" ht="21" x14ac:dyDescent="0.35">
      <c r="A76" s="15"/>
      <c r="B76" s="4" t="s">
        <v>164</v>
      </c>
      <c r="C76" s="4" t="s">
        <v>165</v>
      </c>
      <c r="D76" s="4" t="s">
        <v>32</v>
      </c>
      <c r="E76" s="4" t="s">
        <v>33</v>
      </c>
      <c r="F76" s="4" t="s">
        <v>175</v>
      </c>
      <c r="G76" s="5">
        <v>15000</v>
      </c>
      <c r="H76" s="5">
        <v>120000</v>
      </c>
      <c r="I76" s="5">
        <v>25335</v>
      </c>
      <c r="J76" s="6"/>
      <c r="K76" s="6"/>
      <c r="L76" s="5">
        <v>94665</v>
      </c>
      <c r="M76" t="s">
        <v>764</v>
      </c>
    </row>
    <row r="77" spans="1:13" ht="21" x14ac:dyDescent="0.35">
      <c r="A77" s="15"/>
      <c r="B77" s="4" t="s">
        <v>164</v>
      </c>
      <c r="C77" s="4" t="s">
        <v>165</v>
      </c>
      <c r="D77" s="4" t="s">
        <v>176</v>
      </c>
      <c r="E77" s="4" t="s">
        <v>177</v>
      </c>
      <c r="F77" s="4" t="s">
        <v>178</v>
      </c>
      <c r="G77" s="5">
        <v>43796</v>
      </c>
      <c r="H77" s="5">
        <v>43796</v>
      </c>
      <c r="I77" s="6"/>
      <c r="J77" s="5">
        <v>0</v>
      </c>
      <c r="K77" s="5">
        <v>22500</v>
      </c>
      <c r="L77" s="5">
        <v>21296</v>
      </c>
      <c r="M77" t="s">
        <v>764</v>
      </c>
    </row>
    <row r="78" spans="1:13" ht="21" x14ac:dyDescent="0.35">
      <c r="A78" s="15"/>
      <c r="B78" s="4" t="s">
        <v>164</v>
      </c>
      <c r="C78" s="4" t="s">
        <v>165</v>
      </c>
      <c r="D78" s="4" t="s">
        <v>131</v>
      </c>
      <c r="E78" s="4" t="s">
        <v>132</v>
      </c>
      <c r="F78" s="4" t="s">
        <v>179</v>
      </c>
      <c r="G78" s="5">
        <v>53040</v>
      </c>
      <c r="H78" s="5">
        <v>83040</v>
      </c>
      <c r="I78" s="5">
        <v>20412.419999999998</v>
      </c>
      <c r="J78" s="6"/>
      <c r="K78" s="6"/>
      <c r="L78" s="5">
        <v>62627.58</v>
      </c>
      <c r="M78" t="s">
        <v>764</v>
      </c>
    </row>
    <row r="79" spans="1:13" ht="21" x14ac:dyDescent="0.35">
      <c r="A79" s="15"/>
      <c r="B79" s="4" t="s">
        <v>164</v>
      </c>
      <c r="C79" s="4" t="s">
        <v>165</v>
      </c>
      <c r="D79" s="4" t="s">
        <v>134</v>
      </c>
      <c r="E79" s="4" t="s">
        <v>135</v>
      </c>
      <c r="F79" s="4" t="s">
        <v>180</v>
      </c>
      <c r="G79" s="5">
        <v>19087</v>
      </c>
      <c r="H79" s="5">
        <v>19087</v>
      </c>
      <c r="I79" s="5">
        <v>12250</v>
      </c>
      <c r="J79" s="5">
        <v>0</v>
      </c>
      <c r="K79" s="5">
        <v>0</v>
      </c>
      <c r="L79" s="5">
        <v>6837</v>
      </c>
      <c r="M79" t="s">
        <v>764</v>
      </c>
    </row>
    <row r="80" spans="1:13" ht="21" x14ac:dyDescent="0.35">
      <c r="A80" s="15"/>
      <c r="B80" s="4" t="s">
        <v>181</v>
      </c>
      <c r="C80" s="4" t="s">
        <v>182</v>
      </c>
      <c r="D80" s="4" t="s">
        <v>17</v>
      </c>
      <c r="E80" s="4" t="s">
        <v>18</v>
      </c>
      <c r="F80" s="4" t="s">
        <v>183</v>
      </c>
      <c r="G80" s="5">
        <v>1610</v>
      </c>
      <c r="H80" s="5">
        <v>1610</v>
      </c>
      <c r="I80" s="6"/>
      <c r="J80" s="6"/>
      <c r="K80" s="6"/>
      <c r="L80" s="5">
        <v>1610</v>
      </c>
      <c r="M80" t="s">
        <v>764</v>
      </c>
    </row>
    <row r="81" spans="1:13" ht="31.5" x14ac:dyDescent="0.35">
      <c r="A81" s="15"/>
      <c r="B81" s="4" t="s">
        <v>181</v>
      </c>
      <c r="C81" s="4" t="s">
        <v>182</v>
      </c>
      <c r="D81" s="4" t="s">
        <v>20</v>
      </c>
      <c r="E81" s="4" t="s">
        <v>21</v>
      </c>
      <c r="F81" s="4" t="s">
        <v>184</v>
      </c>
      <c r="G81" s="5">
        <v>5918</v>
      </c>
      <c r="H81" s="5">
        <v>5918</v>
      </c>
      <c r="I81" s="5">
        <v>264.60000000000002</v>
      </c>
      <c r="J81" s="6"/>
      <c r="K81" s="6"/>
      <c r="L81" s="5">
        <v>5653.4</v>
      </c>
      <c r="M81" t="s">
        <v>764</v>
      </c>
    </row>
    <row r="82" spans="1:13" ht="21" x14ac:dyDescent="0.35">
      <c r="A82" s="15"/>
      <c r="B82" s="4" t="s">
        <v>181</v>
      </c>
      <c r="C82" s="4" t="s">
        <v>182</v>
      </c>
      <c r="D82" s="4" t="s">
        <v>168</v>
      </c>
      <c r="E82" s="4" t="s">
        <v>169</v>
      </c>
      <c r="F82" s="4" t="s">
        <v>185</v>
      </c>
      <c r="G82" s="5">
        <v>7300</v>
      </c>
      <c r="H82" s="5">
        <v>96514</v>
      </c>
      <c r="I82" s="5">
        <v>71200</v>
      </c>
      <c r="J82" s="6"/>
      <c r="K82" s="6"/>
      <c r="L82" s="5">
        <v>25314</v>
      </c>
      <c r="M82" t="s">
        <v>764</v>
      </c>
    </row>
    <row r="83" spans="1:13" ht="21" x14ac:dyDescent="0.35">
      <c r="A83" s="15"/>
      <c r="B83" s="4" t="s">
        <v>181</v>
      </c>
      <c r="C83" s="4" t="s">
        <v>182</v>
      </c>
      <c r="D83" s="4" t="s">
        <v>70</v>
      </c>
      <c r="E83" s="4" t="s">
        <v>71</v>
      </c>
      <c r="F83" s="4" t="s">
        <v>186</v>
      </c>
      <c r="G83" s="5">
        <v>153000</v>
      </c>
      <c r="H83" s="5">
        <v>268594</v>
      </c>
      <c r="I83" s="5">
        <v>266396.93</v>
      </c>
      <c r="J83" s="6"/>
      <c r="K83" s="6"/>
      <c r="L83" s="5">
        <v>2197.0700000000702</v>
      </c>
      <c r="M83" t="s">
        <v>764</v>
      </c>
    </row>
    <row r="84" spans="1:13" ht="21" x14ac:dyDescent="0.35">
      <c r="A84" s="15"/>
      <c r="B84" s="4" t="s">
        <v>181</v>
      </c>
      <c r="C84" s="4" t="s">
        <v>182</v>
      </c>
      <c r="D84" s="4" t="s">
        <v>140</v>
      </c>
      <c r="E84" s="4" t="s">
        <v>141</v>
      </c>
      <c r="F84" s="4" t="s">
        <v>187</v>
      </c>
      <c r="G84" s="5">
        <v>80689</v>
      </c>
      <c r="H84" s="5">
        <v>130689</v>
      </c>
      <c r="I84" s="5">
        <v>38785.47</v>
      </c>
      <c r="J84" s="6"/>
      <c r="K84" s="6"/>
      <c r="L84" s="5">
        <v>91903.53</v>
      </c>
      <c r="M84" t="s">
        <v>764</v>
      </c>
    </row>
    <row r="85" spans="1:13" ht="21" x14ac:dyDescent="0.35">
      <c r="A85" s="15"/>
      <c r="B85" s="4" t="s">
        <v>181</v>
      </c>
      <c r="C85" s="4" t="s">
        <v>182</v>
      </c>
      <c r="D85" s="4" t="s">
        <v>26</v>
      </c>
      <c r="E85" s="4" t="s">
        <v>27</v>
      </c>
      <c r="F85" s="4" t="s">
        <v>188</v>
      </c>
      <c r="G85" s="5">
        <v>1360</v>
      </c>
      <c r="H85" s="5">
        <v>8360</v>
      </c>
      <c r="I85" s="5">
        <v>2064</v>
      </c>
      <c r="J85" s="6"/>
      <c r="K85" s="6"/>
      <c r="L85" s="5">
        <v>6296</v>
      </c>
      <c r="M85" t="s">
        <v>764</v>
      </c>
    </row>
    <row r="86" spans="1:13" ht="21" x14ac:dyDescent="0.35">
      <c r="A86" s="15"/>
      <c r="B86" s="4" t="s">
        <v>181</v>
      </c>
      <c r="C86" s="4" t="s">
        <v>182</v>
      </c>
      <c r="D86" s="4" t="s">
        <v>51</v>
      </c>
      <c r="E86" s="4" t="s">
        <v>52</v>
      </c>
      <c r="F86" s="4" t="s">
        <v>189</v>
      </c>
      <c r="G86" s="5">
        <v>8896</v>
      </c>
      <c r="H86" s="5">
        <v>32569</v>
      </c>
      <c r="I86" s="5">
        <v>6228.66</v>
      </c>
      <c r="J86" s="5">
        <v>0</v>
      </c>
      <c r="K86" s="5">
        <v>0</v>
      </c>
      <c r="L86" s="5">
        <v>26340.34</v>
      </c>
      <c r="M86" t="s">
        <v>764</v>
      </c>
    </row>
    <row r="87" spans="1:13" ht="21" x14ac:dyDescent="0.35">
      <c r="A87" s="15"/>
      <c r="B87" s="4" t="s">
        <v>181</v>
      </c>
      <c r="C87" s="4" t="s">
        <v>182</v>
      </c>
      <c r="D87" s="4" t="s">
        <v>131</v>
      </c>
      <c r="E87" s="4" t="s">
        <v>132</v>
      </c>
      <c r="F87" s="4" t="s">
        <v>190</v>
      </c>
      <c r="G87" s="5">
        <v>18000</v>
      </c>
      <c r="H87" s="5">
        <v>78000</v>
      </c>
      <c r="I87" s="5">
        <v>11100.87</v>
      </c>
      <c r="J87" s="6"/>
      <c r="K87" s="6"/>
      <c r="L87" s="5">
        <v>66899.13</v>
      </c>
      <c r="M87" t="s">
        <v>764</v>
      </c>
    </row>
    <row r="88" spans="1:13" ht="21" x14ac:dyDescent="0.35">
      <c r="A88" s="15"/>
      <c r="B88" s="4" t="s">
        <v>181</v>
      </c>
      <c r="C88" s="4" t="s">
        <v>182</v>
      </c>
      <c r="D88" s="4" t="s">
        <v>134</v>
      </c>
      <c r="E88" s="4" t="s">
        <v>135</v>
      </c>
      <c r="F88" s="4" t="s">
        <v>191</v>
      </c>
      <c r="G88" s="5">
        <v>64332</v>
      </c>
      <c r="H88" s="5">
        <v>38173</v>
      </c>
      <c r="I88" s="5">
        <v>29922.35</v>
      </c>
      <c r="J88" s="5">
        <v>0</v>
      </c>
      <c r="K88" s="5">
        <v>0</v>
      </c>
      <c r="L88" s="5">
        <v>8250.65</v>
      </c>
      <c r="M88" t="s">
        <v>764</v>
      </c>
    </row>
    <row r="89" spans="1:13" ht="21" x14ac:dyDescent="0.35">
      <c r="A89" s="15"/>
      <c r="B89" s="4" t="s">
        <v>192</v>
      </c>
      <c r="C89" s="4" t="s">
        <v>193</v>
      </c>
      <c r="D89" s="4" t="s">
        <v>17</v>
      </c>
      <c r="E89" s="4" t="s">
        <v>18</v>
      </c>
      <c r="F89" s="4" t="s">
        <v>194</v>
      </c>
      <c r="G89" s="5">
        <v>2363</v>
      </c>
      <c r="H89" s="5">
        <v>2363</v>
      </c>
      <c r="I89" s="6"/>
      <c r="J89" s="6"/>
      <c r="K89" s="6"/>
      <c r="L89" s="5">
        <v>2363</v>
      </c>
      <c r="M89" t="s">
        <v>764</v>
      </c>
    </row>
    <row r="90" spans="1:13" ht="31.5" x14ac:dyDescent="0.35">
      <c r="A90" s="15"/>
      <c r="B90" s="4" t="s">
        <v>192</v>
      </c>
      <c r="C90" s="4" t="s">
        <v>193</v>
      </c>
      <c r="D90" s="4" t="s">
        <v>20</v>
      </c>
      <c r="E90" s="4" t="s">
        <v>21</v>
      </c>
      <c r="F90" s="4" t="s">
        <v>195</v>
      </c>
      <c r="G90" s="5">
        <v>4095</v>
      </c>
      <c r="H90" s="5">
        <v>6712</v>
      </c>
      <c r="I90" s="5">
        <v>6712</v>
      </c>
      <c r="J90" s="6"/>
      <c r="K90" s="6"/>
      <c r="L90" s="5">
        <v>3.6379788070917101E-12</v>
      </c>
      <c r="M90" t="s">
        <v>764</v>
      </c>
    </row>
    <row r="91" spans="1:13" ht="21" x14ac:dyDescent="0.35">
      <c r="A91" s="15"/>
      <c r="B91" s="4" t="s">
        <v>192</v>
      </c>
      <c r="C91" s="4" t="s">
        <v>193</v>
      </c>
      <c r="D91" s="4" t="s">
        <v>168</v>
      </c>
      <c r="E91" s="4" t="s">
        <v>169</v>
      </c>
      <c r="F91" s="4" t="s">
        <v>196</v>
      </c>
      <c r="G91" s="5">
        <v>0</v>
      </c>
      <c r="H91" s="5">
        <v>52500</v>
      </c>
      <c r="I91" s="6"/>
      <c r="J91" s="6"/>
      <c r="K91" s="6"/>
      <c r="L91" s="5">
        <v>52500</v>
      </c>
      <c r="M91" t="s">
        <v>764</v>
      </c>
    </row>
    <row r="92" spans="1:13" ht="21" x14ac:dyDescent="0.35">
      <c r="A92" s="15"/>
      <c r="B92" s="4" t="s">
        <v>192</v>
      </c>
      <c r="C92" s="4" t="s">
        <v>193</v>
      </c>
      <c r="D92" s="4" t="s">
        <v>70</v>
      </c>
      <c r="E92" s="4" t="s">
        <v>71</v>
      </c>
      <c r="F92" s="4" t="s">
        <v>197</v>
      </c>
      <c r="G92" s="5">
        <v>90000</v>
      </c>
      <c r="H92" s="5">
        <v>167045</v>
      </c>
      <c r="I92" s="5">
        <v>4092.06</v>
      </c>
      <c r="J92" s="6"/>
      <c r="K92" s="6"/>
      <c r="L92" s="5">
        <v>162952.94</v>
      </c>
      <c r="M92" t="s">
        <v>764</v>
      </c>
    </row>
    <row r="93" spans="1:13" ht="21" x14ac:dyDescent="0.35">
      <c r="A93" s="15"/>
      <c r="B93" s="4" t="s">
        <v>192</v>
      </c>
      <c r="C93" s="4" t="s">
        <v>193</v>
      </c>
      <c r="D93" s="4" t="s">
        <v>140</v>
      </c>
      <c r="E93" s="4" t="s">
        <v>141</v>
      </c>
      <c r="F93" s="4" t="s">
        <v>198</v>
      </c>
      <c r="G93" s="5">
        <v>126000</v>
      </c>
      <c r="H93" s="5">
        <v>135883</v>
      </c>
      <c r="I93" s="5">
        <v>99987.34</v>
      </c>
      <c r="J93" s="6"/>
      <c r="K93" s="6"/>
      <c r="L93" s="5">
        <v>35895.660000000003</v>
      </c>
      <c r="M93" t="s">
        <v>764</v>
      </c>
    </row>
    <row r="94" spans="1:13" ht="21" x14ac:dyDescent="0.35">
      <c r="A94" s="15"/>
      <c r="B94" s="4" t="s">
        <v>192</v>
      </c>
      <c r="C94" s="4" t="s">
        <v>193</v>
      </c>
      <c r="D94" s="4" t="s">
        <v>26</v>
      </c>
      <c r="E94" s="4" t="s">
        <v>27</v>
      </c>
      <c r="F94" s="4" t="s">
        <v>199</v>
      </c>
      <c r="G94" s="5">
        <v>3072</v>
      </c>
      <c r="H94" s="5">
        <v>3072</v>
      </c>
      <c r="I94" s="5">
        <v>2861.25</v>
      </c>
      <c r="J94" s="6"/>
      <c r="K94" s="6"/>
      <c r="L94" s="5">
        <v>210.75</v>
      </c>
      <c r="M94" t="s">
        <v>764</v>
      </c>
    </row>
    <row r="95" spans="1:13" ht="21" x14ac:dyDescent="0.35">
      <c r="A95" s="15"/>
      <c r="B95" s="4" t="s">
        <v>192</v>
      </c>
      <c r="C95" s="4" t="s">
        <v>193</v>
      </c>
      <c r="D95" s="4" t="s">
        <v>51</v>
      </c>
      <c r="E95" s="4" t="s">
        <v>52</v>
      </c>
      <c r="F95" s="4" t="s">
        <v>200</v>
      </c>
      <c r="G95" s="5">
        <v>7412</v>
      </c>
      <c r="H95" s="5">
        <v>3387</v>
      </c>
      <c r="I95" s="5">
        <v>3386.51</v>
      </c>
      <c r="J95" s="6"/>
      <c r="K95" s="6"/>
      <c r="L95" s="5">
        <v>0.489999999999782</v>
      </c>
      <c r="M95" t="s">
        <v>764</v>
      </c>
    </row>
    <row r="96" spans="1:13" ht="21" x14ac:dyDescent="0.35">
      <c r="A96" s="15"/>
      <c r="B96" s="4" t="s">
        <v>192</v>
      </c>
      <c r="C96" s="4" t="s">
        <v>193</v>
      </c>
      <c r="D96" s="4" t="s">
        <v>32</v>
      </c>
      <c r="E96" s="4" t="s">
        <v>33</v>
      </c>
      <c r="F96" s="4" t="s">
        <v>201</v>
      </c>
      <c r="G96" s="5">
        <v>10400</v>
      </c>
      <c r="H96" s="5">
        <v>10400</v>
      </c>
      <c r="I96" s="6"/>
      <c r="J96" s="6"/>
      <c r="K96" s="6"/>
      <c r="L96" s="5">
        <v>10400</v>
      </c>
      <c r="M96" t="s">
        <v>764</v>
      </c>
    </row>
    <row r="97" spans="1:13" ht="21" x14ac:dyDescent="0.35">
      <c r="A97" s="15"/>
      <c r="B97" s="4" t="s">
        <v>192</v>
      </c>
      <c r="C97" s="4" t="s">
        <v>193</v>
      </c>
      <c r="D97" s="4" t="s">
        <v>176</v>
      </c>
      <c r="E97" s="4" t="s">
        <v>177</v>
      </c>
      <c r="F97" s="4" t="s">
        <v>202</v>
      </c>
      <c r="G97" s="5">
        <v>88394</v>
      </c>
      <c r="H97" s="5">
        <v>104069</v>
      </c>
      <c r="I97" s="5">
        <v>25117.8</v>
      </c>
      <c r="J97" s="5">
        <v>-26517.8</v>
      </c>
      <c r="K97" s="5">
        <v>105469</v>
      </c>
      <c r="L97" s="5">
        <v>-1.45519152283669E-11</v>
      </c>
      <c r="M97" t="s">
        <v>764</v>
      </c>
    </row>
    <row r="98" spans="1:13" ht="21" x14ac:dyDescent="0.35">
      <c r="A98" s="15"/>
      <c r="B98" s="4" t="s">
        <v>192</v>
      </c>
      <c r="C98" s="4" t="s">
        <v>193</v>
      </c>
      <c r="D98" s="4" t="s">
        <v>131</v>
      </c>
      <c r="E98" s="4" t="s">
        <v>132</v>
      </c>
      <c r="F98" s="4" t="s">
        <v>203</v>
      </c>
      <c r="G98" s="5">
        <v>22246</v>
      </c>
      <c r="H98" s="5">
        <v>42246</v>
      </c>
      <c r="I98" s="5">
        <v>37989.339999999997</v>
      </c>
      <c r="J98" s="6"/>
      <c r="K98" s="6"/>
      <c r="L98" s="5">
        <v>4256.66</v>
      </c>
      <c r="M98" t="s">
        <v>764</v>
      </c>
    </row>
    <row r="99" spans="1:13" ht="21" x14ac:dyDescent="0.35">
      <c r="A99" s="15"/>
      <c r="B99" s="4" t="s">
        <v>192</v>
      </c>
      <c r="C99" s="4" t="s">
        <v>193</v>
      </c>
      <c r="D99" s="4" t="s">
        <v>134</v>
      </c>
      <c r="E99" s="4" t="s">
        <v>135</v>
      </c>
      <c r="F99" s="4" t="s">
        <v>204</v>
      </c>
      <c r="G99" s="5">
        <v>23139</v>
      </c>
      <c r="H99" s="5">
        <v>151430</v>
      </c>
      <c r="I99" s="5">
        <v>12491.38</v>
      </c>
      <c r="J99" s="5">
        <v>46808.22</v>
      </c>
      <c r="K99" s="5">
        <v>85696.14</v>
      </c>
      <c r="L99" s="5">
        <v>6434.2600000000102</v>
      </c>
      <c r="M99" t="s">
        <v>764</v>
      </c>
    </row>
    <row r="100" spans="1:13" ht="31.5" x14ac:dyDescent="0.35">
      <c r="A100" s="15"/>
      <c r="B100" s="4" t="s">
        <v>205</v>
      </c>
      <c r="C100" s="4" t="s">
        <v>206</v>
      </c>
      <c r="D100" s="4" t="s">
        <v>20</v>
      </c>
      <c r="E100" s="4" t="s">
        <v>21</v>
      </c>
      <c r="F100" s="4" t="s">
        <v>207</v>
      </c>
      <c r="G100" s="5">
        <v>13650</v>
      </c>
      <c r="H100" s="5">
        <v>11096</v>
      </c>
      <c r="I100" s="5">
        <v>11094.75</v>
      </c>
      <c r="J100" s="6"/>
      <c r="K100" s="6"/>
      <c r="L100" s="5">
        <v>1.25</v>
      </c>
      <c r="M100" t="s">
        <v>764</v>
      </c>
    </row>
    <row r="101" spans="1:13" ht="21" x14ac:dyDescent="0.35">
      <c r="A101" s="15"/>
      <c r="B101" s="4" t="s">
        <v>205</v>
      </c>
      <c r="C101" s="4" t="s">
        <v>206</v>
      </c>
      <c r="D101" s="4" t="s">
        <v>168</v>
      </c>
      <c r="E101" s="4" t="s">
        <v>169</v>
      </c>
      <c r="F101" s="4" t="s">
        <v>208</v>
      </c>
      <c r="G101" s="5">
        <v>5390</v>
      </c>
      <c r="H101" s="5">
        <v>1</v>
      </c>
      <c r="I101" s="6"/>
      <c r="J101" s="6"/>
      <c r="K101" s="6"/>
      <c r="L101" s="5">
        <v>1</v>
      </c>
      <c r="M101" t="s">
        <v>764</v>
      </c>
    </row>
    <row r="102" spans="1:13" ht="21" x14ac:dyDescent="0.35">
      <c r="A102" s="15"/>
      <c r="B102" s="4" t="s">
        <v>205</v>
      </c>
      <c r="C102" s="4" t="s">
        <v>206</v>
      </c>
      <c r="D102" s="4" t="s">
        <v>70</v>
      </c>
      <c r="E102" s="4" t="s">
        <v>71</v>
      </c>
      <c r="F102" s="4" t="s">
        <v>209</v>
      </c>
      <c r="G102" s="5">
        <v>45000</v>
      </c>
      <c r="H102" s="5">
        <v>42210</v>
      </c>
      <c r="I102" s="5">
        <v>42209.05</v>
      </c>
      <c r="J102" s="5">
        <v>0</v>
      </c>
      <c r="K102" s="5">
        <v>0</v>
      </c>
      <c r="L102" s="5">
        <v>0.95000000001164198</v>
      </c>
      <c r="M102" t="s">
        <v>764</v>
      </c>
    </row>
    <row r="103" spans="1:13" ht="21" x14ac:dyDescent="0.35">
      <c r="A103" s="15"/>
      <c r="B103" s="4" t="s">
        <v>205</v>
      </c>
      <c r="C103" s="4" t="s">
        <v>206</v>
      </c>
      <c r="D103" s="4" t="s">
        <v>140</v>
      </c>
      <c r="E103" s="4" t="s">
        <v>141</v>
      </c>
      <c r="F103" s="4" t="s">
        <v>210</v>
      </c>
      <c r="G103" s="5">
        <v>61600</v>
      </c>
      <c r="H103" s="5">
        <v>110430</v>
      </c>
      <c r="I103" s="5">
        <v>109864.97</v>
      </c>
      <c r="J103" s="6"/>
      <c r="K103" s="6"/>
      <c r="L103" s="5">
        <v>565.02999999999895</v>
      </c>
      <c r="M103" t="s">
        <v>764</v>
      </c>
    </row>
    <row r="104" spans="1:13" ht="21" x14ac:dyDescent="0.35">
      <c r="A104" s="15"/>
      <c r="B104" s="4" t="s">
        <v>205</v>
      </c>
      <c r="C104" s="4" t="s">
        <v>206</v>
      </c>
      <c r="D104" s="4" t="s">
        <v>26</v>
      </c>
      <c r="E104" s="4" t="s">
        <v>27</v>
      </c>
      <c r="F104" s="4" t="s">
        <v>211</v>
      </c>
      <c r="G104" s="5">
        <v>4750</v>
      </c>
      <c r="H104" s="5">
        <v>2416</v>
      </c>
      <c r="I104" s="5">
        <v>2415</v>
      </c>
      <c r="J104" s="6"/>
      <c r="K104" s="6"/>
      <c r="L104" s="5">
        <v>1</v>
      </c>
      <c r="M104" t="s">
        <v>764</v>
      </c>
    </row>
    <row r="105" spans="1:13" ht="21" x14ac:dyDescent="0.35">
      <c r="A105" s="15"/>
      <c r="B105" s="4" t="s">
        <v>205</v>
      </c>
      <c r="C105" s="4" t="s">
        <v>206</v>
      </c>
      <c r="D105" s="4" t="s">
        <v>51</v>
      </c>
      <c r="E105" s="4" t="s">
        <v>52</v>
      </c>
      <c r="F105" s="4" t="s">
        <v>212</v>
      </c>
      <c r="G105" s="5">
        <v>60384</v>
      </c>
      <c r="H105" s="5">
        <v>52568</v>
      </c>
      <c r="I105" s="5">
        <v>40052.620000000003</v>
      </c>
      <c r="J105" s="5">
        <v>0</v>
      </c>
      <c r="K105" s="5">
        <v>12513.91</v>
      </c>
      <c r="L105" s="5">
        <v>1.4699999999975299</v>
      </c>
      <c r="M105" t="s">
        <v>764</v>
      </c>
    </row>
    <row r="106" spans="1:13" ht="21" x14ac:dyDescent="0.35">
      <c r="A106" s="15"/>
      <c r="B106" s="4" t="s">
        <v>205</v>
      </c>
      <c r="C106" s="4" t="s">
        <v>206</v>
      </c>
      <c r="D106" s="4" t="s">
        <v>131</v>
      </c>
      <c r="E106" s="4" t="s">
        <v>132</v>
      </c>
      <c r="F106" s="4" t="s">
        <v>213</v>
      </c>
      <c r="G106" s="5">
        <v>15857</v>
      </c>
      <c r="H106" s="5">
        <v>17155</v>
      </c>
      <c r="I106" s="5">
        <v>17154.259999999998</v>
      </c>
      <c r="J106" s="6"/>
      <c r="K106" s="6"/>
      <c r="L106" s="5">
        <v>0.73999999999796295</v>
      </c>
      <c r="M106" t="s">
        <v>764</v>
      </c>
    </row>
    <row r="107" spans="1:13" ht="21" x14ac:dyDescent="0.35">
      <c r="A107" s="15"/>
      <c r="B107" s="4" t="s">
        <v>205</v>
      </c>
      <c r="C107" s="4" t="s">
        <v>206</v>
      </c>
      <c r="D107" s="4" t="s">
        <v>134</v>
      </c>
      <c r="E107" s="4" t="s">
        <v>135</v>
      </c>
      <c r="F107" s="4" t="s">
        <v>214</v>
      </c>
      <c r="G107" s="5">
        <v>60095</v>
      </c>
      <c r="H107" s="5">
        <v>13422</v>
      </c>
      <c r="I107" s="5">
        <v>6473.28</v>
      </c>
      <c r="J107" s="5">
        <v>-1613.7</v>
      </c>
      <c r="K107" s="5">
        <v>8561.84</v>
      </c>
      <c r="L107" s="5">
        <v>0.57999999999992702</v>
      </c>
      <c r="M107" t="s">
        <v>764</v>
      </c>
    </row>
    <row r="108" spans="1:13" ht="21" x14ac:dyDescent="0.35">
      <c r="A108" s="15"/>
      <c r="B108" s="4" t="s">
        <v>205</v>
      </c>
      <c r="C108" s="4" t="s">
        <v>206</v>
      </c>
      <c r="D108" s="4" t="s">
        <v>215</v>
      </c>
      <c r="E108" s="4" t="s">
        <v>216</v>
      </c>
      <c r="F108" s="4" t="s">
        <v>217</v>
      </c>
      <c r="G108" s="5">
        <v>10850</v>
      </c>
      <c r="H108" s="5">
        <v>1</v>
      </c>
      <c r="I108" s="6"/>
      <c r="J108" s="6"/>
      <c r="K108" s="6"/>
      <c r="L108" s="5">
        <v>1</v>
      </c>
      <c r="M108" t="s">
        <v>764</v>
      </c>
    </row>
    <row r="109" spans="1:13" ht="21" x14ac:dyDescent="0.35">
      <c r="A109" s="15"/>
      <c r="B109" s="4" t="s">
        <v>205</v>
      </c>
      <c r="C109" s="4" t="s">
        <v>206</v>
      </c>
      <c r="D109" s="4" t="s">
        <v>218</v>
      </c>
      <c r="E109" s="4" t="s">
        <v>219</v>
      </c>
      <c r="F109" s="4" t="s">
        <v>220</v>
      </c>
      <c r="G109" s="5">
        <v>5175</v>
      </c>
      <c r="H109" s="5">
        <v>1</v>
      </c>
      <c r="I109" s="6"/>
      <c r="J109" s="6"/>
      <c r="K109" s="6"/>
      <c r="L109" s="5">
        <v>1</v>
      </c>
      <c r="M109" t="s">
        <v>764</v>
      </c>
    </row>
    <row r="110" spans="1:13" ht="31.5" x14ac:dyDescent="0.35">
      <c r="A110" s="15"/>
      <c r="B110" s="4" t="s">
        <v>221</v>
      </c>
      <c r="C110" s="4" t="s">
        <v>222</v>
      </c>
      <c r="D110" s="4" t="s">
        <v>20</v>
      </c>
      <c r="E110" s="4" t="s">
        <v>21</v>
      </c>
      <c r="F110" s="4" t="s">
        <v>223</v>
      </c>
      <c r="G110" s="5">
        <v>0</v>
      </c>
      <c r="H110" s="5">
        <v>1231</v>
      </c>
      <c r="I110" s="6"/>
      <c r="J110" s="6"/>
      <c r="K110" s="6"/>
      <c r="L110" s="5">
        <v>1231</v>
      </c>
      <c r="M110" t="s">
        <v>764</v>
      </c>
    </row>
    <row r="111" spans="1:13" ht="31.5" x14ac:dyDescent="0.35">
      <c r="A111" s="15"/>
      <c r="B111" s="4" t="s">
        <v>221</v>
      </c>
      <c r="C111" s="4" t="s">
        <v>222</v>
      </c>
      <c r="D111" s="4" t="s">
        <v>168</v>
      </c>
      <c r="E111" s="4" t="s">
        <v>169</v>
      </c>
      <c r="F111" s="4" t="s">
        <v>224</v>
      </c>
      <c r="G111" s="5">
        <v>0</v>
      </c>
      <c r="H111" s="5">
        <v>5390</v>
      </c>
      <c r="I111" s="6"/>
      <c r="J111" s="6"/>
      <c r="K111" s="6"/>
      <c r="L111" s="5">
        <v>5390</v>
      </c>
      <c r="M111" t="s">
        <v>764</v>
      </c>
    </row>
    <row r="112" spans="1:13" ht="31.5" x14ac:dyDescent="0.35">
      <c r="A112" s="15"/>
      <c r="B112" s="4" t="s">
        <v>221</v>
      </c>
      <c r="C112" s="4" t="s">
        <v>222</v>
      </c>
      <c r="D112" s="4" t="s">
        <v>70</v>
      </c>
      <c r="E112" s="4" t="s">
        <v>71</v>
      </c>
      <c r="F112" s="4" t="s">
        <v>225</v>
      </c>
      <c r="G112" s="5">
        <v>0</v>
      </c>
      <c r="H112" s="5">
        <v>65408</v>
      </c>
      <c r="I112" s="6"/>
      <c r="J112" s="6"/>
      <c r="K112" s="6"/>
      <c r="L112" s="5">
        <v>65408</v>
      </c>
      <c r="M112" t="s">
        <v>764</v>
      </c>
    </row>
    <row r="113" spans="1:13" ht="31.5" x14ac:dyDescent="0.35">
      <c r="A113" s="15"/>
      <c r="B113" s="4" t="s">
        <v>221</v>
      </c>
      <c r="C113" s="4" t="s">
        <v>222</v>
      </c>
      <c r="D113" s="4" t="s">
        <v>140</v>
      </c>
      <c r="E113" s="4" t="s">
        <v>141</v>
      </c>
      <c r="F113" s="4" t="s">
        <v>226</v>
      </c>
      <c r="G113" s="5">
        <v>0</v>
      </c>
      <c r="H113" s="5">
        <v>209587</v>
      </c>
      <c r="I113" s="5">
        <v>54759.49</v>
      </c>
      <c r="J113" s="6"/>
      <c r="K113" s="6"/>
      <c r="L113" s="5">
        <v>154827.51</v>
      </c>
      <c r="M113" t="s">
        <v>764</v>
      </c>
    </row>
    <row r="114" spans="1:13" ht="31.5" x14ac:dyDescent="0.35">
      <c r="A114" s="15"/>
      <c r="B114" s="4" t="s">
        <v>221</v>
      </c>
      <c r="C114" s="4" t="s">
        <v>222</v>
      </c>
      <c r="D114" s="4" t="s">
        <v>26</v>
      </c>
      <c r="E114" s="4" t="s">
        <v>27</v>
      </c>
      <c r="F114" s="4" t="s">
        <v>227</v>
      </c>
      <c r="G114" s="5">
        <v>0</v>
      </c>
      <c r="H114" s="5">
        <v>5928</v>
      </c>
      <c r="I114" s="6"/>
      <c r="J114" s="6"/>
      <c r="K114" s="6"/>
      <c r="L114" s="5">
        <v>5928</v>
      </c>
      <c r="M114" t="s">
        <v>764</v>
      </c>
    </row>
    <row r="115" spans="1:13" ht="31.5" x14ac:dyDescent="0.35">
      <c r="A115" s="15"/>
      <c r="B115" s="4" t="s">
        <v>221</v>
      </c>
      <c r="C115" s="4" t="s">
        <v>222</v>
      </c>
      <c r="D115" s="4" t="s">
        <v>51</v>
      </c>
      <c r="E115" s="4" t="s">
        <v>52</v>
      </c>
      <c r="F115" s="4" t="s">
        <v>228</v>
      </c>
      <c r="G115" s="5">
        <v>0</v>
      </c>
      <c r="H115" s="5">
        <v>56521</v>
      </c>
      <c r="I115" s="6"/>
      <c r="J115" s="6"/>
      <c r="K115" s="6"/>
      <c r="L115" s="5">
        <v>56521</v>
      </c>
      <c r="M115" t="s">
        <v>764</v>
      </c>
    </row>
    <row r="116" spans="1:13" ht="31.5" x14ac:dyDescent="0.35">
      <c r="A116" s="15"/>
      <c r="B116" s="4" t="s">
        <v>221</v>
      </c>
      <c r="C116" s="4" t="s">
        <v>222</v>
      </c>
      <c r="D116" s="4" t="s">
        <v>131</v>
      </c>
      <c r="E116" s="4" t="s">
        <v>132</v>
      </c>
      <c r="F116" s="4" t="s">
        <v>229</v>
      </c>
      <c r="G116" s="5">
        <v>0</v>
      </c>
      <c r="H116" s="5">
        <v>33220</v>
      </c>
      <c r="I116" s="6"/>
      <c r="J116" s="6"/>
      <c r="K116" s="6"/>
      <c r="L116" s="5">
        <v>33220</v>
      </c>
      <c r="M116" t="s">
        <v>764</v>
      </c>
    </row>
    <row r="117" spans="1:13" ht="31.5" x14ac:dyDescent="0.35">
      <c r="A117" s="15"/>
      <c r="B117" s="4" t="s">
        <v>221</v>
      </c>
      <c r="C117" s="4" t="s">
        <v>222</v>
      </c>
      <c r="D117" s="4" t="s">
        <v>134</v>
      </c>
      <c r="E117" s="4" t="s">
        <v>135</v>
      </c>
      <c r="F117" s="4" t="s">
        <v>230</v>
      </c>
      <c r="G117" s="5">
        <v>0</v>
      </c>
      <c r="H117" s="5">
        <v>145047</v>
      </c>
      <c r="I117" s="6"/>
      <c r="J117" s="5">
        <v>0</v>
      </c>
      <c r="K117" s="5">
        <v>105396.56</v>
      </c>
      <c r="L117" s="5">
        <v>39650.44</v>
      </c>
      <c r="M117" t="s">
        <v>764</v>
      </c>
    </row>
    <row r="118" spans="1:13" ht="31.5" x14ac:dyDescent="0.35">
      <c r="A118" s="15"/>
      <c r="B118" s="4" t="s">
        <v>221</v>
      </c>
      <c r="C118" s="4" t="s">
        <v>222</v>
      </c>
      <c r="D118" s="4" t="s">
        <v>215</v>
      </c>
      <c r="E118" s="4" t="s">
        <v>216</v>
      </c>
      <c r="F118" s="4" t="s">
        <v>231</v>
      </c>
      <c r="G118" s="5">
        <v>0</v>
      </c>
      <c r="H118" s="5">
        <v>10850</v>
      </c>
      <c r="I118" s="6"/>
      <c r="J118" s="6"/>
      <c r="K118" s="6"/>
      <c r="L118" s="5">
        <v>10850</v>
      </c>
      <c r="M118" t="s">
        <v>764</v>
      </c>
    </row>
    <row r="119" spans="1:13" ht="31.5" x14ac:dyDescent="0.35">
      <c r="A119" s="15"/>
      <c r="B119" s="4" t="s">
        <v>221</v>
      </c>
      <c r="C119" s="4" t="s">
        <v>222</v>
      </c>
      <c r="D119" s="4" t="s">
        <v>218</v>
      </c>
      <c r="E119" s="4" t="s">
        <v>219</v>
      </c>
      <c r="F119" s="4" t="s">
        <v>232</v>
      </c>
      <c r="G119" s="5">
        <v>0</v>
      </c>
      <c r="H119" s="5">
        <v>5175</v>
      </c>
      <c r="I119" s="6"/>
      <c r="J119" s="6"/>
      <c r="K119" s="6"/>
      <c r="L119" s="5">
        <v>5175</v>
      </c>
      <c r="M119" t="s">
        <v>764</v>
      </c>
    </row>
    <row r="120" spans="1:13" ht="31.5" x14ac:dyDescent="0.35">
      <c r="A120" s="15"/>
      <c r="B120" s="4" t="s">
        <v>233</v>
      </c>
      <c r="C120" s="4" t="s">
        <v>234</v>
      </c>
      <c r="D120" s="4" t="s">
        <v>20</v>
      </c>
      <c r="E120" s="4" t="s">
        <v>21</v>
      </c>
      <c r="F120" s="4" t="s">
        <v>235</v>
      </c>
      <c r="G120" s="5">
        <v>3003</v>
      </c>
      <c r="H120" s="5">
        <v>3003</v>
      </c>
      <c r="I120" s="5">
        <v>1218.3599999999999</v>
      </c>
      <c r="J120" s="6"/>
      <c r="K120" s="6"/>
      <c r="L120" s="5">
        <v>1784.64</v>
      </c>
      <c r="M120" t="s">
        <v>764</v>
      </c>
    </row>
    <row r="121" spans="1:13" ht="21" x14ac:dyDescent="0.35">
      <c r="A121" s="15"/>
      <c r="B121" s="4" t="s">
        <v>233</v>
      </c>
      <c r="C121" s="4" t="s">
        <v>234</v>
      </c>
      <c r="D121" s="4" t="s">
        <v>70</v>
      </c>
      <c r="E121" s="4" t="s">
        <v>71</v>
      </c>
      <c r="F121" s="4" t="s">
        <v>236</v>
      </c>
      <c r="G121" s="5">
        <v>170809</v>
      </c>
      <c r="H121" s="5">
        <v>96000</v>
      </c>
      <c r="I121" s="5">
        <v>11443.75</v>
      </c>
      <c r="J121" s="6"/>
      <c r="K121" s="6"/>
      <c r="L121" s="5">
        <v>84556.25</v>
      </c>
      <c r="M121" t="s">
        <v>764</v>
      </c>
    </row>
    <row r="122" spans="1:13" ht="21" x14ac:dyDescent="0.35">
      <c r="A122" s="15"/>
      <c r="B122" s="4" t="s">
        <v>233</v>
      </c>
      <c r="C122" s="4" t="s">
        <v>234</v>
      </c>
      <c r="D122" s="4" t="s">
        <v>140</v>
      </c>
      <c r="E122" s="4" t="s">
        <v>141</v>
      </c>
      <c r="F122" s="4" t="s">
        <v>237</v>
      </c>
      <c r="G122" s="5">
        <v>264435</v>
      </c>
      <c r="H122" s="5">
        <v>264435</v>
      </c>
      <c r="I122" s="5">
        <v>183841.63</v>
      </c>
      <c r="J122" s="5">
        <v>0</v>
      </c>
      <c r="K122" s="6"/>
      <c r="L122" s="5">
        <v>80593.37</v>
      </c>
      <c r="M122" t="s">
        <v>764</v>
      </c>
    </row>
    <row r="123" spans="1:13" ht="21" x14ac:dyDescent="0.35">
      <c r="A123" s="15"/>
      <c r="B123" s="4" t="s">
        <v>233</v>
      </c>
      <c r="C123" s="4" t="s">
        <v>234</v>
      </c>
      <c r="D123" s="4" t="s">
        <v>26</v>
      </c>
      <c r="E123" s="4" t="s">
        <v>27</v>
      </c>
      <c r="F123" s="4" t="s">
        <v>238</v>
      </c>
      <c r="G123" s="5">
        <v>9600</v>
      </c>
      <c r="H123" s="5">
        <v>9600</v>
      </c>
      <c r="I123" s="5">
        <v>472.5</v>
      </c>
      <c r="J123" s="6"/>
      <c r="K123" s="6"/>
      <c r="L123" s="5">
        <v>9127.5</v>
      </c>
      <c r="M123" t="s">
        <v>764</v>
      </c>
    </row>
    <row r="124" spans="1:13" ht="21" x14ac:dyDescent="0.35">
      <c r="A124" s="15"/>
      <c r="B124" s="4" t="s">
        <v>233</v>
      </c>
      <c r="C124" s="4" t="s">
        <v>234</v>
      </c>
      <c r="D124" s="4" t="s">
        <v>51</v>
      </c>
      <c r="E124" s="4" t="s">
        <v>52</v>
      </c>
      <c r="F124" s="4" t="s">
        <v>239</v>
      </c>
      <c r="G124" s="5">
        <v>24683</v>
      </c>
      <c r="H124" s="5">
        <v>31683</v>
      </c>
      <c r="I124" s="5">
        <v>21297.18</v>
      </c>
      <c r="J124" s="5">
        <v>5840.07</v>
      </c>
      <c r="K124" s="5">
        <v>7674.74</v>
      </c>
      <c r="L124" s="5">
        <v>1588.39</v>
      </c>
      <c r="M124" t="s">
        <v>764</v>
      </c>
    </row>
    <row r="125" spans="1:13" ht="21" x14ac:dyDescent="0.35">
      <c r="A125" s="15"/>
      <c r="B125" s="4" t="s">
        <v>233</v>
      </c>
      <c r="C125" s="4" t="s">
        <v>234</v>
      </c>
      <c r="D125" s="4" t="s">
        <v>176</v>
      </c>
      <c r="E125" s="4" t="s">
        <v>177</v>
      </c>
      <c r="F125" s="4" t="s">
        <v>240</v>
      </c>
      <c r="G125" s="5">
        <v>177182</v>
      </c>
      <c r="H125" s="5">
        <v>170182</v>
      </c>
      <c r="I125" s="5">
        <v>9505</v>
      </c>
      <c r="J125" s="5">
        <v>-7755</v>
      </c>
      <c r="K125" s="5">
        <v>71701</v>
      </c>
      <c r="L125" s="5">
        <v>96731</v>
      </c>
      <c r="M125" t="s">
        <v>764</v>
      </c>
    </row>
    <row r="126" spans="1:13" ht="21" x14ac:dyDescent="0.35">
      <c r="A126" s="15"/>
      <c r="B126" s="4" t="s">
        <v>233</v>
      </c>
      <c r="C126" s="4" t="s">
        <v>234</v>
      </c>
      <c r="D126" s="4" t="s">
        <v>131</v>
      </c>
      <c r="E126" s="4" t="s">
        <v>132</v>
      </c>
      <c r="F126" s="4" t="s">
        <v>241</v>
      </c>
      <c r="G126" s="5">
        <v>153994</v>
      </c>
      <c r="H126" s="5">
        <v>38400</v>
      </c>
      <c r="I126" s="5">
        <v>15676.44</v>
      </c>
      <c r="J126" s="6"/>
      <c r="K126" s="6"/>
      <c r="L126" s="5">
        <v>22723.56</v>
      </c>
      <c r="M126" t="s">
        <v>764</v>
      </c>
    </row>
    <row r="127" spans="1:13" ht="21" x14ac:dyDescent="0.35">
      <c r="A127" s="15"/>
      <c r="B127" s="4" t="s">
        <v>233</v>
      </c>
      <c r="C127" s="4" t="s">
        <v>234</v>
      </c>
      <c r="D127" s="4" t="s">
        <v>134</v>
      </c>
      <c r="E127" s="4" t="s">
        <v>135</v>
      </c>
      <c r="F127" s="4" t="s">
        <v>242</v>
      </c>
      <c r="G127" s="5">
        <v>14674</v>
      </c>
      <c r="H127" s="5">
        <v>65766</v>
      </c>
      <c r="I127" s="5">
        <v>16531.03</v>
      </c>
      <c r="J127" s="5">
        <v>-9705</v>
      </c>
      <c r="K127" s="5">
        <v>50934.8</v>
      </c>
      <c r="L127" s="5">
        <v>8005.17</v>
      </c>
      <c r="M127" t="s">
        <v>764</v>
      </c>
    </row>
    <row r="128" spans="1:13" ht="21" x14ac:dyDescent="0.35">
      <c r="A128" s="15"/>
      <c r="B128" s="4" t="s">
        <v>233</v>
      </c>
      <c r="C128" s="4" t="s">
        <v>234</v>
      </c>
      <c r="D128" s="4" t="s">
        <v>218</v>
      </c>
      <c r="E128" s="4" t="s">
        <v>219</v>
      </c>
      <c r="F128" s="4" t="s">
        <v>243</v>
      </c>
      <c r="G128" s="5">
        <v>19420</v>
      </c>
      <c r="H128" s="5">
        <v>0</v>
      </c>
      <c r="I128" s="6"/>
      <c r="J128" s="6"/>
      <c r="K128" s="6"/>
      <c r="L128" s="5">
        <v>0</v>
      </c>
      <c r="M128" t="s">
        <v>764</v>
      </c>
    </row>
    <row r="129" spans="1:13" ht="31.5" x14ac:dyDescent="0.35">
      <c r="A129" s="15"/>
      <c r="B129" s="4" t="s">
        <v>244</v>
      </c>
      <c r="C129" s="4" t="s">
        <v>245</v>
      </c>
      <c r="D129" s="4" t="s">
        <v>17</v>
      </c>
      <c r="E129" s="4" t="s">
        <v>18</v>
      </c>
      <c r="F129" s="4" t="s">
        <v>246</v>
      </c>
      <c r="G129" s="5">
        <v>5520</v>
      </c>
      <c r="H129" s="5">
        <v>5520</v>
      </c>
      <c r="I129" s="6"/>
      <c r="J129" s="6"/>
      <c r="K129" s="6"/>
      <c r="L129" s="5">
        <v>5520</v>
      </c>
      <c r="M129" t="s">
        <v>764</v>
      </c>
    </row>
    <row r="130" spans="1:13" ht="31.5" x14ac:dyDescent="0.35">
      <c r="A130" s="15"/>
      <c r="B130" s="4" t="s">
        <v>244</v>
      </c>
      <c r="C130" s="4" t="s">
        <v>245</v>
      </c>
      <c r="D130" s="4" t="s">
        <v>20</v>
      </c>
      <c r="E130" s="4" t="s">
        <v>21</v>
      </c>
      <c r="F130" s="4" t="s">
        <v>247</v>
      </c>
      <c r="G130" s="5">
        <v>4550</v>
      </c>
      <c r="H130" s="5">
        <v>4550</v>
      </c>
      <c r="I130" s="5">
        <v>4520.25</v>
      </c>
      <c r="J130" s="6"/>
      <c r="K130" s="6"/>
      <c r="L130" s="5">
        <v>29.75</v>
      </c>
      <c r="M130" t="s">
        <v>764</v>
      </c>
    </row>
    <row r="131" spans="1:13" ht="31.5" x14ac:dyDescent="0.35">
      <c r="A131" s="15"/>
      <c r="B131" s="4" t="s">
        <v>244</v>
      </c>
      <c r="C131" s="4" t="s">
        <v>245</v>
      </c>
      <c r="D131" s="4" t="s">
        <v>168</v>
      </c>
      <c r="E131" s="4" t="s">
        <v>169</v>
      </c>
      <c r="F131" s="4" t="s">
        <v>248</v>
      </c>
      <c r="G131" s="5">
        <v>5434</v>
      </c>
      <c r="H131" s="5">
        <v>23634</v>
      </c>
      <c r="I131" s="6"/>
      <c r="J131" s="6"/>
      <c r="K131" s="6"/>
      <c r="L131" s="5">
        <v>23634</v>
      </c>
      <c r="M131" t="s">
        <v>764</v>
      </c>
    </row>
    <row r="132" spans="1:13" ht="31.5" x14ac:dyDescent="0.35">
      <c r="A132" s="15"/>
      <c r="B132" s="4" t="s">
        <v>244</v>
      </c>
      <c r="C132" s="4" t="s">
        <v>245</v>
      </c>
      <c r="D132" s="4" t="s">
        <v>70</v>
      </c>
      <c r="E132" s="4" t="s">
        <v>71</v>
      </c>
      <c r="F132" s="4" t="s">
        <v>249</v>
      </c>
      <c r="G132" s="5">
        <v>50000</v>
      </c>
      <c r="H132" s="5">
        <v>210809</v>
      </c>
      <c r="I132" s="5">
        <v>175250</v>
      </c>
      <c r="J132" s="6"/>
      <c r="K132" s="6"/>
      <c r="L132" s="5">
        <v>35559</v>
      </c>
      <c r="M132" t="s">
        <v>764</v>
      </c>
    </row>
    <row r="133" spans="1:13" ht="31.5" x14ac:dyDescent="0.35">
      <c r="A133" s="15"/>
      <c r="B133" s="4" t="s">
        <v>244</v>
      </c>
      <c r="C133" s="4" t="s">
        <v>245</v>
      </c>
      <c r="D133" s="4" t="s">
        <v>140</v>
      </c>
      <c r="E133" s="4" t="s">
        <v>141</v>
      </c>
      <c r="F133" s="4" t="s">
        <v>250</v>
      </c>
      <c r="G133" s="5">
        <v>106489</v>
      </c>
      <c r="H133" s="5">
        <v>356489</v>
      </c>
      <c r="I133" s="5">
        <v>312894.67</v>
      </c>
      <c r="J133" s="6"/>
      <c r="K133" s="6"/>
      <c r="L133" s="5">
        <v>43594.33</v>
      </c>
      <c r="M133" t="s">
        <v>764</v>
      </c>
    </row>
    <row r="134" spans="1:13" ht="31.5" x14ac:dyDescent="0.35">
      <c r="A134" s="15"/>
      <c r="B134" s="4" t="s">
        <v>244</v>
      </c>
      <c r="C134" s="4" t="s">
        <v>245</v>
      </c>
      <c r="D134" s="4" t="s">
        <v>26</v>
      </c>
      <c r="E134" s="4" t="s">
        <v>27</v>
      </c>
      <c r="F134" s="4" t="s">
        <v>251</v>
      </c>
      <c r="G134" s="5">
        <v>9600</v>
      </c>
      <c r="H134" s="5">
        <v>11400</v>
      </c>
      <c r="I134" s="5">
        <v>11340</v>
      </c>
      <c r="J134" s="6"/>
      <c r="K134" s="6"/>
      <c r="L134" s="5">
        <v>1410</v>
      </c>
      <c r="M134" t="s">
        <v>764</v>
      </c>
    </row>
    <row r="135" spans="1:13" ht="31.5" x14ac:dyDescent="0.35">
      <c r="A135" s="15"/>
      <c r="B135" s="4" t="s">
        <v>244</v>
      </c>
      <c r="C135" s="4" t="s">
        <v>245</v>
      </c>
      <c r="D135" s="4" t="s">
        <v>51</v>
      </c>
      <c r="E135" s="4" t="s">
        <v>52</v>
      </c>
      <c r="F135" s="4" t="s">
        <v>252</v>
      </c>
      <c r="G135" s="5">
        <v>414733</v>
      </c>
      <c r="H135" s="5">
        <v>342733</v>
      </c>
      <c r="I135" s="5">
        <v>115815.16</v>
      </c>
      <c r="J135" s="5">
        <v>-23310</v>
      </c>
      <c r="K135" s="5">
        <v>45000</v>
      </c>
      <c r="L135" s="5">
        <v>205227.84</v>
      </c>
      <c r="M135" t="s">
        <v>764</v>
      </c>
    </row>
    <row r="136" spans="1:13" ht="31.5" x14ac:dyDescent="0.35">
      <c r="A136" s="15"/>
      <c r="B136" s="4" t="s">
        <v>244</v>
      </c>
      <c r="C136" s="4" t="s">
        <v>245</v>
      </c>
      <c r="D136" s="4" t="s">
        <v>176</v>
      </c>
      <c r="E136" s="4" t="s">
        <v>177</v>
      </c>
      <c r="F136" s="4" t="s">
        <v>253</v>
      </c>
      <c r="G136" s="5">
        <v>18994</v>
      </c>
      <c r="H136" s="5">
        <v>18994</v>
      </c>
      <c r="I136" s="6"/>
      <c r="J136" s="6"/>
      <c r="K136" s="6"/>
      <c r="L136" s="5">
        <v>18994</v>
      </c>
      <c r="M136" t="s">
        <v>764</v>
      </c>
    </row>
    <row r="137" spans="1:13" ht="31.5" x14ac:dyDescent="0.35">
      <c r="A137" s="15"/>
      <c r="B137" s="4" t="s">
        <v>244</v>
      </c>
      <c r="C137" s="4" t="s">
        <v>245</v>
      </c>
      <c r="D137" s="4" t="s">
        <v>131</v>
      </c>
      <c r="E137" s="4" t="s">
        <v>132</v>
      </c>
      <c r="F137" s="4" t="s">
        <v>254</v>
      </c>
      <c r="G137" s="5">
        <v>23640</v>
      </c>
      <c r="H137" s="5">
        <v>123640</v>
      </c>
      <c r="I137" s="5">
        <v>96423.03</v>
      </c>
      <c r="J137" s="6"/>
      <c r="K137" s="6"/>
      <c r="L137" s="5">
        <v>27216.97</v>
      </c>
      <c r="M137" t="s">
        <v>764</v>
      </c>
    </row>
    <row r="138" spans="1:13" ht="31.5" x14ac:dyDescent="0.35">
      <c r="A138" s="15"/>
      <c r="B138" s="4" t="s">
        <v>244</v>
      </c>
      <c r="C138" s="4" t="s">
        <v>245</v>
      </c>
      <c r="D138" s="4" t="s">
        <v>134</v>
      </c>
      <c r="E138" s="4" t="s">
        <v>135</v>
      </c>
      <c r="F138" s="4" t="s">
        <v>255</v>
      </c>
      <c r="G138" s="5">
        <v>70003</v>
      </c>
      <c r="H138" s="5">
        <v>74960</v>
      </c>
      <c r="I138" s="5">
        <v>10507.12</v>
      </c>
      <c r="J138" s="5">
        <v>13128</v>
      </c>
      <c r="K138" s="5">
        <v>41045</v>
      </c>
      <c r="L138" s="5">
        <v>10279.879999999999</v>
      </c>
      <c r="M138" t="s">
        <v>764</v>
      </c>
    </row>
    <row r="139" spans="1:13" ht="42" x14ac:dyDescent="0.35">
      <c r="A139" s="15"/>
      <c r="B139" s="4" t="s">
        <v>256</v>
      </c>
      <c r="C139" s="4" t="s">
        <v>257</v>
      </c>
      <c r="D139" s="4" t="s">
        <v>20</v>
      </c>
      <c r="E139" s="4" t="s">
        <v>21</v>
      </c>
      <c r="F139" s="4" t="s">
        <v>258</v>
      </c>
      <c r="G139" s="5">
        <v>3750</v>
      </c>
      <c r="H139" s="5">
        <v>3750</v>
      </c>
      <c r="I139" s="5">
        <v>350</v>
      </c>
      <c r="J139" s="6"/>
      <c r="K139" s="6"/>
      <c r="L139" s="5">
        <v>3400</v>
      </c>
      <c r="M139" t="s">
        <v>764</v>
      </c>
    </row>
    <row r="140" spans="1:13" ht="42" x14ac:dyDescent="0.35">
      <c r="A140" s="15"/>
      <c r="B140" s="4" t="s">
        <v>256</v>
      </c>
      <c r="C140" s="4" t="s">
        <v>257</v>
      </c>
      <c r="D140" s="4" t="s">
        <v>259</v>
      </c>
      <c r="E140" s="4" t="s">
        <v>260</v>
      </c>
      <c r="F140" s="4" t="s">
        <v>261</v>
      </c>
      <c r="G140" s="5">
        <v>32092</v>
      </c>
      <c r="H140" s="5">
        <v>4000</v>
      </c>
      <c r="I140" s="6"/>
      <c r="J140" s="6"/>
      <c r="K140" s="6"/>
      <c r="L140" s="5">
        <v>4000</v>
      </c>
      <c r="M140" t="s">
        <v>764</v>
      </c>
    </row>
    <row r="141" spans="1:13" ht="42" x14ac:dyDescent="0.35">
      <c r="A141" s="15"/>
      <c r="B141" s="4" t="s">
        <v>256</v>
      </c>
      <c r="C141" s="4" t="s">
        <v>257</v>
      </c>
      <c r="D141" s="4" t="s">
        <v>168</v>
      </c>
      <c r="E141" s="4" t="s">
        <v>169</v>
      </c>
      <c r="F141" s="4" t="s">
        <v>262</v>
      </c>
      <c r="G141" s="5">
        <v>4380</v>
      </c>
      <c r="H141" s="5">
        <v>7330</v>
      </c>
      <c r="I141" s="5">
        <v>5040</v>
      </c>
      <c r="J141" s="6"/>
      <c r="K141" s="6"/>
      <c r="L141" s="5">
        <v>2290</v>
      </c>
      <c r="M141" t="s">
        <v>764</v>
      </c>
    </row>
    <row r="142" spans="1:13" ht="42" x14ac:dyDescent="0.35">
      <c r="A142" s="15"/>
      <c r="B142" s="4" t="s">
        <v>256</v>
      </c>
      <c r="C142" s="4" t="s">
        <v>257</v>
      </c>
      <c r="D142" s="4" t="s">
        <v>70</v>
      </c>
      <c r="E142" s="4" t="s">
        <v>71</v>
      </c>
      <c r="F142" s="4" t="s">
        <v>263</v>
      </c>
      <c r="G142" s="5">
        <v>187500</v>
      </c>
      <c r="H142" s="5">
        <v>60000</v>
      </c>
      <c r="I142" s="5">
        <v>8948</v>
      </c>
      <c r="J142" s="5">
        <v>13242.87</v>
      </c>
      <c r="K142" s="5">
        <v>7346</v>
      </c>
      <c r="L142" s="5">
        <v>30463.13</v>
      </c>
      <c r="M142" t="s">
        <v>764</v>
      </c>
    </row>
    <row r="143" spans="1:13" ht="42" x14ac:dyDescent="0.35">
      <c r="A143" s="15"/>
      <c r="B143" s="4" t="s">
        <v>256</v>
      </c>
      <c r="C143" s="4" t="s">
        <v>257</v>
      </c>
      <c r="D143" s="4" t="s">
        <v>140</v>
      </c>
      <c r="E143" s="4" t="s">
        <v>141</v>
      </c>
      <c r="F143" s="4" t="s">
        <v>264</v>
      </c>
      <c r="G143" s="5">
        <v>192500</v>
      </c>
      <c r="H143" s="5">
        <v>247550</v>
      </c>
      <c r="I143" s="5">
        <v>163432.46</v>
      </c>
      <c r="J143" s="6"/>
      <c r="K143" s="6"/>
      <c r="L143" s="5">
        <v>84117.54</v>
      </c>
      <c r="M143" t="s">
        <v>764</v>
      </c>
    </row>
    <row r="144" spans="1:13" ht="42" x14ac:dyDescent="0.35">
      <c r="A144" s="15"/>
      <c r="B144" s="4" t="s">
        <v>256</v>
      </c>
      <c r="C144" s="4" t="s">
        <v>257</v>
      </c>
      <c r="D144" s="4" t="s">
        <v>26</v>
      </c>
      <c r="E144" s="4" t="s">
        <v>27</v>
      </c>
      <c r="F144" s="4" t="s">
        <v>265</v>
      </c>
      <c r="G144" s="5">
        <v>4095</v>
      </c>
      <c r="H144" s="5">
        <v>16095</v>
      </c>
      <c r="I144" s="5">
        <v>5670</v>
      </c>
      <c r="J144" s="6"/>
      <c r="K144" s="6"/>
      <c r="L144" s="5">
        <v>10425</v>
      </c>
      <c r="M144" t="s">
        <v>764</v>
      </c>
    </row>
    <row r="145" spans="1:13" ht="42" x14ac:dyDescent="0.35">
      <c r="A145" s="15"/>
      <c r="B145" s="4" t="s">
        <v>256</v>
      </c>
      <c r="C145" s="4" t="s">
        <v>257</v>
      </c>
      <c r="D145" s="4" t="s">
        <v>51</v>
      </c>
      <c r="E145" s="4" t="s">
        <v>52</v>
      </c>
      <c r="F145" s="4" t="s">
        <v>266</v>
      </c>
      <c r="G145" s="5">
        <v>154616</v>
      </c>
      <c r="H145" s="5">
        <v>164616</v>
      </c>
      <c r="I145" s="5">
        <v>134031.56</v>
      </c>
      <c r="J145" s="5">
        <v>0</v>
      </c>
      <c r="K145" s="5">
        <v>28567.68</v>
      </c>
      <c r="L145" s="5">
        <v>2016.76</v>
      </c>
      <c r="M145" t="s">
        <v>764</v>
      </c>
    </row>
    <row r="146" spans="1:13" ht="42" x14ac:dyDescent="0.35">
      <c r="A146" s="15"/>
      <c r="B146" s="4" t="s">
        <v>256</v>
      </c>
      <c r="C146" s="4" t="s">
        <v>257</v>
      </c>
      <c r="D146" s="4" t="s">
        <v>131</v>
      </c>
      <c r="E146" s="4" t="s">
        <v>132</v>
      </c>
      <c r="F146" s="4" t="s">
        <v>267</v>
      </c>
      <c r="G146" s="5">
        <v>84000</v>
      </c>
      <c r="H146" s="5">
        <v>70000</v>
      </c>
      <c r="I146" s="5">
        <v>39728.519999999997</v>
      </c>
      <c r="J146" s="6"/>
      <c r="K146" s="6"/>
      <c r="L146" s="5">
        <v>30271.48</v>
      </c>
      <c r="M146" t="s">
        <v>764</v>
      </c>
    </row>
    <row r="147" spans="1:13" ht="42" x14ac:dyDescent="0.35">
      <c r="A147" s="15"/>
      <c r="B147" s="4" t="s">
        <v>256</v>
      </c>
      <c r="C147" s="4" t="s">
        <v>257</v>
      </c>
      <c r="D147" s="4" t="s">
        <v>134</v>
      </c>
      <c r="E147" s="4" t="s">
        <v>135</v>
      </c>
      <c r="F147" s="4" t="s">
        <v>268</v>
      </c>
      <c r="G147" s="5">
        <v>89880</v>
      </c>
      <c r="H147" s="5">
        <v>60880</v>
      </c>
      <c r="I147" s="5">
        <v>56172.84</v>
      </c>
      <c r="J147" s="5">
        <v>-9834.4599999999991</v>
      </c>
      <c r="K147" s="5">
        <v>0</v>
      </c>
      <c r="L147" s="5">
        <v>14541.62</v>
      </c>
      <c r="M147" t="s">
        <v>764</v>
      </c>
    </row>
    <row r="148" spans="1:13" ht="42" x14ac:dyDescent="0.35">
      <c r="A148" s="15"/>
      <c r="B148" s="4" t="s">
        <v>256</v>
      </c>
      <c r="C148" s="4" t="s">
        <v>257</v>
      </c>
      <c r="D148" s="4" t="s">
        <v>218</v>
      </c>
      <c r="E148" s="4" t="s">
        <v>219</v>
      </c>
      <c r="F148" s="4" t="s">
        <v>269</v>
      </c>
      <c r="G148" s="5">
        <v>2760</v>
      </c>
      <c r="H148" s="5">
        <v>2760</v>
      </c>
      <c r="I148" s="6"/>
      <c r="J148" s="6"/>
      <c r="K148" s="6"/>
      <c r="L148" s="5">
        <v>2760</v>
      </c>
      <c r="M148" t="s">
        <v>764</v>
      </c>
    </row>
    <row r="149" spans="1:13" ht="31.5" x14ac:dyDescent="0.35">
      <c r="A149" s="15"/>
      <c r="B149" s="4" t="s">
        <v>270</v>
      </c>
      <c r="C149" s="4" t="s">
        <v>271</v>
      </c>
      <c r="D149" s="4" t="s">
        <v>20</v>
      </c>
      <c r="E149" s="4" t="s">
        <v>21</v>
      </c>
      <c r="F149" s="4" t="s">
        <v>272</v>
      </c>
      <c r="G149" s="5">
        <v>0</v>
      </c>
      <c r="H149" s="5">
        <v>10500</v>
      </c>
      <c r="I149" s="5">
        <v>10462.700000000001</v>
      </c>
      <c r="J149" s="6"/>
      <c r="K149" s="6"/>
      <c r="L149" s="5">
        <v>37.299999999999301</v>
      </c>
      <c r="M149" t="s">
        <v>764</v>
      </c>
    </row>
    <row r="150" spans="1:13" ht="21" x14ac:dyDescent="0.35">
      <c r="A150" s="15"/>
      <c r="B150" s="4" t="s">
        <v>270</v>
      </c>
      <c r="C150" s="4" t="s">
        <v>271</v>
      </c>
      <c r="D150" s="4" t="s">
        <v>259</v>
      </c>
      <c r="E150" s="4" t="s">
        <v>260</v>
      </c>
      <c r="F150" s="4" t="s">
        <v>273</v>
      </c>
      <c r="G150" s="5">
        <v>0</v>
      </c>
      <c r="H150" s="5">
        <v>29054</v>
      </c>
      <c r="I150" s="5">
        <v>58820.18</v>
      </c>
      <c r="J150" s="5">
        <v>-29766.77</v>
      </c>
      <c r="K150" s="5">
        <v>0</v>
      </c>
      <c r="L150" s="5">
        <v>0.58999999999287001</v>
      </c>
      <c r="M150" t="s">
        <v>764</v>
      </c>
    </row>
    <row r="151" spans="1:13" ht="21" x14ac:dyDescent="0.35">
      <c r="A151" s="15"/>
      <c r="B151" s="4" t="s">
        <v>270</v>
      </c>
      <c r="C151" s="4" t="s">
        <v>271</v>
      </c>
      <c r="D151" s="4" t="s">
        <v>168</v>
      </c>
      <c r="E151" s="4" t="s">
        <v>169</v>
      </c>
      <c r="F151" s="4" t="s">
        <v>274</v>
      </c>
      <c r="G151" s="5">
        <v>58400</v>
      </c>
      <c r="H151" s="5">
        <v>1182</v>
      </c>
      <c r="I151" s="5">
        <v>1181.25</v>
      </c>
      <c r="J151" s="6"/>
      <c r="K151" s="6"/>
      <c r="L151" s="5">
        <v>0.75</v>
      </c>
      <c r="M151" t="s">
        <v>764</v>
      </c>
    </row>
    <row r="152" spans="1:13" ht="21" x14ac:dyDescent="0.35">
      <c r="A152" s="15"/>
      <c r="B152" s="4" t="s">
        <v>270</v>
      </c>
      <c r="C152" s="4" t="s">
        <v>271</v>
      </c>
      <c r="D152" s="4" t="s">
        <v>70</v>
      </c>
      <c r="E152" s="4" t="s">
        <v>71</v>
      </c>
      <c r="F152" s="4" t="s">
        <v>275</v>
      </c>
      <c r="G152" s="5">
        <v>0</v>
      </c>
      <c r="H152" s="5">
        <v>171891</v>
      </c>
      <c r="I152" s="5">
        <v>145378.93</v>
      </c>
      <c r="J152" s="6"/>
      <c r="K152" s="6"/>
      <c r="L152" s="5">
        <v>26512.07</v>
      </c>
      <c r="M152" t="s">
        <v>764</v>
      </c>
    </row>
    <row r="153" spans="1:13" ht="21" x14ac:dyDescent="0.35">
      <c r="A153" s="15"/>
      <c r="B153" s="4" t="s">
        <v>270</v>
      </c>
      <c r="C153" s="4" t="s">
        <v>271</v>
      </c>
      <c r="D153" s="4" t="s">
        <v>140</v>
      </c>
      <c r="E153" s="4" t="s">
        <v>141</v>
      </c>
      <c r="F153" s="4" t="s">
        <v>276</v>
      </c>
      <c r="G153" s="5">
        <v>38500</v>
      </c>
      <c r="H153" s="5">
        <v>144663</v>
      </c>
      <c r="I153" s="5">
        <v>144662.42000000001</v>
      </c>
      <c r="J153" s="6"/>
      <c r="K153" s="6"/>
      <c r="L153" s="5">
        <v>0.57999999995081497</v>
      </c>
      <c r="M153" t="s">
        <v>764</v>
      </c>
    </row>
    <row r="154" spans="1:13" ht="21" x14ac:dyDescent="0.35">
      <c r="A154" s="15"/>
      <c r="B154" s="4" t="s">
        <v>270</v>
      </c>
      <c r="C154" s="4" t="s">
        <v>271</v>
      </c>
      <c r="D154" s="4" t="s">
        <v>26</v>
      </c>
      <c r="E154" s="4" t="s">
        <v>27</v>
      </c>
      <c r="F154" s="4" t="s">
        <v>277</v>
      </c>
      <c r="G154" s="5">
        <v>3200</v>
      </c>
      <c r="H154" s="5">
        <v>31801</v>
      </c>
      <c r="I154" s="5">
        <v>23889.9</v>
      </c>
      <c r="J154" s="5">
        <v>0</v>
      </c>
      <c r="K154" s="5">
        <v>7910</v>
      </c>
      <c r="L154" s="5">
        <v>1.09999999999127</v>
      </c>
      <c r="M154" t="s">
        <v>764</v>
      </c>
    </row>
    <row r="155" spans="1:13" ht="21" x14ac:dyDescent="0.35">
      <c r="A155" s="15"/>
      <c r="B155" s="4" t="s">
        <v>270</v>
      </c>
      <c r="C155" s="4" t="s">
        <v>271</v>
      </c>
      <c r="D155" s="4" t="s">
        <v>51</v>
      </c>
      <c r="E155" s="4" t="s">
        <v>52</v>
      </c>
      <c r="F155" s="4" t="s">
        <v>278</v>
      </c>
      <c r="G155" s="5">
        <v>177090</v>
      </c>
      <c r="H155" s="5">
        <v>193536</v>
      </c>
      <c r="I155" s="5">
        <v>166056.51999999999</v>
      </c>
      <c r="J155" s="5">
        <v>0</v>
      </c>
      <c r="K155" s="5">
        <v>23100</v>
      </c>
      <c r="L155" s="5">
        <v>4379.4800000000096</v>
      </c>
      <c r="M155" t="s">
        <v>764</v>
      </c>
    </row>
    <row r="156" spans="1:13" ht="21" x14ac:dyDescent="0.35">
      <c r="A156" s="15"/>
      <c r="B156" s="4" t="s">
        <v>270</v>
      </c>
      <c r="C156" s="4" t="s">
        <v>271</v>
      </c>
      <c r="D156" s="4" t="s">
        <v>32</v>
      </c>
      <c r="E156" s="4" t="s">
        <v>33</v>
      </c>
      <c r="F156" s="4" t="s">
        <v>279</v>
      </c>
      <c r="G156" s="5">
        <v>9043</v>
      </c>
      <c r="H156" s="5">
        <v>1</v>
      </c>
      <c r="I156" s="6"/>
      <c r="J156" s="6"/>
      <c r="K156" s="6"/>
      <c r="L156" s="5">
        <v>1</v>
      </c>
      <c r="M156" t="s">
        <v>764</v>
      </c>
    </row>
    <row r="157" spans="1:13" ht="21" x14ac:dyDescent="0.35">
      <c r="A157" s="15"/>
      <c r="B157" s="4" t="s">
        <v>270</v>
      </c>
      <c r="C157" s="4" t="s">
        <v>271</v>
      </c>
      <c r="D157" s="4" t="s">
        <v>176</v>
      </c>
      <c r="E157" s="4" t="s">
        <v>177</v>
      </c>
      <c r="F157" s="4" t="s">
        <v>280</v>
      </c>
      <c r="G157" s="5">
        <v>20000</v>
      </c>
      <c r="H157" s="5">
        <v>75301</v>
      </c>
      <c r="I157" s="5">
        <v>800</v>
      </c>
      <c r="J157" s="5">
        <v>0</v>
      </c>
      <c r="K157" s="5">
        <v>74500</v>
      </c>
      <c r="L157" s="5">
        <v>1</v>
      </c>
      <c r="M157" t="s">
        <v>764</v>
      </c>
    </row>
    <row r="158" spans="1:13" ht="21" x14ac:dyDescent="0.35">
      <c r="A158" s="15"/>
      <c r="B158" s="4" t="s">
        <v>270</v>
      </c>
      <c r="C158" s="4" t="s">
        <v>271</v>
      </c>
      <c r="D158" s="4" t="s">
        <v>131</v>
      </c>
      <c r="E158" s="4" t="s">
        <v>132</v>
      </c>
      <c r="F158" s="4" t="s">
        <v>281</v>
      </c>
      <c r="G158" s="5">
        <v>52403</v>
      </c>
      <c r="H158" s="5">
        <v>45908</v>
      </c>
      <c r="I158" s="5">
        <v>45906.52</v>
      </c>
      <c r="J158" s="6"/>
      <c r="K158" s="6"/>
      <c r="L158" s="5">
        <v>1.4799999999959299</v>
      </c>
      <c r="M158" t="s">
        <v>764</v>
      </c>
    </row>
    <row r="159" spans="1:13" ht="21" x14ac:dyDescent="0.35">
      <c r="A159" s="15"/>
      <c r="B159" s="4" t="s">
        <v>270</v>
      </c>
      <c r="C159" s="4" t="s">
        <v>271</v>
      </c>
      <c r="D159" s="4" t="s">
        <v>134</v>
      </c>
      <c r="E159" s="4" t="s">
        <v>135</v>
      </c>
      <c r="F159" s="4" t="s">
        <v>282</v>
      </c>
      <c r="G159" s="5">
        <v>72954</v>
      </c>
      <c r="H159" s="5">
        <v>80161</v>
      </c>
      <c r="I159" s="5">
        <v>37237.89</v>
      </c>
      <c r="J159" s="5">
        <v>-21000</v>
      </c>
      <c r="K159" s="5">
        <v>63922</v>
      </c>
      <c r="L159" s="5">
        <v>1.1100000000005801</v>
      </c>
      <c r="M159" t="s">
        <v>764</v>
      </c>
    </row>
    <row r="160" spans="1:13" ht="21" x14ac:dyDescent="0.35">
      <c r="A160" s="15"/>
      <c r="B160" s="4" t="s">
        <v>270</v>
      </c>
      <c r="C160" s="4" t="s">
        <v>271</v>
      </c>
      <c r="D160" s="4" t="s">
        <v>215</v>
      </c>
      <c r="E160" s="4" t="s">
        <v>216</v>
      </c>
      <c r="F160" s="4" t="s">
        <v>283</v>
      </c>
      <c r="G160" s="5">
        <v>1860</v>
      </c>
      <c r="H160" s="5">
        <v>0</v>
      </c>
      <c r="I160" s="6"/>
      <c r="J160" s="6"/>
      <c r="K160" s="6"/>
      <c r="L160" s="5">
        <v>0</v>
      </c>
      <c r="M160" t="s">
        <v>764</v>
      </c>
    </row>
    <row r="161" spans="1:13" ht="21" x14ac:dyDescent="0.35">
      <c r="A161" s="15"/>
      <c r="B161" s="4" t="s">
        <v>270</v>
      </c>
      <c r="C161" s="4" t="s">
        <v>271</v>
      </c>
      <c r="D161" s="4" t="s">
        <v>218</v>
      </c>
      <c r="E161" s="4" t="s">
        <v>219</v>
      </c>
      <c r="F161" s="4" t="s">
        <v>284</v>
      </c>
      <c r="G161" s="5">
        <v>7998</v>
      </c>
      <c r="H161" s="5">
        <v>0</v>
      </c>
      <c r="I161" s="6"/>
      <c r="J161" s="6"/>
      <c r="K161" s="6"/>
      <c r="L161" s="5">
        <v>0</v>
      </c>
      <c r="M161" t="s">
        <v>764</v>
      </c>
    </row>
    <row r="162" spans="1:13" ht="31.5" x14ac:dyDescent="0.35">
      <c r="A162" s="15"/>
      <c r="B162" s="4" t="s">
        <v>285</v>
      </c>
      <c r="C162" s="4" t="s">
        <v>286</v>
      </c>
      <c r="D162" s="4" t="s">
        <v>168</v>
      </c>
      <c r="E162" s="4" t="s">
        <v>169</v>
      </c>
      <c r="F162" s="4" t="s">
        <v>287</v>
      </c>
      <c r="G162" s="5">
        <v>0</v>
      </c>
      <c r="H162" s="5">
        <v>2218</v>
      </c>
      <c r="I162" s="6"/>
      <c r="J162" s="6"/>
      <c r="K162" s="6"/>
      <c r="L162" s="5">
        <v>2218</v>
      </c>
      <c r="M162" t="s">
        <v>764</v>
      </c>
    </row>
    <row r="163" spans="1:13" ht="31.5" x14ac:dyDescent="0.35">
      <c r="A163" s="15"/>
      <c r="B163" s="4" t="s">
        <v>285</v>
      </c>
      <c r="C163" s="4" t="s">
        <v>286</v>
      </c>
      <c r="D163" s="4" t="s">
        <v>288</v>
      </c>
      <c r="E163" s="4" t="s">
        <v>289</v>
      </c>
      <c r="F163" s="4" t="s">
        <v>290</v>
      </c>
      <c r="G163" s="5">
        <v>0</v>
      </c>
      <c r="H163" s="5">
        <v>3500</v>
      </c>
      <c r="I163" s="6"/>
      <c r="J163" s="6"/>
      <c r="K163" s="6"/>
      <c r="L163" s="5">
        <v>3500</v>
      </c>
      <c r="M163" t="s">
        <v>764</v>
      </c>
    </row>
    <row r="164" spans="1:13" ht="31.5" x14ac:dyDescent="0.35">
      <c r="A164" s="15"/>
      <c r="B164" s="4" t="s">
        <v>285</v>
      </c>
      <c r="C164" s="4" t="s">
        <v>286</v>
      </c>
      <c r="D164" s="4" t="s">
        <v>70</v>
      </c>
      <c r="E164" s="4" t="s">
        <v>71</v>
      </c>
      <c r="F164" s="4" t="s">
        <v>291</v>
      </c>
      <c r="G164" s="5">
        <v>0</v>
      </c>
      <c r="H164" s="5">
        <v>71259</v>
      </c>
      <c r="I164" s="5">
        <v>65000</v>
      </c>
      <c r="J164" s="6"/>
      <c r="K164" s="6"/>
      <c r="L164" s="5">
        <v>6259</v>
      </c>
      <c r="M164" t="s">
        <v>764</v>
      </c>
    </row>
    <row r="165" spans="1:13" ht="31.5" x14ac:dyDescent="0.35">
      <c r="A165" s="15"/>
      <c r="B165" s="4" t="s">
        <v>285</v>
      </c>
      <c r="C165" s="4" t="s">
        <v>286</v>
      </c>
      <c r="D165" s="4" t="s">
        <v>140</v>
      </c>
      <c r="E165" s="4" t="s">
        <v>141</v>
      </c>
      <c r="F165" s="4" t="s">
        <v>292</v>
      </c>
      <c r="G165" s="5">
        <v>0</v>
      </c>
      <c r="H165" s="5">
        <v>47926</v>
      </c>
      <c r="I165" s="6"/>
      <c r="J165" s="6"/>
      <c r="K165" s="6"/>
      <c r="L165" s="5">
        <v>47926</v>
      </c>
      <c r="M165" t="s">
        <v>764</v>
      </c>
    </row>
    <row r="166" spans="1:13" ht="31.5" x14ac:dyDescent="0.35">
      <c r="A166" s="15"/>
      <c r="B166" s="4" t="s">
        <v>285</v>
      </c>
      <c r="C166" s="4" t="s">
        <v>286</v>
      </c>
      <c r="D166" s="4" t="s">
        <v>26</v>
      </c>
      <c r="E166" s="4" t="s">
        <v>27</v>
      </c>
      <c r="F166" s="4" t="s">
        <v>293</v>
      </c>
      <c r="G166" s="5">
        <v>0</v>
      </c>
      <c r="H166" s="5">
        <v>100</v>
      </c>
      <c r="I166" s="6"/>
      <c r="J166" s="6"/>
      <c r="K166" s="6"/>
      <c r="L166" s="5">
        <v>100</v>
      </c>
      <c r="M166" t="s">
        <v>764</v>
      </c>
    </row>
    <row r="167" spans="1:13" ht="31.5" x14ac:dyDescent="0.35">
      <c r="A167" s="15"/>
      <c r="B167" s="4" t="s">
        <v>285</v>
      </c>
      <c r="C167" s="4" t="s">
        <v>286</v>
      </c>
      <c r="D167" s="4" t="s">
        <v>51</v>
      </c>
      <c r="E167" s="4" t="s">
        <v>52</v>
      </c>
      <c r="F167" s="4" t="s">
        <v>294</v>
      </c>
      <c r="G167" s="5">
        <v>0</v>
      </c>
      <c r="H167" s="5">
        <v>4605</v>
      </c>
      <c r="I167" s="5">
        <v>4595.45</v>
      </c>
      <c r="J167" s="6"/>
      <c r="K167" s="5">
        <v>0</v>
      </c>
      <c r="L167" s="5">
        <v>9.5500000000001801</v>
      </c>
      <c r="M167" t="s">
        <v>764</v>
      </c>
    </row>
    <row r="168" spans="1:13" ht="31.5" x14ac:dyDescent="0.35">
      <c r="A168" s="15"/>
      <c r="B168" s="4" t="s">
        <v>285</v>
      </c>
      <c r="C168" s="4" t="s">
        <v>286</v>
      </c>
      <c r="D168" s="4" t="s">
        <v>32</v>
      </c>
      <c r="E168" s="4" t="s">
        <v>33</v>
      </c>
      <c r="F168" s="4" t="s">
        <v>295</v>
      </c>
      <c r="G168" s="5">
        <v>0</v>
      </c>
      <c r="H168" s="5">
        <v>543</v>
      </c>
      <c r="I168" s="6"/>
      <c r="J168" s="6"/>
      <c r="K168" s="6"/>
      <c r="L168" s="5">
        <v>543</v>
      </c>
      <c r="M168" t="s">
        <v>764</v>
      </c>
    </row>
    <row r="169" spans="1:13" ht="31.5" x14ac:dyDescent="0.35">
      <c r="A169" s="15"/>
      <c r="B169" s="4" t="s">
        <v>285</v>
      </c>
      <c r="C169" s="4" t="s">
        <v>286</v>
      </c>
      <c r="D169" s="4" t="s">
        <v>176</v>
      </c>
      <c r="E169" s="4" t="s">
        <v>177</v>
      </c>
      <c r="F169" s="4" t="s">
        <v>296</v>
      </c>
      <c r="G169" s="5">
        <v>0</v>
      </c>
      <c r="H169" s="5">
        <v>200</v>
      </c>
      <c r="I169" s="6"/>
      <c r="J169" s="6"/>
      <c r="K169" s="6"/>
      <c r="L169" s="5">
        <v>200</v>
      </c>
      <c r="M169" t="s">
        <v>764</v>
      </c>
    </row>
    <row r="170" spans="1:13" ht="31.5" x14ac:dyDescent="0.35">
      <c r="A170" s="15"/>
      <c r="B170" s="4" t="s">
        <v>285</v>
      </c>
      <c r="C170" s="4" t="s">
        <v>286</v>
      </c>
      <c r="D170" s="4" t="s">
        <v>131</v>
      </c>
      <c r="E170" s="4" t="s">
        <v>132</v>
      </c>
      <c r="F170" s="4" t="s">
        <v>297</v>
      </c>
      <c r="G170" s="5">
        <v>0</v>
      </c>
      <c r="H170" s="5">
        <v>85306</v>
      </c>
      <c r="I170" s="6"/>
      <c r="J170" s="6"/>
      <c r="K170" s="6"/>
      <c r="L170" s="5">
        <v>85306</v>
      </c>
      <c r="M170" t="s">
        <v>764</v>
      </c>
    </row>
    <row r="171" spans="1:13" ht="31.5" x14ac:dyDescent="0.35">
      <c r="A171" s="15"/>
      <c r="B171" s="4" t="s">
        <v>285</v>
      </c>
      <c r="C171" s="4" t="s">
        <v>286</v>
      </c>
      <c r="D171" s="4" t="s">
        <v>134</v>
      </c>
      <c r="E171" s="4" t="s">
        <v>135</v>
      </c>
      <c r="F171" s="4" t="s">
        <v>298</v>
      </c>
      <c r="G171" s="5">
        <v>0</v>
      </c>
      <c r="H171" s="5">
        <v>3187</v>
      </c>
      <c r="I171" s="6"/>
      <c r="J171" s="6"/>
      <c r="K171" s="6"/>
      <c r="L171" s="5">
        <v>3187</v>
      </c>
      <c r="M171" t="s">
        <v>764</v>
      </c>
    </row>
    <row r="172" spans="1:13" ht="31.5" x14ac:dyDescent="0.35">
      <c r="A172" s="15"/>
      <c r="B172" s="4" t="s">
        <v>285</v>
      </c>
      <c r="C172" s="4" t="s">
        <v>286</v>
      </c>
      <c r="D172" s="4" t="s">
        <v>218</v>
      </c>
      <c r="E172" s="4" t="s">
        <v>219</v>
      </c>
      <c r="F172" s="4" t="s">
        <v>299</v>
      </c>
      <c r="G172" s="5">
        <v>0</v>
      </c>
      <c r="H172" s="5">
        <v>14216</v>
      </c>
      <c r="I172" s="6"/>
      <c r="J172" s="6"/>
      <c r="K172" s="6"/>
      <c r="L172" s="5">
        <v>14216</v>
      </c>
      <c r="M172" t="s">
        <v>764</v>
      </c>
    </row>
    <row r="173" spans="1:13" ht="31.5" x14ac:dyDescent="0.35">
      <c r="A173" s="15"/>
      <c r="B173" s="4" t="s">
        <v>300</v>
      </c>
      <c r="C173" s="4" t="s">
        <v>301</v>
      </c>
      <c r="D173" s="4" t="s">
        <v>20</v>
      </c>
      <c r="E173" s="4" t="s">
        <v>21</v>
      </c>
      <c r="F173" s="4" t="s">
        <v>302</v>
      </c>
      <c r="G173" s="5">
        <v>6485</v>
      </c>
      <c r="H173" s="5">
        <v>0</v>
      </c>
      <c r="I173" s="6"/>
      <c r="J173" s="6"/>
      <c r="K173" s="6"/>
      <c r="L173" s="5">
        <v>0</v>
      </c>
      <c r="M173" t="s">
        <v>764</v>
      </c>
    </row>
    <row r="174" spans="1:13" ht="21" x14ac:dyDescent="0.35">
      <c r="A174" s="15"/>
      <c r="B174" s="4" t="s">
        <v>300</v>
      </c>
      <c r="C174" s="4" t="s">
        <v>301</v>
      </c>
      <c r="D174" s="4" t="s">
        <v>168</v>
      </c>
      <c r="E174" s="4" t="s">
        <v>169</v>
      </c>
      <c r="F174" s="4" t="s">
        <v>303</v>
      </c>
      <c r="G174" s="5">
        <v>11393</v>
      </c>
      <c r="H174" s="5">
        <v>0</v>
      </c>
      <c r="I174" s="5">
        <v>0</v>
      </c>
      <c r="J174" s="6"/>
      <c r="K174" s="6"/>
      <c r="L174" s="5">
        <v>0</v>
      </c>
      <c r="M174" t="s">
        <v>764</v>
      </c>
    </row>
    <row r="175" spans="1:13" ht="21" x14ac:dyDescent="0.35">
      <c r="A175" s="15"/>
      <c r="B175" s="4" t="s">
        <v>300</v>
      </c>
      <c r="C175" s="4" t="s">
        <v>301</v>
      </c>
      <c r="D175" s="4" t="s">
        <v>288</v>
      </c>
      <c r="E175" s="4" t="s">
        <v>289</v>
      </c>
      <c r="F175" s="4" t="s">
        <v>304</v>
      </c>
      <c r="G175" s="5">
        <v>255500</v>
      </c>
      <c r="H175" s="5">
        <v>25720</v>
      </c>
      <c r="I175" s="5">
        <v>25720</v>
      </c>
      <c r="J175" s="6"/>
      <c r="K175" s="6"/>
      <c r="L175" s="5">
        <v>0</v>
      </c>
      <c r="M175" t="s">
        <v>764</v>
      </c>
    </row>
    <row r="176" spans="1:13" ht="21" x14ac:dyDescent="0.35">
      <c r="A176" s="15"/>
      <c r="B176" s="4" t="s">
        <v>300</v>
      </c>
      <c r="C176" s="4" t="s">
        <v>301</v>
      </c>
      <c r="D176" s="4" t="s">
        <v>140</v>
      </c>
      <c r="E176" s="4" t="s">
        <v>141</v>
      </c>
      <c r="F176" s="4" t="s">
        <v>305</v>
      </c>
      <c r="G176" s="5">
        <v>72308</v>
      </c>
      <c r="H176" s="5">
        <v>59113</v>
      </c>
      <c r="I176" s="5">
        <v>59112.45</v>
      </c>
      <c r="J176" s="6"/>
      <c r="K176" s="6"/>
      <c r="L176" s="5">
        <v>0.55000000000291005</v>
      </c>
      <c r="M176" t="s">
        <v>764</v>
      </c>
    </row>
    <row r="177" spans="1:13" ht="21" x14ac:dyDescent="0.35">
      <c r="A177" s="15"/>
      <c r="B177" s="4" t="s">
        <v>300</v>
      </c>
      <c r="C177" s="4" t="s">
        <v>301</v>
      </c>
      <c r="D177" s="4" t="s">
        <v>26</v>
      </c>
      <c r="E177" s="4" t="s">
        <v>27</v>
      </c>
      <c r="F177" s="4" t="s">
        <v>306</v>
      </c>
      <c r="G177" s="5">
        <v>4578</v>
      </c>
      <c r="H177" s="5">
        <v>0</v>
      </c>
      <c r="I177" s="6"/>
      <c r="J177" s="6"/>
      <c r="K177" s="6"/>
      <c r="L177" s="5">
        <v>0</v>
      </c>
      <c r="M177" t="s">
        <v>764</v>
      </c>
    </row>
    <row r="178" spans="1:13" ht="21" x14ac:dyDescent="0.35">
      <c r="A178" s="15"/>
      <c r="B178" s="4" t="s">
        <v>300</v>
      </c>
      <c r="C178" s="4" t="s">
        <v>301</v>
      </c>
      <c r="D178" s="4" t="s">
        <v>51</v>
      </c>
      <c r="E178" s="4" t="s">
        <v>52</v>
      </c>
      <c r="F178" s="4" t="s">
        <v>307</v>
      </c>
      <c r="G178" s="5">
        <v>82655</v>
      </c>
      <c r="H178" s="5">
        <v>99804</v>
      </c>
      <c r="I178" s="5">
        <v>123663.69</v>
      </c>
      <c r="J178" s="5">
        <v>-23860.5</v>
      </c>
      <c r="K178" s="5">
        <v>0</v>
      </c>
      <c r="L178" s="5">
        <v>0.80999999999767203</v>
      </c>
      <c r="M178" t="s">
        <v>764</v>
      </c>
    </row>
    <row r="179" spans="1:13" ht="21" x14ac:dyDescent="0.35">
      <c r="A179" s="15"/>
      <c r="B179" s="4" t="s">
        <v>300</v>
      </c>
      <c r="C179" s="4" t="s">
        <v>301</v>
      </c>
      <c r="D179" s="4" t="s">
        <v>131</v>
      </c>
      <c r="E179" s="4" t="s">
        <v>132</v>
      </c>
      <c r="F179" s="4" t="s">
        <v>308</v>
      </c>
      <c r="G179" s="5">
        <v>36148</v>
      </c>
      <c r="H179" s="5">
        <v>19362</v>
      </c>
      <c r="I179" s="5">
        <v>19361.47</v>
      </c>
      <c r="J179" s="6"/>
      <c r="K179" s="6"/>
      <c r="L179" s="5">
        <v>0.52999999999883596</v>
      </c>
      <c r="M179" t="s">
        <v>764</v>
      </c>
    </row>
    <row r="180" spans="1:13" ht="21" x14ac:dyDescent="0.35">
      <c r="A180" s="15"/>
      <c r="B180" s="4" t="s">
        <v>300</v>
      </c>
      <c r="C180" s="4" t="s">
        <v>301</v>
      </c>
      <c r="D180" s="4" t="s">
        <v>134</v>
      </c>
      <c r="E180" s="4" t="s">
        <v>135</v>
      </c>
      <c r="F180" s="4" t="s">
        <v>309</v>
      </c>
      <c r="G180" s="5">
        <v>19761</v>
      </c>
      <c r="H180" s="5">
        <v>63479</v>
      </c>
      <c r="I180" s="5">
        <v>110154.56</v>
      </c>
      <c r="J180" s="5">
        <v>-47590.95</v>
      </c>
      <c r="K180" s="5">
        <v>914.550000000007</v>
      </c>
      <c r="L180" s="5">
        <v>0.83999999999650798</v>
      </c>
      <c r="M180" t="s">
        <v>764</v>
      </c>
    </row>
    <row r="181" spans="1:13" ht="21" x14ac:dyDescent="0.35">
      <c r="A181" s="15"/>
      <c r="B181" s="4" t="s">
        <v>300</v>
      </c>
      <c r="C181" s="4" t="s">
        <v>301</v>
      </c>
      <c r="D181" s="4" t="s">
        <v>218</v>
      </c>
      <c r="E181" s="4" t="s">
        <v>219</v>
      </c>
      <c r="F181" s="4" t="s">
        <v>310</v>
      </c>
      <c r="G181" s="5">
        <v>29716</v>
      </c>
      <c r="H181" s="5">
        <v>1</v>
      </c>
      <c r="I181" s="6"/>
      <c r="J181" s="6"/>
      <c r="K181" s="6"/>
      <c r="L181" s="5">
        <v>1</v>
      </c>
      <c r="M181" t="s">
        <v>764</v>
      </c>
    </row>
    <row r="182" spans="1:13" ht="31.5" x14ac:dyDescent="0.35">
      <c r="A182" s="15"/>
      <c r="B182" s="4" t="s">
        <v>311</v>
      </c>
      <c r="C182" s="4" t="s">
        <v>312</v>
      </c>
      <c r="D182" s="4" t="s">
        <v>20</v>
      </c>
      <c r="E182" s="4" t="s">
        <v>21</v>
      </c>
      <c r="F182" s="4" t="s">
        <v>313</v>
      </c>
      <c r="G182" s="5">
        <v>8764</v>
      </c>
      <c r="H182" s="5">
        <v>8354</v>
      </c>
      <c r="I182" s="5">
        <v>8353.1</v>
      </c>
      <c r="J182" s="6"/>
      <c r="K182" s="6"/>
      <c r="L182" s="5">
        <v>0.89999999999963598</v>
      </c>
      <c r="M182" t="s">
        <v>764</v>
      </c>
    </row>
    <row r="183" spans="1:13" ht="21" x14ac:dyDescent="0.35">
      <c r="A183" s="15"/>
      <c r="B183" s="4" t="s">
        <v>311</v>
      </c>
      <c r="C183" s="4" t="s">
        <v>312</v>
      </c>
      <c r="D183" s="4" t="s">
        <v>70</v>
      </c>
      <c r="E183" s="4" t="s">
        <v>71</v>
      </c>
      <c r="F183" s="4" t="s">
        <v>314</v>
      </c>
      <c r="G183" s="5">
        <v>0</v>
      </c>
      <c r="H183" s="5">
        <v>1</v>
      </c>
      <c r="I183" s="6"/>
      <c r="J183" s="6"/>
      <c r="K183" s="6"/>
      <c r="L183" s="5">
        <v>1</v>
      </c>
      <c r="M183" t="s">
        <v>764</v>
      </c>
    </row>
    <row r="184" spans="1:13" ht="21" x14ac:dyDescent="0.35">
      <c r="A184" s="15"/>
      <c r="B184" s="4" t="s">
        <v>311</v>
      </c>
      <c r="C184" s="4" t="s">
        <v>312</v>
      </c>
      <c r="D184" s="4" t="s">
        <v>140</v>
      </c>
      <c r="E184" s="4" t="s">
        <v>141</v>
      </c>
      <c r="F184" s="4" t="s">
        <v>315</v>
      </c>
      <c r="G184" s="5">
        <v>87014</v>
      </c>
      <c r="H184" s="5">
        <v>45848</v>
      </c>
      <c r="I184" s="5">
        <v>45846.87</v>
      </c>
      <c r="J184" s="6"/>
      <c r="K184" s="6"/>
      <c r="L184" s="5">
        <v>1.12999999999738</v>
      </c>
      <c r="M184" t="s">
        <v>764</v>
      </c>
    </row>
    <row r="185" spans="1:13" ht="21" x14ac:dyDescent="0.35">
      <c r="A185" s="15"/>
      <c r="B185" s="4" t="s">
        <v>311</v>
      </c>
      <c r="C185" s="4" t="s">
        <v>312</v>
      </c>
      <c r="D185" s="4" t="s">
        <v>26</v>
      </c>
      <c r="E185" s="4" t="s">
        <v>27</v>
      </c>
      <c r="F185" s="4" t="s">
        <v>316</v>
      </c>
      <c r="G185" s="5">
        <v>4578</v>
      </c>
      <c r="H185" s="5">
        <v>5986</v>
      </c>
      <c r="I185" s="5">
        <v>5985</v>
      </c>
      <c r="J185" s="6"/>
      <c r="K185" s="6"/>
      <c r="L185" s="5">
        <v>1</v>
      </c>
      <c r="M185" t="s">
        <v>764</v>
      </c>
    </row>
    <row r="186" spans="1:13" ht="21" x14ac:dyDescent="0.35">
      <c r="A186" s="15"/>
      <c r="B186" s="4" t="s">
        <v>311</v>
      </c>
      <c r="C186" s="4" t="s">
        <v>312</v>
      </c>
      <c r="D186" s="4" t="s">
        <v>51</v>
      </c>
      <c r="E186" s="4" t="s">
        <v>52</v>
      </c>
      <c r="F186" s="4" t="s">
        <v>317</v>
      </c>
      <c r="G186" s="5">
        <v>201762</v>
      </c>
      <c r="H186" s="5">
        <v>12057</v>
      </c>
      <c r="I186" s="5">
        <v>7964.53</v>
      </c>
      <c r="J186" s="5">
        <v>0</v>
      </c>
      <c r="K186" s="5">
        <v>4091.19</v>
      </c>
      <c r="L186" s="5">
        <v>1.27999999999975</v>
      </c>
      <c r="M186" t="s">
        <v>764</v>
      </c>
    </row>
    <row r="187" spans="1:13" ht="21" x14ac:dyDescent="0.35">
      <c r="A187" s="15"/>
      <c r="B187" s="4" t="s">
        <v>311</v>
      </c>
      <c r="C187" s="4" t="s">
        <v>312</v>
      </c>
      <c r="D187" s="4" t="s">
        <v>59</v>
      </c>
      <c r="E187" s="4" t="s">
        <v>60</v>
      </c>
      <c r="F187" s="4" t="s">
        <v>318</v>
      </c>
      <c r="G187" s="5">
        <v>0</v>
      </c>
      <c r="H187" s="5">
        <v>0</v>
      </c>
      <c r="I187" s="6"/>
      <c r="J187" s="6"/>
      <c r="K187" s="6"/>
      <c r="L187" s="5">
        <v>0</v>
      </c>
      <c r="M187" t="s">
        <v>764</v>
      </c>
    </row>
    <row r="188" spans="1:13" ht="21" x14ac:dyDescent="0.35">
      <c r="A188" s="15"/>
      <c r="B188" s="4" t="s">
        <v>311</v>
      </c>
      <c r="C188" s="4" t="s">
        <v>312</v>
      </c>
      <c r="D188" s="4" t="s">
        <v>176</v>
      </c>
      <c r="E188" s="4" t="s">
        <v>177</v>
      </c>
      <c r="F188" s="4" t="s">
        <v>319</v>
      </c>
      <c r="G188" s="5">
        <v>1839402</v>
      </c>
      <c r="H188" s="5">
        <v>1024505</v>
      </c>
      <c r="I188" s="5">
        <v>483508.13</v>
      </c>
      <c r="J188" s="5">
        <v>-9000</v>
      </c>
      <c r="K188" s="5">
        <v>549998.59</v>
      </c>
      <c r="L188" s="5">
        <v>-1.7199999999720601</v>
      </c>
      <c r="M188" t="s">
        <v>764</v>
      </c>
    </row>
    <row r="189" spans="1:13" ht="21" x14ac:dyDescent="0.35">
      <c r="A189" s="15"/>
      <c r="B189" s="4" t="s">
        <v>311</v>
      </c>
      <c r="C189" s="4" t="s">
        <v>312</v>
      </c>
      <c r="D189" s="4" t="s">
        <v>131</v>
      </c>
      <c r="E189" s="4" t="s">
        <v>132</v>
      </c>
      <c r="F189" s="4" t="s">
        <v>320</v>
      </c>
      <c r="G189" s="5">
        <v>45176</v>
      </c>
      <c r="H189" s="5">
        <v>13659</v>
      </c>
      <c r="I189" s="5">
        <v>13658.08</v>
      </c>
      <c r="J189" s="6"/>
      <c r="K189" s="6"/>
      <c r="L189" s="5">
        <v>0.91999999999825399</v>
      </c>
      <c r="M189" t="s">
        <v>764</v>
      </c>
    </row>
    <row r="190" spans="1:13" ht="21" x14ac:dyDescent="0.35">
      <c r="A190" s="15"/>
      <c r="B190" s="4" t="s">
        <v>311</v>
      </c>
      <c r="C190" s="4" t="s">
        <v>312</v>
      </c>
      <c r="D190" s="4" t="s">
        <v>134</v>
      </c>
      <c r="E190" s="4" t="s">
        <v>135</v>
      </c>
      <c r="F190" s="4" t="s">
        <v>321</v>
      </c>
      <c r="G190" s="5">
        <v>431791</v>
      </c>
      <c r="H190" s="5">
        <v>16151</v>
      </c>
      <c r="I190" s="5">
        <v>4326.22</v>
      </c>
      <c r="J190" s="5">
        <v>-3976.22</v>
      </c>
      <c r="K190" s="5">
        <v>15800</v>
      </c>
      <c r="L190" s="5">
        <v>0.99999999999818101</v>
      </c>
      <c r="M190" t="s">
        <v>764</v>
      </c>
    </row>
    <row r="191" spans="1:13" ht="21" x14ac:dyDescent="0.35">
      <c r="A191" s="15"/>
      <c r="B191" s="4" t="s">
        <v>311</v>
      </c>
      <c r="C191" s="4" t="s">
        <v>312</v>
      </c>
      <c r="D191" s="4" t="s">
        <v>218</v>
      </c>
      <c r="E191" s="4" t="s">
        <v>219</v>
      </c>
      <c r="F191" s="4" t="s">
        <v>322</v>
      </c>
      <c r="G191" s="5">
        <v>0</v>
      </c>
      <c r="H191" s="5">
        <v>18220</v>
      </c>
      <c r="I191" s="5">
        <v>36432</v>
      </c>
      <c r="J191" s="5">
        <v>-18216</v>
      </c>
      <c r="K191" s="5">
        <v>0</v>
      </c>
      <c r="L191" s="5">
        <v>4</v>
      </c>
      <c r="M191" t="s">
        <v>764</v>
      </c>
    </row>
    <row r="192" spans="1:13" ht="21" x14ac:dyDescent="0.35">
      <c r="A192" s="15"/>
      <c r="B192" s="4" t="s">
        <v>323</v>
      </c>
      <c r="C192" s="4" t="s">
        <v>324</v>
      </c>
      <c r="D192" s="4" t="s">
        <v>17</v>
      </c>
      <c r="E192" s="4" t="s">
        <v>18</v>
      </c>
      <c r="F192" s="4" t="s">
        <v>325</v>
      </c>
      <c r="G192" s="5">
        <v>5406</v>
      </c>
      <c r="H192" s="5">
        <v>18150</v>
      </c>
      <c r="I192" s="5">
        <v>14698.72</v>
      </c>
      <c r="J192" s="6"/>
      <c r="K192" s="6"/>
      <c r="L192" s="5">
        <v>3451.28</v>
      </c>
      <c r="M192" t="s">
        <v>764</v>
      </c>
    </row>
    <row r="193" spans="1:13" ht="21" x14ac:dyDescent="0.35">
      <c r="A193" s="15"/>
      <c r="B193" s="4" t="s">
        <v>323</v>
      </c>
      <c r="C193" s="4" t="s">
        <v>324</v>
      </c>
      <c r="D193" s="4" t="s">
        <v>47</v>
      </c>
      <c r="E193" s="4" t="s">
        <v>48</v>
      </c>
      <c r="F193" s="4" t="s">
        <v>326</v>
      </c>
      <c r="G193" s="5">
        <v>105000</v>
      </c>
      <c r="H193" s="5">
        <v>90156</v>
      </c>
      <c r="I193" s="6"/>
      <c r="J193" s="6"/>
      <c r="K193" s="6"/>
      <c r="L193" s="5">
        <v>90156</v>
      </c>
      <c r="M193" t="s">
        <v>764</v>
      </c>
    </row>
    <row r="194" spans="1:13" ht="31.5" x14ac:dyDescent="0.35">
      <c r="A194" s="15"/>
      <c r="B194" s="4" t="s">
        <v>323</v>
      </c>
      <c r="C194" s="4" t="s">
        <v>324</v>
      </c>
      <c r="D194" s="4" t="s">
        <v>20</v>
      </c>
      <c r="E194" s="4" t="s">
        <v>21</v>
      </c>
      <c r="F194" s="4" t="s">
        <v>327</v>
      </c>
      <c r="G194" s="5">
        <v>6825</v>
      </c>
      <c r="H194" s="5">
        <v>8925</v>
      </c>
      <c r="I194" s="6"/>
      <c r="J194" s="5">
        <v>0</v>
      </c>
      <c r="K194" s="5">
        <v>5450.16</v>
      </c>
      <c r="L194" s="5">
        <v>3474.84</v>
      </c>
      <c r="M194" t="s">
        <v>764</v>
      </c>
    </row>
    <row r="195" spans="1:13" ht="31.5" x14ac:dyDescent="0.35">
      <c r="A195" s="15"/>
      <c r="B195" s="4" t="s">
        <v>323</v>
      </c>
      <c r="C195" s="4" t="s">
        <v>324</v>
      </c>
      <c r="D195" s="4" t="s">
        <v>23</v>
      </c>
      <c r="E195" s="4" t="s">
        <v>24</v>
      </c>
      <c r="F195" s="4" t="s">
        <v>328</v>
      </c>
      <c r="G195" s="5">
        <v>5625</v>
      </c>
      <c r="H195" s="5">
        <v>17000</v>
      </c>
      <c r="I195" s="5">
        <v>8512.2099999999991</v>
      </c>
      <c r="J195" s="6"/>
      <c r="K195" s="6"/>
      <c r="L195" s="5">
        <v>8487.7900000000009</v>
      </c>
      <c r="M195" t="s">
        <v>764</v>
      </c>
    </row>
    <row r="196" spans="1:13" ht="21" x14ac:dyDescent="0.35">
      <c r="A196" s="15"/>
      <c r="B196" s="4" t="s">
        <v>323</v>
      </c>
      <c r="C196" s="4" t="s">
        <v>324</v>
      </c>
      <c r="D196" s="4" t="s">
        <v>259</v>
      </c>
      <c r="E196" s="4" t="s">
        <v>260</v>
      </c>
      <c r="F196" s="4" t="s">
        <v>329</v>
      </c>
      <c r="G196" s="5">
        <v>0</v>
      </c>
      <c r="H196" s="5">
        <v>19340</v>
      </c>
      <c r="I196" s="5">
        <v>19340</v>
      </c>
      <c r="J196" s="6"/>
      <c r="K196" s="6"/>
      <c r="L196" s="5">
        <v>0</v>
      </c>
      <c r="M196" t="s">
        <v>764</v>
      </c>
    </row>
    <row r="197" spans="1:13" ht="21" x14ac:dyDescent="0.35">
      <c r="A197" s="15"/>
      <c r="B197" s="4" t="s">
        <v>323</v>
      </c>
      <c r="C197" s="4" t="s">
        <v>324</v>
      </c>
      <c r="D197" s="4" t="s">
        <v>140</v>
      </c>
      <c r="E197" s="4" t="s">
        <v>141</v>
      </c>
      <c r="F197" s="4" t="s">
        <v>330</v>
      </c>
      <c r="G197" s="5">
        <v>5625</v>
      </c>
      <c r="H197" s="5">
        <v>24435</v>
      </c>
      <c r="I197" s="5">
        <v>21891.53</v>
      </c>
      <c r="J197" s="6"/>
      <c r="K197" s="6"/>
      <c r="L197" s="5">
        <v>2543.4699999999998</v>
      </c>
      <c r="M197" t="s">
        <v>764</v>
      </c>
    </row>
    <row r="198" spans="1:13" ht="21" x14ac:dyDescent="0.35">
      <c r="A198" s="15"/>
      <c r="B198" s="4" t="s">
        <v>323</v>
      </c>
      <c r="C198" s="4" t="s">
        <v>324</v>
      </c>
      <c r="D198" s="4" t="s">
        <v>26</v>
      </c>
      <c r="E198" s="4" t="s">
        <v>27</v>
      </c>
      <c r="F198" s="4" t="s">
        <v>331</v>
      </c>
      <c r="G198" s="5">
        <v>0</v>
      </c>
      <c r="H198" s="5">
        <v>20000</v>
      </c>
      <c r="I198" s="5">
        <v>7455</v>
      </c>
      <c r="J198" s="6"/>
      <c r="K198" s="6"/>
      <c r="L198" s="5">
        <v>8140</v>
      </c>
      <c r="M198" t="s">
        <v>764</v>
      </c>
    </row>
    <row r="199" spans="1:13" ht="21" x14ac:dyDescent="0.35">
      <c r="A199" s="15"/>
      <c r="B199" s="4" t="s">
        <v>323</v>
      </c>
      <c r="C199" s="4" t="s">
        <v>324</v>
      </c>
      <c r="D199" s="4" t="s">
        <v>59</v>
      </c>
      <c r="E199" s="4" t="s">
        <v>60</v>
      </c>
      <c r="F199" s="4" t="s">
        <v>332</v>
      </c>
      <c r="G199" s="5">
        <v>20175</v>
      </c>
      <c r="H199" s="5">
        <v>8190</v>
      </c>
      <c r="I199" s="5">
        <v>0</v>
      </c>
      <c r="J199" s="6"/>
      <c r="K199" s="6"/>
      <c r="L199" s="5">
        <v>8190</v>
      </c>
      <c r="M199" t="s">
        <v>764</v>
      </c>
    </row>
    <row r="200" spans="1:13" ht="21" x14ac:dyDescent="0.35">
      <c r="A200" s="15"/>
      <c r="B200" s="4" t="s">
        <v>323</v>
      </c>
      <c r="C200" s="4" t="s">
        <v>324</v>
      </c>
      <c r="D200" s="4" t="s">
        <v>32</v>
      </c>
      <c r="E200" s="4" t="s">
        <v>33</v>
      </c>
      <c r="F200" s="4" t="s">
        <v>333</v>
      </c>
      <c r="G200" s="5">
        <v>0</v>
      </c>
      <c r="H200" s="5">
        <v>24495</v>
      </c>
      <c r="I200" s="5">
        <v>11420.96</v>
      </c>
      <c r="J200" s="5">
        <v>0</v>
      </c>
      <c r="K200" s="6"/>
      <c r="L200" s="5">
        <v>13074.04</v>
      </c>
      <c r="M200" t="s">
        <v>764</v>
      </c>
    </row>
    <row r="201" spans="1:13" ht="21" x14ac:dyDescent="0.35">
      <c r="A201" s="15"/>
      <c r="B201" s="4" t="s">
        <v>323</v>
      </c>
      <c r="C201" s="4" t="s">
        <v>324</v>
      </c>
      <c r="D201" s="4" t="s">
        <v>131</v>
      </c>
      <c r="E201" s="4" t="s">
        <v>132</v>
      </c>
      <c r="F201" s="4" t="s">
        <v>334</v>
      </c>
      <c r="G201" s="5">
        <v>14400</v>
      </c>
      <c r="H201" s="5">
        <v>13085</v>
      </c>
      <c r="I201" s="5">
        <v>13072.77</v>
      </c>
      <c r="J201" s="6"/>
      <c r="K201" s="6"/>
      <c r="L201" s="5">
        <v>12.2300000000014</v>
      </c>
      <c r="M201" t="s">
        <v>764</v>
      </c>
    </row>
    <row r="202" spans="1:13" ht="21" x14ac:dyDescent="0.35">
      <c r="A202" s="15"/>
      <c r="B202" s="4" t="s">
        <v>323</v>
      </c>
      <c r="C202" s="4" t="s">
        <v>324</v>
      </c>
      <c r="D202" s="4" t="s">
        <v>218</v>
      </c>
      <c r="E202" s="4" t="s">
        <v>219</v>
      </c>
      <c r="F202" s="4" t="s">
        <v>335</v>
      </c>
      <c r="G202" s="5">
        <v>0</v>
      </c>
      <c r="H202" s="5">
        <v>54190</v>
      </c>
      <c r="I202" s="5">
        <v>54190</v>
      </c>
      <c r="J202" s="6"/>
      <c r="K202" s="6"/>
      <c r="L202" s="5">
        <v>0</v>
      </c>
      <c r="M202" t="s">
        <v>764</v>
      </c>
    </row>
    <row r="203" spans="1:13" ht="31.5" x14ac:dyDescent="0.35">
      <c r="A203" s="15"/>
      <c r="B203" s="4" t="s">
        <v>336</v>
      </c>
      <c r="C203" s="4" t="s">
        <v>337</v>
      </c>
      <c r="D203" s="4" t="s">
        <v>140</v>
      </c>
      <c r="E203" s="4" t="s">
        <v>141</v>
      </c>
      <c r="F203" s="4" t="s">
        <v>338</v>
      </c>
      <c r="G203" s="5">
        <v>39600</v>
      </c>
      <c r="H203" s="5">
        <v>74500</v>
      </c>
      <c r="I203" s="5">
        <v>49603.22</v>
      </c>
      <c r="J203" s="6"/>
      <c r="K203" s="6"/>
      <c r="L203" s="5">
        <v>24896.78</v>
      </c>
      <c r="M203" t="s">
        <v>764</v>
      </c>
    </row>
    <row r="204" spans="1:13" ht="31.5" x14ac:dyDescent="0.35">
      <c r="A204" s="15"/>
      <c r="B204" s="4" t="s">
        <v>336</v>
      </c>
      <c r="C204" s="4" t="s">
        <v>337</v>
      </c>
      <c r="D204" s="4" t="s">
        <v>51</v>
      </c>
      <c r="E204" s="4" t="s">
        <v>52</v>
      </c>
      <c r="F204" s="4" t="s">
        <v>339</v>
      </c>
      <c r="G204" s="5">
        <v>1612</v>
      </c>
      <c r="H204" s="5">
        <v>5579</v>
      </c>
      <c r="I204" s="5">
        <v>4262.2</v>
      </c>
      <c r="J204" s="5">
        <v>0</v>
      </c>
      <c r="K204" s="5">
        <v>0</v>
      </c>
      <c r="L204" s="5">
        <v>1316.8</v>
      </c>
      <c r="M204" t="s">
        <v>764</v>
      </c>
    </row>
    <row r="205" spans="1:13" ht="31.5" x14ac:dyDescent="0.35">
      <c r="A205" s="15"/>
      <c r="B205" s="4" t="s">
        <v>336</v>
      </c>
      <c r="C205" s="4" t="s">
        <v>337</v>
      </c>
      <c r="D205" s="4" t="s">
        <v>32</v>
      </c>
      <c r="E205" s="4" t="s">
        <v>33</v>
      </c>
      <c r="F205" s="4" t="s">
        <v>340</v>
      </c>
      <c r="G205" s="5">
        <v>0</v>
      </c>
      <c r="H205" s="5">
        <v>7700</v>
      </c>
      <c r="I205" s="5">
        <v>7700</v>
      </c>
      <c r="J205" s="6"/>
      <c r="K205" s="6"/>
      <c r="L205" s="5">
        <v>0</v>
      </c>
      <c r="M205" t="s">
        <v>764</v>
      </c>
    </row>
    <row r="206" spans="1:13" ht="31.5" x14ac:dyDescent="0.35">
      <c r="A206" s="15"/>
      <c r="B206" s="4" t="s">
        <v>336</v>
      </c>
      <c r="C206" s="4" t="s">
        <v>337</v>
      </c>
      <c r="D206" s="4" t="s">
        <v>341</v>
      </c>
      <c r="E206" s="4" t="s">
        <v>342</v>
      </c>
      <c r="F206" s="4" t="s">
        <v>343</v>
      </c>
      <c r="G206" s="5">
        <v>13288</v>
      </c>
      <c r="H206" s="5">
        <v>15688</v>
      </c>
      <c r="I206" s="5">
        <v>10743.53</v>
      </c>
      <c r="J206" s="5">
        <v>0</v>
      </c>
      <c r="K206" s="6"/>
      <c r="L206" s="5">
        <v>4944.47</v>
      </c>
      <c r="M206" t="s">
        <v>764</v>
      </c>
    </row>
    <row r="207" spans="1:13" ht="31.5" x14ac:dyDescent="0.35">
      <c r="A207" s="15"/>
      <c r="B207" s="4" t="s">
        <v>336</v>
      </c>
      <c r="C207" s="4" t="s">
        <v>337</v>
      </c>
      <c r="D207" s="4" t="s">
        <v>131</v>
      </c>
      <c r="E207" s="4" t="s">
        <v>132</v>
      </c>
      <c r="F207" s="4" t="s">
        <v>344</v>
      </c>
      <c r="G207" s="5">
        <v>25633</v>
      </c>
      <c r="H207" s="5">
        <v>29966</v>
      </c>
      <c r="I207" s="5">
        <v>29899.52</v>
      </c>
      <c r="J207" s="6"/>
      <c r="K207" s="6"/>
      <c r="L207" s="5">
        <v>66.479999999999606</v>
      </c>
      <c r="M207" t="s">
        <v>764</v>
      </c>
    </row>
    <row r="208" spans="1:13" ht="31.5" x14ac:dyDescent="0.35">
      <c r="A208" s="15"/>
      <c r="B208" s="4" t="s">
        <v>345</v>
      </c>
      <c r="C208" s="4" t="s">
        <v>346</v>
      </c>
      <c r="D208" s="4" t="s">
        <v>20</v>
      </c>
      <c r="E208" s="4" t="s">
        <v>21</v>
      </c>
      <c r="F208" s="4" t="s">
        <v>347</v>
      </c>
      <c r="G208" s="5">
        <v>0</v>
      </c>
      <c r="H208" s="5">
        <v>237</v>
      </c>
      <c r="I208" s="5">
        <v>225</v>
      </c>
      <c r="J208" s="6"/>
      <c r="K208" s="6"/>
      <c r="L208" s="5">
        <v>12</v>
      </c>
      <c r="M208" t="s">
        <v>764</v>
      </c>
    </row>
    <row r="209" spans="1:13" x14ac:dyDescent="0.35">
      <c r="A209" s="15"/>
      <c r="B209" s="4" t="s">
        <v>345</v>
      </c>
      <c r="C209" s="4" t="s">
        <v>346</v>
      </c>
      <c r="D209" s="4" t="s">
        <v>70</v>
      </c>
      <c r="E209" s="4" t="s">
        <v>71</v>
      </c>
      <c r="F209" s="4" t="s">
        <v>348</v>
      </c>
      <c r="G209" s="5">
        <v>48844</v>
      </c>
      <c r="H209" s="5">
        <v>63844</v>
      </c>
      <c r="I209" s="5">
        <v>17948.75</v>
      </c>
      <c r="J209" s="5">
        <v>-1711.5</v>
      </c>
      <c r="K209" s="5">
        <v>-9655</v>
      </c>
      <c r="L209" s="5">
        <v>57261.75</v>
      </c>
      <c r="M209" t="s">
        <v>764</v>
      </c>
    </row>
    <row r="210" spans="1:13" ht="21" x14ac:dyDescent="0.35">
      <c r="A210" s="15"/>
      <c r="B210" s="4" t="s">
        <v>345</v>
      </c>
      <c r="C210" s="4" t="s">
        <v>346</v>
      </c>
      <c r="D210" s="4" t="s">
        <v>140</v>
      </c>
      <c r="E210" s="4" t="s">
        <v>141</v>
      </c>
      <c r="F210" s="4" t="s">
        <v>349</v>
      </c>
      <c r="G210" s="5">
        <v>119625</v>
      </c>
      <c r="H210" s="5">
        <v>246775</v>
      </c>
      <c r="I210" s="5">
        <v>185297.06</v>
      </c>
      <c r="J210" s="6"/>
      <c r="K210" s="6"/>
      <c r="L210" s="5">
        <v>61477.94</v>
      </c>
      <c r="M210" t="s">
        <v>764</v>
      </c>
    </row>
    <row r="211" spans="1:13" x14ac:dyDescent="0.35">
      <c r="A211" s="15"/>
      <c r="B211" s="4" t="s">
        <v>345</v>
      </c>
      <c r="C211" s="4" t="s">
        <v>346</v>
      </c>
      <c r="D211" s="4" t="s">
        <v>26</v>
      </c>
      <c r="E211" s="4" t="s">
        <v>27</v>
      </c>
      <c r="F211" s="4" t="s">
        <v>350</v>
      </c>
      <c r="G211" s="5">
        <v>9340</v>
      </c>
      <c r="H211" s="5">
        <v>9340</v>
      </c>
      <c r="I211" s="5">
        <v>1890</v>
      </c>
      <c r="J211" s="6"/>
      <c r="K211" s="6"/>
      <c r="L211" s="5">
        <v>7450</v>
      </c>
      <c r="M211" t="s">
        <v>764</v>
      </c>
    </row>
    <row r="212" spans="1:13" ht="21" x14ac:dyDescent="0.35">
      <c r="A212" s="15"/>
      <c r="B212" s="4" t="s">
        <v>345</v>
      </c>
      <c r="C212" s="4" t="s">
        <v>346</v>
      </c>
      <c r="D212" s="4" t="s">
        <v>51</v>
      </c>
      <c r="E212" s="4" t="s">
        <v>52</v>
      </c>
      <c r="F212" s="4" t="s">
        <v>351</v>
      </c>
      <c r="G212" s="5">
        <v>130504</v>
      </c>
      <c r="H212" s="5">
        <v>130504</v>
      </c>
      <c r="I212" s="5">
        <v>123483.85</v>
      </c>
      <c r="J212" s="5">
        <v>-37806.980000000003</v>
      </c>
      <c r="K212" s="5">
        <v>0</v>
      </c>
      <c r="L212" s="5">
        <v>44827.13</v>
      </c>
      <c r="M212" t="s">
        <v>764</v>
      </c>
    </row>
    <row r="213" spans="1:13" ht="21" x14ac:dyDescent="0.35">
      <c r="A213" s="15"/>
      <c r="B213" s="4" t="s">
        <v>345</v>
      </c>
      <c r="C213" s="4" t="s">
        <v>346</v>
      </c>
      <c r="D213" s="4" t="s">
        <v>32</v>
      </c>
      <c r="E213" s="4" t="s">
        <v>33</v>
      </c>
      <c r="F213" s="4" t="s">
        <v>352</v>
      </c>
      <c r="G213" s="5">
        <v>0</v>
      </c>
      <c r="H213" s="5">
        <v>7850</v>
      </c>
      <c r="I213" s="5">
        <v>7850</v>
      </c>
      <c r="J213" s="6"/>
      <c r="K213" s="6"/>
      <c r="L213" s="5">
        <v>0</v>
      </c>
      <c r="M213" t="s">
        <v>764</v>
      </c>
    </row>
    <row r="214" spans="1:13" x14ac:dyDescent="0.35">
      <c r="A214" s="15"/>
      <c r="B214" s="4" t="s">
        <v>345</v>
      </c>
      <c r="C214" s="4" t="s">
        <v>346</v>
      </c>
      <c r="D214" s="4" t="s">
        <v>176</v>
      </c>
      <c r="E214" s="4" t="s">
        <v>177</v>
      </c>
      <c r="F214" s="4" t="s">
        <v>353</v>
      </c>
      <c r="G214" s="5">
        <v>1954697</v>
      </c>
      <c r="H214" s="5">
        <v>710674</v>
      </c>
      <c r="I214" s="5">
        <v>56540</v>
      </c>
      <c r="J214" s="5">
        <v>0</v>
      </c>
      <c r="K214" s="5">
        <v>535434.06999999995</v>
      </c>
      <c r="L214" s="5">
        <v>93699.929999999906</v>
      </c>
      <c r="M214" t="s">
        <v>764</v>
      </c>
    </row>
    <row r="215" spans="1:13" x14ac:dyDescent="0.35">
      <c r="A215" s="15"/>
      <c r="B215" s="4" t="s">
        <v>345</v>
      </c>
      <c r="C215" s="4" t="s">
        <v>346</v>
      </c>
      <c r="D215" s="4" t="s">
        <v>131</v>
      </c>
      <c r="E215" s="4" t="s">
        <v>132</v>
      </c>
      <c r="F215" s="4" t="s">
        <v>354</v>
      </c>
      <c r="G215" s="5">
        <v>5138</v>
      </c>
      <c r="H215" s="5">
        <v>39738</v>
      </c>
      <c r="I215" s="5">
        <v>33915.11</v>
      </c>
      <c r="J215" s="6"/>
      <c r="K215" s="6"/>
      <c r="L215" s="5">
        <v>5822.89</v>
      </c>
      <c r="M215" t="s">
        <v>764</v>
      </c>
    </row>
    <row r="216" spans="1:13" x14ac:dyDescent="0.35">
      <c r="A216" s="15"/>
      <c r="B216" s="4" t="s">
        <v>345</v>
      </c>
      <c r="C216" s="4" t="s">
        <v>346</v>
      </c>
      <c r="D216" s="4" t="s">
        <v>134</v>
      </c>
      <c r="E216" s="4" t="s">
        <v>135</v>
      </c>
      <c r="F216" s="4" t="s">
        <v>355</v>
      </c>
      <c r="G216" s="5">
        <v>440614</v>
      </c>
      <c r="H216" s="5">
        <v>643979</v>
      </c>
      <c r="I216" s="5">
        <v>577199.51</v>
      </c>
      <c r="J216" s="5">
        <v>-121661.8</v>
      </c>
      <c r="K216" s="5">
        <v>187970.04</v>
      </c>
      <c r="L216" s="5">
        <v>471.24999999998499</v>
      </c>
      <c r="M216" t="s">
        <v>764</v>
      </c>
    </row>
    <row r="217" spans="1:13" ht="31.5" x14ac:dyDescent="0.35">
      <c r="A217" s="15"/>
      <c r="B217" s="4" t="s">
        <v>356</v>
      </c>
      <c r="C217" s="4" t="s">
        <v>357</v>
      </c>
      <c r="D217" s="4" t="s">
        <v>20</v>
      </c>
      <c r="E217" s="4" t="s">
        <v>21</v>
      </c>
      <c r="F217" s="4" t="s">
        <v>358</v>
      </c>
      <c r="G217" s="5">
        <v>21259</v>
      </c>
      <c r="H217" s="5">
        <v>31259</v>
      </c>
      <c r="I217" s="5">
        <v>34448.81</v>
      </c>
      <c r="J217" s="5">
        <v>-11600</v>
      </c>
      <c r="K217" s="5">
        <v>0</v>
      </c>
      <c r="L217" s="5">
        <v>8410.19</v>
      </c>
      <c r="M217" t="s">
        <v>764</v>
      </c>
    </row>
    <row r="218" spans="1:13" ht="31.5" x14ac:dyDescent="0.35">
      <c r="A218" s="15"/>
      <c r="B218" s="4" t="s">
        <v>356</v>
      </c>
      <c r="C218" s="4" t="s">
        <v>357</v>
      </c>
      <c r="D218" s="4" t="s">
        <v>23</v>
      </c>
      <c r="E218" s="4" t="s">
        <v>24</v>
      </c>
      <c r="F218" s="4" t="s">
        <v>359</v>
      </c>
      <c r="G218" s="5">
        <v>54661</v>
      </c>
      <c r="H218" s="5">
        <v>54661</v>
      </c>
      <c r="I218" s="5">
        <v>20464.14</v>
      </c>
      <c r="J218" s="6"/>
      <c r="K218" s="6"/>
      <c r="L218" s="5">
        <v>34196.86</v>
      </c>
      <c r="M218" t="s">
        <v>764</v>
      </c>
    </row>
    <row r="219" spans="1:13" x14ac:dyDescent="0.35">
      <c r="A219" s="15"/>
      <c r="B219" s="4" t="s">
        <v>356</v>
      </c>
      <c r="C219" s="4" t="s">
        <v>357</v>
      </c>
      <c r="D219" s="4" t="s">
        <v>70</v>
      </c>
      <c r="E219" s="4" t="s">
        <v>71</v>
      </c>
      <c r="F219" s="4" t="s">
        <v>360</v>
      </c>
      <c r="G219" s="5">
        <v>0</v>
      </c>
      <c r="H219" s="5">
        <v>58000</v>
      </c>
      <c r="I219" s="6"/>
      <c r="J219" s="6"/>
      <c r="K219" s="6"/>
      <c r="L219" s="5">
        <v>58000</v>
      </c>
      <c r="M219" t="s">
        <v>764</v>
      </c>
    </row>
    <row r="220" spans="1:13" ht="21" x14ac:dyDescent="0.35">
      <c r="A220" s="15"/>
      <c r="B220" s="4" t="s">
        <v>356</v>
      </c>
      <c r="C220" s="4" t="s">
        <v>357</v>
      </c>
      <c r="D220" s="4" t="s">
        <v>140</v>
      </c>
      <c r="E220" s="4" t="s">
        <v>141</v>
      </c>
      <c r="F220" s="4" t="s">
        <v>361</v>
      </c>
      <c r="G220" s="5">
        <v>39895</v>
      </c>
      <c r="H220" s="5">
        <v>159895</v>
      </c>
      <c r="I220" s="5">
        <v>33328.959999999999</v>
      </c>
      <c r="J220" s="6"/>
      <c r="K220" s="6"/>
      <c r="L220" s="5">
        <v>126566.04</v>
      </c>
      <c r="M220" t="s">
        <v>764</v>
      </c>
    </row>
    <row r="221" spans="1:13" x14ac:dyDescent="0.35">
      <c r="A221" s="15"/>
      <c r="B221" s="4" t="s">
        <v>356</v>
      </c>
      <c r="C221" s="4" t="s">
        <v>357</v>
      </c>
      <c r="D221" s="4" t="s">
        <v>26</v>
      </c>
      <c r="E221" s="4" t="s">
        <v>27</v>
      </c>
      <c r="F221" s="4" t="s">
        <v>362</v>
      </c>
      <c r="G221" s="5">
        <v>2973</v>
      </c>
      <c r="H221" s="5">
        <v>6426</v>
      </c>
      <c r="I221" s="5">
        <v>2566</v>
      </c>
      <c r="J221" s="6"/>
      <c r="K221" s="6"/>
      <c r="L221" s="5">
        <v>3860</v>
      </c>
      <c r="M221" t="s">
        <v>764</v>
      </c>
    </row>
    <row r="222" spans="1:13" ht="21" x14ac:dyDescent="0.35">
      <c r="A222" s="15"/>
      <c r="B222" s="4" t="s">
        <v>356</v>
      </c>
      <c r="C222" s="4" t="s">
        <v>357</v>
      </c>
      <c r="D222" s="4" t="s">
        <v>51</v>
      </c>
      <c r="E222" s="4" t="s">
        <v>52</v>
      </c>
      <c r="F222" s="4" t="s">
        <v>363</v>
      </c>
      <c r="G222" s="5">
        <v>22498</v>
      </c>
      <c r="H222" s="5">
        <v>9045</v>
      </c>
      <c r="I222" s="5">
        <v>3010</v>
      </c>
      <c r="J222" s="5">
        <v>0</v>
      </c>
      <c r="K222" s="5">
        <v>0</v>
      </c>
      <c r="L222" s="5">
        <v>6035</v>
      </c>
      <c r="M222" t="s">
        <v>764</v>
      </c>
    </row>
    <row r="223" spans="1:13" ht="21" x14ac:dyDescent="0.35">
      <c r="A223" s="15"/>
      <c r="B223" s="4" t="s">
        <v>356</v>
      </c>
      <c r="C223" s="4" t="s">
        <v>357</v>
      </c>
      <c r="D223" s="4" t="s">
        <v>32</v>
      </c>
      <c r="E223" s="4" t="s">
        <v>33</v>
      </c>
      <c r="F223" s="4" t="s">
        <v>364</v>
      </c>
      <c r="G223" s="5">
        <v>6445</v>
      </c>
      <c r="H223" s="5">
        <v>6445</v>
      </c>
      <c r="I223" s="6"/>
      <c r="J223" s="6"/>
      <c r="K223" s="6"/>
      <c r="L223" s="5">
        <v>6445</v>
      </c>
      <c r="M223" t="s">
        <v>764</v>
      </c>
    </row>
    <row r="224" spans="1:13" x14ac:dyDescent="0.35">
      <c r="A224" s="15"/>
      <c r="B224" s="4" t="s">
        <v>356</v>
      </c>
      <c r="C224" s="4" t="s">
        <v>357</v>
      </c>
      <c r="D224" s="4" t="s">
        <v>131</v>
      </c>
      <c r="E224" s="4" t="s">
        <v>132</v>
      </c>
      <c r="F224" s="4" t="s">
        <v>365</v>
      </c>
      <c r="G224" s="5">
        <v>36000</v>
      </c>
      <c r="H224" s="5">
        <v>76000</v>
      </c>
      <c r="I224" s="5">
        <v>54783.360000000001</v>
      </c>
      <c r="J224" s="6"/>
      <c r="K224" s="6"/>
      <c r="L224" s="5">
        <v>21216.639999999999</v>
      </c>
      <c r="M224" t="s">
        <v>764</v>
      </c>
    </row>
    <row r="225" spans="1:13" x14ac:dyDescent="0.35">
      <c r="A225" s="15"/>
      <c r="B225" s="4" t="s">
        <v>356</v>
      </c>
      <c r="C225" s="4" t="s">
        <v>357</v>
      </c>
      <c r="D225" s="4" t="s">
        <v>134</v>
      </c>
      <c r="E225" s="4" t="s">
        <v>135</v>
      </c>
      <c r="F225" s="4" t="s">
        <v>366</v>
      </c>
      <c r="G225" s="5">
        <v>122650</v>
      </c>
      <c r="H225" s="5">
        <v>169693</v>
      </c>
      <c r="I225" s="5">
        <v>15400</v>
      </c>
      <c r="J225" s="5">
        <v>69300</v>
      </c>
      <c r="K225" s="5">
        <v>68545.81</v>
      </c>
      <c r="L225" s="5">
        <v>16447.189999999999</v>
      </c>
      <c r="M225" t="s">
        <v>764</v>
      </c>
    </row>
    <row r="226" spans="1:13" ht="21" x14ac:dyDescent="0.35">
      <c r="A226" s="15"/>
      <c r="B226" s="4" t="s">
        <v>367</v>
      </c>
      <c r="C226" s="4" t="s">
        <v>368</v>
      </c>
      <c r="D226" s="4" t="s">
        <v>70</v>
      </c>
      <c r="E226" s="4" t="s">
        <v>71</v>
      </c>
      <c r="F226" s="4" t="s">
        <v>369</v>
      </c>
      <c r="G226" s="5">
        <v>0</v>
      </c>
      <c r="H226" s="5">
        <v>1</v>
      </c>
      <c r="I226" s="6"/>
      <c r="J226" s="6"/>
      <c r="K226" s="6"/>
      <c r="L226" s="5">
        <v>1</v>
      </c>
      <c r="M226" t="s">
        <v>764</v>
      </c>
    </row>
    <row r="227" spans="1:13" ht="21" x14ac:dyDescent="0.35">
      <c r="A227" s="15"/>
      <c r="B227" s="4" t="s">
        <v>367</v>
      </c>
      <c r="C227" s="4" t="s">
        <v>368</v>
      </c>
      <c r="D227" s="4" t="s">
        <v>140</v>
      </c>
      <c r="E227" s="4" t="s">
        <v>141</v>
      </c>
      <c r="F227" s="4" t="s">
        <v>370</v>
      </c>
      <c r="G227" s="5">
        <v>44724</v>
      </c>
      <c r="H227" s="5">
        <v>19486</v>
      </c>
      <c r="I227" s="5">
        <v>19485.36</v>
      </c>
      <c r="J227" s="6"/>
      <c r="K227" s="6"/>
      <c r="L227" s="5">
        <v>0.63999999999941803</v>
      </c>
      <c r="M227" t="s">
        <v>764</v>
      </c>
    </row>
    <row r="228" spans="1:13" ht="21" x14ac:dyDescent="0.35">
      <c r="A228" s="15"/>
      <c r="B228" s="4" t="s">
        <v>367</v>
      </c>
      <c r="C228" s="4" t="s">
        <v>368</v>
      </c>
      <c r="D228" s="4" t="s">
        <v>51</v>
      </c>
      <c r="E228" s="4" t="s">
        <v>52</v>
      </c>
      <c r="F228" s="4" t="s">
        <v>371</v>
      </c>
      <c r="G228" s="5">
        <v>22981</v>
      </c>
      <c r="H228" s="5">
        <v>7645</v>
      </c>
      <c r="I228" s="5">
        <v>7644.21</v>
      </c>
      <c r="J228" s="5">
        <v>0</v>
      </c>
      <c r="K228" s="5">
        <v>0</v>
      </c>
      <c r="L228" s="5">
        <v>0.78999999999905401</v>
      </c>
      <c r="M228" t="s">
        <v>764</v>
      </c>
    </row>
    <row r="229" spans="1:13" ht="21" x14ac:dyDescent="0.35">
      <c r="A229" s="15"/>
      <c r="B229" s="4" t="s">
        <v>367</v>
      </c>
      <c r="C229" s="4" t="s">
        <v>368</v>
      </c>
      <c r="D229" s="4" t="s">
        <v>176</v>
      </c>
      <c r="E229" s="4" t="s">
        <v>177</v>
      </c>
      <c r="F229" s="4" t="s">
        <v>372</v>
      </c>
      <c r="G229" s="5">
        <v>1500</v>
      </c>
      <c r="H229" s="5">
        <v>1500</v>
      </c>
      <c r="I229" s="5">
        <v>878.9</v>
      </c>
      <c r="J229" s="6"/>
      <c r="K229" s="6"/>
      <c r="L229" s="5">
        <v>621.1</v>
      </c>
      <c r="M229" t="s">
        <v>764</v>
      </c>
    </row>
    <row r="230" spans="1:13" ht="21" x14ac:dyDescent="0.35">
      <c r="A230" s="15"/>
      <c r="B230" s="4" t="s">
        <v>367</v>
      </c>
      <c r="C230" s="4" t="s">
        <v>368</v>
      </c>
      <c r="D230" s="4" t="s">
        <v>134</v>
      </c>
      <c r="E230" s="4" t="s">
        <v>135</v>
      </c>
      <c r="F230" s="4" t="s">
        <v>373</v>
      </c>
      <c r="G230" s="5">
        <v>9790</v>
      </c>
      <c r="H230" s="5">
        <v>1</v>
      </c>
      <c r="I230" s="6"/>
      <c r="J230" s="6"/>
      <c r="K230" s="6"/>
      <c r="L230" s="5">
        <v>1</v>
      </c>
      <c r="M230" t="s">
        <v>764</v>
      </c>
    </row>
    <row r="231" spans="1:13" ht="21" x14ac:dyDescent="0.35">
      <c r="A231" s="15"/>
      <c r="B231" s="4" t="s">
        <v>374</v>
      </c>
      <c r="C231" s="4" t="s">
        <v>375</v>
      </c>
      <c r="D231" s="4" t="s">
        <v>144</v>
      </c>
      <c r="E231" s="4" t="s">
        <v>145</v>
      </c>
      <c r="F231" s="4" t="s">
        <v>376</v>
      </c>
      <c r="G231" s="5">
        <v>0</v>
      </c>
      <c r="H231" s="5">
        <v>0</v>
      </c>
      <c r="I231" s="6"/>
      <c r="J231" s="6"/>
      <c r="K231" s="6"/>
      <c r="L231" s="5">
        <v>0</v>
      </c>
      <c r="M231" t="s">
        <v>764</v>
      </c>
    </row>
    <row r="232" spans="1:13" ht="21" x14ac:dyDescent="0.35">
      <c r="A232" s="15"/>
      <c r="B232" s="4" t="s">
        <v>377</v>
      </c>
      <c r="C232" s="4" t="s">
        <v>378</v>
      </c>
      <c r="D232" s="4" t="s">
        <v>17</v>
      </c>
      <c r="E232" s="4" t="s">
        <v>18</v>
      </c>
      <c r="F232" s="4" t="s">
        <v>379</v>
      </c>
      <c r="G232" s="5">
        <v>20593</v>
      </c>
      <c r="H232" s="5">
        <v>20593</v>
      </c>
      <c r="I232" s="6"/>
      <c r="J232" s="5">
        <v>0</v>
      </c>
      <c r="K232" s="6"/>
      <c r="L232" s="5">
        <v>20593</v>
      </c>
      <c r="M232" t="s">
        <v>764</v>
      </c>
    </row>
    <row r="233" spans="1:13" ht="31.5" x14ac:dyDescent="0.35">
      <c r="A233" s="15"/>
      <c r="B233" s="4" t="s">
        <v>377</v>
      </c>
      <c r="C233" s="4" t="s">
        <v>378</v>
      </c>
      <c r="D233" s="4" t="s">
        <v>20</v>
      </c>
      <c r="E233" s="4" t="s">
        <v>21</v>
      </c>
      <c r="F233" s="4" t="s">
        <v>380</v>
      </c>
      <c r="G233" s="5">
        <v>11270</v>
      </c>
      <c r="H233" s="5">
        <v>11270</v>
      </c>
      <c r="I233" s="6"/>
      <c r="J233" s="5">
        <v>0</v>
      </c>
      <c r="K233" s="6"/>
      <c r="L233" s="5">
        <v>11270</v>
      </c>
      <c r="M233" t="s">
        <v>764</v>
      </c>
    </row>
    <row r="234" spans="1:13" ht="31.5" x14ac:dyDescent="0.35">
      <c r="A234" s="15"/>
      <c r="B234" s="4" t="s">
        <v>377</v>
      </c>
      <c r="C234" s="4" t="s">
        <v>378</v>
      </c>
      <c r="D234" s="4" t="s">
        <v>23</v>
      </c>
      <c r="E234" s="4" t="s">
        <v>24</v>
      </c>
      <c r="F234" s="4" t="s">
        <v>381</v>
      </c>
      <c r="G234" s="5">
        <v>25688</v>
      </c>
      <c r="H234" s="5">
        <v>25688</v>
      </c>
      <c r="I234" s="5">
        <v>15644.27</v>
      </c>
      <c r="J234" s="6"/>
      <c r="K234" s="6"/>
      <c r="L234" s="5">
        <v>10043.73</v>
      </c>
      <c r="M234" t="s">
        <v>764</v>
      </c>
    </row>
    <row r="235" spans="1:13" ht="21" x14ac:dyDescent="0.35">
      <c r="A235" s="15"/>
      <c r="B235" s="4" t="s">
        <v>377</v>
      </c>
      <c r="C235" s="4" t="s">
        <v>378</v>
      </c>
      <c r="D235" s="4" t="s">
        <v>140</v>
      </c>
      <c r="E235" s="4" t="s">
        <v>141</v>
      </c>
      <c r="F235" s="4" t="s">
        <v>382</v>
      </c>
      <c r="G235" s="5">
        <v>82500</v>
      </c>
      <c r="H235" s="5">
        <v>82500</v>
      </c>
      <c r="I235" s="5">
        <v>53580.08</v>
      </c>
      <c r="J235" s="6"/>
      <c r="K235" s="6"/>
      <c r="L235" s="5">
        <v>28919.919999999998</v>
      </c>
      <c r="M235" t="s">
        <v>764</v>
      </c>
    </row>
    <row r="236" spans="1:13" ht="21" x14ac:dyDescent="0.35">
      <c r="A236" s="15"/>
      <c r="B236" s="4" t="s">
        <v>377</v>
      </c>
      <c r="C236" s="4" t="s">
        <v>378</v>
      </c>
      <c r="D236" s="4" t="s">
        <v>51</v>
      </c>
      <c r="E236" s="4" t="s">
        <v>52</v>
      </c>
      <c r="F236" s="4" t="s">
        <v>383</v>
      </c>
      <c r="G236" s="5">
        <v>22589</v>
      </c>
      <c r="H236" s="5">
        <v>22589</v>
      </c>
      <c r="I236" s="5">
        <v>34229.1</v>
      </c>
      <c r="J236" s="5">
        <v>-13590.1</v>
      </c>
      <c r="K236" s="5">
        <v>0</v>
      </c>
      <c r="L236" s="5">
        <v>1950</v>
      </c>
      <c r="M236" t="s">
        <v>764</v>
      </c>
    </row>
    <row r="237" spans="1:13" ht="21" x14ac:dyDescent="0.35">
      <c r="A237" s="15"/>
      <c r="B237" s="4" t="s">
        <v>377</v>
      </c>
      <c r="C237" s="4" t="s">
        <v>378</v>
      </c>
      <c r="D237" s="4" t="s">
        <v>59</v>
      </c>
      <c r="E237" s="4" t="s">
        <v>60</v>
      </c>
      <c r="F237" s="4" t="s">
        <v>384</v>
      </c>
      <c r="G237" s="5">
        <v>1942</v>
      </c>
      <c r="H237" s="5">
        <v>1942</v>
      </c>
      <c r="I237" s="5">
        <v>440.4</v>
      </c>
      <c r="J237" s="5">
        <v>0</v>
      </c>
      <c r="K237" s="6"/>
      <c r="L237" s="5">
        <v>1501.6</v>
      </c>
      <c r="M237" t="s">
        <v>764</v>
      </c>
    </row>
    <row r="238" spans="1:13" ht="21" x14ac:dyDescent="0.35">
      <c r="A238" s="15"/>
      <c r="B238" s="4" t="s">
        <v>377</v>
      </c>
      <c r="C238" s="4" t="s">
        <v>378</v>
      </c>
      <c r="D238" s="4" t="s">
        <v>32</v>
      </c>
      <c r="E238" s="4" t="s">
        <v>33</v>
      </c>
      <c r="F238" s="4" t="s">
        <v>385</v>
      </c>
      <c r="G238" s="5">
        <v>4219</v>
      </c>
      <c r="H238" s="5">
        <v>4219</v>
      </c>
      <c r="I238" s="6"/>
      <c r="J238" s="5">
        <v>0</v>
      </c>
      <c r="K238" s="6"/>
      <c r="L238" s="5">
        <v>4219</v>
      </c>
      <c r="M238" t="s">
        <v>764</v>
      </c>
    </row>
    <row r="239" spans="1:13" ht="21" x14ac:dyDescent="0.35">
      <c r="A239" s="15"/>
      <c r="B239" s="4" t="s">
        <v>377</v>
      </c>
      <c r="C239" s="4" t="s">
        <v>378</v>
      </c>
      <c r="D239" s="4" t="s">
        <v>79</v>
      </c>
      <c r="E239" s="4" t="s">
        <v>80</v>
      </c>
      <c r="F239" s="4" t="s">
        <v>386</v>
      </c>
      <c r="G239" s="5">
        <v>2174</v>
      </c>
      <c r="H239" s="5">
        <v>2174</v>
      </c>
      <c r="I239" s="6"/>
      <c r="J239" s="5">
        <v>0</v>
      </c>
      <c r="K239" s="6"/>
      <c r="L239" s="5">
        <v>2174</v>
      </c>
      <c r="M239" t="s">
        <v>764</v>
      </c>
    </row>
    <row r="240" spans="1:13" ht="21" x14ac:dyDescent="0.35">
      <c r="A240" s="15"/>
      <c r="B240" s="4" t="s">
        <v>377</v>
      </c>
      <c r="C240" s="4" t="s">
        <v>378</v>
      </c>
      <c r="D240" s="4" t="s">
        <v>131</v>
      </c>
      <c r="E240" s="4" t="s">
        <v>132</v>
      </c>
      <c r="F240" s="4" t="s">
        <v>387</v>
      </c>
      <c r="G240" s="5">
        <v>9600</v>
      </c>
      <c r="H240" s="5">
        <v>29600</v>
      </c>
      <c r="I240" s="5">
        <v>1092.1300000000001</v>
      </c>
      <c r="J240" s="5">
        <v>0</v>
      </c>
      <c r="K240" s="6"/>
      <c r="L240" s="5">
        <v>28507.87</v>
      </c>
      <c r="M240" t="s">
        <v>764</v>
      </c>
    </row>
    <row r="241" spans="1:13" ht="21" x14ac:dyDescent="0.35">
      <c r="A241" s="15"/>
      <c r="B241" s="4" t="s">
        <v>377</v>
      </c>
      <c r="C241" s="4" t="s">
        <v>378</v>
      </c>
      <c r="D241" s="4" t="s">
        <v>218</v>
      </c>
      <c r="E241" s="4" t="s">
        <v>219</v>
      </c>
      <c r="F241" s="4" t="s">
        <v>388</v>
      </c>
      <c r="G241" s="5">
        <v>4195</v>
      </c>
      <c r="H241" s="5">
        <v>4195</v>
      </c>
      <c r="I241" s="6"/>
      <c r="J241" s="5">
        <v>0</v>
      </c>
      <c r="K241" s="6"/>
      <c r="L241" s="5">
        <v>4195</v>
      </c>
      <c r="M241" t="s">
        <v>764</v>
      </c>
    </row>
    <row r="242" spans="1:13" ht="31.5" x14ac:dyDescent="0.35">
      <c r="A242" s="15"/>
      <c r="B242" s="4" t="s">
        <v>389</v>
      </c>
      <c r="C242" s="4" t="s">
        <v>390</v>
      </c>
      <c r="D242" s="4" t="s">
        <v>20</v>
      </c>
      <c r="E242" s="4" t="s">
        <v>21</v>
      </c>
      <c r="F242" s="4" t="s">
        <v>391</v>
      </c>
      <c r="G242" s="5">
        <v>0</v>
      </c>
      <c r="H242" s="5">
        <v>20000</v>
      </c>
      <c r="I242" s="5">
        <v>16688.009999999998</v>
      </c>
      <c r="J242" s="6"/>
      <c r="K242" s="6"/>
      <c r="L242" s="5">
        <v>3311.99</v>
      </c>
      <c r="M242" t="s">
        <v>764</v>
      </c>
    </row>
    <row r="243" spans="1:13" ht="21" x14ac:dyDescent="0.35">
      <c r="A243" s="15"/>
      <c r="B243" s="4" t="s">
        <v>389</v>
      </c>
      <c r="C243" s="4" t="s">
        <v>390</v>
      </c>
      <c r="D243" s="4" t="s">
        <v>259</v>
      </c>
      <c r="E243" s="4" t="s">
        <v>260</v>
      </c>
      <c r="F243" s="4" t="s">
        <v>392</v>
      </c>
      <c r="G243" s="5">
        <v>19190</v>
      </c>
      <c r="H243" s="5">
        <v>19190</v>
      </c>
      <c r="I243" s="5">
        <v>36730</v>
      </c>
      <c r="J243" s="5">
        <v>-18365</v>
      </c>
      <c r="K243" s="5">
        <v>0</v>
      </c>
      <c r="L243" s="5">
        <v>825</v>
      </c>
      <c r="M243" t="s">
        <v>764</v>
      </c>
    </row>
    <row r="244" spans="1:13" ht="21" x14ac:dyDescent="0.35">
      <c r="A244" s="15"/>
      <c r="B244" s="4" t="s">
        <v>389</v>
      </c>
      <c r="C244" s="4" t="s">
        <v>390</v>
      </c>
      <c r="D244" s="4" t="s">
        <v>140</v>
      </c>
      <c r="E244" s="4" t="s">
        <v>141</v>
      </c>
      <c r="F244" s="4" t="s">
        <v>393</v>
      </c>
      <c r="G244" s="5">
        <v>282010</v>
      </c>
      <c r="H244" s="5">
        <v>375593</v>
      </c>
      <c r="I244" s="5">
        <v>109596.06</v>
      </c>
      <c r="J244" s="6"/>
      <c r="K244" s="6"/>
      <c r="L244" s="5">
        <v>265996.94</v>
      </c>
      <c r="M244" t="s">
        <v>764</v>
      </c>
    </row>
    <row r="245" spans="1:13" ht="21" x14ac:dyDescent="0.35">
      <c r="A245" s="15"/>
      <c r="B245" s="4" t="s">
        <v>389</v>
      </c>
      <c r="C245" s="4" t="s">
        <v>390</v>
      </c>
      <c r="D245" s="4" t="s">
        <v>51</v>
      </c>
      <c r="E245" s="4" t="s">
        <v>52</v>
      </c>
      <c r="F245" s="4" t="s">
        <v>394</v>
      </c>
      <c r="G245" s="5">
        <v>21928</v>
      </c>
      <c r="H245" s="5">
        <v>28512</v>
      </c>
      <c r="I245" s="5">
        <v>15511.64</v>
      </c>
      <c r="J245" s="5">
        <v>0</v>
      </c>
      <c r="K245" s="5">
        <v>0</v>
      </c>
      <c r="L245" s="5">
        <v>13000.36</v>
      </c>
      <c r="M245" t="s">
        <v>764</v>
      </c>
    </row>
    <row r="246" spans="1:13" ht="21" x14ac:dyDescent="0.35">
      <c r="A246" s="15"/>
      <c r="B246" s="4" t="s">
        <v>389</v>
      </c>
      <c r="C246" s="4" t="s">
        <v>390</v>
      </c>
      <c r="D246" s="4" t="s">
        <v>131</v>
      </c>
      <c r="E246" s="4" t="s">
        <v>132</v>
      </c>
      <c r="F246" s="4" t="s">
        <v>395</v>
      </c>
      <c r="G246" s="5">
        <v>162000</v>
      </c>
      <c r="H246" s="5">
        <v>202000</v>
      </c>
      <c r="I246" s="5">
        <v>83083.25</v>
      </c>
      <c r="J246" s="5">
        <v>12979.03</v>
      </c>
      <c r="K246" s="6"/>
      <c r="L246" s="5">
        <v>105937.72</v>
      </c>
      <c r="M246" t="s">
        <v>764</v>
      </c>
    </row>
    <row r="247" spans="1:13" ht="21" x14ac:dyDescent="0.35">
      <c r="A247" s="15"/>
      <c r="B247" s="4" t="s">
        <v>396</v>
      </c>
      <c r="C247" s="4" t="s">
        <v>397</v>
      </c>
      <c r="D247" s="4" t="s">
        <v>17</v>
      </c>
      <c r="E247" s="4" t="s">
        <v>18</v>
      </c>
      <c r="F247" s="4" t="s">
        <v>398</v>
      </c>
      <c r="G247" s="5">
        <v>23000</v>
      </c>
      <c r="H247" s="5">
        <v>0</v>
      </c>
      <c r="I247" s="6"/>
      <c r="J247" s="6"/>
      <c r="K247" s="6"/>
      <c r="L247" s="5">
        <v>0</v>
      </c>
      <c r="M247" t="s">
        <v>764</v>
      </c>
    </row>
    <row r="248" spans="1:13" ht="21" x14ac:dyDescent="0.35">
      <c r="A248" s="15"/>
      <c r="B248" s="4" t="s">
        <v>396</v>
      </c>
      <c r="C248" s="4" t="s">
        <v>397</v>
      </c>
      <c r="D248" s="4" t="s">
        <v>47</v>
      </c>
      <c r="E248" s="4" t="s">
        <v>48</v>
      </c>
      <c r="F248" s="4" t="s">
        <v>399</v>
      </c>
      <c r="G248" s="5">
        <v>225000</v>
      </c>
      <c r="H248" s="5">
        <v>0</v>
      </c>
      <c r="I248" s="6"/>
      <c r="J248" s="6"/>
      <c r="K248" s="6"/>
      <c r="L248" s="5">
        <v>0</v>
      </c>
      <c r="M248" t="s">
        <v>764</v>
      </c>
    </row>
    <row r="249" spans="1:13" ht="31.5" x14ac:dyDescent="0.35">
      <c r="A249" s="15"/>
      <c r="B249" s="4" t="s">
        <v>396</v>
      </c>
      <c r="C249" s="4" t="s">
        <v>397</v>
      </c>
      <c r="D249" s="4" t="s">
        <v>20</v>
      </c>
      <c r="E249" s="4" t="s">
        <v>21</v>
      </c>
      <c r="F249" s="4" t="s">
        <v>400</v>
      </c>
      <c r="G249" s="5">
        <v>9100</v>
      </c>
      <c r="H249" s="5">
        <v>9100</v>
      </c>
      <c r="I249" s="5">
        <v>4135</v>
      </c>
      <c r="J249" s="6"/>
      <c r="K249" s="6"/>
      <c r="L249" s="5">
        <v>4965</v>
      </c>
      <c r="M249" t="s">
        <v>764</v>
      </c>
    </row>
    <row r="250" spans="1:13" ht="21" x14ac:dyDescent="0.35">
      <c r="A250" s="15"/>
      <c r="B250" s="4" t="s">
        <v>396</v>
      </c>
      <c r="C250" s="4" t="s">
        <v>397</v>
      </c>
      <c r="D250" s="4" t="s">
        <v>288</v>
      </c>
      <c r="E250" s="4" t="s">
        <v>289</v>
      </c>
      <c r="F250" s="4" t="s">
        <v>401</v>
      </c>
      <c r="G250" s="5">
        <v>0</v>
      </c>
      <c r="H250" s="5">
        <v>302244</v>
      </c>
      <c r="I250" s="5">
        <v>91335</v>
      </c>
      <c r="J250" s="6"/>
      <c r="K250" s="6"/>
      <c r="L250" s="5">
        <v>210909</v>
      </c>
      <c r="M250" t="s">
        <v>764</v>
      </c>
    </row>
    <row r="251" spans="1:13" ht="21" x14ac:dyDescent="0.35">
      <c r="A251" s="15"/>
      <c r="B251" s="4" t="s">
        <v>396</v>
      </c>
      <c r="C251" s="4" t="s">
        <v>397</v>
      </c>
      <c r="D251" s="4" t="s">
        <v>70</v>
      </c>
      <c r="E251" s="4" t="s">
        <v>71</v>
      </c>
      <c r="F251" s="4" t="s">
        <v>402</v>
      </c>
      <c r="G251" s="5">
        <v>52244</v>
      </c>
      <c r="H251" s="5">
        <v>745</v>
      </c>
      <c r="I251" s="5">
        <v>743.33</v>
      </c>
      <c r="J251" s="6"/>
      <c r="K251" s="6"/>
      <c r="L251" s="5">
        <v>1.66999999999996</v>
      </c>
      <c r="M251" t="s">
        <v>764</v>
      </c>
    </row>
    <row r="252" spans="1:13" ht="21" x14ac:dyDescent="0.35">
      <c r="A252" s="15"/>
      <c r="B252" s="4" t="s">
        <v>396</v>
      </c>
      <c r="C252" s="4" t="s">
        <v>397</v>
      </c>
      <c r="D252" s="4" t="s">
        <v>140</v>
      </c>
      <c r="E252" s="4" t="s">
        <v>141</v>
      </c>
      <c r="F252" s="4" t="s">
        <v>403</v>
      </c>
      <c r="G252" s="5">
        <v>0</v>
      </c>
      <c r="H252" s="5">
        <v>110000</v>
      </c>
      <c r="I252" s="5">
        <v>73741.600000000006</v>
      </c>
      <c r="J252" s="5">
        <v>0</v>
      </c>
      <c r="K252" s="5">
        <v>9000</v>
      </c>
      <c r="L252" s="5">
        <v>27258.400000000001</v>
      </c>
      <c r="M252" t="s">
        <v>764</v>
      </c>
    </row>
    <row r="253" spans="1:13" ht="21" x14ac:dyDescent="0.35">
      <c r="A253" s="15"/>
      <c r="B253" s="4" t="s">
        <v>396</v>
      </c>
      <c r="C253" s="4" t="s">
        <v>397</v>
      </c>
      <c r="D253" s="4" t="s">
        <v>51</v>
      </c>
      <c r="E253" s="4" t="s">
        <v>52</v>
      </c>
      <c r="F253" s="4" t="s">
        <v>404</v>
      </c>
      <c r="G253" s="5">
        <v>35628</v>
      </c>
      <c r="H253" s="5">
        <v>35628</v>
      </c>
      <c r="I253" s="6"/>
      <c r="J253" s="5">
        <v>0</v>
      </c>
      <c r="K253" s="5">
        <v>7346</v>
      </c>
      <c r="L253" s="5">
        <v>28282</v>
      </c>
      <c r="M253" t="s">
        <v>764</v>
      </c>
    </row>
    <row r="254" spans="1:13" ht="21" x14ac:dyDescent="0.35">
      <c r="A254" s="15"/>
      <c r="B254" s="4" t="s">
        <v>396</v>
      </c>
      <c r="C254" s="4" t="s">
        <v>397</v>
      </c>
      <c r="D254" s="4" t="s">
        <v>176</v>
      </c>
      <c r="E254" s="4" t="s">
        <v>177</v>
      </c>
      <c r="F254" s="4" t="s">
        <v>405</v>
      </c>
      <c r="G254" s="5">
        <v>34643</v>
      </c>
      <c r="H254" s="5">
        <v>33898</v>
      </c>
      <c r="I254" s="5">
        <v>10447.15</v>
      </c>
      <c r="J254" s="5">
        <v>0</v>
      </c>
      <c r="K254" s="5">
        <v>15000</v>
      </c>
      <c r="L254" s="5">
        <v>8450.85</v>
      </c>
      <c r="M254" t="s">
        <v>764</v>
      </c>
    </row>
    <row r="255" spans="1:13" ht="21" x14ac:dyDescent="0.35">
      <c r="A255" s="15"/>
      <c r="B255" s="4" t="s">
        <v>396</v>
      </c>
      <c r="C255" s="4" t="s">
        <v>397</v>
      </c>
      <c r="D255" s="4" t="s">
        <v>131</v>
      </c>
      <c r="E255" s="4" t="s">
        <v>132</v>
      </c>
      <c r="F255" s="4" t="s">
        <v>406</v>
      </c>
      <c r="G255" s="5">
        <v>0</v>
      </c>
      <c r="H255" s="5">
        <v>20000</v>
      </c>
      <c r="I255" s="6"/>
      <c r="J255" s="6"/>
      <c r="K255" s="6"/>
      <c r="L255" s="5">
        <v>20000</v>
      </c>
      <c r="M255" t="s">
        <v>764</v>
      </c>
    </row>
    <row r="256" spans="1:13" ht="21" x14ac:dyDescent="0.35">
      <c r="A256" s="15"/>
      <c r="B256" s="4" t="s">
        <v>407</v>
      </c>
      <c r="C256" s="4" t="s">
        <v>408</v>
      </c>
      <c r="D256" s="4" t="s">
        <v>140</v>
      </c>
      <c r="E256" s="4" t="s">
        <v>141</v>
      </c>
      <c r="F256" s="4" t="s">
        <v>409</v>
      </c>
      <c r="G256" s="5">
        <v>121585</v>
      </c>
      <c r="H256" s="5">
        <v>74285</v>
      </c>
      <c r="I256" s="5">
        <v>43853.23</v>
      </c>
      <c r="J256" s="6"/>
      <c r="K256" s="6"/>
      <c r="L256" s="5">
        <v>30431.77</v>
      </c>
      <c r="M256" t="s">
        <v>764</v>
      </c>
    </row>
    <row r="257" spans="1:13" x14ac:dyDescent="0.35">
      <c r="A257" s="15"/>
      <c r="B257" s="4" t="s">
        <v>407</v>
      </c>
      <c r="C257" s="4" t="s">
        <v>408</v>
      </c>
      <c r="D257" s="4" t="s">
        <v>26</v>
      </c>
      <c r="E257" s="4" t="s">
        <v>27</v>
      </c>
      <c r="F257" s="4" t="s">
        <v>410</v>
      </c>
      <c r="G257" s="5">
        <v>5020</v>
      </c>
      <c r="H257" s="5">
        <v>5020</v>
      </c>
      <c r="I257" s="5">
        <v>2700</v>
      </c>
      <c r="J257" s="5">
        <v>0</v>
      </c>
      <c r="K257" s="6"/>
      <c r="L257" s="5">
        <v>2320</v>
      </c>
      <c r="M257" t="s">
        <v>764</v>
      </c>
    </row>
    <row r="258" spans="1:13" ht="21" x14ac:dyDescent="0.35">
      <c r="A258" s="15"/>
      <c r="B258" s="4" t="s">
        <v>407</v>
      </c>
      <c r="C258" s="4" t="s">
        <v>408</v>
      </c>
      <c r="D258" s="4" t="s">
        <v>51</v>
      </c>
      <c r="E258" s="4" t="s">
        <v>52</v>
      </c>
      <c r="F258" s="4" t="s">
        <v>411</v>
      </c>
      <c r="G258" s="5">
        <v>30436</v>
      </c>
      <c r="H258" s="5">
        <v>30436</v>
      </c>
      <c r="I258" s="5">
        <v>2800</v>
      </c>
      <c r="J258" s="5">
        <v>5876.8</v>
      </c>
      <c r="K258" s="5">
        <v>0</v>
      </c>
      <c r="L258" s="5">
        <v>21759.200000000001</v>
      </c>
      <c r="M258" t="s">
        <v>764</v>
      </c>
    </row>
    <row r="259" spans="1:13" x14ac:dyDescent="0.35">
      <c r="A259" s="15"/>
      <c r="B259" s="4" t="s">
        <v>407</v>
      </c>
      <c r="C259" s="4" t="s">
        <v>408</v>
      </c>
      <c r="D259" s="4" t="s">
        <v>176</v>
      </c>
      <c r="E259" s="4" t="s">
        <v>177</v>
      </c>
      <c r="F259" s="4" t="s">
        <v>412</v>
      </c>
      <c r="G259" s="5">
        <v>291800</v>
      </c>
      <c r="H259" s="5">
        <v>291800</v>
      </c>
      <c r="I259" s="5">
        <v>3000</v>
      </c>
      <c r="J259" s="5">
        <v>233932</v>
      </c>
      <c r="K259" s="5">
        <v>47496</v>
      </c>
      <c r="L259" s="5">
        <v>7372</v>
      </c>
      <c r="M259" t="s">
        <v>764</v>
      </c>
    </row>
    <row r="260" spans="1:13" x14ac:dyDescent="0.35">
      <c r="A260" s="15"/>
      <c r="B260" s="4" t="s">
        <v>407</v>
      </c>
      <c r="C260" s="4" t="s">
        <v>408</v>
      </c>
      <c r="D260" s="4" t="s">
        <v>131</v>
      </c>
      <c r="E260" s="4" t="s">
        <v>132</v>
      </c>
      <c r="F260" s="4" t="s">
        <v>413</v>
      </c>
      <c r="G260" s="5">
        <v>20510</v>
      </c>
      <c r="H260" s="5">
        <v>40510</v>
      </c>
      <c r="I260" s="5">
        <v>6747.11</v>
      </c>
      <c r="J260" s="6"/>
      <c r="K260" s="6"/>
      <c r="L260" s="5">
        <v>33762.89</v>
      </c>
      <c r="M260" t="s">
        <v>764</v>
      </c>
    </row>
    <row r="261" spans="1:13" x14ac:dyDescent="0.35">
      <c r="A261" s="15"/>
      <c r="B261" s="4" t="s">
        <v>407</v>
      </c>
      <c r="C261" s="4" t="s">
        <v>408</v>
      </c>
      <c r="D261" s="4" t="s">
        <v>134</v>
      </c>
      <c r="E261" s="4" t="s">
        <v>135</v>
      </c>
      <c r="F261" s="4" t="s">
        <v>414</v>
      </c>
      <c r="G261" s="5">
        <v>17220</v>
      </c>
      <c r="H261" s="5">
        <v>259440</v>
      </c>
      <c r="I261" s="5">
        <v>217488.31</v>
      </c>
      <c r="J261" s="5">
        <v>-59908</v>
      </c>
      <c r="K261" s="5">
        <v>71429.429999999993</v>
      </c>
      <c r="L261" s="5">
        <v>30430.2600000001</v>
      </c>
      <c r="M261" t="s">
        <v>764</v>
      </c>
    </row>
    <row r="262" spans="1:13" ht="31.5" x14ac:dyDescent="0.35">
      <c r="A262" s="15"/>
      <c r="B262" s="4" t="s">
        <v>415</v>
      </c>
      <c r="C262" s="4" t="s">
        <v>416</v>
      </c>
      <c r="D262" s="4" t="s">
        <v>20</v>
      </c>
      <c r="E262" s="4" t="s">
        <v>21</v>
      </c>
      <c r="F262" s="4" t="s">
        <v>417</v>
      </c>
      <c r="G262" s="5">
        <v>7162</v>
      </c>
      <c r="H262" s="5">
        <v>7162</v>
      </c>
      <c r="I262" s="5">
        <v>1659</v>
      </c>
      <c r="J262" s="6"/>
      <c r="K262" s="6"/>
      <c r="L262" s="5">
        <v>5503</v>
      </c>
      <c r="M262" t="s">
        <v>762</v>
      </c>
    </row>
    <row r="263" spans="1:13" ht="31.5" x14ac:dyDescent="0.35">
      <c r="A263" s="15"/>
      <c r="B263" s="4" t="s">
        <v>415</v>
      </c>
      <c r="C263" s="4" t="s">
        <v>416</v>
      </c>
      <c r="D263" s="4" t="s">
        <v>59</v>
      </c>
      <c r="E263" s="4" t="s">
        <v>60</v>
      </c>
      <c r="F263" s="4" t="s">
        <v>418</v>
      </c>
      <c r="G263" s="5">
        <v>10510</v>
      </c>
      <c r="H263" s="5">
        <v>10510</v>
      </c>
      <c r="I263" s="6"/>
      <c r="J263" s="5">
        <v>0</v>
      </c>
      <c r="K263" s="5">
        <v>4250</v>
      </c>
      <c r="L263" s="5">
        <v>6260</v>
      </c>
      <c r="M263" t="s">
        <v>762</v>
      </c>
    </row>
    <row r="264" spans="1:13" ht="31.5" x14ac:dyDescent="0.35">
      <c r="A264" s="15"/>
      <c r="B264" s="4" t="s">
        <v>415</v>
      </c>
      <c r="C264" s="4" t="s">
        <v>416</v>
      </c>
      <c r="D264" s="4" t="s">
        <v>419</v>
      </c>
      <c r="E264" s="4" t="s">
        <v>420</v>
      </c>
      <c r="F264" s="4" t="s">
        <v>421</v>
      </c>
      <c r="G264" s="5">
        <v>333750</v>
      </c>
      <c r="H264" s="5">
        <v>479750</v>
      </c>
      <c r="I264" s="5">
        <v>233045.88</v>
      </c>
      <c r="J264" s="5">
        <v>23644.48</v>
      </c>
      <c r="K264" s="5">
        <v>118855.01</v>
      </c>
      <c r="L264" s="5">
        <v>104204.63</v>
      </c>
      <c r="M264" t="s">
        <v>762</v>
      </c>
    </row>
    <row r="265" spans="1:13" ht="21" x14ac:dyDescent="0.35">
      <c r="A265" s="15"/>
      <c r="B265" s="4" t="s">
        <v>422</v>
      </c>
      <c r="C265" s="4" t="s">
        <v>423</v>
      </c>
      <c r="D265" s="4" t="s">
        <v>424</v>
      </c>
      <c r="E265" s="4" t="s">
        <v>425</v>
      </c>
      <c r="F265" s="4" t="s">
        <v>426</v>
      </c>
      <c r="G265" s="5">
        <v>4076217</v>
      </c>
      <c r="H265" s="5">
        <v>4200474</v>
      </c>
      <c r="I265" s="5">
        <v>2327799.73</v>
      </c>
      <c r="J265" s="5">
        <v>0</v>
      </c>
      <c r="K265" s="5">
        <v>1872157.5</v>
      </c>
      <c r="L265" s="5">
        <v>516.77000000048395</v>
      </c>
      <c r="M265" t="s">
        <v>762</v>
      </c>
    </row>
    <row r="266" spans="1:13" ht="21" x14ac:dyDescent="0.35">
      <c r="A266" s="15"/>
      <c r="B266" s="4" t="s">
        <v>422</v>
      </c>
      <c r="C266" s="4" t="s">
        <v>423</v>
      </c>
      <c r="D266" s="4" t="s">
        <v>424</v>
      </c>
      <c r="E266" s="4" t="s">
        <v>425</v>
      </c>
      <c r="F266" s="4" t="s">
        <v>427</v>
      </c>
      <c r="G266" s="5">
        <v>747242</v>
      </c>
      <c r="H266" s="5">
        <v>2507010</v>
      </c>
      <c r="I266" s="5">
        <v>1426583.87</v>
      </c>
      <c r="J266" s="5">
        <v>0</v>
      </c>
      <c r="K266" s="5">
        <v>1069224.51</v>
      </c>
      <c r="L266" s="5">
        <v>11201.620000000299</v>
      </c>
      <c r="M266" t="s">
        <v>762</v>
      </c>
    </row>
    <row r="267" spans="1:13" ht="21" x14ac:dyDescent="0.35">
      <c r="A267" s="15"/>
      <c r="B267" s="4" t="s">
        <v>422</v>
      </c>
      <c r="C267" s="4" t="s">
        <v>423</v>
      </c>
      <c r="D267" s="4" t="s">
        <v>424</v>
      </c>
      <c r="E267" s="4" t="s">
        <v>425</v>
      </c>
      <c r="F267" s="4" t="s">
        <v>428</v>
      </c>
      <c r="G267" s="5">
        <v>4349278</v>
      </c>
      <c r="H267" s="5">
        <v>2486253</v>
      </c>
      <c r="I267" s="5">
        <v>1414238.23</v>
      </c>
      <c r="J267" s="5">
        <v>40000</v>
      </c>
      <c r="K267" s="5">
        <v>1022162.44</v>
      </c>
      <c r="L267" s="5">
        <v>9852.3299999998399</v>
      </c>
      <c r="M267" t="s">
        <v>762</v>
      </c>
    </row>
    <row r="268" spans="1:13" ht="21" x14ac:dyDescent="0.35">
      <c r="A268" s="15"/>
      <c r="B268" s="4" t="s">
        <v>422</v>
      </c>
      <c r="C268" s="4" t="s">
        <v>423</v>
      </c>
      <c r="D268" s="4" t="s">
        <v>44</v>
      </c>
      <c r="E268" s="4" t="s">
        <v>45</v>
      </c>
      <c r="F268" s="4" t="s">
        <v>429</v>
      </c>
      <c r="G268" s="5">
        <v>850000</v>
      </c>
      <c r="H268" s="5">
        <v>833500</v>
      </c>
      <c r="I268" s="6"/>
      <c r="J268" s="5">
        <v>500000</v>
      </c>
      <c r="K268" s="5">
        <v>329900</v>
      </c>
      <c r="L268" s="5">
        <v>3600</v>
      </c>
      <c r="M268" t="s">
        <v>762</v>
      </c>
    </row>
    <row r="269" spans="1:13" ht="21" x14ac:dyDescent="0.35">
      <c r="A269" s="16"/>
      <c r="B269" s="4" t="s">
        <v>422</v>
      </c>
      <c r="C269" s="4" t="s">
        <v>423</v>
      </c>
      <c r="D269" s="4" t="s">
        <v>430</v>
      </c>
      <c r="E269" s="4" t="s">
        <v>431</v>
      </c>
      <c r="F269" s="4" t="s">
        <v>432</v>
      </c>
      <c r="G269" s="5">
        <v>3615061</v>
      </c>
      <c r="H269" s="5">
        <v>3615061</v>
      </c>
      <c r="I269" s="5">
        <v>2373966.21</v>
      </c>
      <c r="J269" s="5">
        <v>905971</v>
      </c>
      <c r="K269" s="5">
        <v>42197.2</v>
      </c>
      <c r="L269" s="5">
        <v>292926.59000000003</v>
      </c>
      <c r="M269" t="s">
        <v>762</v>
      </c>
    </row>
    <row r="270" spans="1:13" ht="21" x14ac:dyDescent="0.35">
      <c r="A270" s="17" t="s">
        <v>1</v>
      </c>
      <c r="B270" s="4" t="s">
        <v>422</v>
      </c>
      <c r="C270" s="4" t="s">
        <v>423</v>
      </c>
      <c r="D270" s="4" t="s">
        <v>430</v>
      </c>
      <c r="E270" s="4" t="s">
        <v>431</v>
      </c>
      <c r="F270" s="4" t="s">
        <v>433</v>
      </c>
      <c r="G270" s="5">
        <v>2421018</v>
      </c>
      <c r="H270" s="5">
        <v>2421018</v>
      </c>
      <c r="I270" s="5">
        <v>1015401.78</v>
      </c>
      <c r="J270" s="5">
        <v>814652.1</v>
      </c>
      <c r="K270" s="5">
        <v>0</v>
      </c>
      <c r="L270" s="5">
        <v>590964.12</v>
      </c>
      <c r="M270" t="s">
        <v>762</v>
      </c>
    </row>
    <row r="271" spans="1:13" ht="21" x14ac:dyDescent="0.35">
      <c r="A271" s="17"/>
      <c r="B271" s="4" t="s">
        <v>422</v>
      </c>
      <c r="C271" s="4" t="s">
        <v>423</v>
      </c>
      <c r="D271" s="4" t="s">
        <v>430</v>
      </c>
      <c r="E271" s="4" t="s">
        <v>431</v>
      </c>
      <c r="F271" s="4" t="s">
        <v>434</v>
      </c>
      <c r="G271" s="5">
        <v>1972180</v>
      </c>
      <c r="H271" s="5">
        <v>1972180</v>
      </c>
      <c r="I271" s="5">
        <v>1189869.68</v>
      </c>
      <c r="J271" s="5">
        <v>546003.11</v>
      </c>
      <c r="K271" s="5">
        <v>0</v>
      </c>
      <c r="L271" s="5">
        <v>236307.21</v>
      </c>
      <c r="M271" t="s">
        <v>762</v>
      </c>
    </row>
    <row r="272" spans="1:13" ht="21" x14ac:dyDescent="0.35">
      <c r="A272" s="17"/>
      <c r="B272" s="4" t="s">
        <v>422</v>
      </c>
      <c r="C272" s="4" t="s">
        <v>423</v>
      </c>
      <c r="D272" s="4" t="s">
        <v>430</v>
      </c>
      <c r="E272" s="4" t="s">
        <v>431</v>
      </c>
      <c r="F272" s="4" t="s">
        <v>435</v>
      </c>
      <c r="G272" s="5">
        <v>592937</v>
      </c>
      <c r="H272" s="5">
        <v>592937</v>
      </c>
      <c r="I272" s="5">
        <v>314443.89</v>
      </c>
      <c r="J272" s="5">
        <v>159367.70000000001</v>
      </c>
      <c r="K272" s="5">
        <v>920</v>
      </c>
      <c r="L272" s="5">
        <v>118205.41</v>
      </c>
      <c r="M272" t="s">
        <v>762</v>
      </c>
    </row>
    <row r="273" spans="1:13" ht="21" x14ac:dyDescent="0.35">
      <c r="A273" s="17"/>
      <c r="B273" s="4" t="s">
        <v>422</v>
      </c>
      <c r="C273" s="4" t="s">
        <v>423</v>
      </c>
      <c r="D273" s="4" t="s">
        <v>47</v>
      </c>
      <c r="E273" s="4" t="s">
        <v>48</v>
      </c>
      <c r="F273" s="4" t="s">
        <v>436</v>
      </c>
      <c r="G273" s="5">
        <v>187500</v>
      </c>
      <c r="H273" s="5">
        <v>0</v>
      </c>
      <c r="I273" s="6"/>
      <c r="J273" s="6"/>
      <c r="K273" s="6"/>
      <c r="L273" s="5">
        <v>0</v>
      </c>
      <c r="M273" t="s">
        <v>762</v>
      </c>
    </row>
    <row r="274" spans="1:13" ht="31.5" x14ac:dyDescent="0.35">
      <c r="A274" s="17"/>
      <c r="B274" s="4" t="s">
        <v>422</v>
      </c>
      <c r="C274" s="4" t="s">
        <v>423</v>
      </c>
      <c r="D274" s="4" t="s">
        <v>20</v>
      </c>
      <c r="E274" s="4" t="s">
        <v>21</v>
      </c>
      <c r="F274" s="4" t="s">
        <v>437</v>
      </c>
      <c r="G274" s="5">
        <v>21793</v>
      </c>
      <c r="H274" s="5">
        <v>6793</v>
      </c>
      <c r="I274" s="5">
        <v>3239.25</v>
      </c>
      <c r="J274" s="6"/>
      <c r="K274" s="6"/>
      <c r="L274" s="5">
        <v>3553.75</v>
      </c>
      <c r="M274" t="s">
        <v>762</v>
      </c>
    </row>
    <row r="275" spans="1:13" ht="21" x14ac:dyDescent="0.35">
      <c r="A275" s="17"/>
      <c r="B275" s="4" t="s">
        <v>422</v>
      </c>
      <c r="C275" s="4" t="s">
        <v>423</v>
      </c>
      <c r="D275" s="4" t="s">
        <v>108</v>
      </c>
      <c r="E275" s="4" t="s">
        <v>109</v>
      </c>
      <c r="F275" s="4" t="s">
        <v>438</v>
      </c>
      <c r="G275" s="5">
        <v>8600000</v>
      </c>
      <c r="H275" s="5">
        <v>8473395</v>
      </c>
      <c r="I275" s="5">
        <v>8473395</v>
      </c>
      <c r="J275" s="6"/>
      <c r="K275" s="6"/>
      <c r="L275" s="5">
        <v>0</v>
      </c>
      <c r="M275" t="s">
        <v>762</v>
      </c>
    </row>
    <row r="276" spans="1:13" ht="21" x14ac:dyDescent="0.35">
      <c r="A276" s="17"/>
      <c r="B276" s="4" t="s">
        <v>422</v>
      </c>
      <c r="C276" s="4" t="s">
        <v>423</v>
      </c>
      <c r="D276" s="4" t="s">
        <v>26</v>
      </c>
      <c r="E276" s="4" t="s">
        <v>27</v>
      </c>
      <c r="F276" s="4" t="s">
        <v>439</v>
      </c>
      <c r="G276" s="5">
        <v>13200</v>
      </c>
      <c r="H276" s="5">
        <v>20000</v>
      </c>
      <c r="I276" s="5">
        <v>11415</v>
      </c>
      <c r="J276" s="6"/>
      <c r="K276" s="6"/>
      <c r="L276" s="5">
        <v>8585</v>
      </c>
      <c r="M276" t="s">
        <v>762</v>
      </c>
    </row>
    <row r="277" spans="1:13" ht="21" x14ac:dyDescent="0.35">
      <c r="A277" s="17"/>
      <c r="B277" s="4" t="s">
        <v>422</v>
      </c>
      <c r="C277" s="4" t="s">
        <v>423</v>
      </c>
      <c r="D277" s="4" t="s">
        <v>440</v>
      </c>
      <c r="E277" s="4" t="s">
        <v>441</v>
      </c>
      <c r="F277" s="4" t="s">
        <v>442</v>
      </c>
      <c r="G277" s="5">
        <v>879708</v>
      </c>
      <c r="H277" s="5">
        <v>879708</v>
      </c>
      <c r="I277" s="5">
        <v>56099.61</v>
      </c>
      <c r="J277" s="5">
        <v>332802.02</v>
      </c>
      <c r="K277" s="6"/>
      <c r="L277" s="5">
        <v>490806.37</v>
      </c>
      <c r="M277" t="s">
        <v>762</v>
      </c>
    </row>
    <row r="278" spans="1:13" ht="21" x14ac:dyDescent="0.35">
      <c r="A278" s="17"/>
      <c r="B278" s="4" t="s">
        <v>422</v>
      </c>
      <c r="C278" s="4" t="s">
        <v>423</v>
      </c>
      <c r="D278" s="4" t="s">
        <v>443</v>
      </c>
      <c r="E278" s="4" t="s">
        <v>444</v>
      </c>
      <c r="F278" s="4" t="s">
        <v>445</v>
      </c>
      <c r="G278" s="5">
        <v>0</v>
      </c>
      <c r="H278" s="5">
        <v>2000</v>
      </c>
      <c r="I278" s="6"/>
      <c r="J278" s="6"/>
      <c r="K278" s="6"/>
      <c r="L278" s="5">
        <v>2000</v>
      </c>
      <c r="M278" t="s">
        <v>762</v>
      </c>
    </row>
    <row r="279" spans="1:13" ht="21" x14ac:dyDescent="0.35">
      <c r="A279" s="17"/>
      <c r="B279" s="4" t="s">
        <v>422</v>
      </c>
      <c r="C279" s="4" t="s">
        <v>423</v>
      </c>
      <c r="D279" s="4" t="s">
        <v>446</v>
      </c>
      <c r="E279" s="4" t="s">
        <v>447</v>
      </c>
      <c r="F279" s="4" t="s">
        <v>448</v>
      </c>
      <c r="G279" s="5">
        <v>3000</v>
      </c>
      <c r="H279" s="5">
        <v>6000</v>
      </c>
      <c r="I279" s="5">
        <v>5800</v>
      </c>
      <c r="J279" s="6"/>
      <c r="K279" s="6"/>
      <c r="L279" s="5">
        <v>200</v>
      </c>
      <c r="M279" t="s">
        <v>762</v>
      </c>
    </row>
    <row r="280" spans="1:13" ht="21" x14ac:dyDescent="0.35">
      <c r="A280" s="17"/>
      <c r="B280" s="4" t="s">
        <v>422</v>
      </c>
      <c r="C280" s="4" t="s">
        <v>423</v>
      </c>
      <c r="D280" s="4" t="s">
        <v>32</v>
      </c>
      <c r="E280" s="4" t="s">
        <v>33</v>
      </c>
      <c r="F280" s="4" t="s">
        <v>449</v>
      </c>
      <c r="G280" s="5">
        <v>75000</v>
      </c>
      <c r="H280" s="5">
        <v>100000</v>
      </c>
      <c r="I280" s="6"/>
      <c r="J280" s="6"/>
      <c r="K280" s="6"/>
      <c r="L280" s="5">
        <v>100000</v>
      </c>
      <c r="M280" t="s">
        <v>762</v>
      </c>
    </row>
    <row r="281" spans="1:13" ht="21" x14ac:dyDescent="0.35">
      <c r="A281" s="17"/>
      <c r="B281" s="4" t="s">
        <v>422</v>
      </c>
      <c r="C281" s="4" t="s">
        <v>423</v>
      </c>
      <c r="D281" s="4" t="s">
        <v>144</v>
      </c>
      <c r="E281" s="4" t="s">
        <v>145</v>
      </c>
      <c r="F281" s="4" t="s">
        <v>450</v>
      </c>
      <c r="G281" s="5">
        <v>1776</v>
      </c>
      <c r="H281" s="5">
        <v>1776</v>
      </c>
      <c r="I281" s="5">
        <v>1361.69</v>
      </c>
      <c r="J281" s="6"/>
      <c r="K281" s="6"/>
      <c r="L281" s="5">
        <v>414.31</v>
      </c>
      <c r="M281" t="s">
        <v>762</v>
      </c>
    </row>
    <row r="282" spans="1:13" ht="21" x14ac:dyDescent="0.35">
      <c r="A282" s="17"/>
      <c r="B282" s="4" t="s">
        <v>422</v>
      </c>
      <c r="C282" s="4" t="s">
        <v>423</v>
      </c>
      <c r="D282" s="4" t="s">
        <v>451</v>
      </c>
      <c r="E282" s="4" t="s">
        <v>452</v>
      </c>
      <c r="F282" s="4" t="s">
        <v>453</v>
      </c>
      <c r="G282" s="5">
        <v>0</v>
      </c>
      <c r="H282" s="5">
        <v>199500</v>
      </c>
      <c r="I282" s="5">
        <v>199212.79999999999</v>
      </c>
      <c r="J282" s="6"/>
      <c r="K282" s="6"/>
      <c r="L282" s="5">
        <v>287.19999999998299</v>
      </c>
      <c r="M282" t="s">
        <v>762</v>
      </c>
    </row>
    <row r="283" spans="1:13" ht="21" x14ac:dyDescent="0.35">
      <c r="A283" s="17"/>
      <c r="B283" s="4" t="s">
        <v>422</v>
      </c>
      <c r="C283" s="4" t="s">
        <v>423</v>
      </c>
      <c r="D283" s="4" t="s">
        <v>454</v>
      </c>
      <c r="E283" s="4" t="s">
        <v>455</v>
      </c>
      <c r="F283" s="4" t="s">
        <v>456</v>
      </c>
      <c r="G283" s="5">
        <v>20269255</v>
      </c>
      <c r="H283" s="5">
        <v>12613765</v>
      </c>
      <c r="I283" s="5">
        <v>5961187.04</v>
      </c>
      <c r="J283" s="5">
        <v>1888675.25</v>
      </c>
      <c r="K283" s="5">
        <v>4645221.12</v>
      </c>
      <c r="L283" s="5">
        <v>118681.59</v>
      </c>
      <c r="M283" t="s">
        <v>762</v>
      </c>
    </row>
    <row r="284" spans="1:13" ht="21" x14ac:dyDescent="0.35">
      <c r="A284" s="17"/>
      <c r="B284" s="4" t="s">
        <v>422</v>
      </c>
      <c r="C284" s="4" t="s">
        <v>423</v>
      </c>
      <c r="D284" s="4" t="s">
        <v>454</v>
      </c>
      <c r="E284" s="4" t="s">
        <v>455</v>
      </c>
      <c r="F284" s="4" t="s">
        <v>457</v>
      </c>
      <c r="G284" s="5">
        <v>5021641</v>
      </c>
      <c r="H284" s="5">
        <v>5388310</v>
      </c>
      <c r="I284" s="5">
        <v>2650832.2200000002</v>
      </c>
      <c r="J284" s="5">
        <v>-326424.8</v>
      </c>
      <c r="K284" s="5">
        <v>2716865.8</v>
      </c>
      <c r="L284" s="5">
        <v>347036.78</v>
      </c>
      <c r="M284" t="s">
        <v>762</v>
      </c>
    </row>
    <row r="285" spans="1:13" ht="21" x14ac:dyDescent="0.35">
      <c r="A285" s="17"/>
      <c r="B285" s="4" t="s">
        <v>422</v>
      </c>
      <c r="C285" s="4" t="s">
        <v>423</v>
      </c>
      <c r="D285" s="4" t="s">
        <v>454</v>
      </c>
      <c r="E285" s="4" t="s">
        <v>455</v>
      </c>
      <c r="F285" s="4" t="s">
        <v>458</v>
      </c>
      <c r="G285" s="5">
        <v>5551314</v>
      </c>
      <c r="H285" s="5">
        <v>7417157</v>
      </c>
      <c r="I285" s="5">
        <v>2741194.76</v>
      </c>
      <c r="J285" s="5">
        <v>779573.05</v>
      </c>
      <c r="K285" s="5">
        <v>3490512.2</v>
      </c>
      <c r="L285" s="5">
        <v>329876.99</v>
      </c>
      <c r="M285" t="s">
        <v>762</v>
      </c>
    </row>
    <row r="286" spans="1:13" ht="21" x14ac:dyDescent="0.35">
      <c r="A286" s="17"/>
      <c r="B286" s="4" t="s">
        <v>422</v>
      </c>
      <c r="C286" s="4" t="s">
        <v>423</v>
      </c>
      <c r="D286" s="4" t="s">
        <v>454</v>
      </c>
      <c r="E286" s="4" t="s">
        <v>455</v>
      </c>
      <c r="F286" s="4" t="s">
        <v>459</v>
      </c>
      <c r="G286" s="5">
        <v>1164983</v>
      </c>
      <c r="H286" s="5">
        <v>1164983</v>
      </c>
      <c r="I286" s="5">
        <v>580627.59</v>
      </c>
      <c r="J286" s="5">
        <v>0</v>
      </c>
      <c r="K286" s="5">
        <v>145875.54999999999</v>
      </c>
      <c r="L286" s="5">
        <v>438479.86</v>
      </c>
      <c r="M286" t="s">
        <v>762</v>
      </c>
    </row>
    <row r="287" spans="1:13" ht="21" x14ac:dyDescent="0.35">
      <c r="A287" s="17"/>
      <c r="B287" s="4" t="s">
        <v>422</v>
      </c>
      <c r="C287" s="4" t="s">
        <v>423</v>
      </c>
      <c r="D287" s="4" t="s">
        <v>460</v>
      </c>
      <c r="E287" s="4" t="s">
        <v>461</v>
      </c>
      <c r="F287" s="4" t="s">
        <v>462</v>
      </c>
      <c r="G287" s="5">
        <v>19200</v>
      </c>
      <c r="H287" s="5">
        <v>19200</v>
      </c>
      <c r="I287" s="5">
        <v>17784.759999999998</v>
      </c>
      <c r="J287" s="6"/>
      <c r="K287" s="6"/>
      <c r="L287" s="5">
        <v>1415.24</v>
      </c>
      <c r="M287" t="s">
        <v>762</v>
      </c>
    </row>
    <row r="288" spans="1:13" ht="21" x14ac:dyDescent="0.35">
      <c r="A288" s="17"/>
      <c r="B288" s="4" t="s">
        <v>422</v>
      </c>
      <c r="C288" s="4" t="s">
        <v>423</v>
      </c>
      <c r="D288" s="4" t="s">
        <v>463</v>
      </c>
      <c r="E288" s="4" t="s">
        <v>464</v>
      </c>
      <c r="F288" s="4" t="s">
        <v>465</v>
      </c>
      <c r="G288" s="5">
        <v>3748</v>
      </c>
      <c r="H288" s="5">
        <v>8248</v>
      </c>
      <c r="I288" s="5">
        <v>1883.74</v>
      </c>
      <c r="J288" s="5">
        <v>2775</v>
      </c>
      <c r="K288" s="5">
        <v>1883.74</v>
      </c>
      <c r="L288" s="5">
        <v>1705.52</v>
      </c>
      <c r="M288" t="s">
        <v>762</v>
      </c>
    </row>
    <row r="289" spans="1:13" ht="21" x14ac:dyDescent="0.35">
      <c r="A289" s="17"/>
      <c r="B289" s="4" t="s">
        <v>422</v>
      </c>
      <c r="C289" s="4" t="s">
        <v>423</v>
      </c>
      <c r="D289" s="4" t="s">
        <v>463</v>
      </c>
      <c r="E289" s="4" t="s">
        <v>464</v>
      </c>
      <c r="F289" s="4" t="s">
        <v>466</v>
      </c>
      <c r="G289" s="5">
        <v>0</v>
      </c>
      <c r="H289" s="5">
        <v>0</v>
      </c>
      <c r="I289" s="5">
        <v>-9.0949470177292804E-13</v>
      </c>
      <c r="J289" s="6"/>
      <c r="K289" s="6"/>
      <c r="L289" s="5">
        <v>9.0949470177292804E-13</v>
      </c>
      <c r="M289" t="s">
        <v>762</v>
      </c>
    </row>
    <row r="290" spans="1:13" ht="21" x14ac:dyDescent="0.35">
      <c r="A290" s="17"/>
      <c r="B290" s="4" t="s">
        <v>422</v>
      </c>
      <c r="C290" s="4" t="s">
        <v>423</v>
      </c>
      <c r="D290" s="4" t="s">
        <v>467</v>
      </c>
      <c r="E290" s="4" t="s">
        <v>468</v>
      </c>
      <c r="F290" s="4" t="s">
        <v>469</v>
      </c>
      <c r="G290" s="5">
        <v>89602</v>
      </c>
      <c r="H290" s="5">
        <v>10000</v>
      </c>
      <c r="I290" s="5">
        <v>10000</v>
      </c>
      <c r="J290" s="6"/>
      <c r="K290" s="6"/>
      <c r="L290" s="5">
        <v>0</v>
      </c>
      <c r="M290" t="s">
        <v>762</v>
      </c>
    </row>
    <row r="291" spans="1:13" ht="21" x14ac:dyDescent="0.35">
      <c r="A291" s="17"/>
      <c r="B291" s="4" t="s">
        <v>422</v>
      </c>
      <c r="C291" s="4" t="s">
        <v>423</v>
      </c>
      <c r="D291" s="4" t="s">
        <v>470</v>
      </c>
      <c r="E291" s="4" t="s">
        <v>471</v>
      </c>
      <c r="F291" s="4" t="s">
        <v>472</v>
      </c>
      <c r="G291" s="5">
        <v>641386</v>
      </c>
      <c r="H291" s="5">
        <v>43914</v>
      </c>
      <c r="I291" s="5">
        <v>43913.55</v>
      </c>
      <c r="J291" s="5">
        <v>0</v>
      </c>
      <c r="K291" s="5">
        <v>0</v>
      </c>
      <c r="L291" s="5">
        <v>0.44999999999709001</v>
      </c>
      <c r="M291" t="s">
        <v>762</v>
      </c>
    </row>
    <row r="292" spans="1:13" ht="21" x14ac:dyDescent="0.35">
      <c r="A292" s="17"/>
      <c r="B292" s="4" t="s">
        <v>422</v>
      </c>
      <c r="C292" s="4" t="s">
        <v>423</v>
      </c>
      <c r="D292" s="4" t="s">
        <v>473</v>
      </c>
      <c r="E292" s="4" t="s">
        <v>474</v>
      </c>
      <c r="F292" s="4" t="s">
        <v>475</v>
      </c>
      <c r="G292" s="5">
        <v>0</v>
      </c>
      <c r="H292" s="5">
        <v>173000</v>
      </c>
      <c r="I292" s="6"/>
      <c r="J292" s="5">
        <v>173000</v>
      </c>
      <c r="K292" s="6"/>
      <c r="L292" s="5">
        <v>0</v>
      </c>
      <c r="M292" t="s">
        <v>762</v>
      </c>
    </row>
    <row r="293" spans="1:13" ht="21" x14ac:dyDescent="0.35">
      <c r="A293" s="17"/>
      <c r="B293" s="4" t="s">
        <v>476</v>
      </c>
      <c r="C293" s="4" t="s">
        <v>477</v>
      </c>
      <c r="D293" s="4" t="s">
        <v>478</v>
      </c>
      <c r="E293" s="4" t="s">
        <v>479</v>
      </c>
      <c r="F293" s="4" t="s">
        <v>480</v>
      </c>
      <c r="G293" s="5">
        <v>29417</v>
      </c>
      <c r="H293" s="5">
        <v>0</v>
      </c>
      <c r="I293" s="6"/>
      <c r="J293" s="6"/>
      <c r="K293" s="6"/>
      <c r="L293" s="5">
        <v>0</v>
      </c>
      <c r="M293" t="s">
        <v>762</v>
      </c>
    </row>
    <row r="294" spans="1:13" ht="21" x14ac:dyDescent="0.35">
      <c r="A294" s="17"/>
      <c r="B294" s="4" t="s">
        <v>476</v>
      </c>
      <c r="C294" s="4" t="s">
        <v>477</v>
      </c>
      <c r="D294" s="4" t="s">
        <v>481</v>
      </c>
      <c r="E294" s="4" t="s">
        <v>482</v>
      </c>
      <c r="F294" s="4" t="s">
        <v>483</v>
      </c>
      <c r="G294" s="5">
        <v>848</v>
      </c>
      <c r="H294" s="5">
        <v>848</v>
      </c>
      <c r="I294" s="5">
        <v>816</v>
      </c>
      <c r="J294" s="6"/>
      <c r="K294" s="6"/>
      <c r="L294" s="5">
        <v>32</v>
      </c>
      <c r="M294" t="s">
        <v>762</v>
      </c>
    </row>
    <row r="295" spans="1:13" ht="21" x14ac:dyDescent="0.35">
      <c r="A295" s="17"/>
      <c r="B295" s="4" t="s">
        <v>476</v>
      </c>
      <c r="C295" s="4" t="s">
        <v>477</v>
      </c>
      <c r="D295" s="4" t="s">
        <v>59</v>
      </c>
      <c r="E295" s="4" t="s">
        <v>60</v>
      </c>
      <c r="F295" s="4" t="s">
        <v>484</v>
      </c>
      <c r="G295" s="5">
        <v>4000</v>
      </c>
      <c r="H295" s="5">
        <v>4000</v>
      </c>
      <c r="I295" s="5">
        <v>3916</v>
      </c>
      <c r="J295" s="6"/>
      <c r="K295" s="6"/>
      <c r="L295" s="5">
        <v>84</v>
      </c>
      <c r="M295" t="s">
        <v>762</v>
      </c>
    </row>
    <row r="296" spans="1:13" ht="21" x14ac:dyDescent="0.35">
      <c r="A296" s="17"/>
      <c r="B296" s="4" t="s">
        <v>476</v>
      </c>
      <c r="C296" s="4" t="s">
        <v>477</v>
      </c>
      <c r="D296" s="4" t="s">
        <v>485</v>
      </c>
      <c r="E296" s="4" t="s">
        <v>486</v>
      </c>
      <c r="F296" s="4" t="s">
        <v>487</v>
      </c>
      <c r="G296" s="5">
        <v>11609542</v>
      </c>
      <c r="H296" s="5">
        <v>11609542</v>
      </c>
      <c r="I296" s="5">
        <v>5428197.7300000004</v>
      </c>
      <c r="J296" s="6"/>
      <c r="K296" s="6"/>
      <c r="L296" s="5">
        <v>6181344.2699999996</v>
      </c>
      <c r="M296" t="s">
        <v>762</v>
      </c>
    </row>
    <row r="297" spans="1:13" ht="21" x14ac:dyDescent="0.35">
      <c r="A297" s="17"/>
      <c r="B297" s="4" t="s">
        <v>476</v>
      </c>
      <c r="C297" s="4" t="s">
        <v>477</v>
      </c>
      <c r="D297" s="4" t="s">
        <v>485</v>
      </c>
      <c r="E297" s="4" t="s">
        <v>486</v>
      </c>
      <c r="F297" s="4" t="s">
        <v>488</v>
      </c>
      <c r="G297" s="5">
        <v>4835641</v>
      </c>
      <c r="H297" s="5">
        <v>4835641</v>
      </c>
      <c r="I297" s="5">
        <v>3052657.78</v>
      </c>
      <c r="J297" s="6"/>
      <c r="K297" s="6"/>
      <c r="L297" s="5">
        <v>1782983.22</v>
      </c>
      <c r="M297" t="s">
        <v>762</v>
      </c>
    </row>
    <row r="298" spans="1:13" ht="21" x14ac:dyDescent="0.35">
      <c r="A298" s="17"/>
      <c r="B298" s="4" t="s">
        <v>476</v>
      </c>
      <c r="C298" s="4" t="s">
        <v>477</v>
      </c>
      <c r="D298" s="4" t="s">
        <v>485</v>
      </c>
      <c r="E298" s="4" t="s">
        <v>486</v>
      </c>
      <c r="F298" s="4" t="s">
        <v>489</v>
      </c>
      <c r="G298" s="5">
        <v>5255311</v>
      </c>
      <c r="H298" s="5">
        <v>5255311</v>
      </c>
      <c r="I298" s="5">
        <v>3162110.96</v>
      </c>
      <c r="J298" s="6"/>
      <c r="K298" s="6"/>
      <c r="L298" s="5">
        <v>2093200.04</v>
      </c>
      <c r="M298" t="s">
        <v>762</v>
      </c>
    </row>
    <row r="299" spans="1:13" ht="21" x14ac:dyDescent="0.35">
      <c r="A299" s="17"/>
      <c r="B299" s="4" t="s">
        <v>476</v>
      </c>
      <c r="C299" s="4" t="s">
        <v>477</v>
      </c>
      <c r="D299" s="4" t="s">
        <v>490</v>
      </c>
      <c r="E299" s="4" t="s">
        <v>491</v>
      </c>
      <c r="F299" s="4" t="s">
        <v>492</v>
      </c>
      <c r="G299" s="5">
        <v>1687672</v>
      </c>
      <c r="H299" s="5">
        <v>1687672</v>
      </c>
      <c r="I299" s="5">
        <v>826970.68</v>
      </c>
      <c r="J299" s="6"/>
      <c r="K299" s="6"/>
      <c r="L299" s="5">
        <v>860701.32</v>
      </c>
      <c r="M299" t="s">
        <v>762</v>
      </c>
    </row>
    <row r="300" spans="1:13" ht="21" x14ac:dyDescent="0.35">
      <c r="A300" s="17"/>
      <c r="B300" s="4" t="s">
        <v>476</v>
      </c>
      <c r="C300" s="4" t="s">
        <v>477</v>
      </c>
      <c r="D300" s="4" t="s">
        <v>490</v>
      </c>
      <c r="E300" s="4" t="s">
        <v>491</v>
      </c>
      <c r="F300" s="4" t="s">
        <v>493</v>
      </c>
      <c r="G300" s="5">
        <v>1479473</v>
      </c>
      <c r="H300" s="5">
        <v>1479473</v>
      </c>
      <c r="I300" s="5">
        <v>847442.38</v>
      </c>
      <c r="J300" s="6"/>
      <c r="K300" s="6"/>
      <c r="L300" s="5">
        <v>632030.62</v>
      </c>
      <c r="M300" t="s">
        <v>762</v>
      </c>
    </row>
    <row r="301" spans="1:13" ht="21" x14ac:dyDescent="0.35">
      <c r="A301" s="17"/>
      <c r="B301" s="4" t="s">
        <v>476</v>
      </c>
      <c r="C301" s="4" t="s">
        <v>477</v>
      </c>
      <c r="D301" s="4" t="s">
        <v>490</v>
      </c>
      <c r="E301" s="4" t="s">
        <v>491</v>
      </c>
      <c r="F301" s="4" t="s">
        <v>494</v>
      </c>
      <c r="G301" s="5">
        <v>1523249</v>
      </c>
      <c r="H301" s="5">
        <v>1523249</v>
      </c>
      <c r="I301" s="5">
        <v>929447.58</v>
      </c>
      <c r="J301" s="6"/>
      <c r="K301" s="6"/>
      <c r="L301" s="5">
        <v>593801.42000000004</v>
      </c>
      <c r="M301" t="s">
        <v>762</v>
      </c>
    </row>
    <row r="302" spans="1:13" ht="21" x14ac:dyDescent="0.35">
      <c r="A302" s="17"/>
      <c r="B302" s="4" t="s">
        <v>476</v>
      </c>
      <c r="C302" s="4" t="s">
        <v>477</v>
      </c>
      <c r="D302" s="4" t="s">
        <v>144</v>
      </c>
      <c r="E302" s="4" t="s">
        <v>145</v>
      </c>
      <c r="F302" s="4" t="s">
        <v>495</v>
      </c>
      <c r="G302" s="5">
        <v>0</v>
      </c>
      <c r="H302" s="5">
        <v>19417</v>
      </c>
      <c r="I302" s="6"/>
      <c r="J302" s="6"/>
      <c r="K302" s="6"/>
      <c r="L302" s="5">
        <v>19417</v>
      </c>
      <c r="M302" t="s">
        <v>762</v>
      </c>
    </row>
    <row r="303" spans="1:13" ht="21" x14ac:dyDescent="0.35">
      <c r="A303" s="17"/>
      <c r="B303" s="4" t="s">
        <v>476</v>
      </c>
      <c r="C303" s="4" t="s">
        <v>477</v>
      </c>
      <c r="D303" s="4" t="s">
        <v>496</v>
      </c>
      <c r="E303" s="4" t="s">
        <v>497</v>
      </c>
      <c r="F303" s="4" t="s">
        <v>498</v>
      </c>
      <c r="G303" s="5">
        <v>0</v>
      </c>
      <c r="H303" s="5">
        <v>19000</v>
      </c>
      <c r="I303" s="6"/>
      <c r="J303" s="5">
        <v>6320</v>
      </c>
      <c r="K303" s="6"/>
      <c r="L303" s="5">
        <v>12680</v>
      </c>
      <c r="M303" t="s">
        <v>762</v>
      </c>
    </row>
    <row r="304" spans="1:13" ht="21" x14ac:dyDescent="0.35">
      <c r="A304" s="17"/>
      <c r="B304" s="4" t="s">
        <v>476</v>
      </c>
      <c r="C304" s="4" t="s">
        <v>477</v>
      </c>
      <c r="D304" s="4" t="s">
        <v>499</v>
      </c>
      <c r="E304" s="4" t="s">
        <v>500</v>
      </c>
      <c r="F304" s="4" t="s">
        <v>501</v>
      </c>
      <c r="G304" s="5">
        <v>989463</v>
      </c>
      <c r="H304" s="5">
        <v>1278068</v>
      </c>
      <c r="I304" s="5">
        <v>55546.61</v>
      </c>
      <c r="J304" s="5">
        <v>197225</v>
      </c>
      <c r="K304" s="5">
        <v>986853.39</v>
      </c>
      <c r="L304" s="5">
        <v>38442.999999999804</v>
      </c>
      <c r="M304" t="s">
        <v>762</v>
      </c>
    </row>
    <row r="305" spans="1:13" ht="21" x14ac:dyDescent="0.35">
      <c r="A305" s="17"/>
      <c r="B305" s="4" t="s">
        <v>476</v>
      </c>
      <c r="C305" s="4" t="s">
        <v>477</v>
      </c>
      <c r="D305" s="4" t="s">
        <v>467</v>
      </c>
      <c r="E305" s="4" t="s">
        <v>468</v>
      </c>
      <c r="F305" s="4" t="s">
        <v>502</v>
      </c>
      <c r="G305" s="5">
        <v>0</v>
      </c>
      <c r="H305" s="5">
        <v>79602</v>
      </c>
      <c r="I305" s="5">
        <v>34247.660000000003</v>
      </c>
      <c r="J305" s="5">
        <v>2</v>
      </c>
      <c r="K305" s="5">
        <v>23232</v>
      </c>
      <c r="L305" s="5">
        <v>22120.34</v>
      </c>
      <c r="M305" t="s">
        <v>762</v>
      </c>
    </row>
    <row r="306" spans="1:13" ht="21" x14ac:dyDescent="0.35">
      <c r="A306" s="17"/>
      <c r="B306" s="4" t="s">
        <v>476</v>
      </c>
      <c r="C306" s="4" t="s">
        <v>477</v>
      </c>
      <c r="D306" s="4" t="s">
        <v>470</v>
      </c>
      <c r="E306" s="4" t="s">
        <v>471</v>
      </c>
      <c r="F306" s="4" t="s">
        <v>503</v>
      </c>
      <c r="G306" s="5">
        <v>0</v>
      </c>
      <c r="H306" s="5">
        <v>942472</v>
      </c>
      <c r="I306" s="5">
        <v>378105.62</v>
      </c>
      <c r="J306" s="5">
        <v>-11386.08</v>
      </c>
      <c r="K306" s="5">
        <v>300461.90000000002</v>
      </c>
      <c r="L306" s="5">
        <v>275290.56</v>
      </c>
      <c r="M306" t="s">
        <v>762</v>
      </c>
    </row>
    <row r="307" spans="1:13" ht="21" x14ac:dyDescent="0.35">
      <c r="A307" s="17"/>
      <c r="B307" s="4" t="s">
        <v>476</v>
      </c>
      <c r="C307" s="4" t="s">
        <v>477</v>
      </c>
      <c r="D307" s="4" t="s">
        <v>504</v>
      </c>
      <c r="E307" s="4" t="s">
        <v>505</v>
      </c>
      <c r="F307" s="4" t="s">
        <v>506</v>
      </c>
      <c r="G307" s="5">
        <v>252000</v>
      </c>
      <c r="H307" s="5">
        <v>52566</v>
      </c>
      <c r="I307" s="5">
        <v>33782.480000000003</v>
      </c>
      <c r="J307" s="6"/>
      <c r="K307" s="6"/>
      <c r="L307" s="5">
        <v>18783.52</v>
      </c>
      <c r="M307" t="s">
        <v>762</v>
      </c>
    </row>
    <row r="308" spans="1:13" ht="21" x14ac:dyDescent="0.35">
      <c r="A308" s="17"/>
      <c r="B308" s="4" t="s">
        <v>476</v>
      </c>
      <c r="C308" s="4" t="s">
        <v>477</v>
      </c>
      <c r="D308" s="4" t="s">
        <v>215</v>
      </c>
      <c r="E308" s="4" t="s">
        <v>216</v>
      </c>
      <c r="F308" s="4" t="s">
        <v>507</v>
      </c>
      <c r="G308" s="5">
        <v>53134</v>
      </c>
      <c r="H308" s="5">
        <v>65619</v>
      </c>
      <c r="I308" s="5">
        <v>38361</v>
      </c>
      <c r="J308" s="5">
        <v>0</v>
      </c>
      <c r="K308" s="5">
        <v>10000</v>
      </c>
      <c r="L308" s="5">
        <v>17258</v>
      </c>
      <c r="M308" t="s">
        <v>762</v>
      </c>
    </row>
    <row r="309" spans="1:13" ht="31.5" x14ac:dyDescent="0.35">
      <c r="A309" s="17"/>
      <c r="B309" s="4" t="s">
        <v>508</v>
      </c>
      <c r="C309" s="4" t="s">
        <v>509</v>
      </c>
      <c r="D309" s="4" t="s">
        <v>44</v>
      </c>
      <c r="E309" s="4" t="s">
        <v>45</v>
      </c>
      <c r="F309" s="4" t="s">
        <v>510</v>
      </c>
      <c r="G309" s="5">
        <v>860913</v>
      </c>
      <c r="H309" s="5">
        <v>410913</v>
      </c>
      <c r="I309" s="5">
        <v>367499.98</v>
      </c>
      <c r="J309" s="5">
        <v>0</v>
      </c>
      <c r="K309" s="5">
        <v>30625</v>
      </c>
      <c r="L309" s="5">
        <v>12788.02</v>
      </c>
      <c r="M309" t="s">
        <v>762</v>
      </c>
    </row>
    <row r="310" spans="1:13" ht="31.5" x14ac:dyDescent="0.35">
      <c r="A310" s="17"/>
      <c r="B310" s="4" t="s">
        <v>508</v>
      </c>
      <c r="C310" s="4" t="s">
        <v>509</v>
      </c>
      <c r="D310" s="4" t="s">
        <v>259</v>
      </c>
      <c r="E310" s="4" t="s">
        <v>260</v>
      </c>
      <c r="F310" s="4" t="s">
        <v>511</v>
      </c>
      <c r="G310" s="5">
        <v>500000</v>
      </c>
      <c r="H310" s="5">
        <v>65000</v>
      </c>
      <c r="I310" s="6"/>
      <c r="J310" s="6"/>
      <c r="K310" s="6"/>
      <c r="L310" s="5">
        <v>65000</v>
      </c>
      <c r="M310" t="s">
        <v>762</v>
      </c>
    </row>
    <row r="311" spans="1:13" ht="31.5" x14ac:dyDescent="0.35">
      <c r="A311" s="17"/>
      <c r="B311" s="4" t="s">
        <v>508</v>
      </c>
      <c r="C311" s="4" t="s">
        <v>509</v>
      </c>
      <c r="D311" s="4" t="s">
        <v>26</v>
      </c>
      <c r="E311" s="4" t="s">
        <v>27</v>
      </c>
      <c r="F311" s="4" t="s">
        <v>512</v>
      </c>
      <c r="G311" s="5">
        <v>780442</v>
      </c>
      <c r="H311" s="5">
        <v>371942</v>
      </c>
      <c r="I311" s="5">
        <v>3553.14</v>
      </c>
      <c r="J311" s="5">
        <v>0</v>
      </c>
      <c r="K311" s="5">
        <v>14848</v>
      </c>
      <c r="L311" s="5">
        <v>353540.86</v>
      </c>
      <c r="M311" t="s">
        <v>762</v>
      </c>
    </row>
    <row r="312" spans="1:13" ht="31.5" x14ac:dyDescent="0.35">
      <c r="A312" s="17"/>
      <c r="B312" s="4" t="s">
        <v>508</v>
      </c>
      <c r="C312" s="4" t="s">
        <v>509</v>
      </c>
      <c r="D312" s="4" t="s">
        <v>32</v>
      </c>
      <c r="E312" s="4" t="s">
        <v>33</v>
      </c>
      <c r="F312" s="4" t="s">
        <v>513</v>
      </c>
      <c r="G312" s="5">
        <v>962922</v>
      </c>
      <c r="H312" s="5">
        <v>694922</v>
      </c>
      <c r="I312" s="5">
        <v>67845</v>
      </c>
      <c r="J312" s="6"/>
      <c r="K312" s="6"/>
      <c r="L312" s="5">
        <v>627077</v>
      </c>
      <c r="M312" t="s">
        <v>762</v>
      </c>
    </row>
    <row r="313" spans="1:13" ht="31.5" x14ac:dyDescent="0.35">
      <c r="A313" s="17"/>
      <c r="B313" s="4" t="s">
        <v>508</v>
      </c>
      <c r="C313" s="4" t="s">
        <v>509</v>
      </c>
      <c r="D313" s="4" t="s">
        <v>144</v>
      </c>
      <c r="E313" s="4" t="s">
        <v>145</v>
      </c>
      <c r="F313" s="4" t="s">
        <v>514</v>
      </c>
      <c r="G313" s="5">
        <v>500000</v>
      </c>
      <c r="H313" s="5">
        <v>394800</v>
      </c>
      <c r="I313" s="6"/>
      <c r="J313" s="6"/>
      <c r="K313" s="6"/>
      <c r="L313" s="5">
        <v>394800</v>
      </c>
      <c r="M313" t="s">
        <v>762</v>
      </c>
    </row>
    <row r="314" spans="1:13" ht="21" x14ac:dyDescent="0.35">
      <c r="A314" s="17"/>
      <c r="B314" s="4" t="s">
        <v>515</v>
      </c>
      <c r="C314" s="4" t="s">
        <v>516</v>
      </c>
      <c r="D314" s="4" t="s">
        <v>517</v>
      </c>
      <c r="E314" s="4" t="s">
        <v>518</v>
      </c>
      <c r="F314" s="4" t="s">
        <v>519</v>
      </c>
      <c r="G314" s="5">
        <v>383200</v>
      </c>
      <c r="H314" s="5">
        <v>363200</v>
      </c>
      <c r="I314" s="5">
        <v>101000</v>
      </c>
      <c r="J314" s="5">
        <v>142410</v>
      </c>
      <c r="K314" s="6"/>
      <c r="L314" s="5">
        <v>119790</v>
      </c>
      <c r="M314" t="s">
        <v>762</v>
      </c>
    </row>
    <row r="315" spans="1:13" ht="21" x14ac:dyDescent="0.35">
      <c r="A315" s="17"/>
      <c r="B315" s="4" t="s">
        <v>515</v>
      </c>
      <c r="C315" s="4" t="s">
        <v>516</v>
      </c>
      <c r="D315" s="4" t="s">
        <v>520</v>
      </c>
      <c r="E315" s="4" t="s">
        <v>521</v>
      </c>
      <c r="F315" s="4" t="s">
        <v>522</v>
      </c>
      <c r="G315" s="5">
        <v>1119270</v>
      </c>
      <c r="H315" s="5">
        <v>956070</v>
      </c>
      <c r="I315" s="5">
        <v>422860</v>
      </c>
      <c r="J315" s="5">
        <v>392140</v>
      </c>
      <c r="K315" s="5">
        <v>132860</v>
      </c>
      <c r="L315" s="5">
        <v>8210</v>
      </c>
      <c r="M315" t="s">
        <v>762</v>
      </c>
    </row>
    <row r="316" spans="1:13" ht="21" x14ac:dyDescent="0.35">
      <c r="A316" s="17"/>
      <c r="B316" s="4" t="s">
        <v>515</v>
      </c>
      <c r="C316" s="4" t="s">
        <v>516</v>
      </c>
      <c r="D316" s="4" t="s">
        <v>523</v>
      </c>
      <c r="E316" s="4" t="s">
        <v>524</v>
      </c>
      <c r="F316" s="4" t="s">
        <v>525</v>
      </c>
      <c r="G316" s="5">
        <v>537</v>
      </c>
      <c r="H316" s="5">
        <v>3537</v>
      </c>
      <c r="I316" s="5">
        <v>646.08000000000004</v>
      </c>
      <c r="J316" s="6"/>
      <c r="K316" s="6"/>
      <c r="L316" s="5">
        <v>2890.92</v>
      </c>
      <c r="M316" t="s">
        <v>762</v>
      </c>
    </row>
    <row r="317" spans="1:13" ht="21" x14ac:dyDescent="0.35">
      <c r="A317" s="17"/>
      <c r="B317" s="4" t="s">
        <v>515</v>
      </c>
      <c r="C317" s="4" t="s">
        <v>516</v>
      </c>
      <c r="D317" s="4" t="s">
        <v>526</v>
      </c>
      <c r="E317" s="4" t="s">
        <v>527</v>
      </c>
      <c r="F317" s="4" t="s">
        <v>528</v>
      </c>
      <c r="G317" s="5">
        <v>99124</v>
      </c>
      <c r="H317" s="5">
        <v>136524</v>
      </c>
      <c r="I317" s="5">
        <v>102510.38</v>
      </c>
      <c r="J317" s="6"/>
      <c r="K317" s="6"/>
      <c r="L317" s="5">
        <v>34013.620000000003</v>
      </c>
      <c r="M317" t="s">
        <v>762</v>
      </c>
    </row>
    <row r="318" spans="1:13" ht="21" x14ac:dyDescent="0.35">
      <c r="A318" s="17"/>
      <c r="B318" s="4" t="s">
        <v>515</v>
      </c>
      <c r="C318" s="4" t="s">
        <v>516</v>
      </c>
      <c r="D318" s="4" t="s">
        <v>26</v>
      </c>
      <c r="E318" s="4" t="s">
        <v>27</v>
      </c>
      <c r="F318" s="4" t="s">
        <v>529</v>
      </c>
      <c r="G318" s="5">
        <v>2176</v>
      </c>
      <c r="H318" s="5">
        <v>5176</v>
      </c>
      <c r="I318" s="6"/>
      <c r="J318" s="6"/>
      <c r="K318" s="6"/>
      <c r="L318" s="5">
        <v>5176</v>
      </c>
      <c r="M318" t="s">
        <v>762</v>
      </c>
    </row>
    <row r="319" spans="1:13" ht="21" x14ac:dyDescent="0.35">
      <c r="A319" s="17"/>
      <c r="B319" s="4" t="s">
        <v>515</v>
      </c>
      <c r="C319" s="4" t="s">
        <v>516</v>
      </c>
      <c r="D319" s="4" t="s">
        <v>51</v>
      </c>
      <c r="E319" s="4" t="s">
        <v>52</v>
      </c>
      <c r="F319" s="4" t="s">
        <v>530</v>
      </c>
      <c r="G319" s="5">
        <v>31680</v>
      </c>
      <c r="H319" s="5">
        <v>171480</v>
      </c>
      <c r="I319" s="5">
        <v>2676.89</v>
      </c>
      <c r="J319" s="5">
        <v>0</v>
      </c>
      <c r="K319" s="5">
        <v>31680</v>
      </c>
      <c r="L319" s="5">
        <v>137123.10999999999</v>
      </c>
      <c r="M319" t="s">
        <v>762</v>
      </c>
    </row>
    <row r="320" spans="1:13" ht="31.5" x14ac:dyDescent="0.35">
      <c r="A320" s="17"/>
      <c r="B320" s="4" t="s">
        <v>531</v>
      </c>
      <c r="C320" s="4" t="s">
        <v>532</v>
      </c>
      <c r="D320" s="4" t="s">
        <v>44</v>
      </c>
      <c r="E320" s="4" t="s">
        <v>45</v>
      </c>
      <c r="F320" s="4" t="s">
        <v>533</v>
      </c>
      <c r="G320" s="5">
        <v>225000</v>
      </c>
      <c r="H320" s="5">
        <v>245500</v>
      </c>
      <c r="I320" s="6"/>
      <c r="J320" s="5">
        <v>10075</v>
      </c>
      <c r="K320" s="5">
        <v>212520</v>
      </c>
      <c r="L320" s="5">
        <v>22905</v>
      </c>
      <c r="M320" t="s">
        <v>762</v>
      </c>
    </row>
    <row r="321" spans="1:13" ht="31.5" x14ac:dyDescent="0.35">
      <c r="A321" s="17"/>
      <c r="B321" s="4" t="s">
        <v>531</v>
      </c>
      <c r="C321" s="4" t="s">
        <v>532</v>
      </c>
      <c r="D321" s="4" t="s">
        <v>47</v>
      </c>
      <c r="E321" s="4" t="s">
        <v>48</v>
      </c>
      <c r="F321" s="4" t="s">
        <v>534</v>
      </c>
      <c r="G321" s="5">
        <v>10000</v>
      </c>
      <c r="H321" s="5">
        <v>10000</v>
      </c>
      <c r="I321" s="5">
        <v>3935.96</v>
      </c>
      <c r="J321" s="5">
        <v>5425</v>
      </c>
      <c r="K321" s="6"/>
      <c r="L321" s="5">
        <v>639.04</v>
      </c>
      <c r="M321" t="s">
        <v>762</v>
      </c>
    </row>
    <row r="322" spans="1:13" ht="31.5" x14ac:dyDescent="0.35">
      <c r="A322" s="17"/>
      <c r="B322" s="4" t="s">
        <v>531</v>
      </c>
      <c r="C322" s="4" t="s">
        <v>532</v>
      </c>
      <c r="D322" s="4" t="s">
        <v>520</v>
      </c>
      <c r="E322" s="4" t="s">
        <v>521</v>
      </c>
      <c r="F322" s="4" t="s">
        <v>535</v>
      </c>
      <c r="G322" s="5">
        <v>75000</v>
      </c>
      <c r="H322" s="5">
        <v>0</v>
      </c>
      <c r="I322" s="6"/>
      <c r="J322" s="6"/>
      <c r="K322" s="6"/>
      <c r="L322" s="5">
        <v>0</v>
      </c>
      <c r="M322" t="s">
        <v>762</v>
      </c>
    </row>
    <row r="323" spans="1:13" ht="31.5" x14ac:dyDescent="0.35">
      <c r="A323" s="17"/>
      <c r="B323" s="4" t="s">
        <v>531</v>
      </c>
      <c r="C323" s="4" t="s">
        <v>532</v>
      </c>
      <c r="D323" s="4" t="s">
        <v>65</v>
      </c>
      <c r="E323" s="4" t="s">
        <v>66</v>
      </c>
      <c r="F323" s="4" t="s">
        <v>536</v>
      </c>
      <c r="G323" s="5">
        <v>0</v>
      </c>
      <c r="H323" s="5">
        <v>40000</v>
      </c>
      <c r="I323" s="6"/>
      <c r="J323" s="5">
        <v>30000</v>
      </c>
      <c r="K323" s="6"/>
      <c r="L323" s="5">
        <v>10000</v>
      </c>
      <c r="M323" t="s">
        <v>762</v>
      </c>
    </row>
    <row r="324" spans="1:13" ht="31.5" x14ac:dyDescent="0.35">
      <c r="A324" s="17"/>
      <c r="B324" s="4" t="s">
        <v>531</v>
      </c>
      <c r="C324" s="4" t="s">
        <v>532</v>
      </c>
      <c r="D324" s="4" t="s">
        <v>26</v>
      </c>
      <c r="E324" s="4" t="s">
        <v>27</v>
      </c>
      <c r="F324" s="4" t="s">
        <v>537</v>
      </c>
      <c r="G324" s="5">
        <v>0</v>
      </c>
      <c r="H324" s="5">
        <v>25000</v>
      </c>
      <c r="I324" s="5">
        <v>15750</v>
      </c>
      <c r="J324" s="6"/>
      <c r="K324" s="6"/>
      <c r="L324" s="5">
        <v>9250</v>
      </c>
      <c r="M324" t="s">
        <v>762</v>
      </c>
    </row>
    <row r="325" spans="1:13" ht="31.5" x14ac:dyDescent="0.35">
      <c r="A325" s="17"/>
      <c r="B325" s="4" t="s">
        <v>531</v>
      </c>
      <c r="C325" s="4" t="s">
        <v>532</v>
      </c>
      <c r="D325" s="4" t="s">
        <v>51</v>
      </c>
      <c r="E325" s="4" t="s">
        <v>52</v>
      </c>
      <c r="F325" s="4" t="s">
        <v>538</v>
      </c>
      <c r="G325" s="5">
        <v>5000</v>
      </c>
      <c r="H325" s="5">
        <v>5000</v>
      </c>
      <c r="I325" s="6"/>
      <c r="J325" s="6"/>
      <c r="K325" s="6"/>
      <c r="L325" s="5">
        <v>5000</v>
      </c>
      <c r="M325" t="s">
        <v>762</v>
      </c>
    </row>
    <row r="326" spans="1:13" ht="31.5" x14ac:dyDescent="0.35">
      <c r="A326" s="17"/>
      <c r="B326" s="4" t="s">
        <v>531</v>
      </c>
      <c r="C326" s="4" t="s">
        <v>532</v>
      </c>
      <c r="D326" s="4" t="s">
        <v>446</v>
      </c>
      <c r="E326" s="4" t="s">
        <v>447</v>
      </c>
      <c r="F326" s="4" t="s">
        <v>539</v>
      </c>
      <c r="G326" s="5">
        <v>10000</v>
      </c>
      <c r="H326" s="5">
        <v>10000</v>
      </c>
      <c r="I326" s="5">
        <v>3464.73</v>
      </c>
      <c r="J326" s="6"/>
      <c r="K326" s="6"/>
      <c r="L326" s="5">
        <v>6551.27</v>
      </c>
      <c r="M326" t="s">
        <v>762</v>
      </c>
    </row>
    <row r="327" spans="1:13" ht="31.5" x14ac:dyDescent="0.35">
      <c r="A327" s="17"/>
      <c r="B327" s="4" t="s">
        <v>531</v>
      </c>
      <c r="C327" s="4" t="s">
        <v>532</v>
      </c>
      <c r="D327" s="4" t="s">
        <v>32</v>
      </c>
      <c r="E327" s="4" t="s">
        <v>33</v>
      </c>
      <c r="F327" s="4" t="s">
        <v>540</v>
      </c>
      <c r="G327" s="5">
        <v>0</v>
      </c>
      <c r="H327" s="5">
        <v>100000</v>
      </c>
      <c r="I327" s="6"/>
      <c r="J327" s="6"/>
      <c r="K327" s="6"/>
      <c r="L327" s="5">
        <v>100000</v>
      </c>
      <c r="M327" t="s">
        <v>762</v>
      </c>
    </row>
    <row r="328" spans="1:13" ht="31.5" x14ac:dyDescent="0.35">
      <c r="A328" s="17"/>
      <c r="B328" s="4" t="s">
        <v>531</v>
      </c>
      <c r="C328" s="4" t="s">
        <v>532</v>
      </c>
      <c r="D328" s="4" t="s">
        <v>419</v>
      </c>
      <c r="E328" s="4" t="s">
        <v>420</v>
      </c>
      <c r="F328" s="4" t="s">
        <v>541</v>
      </c>
      <c r="G328" s="5">
        <v>300000</v>
      </c>
      <c r="H328" s="5">
        <v>293700</v>
      </c>
      <c r="I328" s="5">
        <v>175939.9</v>
      </c>
      <c r="J328" s="5">
        <v>0</v>
      </c>
      <c r="K328" s="5">
        <v>64683.8</v>
      </c>
      <c r="L328" s="5">
        <v>53076.3</v>
      </c>
      <c r="M328" t="s">
        <v>762</v>
      </c>
    </row>
    <row r="329" spans="1:13" ht="31.5" x14ac:dyDescent="0.35">
      <c r="A329" s="17"/>
      <c r="B329" s="4" t="s">
        <v>531</v>
      </c>
      <c r="C329" s="4" t="s">
        <v>532</v>
      </c>
      <c r="D329" s="4" t="s">
        <v>79</v>
      </c>
      <c r="E329" s="4" t="s">
        <v>80</v>
      </c>
      <c r="F329" s="4" t="s">
        <v>542</v>
      </c>
      <c r="G329" s="5">
        <v>0</v>
      </c>
      <c r="H329" s="5">
        <v>1405</v>
      </c>
      <c r="I329" s="5">
        <v>3320.08</v>
      </c>
      <c r="J329" s="6"/>
      <c r="K329" s="6"/>
      <c r="L329" s="5">
        <v>2656.58</v>
      </c>
      <c r="M329" t="s">
        <v>762</v>
      </c>
    </row>
    <row r="330" spans="1:13" ht="31.5" x14ac:dyDescent="0.35">
      <c r="A330" s="17"/>
      <c r="B330" s="4" t="s">
        <v>531</v>
      </c>
      <c r="C330" s="4" t="s">
        <v>532</v>
      </c>
      <c r="D330" s="4" t="s">
        <v>470</v>
      </c>
      <c r="E330" s="4" t="s">
        <v>471</v>
      </c>
      <c r="F330" s="4" t="s">
        <v>543</v>
      </c>
      <c r="G330" s="5">
        <v>450</v>
      </c>
      <c r="H330" s="5">
        <v>1750</v>
      </c>
      <c r="I330" s="6"/>
      <c r="J330" s="6"/>
      <c r="K330" s="6"/>
      <c r="L330" s="5">
        <v>1750</v>
      </c>
      <c r="M330" t="s">
        <v>762</v>
      </c>
    </row>
    <row r="331" spans="1:13" ht="31.5" x14ac:dyDescent="0.35">
      <c r="A331" s="17"/>
      <c r="B331" s="4" t="s">
        <v>531</v>
      </c>
      <c r="C331" s="4" t="s">
        <v>532</v>
      </c>
      <c r="D331" s="4" t="s">
        <v>215</v>
      </c>
      <c r="E331" s="4" t="s">
        <v>216</v>
      </c>
      <c r="F331" s="4" t="s">
        <v>544</v>
      </c>
      <c r="G331" s="5">
        <v>25000</v>
      </c>
      <c r="H331" s="5">
        <v>23595</v>
      </c>
      <c r="I331" s="5">
        <v>567</v>
      </c>
      <c r="J331" s="6"/>
      <c r="K331" s="6"/>
      <c r="L331" s="5">
        <v>23028</v>
      </c>
      <c r="M331" t="s">
        <v>762</v>
      </c>
    </row>
    <row r="332" spans="1:13" ht="31.5" x14ac:dyDescent="0.35">
      <c r="A332" s="17"/>
      <c r="B332" s="4" t="s">
        <v>531</v>
      </c>
      <c r="C332" s="4" t="s">
        <v>532</v>
      </c>
      <c r="D332" s="4" t="s">
        <v>545</v>
      </c>
      <c r="E332" s="4" t="s">
        <v>546</v>
      </c>
      <c r="F332" s="4" t="s">
        <v>547</v>
      </c>
      <c r="G332" s="5">
        <v>168681</v>
      </c>
      <c r="H332" s="5">
        <v>168681</v>
      </c>
      <c r="I332" s="5">
        <v>161583.85</v>
      </c>
      <c r="J332" s="5">
        <v>0</v>
      </c>
      <c r="K332" s="5">
        <v>2.18278728425503E-11</v>
      </c>
      <c r="L332" s="5">
        <v>7097.1499999999696</v>
      </c>
      <c r="M332" t="s">
        <v>762</v>
      </c>
    </row>
    <row r="333" spans="1:13" ht="21" x14ac:dyDescent="0.35">
      <c r="A333" s="17"/>
      <c r="B333" s="4" t="s">
        <v>548</v>
      </c>
      <c r="C333" s="4" t="s">
        <v>549</v>
      </c>
      <c r="D333" s="4" t="s">
        <v>44</v>
      </c>
      <c r="E333" s="4" t="s">
        <v>45</v>
      </c>
      <c r="F333" s="4" t="s">
        <v>550</v>
      </c>
      <c r="G333" s="5">
        <v>132578</v>
      </c>
      <c r="H333" s="5">
        <v>566478</v>
      </c>
      <c r="I333" s="5">
        <v>220214.46</v>
      </c>
      <c r="J333" s="5">
        <v>-132578.07</v>
      </c>
      <c r="K333" s="5">
        <v>44941.68</v>
      </c>
      <c r="L333" s="5">
        <v>433899.93</v>
      </c>
      <c r="M333" t="s">
        <v>762</v>
      </c>
    </row>
    <row r="334" spans="1:13" ht="21" x14ac:dyDescent="0.35">
      <c r="A334" s="17"/>
      <c r="B334" s="4" t="s">
        <v>548</v>
      </c>
      <c r="C334" s="4" t="s">
        <v>549</v>
      </c>
      <c r="D334" s="4" t="s">
        <v>26</v>
      </c>
      <c r="E334" s="4" t="s">
        <v>27</v>
      </c>
      <c r="F334" s="4" t="s">
        <v>551</v>
      </c>
      <c r="G334" s="5">
        <v>7140</v>
      </c>
      <c r="H334" s="5">
        <v>22770</v>
      </c>
      <c r="I334" s="5">
        <v>17140</v>
      </c>
      <c r="J334" s="5">
        <v>-7140</v>
      </c>
      <c r="K334" s="5">
        <v>7140</v>
      </c>
      <c r="L334" s="5">
        <v>5630</v>
      </c>
      <c r="M334" t="s">
        <v>762</v>
      </c>
    </row>
    <row r="335" spans="1:13" ht="21" x14ac:dyDescent="0.35">
      <c r="A335" s="17"/>
      <c r="B335" s="4" t="s">
        <v>548</v>
      </c>
      <c r="C335" s="4" t="s">
        <v>549</v>
      </c>
      <c r="D335" s="4" t="s">
        <v>552</v>
      </c>
      <c r="E335" s="4" t="s">
        <v>553</v>
      </c>
      <c r="F335" s="4" t="s">
        <v>554</v>
      </c>
      <c r="G335" s="5">
        <v>0</v>
      </c>
      <c r="H335" s="5">
        <v>1</v>
      </c>
      <c r="I335" s="6"/>
      <c r="J335" s="6"/>
      <c r="K335" s="6"/>
      <c r="L335" s="5">
        <v>1</v>
      </c>
      <c r="M335" t="s">
        <v>762</v>
      </c>
    </row>
    <row r="336" spans="1:13" ht="21" x14ac:dyDescent="0.35">
      <c r="A336" s="17"/>
      <c r="B336" s="4" t="s">
        <v>548</v>
      </c>
      <c r="C336" s="4" t="s">
        <v>549</v>
      </c>
      <c r="D336" s="4" t="s">
        <v>51</v>
      </c>
      <c r="E336" s="4" t="s">
        <v>52</v>
      </c>
      <c r="F336" s="4" t="s">
        <v>555</v>
      </c>
      <c r="G336" s="5">
        <v>183285</v>
      </c>
      <c r="H336" s="5">
        <v>154069</v>
      </c>
      <c r="I336" s="5">
        <v>17850</v>
      </c>
      <c r="J336" s="5">
        <v>-17850</v>
      </c>
      <c r="K336" s="5">
        <v>18000</v>
      </c>
      <c r="L336" s="5">
        <v>136069</v>
      </c>
      <c r="M336" t="s">
        <v>762</v>
      </c>
    </row>
    <row r="337" spans="1:13" ht="21" x14ac:dyDescent="0.35">
      <c r="A337" s="17"/>
      <c r="B337" s="4" t="s">
        <v>548</v>
      </c>
      <c r="C337" s="4" t="s">
        <v>549</v>
      </c>
      <c r="D337" s="4" t="s">
        <v>32</v>
      </c>
      <c r="E337" s="4" t="s">
        <v>33</v>
      </c>
      <c r="F337" s="4" t="s">
        <v>556</v>
      </c>
      <c r="G337" s="5">
        <v>0</v>
      </c>
      <c r="H337" s="5">
        <v>0</v>
      </c>
      <c r="I337" s="6"/>
      <c r="J337" s="6"/>
      <c r="K337" s="6"/>
      <c r="L337" s="5">
        <v>0</v>
      </c>
      <c r="M337" t="s">
        <v>762</v>
      </c>
    </row>
    <row r="338" spans="1:13" ht="21" x14ac:dyDescent="0.35">
      <c r="A338" s="17"/>
      <c r="B338" s="4" t="s">
        <v>548</v>
      </c>
      <c r="C338" s="4" t="s">
        <v>549</v>
      </c>
      <c r="D338" s="4" t="s">
        <v>79</v>
      </c>
      <c r="E338" s="4" t="s">
        <v>80</v>
      </c>
      <c r="F338" s="4" t="s">
        <v>557</v>
      </c>
      <c r="G338" s="5">
        <v>205048</v>
      </c>
      <c r="H338" s="5">
        <v>821493</v>
      </c>
      <c r="I338" s="5">
        <v>690592.5</v>
      </c>
      <c r="J338" s="5">
        <v>-143100</v>
      </c>
      <c r="K338" s="5">
        <v>17000.11</v>
      </c>
      <c r="L338" s="5">
        <v>257000.39</v>
      </c>
      <c r="M338" t="s">
        <v>762</v>
      </c>
    </row>
    <row r="339" spans="1:13" ht="21" x14ac:dyDescent="0.35">
      <c r="A339" s="17"/>
      <c r="B339" s="4" t="s">
        <v>548</v>
      </c>
      <c r="C339" s="4" t="s">
        <v>549</v>
      </c>
      <c r="D339" s="4" t="s">
        <v>215</v>
      </c>
      <c r="E339" s="4" t="s">
        <v>216</v>
      </c>
      <c r="F339" s="4" t="s">
        <v>558</v>
      </c>
      <c r="G339" s="5">
        <v>51945</v>
      </c>
      <c r="H339" s="5">
        <v>68045</v>
      </c>
      <c r="I339" s="5">
        <v>83219</v>
      </c>
      <c r="J339" s="5">
        <v>-32875</v>
      </c>
      <c r="K339" s="5">
        <v>11830</v>
      </c>
      <c r="L339" s="5">
        <v>5871</v>
      </c>
      <c r="M339" t="s">
        <v>762</v>
      </c>
    </row>
    <row r="340" spans="1:13" ht="21" x14ac:dyDescent="0.35">
      <c r="A340" s="17"/>
      <c r="B340" s="4" t="s">
        <v>559</v>
      </c>
      <c r="C340" s="4" t="s">
        <v>560</v>
      </c>
      <c r="D340" s="4" t="s">
        <v>104</v>
      </c>
      <c r="E340" s="4" t="s">
        <v>105</v>
      </c>
      <c r="F340" s="4" t="s">
        <v>561</v>
      </c>
      <c r="G340" s="5">
        <v>8100000</v>
      </c>
      <c r="H340" s="5">
        <v>7162263</v>
      </c>
      <c r="I340" s="5">
        <v>7162262.5</v>
      </c>
      <c r="J340" s="6"/>
      <c r="K340" s="6"/>
      <c r="L340" s="5">
        <v>0.5</v>
      </c>
      <c r="M340" t="s">
        <v>762</v>
      </c>
    </row>
    <row r="341" spans="1:13" ht="21" x14ac:dyDescent="0.35">
      <c r="A341" s="17"/>
      <c r="B341" s="4" t="s">
        <v>559</v>
      </c>
      <c r="C341" s="4" t="s">
        <v>560</v>
      </c>
      <c r="D341" s="4" t="s">
        <v>478</v>
      </c>
      <c r="E341" s="4" t="s">
        <v>479</v>
      </c>
      <c r="F341" s="4" t="s">
        <v>562</v>
      </c>
      <c r="G341" s="5">
        <v>563543</v>
      </c>
      <c r="H341" s="5">
        <v>0</v>
      </c>
      <c r="I341" s="6"/>
      <c r="J341" s="6"/>
      <c r="K341" s="6"/>
      <c r="L341" s="5">
        <v>0</v>
      </c>
      <c r="M341" t="s">
        <v>762</v>
      </c>
    </row>
    <row r="342" spans="1:13" ht="21" x14ac:dyDescent="0.35">
      <c r="A342" s="17"/>
      <c r="B342" s="4" t="s">
        <v>559</v>
      </c>
      <c r="C342" s="4" t="s">
        <v>560</v>
      </c>
      <c r="D342" s="4" t="s">
        <v>26</v>
      </c>
      <c r="E342" s="4" t="s">
        <v>27</v>
      </c>
      <c r="F342" s="4" t="s">
        <v>563</v>
      </c>
      <c r="G342" s="5">
        <v>0</v>
      </c>
      <c r="H342" s="5">
        <v>20000</v>
      </c>
      <c r="I342" s="6"/>
      <c r="J342" s="6"/>
      <c r="K342" s="6"/>
      <c r="L342" s="5">
        <v>20000</v>
      </c>
      <c r="M342" t="s">
        <v>762</v>
      </c>
    </row>
    <row r="343" spans="1:13" ht="21" x14ac:dyDescent="0.35">
      <c r="A343" s="17"/>
      <c r="B343" s="4" t="s">
        <v>559</v>
      </c>
      <c r="C343" s="4" t="s">
        <v>560</v>
      </c>
      <c r="D343" s="4" t="s">
        <v>51</v>
      </c>
      <c r="E343" s="4" t="s">
        <v>52</v>
      </c>
      <c r="F343" s="4" t="s">
        <v>564</v>
      </c>
      <c r="G343" s="5">
        <v>8959671</v>
      </c>
      <c r="H343" s="5">
        <v>9523213</v>
      </c>
      <c r="I343" s="5">
        <v>4663815.63</v>
      </c>
      <c r="J343" s="5">
        <v>1969962.77</v>
      </c>
      <c r="K343" s="5">
        <v>1738228.63</v>
      </c>
      <c r="L343" s="5">
        <v>1151205.97</v>
      </c>
      <c r="M343" t="s">
        <v>762</v>
      </c>
    </row>
    <row r="344" spans="1:13" ht="31.5" x14ac:dyDescent="0.35">
      <c r="A344" s="17"/>
      <c r="B344" s="4" t="s">
        <v>559</v>
      </c>
      <c r="C344" s="4" t="s">
        <v>560</v>
      </c>
      <c r="D344" s="4" t="s">
        <v>565</v>
      </c>
      <c r="E344" s="4" t="s">
        <v>566</v>
      </c>
      <c r="F344" s="4" t="s">
        <v>567</v>
      </c>
      <c r="G344" s="5">
        <v>2640700</v>
      </c>
      <c r="H344" s="5">
        <v>787507</v>
      </c>
      <c r="I344" s="5">
        <v>502780.63</v>
      </c>
      <c r="J344" s="6"/>
      <c r="K344" s="6"/>
      <c r="L344" s="5">
        <v>258274.82</v>
      </c>
      <c r="M344" t="s">
        <v>762</v>
      </c>
    </row>
    <row r="345" spans="1:13" ht="21" x14ac:dyDescent="0.35">
      <c r="A345" s="17"/>
      <c r="B345" s="4" t="s">
        <v>559</v>
      </c>
      <c r="C345" s="4" t="s">
        <v>560</v>
      </c>
      <c r="D345" s="4" t="s">
        <v>568</v>
      </c>
      <c r="E345" s="4" t="s">
        <v>569</v>
      </c>
      <c r="F345" s="4" t="s">
        <v>570</v>
      </c>
      <c r="G345" s="5">
        <v>2078611</v>
      </c>
      <c r="H345" s="5">
        <v>2078611</v>
      </c>
      <c r="I345" s="5">
        <v>1703052.48</v>
      </c>
      <c r="J345" s="6"/>
      <c r="K345" s="6"/>
      <c r="L345" s="5">
        <v>348716.02</v>
      </c>
      <c r="M345" t="s">
        <v>762</v>
      </c>
    </row>
    <row r="346" spans="1:13" ht="21" x14ac:dyDescent="0.35">
      <c r="A346" s="17"/>
      <c r="B346" s="4" t="s">
        <v>559</v>
      </c>
      <c r="C346" s="4" t="s">
        <v>560</v>
      </c>
      <c r="D346" s="4" t="s">
        <v>32</v>
      </c>
      <c r="E346" s="4" t="s">
        <v>33</v>
      </c>
      <c r="F346" s="4" t="s">
        <v>571</v>
      </c>
      <c r="G346" s="5">
        <v>4400</v>
      </c>
      <c r="H346" s="5">
        <v>141460</v>
      </c>
      <c r="I346" s="5">
        <v>37969</v>
      </c>
      <c r="J346" s="6"/>
      <c r="K346" s="6"/>
      <c r="L346" s="5">
        <v>103491</v>
      </c>
      <c r="M346" t="s">
        <v>762</v>
      </c>
    </row>
    <row r="347" spans="1:13" ht="21" x14ac:dyDescent="0.35">
      <c r="A347" s="17"/>
      <c r="B347" s="4" t="s">
        <v>559</v>
      </c>
      <c r="C347" s="4" t="s">
        <v>560</v>
      </c>
      <c r="D347" s="4" t="s">
        <v>496</v>
      </c>
      <c r="E347" s="4" t="s">
        <v>497</v>
      </c>
      <c r="F347" s="4" t="s">
        <v>572</v>
      </c>
      <c r="G347" s="6"/>
      <c r="H347" s="6"/>
      <c r="I347" s="5">
        <v>0</v>
      </c>
      <c r="J347" s="6"/>
      <c r="K347" s="6"/>
      <c r="L347" s="5">
        <v>0</v>
      </c>
      <c r="M347" t="s">
        <v>762</v>
      </c>
    </row>
    <row r="348" spans="1:13" ht="31.5" x14ac:dyDescent="0.35">
      <c r="A348" s="17"/>
      <c r="B348" s="4" t="s">
        <v>559</v>
      </c>
      <c r="C348" s="4" t="s">
        <v>560</v>
      </c>
      <c r="D348" s="4" t="s">
        <v>573</v>
      </c>
      <c r="E348" s="4" t="s">
        <v>574</v>
      </c>
      <c r="F348" s="4" t="s">
        <v>575</v>
      </c>
      <c r="G348" s="5">
        <v>1020766</v>
      </c>
      <c r="H348" s="5">
        <v>2624341</v>
      </c>
      <c r="I348" s="5">
        <v>2256504.89</v>
      </c>
      <c r="J348" s="5">
        <v>-239413.69</v>
      </c>
      <c r="K348" s="5">
        <v>450112</v>
      </c>
      <c r="L348" s="5">
        <v>157137.79999999999</v>
      </c>
      <c r="M348" t="s">
        <v>762</v>
      </c>
    </row>
    <row r="349" spans="1:13" ht="42" x14ac:dyDescent="0.35">
      <c r="A349" s="17"/>
      <c r="B349" s="4" t="s">
        <v>559</v>
      </c>
      <c r="C349" s="4" t="s">
        <v>560</v>
      </c>
      <c r="D349" s="4" t="s">
        <v>128</v>
      </c>
      <c r="E349" s="4" t="s">
        <v>129</v>
      </c>
      <c r="F349" s="4" t="s">
        <v>576</v>
      </c>
      <c r="G349" s="5">
        <v>3655434</v>
      </c>
      <c r="H349" s="5">
        <v>5318171</v>
      </c>
      <c r="I349" s="5">
        <v>876664.81</v>
      </c>
      <c r="J349" s="5">
        <v>3337606</v>
      </c>
      <c r="K349" s="5">
        <v>213074</v>
      </c>
      <c r="L349" s="5">
        <v>890826.18999999901</v>
      </c>
      <c r="M349" t="s">
        <v>762</v>
      </c>
    </row>
    <row r="350" spans="1:13" ht="21" x14ac:dyDescent="0.35">
      <c r="A350" s="17"/>
      <c r="B350" s="4" t="s">
        <v>559</v>
      </c>
      <c r="C350" s="4" t="s">
        <v>560</v>
      </c>
      <c r="D350" s="4" t="s">
        <v>577</v>
      </c>
      <c r="E350" s="4" t="s">
        <v>578</v>
      </c>
      <c r="F350" s="4" t="s">
        <v>579</v>
      </c>
      <c r="G350" s="5">
        <v>362742</v>
      </c>
      <c r="H350" s="5">
        <v>451700</v>
      </c>
      <c r="I350" s="5">
        <v>237145.02</v>
      </c>
      <c r="J350" s="5">
        <v>0</v>
      </c>
      <c r="K350" s="5">
        <v>214376.45</v>
      </c>
      <c r="L350" s="5">
        <v>178.52999999996999</v>
      </c>
      <c r="M350" t="s">
        <v>762</v>
      </c>
    </row>
    <row r="351" spans="1:13" ht="31.5" x14ac:dyDescent="0.35">
      <c r="A351" s="17"/>
      <c r="B351" s="4" t="s">
        <v>580</v>
      </c>
      <c r="C351" s="4" t="s">
        <v>581</v>
      </c>
      <c r="D351" s="4" t="s">
        <v>26</v>
      </c>
      <c r="E351" s="4" t="s">
        <v>27</v>
      </c>
      <c r="F351" s="4" t="s">
        <v>582</v>
      </c>
      <c r="G351" s="5">
        <v>0</v>
      </c>
      <c r="H351" s="5">
        <v>30000</v>
      </c>
      <c r="I351" s="5">
        <v>4500</v>
      </c>
      <c r="J351" s="6"/>
      <c r="K351" s="6"/>
      <c r="L351" s="5">
        <v>25500</v>
      </c>
      <c r="M351" t="s">
        <v>762</v>
      </c>
    </row>
    <row r="352" spans="1:13" ht="31.5" x14ac:dyDescent="0.35">
      <c r="A352" s="17"/>
      <c r="B352" s="4" t="s">
        <v>580</v>
      </c>
      <c r="C352" s="4" t="s">
        <v>581</v>
      </c>
      <c r="D352" s="4" t="s">
        <v>32</v>
      </c>
      <c r="E352" s="4" t="s">
        <v>33</v>
      </c>
      <c r="F352" s="4" t="s">
        <v>583</v>
      </c>
      <c r="G352" s="5">
        <v>0</v>
      </c>
      <c r="H352" s="5">
        <v>211000</v>
      </c>
      <c r="I352" s="5">
        <v>201890</v>
      </c>
      <c r="J352" s="6"/>
      <c r="K352" s="6"/>
      <c r="L352" s="5">
        <v>9110</v>
      </c>
      <c r="M352" t="s">
        <v>762</v>
      </c>
    </row>
    <row r="353" spans="1:13" ht="21" x14ac:dyDescent="0.35">
      <c r="A353" s="17"/>
      <c r="B353" s="4" t="s">
        <v>584</v>
      </c>
      <c r="C353" s="4" t="s">
        <v>585</v>
      </c>
      <c r="D353" s="4" t="s">
        <v>65</v>
      </c>
      <c r="E353" s="4" t="s">
        <v>66</v>
      </c>
      <c r="F353" s="4" t="s">
        <v>586</v>
      </c>
      <c r="G353" s="5">
        <v>90000</v>
      </c>
      <c r="H353" s="5">
        <v>0</v>
      </c>
      <c r="I353" s="6"/>
      <c r="J353" s="6"/>
      <c r="K353" s="6"/>
      <c r="L353" s="5">
        <v>0</v>
      </c>
      <c r="M353" t="s">
        <v>762</v>
      </c>
    </row>
    <row r="354" spans="1:13" ht="31.5" x14ac:dyDescent="0.35">
      <c r="A354" s="17"/>
      <c r="B354" s="4" t="s">
        <v>584</v>
      </c>
      <c r="C354" s="4" t="s">
        <v>585</v>
      </c>
      <c r="D354" s="4" t="s">
        <v>20</v>
      </c>
      <c r="E354" s="4" t="s">
        <v>21</v>
      </c>
      <c r="F354" s="4" t="s">
        <v>587</v>
      </c>
      <c r="G354" s="5">
        <v>5877</v>
      </c>
      <c r="H354" s="5">
        <v>0</v>
      </c>
      <c r="I354" s="6"/>
      <c r="J354" s="6"/>
      <c r="K354" s="6"/>
      <c r="L354" s="5">
        <v>0</v>
      </c>
      <c r="M354" t="s">
        <v>762</v>
      </c>
    </row>
    <row r="355" spans="1:13" ht="21" x14ac:dyDescent="0.35">
      <c r="A355" s="17"/>
      <c r="B355" s="4" t="s">
        <v>584</v>
      </c>
      <c r="C355" s="4" t="s">
        <v>585</v>
      </c>
      <c r="D355" s="4" t="s">
        <v>259</v>
      </c>
      <c r="E355" s="4" t="s">
        <v>260</v>
      </c>
      <c r="F355" s="4" t="s">
        <v>588</v>
      </c>
      <c r="G355" s="5">
        <v>35396</v>
      </c>
      <c r="H355" s="5">
        <v>2768</v>
      </c>
      <c r="I355" s="5">
        <v>2768</v>
      </c>
      <c r="J355" s="6"/>
      <c r="K355" s="6"/>
      <c r="L355" s="5">
        <v>0</v>
      </c>
      <c r="M355" t="s">
        <v>762</v>
      </c>
    </row>
    <row r="356" spans="1:13" ht="21" x14ac:dyDescent="0.35">
      <c r="A356" s="17"/>
      <c r="B356" s="4" t="s">
        <v>584</v>
      </c>
      <c r="C356" s="4" t="s">
        <v>585</v>
      </c>
      <c r="D356" s="4" t="s">
        <v>26</v>
      </c>
      <c r="E356" s="4" t="s">
        <v>27</v>
      </c>
      <c r="F356" s="4" t="s">
        <v>589</v>
      </c>
      <c r="G356" s="5">
        <v>14586</v>
      </c>
      <c r="H356" s="5">
        <v>46227</v>
      </c>
      <c r="I356" s="5">
        <v>46226.25</v>
      </c>
      <c r="J356" s="6"/>
      <c r="K356" s="6"/>
      <c r="L356" s="5">
        <v>0.75</v>
      </c>
      <c r="M356" t="s">
        <v>762</v>
      </c>
    </row>
    <row r="357" spans="1:13" ht="21" x14ac:dyDescent="0.35">
      <c r="A357" s="17"/>
      <c r="B357" s="4" t="s">
        <v>584</v>
      </c>
      <c r="C357" s="4" t="s">
        <v>585</v>
      </c>
      <c r="D357" s="4" t="s">
        <v>215</v>
      </c>
      <c r="E357" s="4" t="s">
        <v>216</v>
      </c>
      <c r="F357" s="4" t="s">
        <v>590</v>
      </c>
      <c r="G357" s="5">
        <v>6200</v>
      </c>
      <c r="H357" s="5">
        <v>0</v>
      </c>
      <c r="I357" s="6"/>
      <c r="J357" s="6"/>
      <c r="K357" s="6"/>
      <c r="L357" s="5">
        <v>0</v>
      </c>
      <c r="M357" t="s">
        <v>762</v>
      </c>
    </row>
    <row r="358" spans="1:13" ht="42" x14ac:dyDescent="0.35">
      <c r="A358" s="17"/>
      <c r="B358" s="4" t="s">
        <v>591</v>
      </c>
      <c r="C358" s="4" t="s">
        <v>592</v>
      </c>
      <c r="D358" s="4" t="s">
        <v>26</v>
      </c>
      <c r="E358" s="4" t="s">
        <v>27</v>
      </c>
      <c r="F358" s="4" t="s">
        <v>593</v>
      </c>
      <c r="G358" s="5">
        <v>3045</v>
      </c>
      <c r="H358" s="5">
        <v>30000</v>
      </c>
      <c r="I358" s="5">
        <v>4641</v>
      </c>
      <c r="J358" s="6"/>
      <c r="K358" s="6"/>
      <c r="L358" s="5">
        <v>25359</v>
      </c>
      <c r="M358" t="s">
        <v>763</v>
      </c>
    </row>
    <row r="359" spans="1:13" ht="42" x14ac:dyDescent="0.35">
      <c r="A359" s="17"/>
      <c r="B359" s="4" t="s">
        <v>591</v>
      </c>
      <c r="C359" s="4" t="s">
        <v>592</v>
      </c>
      <c r="D359" s="4" t="s">
        <v>59</v>
      </c>
      <c r="E359" s="4" t="s">
        <v>60</v>
      </c>
      <c r="F359" s="4" t="s">
        <v>594</v>
      </c>
      <c r="G359" s="5">
        <v>30707</v>
      </c>
      <c r="H359" s="5">
        <v>395707</v>
      </c>
      <c r="I359" s="5">
        <v>343812.69</v>
      </c>
      <c r="J359" s="5">
        <v>32977.760000000002</v>
      </c>
      <c r="K359" s="5">
        <v>18915.95</v>
      </c>
      <c r="L359" s="5">
        <v>0.59999999999854503</v>
      </c>
      <c r="M359" t="s">
        <v>763</v>
      </c>
    </row>
    <row r="360" spans="1:13" ht="42" x14ac:dyDescent="0.35">
      <c r="A360" s="17"/>
      <c r="B360" s="4" t="s">
        <v>591</v>
      </c>
      <c r="C360" s="4" t="s">
        <v>592</v>
      </c>
      <c r="D360" s="4" t="s">
        <v>32</v>
      </c>
      <c r="E360" s="4" t="s">
        <v>33</v>
      </c>
      <c r="F360" s="4" t="s">
        <v>595</v>
      </c>
      <c r="G360" s="5">
        <v>48418</v>
      </c>
      <c r="H360" s="5">
        <v>100000</v>
      </c>
      <c r="I360" s="5">
        <v>10000</v>
      </c>
      <c r="J360" s="6"/>
      <c r="K360" s="6"/>
      <c r="L360" s="5">
        <v>90000</v>
      </c>
      <c r="M360" t="s">
        <v>763</v>
      </c>
    </row>
    <row r="361" spans="1:13" ht="21" x14ac:dyDescent="0.35">
      <c r="A361" s="17"/>
      <c r="B361" s="4" t="s">
        <v>596</v>
      </c>
      <c r="C361" s="4" t="s">
        <v>597</v>
      </c>
      <c r="D361" s="4" t="s">
        <v>104</v>
      </c>
      <c r="E361" s="4" t="s">
        <v>105</v>
      </c>
      <c r="F361" s="4" t="s">
        <v>598</v>
      </c>
      <c r="G361" s="5">
        <v>0</v>
      </c>
      <c r="H361" s="5">
        <v>18365</v>
      </c>
      <c r="I361" s="5">
        <v>18365</v>
      </c>
      <c r="J361" s="5">
        <v>0</v>
      </c>
      <c r="K361" s="5">
        <v>0</v>
      </c>
      <c r="L361" s="5">
        <v>0</v>
      </c>
      <c r="M361" t="s">
        <v>763</v>
      </c>
    </row>
    <row r="362" spans="1:13" ht="21" x14ac:dyDescent="0.35">
      <c r="A362" s="17"/>
      <c r="B362" s="4" t="s">
        <v>596</v>
      </c>
      <c r="C362" s="4" t="s">
        <v>597</v>
      </c>
      <c r="D362" s="4" t="s">
        <v>26</v>
      </c>
      <c r="E362" s="4" t="s">
        <v>27</v>
      </c>
      <c r="F362" s="4" t="s">
        <v>599</v>
      </c>
      <c r="G362" s="5">
        <v>0</v>
      </c>
      <c r="H362" s="5">
        <v>3000</v>
      </c>
      <c r="I362" s="6"/>
      <c r="J362" s="6"/>
      <c r="K362" s="6"/>
      <c r="L362" s="5">
        <v>3000</v>
      </c>
      <c r="M362" t="s">
        <v>763</v>
      </c>
    </row>
    <row r="363" spans="1:13" ht="21" x14ac:dyDescent="0.35">
      <c r="A363" s="17"/>
      <c r="B363" s="4" t="s">
        <v>596</v>
      </c>
      <c r="C363" s="4" t="s">
        <v>597</v>
      </c>
      <c r="D363" s="4" t="s">
        <v>51</v>
      </c>
      <c r="E363" s="4" t="s">
        <v>52</v>
      </c>
      <c r="F363" s="4" t="s">
        <v>600</v>
      </c>
      <c r="G363" s="5">
        <v>171713</v>
      </c>
      <c r="H363" s="5">
        <v>171713</v>
      </c>
      <c r="I363" s="5">
        <v>1277.18</v>
      </c>
      <c r="J363" s="5">
        <v>0</v>
      </c>
      <c r="K363" s="5">
        <v>0</v>
      </c>
      <c r="L363" s="5">
        <v>170435.82</v>
      </c>
      <c r="M363" t="s">
        <v>763</v>
      </c>
    </row>
    <row r="364" spans="1:13" ht="21" x14ac:dyDescent="0.35">
      <c r="A364" s="17"/>
      <c r="B364" s="4" t="s">
        <v>596</v>
      </c>
      <c r="C364" s="4" t="s">
        <v>597</v>
      </c>
      <c r="D364" s="4" t="s">
        <v>29</v>
      </c>
      <c r="E364" s="4" t="s">
        <v>30</v>
      </c>
      <c r="F364" s="4" t="s">
        <v>601</v>
      </c>
      <c r="G364" s="5">
        <v>0</v>
      </c>
      <c r="H364" s="5">
        <v>10000</v>
      </c>
      <c r="I364" s="6"/>
      <c r="J364" s="6"/>
      <c r="K364" s="6"/>
      <c r="L364" s="5">
        <v>10000</v>
      </c>
      <c r="M364" t="s">
        <v>763</v>
      </c>
    </row>
    <row r="365" spans="1:13" ht="21" x14ac:dyDescent="0.35">
      <c r="A365" s="17"/>
      <c r="B365" s="4" t="s">
        <v>596</v>
      </c>
      <c r="C365" s="4" t="s">
        <v>597</v>
      </c>
      <c r="D365" s="4" t="s">
        <v>32</v>
      </c>
      <c r="E365" s="4" t="s">
        <v>33</v>
      </c>
      <c r="F365" s="4" t="s">
        <v>602</v>
      </c>
      <c r="G365" s="5">
        <v>23760</v>
      </c>
      <c r="H365" s="5">
        <v>115395</v>
      </c>
      <c r="I365" s="5">
        <v>38486.559999999998</v>
      </c>
      <c r="J365" s="6"/>
      <c r="K365" s="6"/>
      <c r="L365" s="5">
        <v>76908.44</v>
      </c>
      <c r="M365" t="s">
        <v>763</v>
      </c>
    </row>
    <row r="366" spans="1:13" ht="21" x14ac:dyDescent="0.35">
      <c r="A366" s="17"/>
      <c r="B366" s="4" t="s">
        <v>596</v>
      </c>
      <c r="C366" s="4" t="s">
        <v>597</v>
      </c>
      <c r="D366" s="4" t="s">
        <v>99</v>
      </c>
      <c r="E366" s="4" t="s">
        <v>100</v>
      </c>
      <c r="F366" s="4" t="s">
        <v>603</v>
      </c>
      <c r="G366" s="6"/>
      <c r="H366" s="6"/>
      <c r="I366" s="6"/>
      <c r="J366" s="5">
        <v>-28130</v>
      </c>
      <c r="K366" s="6"/>
      <c r="L366" s="5">
        <v>28130</v>
      </c>
      <c r="M366" t="s">
        <v>763</v>
      </c>
    </row>
    <row r="367" spans="1:13" ht="21" x14ac:dyDescent="0.35">
      <c r="A367" s="17"/>
      <c r="B367" s="4" t="s">
        <v>596</v>
      </c>
      <c r="C367" s="4" t="s">
        <v>597</v>
      </c>
      <c r="D367" s="4" t="s">
        <v>99</v>
      </c>
      <c r="E367" s="4" t="s">
        <v>100</v>
      </c>
      <c r="F367" s="4" t="s">
        <v>604</v>
      </c>
      <c r="G367" s="5">
        <v>157190</v>
      </c>
      <c r="H367" s="5">
        <v>344190</v>
      </c>
      <c r="I367" s="5">
        <v>175282.11</v>
      </c>
      <c r="J367" s="5">
        <v>0</v>
      </c>
      <c r="K367" s="5">
        <v>22038</v>
      </c>
      <c r="L367" s="5">
        <v>146869.89000000001</v>
      </c>
      <c r="M367" t="s">
        <v>763</v>
      </c>
    </row>
    <row r="368" spans="1:13" ht="31.5" x14ac:dyDescent="0.35">
      <c r="A368" s="17"/>
      <c r="B368" s="4" t="s">
        <v>605</v>
      </c>
      <c r="C368" s="4" t="s">
        <v>606</v>
      </c>
      <c r="D368" s="4" t="s">
        <v>118</v>
      </c>
      <c r="E368" s="4" t="s">
        <v>119</v>
      </c>
      <c r="F368" s="4" t="s">
        <v>607</v>
      </c>
      <c r="G368" s="5">
        <v>4818360</v>
      </c>
      <c r="H368" s="5">
        <v>2715876</v>
      </c>
      <c r="I368" s="5">
        <v>1718250</v>
      </c>
      <c r="J368" s="6"/>
      <c r="K368" s="6"/>
      <c r="L368" s="5">
        <v>997626</v>
      </c>
      <c r="M368" t="s">
        <v>763</v>
      </c>
    </row>
    <row r="369" spans="1:13" ht="31.5" x14ac:dyDescent="0.35">
      <c r="A369" s="17"/>
      <c r="B369" s="4" t="s">
        <v>605</v>
      </c>
      <c r="C369" s="4" t="s">
        <v>606</v>
      </c>
      <c r="D369" s="4" t="s">
        <v>118</v>
      </c>
      <c r="E369" s="4" t="s">
        <v>119</v>
      </c>
      <c r="F369" s="4" t="s">
        <v>608</v>
      </c>
      <c r="G369" s="5">
        <v>290123</v>
      </c>
      <c r="H369" s="5">
        <v>410123</v>
      </c>
      <c r="I369" s="5">
        <v>344516.94</v>
      </c>
      <c r="J369" s="6"/>
      <c r="K369" s="6"/>
      <c r="L369" s="5">
        <v>65606.06</v>
      </c>
      <c r="M369" t="s">
        <v>763</v>
      </c>
    </row>
    <row r="370" spans="1:13" ht="31.5" x14ac:dyDescent="0.35">
      <c r="A370" s="17"/>
      <c r="B370" s="4" t="s">
        <v>605</v>
      </c>
      <c r="C370" s="4" t="s">
        <v>606</v>
      </c>
      <c r="D370" s="4" t="s">
        <v>44</v>
      </c>
      <c r="E370" s="4" t="s">
        <v>45</v>
      </c>
      <c r="F370" s="4" t="s">
        <v>609</v>
      </c>
      <c r="G370" s="5">
        <v>551250</v>
      </c>
      <c r="H370" s="5">
        <v>684250</v>
      </c>
      <c r="I370" s="6"/>
      <c r="J370" s="5">
        <v>26445.599999999999</v>
      </c>
      <c r="K370" s="5">
        <v>652767.68999999994</v>
      </c>
      <c r="L370" s="5">
        <v>5036.70999999996</v>
      </c>
      <c r="M370" t="s">
        <v>763</v>
      </c>
    </row>
    <row r="371" spans="1:13" ht="31.5" x14ac:dyDescent="0.35">
      <c r="A371" s="17"/>
      <c r="B371" s="4" t="s">
        <v>605</v>
      </c>
      <c r="C371" s="4" t="s">
        <v>606</v>
      </c>
      <c r="D371" s="4" t="s">
        <v>32</v>
      </c>
      <c r="E371" s="4" t="s">
        <v>33</v>
      </c>
      <c r="F371" s="4" t="s">
        <v>610</v>
      </c>
      <c r="G371" s="5">
        <v>37500</v>
      </c>
      <c r="H371" s="5">
        <v>100000</v>
      </c>
      <c r="I371" s="5">
        <v>41872.410000000003</v>
      </c>
      <c r="J371" s="6"/>
      <c r="K371" s="6"/>
      <c r="L371" s="5">
        <v>58127.59</v>
      </c>
      <c r="M371" t="s">
        <v>763</v>
      </c>
    </row>
    <row r="372" spans="1:13" ht="31.5" x14ac:dyDescent="0.35">
      <c r="A372" s="17"/>
      <c r="B372" s="4" t="s">
        <v>605</v>
      </c>
      <c r="C372" s="4" t="s">
        <v>606</v>
      </c>
      <c r="D372" s="4" t="s">
        <v>611</v>
      </c>
      <c r="E372" s="4" t="s">
        <v>612</v>
      </c>
      <c r="F372" s="4" t="s">
        <v>613</v>
      </c>
      <c r="G372" s="5">
        <v>0</v>
      </c>
      <c r="H372" s="5">
        <v>0</v>
      </c>
      <c r="I372" s="6"/>
      <c r="J372" s="6"/>
      <c r="K372" s="6"/>
      <c r="L372" s="5">
        <v>0</v>
      </c>
      <c r="M372" t="s">
        <v>763</v>
      </c>
    </row>
    <row r="373" spans="1:13" ht="31.5" x14ac:dyDescent="0.35">
      <c r="A373" s="17"/>
      <c r="B373" s="4" t="s">
        <v>605</v>
      </c>
      <c r="C373" s="4" t="s">
        <v>606</v>
      </c>
      <c r="D373" s="4" t="s">
        <v>99</v>
      </c>
      <c r="E373" s="4" t="s">
        <v>100</v>
      </c>
      <c r="F373" s="4" t="s">
        <v>614</v>
      </c>
      <c r="G373" s="5">
        <v>37853390</v>
      </c>
      <c r="H373" s="5">
        <v>39822874</v>
      </c>
      <c r="I373" s="5">
        <v>20008049.390000001</v>
      </c>
      <c r="J373" s="5">
        <v>935149.19</v>
      </c>
      <c r="K373" s="5">
        <v>1106163.6299999999</v>
      </c>
      <c r="L373" s="5">
        <v>17773511.789999999</v>
      </c>
      <c r="M373" t="s">
        <v>763</v>
      </c>
    </row>
    <row r="374" spans="1:13" ht="31.5" x14ac:dyDescent="0.35">
      <c r="A374" s="17"/>
      <c r="B374" s="4" t="s">
        <v>605</v>
      </c>
      <c r="C374" s="4" t="s">
        <v>606</v>
      </c>
      <c r="D374" s="4" t="s">
        <v>99</v>
      </c>
      <c r="E374" s="4" t="s">
        <v>100</v>
      </c>
      <c r="F374" s="4" t="s">
        <v>615</v>
      </c>
      <c r="G374" s="5">
        <v>43229013</v>
      </c>
      <c r="H374" s="5">
        <v>43589863</v>
      </c>
      <c r="I374" s="5">
        <v>36093757.469999999</v>
      </c>
      <c r="J374" s="5">
        <v>203011.42</v>
      </c>
      <c r="K374" s="5">
        <v>1951968.2</v>
      </c>
      <c r="L374" s="5">
        <v>5366718.0300000301</v>
      </c>
      <c r="M374" t="s">
        <v>763</v>
      </c>
    </row>
    <row r="375" spans="1:13" ht="31.5" x14ac:dyDescent="0.35">
      <c r="A375" s="17"/>
      <c r="B375" s="4" t="s">
        <v>616</v>
      </c>
      <c r="C375" s="4" t="s">
        <v>617</v>
      </c>
      <c r="D375" s="4" t="s">
        <v>87</v>
      </c>
      <c r="E375" s="4" t="s">
        <v>88</v>
      </c>
      <c r="F375" s="4" t="s">
        <v>618</v>
      </c>
      <c r="G375" s="5">
        <v>4979000</v>
      </c>
      <c r="H375" s="5">
        <v>4969000</v>
      </c>
      <c r="I375" s="5">
        <v>1660219.88</v>
      </c>
      <c r="J375" s="5">
        <v>807099.94</v>
      </c>
      <c r="K375" s="5">
        <v>2378201.5299999998</v>
      </c>
      <c r="L375" s="5">
        <v>123478.65</v>
      </c>
      <c r="M375" t="s">
        <v>762</v>
      </c>
    </row>
    <row r="376" spans="1:13" ht="31.5" x14ac:dyDescent="0.35">
      <c r="A376" s="17"/>
      <c r="B376" s="4" t="s">
        <v>616</v>
      </c>
      <c r="C376" s="4" t="s">
        <v>617</v>
      </c>
      <c r="D376" s="4" t="s">
        <v>87</v>
      </c>
      <c r="E376" s="4" t="s">
        <v>88</v>
      </c>
      <c r="F376" s="4" t="s">
        <v>619</v>
      </c>
      <c r="G376" s="6"/>
      <c r="H376" s="6"/>
      <c r="I376" s="5">
        <v>-1216.43</v>
      </c>
      <c r="J376" s="6"/>
      <c r="K376" s="5">
        <v>1216.43</v>
      </c>
      <c r="L376" s="5">
        <v>0</v>
      </c>
      <c r="M376" t="s">
        <v>762</v>
      </c>
    </row>
    <row r="377" spans="1:13" ht="31.5" x14ac:dyDescent="0.35">
      <c r="A377" s="17"/>
      <c r="B377" s="4" t="s">
        <v>616</v>
      </c>
      <c r="C377" s="4" t="s">
        <v>617</v>
      </c>
      <c r="D377" s="4" t="s">
        <v>20</v>
      </c>
      <c r="E377" s="4" t="s">
        <v>21</v>
      </c>
      <c r="F377" s="4" t="s">
        <v>620</v>
      </c>
      <c r="G377" s="5">
        <v>0</v>
      </c>
      <c r="H377" s="5">
        <v>10000</v>
      </c>
      <c r="I377" s="6"/>
      <c r="J377" s="6"/>
      <c r="K377" s="6"/>
      <c r="L377" s="5">
        <v>10000</v>
      </c>
      <c r="M377" t="s">
        <v>762</v>
      </c>
    </row>
    <row r="378" spans="1:13" ht="31.5" x14ac:dyDescent="0.35">
      <c r="A378" s="17"/>
      <c r="B378" s="4" t="s">
        <v>616</v>
      </c>
      <c r="C378" s="4" t="s">
        <v>617</v>
      </c>
      <c r="D378" s="4" t="s">
        <v>20</v>
      </c>
      <c r="E378" s="4" t="s">
        <v>21</v>
      </c>
      <c r="F378" s="4" t="s">
        <v>621</v>
      </c>
      <c r="G378" s="5">
        <v>2000</v>
      </c>
      <c r="H378" s="5">
        <v>2000</v>
      </c>
      <c r="I378" s="5">
        <v>2283.75</v>
      </c>
      <c r="J378" s="6"/>
      <c r="K378" s="6"/>
      <c r="L378" s="5">
        <v>16.25</v>
      </c>
      <c r="M378" t="s">
        <v>762</v>
      </c>
    </row>
    <row r="379" spans="1:13" ht="31.5" x14ac:dyDescent="0.35">
      <c r="A379" s="17"/>
      <c r="B379" s="4" t="s">
        <v>616</v>
      </c>
      <c r="C379" s="4" t="s">
        <v>617</v>
      </c>
      <c r="D379" s="4" t="s">
        <v>23</v>
      </c>
      <c r="E379" s="4" t="s">
        <v>24</v>
      </c>
      <c r="F379" s="4" t="s">
        <v>622</v>
      </c>
      <c r="G379" s="5">
        <v>26095</v>
      </c>
      <c r="H379" s="5">
        <v>26095</v>
      </c>
      <c r="I379" s="5">
        <v>20122.400000000001</v>
      </c>
      <c r="J379" s="6"/>
      <c r="K379" s="6"/>
      <c r="L379" s="5">
        <v>5972.6</v>
      </c>
      <c r="M379" t="s">
        <v>762</v>
      </c>
    </row>
    <row r="380" spans="1:13" ht="31.5" x14ac:dyDescent="0.35">
      <c r="A380" s="17"/>
      <c r="B380" s="4" t="s">
        <v>616</v>
      </c>
      <c r="C380" s="4" t="s">
        <v>617</v>
      </c>
      <c r="D380" s="4" t="s">
        <v>51</v>
      </c>
      <c r="E380" s="4" t="s">
        <v>52</v>
      </c>
      <c r="F380" s="4" t="s">
        <v>623</v>
      </c>
      <c r="G380" s="5">
        <v>3881</v>
      </c>
      <c r="H380" s="5">
        <v>3881</v>
      </c>
      <c r="I380" s="6"/>
      <c r="J380" s="6"/>
      <c r="K380" s="6"/>
      <c r="L380" s="5">
        <v>3881</v>
      </c>
      <c r="M380" t="s">
        <v>762</v>
      </c>
    </row>
    <row r="381" spans="1:13" ht="21" x14ac:dyDescent="0.35">
      <c r="A381" s="17"/>
      <c r="B381" s="4" t="s">
        <v>624</v>
      </c>
      <c r="C381" s="4" t="s">
        <v>625</v>
      </c>
      <c r="D381" s="4" t="s">
        <v>626</v>
      </c>
      <c r="E381" s="4" t="s">
        <v>627</v>
      </c>
      <c r="F381" s="4" t="s">
        <v>628</v>
      </c>
      <c r="G381" s="5">
        <v>0</v>
      </c>
      <c r="H381" s="5">
        <v>31902</v>
      </c>
      <c r="I381" s="6"/>
      <c r="J381" s="6"/>
      <c r="K381" s="6"/>
      <c r="L381" s="5">
        <v>31902</v>
      </c>
      <c r="M381" t="s">
        <v>763</v>
      </c>
    </row>
    <row r="382" spans="1:13" ht="21" x14ac:dyDescent="0.35">
      <c r="A382" s="17"/>
      <c r="B382" s="4" t="s">
        <v>624</v>
      </c>
      <c r="C382" s="4" t="s">
        <v>625</v>
      </c>
      <c r="D382" s="4" t="s">
        <v>26</v>
      </c>
      <c r="E382" s="4" t="s">
        <v>27</v>
      </c>
      <c r="F382" s="4" t="s">
        <v>629</v>
      </c>
      <c r="G382" s="5">
        <v>0</v>
      </c>
      <c r="H382" s="5">
        <v>12000</v>
      </c>
      <c r="I382" s="5">
        <v>8368.5</v>
      </c>
      <c r="J382" s="6"/>
      <c r="K382" s="6"/>
      <c r="L382" s="5">
        <v>3631.5</v>
      </c>
      <c r="M382" t="s">
        <v>763</v>
      </c>
    </row>
    <row r="383" spans="1:13" ht="21" x14ac:dyDescent="0.35">
      <c r="A383" s="17"/>
      <c r="B383" s="4" t="s">
        <v>624</v>
      </c>
      <c r="C383" s="4" t="s">
        <v>625</v>
      </c>
      <c r="D383" s="4" t="s">
        <v>51</v>
      </c>
      <c r="E383" s="4" t="s">
        <v>52</v>
      </c>
      <c r="F383" s="4" t="s">
        <v>630</v>
      </c>
      <c r="G383" s="5">
        <v>440763</v>
      </c>
      <c r="H383" s="5">
        <v>106522</v>
      </c>
      <c r="I383" s="5">
        <v>305169</v>
      </c>
      <c r="J383" s="5">
        <v>0</v>
      </c>
      <c r="K383" s="5">
        <v>-198647.15</v>
      </c>
      <c r="L383" s="5">
        <v>0.14999999999417901</v>
      </c>
      <c r="M383" t="s">
        <v>763</v>
      </c>
    </row>
    <row r="384" spans="1:13" ht="21" x14ac:dyDescent="0.35">
      <c r="A384" s="17"/>
      <c r="B384" s="4" t="s">
        <v>624</v>
      </c>
      <c r="C384" s="4" t="s">
        <v>625</v>
      </c>
      <c r="D384" s="4" t="s">
        <v>32</v>
      </c>
      <c r="E384" s="4" t="s">
        <v>33</v>
      </c>
      <c r="F384" s="4" t="s">
        <v>631</v>
      </c>
      <c r="G384" s="5">
        <v>0</v>
      </c>
      <c r="H384" s="5">
        <v>298240</v>
      </c>
      <c r="I384" s="5">
        <v>298240</v>
      </c>
      <c r="J384" s="6"/>
      <c r="K384" s="6"/>
      <c r="L384" s="5">
        <v>-5.8207660913467401E-11</v>
      </c>
      <c r="M384" t="s">
        <v>763</v>
      </c>
    </row>
    <row r="385" spans="1:13" ht="21" x14ac:dyDescent="0.35">
      <c r="A385" s="17"/>
      <c r="B385" s="4" t="s">
        <v>624</v>
      </c>
      <c r="C385" s="4" t="s">
        <v>625</v>
      </c>
      <c r="D385" s="4" t="s">
        <v>176</v>
      </c>
      <c r="E385" s="4" t="s">
        <v>177</v>
      </c>
      <c r="F385" s="4" t="s">
        <v>632</v>
      </c>
      <c r="G385" s="6"/>
      <c r="H385" s="6"/>
      <c r="I385" s="5">
        <v>-68176.3</v>
      </c>
      <c r="J385" s="6"/>
      <c r="K385" s="5">
        <v>0.04</v>
      </c>
      <c r="L385" s="5">
        <v>68176.259999999995</v>
      </c>
      <c r="M385" t="s">
        <v>763</v>
      </c>
    </row>
    <row r="386" spans="1:13" ht="21" x14ac:dyDescent="0.35">
      <c r="A386" s="17"/>
      <c r="B386" s="4" t="s">
        <v>624</v>
      </c>
      <c r="C386" s="4" t="s">
        <v>625</v>
      </c>
      <c r="D386" s="4" t="s">
        <v>176</v>
      </c>
      <c r="E386" s="4" t="s">
        <v>177</v>
      </c>
      <c r="F386" s="4" t="s">
        <v>633</v>
      </c>
      <c r="G386" s="5">
        <v>11611153</v>
      </c>
      <c r="H386" s="5">
        <v>16861586</v>
      </c>
      <c r="I386" s="5">
        <v>11217330.91</v>
      </c>
      <c r="J386" s="5">
        <v>-2232369.79</v>
      </c>
      <c r="K386" s="5">
        <v>6692606.4100000001</v>
      </c>
      <c r="L386" s="5">
        <v>1184018.47</v>
      </c>
      <c r="M386" t="s">
        <v>763</v>
      </c>
    </row>
    <row r="387" spans="1:13" ht="21" x14ac:dyDescent="0.35">
      <c r="A387" s="17"/>
      <c r="B387" s="4" t="s">
        <v>624</v>
      </c>
      <c r="C387" s="4" t="s">
        <v>625</v>
      </c>
      <c r="D387" s="4" t="s">
        <v>134</v>
      </c>
      <c r="E387" s="4" t="s">
        <v>135</v>
      </c>
      <c r="F387" s="4" t="s">
        <v>634</v>
      </c>
      <c r="G387" s="6"/>
      <c r="H387" s="6"/>
      <c r="I387" s="6"/>
      <c r="J387" s="5">
        <v>-25469.33</v>
      </c>
      <c r="K387" s="6"/>
      <c r="L387" s="5">
        <v>25469.33</v>
      </c>
      <c r="M387" t="s">
        <v>763</v>
      </c>
    </row>
    <row r="388" spans="1:13" ht="21" x14ac:dyDescent="0.35">
      <c r="A388" s="17"/>
      <c r="B388" s="4" t="s">
        <v>624</v>
      </c>
      <c r="C388" s="4" t="s">
        <v>625</v>
      </c>
      <c r="D388" s="4" t="s">
        <v>134</v>
      </c>
      <c r="E388" s="4" t="s">
        <v>135</v>
      </c>
      <c r="F388" s="4" t="s">
        <v>635</v>
      </c>
      <c r="G388" s="5">
        <v>2823455</v>
      </c>
      <c r="H388" s="5">
        <v>3522533</v>
      </c>
      <c r="I388" s="5">
        <v>3189753.88</v>
      </c>
      <c r="J388" s="5">
        <v>-342273.93</v>
      </c>
      <c r="K388" s="5">
        <v>673841.79</v>
      </c>
      <c r="L388" s="5">
        <v>1211.26000000001</v>
      </c>
      <c r="M388" t="s">
        <v>763</v>
      </c>
    </row>
    <row r="389" spans="1:13" ht="21" x14ac:dyDescent="0.35">
      <c r="A389" s="17"/>
      <c r="B389" s="4" t="s">
        <v>624</v>
      </c>
      <c r="C389" s="4" t="s">
        <v>625</v>
      </c>
      <c r="D389" s="4" t="s">
        <v>218</v>
      </c>
      <c r="E389" s="4" t="s">
        <v>219</v>
      </c>
      <c r="F389" s="4" t="s">
        <v>636</v>
      </c>
      <c r="G389" s="5">
        <v>0</v>
      </c>
      <c r="H389" s="5">
        <v>6000</v>
      </c>
      <c r="I389" s="5">
        <v>1220</v>
      </c>
      <c r="J389" s="6"/>
      <c r="K389" s="6"/>
      <c r="L389" s="5">
        <v>4780</v>
      </c>
      <c r="M389" t="s">
        <v>763</v>
      </c>
    </row>
    <row r="390" spans="1:13" ht="21" x14ac:dyDescent="0.35">
      <c r="A390" s="17"/>
      <c r="B390" s="4" t="s">
        <v>637</v>
      </c>
      <c r="C390" s="4" t="s">
        <v>638</v>
      </c>
      <c r="D390" s="4" t="s">
        <v>104</v>
      </c>
      <c r="E390" s="4" t="s">
        <v>105</v>
      </c>
      <c r="F390" s="4" t="s">
        <v>639</v>
      </c>
      <c r="G390" s="5">
        <v>551000</v>
      </c>
      <c r="H390" s="5">
        <v>871940</v>
      </c>
      <c r="I390" s="5">
        <v>1102000</v>
      </c>
      <c r="J390" s="5">
        <v>-551000</v>
      </c>
      <c r="K390" s="5">
        <v>320932.8</v>
      </c>
      <c r="L390" s="5">
        <v>7.2000000000116398</v>
      </c>
      <c r="M390" t="s">
        <v>763</v>
      </c>
    </row>
    <row r="391" spans="1:13" ht="21" x14ac:dyDescent="0.35">
      <c r="A391" s="17"/>
      <c r="B391" s="4" t="s">
        <v>637</v>
      </c>
      <c r="C391" s="4" t="s">
        <v>638</v>
      </c>
      <c r="D391" s="4" t="s">
        <v>51</v>
      </c>
      <c r="E391" s="4" t="s">
        <v>52</v>
      </c>
      <c r="F391" s="4" t="s">
        <v>640</v>
      </c>
      <c r="G391" s="5">
        <v>1654849</v>
      </c>
      <c r="H391" s="5">
        <v>2240909</v>
      </c>
      <c r="I391" s="5">
        <v>1165334.3</v>
      </c>
      <c r="J391" s="5">
        <v>223316.45</v>
      </c>
      <c r="K391" s="5">
        <v>609699.64</v>
      </c>
      <c r="L391" s="5">
        <v>242558.61</v>
      </c>
      <c r="M391" t="s">
        <v>763</v>
      </c>
    </row>
    <row r="392" spans="1:13" ht="21" x14ac:dyDescent="0.35">
      <c r="A392" s="17"/>
      <c r="B392" s="4" t="s">
        <v>637</v>
      </c>
      <c r="C392" s="4" t="s">
        <v>638</v>
      </c>
      <c r="D392" s="4" t="s">
        <v>32</v>
      </c>
      <c r="E392" s="4" t="s">
        <v>33</v>
      </c>
      <c r="F392" s="4" t="s">
        <v>641</v>
      </c>
      <c r="G392" s="5">
        <v>42585</v>
      </c>
      <c r="H392" s="5">
        <v>42585</v>
      </c>
      <c r="I392" s="6"/>
      <c r="J392" s="6"/>
      <c r="K392" s="6"/>
      <c r="L392" s="5">
        <v>42585</v>
      </c>
      <c r="M392" t="s">
        <v>763</v>
      </c>
    </row>
    <row r="393" spans="1:13" ht="42" x14ac:dyDescent="0.35">
      <c r="A393" s="17"/>
      <c r="B393" s="4" t="s">
        <v>642</v>
      </c>
      <c r="C393" s="4" t="s">
        <v>643</v>
      </c>
      <c r="D393" s="4" t="s">
        <v>26</v>
      </c>
      <c r="E393" s="4" t="s">
        <v>27</v>
      </c>
      <c r="F393" s="4" t="s">
        <v>644</v>
      </c>
      <c r="G393" s="5">
        <v>2400</v>
      </c>
      <c r="H393" s="5">
        <v>30000</v>
      </c>
      <c r="I393" s="5">
        <v>525</v>
      </c>
      <c r="J393" s="6"/>
      <c r="K393" s="6"/>
      <c r="L393" s="5">
        <v>29475</v>
      </c>
      <c r="M393" t="s">
        <v>764</v>
      </c>
    </row>
    <row r="394" spans="1:13" ht="42" x14ac:dyDescent="0.35">
      <c r="A394" s="17"/>
      <c r="B394" s="4" t="s">
        <v>642</v>
      </c>
      <c r="C394" s="4" t="s">
        <v>643</v>
      </c>
      <c r="D394" s="4" t="s">
        <v>32</v>
      </c>
      <c r="E394" s="4" t="s">
        <v>33</v>
      </c>
      <c r="F394" s="4" t="s">
        <v>645</v>
      </c>
      <c r="G394" s="5">
        <v>60000</v>
      </c>
      <c r="H394" s="5">
        <v>200000</v>
      </c>
      <c r="I394" s="5">
        <v>54155</v>
      </c>
      <c r="J394" s="6"/>
      <c r="K394" s="6"/>
      <c r="L394" s="5">
        <v>145845</v>
      </c>
      <c r="M394" t="s">
        <v>764</v>
      </c>
    </row>
    <row r="395" spans="1:13" ht="31.5" x14ac:dyDescent="0.35">
      <c r="A395" s="17"/>
      <c r="B395" s="4" t="s">
        <v>646</v>
      </c>
      <c r="C395" s="4" t="s">
        <v>647</v>
      </c>
      <c r="D395" s="4" t="s">
        <v>20</v>
      </c>
      <c r="E395" s="4" t="s">
        <v>21</v>
      </c>
      <c r="F395" s="4" t="s">
        <v>648</v>
      </c>
      <c r="G395" s="5">
        <v>1820</v>
      </c>
      <c r="H395" s="5">
        <v>1820</v>
      </c>
      <c r="I395" s="6"/>
      <c r="J395" s="6"/>
      <c r="K395" s="6"/>
      <c r="L395" s="5">
        <v>1820</v>
      </c>
      <c r="M395" t="s">
        <v>762</v>
      </c>
    </row>
    <row r="396" spans="1:13" x14ac:dyDescent="0.35">
      <c r="A396" s="17"/>
      <c r="B396" s="4" t="s">
        <v>646</v>
      </c>
      <c r="C396" s="4" t="s">
        <v>647</v>
      </c>
      <c r="D396" s="4" t="s">
        <v>649</v>
      </c>
      <c r="E396" s="4" t="s">
        <v>650</v>
      </c>
      <c r="F396" s="4" t="s">
        <v>651</v>
      </c>
      <c r="G396" s="5">
        <v>89952604</v>
      </c>
      <c r="H396" s="5">
        <v>89952604</v>
      </c>
      <c r="I396" s="5">
        <v>53088619</v>
      </c>
      <c r="J396" s="6"/>
      <c r="K396" s="6"/>
      <c r="L396" s="5">
        <v>36863985</v>
      </c>
      <c r="M396" t="s">
        <v>762</v>
      </c>
    </row>
    <row r="397" spans="1:13" x14ac:dyDescent="0.35">
      <c r="A397" s="17"/>
      <c r="B397" s="4" t="s">
        <v>646</v>
      </c>
      <c r="C397" s="4" t="s">
        <v>647</v>
      </c>
      <c r="D397" s="4" t="s">
        <v>156</v>
      </c>
      <c r="E397" s="4" t="s">
        <v>157</v>
      </c>
      <c r="F397" s="4" t="s">
        <v>652</v>
      </c>
      <c r="G397" s="6"/>
      <c r="H397" s="6"/>
      <c r="I397" s="5">
        <v>-46367.96</v>
      </c>
      <c r="J397" s="6"/>
      <c r="K397" s="6"/>
      <c r="L397" s="5">
        <v>46367.96</v>
      </c>
      <c r="M397" t="s">
        <v>762</v>
      </c>
    </row>
    <row r="398" spans="1:13" x14ac:dyDescent="0.35">
      <c r="A398" s="17"/>
      <c r="B398" s="4" t="s">
        <v>646</v>
      </c>
      <c r="C398" s="4" t="s">
        <v>647</v>
      </c>
      <c r="D398" s="4" t="s">
        <v>160</v>
      </c>
      <c r="E398" s="4" t="s">
        <v>161</v>
      </c>
      <c r="F398" s="4" t="s">
        <v>653</v>
      </c>
      <c r="G398" s="6"/>
      <c r="H398" s="6"/>
      <c r="I398" s="5">
        <v>0</v>
      </c>
      <c r="J398" s="6"/>
      <c r="K398" s="6"/>
      <c r="L398" s="5">
        <v>0</v>
      </c>
      <c r="M398" t="s">
        <v>762</v>
      </c>
    </row>
    <row r="399" spans="1:13" x14ac:dyDescent="0.35">
      <c r="A399" s="17"/>
      <c r="B399" s="4" t="s">
        <v>646</v>
      </c>
      <c r="C399" s="4" t="s">
        <v>647</v>
      </c>
      <c r="D399" s="4" t="s">
        <v>654</v>
      </c>
      <c r="E399" s="4" t="s">
        <v>655</v>
      </c>
      <c r="F399" s="4" t="s">
        <v>656</v>
      </c>
      <c r="G399" s="5">
        <v>11232706</v>
      </c>
      <c r="H399" s="5">
        <v>5442873</v>
      </c>
      <c r="I399" s="5">
        <v>5370294.9000000004</v>
      </c>
      <c r="J399" s="5">
        <v>0</v>
      </c>
      <c r="K399" s="5">
        <v>70332.910000000105</v>
      </c>
      <c r="L399" s="5">
        <v>2245.1899999994798</v>
      </c>
      <c r="M399" t="s">
        <v>762</v>
      </c>
    </row>
    <row r="400" spans="1:13" x14ac:dyDescent="0.35">
      <c r="A400" s="17"/>
      <c r="B400" s="4" t="s">
        <v>646</v>
      </c>
      <c r="C400" s="4" t="s">
        <v>647</v>
      </c>
      <c r="D400" s="4" t="s">
        <v>215</v>
      </c>
      <c r="E400" s="4" t="s">
        <v>216</v>
      </c>
      <c r="F400" s="4" t="s">
        <v>657</v>
      </c>
      <c r="G400" s="5">
        <v>131300</v>
      </c>
      <c r="H400" s="5">
        <v>131300</v>
      </c>
      <c r="I400" s="6"/>
      <c r="J400" s="5">
        <v>108960</v>
      </c>
      <c r="K400" s="6"/>
      <c r="L400" s="5">
        <v>22340</v>
      </c>
      <c r="M400" t="s">
        <v>762</v>
      </c>
    </row>
    <row r="401" spans="1:13" ht="21" x14ac:dyDescent="0.35">
      <c r="A401" s="17"/>
      <c r="B401" s="4" t="s">
        <v>658</v>
      </c>
      <c r="C401" s="4" t="s">
        <v>659</v>
      </c>
      <c r="D401" s="4" t="s">
        <v>660</v>
      </c>
      <c r="E401" s="4" t="s">
        <v>661</v>
      </c>
      <c r="F401" s="4" t="s">
        <v>662</v>
      </c>
      <c r="G401" s="5">
        <v>1286117</v>
      </c>
      <c r="H401" s="5">
        <v>1286117</v>
      </c>
      <c r="I401" s="5">
        <v>766330.38</v>
      </c>
      <c r="J401" s="5">
        <v>237108.67</v>
      </c>
      <c r="K401" s="5">
        <v>0</v>
      </c>
      <c r="L401" s="5">
        <v>282677.95</v>
      </c>
      <c r="M401" t="s">
        <v>764</v>
      </c>
    </row>
    <row r="402" spans="1:13" ht="21" x14ac:dyDescent="0.35">
      <c r="A402" s="17"/>
      <c r="B402" s="4" t="s">
        <v>658</v>
      </c>
      <c r="C402" s="4" t="s">
        <v>659</v>
      </c>
      <c r="D402" s="4" t="s">
        <v>51</v>
      </c>
      <c r="E402" s="4" t="s">
        <v>52</v>
      </c>
      <c r="F402" s="4" t="s">
        <v>663</v>
      </c>
      <c r="G402" s="5">
        <v>14480</v>
      </c>
      <c r="H402" s="5">
        <v>14480</v>
      </c>
      <c r="I402" s="6"/>
      <c r="J402" s="6"/>
      <c r="K402" s="6"/>
      <c r="L402" s="5">
        <v>14480</v>
      </c>
      <c r="M402" t="s">
        <v>764</v>
      </c>
    </row>
    <row r="403" spans="1:13" ht="31.5" x14ac:dyDescent="0.35">
      <c r="A403" s="17"/>
      <c r="B403" s="4" t="s">
        <v>664</v>
      </c>
      <c r="C403" s="4" t="s">
        <v>665</v>
      </c>
      <c r="D403" s="4" t="s">
        <v>20</v>
      </c>
      <c r="E403" s="4" t="s">
        <v>21</v>
      </c>
      <c r="F403" s="4" t="s">
        <v>666</v>
      </c>
      <c r="G403" s="5">
        <v>72587</v>
      </c>
      <c r="H403" s="5">
        <v>72587</v>
      </c>
      <c r="I403" s="5">
        <v>72508.75</v>
      </c>
      <c r="J403" s="5">
        <v>0</v>
      </c>
      <c r="K403" s="5">
        <v>0</v>
      </c>
      <c r="L403" s="5">
        <v>78.25</v>
      </c>
      <c r="M403" t="s">
        <v>764</v>
      </c>
    </row>
    <row r="404" spans="1:13" ht="21" x14ac:dyDescent="0.35">
      <c r="A404" s="17"/>
      <c r="B404" s="4" t="s">
        <v>664</v>
      </c>
      <c r="C404" s="4" t="s">
        <v>665</v>
      </c>
      <c r="D404" s="4" t="s">
        <v>259</v>
      </c>
      <c r="E404" s="4" t="s">
        <v>260</v>
      </c>
      <c r="F404" s="4" t="s">
        <v>667</v>
      </c>
      <c r="G404" s="5">
        <v>59520</v>
      </c>
      <c r="H404" s="5">
        <v>13091</v>
      </c>
      <c r="I404" s="5">
        <v>13780.58</v>
      </c>
      <c r="J404" s="5">
        <v>0</v>
      </c>
      <c r="K404" s="5">
        <v>0</v>
      </c>
      <c r="L404" s="5">
        <v>12776.67</v>
      </c>
      <c r="M404" t="s">
        <v>764</v>
      </c>
    </row>
    <row r="405" spans="1:13" ht="21" x14ac:dyDescent="0.35">
      <c r="A405" s="17"/>
      <c r="B405" s="4" t="s">
        <v>664</v>
      </c>
      <c r="C405" s="4" t="s">
        <v>665</v>
      </c>
      <c r="D405" s="4" t="s">
        <v>288</v>
      </c>
      <c r="E405" s="4" t="s">
        <v>289</v>
      </c>
      <c r="F405" s="4" t="s">
        <v>668</v>
      </c>
      <c r="G405" s="5">
        <v>700000</v>
      </c>
      <c r="H405" s="5">
        <v>0</v>
      </c>
      <c r="I405" s="6"/>
      <c r="J405" s="6"/>
      <c r="K405" s="6"/>
      <c r="L405" s="5">
        <v>0</v>
      </c>
      <c r="M405" t="s">
        <v>764</v>
      </c>
    </row>
    <row r="406" spans="1:13" ht="21" x14ac:dyDescent="0.35">
      <c r="A406" s="17"/>
      <c r="B406" s="4" t="s">
        <v>664</v>
      </c>
      <c r="C406" s="4" t="s">
        <v>665</v>
      </c>
      <c r="D406" s="4" t="s">
        <v>288</v>
      </c>
      <c r="E406" s="4" t="s">
        <v>289</v>
      </c>
      <c r="F406" s="4" t="s">
        <v>669</v>
      </c>
      <c r="G406" s="5">
        <v>1177351</v>
      </c>
      <c r="H406" s="5">
        <v>343722</v>
      </c>
      <c r="I406" s="5">
        <v>43722</v>
      </c>
      <c r="J406" s="6"/>
      <c r="K406" s="6"/>
      <c r="L406" s="5">
        <v>300000</v>
      </c>
      <c r="M406" t="s">
        <v>764</v>
      </c>
    </row>
    <row r="407" spans="1:13" ht="21" x14ac:dyDescent="0.35">
      <c r="A407" s="17"/>
      <c r="B407" s="4" t="s">
        <v>664</v>
      </c>
      <c r="C407" s="4" t="s">
        <v>665</v>
      </c>
      <c r="D407" s="4" t="s">
        <v>160</v>
      </c>
      <c r="E407" s="4" t="s">
        <v>161</v>
      </c>
      <c r="F407" s="4" t="s">
        <v>670</v>
      </c>
      <c r="G407" s="5">
        <v>0</v>
      </c>
      <c r="H407" s="5">
        <v>700000</v>
      </c>
      <c r="I407" s="6"/>
      <c r="J407" s="6"/>
      <c r="K407" s="6"/>
      <c r="L407" s="5">
        <v>700000</v>
      </c>
      <c r="M407" t="s">
        <v>764</v>
      </c>
    </row>
    <row r="408" spans="1:13" ht="21" x14ac:dyDescent="0.35">
      <c r="A408" s="17"/>
      <c r="B408" s="4" t="s">
        <v>664</v>
      </c>
      <c r="C408" s="4" t="s">
        <v>665</v>
      </c>
      <c r="D408" s="4" t="s">
        <v>160</v>
      </c>
      <c r="E408" s="4" t="s">
        <v>161</v>
      </c>
      <c r="F408" s="4" t="s">
        <v>671</v>
      </c>
      <c r="G408" s="5">
        <v>0</v>
      </c>
      <c r="H408" s="5">
        <v>557351</v>
      </c>
      <c r="I408" s="5">
        <v>485435.76</v>
      </c>
      <c r="J408" s="6"/>
      <c r="K408" s="6"/>
      <c r="L408" s="5">
        <v>71915.240000000005</v>
      </c>
      <c r="M408" t="s">
        <v>764</v>
      </c>
    </row>
    <row r="409" spans="1:13" ht="21" x14ac:dyDescent="0.35">
      <c r="A409" s="17"/>
      <c r="B409" s="4" t="s">
        <v>664</v>
      </c>
      <c r="C409" s="4" t="s">
        <v>665</v>
      </c>
      <c r="D409" s="4" t="s">
        <v>26</v>
      </c>
      <c r="E409" s="4" t="s">
        <v>27</v>
      </c>
      <c r="F409" s="4" t="s">
        <v>672</v>
      </c>
      <c r="G409" s="5">
        <v>3840</v>
      </c>
      <c r="H409" s="5">
        <v>30118</v>
      </c>
      <c r="I409" s="5">
        <v>20221.2</v>
      </c>
      <c r="J409" s="6"/>
      <c r="K409" s="6"/>
      <c r="L409" s="5">
        <v>9896.7999999999993</v>
      </c>
      <c r="M409" t="s">
        <v>764</v>
      </c>
    </row>
    <row r="410" spans="1:13" ht="21" x14ac:dyDescent="0.35">
      <c r="A410" s="17"/>
      <c r="B410" s="4" t="s">
        <v>664</v>
      </c>
      <c r="C410" s="4" t="s">
        <v>665</v>
      </c>
      <c r="D410" s="4" t="s">
        <v>51</v>
      </c>
      <c r="E410" s="4" t="s">
        <v>52</v>
      </c>
      <c r="F410" s="4" t="s">
        <v>673</v>
      </c>
      <c r="G410" s="5">
        <v>362782</v>
      </c>
      <c r="H410" s="5">
        <v>649211</v>
      </c>
      <c r="I410" s="5">
        <v>639899.77</v>
      </c>
      <c r="J410" s="5">
        <v>-217669.33</v>
      </c>
      <c r="K410" s="5">
        <v>224199.2</v>
      </c>
      <c r="L410" s="5">
        <v>2781.3599999999801</v>
      </c>
      <c r="M410" t="s">
        <v>764</v>
      </c>
    </row>
    <row r="411" spans="1:13" ht="21" x14ac:dyDescent="0.35">
      <c r="A411" s="17"/>
      <c r="B411" s="4" t="s">
        <v>664</v>
      </c>
      <c r="C411" s="4" t="s">
        <v>665</v>
      </c>
      <c r="D411" s="4" t="s">
        <v>59</v>
      </c>
      <c r="E411" s="4" t="s">
        <v>60</v>
      </c>
      <c r="F411" s="4" t="s">
        <v>674</v>
      </c>
      <c r="G411" s="5">
        <v>11019</v>
      </c>
      <c r="H411" s="5">
        <v>11019</v>
      </c>
      <c r="I411" s="6"/>
      <c r="J411" s="6"/>
      <c r="K411" s="6"/>
      <c r="L411" s="5">
        <v>11019</v>
      </c>
      <c r="M411" t="s">
        <v>764</v>
      </c>
    </row>
    <row r="412" spans="1:13" ht="21" x14ac:dyDescent="0.35">
      <c r="A412" s="17"/>
      <c r="B412" s="4" t="s">
        <v>664</v>
      </c>
      <c r="C412" s="4" t="s">
        <v>665</v>
      </c>
      <c r="D412" s="4" t="s">
        <v>32</v>
      </c>
      <c r="E412" s="4" t="s">
        <v>33</v>
      </c>
      <c r="F412" s="4" t="s">
        <v>675</v>
      </c>
      <c r="G412" s="5">
        <v>20092</v>
      </c>
      <c r="H412" s="5">
        <v>30092</v>
      </c>
      <c r="I412" s="5">
        <v>23224.2</v>
      </c>
      <c r="J412" s="6"/>
      <c r="K412" s="6"/>
      <c r="L412" s="5">
        <v>6867.8</v>
      </c>
      <c r="M412" t="s">
        <v>764</v>
      </c>
    </row>
    <row r="413" spans="1:13" ht="31.5" x14ac:dyDescent="0.35">
      <c r="A413" s="17"/>
      <c r="B413" s="4" t="s">
        <v>676</v>
      </c>
      <c r="C413" s="4" t="s">
        <v>677</v>
      </c>
      <c r="D413" s="4" t="s">
        <v>20</v>
      </c>
      <c r="E413" s="4" t="s">
        <v>21</v>
      </c>
      <c r="F413" s="4" t="s">
        <v>678</v>
      </c>
      <c r="G413" s="5">
        <v>300000</v>
      </c>
      <c r="H413" s="5">
        <v>300000</v>
      </c>
      <c r="I413" s="6"/>
      <c r="J413" s="5">
        <v>0</v>
      </c>
      <c r="K413" s="5">
        <v>202500</v>
      </c>
      <c r="L413" s="5">
        <v>97500</v>
      </c>
      <c r="M413" t="s">
        <v>764</v>
      </c>
    </row>
    <row r="414" spans="1:13" ht="31.5" x14ac:dyDescent="0.35">
      <c r="A414" s="17"/>
      <c r="B414" s="4" t="s">
        <v>676</v>
      </c>
      <c r="C414" s="4" t="s">
        <v>677</v>
      </c>
      <c r="D414" s="4" t="s">
        <v>20</v>
      </c>
      <c r="E414" s="4" t="s">
        <v>21</v>
      </c>
      <c r="F414" s="4" t="s">
        <v>679</v>
      </c>
      <c r="G414" s="5">
        <v>350000</v>
      </c>
      <c r="H414" s="5">
        <v>350000</v>
      </c>
      <c r="I414" s="5">
        <v>75400</v>
      </c>
      <c r="J414" s="5">
        <v>0</v>
      </c>
      <c r="K414" s="5">
        <v>188000</v>
      </c>
      <c r="L414" s="5">
        <v>86600</v>
      </c>
      <c r="M414" t="s">
        <v>764</v>
      </c>
    </row>
    <row r="415" spans="1:13" ht="31.5" x14ac:dyDescent="0.35">
      <c r="A415" s="17"/>
      <c r="B415" s="4" t="s">
        <v>676</v>
      </c>
      <c r="C415" s="4" t="s">
        <v>677</v>
      </c>
      <c r="D415" s="4" t="s">
        <v>20</v>
      </c>
      <c r="E415" s="4" t="s">
        <v>21</v>
      </c>
      <c r="F415" s="4" t="s">
        <v>680</v>
      </c>
      <c r="G415" s="5">
        <v>1277041</v>
      </c>
      <c r="H415" s="5">
        <v>1239541</v>
      </c>
      <c r="I415" s="5">
        <v>125598</v>
      </c>
      <c r="J415" s="5">
        <v>663275</v>
      </c>
      <c r="K415" s="5">
        <v>200000</v>
      </c>
      <c r="L415" s="5">
        <v>250668</v>
      </c>
      <c r="M415" t="s">
        <v>764</v>
      </c>
    </row>
    <row r="416" spans="1:13" ht="21" x14ac:dyDescent="0.35">
      <c r="A416" s="17"/>
      <c r="B416" s="4" t="s">
        <v>676</v>
      </c>
      <c r="C416" s="4" t="s">
        <v>677</v>
      </c>
      <c r="D416" s="4" t="s">
        <v>288</v>
      </c>
      <c r="E416" s="4" t="s">
        <v>289</v>
      </c>
      <c r="F416" s="4" t="s">
        <v>681</v>
      </c>
      <c r="G416" s="5">
        <v>0</v>
      </c>
      <c r="H416" s="5">
        <v>4335</v>
      </c>
      <c r="I416" s="5">
        <v>4335</v>
      </c>
      <c r="J416" s="6"/>
      <c r="K416" s="6"/>
      <c r="L416" s="5">
        <v>0</v>
      </c>
      <c r="M416" t="s">
        <v>764</v>
      </c>
    </row>
    <row r="417" spans="1:13" ht="21" x14ac:dyDescent="0.35">
      <c r="A417" s="17"/>
      <c r="B417" s="4" t="s">
        <v>676</v>
      </c>
      <c r="C417" s="4" t="s">
        <v>677</v>
      </c>
      <c r="D417" s="4" t="s">
        <v>160</v>
      </c>
      <c r="E417" s="4" t="s">
        <v>161</v>
      </c>
      <c r="F417" s="4" t="s">
        <v>682</v>
      </c>
      <c r="G417" s="5">
        <v>750000</v>
      </c>
      <c r="H417" s="5">
        <v>750000</v>
      </c>
      <c r="I417" s="5">
        <v>747917.75</v>
      </c>
      <c r="J417" s="6"/>
      <c r="K417" s="6"/>
      <c r="L417" s="5">
        <v>2082.25</v>
      </c>
      <c r="M417" t="s">
        <v>764</v>
      </c>
    </row>
    <row r="418" spans="1:13" ht="21" x14ac:dyDescent="0.35">
      <c r="A418" s="17"/>
      <c r="B418" s="4" t="s">
        <v>676</v>
      </c>
      <c r="C418" s="4" t="s">
        <v>677</v>
      </c>
      <c r="D418" s="4" t="s">
        <v>160</v>
      </c>
      <c r="E418" s="4" t="s">
        <v>161</v>
      </c>
      <c r="F418" s="4" t="s">
        <v>683</v>
      </c>
      <c r="G418" s="5">
        <v>1233338</v>
      </c>
      <c r="H418" s="5">
        <v>891853</v>
      </c>
      <c r="I418" s="5">
        <v>3572.25</v>
      </c>
      <c r="J418" s="5">
        <v>0</v>
      </c>
      <c r="K418" s="6"/>
      <c r="L418" s="5">
        <v>888280.75</v>
      </c>
      <c r="M418" t="s">
        <v>764</v>
      </c>
    </row>
    <row r="419" spans="1:13" ht="21" x14ac:dyDescent="0.35">
      <c r="A419" s="17"/>
      <c r="B419" s="4" t="s">
        <v>676</v>
      </c>
      <c r="C419" s="4" t="s">
        <v>677</v>
      </c>
      <c r="D419" s="4" t="s">
        <v>26</v>
      </c>
      <c r="E419" s="4" t="s">
        <v>27</v>
      </c>
      <c r="F419" s="4" t="s">
        <v>684</v>
      </c>
      <c r="G419" s="5">
        <v>12375</v>
      </c>
      <c r="H419" s="5">
        <v>1050</v>
      </c>
      <c r="I419" s="5">
        <v>1050</v>
      </c>
      <c r="J419" s="6"/>
      <c r="K419" s="6"/>
      <c r="L419" s="5">
        <v>0</v>
      </c>
      <c r="M419" t="s">
        <v>764</v>
      </c>
    </row>
    <row r="420" spans="1:13" ht="21" x14ac:dyDescent="0.35">
      <c r="A420" s="17"/>
      <c r="B420" s="4" t="s">
        <v>676</v>
      </c>
      <c r="C420" s="4" t="s">
        <v>677</v>
      </c>
      <c r="D420" s="4" t="s">
        <v>51</v>
      </c>
      <c r="E420" s="4" t="s">
        <v>52</v>
      </c>
      <c r="F420" s="4" t="s">
        <v>685</v>
      </c>
      <c r="G420" s="5">
        <v>300000</v>
      </c>
      <c r="H420" s="5">
        <v>300000</v>
      </c>
      <c r="I420" s="6"/>
      <c r="J420" s="5">
        <v>300000</v>
      </c>
      <c r="K420" s="6"/>
      <c r="L420" s="5">
        <v>0</v>
      </c>
      <c r="M420" t="s">
        <v>764</v>
      </c>
    </row>
    <row r="421" spans="1:13" ht="21" x14ac:dyDescent="0.35">
      <c r="A421" s="17"/>
      <c r="B421" s="4" t="s">
        <v>676</v>
      </c>
      <c r="C421" s="4" t="s">
        <v>677</v>
      </c>
      <c r="D421" s="4" t="s">
        <v>51</v>
      </c>
      <c r="E421" s="4" t="s">
        <v>52</v>
      </c>
      <c r="F421" s="4" t="s">
        <v>686</v>
      </c>
      <c r="G421" s="5">
        <v>360605</v>
      </c>
      <c r="H421" s="5">
        <v>340605</v>
      </c>
      <c r="I421" s="6"/>
      <c r="J421" s="5">
        <v>72961.33</v>
      </c>
      <c r="K421" s="5">
        <v>43892.35</v>
      </c>
      <c r="L421" s="5">
        <v>223751.32</v>
      </c>
      <c r="M421" t="s">
        <v>764</v>
      </c>
    </row>
    <row r="422" spans="1:13" ht="21" x14ac:dyDescent="0.35">
      <c r="A422" s="17"/>
      <c r="B422" s="4" t="s">
        <v>676</v>
      </c>
      <c r="C422" s="4" t="s">
        <v>677</v>
      </c>
      <c r="D422" s="4" t="s">
        <v>32</v>
      </c>
      <c r="E422" s="4" t="s">
        <v>33</v>
      </c>
      <c r="F422" s="4" t="s">
        <v>687</v>
      </c>
      <c r="G422" s="5">
        <v>0</v>
      </c>
      <c r="H422" s="5">
        <v>88000</v>
      </c>
      <c r="I422" s="5">
        <v>62581.85</v>
      </c>
      <c r="J422" s="6"/>
      <c r="K422" s="6"/>
      <c r="L422" s="5">
        <v>25418.15</v>
      </c>
      <c r="M422" t="s">
        <v>764</v>
      </c>
    </row>
    <row r="423" spans="1:13" ht="21" x14ac:dyDescent="0.35">
      <c r="A423" s="17"/>
      <c r="B423" s="4" t="s">
        <v>676</v>
      </c>
      <c r="C423" s="4" t="s">
        <v>677</v>
      </c>
      <c r="D423" s="4" t="s">
        <v>215</v>
      </c>
      <c r="E423" s="4" t="s">
        <v>216</v>
      </c>
      <c r="F423" s="4" t="s">
        <v>688</v>
      </c>
      <c r="G423" s="5">
        <v>0</v>
      </c>
      <c r="H423" s="5">
        <v>11890</v>
      </c>
      <c r="I423" s="5">
        <v>11775</v>
      </c>
      <c r="J423" s="5">
        <v>0</v>
      </c>
      <c r="K423" s="5">
        <v>0</v>
      </c>
      <c r="L423" s="5">
        <v>115</v>
      </c>
      <c r="M423" t="s">
        <v>764</v>
      </c>
    </row>
    <row r="424" spans="1:13" ht="21" x14ac:dyDescent="0.35">
      <c r="A424" s="17"/>
      <c r="B424" s="4" t="s">
        <v>689</v>
      </c>
      <c r="C424" s="4" t="s">
        <v>690</v>
      </c>
      <c r="D424" s="4" t="s">
        <v>478</v>
      </c>
      <c r="E424" s="4" t="s">
        <v>479</v>
      </c>
      <c r="F424" s="4" t="s">
        <v>691</v>
      </c>
      <c r="G424" s="6"/>
      <c r="H424" s="6"/>
      <c r="I424" s="5">
        <v>0</v>
      </c>
      <c r="J424" s="6"/>
      <c r="K424" s="6"/>
      <c r="L424" s="5">
        <v>0</v>
      </c>
      <c r="M424" t="s">
        <v>764</v>
      </c>
    </row>
    <row r="425" spans="1:13" ht="31.5" x14ac:dyDescent="0.35">
      <c r="A425" s="17"/>
      <c r="B425" s="4" t="s">
        <v>689</v>
      </c>
      <c r="C425" s="4" t="s">
        <v>690</v>
      </c>
      <c r="D425" s="4" t="s">
        <v>20</v>
      </c>
      <c r="E425" s="4" t="s">
        <v>21</v>
      </c>
      <c r="F425" s="4" t="s">
        <v>692</v>
      </c>
      <c r="G425" s="5">
        <v>83642</v>
      </c>
      <c r="H425" s="5">
        <v>83642</v>
      </c>
      <c r="I425" s="5">
        <v>7084.79</v>
      </c>
      <c r="J425" s="5">
        <v>0</v>
      </c>
      <c r="K425" s="5">
        <v>24500</v>
      </c>
      <c r="L425" s="5">
        <v>52057.21</v>
      </c>
      <c r="M425" t="s">
        <v>764</v>
      </c>
    </row>
    <row r="426" spans="1:13" x14ac:dyDescent="0.35">
      <c r="A426" s="17"/>
      <c r="B426" s="4" t="s">
        <v>689</v>
      </c>
      <c r="C426" s="4" t="s">
        <v>690</v>
      </c>
      <c r="D426" s="4" t="s">
        <v>693</v>
      </c>
      <c r="E426" s="4" t="s">
        <v>694</v>
      </c>
      <c r="F426" s="4" t="s">
        <v>695</v>
      </c>
      <c r="G426" s="5">
        <v>13916828</v>
      </c>
      <c r="H426" s="5">
        <v>15416828</v>
      </c>
      <c r="I426" s="5">
        <v>6528403.9800000004</v>
      </c>
      <c r="J426" s="5">
        <v>0</v>
      </c>
      <c r="K426" s="5">
        <v>7983140.1799999997</v>
      </c>
      <c r="L426" s="5">
        <v>905283.83999999799</v>
      </c>
      <c r="M426" t="s">
        <v>764</v>
      </c>
    </row>
    <row r="427" spans="1:13" x14ac:dyDescent="0.35">
      <c r="A427" s="17"/>
      <c r="B427" s="4" t="s">
        <v>689</v>
      </c>
      <c r="C427" s="4" t="s">
        <v>690</v>
      </c>
      <c r="D427" s="4" t="s">
        <v>108</v>
      </c>
      <c r="E427" s="4" t="s">
        <v>109</v>
      </c>
      <c r="F427" s="4" t="s">
        <v>696</v>
      </c>
      <c r="G427" s="5">
        <v>580994</v>
      </c>
      <c r="H427" s="5">
        <v>420994</v>
      </c>
      <c r="I427" s="5">
        <v>136526.22</v>
      </c>
      <c r="J427" s="5">
        <v>0</v>
      </c>
      <c r="K427" s="5">
        <v>0</v>
      </c>
      <c r="L427" s="5">
        <v>284467.78000000003</v>
      </c>
      <c r="M427" t="s">
        <v>764</v>
      </c>
    </row>
    <row r="428" spans="1:13" ht="21" x14ac:dyDescent="0.35">
      <c r="A428" s="17"/>
      <c r="B428" s="4" t="s">
        <v>689</v>
      </c>
      <c r="C428" s="4" t="s">
        <v>690</v>
      </c>
      <c r="D428" s="4" t="s">
        <v>168</v>
      </c>
      <c r="E428" s="4" t="s">
        <v>169</v>
      </c>
      <c r="F428" s="4" t="s">
        <v>697</v>
      </c>
      <c r="G428" s="5">
        <v>508333</v>
      </c>
      <c r="H428" s="5">
        <v>674211</v>
      </c>
      <c r="I428" s="5">
        <v>361337.25</v>
      </c>
      <c r="J428" s="5">
        <v>123000</v>
      </c>
      <c r="K428" s="5">
        <v>50000</v>
      </c>
      <c r="L428" s="5">
        <v>139873.75</v>
      </c>
      <c r="M428" t="s">
        <v>764</v>
      </c>
    </row>
    <row r="429" spans="1:13" x14ac:dyDescent="0.35">
      <c r="A429" s="17"/>
      <c r="B429" s="4" t="s">
        <v>689</v>
      </c>
      <c r="C429" s="4" t="s">
        <v>690</v>
      </c>
      <c r="D429" s="4" t="s">
        <v>26</v>
      </c>
      <c r="E429" s="4" t="s">
        <v>27</v>
      </c>
      <c r="F429" s="4" t="s">
        <v>698</v>
      </c>
      <c r="G429" s="5">
        <v>27460</v>
      </c>
      <c r="H429" s="5">
        <v>135910</v>
      </c>
      <c r="I429" s="5">
        <v>79031.5</v>
      </c>
      <c r="J429" s="6"/>
      <c r="K429" s="6"/>
      <c r="L429" s="5">
        <v>56878.5</v>
      </c>
      <c r="M429" t="s">
        <v>764</v>
      </c>
    </row>
    <row r="430" spans="1:13" x14ac:dyDescent="0.35">
      <c r="A430" s="17"/>
      <c r="B430" s="4" t="s">
        <v>689</v>
      </c>
      <c r="C430" s="4" t="s">
        <v>690</v>
      </c>
      <c r="D430" s="4" t="s">
        <v>79</v>
      </c>
      <c r="E430" s="4" t="s">
        <v>80</v>
      </c>
      <c r="F430" s="4" t="s">
        <v>699</v>
      </c>
      <c r="G430" s="5">
        <v>12800</v>
      </c>
      <c r="H430" s="5">
        <v>12800</v>
      </c>
      <c r="I430" s="5">
        <v>8221.34</v>
      </c>
      <c r="J430" s="6"/>
      <c r="K430" s="6"/>
      <c r="L430" s="5">
        <v>4578.66</v>
      </c>
      <c r="M430" t="s">
        <v>764</v>
      </c>
    </row>
    <row r="431" spans="1:13" ht="21" x14ac:dyDescent="0.35">
      <c r="A431" s="17"/>
      <c r="B431" s="4" t="s">
        <v>689</v>
      </c>
      <c r="C431" s="4" t="s">
        <v>690</v>
      </c>
      <c r="D431" s="4" t="s">
        <v>144</v>
      </c>
      <c r="E431" s="4" t="s">
        <v>145</v>
      </c>
      <c r="F431" s="4" t="s">
        <v>700</v>
      </c>
      <c r="G431" s="5">
        <v>0</v>
      </c>
      <c r="H431" s="5">
        <v>324000</v>
      </c>
      <c r="I431" s="5">
        <v>160130</v>
      </c>
      <c r="J431" s="6"/>
      <c r="K431" s="6"/>
      <c r="L431" s="5">
        <v>163870</v>
      </c>
      <c r="M431" t="s">
        <v>764</v>
      </c>
    </row>
    <row r="432" spans="1:13" ht="21" x14ac:dyDescent="0.35">
      <c r="A432" s="17"/>
      <c r="B432" s="4" t="s">
        <v>689</v>
      </c>
      <c r="C432" s="4" t="s">
        <v>690</v>
      </c>
      <c r="D432" s="4" t="s">
        <v>701</v>
      </c>
      <c r="E432" s="4" t="s">
        <v>702</v>
      </c>
      <c r="F432" s="4" t="s">
        <v>703</v>
      </c>
      <c r="G432" s="5">
        <v>8518</v>
      </c>
      <c r="H432" s="5">
        <v>38518</v>
      </c>
      <c r="I432" s="5">
        <v>3149.85</v>
      </c>
      <c r="J432" s="5">
        <v>33212</v>
      </c>
      <c r="K432" s="5">
        <v>0</v>
      </c>
      <c r="L432" s="5">
        <v>2156.1499999999901</v>
      </c>
      <c r="M432" t="s">
        <v>764</v>
      </c>
    </row>
    <row r="433" spans="1:13" x14ac:dyDescent="0.35">
      <c r="A433" s="17"/>
      <c r="B433" s="4" t="s">
        <v>689</v>
      </c>
      <c r="C433" s="4" t="s">
        <v>690</v>
      </c>
      <c r="D433" s="4" t="s">
        <v>215</v>
      </c>
      <c r="E433" s="4" t="s">
        <v>216</v>
      </c>
      <c r="F433" s="4" t="s">
        <v>704</v>
      </c>
      <c r="G433" s="5">
        <v>5952</v>
      </c>
      <c r="H433" s="5">
        <v>5952</v>
      </c>
      <c r="I433" s="5">
        <v>5088.51</v>
      </c>
      <c r="J433" s="6"/>
      <c r="K433" s="6"/>
      <c r="L433" s="5">
        <v>863.49</v>
      </c>
      <c r="M433" t="s">
        <v>764</v>
      </c>
    </row>
    <row r="434" spans="1:13" x14ac:dyDescent="0.35">
      <c r="A434" s="17"/>
      <c r="B434" s="4" t="s">
        <v>705</v>
      </c>
      <c r="C434" s="4" t="s">
        <v>706</v>
      </c>
      <c r="D434" s="4" t="s">
        <v>26</v>
      </c>
      <c r="E434" s="4" t="s">
        <v>27</v>
      </c>
      <c r="F434" s="4" t="s">
        <v>707</v>
      </c>
      <c r="G434" s="5">
        <v>2961</v>
      </c>
      <c r="H434" s="5">
        <v>2961</v>
      </c>
      <c r="I434" s="5">
        <v>708.75</v>
      </c>
      <c r="J434" s="6"/>
      <c r="K434" s="6"/>
      <c r="L434" s="5">
        <v>2252.25</v>
      </c>
      <c r="M434" t="s">
        <v>764</v>
      </c>
    </row>
    <row r="435" spans="1:13" x14ac:dyDescent="0.35">
      <c r="A435" s="17"/>
      <c r="B435" s="4" t="s">
        <v>705</v>
      </c>
      <c r="C435" s="4" t="s">
        <v>706</v>
      </c>
      <c r="D435" s="4" t="s">
        <v>611</v>
      </c>
      <c r="E435" s="4" t="s">
        <v>612</v>
      </c>
      <c r="F435" s="4" t="s">
        <v>708</v>
      </c>
      <c r="G435" s="5">
        <v>0</v>
      </c>
      <c r="H435" s="5">
        <v>500000</v>
      </c>
      <c r="I435" s="5">
        <v>246832.36</v>
      </c>
      <c r="J435" s="5">
        <v>252920</v>
      </c>
      <c r="K435" s="5">
        <v>0</v>
      </c>
      <c r="L435" s="5">
        <v>247.63999999998501</v>
      </c>
      <c r="M435" t="s">
        <v>764</v>
      </c>
    </row>
    <row r="436" spans="1:13" x14ac:dyDescent="0.35">
      <c r="A436" s="17"/>
      <c r="B436" s="4" t="s">
        <v>705</v>
      </c>
      <c r="C436" s="4" t="s">
        <v>706</v>
      </c>
      <c r="D436" s="4" t="s">
        <v>611</v>
      </c>
      <c r="E436" s="4" t="s">
        <v>612</v>
      </c>
      <c r="F436" s="4" t="s">
        <v>709</v>
      </c>
      <c r="G436" s="5">
        <v>14472062</v>
      </c>
      <c r="H436" s="5">
        <v>14988862</v>
      </c>
      <c r="I436" s="5">
        <v>14280307.42</v>
      </c>
      <c r="J436" s="5">
        <v>-40.459999999962697</v>
      </c>
      <c r="K436" s="5">
        <v>638680.450000001</v>
      </c>
      <c r="L436" s="5">
        <v>69914.589999998105</v>
      </c>
      <c r="M436" t="s">
        <v>764</v>
      </c>
    </row>
    <row r="437" spans="1:13" ht="31.5" x14ac:dyDescent="0.35">
      <c r="A437" s="17"/>
      <c r="B437" s="4" t="s">
        <v>710</v>
      </c>
      <c r="C437" s="4" t="s">
        <v>711</v>
      </c>
      <c r="D437" s="4" t="s">
        <v>65</v>
      </c>
      <c r="E437" s="4" t="s">
        <v>66</v>
      </c>
      <c r="F437" s="4" t="s">
        <v>712</v>
      </c>
      <c r="G437" s="5">
        <v>0</v>
      </c>
      <c r="H437" s="5">
        <v>110000</v>
      </c>
      <c r="I437" s="6"/>
      <c r="J437" s="6"/>
      <c r="K437" s="6"/>
      <c r="L437" s="5">
        <v>110000</v>
      </c>
      <c r="M437" t="s">
        <v>764</v>
      </c>
    </row>
    <row r="438" spans="1:13" ht="31.5" x14ac:dyDescent="0.35">
      <c r="A438" s="17"/>
      <c r="B438" s="4" t="s">
        <v>710</v>
      </c>
      <c r="C438" s="4" t="s">
        <v>711</v>
      </c>
      <c r="D438" s="4" t="s">
        <v>20</v>
      </c>
      <c r="E438" s="4" t="s">
        <v>21</v>
      </c>
      <c r="F438" s="4" t="s">
        <v>713</v>
      </c>
      <c r="G438" s="5">
        <v>32760</v>
      </c>
      <c r="H438" s="5">
        <v>180637</v>
      </c>
      <c r="I438" s="5">
        <v>114565.58</v>
      </c>
      <c r="J438" s="5">
        <v>0</v>
      </c>
      <c r="K438" s="5">
        <v>0</v>
      </c>
      <c r="L438" s="5">
        <v>66071.42</v>
      </c>
      <c r="M438" t="s">
        <v>764</v>
      </c>
    </row>
    <row r="439" spans="1:13" ht="31.5" x14ac:dyDescent="0.35">
      <c r="A439" s="17"/>
      <c r="B439" s="4" t="s">
        <v>710</v>
      </c>
      <c r="C439" s="4" t="s">
        <v>711</v>
      </c>
      <c r="D439" s="4" t="s">
        <v>23</v>
      </c>
      <c r="E439" s="4" t="s">
        <v>24</v>
      </c>
      <c r="F439" s="4" t="s">
        <v>714</v>
      </c>
      <c r="G439" s="5">
        <v>28417</v>
      </c>
      <c r="H439" s="5">
        <v>128417</v>
      </c>
      <c r="I439" s="5">
        <v>23267.09</v>
      </c>
      <c r="J439" s="6"/>
      <c r="K439" s="6"/>
      <c r="L439" s="5">
        <v>105149.91</v>
      </c>
      <c r="M439" t="s">
        <v>764</v>
      </c>
    </row>
    <row r="440" spans="1:13" ht="31.5" x14ac:dyDescent="0.35">
      <c r="A440" s="17"/>
      <c r="B440" s="4" t="s">
        <v>710</v>
      </c>
      <c r="C440" s="4" t="s">
        <v>711</v>
      </c>
      <c r="D440" s="4" t="s">
        <v>715</v>
      </c>
      <c r="E440" s="4" t="s">
        <v>716</v>
      </c>
      <c r="F440" s="4" t="s">
        <v>717</v>
      </c>
      <c r="G440" s="5">
        <v>112500</v>
      </c>
      <c r="H440" s="5">
        <v>112500</v>
      </c>
      <c r="I440" s="6"/>
      <c r="J440" s="6"/>
      <c r="K440" s="6"/>
      <c r="L440" s="5">
        <v>112500</v>
      </c>
      <c r="M440" t="s">
        <v>764</v>
      </c>
    </row>
    <row r="441" spans="1:13" ht="31.5" x14ac:dyDescent="0.35">
      <c r="A441" s="17"/>
      <c r="B441" s="4" t="s">
        <v>710</v>
      </c>
      <c r="C441" s="4" t="s">
        <v>711</v>
      </c>
      <c r="D441" s="4" t="s">
        <v>259</v>
      </c>
      <c r="E441" s="4" t="s">
        <v>260</v>
      </c>
      <c r="F441" s="4" t="s">
        <v>718</v>
      </c>
      <c r="G441" s="5">
        <v>0</v>
      </c>
      <c r="H441" s="5">
        <v>664480</v>
      </c>
      <c r="I441" s="5">
        <v>337257.5</v>
      </c>
      <c r="J441" s="5">
        <v>0</v>
      </c>
      <c r="K441" s="5">
        <v>0</v>
      </c>
      <c r="L441" s="5">
        <v>327222.5</v>
      </c>
      <c r="M441" t="s">
        <v>764</v>
      </c>
    </row>
    <row r="442" spans="1:13" ht="31.5" x14ac:dyDescent="0.35">
      <c r="A442" s="17"/>
      <c r="B442" s="4" t="s">
        <v>710</v>
      </c>
      <c r="C442" s="4" t="s">
        <v>711</v>
      </c>
      <c r="D442" s="4" t="s">
        <v>168</v>
      </c>
      <c r="E442" s="4" t="s">
        <v>169</v>
      </c>
      <c r="F442" s="4" t="s">
        <v>719</v>
      </c>
      <c r="G442" s="5">
        <v>13140</v>
      </c>
      <c r="H442" s="5">
        <v>13140</v>
      </c>
      <c r="I442" s="5">
        <v>5131</v>
      </c>
      <c r="J442" s="6"/>
      <c r="K442" s="6"/>
      <c r="L442" s="5">
        <v>8009</v>
      </c>
      <c r="M442" t="s">
        <v>764</v>
      </c>
    </row>
    <row r="443" spans="1:13" ht="31.5" x14ac:dyDescent="0.35">
      <c r="A443" s="17"/>
      <c r="B443" s="4" t="s">
        <v>710</v>
      </c>
      <c r="C443" s="4" t="s">
        <v>711</v>
      </c>
      <c r="D443" s="4" t="s">
        <v>140</v>
      </c>
      <c r="E443" s="4" t="s">
        <v>141</v>
      </c>
      <c r="F443" s="4" t="s">
        <v>720</v>
      </c>
      <c r="G443" s="5">
        <v>66000</v>
      </c>
      <c r="H443" s="5">
        <v>0</v>
      </c>
      <c r="I443" s="6"/>
      <c r="J443" s="6"/>
      <c r="K443" s="6"/>
      <c r="L443" s="5">
        <v>0</v>
      </c>
      <c r="M443" t="s">
        <v>764</v>
      </c>
    </row>
    <row r="444" spans="1:13" ht="31.5" x14ac:dyDescent="0.35">
      <c r="A444" s="17"/>
      <c r="B444" s="4" t="s">
        <v>710</v>
      </c>
      <c r="C444" s="4" t="s">
        <v>711</v>
      </c>
      <c r="D444" s="4" t="s">
        <v>26</v>
      </c>
      <c r="E444" s="4" t="s">
        <v>27</v>
      </c>
      <c r="F444" s="4" t="s">
        <v>721</v>
      </c>
      <c r="G444" s="5">
        <v>0</v>
      </c>
      <c r="H444" s="5">
        <v>535844</v>
      </c>
      <c r="I444" s="5">
        <v>137727.25</v>
      </c>
      <c r="J444" s="6"/>
      <c r="K444" s="6"/>
      <c r="L444" s="5">
        <v>398116.75</v>
      </c>
      <c r="M444" t="s">
        <v>764</v>
      </c>
    </row>
    <row r="445" spans="1:13" ht="31.5" x14ac:dyDescent="0.35">
      <c r="A445" s="17"/>
      <c r="B445" s="4" t="s">
        <v>710</v>
      </c>
      <c r="C445" s="4" t="s">
        <v>711</v>
      </c>
      <c r="D445" s="4" t="s">
        <v>51</v>
      </c>
      <c r="E445" s="4" t="s">
        <v>52</v>
      </c>
      <c r="F445" s="4" t="s">
        <v>722</v>
      </c>
      <c r="G445" s="5">
        <v>282200</v>
      </c>
      <c r="H445" s="5">
        <v>312200</v>
      </c>
      <c r="I445" s="5">
        <v>201236.45</v>
      </c>
      <c r="J445" s="5">
        <v>29200</v>
      </c>
      <c r="K445" s="5">
        <v>79753.87</v>
      </c>
      <c r="L445" s="5">
        <v>2009.6800000000401</v>
      </c>
      <c r="M445" t="s">
        <v>764</v>
      </c>
    </row>
    <row r="446" spans="1:13" ht="31.5" x14ac:dyDescent="0.35">
      <c r="A446" s="17"/>
      <c r="B446" s="4" t="s">
        <v>710</v>
      </c>
      <c r="C446" s="4" t="s">
        <v>711</v>
      </c>
      <c r="D446" s="4" t="s">
        <v>59</v>
      </c>
      <c r="E446" s="4" t="s">
        <v>60</v>
      </c>
      <c r="F446" s="4" t="s">
        <v>723</v>
      </c>
      <c r="G446" s="5">
        <v>0</v>
      </c>
      <c r="H446" s="5">
        <v>5000</v>
      </c>
      <c r="I446" s="5">
        <v>1775.04</v>
      </c>
      <c r="J446" s="6"/>
      <c r="K446" s="6"/>
      <c r="L446" s="5">
        <v>3224.96</v>
      </c>
      <c r="M446" t="s">
        <v>764</v>
      </c>
    </row>
    <row r="447" spans="1:13" ht="31.5" x14ac:dyDescent="0.35">
      <c r="A447" s="17"/>
      <c r="B447" s="4" t="s">
        <v>710</v>
      </c>
      <c r="C447" s="4" t="s">
        <v>711</v>
      </c>
      <c r="D447" s="4" t="s">
        <v>79</v>
      </c>
      <c r="E447" s="4" t="s">
        <v>80</v>
      </c>
      <c r="F447" s="4" t="s">
        <v>724</v>
      </c>
      <c r="G447" s="5">
        <v>0</v>
      </c>
      <c r="H447" s="5">
        <v>40000</v>
      </c>
      <c r="I447" s="5">
        <v>6250</v>
      </c>
      <c r="J447" s="5">
        <v>0</v>
      </c>
      <c r="K447" s="5">
        <v>31000</v>
      </c>
      <c r="L447" s="5">
        <v>2750</v>
      </c>
      <c r="M447" t="s">
        <v>764</v>
      </c>
    </row>
    <row r="448" spans="1:13" ht="31.5" x14ac:dyDescent="0.35">
      <c r="A448" s="17"/>
      <c r="B448" s="4" t="s">
        <v>710</v>
      </c>
      <c r="C448" s="4" t="s">
        <v>711</v>
      </c>
      <c r="D448" s="4" t="s">
        <v>654</v>
      </c>
      <c r="E448" s="4" t="s">
        <v>655</v>
      </c>
      <c r="F448" s="4" t="s">
        <v>725</v>
      </c>
      <c r="G448" s="5">
        <v>0</v>
      </c>
      <c r="H448" s="5">
        <v>5539833</v>
      </c>
      <c r="I448" s="6"/>
      <c r="J448" s="5">
        <v>2</v>
      </c>
      <c r="K448" s="6"/>
      <c r="L448" s="5">
        <v>5539831</v>
      </c>
      <c r="M448" t="s">
        <v>764</v>
      </c>
    </row>
    <row r="449" spans="1:13" ht="31.5" x14ac:dyDescent="0.35">
      <c r="A449" s="17"/>
      <c r="B449" s="4" t="s">
        <v>710</v>
      </c>
      <c r="C449" s="4" t="s">
        <v>711</v>
      </c>
      <c r="D449" s="4" t="s">
        <v>701</v>
      </c>
      <c r="E449" s="4" t="s">
        <v>702</v>
      </c>
      <c r="F449" s="4" t="s">
        <v>726</v>
      </c>
      <c r="G449" s="5">
        <v>763</v>
      </c>
      <c r="H449" s="5">
        <v>763</v>
      </c>
      <c r="I449" s="6"/>
      <c r="J449" s="6"/>
      <c r="K449" s="6"/>
      <c r="L449" s="5">
        <v>763</v>
      </c>
      <c r="M449" t="s">
        <v>764</v>
      </c>
    </row>
    <row r="450" spans="1:13" ht="31.5" x14ac:dyDescent="0.35">
      <c r="A450" s="17"/>
      <c r="B450" s="4" t="s">
        <v>710</v>
      </c>
      <c r="C450" s="4" t="s">
        <v>711</v>
      </c>
      <c r="D450" s="4" t="s">
        <v>215</v>
      </c>
      <c r="E450" s="4" t="s">
        <v>216</v>
      </c>
      <c r="F450" s="4" t="s">
        <v>727</v>
      </c>
      <c r="G450" s="5">
        <v>0</v>
      </c>
      <c r="H450" s="5">
        <v>154200</v>
      </c>
      <c r="I450" s="5">
        <v>9300</v>
      </c>
      <c r="J450" s="5">
        <v>0</v>
      </c>
      <c r="K450" s="5">
        <v>3420</v>
      </c>
      <c r="L450" s="5">
        <v>141480</v>
      </c>
      <c r="M450" t="s">
        <v>764</v>
      </c>
    </row>
    <row r="451" spans="1:13" ht="21" x14ac:dyDescent="0.35">
      <c r="A451" s="17"/>
      <c r="B451" s="4" t="s">
        <v>728</v>
      </c>
      <c r="C451" s="4" t="s">
        <v>729</v>
      </c>
      <c r="D451" s="4" t="s">
        <v>118</v>
      </c>
      <c r="E451" s="4" t="s">
        <v>119</v>
      </c>
      <c r="F451" s="4" t="s">
        <v>730</v>
      </c>
      <c r="G451" s="5">
        <v>35155240</v>
      </c>
      <c r="H451" s="5">
        <v>30155240</v>
      </c>
      <c r="I451" s="6"/>
      <c r="J451" s="5">
        <v>0</v>
      </c>
      <c r="K451" s="5">
        <v>750000</v>
      </c>
      <c r="L451" s="5">
        <v>29405240</v>
      </c>
      <c r="M451" t="s">
        <v>764</v>
      </c>
    </row>
    <row r="452" spans="1:13" ht="21" x14ac:dyDescent="0.35">
      <c r="A452" s="17"/>
      <c r="B452" s="4" t="s">
        <v>728</v>
      </c>
      <c r="C452" s="4" t="s">
        <v>729</v>
      </c>
      <c r="D452" s="4" t="s">
        <v>44</v>
      </c>
      <c r="E452" s="4" t="s">
        <v>45</v>
      </c>
      <c r="F452" s="4" t="s">
        <v>731</v>
      </c>
      <c r="G452" s="5">
        <v>147834</v>
      </c>
      <c r="H452" s="5">
        <v>147834</v>
      </c>
      <c r="I452" s="5">
        <v>118270.6</v>
      </c>
      <c r="J452" s="5">
        <v>0</v>
      </c>
      <c r="K452" s="5">
        <v>0</v>
      </c>
      <c r="L452" s="5">
        <v>29563.4</v>
      </c>
      <c r="M452" t="s">
        <v>764</v>
      </c>
    </row>
    <row r="453" spans="1:13" ht="21" x14ac:dyDescent="0.35">
      <c r="A453" s="17"/>
      <c r="B453" s="4" t="s">
        <v>728</v>
      </c>
      <c r="C453" s="4" t="s">
        <v>729</v>
      </c>
      <c r="D453" s="4" t="s">
        <v>47</v>
      </c>
      <c r="E453" s="4" t="s">
        <v>48</v>
      </c>
      <c r="F453" s="4" t="s">
        <v>732</v>
      </c>
      <c r="G453" s="5">
        <v>73837</v>
      </c>
      <c r="H453" s="5">
        <v>73837</v>
      </c>
      <c r="I453" s="6"/>
      <c r="J453" s="6"/>
      <c r="K453" s="6"/>
      <c r="L453" s="5">
        <v>73837</v>
      </c>
      <c r="M453" t="s">
        <v>764</v>
      </c>
    </row>
    <row r="454" spans="1:13" ht="31.5" x14ac:dyDescent="0.35">
      <c r="A454" s="17"/>
      <c r="B454" s="4" t="s">
        <v>728</v>
      </c>
      <c r="C454" s="4" t="s">
        <v>729</v>
      </c>
      <c r="D454" s="4" t="s">
        <v>20</v>
      </c>
      <c r="E454" s="4" t="s">
        <v>21</v>
      </c>
      <c r="F454" s="4" t="s">
        <v>733</v>
      </c>
      <c r="G454" s="5">
        <v>343341</v>
      </c>
      <c r="H454" s="5">
        <v>1043341</v>
      </c>
      <c r="I454" s="5">
        <v>401252.85</v>
      </c>
      <c r="J454" s="5">
        <v>0</v>
      </c>
      <c r="K454" s="5">
        <v>0</v>
      </c>
      <c r="L454" s="5">
        <v>642088.15</v>
      </c>
      <c r="M454" t="s">
        <v>764</v>
      </c>
    </row>
    <row r="455" spans="1:13" ht="31.5" x14ac:dyDescent="0.35">
      <c r="A455" s="17"/>
      <c r="B455" s="4" t="s">
        <v>728</v>
      </c>
      <c r="C455" s="4" t="s">
        <v>729</v>
      </c>
      <c r="D455" s="4" t="s">
        <v>23</v>
      </c>
      <c r="E455" s="4" t="s">
        <v>24</v>
      </c>
      <c r="F455" s="4" t="s">
        <v>734</v>
      </c>
      <c r="G455" s="5">
        <v>388107</v>
      </c>
      <c r="H455" s="5">
        <v>538107</v>
      </c>
      <c r="I455" s="5">
        <v>440947.53</v>
      </c>
      <c r="J455" s="6"/>
      <c r="K455" s="6"/>
      <c r="L455" s="5">
        <v>97159.470000000103</v>
      </c>
      <c r="M455" t="s">
        <v>764</v>
      </c>
    </row>
    <row r="456" spans="1:13" ht="21" x14ac:dyDescent="0.35">
      <c r="A456" s="17"/>
      <c r="B456" s="4" t="s">
        <v>728</v>
      </c>
      <c r="C456" s="4" t="s">
        <v>729</v>
      </c>
      <c r="D456" s="4" t="s">
        <v>259</v>
      </c>
      <c r="E456" s="4" t="s">
        <v>260</v>
      </c>
      <c r="F456" s="4" t="s">
        <v>735</v>
      </c>
      <c r="G456" s="5">
        <v>1840471</v>
      </c>
      <c r="H456" s="5">
        <v>1816965</v>
      </c>
      <c r="I456" s="5">
        <v>1645465.81</v>
      </c>
      <c r="J456" s="5">
        <v>-460470.1</v>
      </c>
      <c r="K456" s="5">
        <v>101500</v>
      </c>
      <c r="L456" s="5">
        <v>530469.29</v>
      </c>
      <c r="M456" t="s">
        <v>764</v>
      </c>
    </row>
    <row r="457" spans="1:13" ht="21" x14ac:dyDescent="0.35">
      <c r="A457" s="17"/>
      <c r="B457" s="4" t="s">
        <v>728</v>
      </c>
      <c r="C457" s="4" t="s">
        <v>729</v>
      </c>
      <c r="D457" s="4" t="s">
        <v>660</v>
      </c>
      <c r="E457" s="4" t="s">
        <v>661</v>
      </c>
      <c r="F457" s="4" t="s">
        <v>736</v>
      </c>
      <c r="G457" s="5">
        <v>178785</v>
      </c>
      <c r="H457" s="5">
        <v>178785</v>
      </c>
      <c r="I457" s="5">
        <v>39452.76</v>
      </c>
      <c r="J457" s="6"/>
      <c r="K457" s="6"/>
      <c r="L457" s="5">
        <v>139332.24</v>
      </c>
      <c r="M457" t="s">
        <v>764</v>
      </c>
    </row>
    <row r="458" spans="1:13" ht="21" x14ac:dyDescent="0.35">
      <c r="A458" s="17"/>
      <c r="B458" s="4" t="s">
        <v>728</v>
      </c>
      <c r="C458" s="4" t="s">
        <v>729</v>
      </c>
      <c r="D458" s="4" t="s">
        <v>153</v>
      </c>
      <c r="E458" s="4" t="s">
        <v>154</v>
      </c>
      <c r="F458" s="4" t="s">
        <v>737</v>
      </c>
      <c r="G458" s="5">
        <v>100002</v>
      </c>
      <c r="H458" s="5">
        <v>193002</v>
      </c>
      <c r="I458" s="5">
        <v>183332.87</v>
      </c>
      <c r="J458" s="6"/>
      <c r="K458" s="6"/>
      <c r="L458" s="5">
        <v>9669.1299999999992</v>
      </c>
      <c r="M458" t="s">
        <v>764</v>
      </c>
    </row>
    <row r="459" spans="1:13" ht="21" x14ac:dyDescent="0.35">
      <c r="A459" s="17"/>
      <c r="B459" s="4" t="s">
        <v>728</v>
      </c>
      <c r="C459" s="4" t="s">
        <v>729</v>
      </c>
      <c r="D459" s="4" t="s">
        <v>156</v>
      </c>
      <c r="E459" s="4" t="s">
        <v>157</v>
      </c>
      <c r="F459" s="4" t="s">
        <v>738</v>
      </c>
      <c r="G459" s="5">
        <v>54543</v>
      </c>
      <c r="H459" s="5">
        <v>54543</v>
      </c>
      <c r="I459" s="6"/>
      <c r="J459" s="6"/>
      <c r="K459" s="6"/>
      <c r="L459" s="5">
        <v>54543</v>
      </c>
      <c r="M459" t="s">
        <v>764</v>
      </c>
    </row>
    <row r="460" spans="1:13" ht="21" x14ac:dyDescent="0.35">
      <c r="A460" s="17"/>
      <c r="B460" s="4" t="s">
        <v>728</v>
      </c>
      <c r="C460" s="4" t="s">
        <v>729</v>
      </c>
      <c r="D460" s="4" t="s">
        <v>111</v>
      </c>
      <c r="E460" s="4" t="s">
        <v>112</v>
      </c>
      <c r="F460" s="4" t="s">
        <v>739</v>
      </c>
      <c r="G460" s="5">
        <v>40876000</v>
      </c>
      <c r="H460" s="5">
        <v>32783000</v>
      </c>
      <c r="I460" s="5">
        <v>21113466.75</v>
      </c>
      <c r="J460" s="6"/>
      <c r="K460" s="6"/>
      <c r="L460" s="5">
        <v>11669533.25</v>
      </c>
      <c r="M460" t="s">
        <v>764</v>
      </c>
    </row>
    <row r="461" spans="1:13" ht="21" x14ac:dyDescent="0.35">
      <c r="A461" s="17"/>
      <c r="B461" s="4" t="s">
        <v>728</v>
      </c>
      <c r="C461" s="4" t="s">
        <v>729</v>
      </c>
      <c r="D461" s="4" t="s">
        <v>740</v>
      </c>
      <c r="E461" s="4" t="s">
        <v>741</v>
      </c>
      <c r="F461" s="4" t="s">
        <v>742</v>
      </c>
      <c r="G461" s="5">
        <v>179593</v>
      </c>
      <c r="H461" s="5">
        <v>219593</v>
      </c>
      <c r="I461" s="5">
        <v>177907.76</v>
      </c>
      <c r="J461" s="5">
        <v>13039.15</v>
      </c>
      <c r="K461" s="6"/>
      <c r="L461" s="5">
        <v>28646.09</v>
      </c>
      <c r="M461" t="s">
        <v>764</v>
      </c>
    </row>
    <row r="462" spans="1:13" ht="21" x14ac:dyDescent="0.35">
      <c r="A462" s="17"/>
      <c r="B462" s="4" t="s">
        <v>728</v>
      </c>
      <c r="C462" s="4" t="s">
        <v>729</v>
      </c>
      <c r="D462" s="4" t="s">
        <v>160</v>
      </c>
      <c r="E462" s="4" t="s">
        <v>161</v>
      </c>
      <c r="F462" s="4" t="s">
        <v>743</v>
      </c>
      <c r="G462" s="5">
        <v>500000</v>
      </c>
      <c r="H462" s="5">
        <v>2225000</v>
      </c>
      <c r="I462" s="5">
        <v>1843235.48</v>
      </c>
      <c r="J462" s="6"/>
      <c r="K462" s="6"/>
      <c r="L462" s="5">
        <v>381764.52</v>
      </c>
      <c r="M462" t="s">
        <v>764</v>
      </c>
    </row>
    <row r="463" spans="1:13" ht="21" x14ac:dyDescent="0.35">
      <c r="A463" s="17"/>
      <c r="B463" s="4" t="s">
        <v>728</v>
      </c>
      <c r="C463" s="4" t="s">
        <v>729</v>
      </c>
      <c r="D463" s="4" t="s">
        <v>70</v>
      </c>
      <c r="E463" s="4" t="s">
        <v>71</v>
      </c>
      <c r="F463" s="4" t="s">
        <v>744</v>
      </c>
      <c r="G463" s="5">
        <v>2940</v>
      </c>
      <c r="H463" s="5">
        <v>2940</v>
      </c>
      <c r="I463" s="6"/>
      <c r="J463" s="6"/>
      <c r="K463" s="6"/>
      <c r="L463" s="5">
        <v>2940</v>
      </c>
      <c r="M463" t="s">
        <v>764</v>
      </c>
    </row>
    <row r="464" spans="1:13" ht="21" x14ac:dyDescent="0.35">
      <c r="A464" s="17"/>
      <c r="B464" s="4" t="s">
        <v>728</v>
      </c>
      <c r="C464" s="4" t="s">
        <v>729</v>
      </c>
      <c r="D464" s="4" t="s">
        <v>140</v>
      </c>
      <c r="E464" s="4" t="s">
        <v>141</v>
      </c>
      <c r="F464" s="4" t="s">
        <v>745</v>
      </c>
      <c r="G464" s="5">
        <v>0</v>
      </c>
      <c r="H464" s="5">
        <v>350000</v>
      </c>
      <c r="I464" s="5">
        <v>2750</v>
      </c>
      <c r="J464" s="6"/>
      <c r="K464" s="6"/>
      <c r="L464" s="5">
        <v>347250</v>
      </c>
      <c r="M464" t="s">
        <v>764</v>
      </c>
    </row>
    <row r="465" spans="1:13" ht="21" x14ac:dyDescent="0.35">
      <c r="A465" s="17"/>
      <c r="B465" s="4" t="s">
        <v>728</v>
      </c>
      <c r="C465" s="4" t="s">
        <v>729</v>
      </c>
      <c r="D465" s="4" t="s">
        <v>26</v>
      </c>
      <c r="E465" s="4" t="s">
        <v>27</v>
      </c>
      <c r="F465" s="4" t="s">
        <v>746</v>
      </c>
      <c r="G465" s="5">
        <v>58984</v>
      </c>
      <c r="H465" s="5">
        <v>58984</v>
      </c>
      <c r="I465" s="5">
        <v>41775.019999999997</v>
      </c>
      <c r="J465" s="6"/>
      <c r="K465" s="6"/>
      <c r="L465" s="5">
        <v>17208.98</v>
      </c>
      <c r="M465" t="s">
        <v>764</v>
      </c>
    </row>
    <row r="466" spans="1:13" ht="21" x14ac:dyDescent="0.35">
      <c r="A466" s="17"/>
      <c r="B466" s="4" t="s">
        <v>728</v>
      </c>
      <c r="C466" s="4" t="s">
        <v>729</v>
      </c>
      <c r="D466" s="4" t="s">
        <v>51</v>
      </c>
      <c r="E466" s="4" t="s">
        <v>52</v>
      </c>
      <c r="F466" s="4" t="s">
        <v>747</v>
      </c>
      <c r="G466" s="5">
        <v>2862530</v>
      </c>
      <c r="H466" s="5">
        <v>977363</v>
      </c>
      <c r="I466" s="5">
        <v>617020.71</v>
      </c>
      <c r="J466" s="5">
        <v>0</v>
      </c>
      <c r="K466" s="5">
        <v>261032.35</v>
      </c>
      <c r="L466" s="5">
        <v>99309.940000000104</v>
      </c>
      <c r="M466" t="s">
        <v>764</v>
      </c>
    </row>
    <row r="467" spans="1:13" ht="21" x14ac:dyDescent="0.35">
      <c r="A467" s="17"/>
      <c r="B467" s="4" t="s">
        <v>728</v>
      </c>
      <c r="C467" s="4" t="s">
        <v>729</v>
      </c>
      <c r="D467" s="4" t="s">
        <v>446</v>
      </c>
      <c r="E467" s="4" t="s">
        <v>447</v>
      </c>
      <c r="F467" s="4" t="s">
        <v>748</v>
      </c>
      <c r="G467" s="5">
        <v>5000</v>
      </c>
      <c r="H467" s="5">
        <v>5000</v>
      </c>
      <c r="I467" s="6"/>
      <c r="J467" s="5">
        <v>0</v>
      </c>
      <c r="K467" s="5">
        <v>1440</v>
      </c>
      <c r="L467" s="5">
        <v>3560</v>
      </c>
      <c r="M467" t="s">
        <v>764</v>
      </c>
    </row>
    <row r="468" spans="1:13" ht="21" x14ac:dyDescent="0.35">
      <c r="A468" s="17"/>
      <c r="B468" s="4" t="s">
        <v>728</v>
      </c>
      <c r="C468" s="4" t="s">
        <v>729</v>
      </c>
      <c r="D468" s="4" t="s">
        <v>59</v>
      </c>
      <c r="E468" s="4" t="s">
        <v>60</v>
      </c>
      <c r="F468" s="4" t="s">
        <v>749</v>
      </c>
      <c r="G468" s="5">
        <v>50517</v>
      </c>
      <c r="H468" s="5">
        <v>50517</v>
      </c>
      <c r="I468" s="5">
        <v>47196.29</v>
      </c>
      <c r="J468" s="5">
        <v>0</v>
      </c>
      <c r="K468" s="5">
        <v>0</v>
      </c>
      <c r="L468" s="5">
        <v>3320.71000000001</v>
      </c>
      <c r="M468" t="s">
        <v>764</v>
      </c>
    </row>
    <row r="469" spans="1:13" ht="21" x14ac:dyDescent="0.35">
      <c r="A469" s="17"/>
      <c r="B469" s="4" t="s">
        <v>728</v>
      </c>
      <c r="C469" s="4" t="s">
        <v>729</v>
      </c>
      <c r="D469" s="4" t="s">
        <v>32</v>
      </c>
      <c r="E469" s="4" t="s">
        <v>33</v>
      </c>
      <c r="F469" s="4" t="s">
        <v>750</v>
      </c>
      <c r="G469" s="5">
        <v>43038</v>
      </c>
      <c r="H469" s="5">
        <v>400000</v>
      </c>
      <c r="I469" s="5">
        <v>122468.93</v>
      </c>
      <c r="J469" s="6"/>
      <c r="K469" s="6"/>
      <c r="L469" s="5">
        <v>277531.07</v>
      </c>
      <c r="M469" t="s">
        <v>764</v>
      </c>
    </row>
    <row r="470" spans="1:13" ht="21" x14ac:dyDescent="0.35">
      <c r="A470" s="17"/>
      <c r="B470" s="4" t="s">
        <v>728</v>
      </c>
      <c r="C470" s="4" t="s">
        <v>729</v>
      </c>
      <c r="D470" s="4" t="s">
        <v>79</v>
      </c>
      <c r="E470" s="4" t="s">
        <v>80</v>
      </c>
      <c r="F470" s="4" t="s">
        <v>751</v>
      </c>
      <c r="G470" s="5">
        <v>2820</v>
      </c>
      <c r="H470" s="5">
        <v>2820</v>
      </c>
      <c r="I470" s="5">
        <v>1040</v>
      </c>
      <c r="J470" s="6"/>
      <c r="K470" s="6"/>
      <c r="L470" s="5">
        <v>1780</v>
      </c>
      <c r="M470" t="s">
        <v>764</v>
      </c>
    </row>
    <row r="471" spans="1:13" ht="42" x14ac:dyDescent="0.35">
      <c r="A471" s="17"/>
      <c r="B471" s="4" t="s">
        <v>728</v>
      </c>
      <c r="C471" s="4" t="s">
        <v>729</v>
      </c>
      <c r="D471" s="4" t="s">
        <v>128</v>
      </c>
      <c r="E471" s="4" t="s">
        <v>129</v>
      </c>
      <c r="F471" s="4" t="s">
        <v>752</v>
      </c>
      <c r="G471" s="5">
        <v>522981</v>
      </c>
      <c r="H471" s="5">
        <v>897981</v>
      </c>
      <c r="I471" s="6"/>
      <c r="J471" s="5">
        <v>206000</v>
      </c>
      <c r="K471" s="5">
        <v>387000</v>
      </c>
      <c r="L471" s="5">
        <v>304981</v>
      </c>
      <c r="M471" t="s">
        <v>764</v>
      </c>
    </row>
    <row r="472" spans="1:13" ht="21" x14ac:dyDescent="0.35">
      <c r="A472" s="17"/>
      <c r="B472" s="4" t="s">
        <v>728</v>
      </c>
      <c r="C472" s="4" t="s">
        <v>729</v>
      </c>
      <c r="D472" s="4" t="s">
        <v>176</v>
      </c>
      <c r="E472" s="4" t="s">
        <v>177</v>
      </c>
      <c r="F472" s="4" t="s">
        <v>753</v>
      </c>
      <c r="G472" s="5">
        <v>570373</v>
      </c>
      <c r="H472" s="5">
        <v>570373</v>
      </c>
      <c r="I472" s="5">
        <v>41064.5</v>
      </c>
      <c r="J472" s="5">
        <v>-4021</v>
      </c>
      <c r="K472" s="5">
        <v>167660</v>
      </c>
      <c r="L472" s="5">
        <v>365669.5</v>
      </c>
      <c r="M472" t="s">
        <v>764</v>
      </c>
    </row>
    <row r="473" spans="1:13" ht="21" x14ac:dyDescent="0.35">
      <c r="A473" s="17"/>
      <c r="B473" s="4" t="s">
        <v>728</v>
      </c>
      <c r="C473" s="4" t="s">
        <v>729</v>
      </c>
      <c r="D473" s="4" t="s">
        <v>611</v>
      </c>
      <c r="E473" s="4" t="s">
        <v>612</v>
      </c>
      <c r="F473" s="4" t="s">
        <v>754</v>
      </c>
      <c r="G473" s="5">
        <v>731845</v>
      </c>
      <c r="H473" s="5">
        <v>1291904</v>
      </c>
      <c r="I473" s="5">
        <v>786898.17</v>
      </c>
      <c r="J473" s="5">
        <v>-142768.5</v>
      </c>
      <c r="K473" s="5">
        <v>143648.67000000001</v>
      </c>
      <c r="L473" s="5">
        <v>504125.66</v>
      </c>
      <c r="M473" t="s">
        <v>764</v>
      </c>
    </row>
    <row r="474" spans="1:13" ht="21" x14ac:dyDescent="0.35">
      <c r="A474" s="17"/>
      <c r="B474" s="4" t="s">
        <v>728</v>
      </c>
      <c r="C474" s="4" t="s">
        <v>729</v>
      </c>
      <c r="D474" s="4" t="s">
        <v>654</v>
      </c>
      <c r="E474" s="4" t="s">
        <v>655</v>
      </c>
      <c r="F474" s="4" t="s">
        <v>755</v>
      </c>
      <c r="G474" s="5">
        <v>306</v>
      </c>
      <c r="H474" s="5">
        <v>306</v>
      </c>
      <c r="I474" s="6"/>
      <c r="J474" s="6"/>
      <c r="K474" s="6"/>
      <c r="L474" s="5">
        <v>306</v>
      </c>
      <c r="M474" t="s">
        <v>764</v>
      </c>
    </row>
    <row r="475" spans="1:13" ht="21" x14ac:dyDescent="0.35">
      <c r="A475" s="17"/>
      <c r="B475" s="4" t="s">
        <v>728</v>
      </c>
      <c r="C475" s="4" t="s">
        <v>729</v>
      </c>
      <c r="D475" s="4" t="s">
        <v>131</v>
      </c>
      <c r="E475" s="4" t="s">
        <v>132</v>
      </c>
      <c r="F475" s="4" t="s">
        <v>756</v>
      </c>
      <c r="G475" s="5">
        <v>304395</v>
      </c>
      <c r="H475" s="5">
        <v>357401</v>
      </c>
      <c r="I475" s="5">
        <v>252993.32</v>
      </c>
      <c r="J475" s="5">
        <v>0</v>
      </c>
      <c r="K475" s="6"/>
      <c r="L475" s="5">
        <v>104407.67999999999</v>
      </c>
      <c r="M475" t="s">
        <v>764</v>
      </c>
    </row>
    <row r="476" spans="1:13" ht="21" x14ac:dyDescent="0.35">
      <c r="A476" s="17"/>
      <c r="B476" s="4" t="s">
        <v>728</v>
      </c>
      <c r="C476" s="4" t="s">
        <v>729</v>
      </c>
      <c r="D476" s="4" t="s">
        <v>134</v>
      </c>
      <c r="E476" s="4" t="s">
        <v>135</v>
      </c>
      <c r="F476" s="4" t="s">
        <v>757</v>
      </c>
      <c r="G476" s="5">
        <v>2000000</v>
      </c>
      <c r="H476" s="5">
        <v>2600000</v>
      </c>
      <c r="I476" s="5">
        <v>1221068.43</v>
      </c>
      <c r="J476" s="5">
        <v>700618.8</v>
      </c>
      <c r="K476" s="5">
        <v>427962.55</v>
      </c>
      <c r="L476" s="5">
        <v>250350.22</v>
      </c>
      <c r="M476" t="s">
        <v>764</v>
      </c>
    </row>
    <row r="477" spans="1:13" ht="21" x14ac:dyDescent="0.35">
      <c r="A477" s="17"/>
      <c r="B477" s="4" t="s">
        <v>728</v>
      </c>
      <c r="C477" s="4" t="s">
        <v>729</v>
      </c>
      <c r="D477" s="4" t="s">
        <v>701</v>
      </c>
      <c r="E477" s="4" t="s">
        <v>702</v>
      </c>
      <c r="F477" s="4" t="s">
        <v>758</v>
      </c>
      <c r="G477" s="5">
        <v>5000</v>
      </c>
      <c r="H477" s="5">
        <v>5000</v>
      </c>
      <c r="I477" s="5">
        <v>240</v>
      </c>
      <c r="J477" s="6"/>
      <c r="K477" s="6"/>
      <c r="L477" s="5">
        <v>4760</v>
      </c>
      <c r="M477" t="s">
        <v>764</v>
      </c>
    </row>
    <row r="478" spans="1:13" ht="21" x14ac:dyDescent="0.35">
      <c r="A478" s="17"/>
      <c r="B478" s="4" t="s">
        <v>728</v>
      </c>
      <c r="C478" s="4" t="s">
        <v>729</v>
      </c>
      <c r="D478" s="4" t="s">
        <v>545</v>
      </c>
      <c r="E478" s="4" t="s">
        <v>546</v>
      </c>
      <c r="F478" s="4" t="s">
        <v>759</v>
      </c>
      <c r="G478" s="5">
        <v>3166</v>
      </c>
      <c r="H478" s="5">
        <v>3166</v>
      </c>
      <c r="I478" s="5">
        <v>535.9</v>
      </c>
      <c r="J478" s="6"/>
      <c r="K478" s="6"/>
      <c r="L478" s="5">
        <v>2630.1</v>
      </c>
      <c r="M478" t="s">
        <v>764</v>
      </c>
    </row>
    <row r="479" spans="1:13" x14ac:dyDescent="0.35">
      <c r="A479" s="7" t="s">
        <v>760</v>
      </c>
      <c r="B479" s="8"/>
      <c r="C479" s="8"/>
      <c r="D479" s="8"/>
      <c r="E479" s="8"/>
      <c r="F479" s="8"/>
      <c r="G479" s="9">
        <v>712000000</v>
      </c>
      <c r="H479" s="9">
        <v>712000000</v>
      </c>
      <c r="I479" s="9">
        <v>388318144.43000001</v>
      </c>
      <c r="J479" s="9">
        <v>13422887.800000001</v>
      </c>
      <c r="K479" s="9">
        <v>52816979.170000002</v>
      </c>
      <c r="L479" s="9">
        <v>257289228.25999999</v>
      </c>
    </row>
    <row r="480" spans="1:13" x14ac:dyDescent="0.35">
      <c r="A480" s="2" t="s">
        <v>1</v>
      </c>
    </row>
    <row r="482" spans="7:9" x14ac:dyDescent="0.35">
      <c r="G482">
        <f>SUBTOTAL(9,G3:G481)</f>
        <v>1424000000</v>
      </c>
      <c r="H482">
        <f t="shared" ref="H482:I482" si="0">SUBTOTAL(9,H3:H481)</f>
        <v>1424000000</v>
      </c>
      <c r="I482">
        <f t="shared" si="0"/>
        <v>776636288.86000013</v>
      </c>
    </row>
  </sheetData>
  <autoFilter ref="A3:M480" xr:uid="{00000000-0001-0000-0000-000000000000}"/>
  <mergeCells count="2">
    <mergeCell ref="A4:A269"/>
    <mergeCell ref="A270:A4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2023-10-18T05:29:50Z</dcterms:created>
  <dcterms:modified xsi:type="dcterms:W3CDTF">2023-10-19T12:02:06Z</dcterms:modified>
</cp:coreProperties>
</file>