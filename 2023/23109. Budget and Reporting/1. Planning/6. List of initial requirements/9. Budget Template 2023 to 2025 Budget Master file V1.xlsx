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6. Data/"/>
    </mc:Choice>
  </mc:AlternateContent>
  <xr:revisionPtr revIDLastSave="2" documentId="11_3CBD4DD6CE455113424EC7F97414E2C950F5F8A6" xr6:coauthVersionLast="47" xr6:coauthVersionMax="47" xr10:uidLastSave="{546A6E5A-FB4D-4F7F-B006-4CA21A36E722}"/>
  <bookViews>
    <workbookView xWindow="-110" yWindow="-110" windowWidth="19420" windowHeight="10420" tabRatio="813" activeTab="1" xr2:uid="{00000000-000D-0000-FFFF-FFFF00000000}"/>
  </bookViews>
  <sheets>
    <sheet name="Main Page" sheetId="24" r:id="rId1"/>
    <sheet name="Budget 2023" sheetId="1" r:id="rId2"/>
    <sheet name="xBudget 2024" sheetId="20" r:id="rId3"/>
    <sheet name="xBudget 2025" sheetId="21" r:id="rId4"/>
    <sheet name="Check List" sheetId="5" r:id="rId5"/>
    <sheet name="Drivers" sheetId="4" r:id="rId6"/>
    <sheet name="Accoount Code Combination" sheetId="3" r:id="rId7"/>
    <sheet name="Account Code" sheetId="23" r:id="rId8"/>
    <sheet name="Cost Center" sheetId="25" r:id="rId9"/>
    <sheet name="Strategic Objectives 2023" sheetId="13" r:id="rId10"/>
    <sheet name="Supporting Document" sheetId="26" r:id="rId11"/>
    <sheet name="Other " sheetId="7" r:id="rId12"/>
    <sheet name="Cost Center Group" sheetId="17" r:id="rId13"/>
  </sheets>
  <externalReferences>
    <externalReference r:id="rId14"/>
    <externalReference r:id="rId15"/>
  </externalReferences>
  <definedNames>
    <definedName name="_xlnm._FilterDatabase" localSheetId="6" hidden="1">'Accoount Code Combination'!$A$1:$L$1046</definedName>
    <definedName name="_xlnm._FilterDatabase" localSheetId="8" hidden="1">'Cost Center'!$A$1:$C$61</definedName>
    <definedName name="_xlnm._FilterDatabase" localSheetId="9" hidden="1">'Strategic Objectives 2023'!$B$5:$F$38</definedName>
    <definedName name="Budget_2022">'Main Page'!$B$9</definedName>
    <definedName name="_xlnm.Print_Area" localSheetId="9">'Strategic Objectives 2023'!$A$1:$F$38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A7" i="1"/>
  <c r="A8" i="1"/>
  <c r="A9" i="1"/>
  <c r="A10" i="1"/>
  <c r="A11" i="1"/>
  <c r="A12" i="1"/>
  <c r="A13" i="1"/>
  <c r="B7" i="1"/>
  <c r="B8" i="1"/>
  <c r="B9" i="1"/>
  <c r="B10" i="1"/>
  <c r="B11" i="1"/>
  <c r="B12" i="1"/>
  <c r="B13" i="1"/>
  <c r="C8" i="1"/>
  <c r="C9" i="1"/>
  <c r="C10" i="1"/>
  <c r="C11" i="1"/>
  <c r="C12" i="1"/>
  <c r="C13" i="1"/>
  <c r="I7" i="1"/>
  <c r="I8" i="1"/>
  <c r="I9" i="1"/>
  <c r="I10" i="1"/>
  <c r="I11" i="1"/>
  <c r="I12" i="1"/>
  <c r="I13" i="1"/>
  <c r="AC7" i="1"/>
  <c r="AC8" i="1"/>
  <c r="AC9" i="1"/>
  <c r="AC10" i="1"/>
  <c r="AC11" i="1"/>
  <c r="AC12" i="1"/>
  <c r="AC13" i="1"/>
  <c r="AD7" i="1"/>
  <c r="AD8" i="1"/>
  <c r="AD9" i="1"/>
  <c r="AD10" i="1"/>
  <c r="AD11" i="1"/>
  <c r="AD12" i="1"/>
  <c r="AD13" i="1"/>
  <c r="AE7" i="1"/>
  <c r="AE8" i="1"/>
  <c r="AE9" i="1"/>
  <c r="AE10" i="1"/>
  <c r="AE11" i="1"/>
  <c r="AE12" i="1"/>
  <c r="AE13" i="1"/>
  <c r="AU7" i="1"/>
  <c r="AU8" i="1"/>
  <c r="AU9" i="1"/>
  <c r="AU10" i="1"/>
  <c r="AU11" i="1"/>
  <c r="AU12" i="1"/>
  <c r="AU13" i="1"/>
  <c r="A14" i="1"/>
  <c r="B14" i="1"/>
  <c r="C14" i="1"/>
  <c r="I14" i="1"/>
  <c r="AC14" i="1"/>
  <c r="AD14" i="1"/>
  <c r="AE14" i="1"/>
  <c r="AU14" i="1"/>
  <c r="I1" i="1" l="1"/>
  <c r="A7" i="20" l="1"/>
  <c r="B7" i="20"/>
  <c r="C7" i="20"/>
  <c r="G7" i="20"/>
  <c r="J7" i="20"/>
  <c r="T7" i="20"/>
  <c r="G1" i="20"/>
  <c r="G1" i="21"/>
  <c r="C6" i="21" l="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C6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B6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A6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G1046" i="3" l="1"/>
  <c r="E1046" i="3"/>
  <c r="C1046" i="3"/>
  <c r="G1045" i="3"/>
  <c r="C1045" i="3"/>
  <c r="G1044" i="3"/>
  <c r="C1044" i="3"/>
  <c r="G1043" i="3"/>
  <c r="E1043" i="3"/>
  <c r="C1043" i="3"/>
  <c r="G1042" i="3"/>
  <c r="E1042" i="3"/>
  <c r="C1042" i="3"/>
  <c r="G1041" i="3"/>
  <c r="E1041" i="3"/>
  <c r="C1041" i="3"/>
  <c r="G1040" i="3"/>
  <c r="E1040" i="3"/>
  <c r="C1040" i="3"/>
  <c r="G1039" i="3"/>
  <c r="E1039" i="3"/>
  <c r="G1038" i="3"/>
  <c r="E1038" i="3"/>
  <c r="C1038" i="3"/>
  <c r="G1037" i="3"/>
  <c r="E1037" i="3"/>
  <c r="C1037" i="3"/>
  <c r="G1036" i="3"/>
  <c r="E1036" i="3"/>
  <c r="C1036" i="3"/>
  <c r="G1035" i="3"/>
  <c r="E1035" i="3"/>
  <c r="C1035" i="3"/>
  <c r="G1034" i="3"/>
  <c r="E1034" i="3"/>
  <c r="C1034" i="3"/>
  <c r="G1033" i="3"/>
  <c r="E1033" i="3"/>
  <c r="C1033" i="3"/>
  <c r="G1032" i="3"/>
  <c r="E1032" i="3"/>
  <c r="C1032" i="3"/>
  <c r="G1031" i="3"/>
  <c r="E1031" i="3"/>
  <c r="C1031" i="3"/>
  <c r="G1030" i="3"/>
  <c r="E1030" i="3"/>
  <c r="C1030" i="3"/>
  <c r="G1029" i="3"/>
  <c r="E1029" i="3"/>
  <c r="C1029" i="3"/>
  <c r="G1028" i="3"/>
  <c r="E1028" i="3"/>
  <c r="C1028" i="3"/>
  <c r="G1027" i="3"/>
  <c r="E1027" i="3"/>
  <c r="C1027" i="3"/>
  <c r="G1026" i="3"/>
  <c r="E1026" i="3"/>
  <c r="C1026" i="3"/>
  <c r="G1025" i="3"/>
  <c r="E1025" i="3"/>
  <c r="C1025" i="3"/>
  <c r="G1024" i="3"/>
  <c r="E1024" i="3"/>
  <c r="C1024" i="3"/>
  <c r="G1023" i="3"/>
  <c r="E1023" i="3"/>
  <c r="C1023" i="3"/>
  <c r="G1022" i="3"/>
  <c r="E1022" i="3"/>
  <c r="C1022" i="3"/>
  <c r="G1021" i="3"/>
  <c r="E1021" i="3"/>
  <c r="C1021" i="3"/>
  <c r="G1020" i="3"/>
  <c r="E1020" i="3"/>
  <c r="C1020" i="3"/>
  <c r="G1019" i="3"/>
  <c r="E1019" i="3"/>
  <c r="C1019" i="3"/>
  <c r="G1018" i="3"/>
  <c r="E1018" i="3"/>
  <c r="C1018" i="3"/>
  <c r="G1017" i="3"/>
  <c r="E1017" i="3"/>
  <c r="C1017" i="3"/>
  <c r="G1016" i="3"/>
  <c r="E1016" i="3"/>
  <c r="C1016" i="3"/>
  <c r="G1015" i="3"/>
  <c r="E1015" i="3"/>
  <c r="C1015" i="3"/>
  <c r="G1014" i="3"/>
  <c r="E1014" i="3"/>
  <c r="C1014" i="3"/>
  <c r="G1013" i="3"/>
  <c r="E1013" i="3"/>
  <c r="C1013" i="3"/>
  <c r="G1012" i="3"/>
  <c r="E1012" i="3"/>
  <c r="C1012" i="3"/>
  <c r="G1011" i="3"/>
  <c r="C1011" i="3"/>
  <c r="G1010" i="3"/>
  <c r="E1010" i="3"/>
  <c r="C1010" i="3"/>
  <c r="G1009" i="3"/>
  <c r="E1009" i="3"/>
  <c r="C1009" i="3"/>
  <c r="G1008" i="3"/>
  <c r="E1008" i="3"/>
  <c r="C1008" i="3"/>
  <c r="G1007" i="3"/>
  <c r="E1007" i="3"/>
  <c r="C1007" i="3"/>
  <c r="G1006" i="3"/>
  <c r="E1006" i="3"/>
  <c r="C1006" i="3"/>
  <c r="G1005" i="3"/>
  <c r="E1005" i="3"/>
  <c r="C1005" i="3"/>
  <c r="G1004" i="3"/>
  <c r="E1004" i="3"/>
  <c r="C1004" i="3"/>
  <c r="G1003" i="3"/>
  <c r="E1003" i="3"/>
  <c r="C1003" i="3"/>
  <c r="G1002" i="3"/>
  <c r="E1002" i="3"/>
  <c r="C1002" i="3"/>
  <c r="G1001" i="3"/>
  <c r="E1001" i="3"/>
  <c r="C1001" i="3"/>
  <c r="G1000" i="3"/>
  <c r="E1000" i="3"/>
  <c r="C1000" i="3"/>
  <c r="G999" i="3"/>
  <c r="E999" i="3"/>
  <c r="C999" i="3"/>
  <c r="G998" i="3"/>
  <c r="E998" i="3"/>
  <c r="C998" i="3"/>
  <c r="G997" i="3"/>
  <c r="E997" i="3"/>
  <c r="C997" i="3"/>
  <c r="G996" i="3"/>
  <c r="E996" i="3"/>
  <c r="C996" i="3"/>
  <c r="G995" i="3"/>
  <c r="E995" i="3"/>
  <c r="C995" i="3"/>
  <c r="G994" i="3"/>
  <c r="E994" i="3"/>
  <c r="C994" i="3"/>
  <c r="G993" i="3"/>
  <c r="E993" i="3"/>
  <c r="C993" i="3"/>
  <c r="G992" i="3"/>
  <c r="E992" i="3"/>
  <c r="C992" i="3"/>
  <c r="G991" i="3"/>
  <c r="E991" i="3"/>
  <c r="C991" i="3"/>
  <c r="G990" i="3"/>
  <c r="E990" i="3"/>
  <c r="C990" i="3"/>
  <c r="G989" i="3"/>
  <c r="E989" i="3"/>
  <c r="C989" i="3"/>
  <c r="G988" i="3"/>
  <c r="E988" i="3"/>
  <c r="C988" i="3"/>
  <c r="G987" i="3"/>
  <c r="E987" i="3"/>
  <c r="C987" i="3"/>
  <c r="G986" i="3"/>
  <c r="E986" i="3"/>
  <c r="C986" i="3"/>
  <c r="G985" i="3"/>
  <c r="E985" i="3"/>
  <c r="C985" i="3"/>
  <c r="G984" i="3"/>
  <c r="E984" i="3"/>
  <c r="C984" i="3"/>
  <c r="G983" i="3"/>
  <c r="E983" i="3"/>
  <c r="C983" i="3"/>
  <c r="G982" i="3"/>
  <c r="E982" i="3"/>
  <c r="C982" i="3"/>
  <c r="G981" i="3"/>
  <c r="E981" i="3"/>
  <c r="C981" i="3"/>
  <c r="G980" i="3"/>
  <c r="E980" i="3"/>
  <c r="C980" i="3"/>
  <c r="G979" i="3"/>
  <c r="E979" i="3"/>
  <c r="C979" i="3"/>
  <c r="G978" i="3"/>
  <c r="E978" i="3"/>
  <c r="C978" i="3"/>
  <c r="G977" i="3"/>
  <c r="E977" i="3"/>
  <c r="C977" i="3"/>
  <c r="G976" i="3"/>
  <c r="E976" i="3"/>
  <c r="C976" i="3"/>
  <c r="G975" i="3"/>
  <c r="E975" i="3"/>
  <c r="C975" i="3"/>
  <c r="G974" i="3"/>
  <c r="E974" i="3"/>
  <c r="C974" i="3"/>
  <c r="G973" i="3"/>
  <c r="E973" i="3"/>
  <c r="C973" i="3"/>
  <c r="G972" i="3"/>
  <c r="E972" i="3"/>
  <c r="C972" i="3"/>
  <c r="G971" i="3"/>
  <c r="E971" i="3"/>
  <c r="C971" i="3"/>
  <c r="G970" i="3"/>
  <c r="E970" i="3"/>
  <c r="C970" i="3"/>
  <c r="G969" i="3"/>
  <c r="E969" i="3"/>
  <c r="C969" i="3"/>
  <c r="G968" i="3"/>
  <c r="E968" i="3"/>
  <c r="C968" i="3"/>
  <c r="G967" i="3"/>
  <c r="E967" i="3"/>
  <c r="C967" i="3"/>
  <c r="G966" i="3"/>
  <c r="E966" i="3"/>
  <c r="C966" i="3"/>
  <c r="G965" i="3"/>
  <c r="E965" i="3"/>
  <c r="C965" i="3"/>
  <c r="G964" i="3"/>
  <c r="E964" i="3"/>
  <c r="C964" i="3"/>
  <c r="G963" i="3"/>
  <c r="E963" i="3"/>
  <c r="C963" i="3"/>
  <c r="G962" i="3"/>
  <c r="E962" i="3"/>
  <c r="C962" i="3"/>
  <c r="G961" i="3"/>
  <c r="E961" i="3"/>
  <c r="C961" i="3"/>
  <c r="G960" i="3"/>
  <c r="E960" i="3"/>
  <c r="C960" i="3"/>
  <c r="G959" i="3"/>
  <c r="C959" i="3"/>
  <c r="G958" i="3"/>
  <c r="E958" i="3"/>
  <c r="C958" i="3"/>
  <c r="G957" i="3"/>
  <c r="E957" i="3"/>
  <c r="C957" i="3"/>
  <c r="G956" i="3"/>
  <c r="G955" i="3"/>
  <c r="E955" i="3"/>
  <c r="G954" i="3"/>
  <c r="E954" i="3"/>
  <c r="G953" i="3"/>
  <c r="C953" i="3"/>
  <c r="G952" i="3"/>
  <c r="E952" i="3"/>
  <c r="C952" i="3"/>
  <c r="G951" i="3"/>
  <c r="E951" i="3"/>
  <c r="C951" i="3"/>
  <c r="G950" i="3"/>
  <c r="C950" i="3"/>
  <c r="G949" i="3"/>
  <c r="C949" i="3"/>
  <c r="G948" i="3"/>
  <c r="E948" i="3"/>
  <c r="C948" i="3"/>
  <c r="G947" i="3"/>
  <c r="E947" i="3"/>
  <c r="C947" i="3"/>
  <c r="G946" i="3"/>
  <c r="E946" i="3"/>
  <c r="C946" i="3"/>
  <c r="G945" i="3"/>
  <c r="E945" i="3"/>
  <c r="C945" i="3"/>
  <c r="G944" i="3"/>
  <c r="E944" i="3"/>
  <c r="C944" i="3"/>
  <c r="G943" i="3"/>
  <c r="E943" i="3"/>
  <c r="C943" i="3"/>
  <c r="G942" i="3"/>
  <c r="E942" i="3"/>
  <c r="C942" i="3"/>
  <c r="G941" i="3"/>
  <c r="E941" i="3"/>
  <c r="C941" i="3"/>
  <c r="G940" i="3"/>
  <c r="E940" i="3"/>
  <c r="C940" i="3"/>
  <c r="G939" i="3"/>
  <c r="E939" i="3"/>
  <c r="C939" i="3"/>
  <c r="G938" i="3"/>
  <c r="E938" i="3"/>
  <c r="C938" i="3"/>
  <c r="G937" i="3"/>
  <c r="E937" i="3"/>
  <c r="C937" i="3"/>
  <c r="G936" i="3"/>
  <c r="E936" i="3"/>
  <c r="C936" i="3"/>
  <c r="G935" i="3"/>
  <c r="E935" i="3"/>
  <c r="C935" i="3"/>
  <c r="G934" i="3"/>
  <c r="E934" i="3"/>
  <c r="C934" i="3"/>
  <c r="G933" i="3"/>
  <c r="E933" i="3"/>
  <c r="C933" i="3"/>
  <c r="G932" i="3"/>
  <c r="E932" i="3"/>
  <c r="C932" i="3"/>
  <c r="G931" i="3"/>
  <c r="E931" i="3"/>
  <c r="C931" i="3"/>
  <c r="G930" i="3"/>
  <c r="E930" i="3"/>
  <c r="C930" i="3"/>
  <c r="G929" i="3"/>
  <c r="E929" i="3"/>
  <c r="C929" i="3"/>
  <c r="G928" i="3"/>
  <c r="E928" i="3"/>
  <c r="C928" i="3"/>
  <c r="G927" i="3"/>
  <c r="E927" i="3"/>
  <c r="C927" i="3"/>
  <c r="G926" i="3"/>
  <c r="E926" i="3"/>
  <c r="C926" i="3"/>
  <c r="G925" i="3"/>
  <c r="E925" i="3"/>
  <c r="C925" i="3"/>
  <c r="G924" i="3"/>
  <c r="E924" i="3"/>
  <c r="C924" i="3"/>
  <c r="G923" i="3"/>
  <c r="E923" i="3"/>
  <c r="C923" i="3"/>
  <c r="G922" i="3"/>
  <c r="E922" i="3"/>
  <c r="C922" i="3"/>
  <c r="G921" i="3"/>
  <c r="E921" i="3"/>
  <c r="C921" i="3"/>
  <c r="G920" i="3"/>
  <c r="E920" i="3"/>
  <c r="C920" i="3"/>
  <c r="G919" i="3"/>
  <c r="E919" i="3"/>
  <c r="C919" i="3"/>
  <c r="G918" i="3"/>
  <c r="E918" i="3"/>
  <c r="C918" i="3"/>
  <c r="G917" i="3"/>
  <c r="E917" i="3"/>
  <c r="C917" i="3"/>
  <c r="G916" i="3"/>
  <c r="E916" i="3"/>
  <c r="C916" i="3"/>
  <c r="G915" i="3"/>
  <c r="E915" i="3"/>
  <c r="C915" i="3"/>
  <c r="G914" i="3"/>
  <c r="E914" i="3"/>
  <c r="C914" i="3"/>
  <c r="G913" i="3"/>
  <c r="E913" i="3"/>
  <c r="C913" i="3"/>
  <c r="G912" i="3"/>
  <c r="E912" i="3"/>
  <c r="C912" i="3"/>
  <c r="G911" i="3"/>
  <c r="E911" i="3"/>
  <c r="C911" i="3"/>
  <c r="G910" i="3"/>
  <c r="E910" i="3"/>
  <c r="C910" i="3"/>
  <c r="G909" i="3"/>
  <c r="E909" i="3"/>
  <c r="C909" i="3"/>
  <c r="G908" i="3"/>
  <c r="E908" i="3"/>
  <c r="C908" i="3"/>
  <c r="G907" i="3"/>
  <c r="E907" i="3"/>
  <c r="C907" i="3"/>
  <c r="G906" i="3"/>
  <c r="E906" i="3"/>
  <c r="C906" i="3"/>
  <c r="G905" i="3"/>
  <c r="E905" i="3"/>
  <c r="C905" i="3"/>
  <c r="G904" i="3"/>
  <c r="E904" i="3"/>
  <c r="C904" i="3"/>
  <c r="G903" i="3"/>
  <c r="E903" i="3"/>
  <c r="G902" i="3"/>
  <c r="E902" i="3"/>
  <c r="C902" i="3"/>
  <c r="G901" i="3"/>
  <c r="E901" i="3"/>
  <c r="C901" i="3"/>
  <c r="G900" i="3"/>
  <c r="E900" i="3"/>
  <c r="C900" i="3"/>
  <c r="G899" i="3"/>
  <c r="E899" i="3"/>
  <c r="C899" i="3"/>
  <c r="G898" i="3"/>
  <c r="E898" i="3"/>
  <c r="C898" i="3"/>
  <c r="G897" i="3"/>
  <c r="E897" i="3"/>
  <c r="C897" i="3"/>
  <c r="G896" i="3"/>
  <c r="E896" i="3"/>
  <c r="C896" i="3"/>
  <c r="G895" i="3"/>
  <c r="E895" i="3"/>
  <c r="C895" i="3"/>
  <c r="G894" i="3"/>
  <c r="E894" i="3"/>
  <c r="C894" i="3"/>
  <c r="G893" i="3"/>
  <c r="E893" i="3"/>
  <c r="C893" i="3"/>
  <c r="G892" i="3"/>
  <c r="E892" i="3"/>
  <c r="C892" i="3"/>
  <c r="G891" i="3"/>
  <c r="E891" i="3"/>
  <c r="C891" i="3"/>
  <c r="G890" i="3"/>
  <c r="E890" i="3"/>
  <c r="C890" i="3"/>
  <c r="G889" i="3"/>
  <c r="E889" i="3"/>
  <c r="C889" i="3"/>
  <c r="G888" i="3"/>
  <c r="E888" i="3"/>
  <c r="C888" i="3"/>
  <c r="G887" i="3"/>
  <c r="E887" i="3"/>
  <c r="C887" i="3"/>
  <c r="G886" i="3"/>
  <c r="E886" i="3"/>
  <c r="C886" i="3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T38" i="21"/>
  <c r="J38" i="21"/>
  <c r="G38" i="21"/>
  <c r="T37" i="21"/>
  <c r="J37" i="21"/>
  <c r="G37" i="21"/>
  <c r="T36" i="21"/>
  <c r="J36" i="21"/>
  <c r="G36" i="21"/>
  <c r="T35" i="21"/>
  <c r="J35" i="21"/>
  <c r="G35" i="21"/>
  <c r="T34" i="21"/>
  <c r="J34" i="21"/>
  <c r="G34" i="21"/>
  <c r="T33" i="21"/>
  <c r="J33" i="21"/>
  <c r="G33" i="21"/>
  <c r="T32" i="21"/>
  <c r="J32" i="21"/>
  <c r="G32" i="21"/>
  <c r="T31" i="21"/>
  <c r="J31" i="21"/>
  <c r="G31" i="21"/>
  <c r="T30" i="21"/>
  <c r="J30" i="21"/>
  <c r="G30" i="21"/>
  <c r="T29" i="21"/>
  <c r="J29" i="21"/>
  <c r="G29" i="21"/>
  <c r="T28" i="21"/>
  <c r="J28" i="21"/>
  <c r="G28" i="21"/>
  <c r="T27" i="21"/>
  <c r="J27" i="21"/>
  <c r="G27" i="21"/>
  <c r="T26" i="21"/>
  <c r="J26" i="21"/>
  <c r="G26" i="21"/>
  <c r="T25" i="21"/>
  <c r="J25" i="21"/>
  <c r="G25" i="21"/>
  <c r="T24" i="21"/>
  <c r="J24" i="21"/>
  <c r="G24" i="21"/>
  <c r="T23" i="21"/>
  <c r="J23" i="21"/>
  <c r="G23" i="21"/>
  <c r="T22" i="21"/>
  <c r="J22" i="21"/>
  <c r="G22" i="21"/>
  <c r="T21" i="21"/>
  <c r="J21" i="21"/>
  <c r="G21" i="21"/>
  <c r="T20" i="21"/>
  <c r="J20" i="21"/>
  <c r="G20" i="21"/>
  <c r="T19" i="21"/>
  <c r="J19" i="21"/>
  <c r="G19" i="21"/>
  <c r="T18" i="21"/>
  <c r="J18" i="21"/>
  <c r="G18" i="21"/>
  <c r="T17" i="21"/>
  <c r="J17" i="21"/>
  <c r="G17" i="21"/>
  <c r="T16" i="21"/>
  <c r="J16" i="21"/>
  <c r="G16" i="21"/>
  <c r="T15" i="21"/>
  <c r="J15" i="21"/>
  <c r="G15" i="21"/>
  <c r="T14" i="21"/>
  <c r="J14" i="21"/>
  <c r="G14" i="21"/>
  <c r="T13" i="21"/>
  <c r="J13" i="21"/>
  <c r="G13" i="21"/>
  <c r="T12" i="21"/>
  <c r="J12" i="21"/>
  <c r="G12" i="21"/>
  <c r="T11" i="21"/>
  <c r="J11" i="21"/>
  <c r="G11" i="21"/>
  <c r="T10" i="21"/>
  <c r="J10" i="21"/>
  <c r="G10" i="21"/>
  <c r="T9" i="21"/>
  <c r="J9" i="21"/>
  <c r="G9" i="21"/>
  <c r="T8" i="21"/>
  <c r="J8" i="21"/>
  <c r="G8" i="21"/>
  <c r="T7" i="21"/>
  <c r="J7" i="21"/>
  <c r="G7" i="21"/>
  <c r="T6" i="21"/>
  <c r="J6" i="21"/>
  <c r="G6" i="21"/>
  <c r="T30" i="20"/>
  <c r="J30" i="20"/>
  <c r="G30" i="20"/>
  <c r="T29" i="20"/>
  <c r="J29" i="20"/>
  <c r="G29" i="20"/>
  <c r="T28" i="20"/>
  <c r="J28" i="20"/>
  <c r="G28" i="20"/>
  <c r="T27" i="20"/>
  <c r="J27" i="20"/>
  <c r="G27" i="20"/>
  <c r="T26" i="20"/>
  <c r="J26" i="20"/>
  <c r="G26" i="20"/>
  <c r="T25" i="20"/>
  <c r="J25" i="20"/>
  <c r="G25" i="20"/>
  <c r="T24" i="20"/>
  <c r="J24" i="20"/>
  <c r="G24" i="20"/>
  <c r="T23" i="20"/>
  <c r="J23" i="20"/>
  <c r="G23" i="20"/>
  <c r="T22" i="20"/>
  <c r="J22" i="20"/>
  <c r="G22" i="20"/>
  <c r="T21" i="20"/>
  <c r="J21" i="20"/>
  <c r="G21" i="20"/>
  <c r="T20" i="20"/>
  <c r="J20" i="20"/>
  <c r="G20" i="20"/>
  <c r="T19" i="20"/>
  <c r="J19" i="20"/>
  <c r="G19" i="20"/>
  <c r="T18" i="20"/>
  <c r="J18" i="20"/>
  <c r="G18" i="20"/>
  <c r="T17" i="20"/>
  <c r="J17" i="20"/>
  <c r="G17" i="20"/>
  <c r="T16" i="20"/>
  <c r="J16" i="20"/>
  <c r="G16" i="20"/>
  <c r="T15" i="20"/>
  <c r="J15" i="20"/>
  <c r="G15" i="20"/>
  <c r="T14" i="20"/>
  <c r="J14" i="20"/>
  <c r="G14" i="20"/>
  <c r="T13" i="20"/>
  <c r="J13" i="20"/>
  <c r="G13" i="20"/>
  <c r="T12" i="20"/>
  <c r="J12" i="20"/>
  <c r="G12" i="20"/>
  <c r="T11" i="20"/>
  <c r="J11" i="20"/>
  <c r="G11" i="20"/>
  <c r="T10" i="20"/>
  <c r="J10" i="20"/>
  <c r="G10" i="20"/>
  <c r="T9" i="20"/>
  <c r="J9" i="20"/>
  <c r="G9" i="20"/>
  <c r="T8" i="20"/>
  <c r="J8" i="20"/>
  <c r="G8" i="20"/>
  <c r="T6" i="20"/>
  <c r="J6" i="20"/>
  <c r="G6" i="20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R635" i="1"/>
  <c r="Q635" i="1"/>
  <c r="P635" i="1"/>
  <c r="AU634" i="1"/>
  <c r="AE634" i="1"/>
  <c r="AD634" i="1"/>
  <c r="AC634" i="1"/>
  <c r="I634" i="1"/>
  <c r="C634" i="1"/>
  <c r="B634" i="1"/>
  <c r="A634" i="1"/>
  <c r="AU633" i="1"/>
  <c r="AE633" i="1"/>
  <c r="AD633" i="1"/>
  <c r="AC633" i="1"/>
  <c r="I633" i="1"/>
  <c r="C633" i="1"/>
  <c r="B633" i="1"/>
  <c r="A633" i="1"/>
  <c r="AU632" i="1"/>
  <c r="AE632" i="1"/>
  <c r="AD632" i="1"/>
  <c r="AC632" i="1"/>
  <c r="I632" i="1"/>
  <c r="C632" i="1"/>
  <c r="B632" i="1"/>
  <c r="A632" i="1"/>
  <c r="AU631" i="1"/>
  <c r="AE631" i="1"/>
  <c r="AD631" i="1"/>
  <c r="AC631" i="1"/>
  <c r="I631" i="1"/>
  <c r="C631" i="1"/>
  <c r="B631" i="1"/>
  <c r="A631" i="1"/>
  <c r="AU630" i="1"/>
  <c r="AE630" i="1"/>
  <c r="AD630" i="1"/>
  <c r="AC630" i="1"/>
  <c r="I630" i="1"/>
  <c r="C630" i="1"/>
  <c r="B630" i="1"/>
  <c r="A630" i="1"/>
  <c r="AU629" i="1"/>
  <c r="AE629" i="1"/>
  <c r="AD629" i="1"/>
  <c r="AC629" i="1"/>
  <c r="I629" i="1"/>
  <c r="C629" i="1"/>
  <c r="B629" i="1"/>
  <c r="A629" i="1"/>
  <c r="AU628" i="1"/>
  <c r="AE628" i="1"/>
  <c r="AD628" i="1"/>
  <c r="AC628" i="1"/>
  <c r="I628" i="1"/>
  <c r="C628" i="1"/>
  <c r="B628" i="1"/>
  <c r="A628" i="1"/>
  <c r="AU627" i="1"/>
  <c r="AE627" i="1"/>
  <c r="AD627" i="1"/>
  <c r="AC627" i="1"/>
  <c r="I627" i="1"/>
  <c r="C627" i="1"/>
  <c r="B627" i="1"/>
  <c r="A627" i="1"/>
  <c r="AU626" i="1"/>
  <c r="AE626" i="1"/>
  <c r="AD626" i="1"/>
  <c r="AC626" i="1"/>
  <c r="I626" i="1"/>
  <c r="C626" i="1"/>
  <c r="B626" i="1"/>
  <c r="A626" i="1"/>
  <c r="AU625" i="1"/>
  <c r="AE625" i="1"/>
  <c r="AD625" i="1"/>
  <c r="AC625" i="1"/>
  <c r="I625" i="1"/>
  <c r="C625" i="1"/>
  <c r="B625" i="1"/>
  <c r="A625" i="1"/>
  <c r="AU624" i="1"/>
  <c r="AE624" i="1"/>
  <c r="AD624" i="1"/>
  <c r="AC624" i="1"/>
  <c r="I624" i="1"/>
  <c r="C624" i="1"/>
  <c r="B624" i="1"/>
  <c r="A624" i="1"/>
  <c r="AU623" i="1"/>
  <c r="AE623" i="1"/>
  <c r="AD623" i="1"/>
  <c r="AC623" i="1"/>
  <c r="I623" i="1"/>
  <c r="C623" i="1"/>
  <c r="B623" i="1"/>
  <c r="A623" i="1"/>
  <c r="AU622" i="1"/>
  <c r="AE622" i="1"/>
  <c r="AD622" i="1"/>
  <c r="AC622" i="1"/>
  <c r="I622" i="1"/>
  <c r="C622" i="1"/>
  <c r="B622" i="1"/>
  <c r="A622" i="1"/>
  <c r="AU621" i="1"/>
  <c r="AE621" i="1"/>
  <c r="AD621" i="1"/>
  <c r="AC621" i="1"/>
  <c r="I621" i="1"/>
  <c r="C621" i="1"/>
  <c r="B621" i="1"/>
  <c r="A621" i="1"/>
  <c r="AU620" i="1"/>
  <c r="AE620" i="1"/>
  <c r="AD620" i="1"/>
  <c r="AC620" i="1"/>
  <c r="I620" i="1"/>
  <c r="C620" i="1"/>
  <c r="B620" i="1"/>
  <c r="A620" i="1"/>
  <c r="AU619" i="1"/>
  <c r="AE619" i="1"/>
  <c r="AD619" i="1"/>
  <c r="AC619" i="1"/>
  <c r="I619" i="1"/>
  <c r="C619" i="1"/>
  <c r="B619" i="1"/>
  <c r="A619" i="1"/>
  <c r="AU618" i="1"/>
  <c r="AE618" i="1"/>
  <c r="AD618" i="1"/>
  <c r="AC618" i="1"/>
  <c r="I618" i="1"/>
  <c r="C618" i="1"/>
  <c r="B618" i="1"/>
  <c r="A618" i="1"/>
  <c r="AU617" i="1"/>
  <c r="AE617" i="1"/>
  <c r="AD617" i="1"/>
  <c r="AC617" i="1"/>
  <c r="I617" i="1"/>
  <c r="C617" i="1"/>
  <c r="B617" i="1"/>
  <c r="A617" i="1"/>
  <c r="AU616" i="1"/>
  <c r="AE616" i="1"/>
  <c r="AD616" i="1"/>
  <c r="AC616" i="1"/>
  <c r="I616" i="1"/>
  <c r="C616" i="1"/>
  <c r="B616" i="1"/>
  <c r="A616" i="1"/>
  <c r="AU615" i="1"/>
  <c r="AE615" i="1"/>
  <c r="AD615" i="1"/>
  <c r="AC615" i="1"/>
  <c r="I615" i="1"/>
  <c r="C615" i="1"/>
  <c r="B615" i="1"/>
  <c r="A615" i="1"/>
  <c r="AU614" i="1"/>
  <c r="AE614" i="1"/>
  <c r="AD614" i="1"/>
  <c r="AC614" i="1"/>
  <c r="I614" i="1"/>
  <c r="C614" i="1"/>
  <c r="B614" i="1"/>
  <c r="A614" i="1"/>
  <c r="AU613" i="1"/>
  <c r="AE613" i="1"/>
  <c r="AD613" i="1"/>
  <c r="AC613" i="1"/>
  <c r="I613" i="1"/>
  <c r="C613" i="1"/>
  <c r="B613" i="1"/>
  <c r="A613" i="1"/>
  <c r="AU612" i="1"/>
  <c r="AE612" i="1"/>
  <c r="AD612" i="1"/>
  <c r="AC612" i="1"/>
  <c r="I612" i="1"/>
  <c r="C612" i="1"/>
  <c r="B612" i="1"/>
  <c r="A612" i="1"/>
  <c r="AU611" i="1"/>
  <c r="AE611" i="1"/>
  <c r="AD611" i="1"/>
  <c r="AC611" i="1"/>
  <c r="I611" i="1"/>
  <c r="C611" i="1"/>
  <c r="B611" i="1"/>
  <c r="A611" i="1"/>
  <c r="AU610" i="1"/>
  <c r="AE610" i="1"/>
  <c r="AD610" i="1"/>
  <c r="AC610" i="1"/>
  <c r="I610" i="1"/>
  <c r="C610" i="1"/>
  <c r="B610" i="1"/>
  <c r="A610" i="1"/>
  <c r="AU609" i="1"/>
  <c r="AE609" i="1"/>
  <c r="AD609" i="1"/>
  <c r="AC609" i="1"/>
  <c r="I609" i="1"/>
  <c r="C609" i="1"/>
  <c r="B609" i="1"/>
  <c r="A609" i="1"/>
  <c r="AU608" i="1"/>
  <c r="AE608" i="1"/>
  <c r="AD608" i="1"/>
  <c r="AC608" i="1"/>
  <c r="I608" i="1"/>
  <c r="C608" i="1"/>
  <c r="B608" i="1"/>
  <c r="A608" i="1"/>
  <c r="AU607" i="1"/>
  <c r="AE607" i="1"/>
  <c r="AD607" i="1"/>
  <c r="AC607" i="1"/>
  <c r="I607" i="1"/>
  <c r="C607" i="1"/>
  <c r="B607" i="1"/>
  <c r="A607" i="1"/>
  <c r="AU606" i="1"/>
  <c r="AE606" i="1"/>
  <c r="AD606" i="1"/>
  <c r="AC606" i="1"/>
  <c r="I606" i="1"/>
  <c r="C606" i="1"/>
  <c r="B606" i="1"/>
  <c r="A606" i="1"/>
  <c r="AU605" i="1"/>
  <c r="AE605" i="1"/>
  <c r="AD605" i="1"/>
  <c r="AC605" i="1"/>
  <c r="I605" i="1"/>
  <c r="C605" i="1"/>
  <c r="B605" i="1"/>
  <c r="A605" i="1"/>
  <c r="AU604" i="1"/>
  <c r="AE604" i="1"/>
  <c r="AD604" i="1"/>
  <c r="AC604" i="1"/>
  <c r="I604" i="1"/>
  <c r="C604" i="1"/>
  <c r="B604" i="1"/>
  <c r="A604" i="1"/>
  <c r="AU603" i="1"/>
  <c r="AE603" i="1"/>
  <c r="AD603" i="1"/>
  <c r="AC603" i="1"/>
  <c r="I603" i="1"/>
  <c r="C603" i="1"/>
  <c r="B603" i="1"/>
  <c r="A603" i="1"/>
  <c r="AU602" i="1"/>
  <c r="AE602" i="1"/>
  <c r="AD602" i="1"/>
  <c r="AC602" i="1"/>
  <c r="I602" i="1"/>
  <c r="C602" i="1"/>
  <c r="B602" i="1"/>
  <c r="A602" i="1"/>
  <c r="AU601" i="1"/>
  <c r="AE601" i="1"/>
  <c r="AD601" i="1"/>
  <c r="AC601" i="1"/>
  <c r="I601" i="1"/>
  <c r="C601" i="1"/>
  <c r="B601" i="1"/>
  <c r="A601" i="1"/>
  <c r="AU600" i="1"/>
  <c r="AE600" i="1"/>
  <c r="AD600" i="1"/>
  <c r="AC600" i="1"/>
  <c r="I600" i="1"/>
  <c r="C600" i="1"/>
  <c r="B600" i="1"/>
  <c r="A600" i="1"/>
  <c r="AU599" i="1"/>
  <c r="AE599" i="1"/>
  <c r="AD599" i="1"/>
  <c r="AC599" i="1"/>
  <c r="I599" i="1"/>
  <c r="C599" i="1"/>
  <c r="B599" i="1"/>
  <c r="A599" i="1"/>
  <c r="AU598" i="1"/>
  <c r="AE598" i="1"/>
  <c r="AD598" i="1"/>
  <c r="AC598" i="1"/>
  <c r="I598" i="1"/>
  <c r="C598" i="1"/>
  <c r="B598" i="1"/>
  <c r="A598" i="1"/>
  <c r="AU597" i="1"/>
  <c r="AE597" i="1"/>
  <c r="AD597" i="1"/>
  <c r="AC597" i="1"/>
  <c r="I597" i="1"/>
  <c r="C597" i="1"/>
  <c r="B597" i="1"/>
  <c r="A597" i="1"/>
  <c r="AU596" i="1"/>
  <c r="AE596" i="1"/>
  <c r="AD596" i="1"/>
  <c r="AC596" i="1"/>
  <c r="I596" i="1"/>
  <c r="C596" i="1"/>
  <c r="B596" i="1"/>
  <c r="A596" i="1"/>
  <c r="AU595" i="1"/>
  <c r="AE595" i="1"/>
  <c r="AD595" i="1"/>
  <c r="AC595" i="1"/>
  <c r="I595" i="1"/>
  <c r="C595" i="1"/>
  <c r="B595" i="1"/>
  <c r="A595" i="1"/>
  <c r="AU594" i="1"/>
  <c r="AE594" i="1"/>
  <c r="AD594" i="1"/>
  <c r="AC594" i="1"/>
  <c r="I594" i="1"/>
  <c r="C594" i="1"/>
  <c r="B594" i="1"/>
  <c r="A594" i="1"/>
  <c r="AU593" i="1"/>
  <c r="AE593" i="1"/>
  <c r="AD593" i="1"/>
  <c r="AC593" i="1"/>
  <c r="I593" i="1"/>
  <c r="C593" i="1"/>
  <c r="B593" i="1"/>
  <c r="A593" i="1"/>
  <c r="AU592" i="1"/>
  <c r="AE592" i="1"/>
  <c r="AD592" i="1"/>
  <c r="AC592" i="1"/>
  <c r="I592" i="1"/>
  <c r="C592" i="1"/>
  <c r="B592" i="1"/>
  <c r="A592" i="1"/>
  <c r="AU591" i="1"/>
  <c r="AE591" i="1"/>
  <c r="AD591" i="1"/>
  <c r="AC591" i="1"/>
  <c r="I591" i="1"/>
  <c r="C591" i="1"/>
  <c r="B591" i="1"/>
  <c r="A591" i="1"/>
  <c r="AU590" i="1"/>
  <c r="AE590" i="1"/>
  <c r="AD590" i="1"/>
  <c r="AC590" i="1"/>
  <c r="I590" i="1"/>
  <c r="C590" i="1"/>
  <c r="B590" i="1"/>
  <c r="A590" i="1"/>
  <c r="AU589" i="1"/>
  <c r="AE589" i="1"/>
  <c r="AD589" i="1"/>
  <c r="AC589" i="1"/>
  <c r="I589" i="1"/>
  <c r="C589" i="1"/>
  <c r="B589" i="1"/>
  <c r="A589" i="1"/>
  <c r="AU588" i="1"/>
  <c r="AE588" i="1"/>
  <c r="AD588" i="1"/>
  <c r="AC588" i="1"/>
  <c r="I588" i="1"/>
  <c r="C588" i="1"/>
  <c r="B588" i="1"/>
  <c r="A588" i="1"/>
  <c r="AU587" i="1"/>
  <c r="AE587" i="1"/>
  <c r="AD587" i="1"/>
  <c r="AC587" i="1"/>
  <c r="I587" i="1"/>
  <c r="C587" i="1"/>
  <c r="B587" i="1"/>
  <c r="A587" i="1"/>
  <c r="AU586" i="1"/>
  <c r="AE586" i="1"/>
  <c r="AD586" i="1"/>
  <c r="AC586" i="1"/>
  <c r="I586" i="1"/>
  <c r="C586" i="1"/>
  <c r="B586" i="1"/>
  <c r="A586" i="1"/>
  <c r="AU585" i="1"/>
  <c r="AE585" i="1"/>
  <c r="AD585" i="1"/>
  <c r="AC585" i="1"/>
  <c r="I585" i="1"/>
  <c r="C585" i="1"/>
  <c r="B585" i="1"/>
  <c r="A585" i="1"/>
  <c r="AU584" i="1"/>
  <c r="AE584" i="1"/>
  <c r="AD584" i="1"/>
  <c r="AC584" i="1"/>
  <c r="I584" i="1"/>
  <c r="C584" i="1"/>
  <c r="B584" i="1"/>
  <c r="A584" i="1"/>
  <c r="AU583" i="1"/>
  <c r="AE583" i="1"/>
  <c r="AD583" i="1"/>
  <c r="AC583" i="1"/>
  <c r="I583" i="1"/>
  <c r="C583" i="1"/>
  <c r="B583" i="1"/>
  <c r="A583" i="1"/>
  <c r="AU582" i="1"/>
  <c r="AE582" i="1"/>
  <c r="AD582" i="1"/>
  <c r="AC582" i="1"/>
  <c r="I582" i="1"/>
  <c r="C582" i="1"/>
  <c r="B582" i="1"/>
  <c r="A582" i="1"/>
  <c r="AU581" i="1"/>
  <c r="AE581" i="1"/>
  <c r="AD581" i="1"/>
  <c r="AC581" i="1"/>
  <c r="I581" i="1"/>
  <c r="C581" i="1"/>
  <c r="B581" i="1"/>
  <c r="A581" i="1"/>
  <c r="AU580" i="1"/>
  <c r="AE580" i="1"/>
  <c r="AD580" i="1"/>
  <c r="AC580" i="1"/>
  <c r="I580" i="1"/>
  <c r="C580" i="1"/>
  <c r="B580" i="1"/>
  <c r="A580" i="1"/>
  <c r="AU579" i="1"/>
  <c r="AE579" i="1"/>
  <c r="AD579" i="1"/>
  <c r="AC579" i="1"/>
  <c r="I579" i="1"/>
  <c r="C579" i="1"/>
  <c r="B579" i="1"/>
  <c r="A579" i="1"/>
  <c r="AU578" i="1"/>
  <c r="AE578" i="1"/>
  <c r="AD578" i="1"/>
  <c r="AC578" i="1"/>
  <c r="I578" i="1"/>
  <c r="C578" i="1"/>
  <c r="B578" i="1"/>
  <c r="A578" i="1"/>
  <c r="AU577" i="1"/>
  <c r="AE577" i="1"/>
  <c r="AD577" i="1"/>
  <c r="AC577" i="1"/>
  <c r="I577" i="1"/>
  <c r="C577" i="1"/>
  <c r="B577" i="1"/>
  <c r="A577" i="1"/>
  <c r="AU576" i="1"/>
  <c r="AE576" i="1"/>
  <c r="AD576" i="1"/>
  <c r="AC576" i="1"/>
  <c r="I576" i="1"/>
  <c r="C576" i="1"/>
  <c r="B576" i="1"/>
  <c r="A576" i="1"/>
  <c r="AU575" i="1"/>
  <c r="AE575" i="1"/>
  <c r="AD575" i="1"/>
  <c r="AC575" i="1"/>
  <c r="I575" i="1"/>
  <c r="C575" i="1"/>
  <c r="B575" i="1"/>
  <c r="A575" i="1"/>
  <c r="AU574" i="1"/>
  <c r="AE574" i="1"/>
  <c r="AD574" i="1"/>
  <c r="AC574" i="1"/>
  <c r="I574" i="1"/>
  <c r="C574" i="1"/>
  <c r="B574" i="1"/>
  <c r="A574" i="1"/>
  <c r="AU573" i="1"/>
  <c r="AE573" i="1"/>
  <c r="AD573" i="1"/>
  <c r="AC573" i="1"/>
  <c r="I573" i="1"/>
  <c r="C573" i="1"/>
  <c r="B573" i="1"/>
  <c r="A573" i="1"/>
  <c r="AU572" i="1"/>
  <c r="AE572" i="1"/>
  <c r="AD572" i="1"/>
  <c r="AC572" i="1"/>
  <c r="I572" i="1"/>
  <c r="C572" i="1"/>
  <c r="B572" i="1"/>
  <c r="A572" i="1"/>
  <c r="AU571" i="1"/>
  <c r="AE571" i="1"/>
  <c r="AD571" i="1"/>
  <c r="AC571" i="1"/>
  <c r="I571" i="1"/>
  <c r="C571" i="1"/>
  <c r="B571" i="1"/>
  <c r="A571" i="1"/>
  <c r="AU570" i="1"/>
  <c r="AE570" i="1"/>
  <c r="AD570" i="1"/>
  <c r="AC570" i="1"/>
  <c r="I570" i="1"/>
  <c r="C570" i="1"/>
  <c r="B570" i="1"/>
  <c r="A570" i="1"/>
  <c r="AU569" i="1"/>
  <c r="AE569" i="1"/>
  <c r="AD569" i="1"/>
  <c r="AC569" i="1"/>
  <c r="I569" i="1"/>
  <c r="C569" i="1"/>
  <c r="B569" i="1"/>
  <c r="A569" i="1"/>
  <c r="AU568" i="1"/>
  <c r="AE568" i="1"/>
  <c r="AD568" i="1"/>
  <c r="AC568" i="1"/>
  <c r="I568" i="1"/>
  <c r="C568" i="1"/>
  <c r="B568" i="1"/>
  <c r="A568" i="1"/>
  <c r="AU567" i="1"/>
  <c r="AE567" i="1"/>
  <c r="AD567" i="1"/>
  <c r="AC567" i="1"/>
  <c r="I567" i="1"/>
  <c r="C567" i="1"/>
  <c r="B567" i="1"/>
  <c r="A567" i="1"/>
  <c r="AU566" i="1"/>
  <c r="AE566" i="1"/>
  <c r="AD566" i="1"/>
  <c r="AC566" i="1"/>
  <c r="I566" i="1"/>
  <c r="C566" i="1"/>
  <c r="B566" i="1"/>
  <c r="A566" i="1"/>
  <c r="AU565" i="1"/>
  <c r="AE565" i="1"/>
  <c r="AD565" i="1"/>
  <c r="AC565" i="1"/>
  <c r="I565" i="1"/>
  <c r="C565" i="1"/>
  <c r="B565" i="1"/>
  <c r="A565" i="1"/>
  <c r="AU564" i="1"/>
  <c r="AE564" i="1"/>
  <c r="AD564" i="1"/>
  <c r="AC564" i="1"/>
  <c r="I564" i="1"/>
  <c r="C564" i="1"/>
  <c r="B564" i="1"/>
  <c r="A564" i="1"/>
  <c r="AU563" i="1"/>
  <c r="AE563" i="1"/>
  <c r="AD563" i="1"/>
  <c r="AC563" i="1"/>
  <c r="I563" i="1"/>
  <c r="C563" i="1"/>
  <c r="B563" i="1"/>
  <c r="A563" i="1"/>
  <c r="AU562" i="1"/>
  <c r="AE562" i="1"/>
  <c r="AD562" i="1"/>
  <c r="AC562" i="1"/>
  <c r="I562" i="1"/>
  <c r="C562" i="1"/>
  <c r="B562" i="1"/>
  <c r="A562" i="1"/>
  <c r="AU561" i="1"/>
  <c r="AE561" i="1"/>
  <c r="AD561" i="1"/>
  <c r="AC561" i="1"/>
  <c r="I561" i="1"/>
  <c r="C561" i="1"/>
  <c r="B561" i="1"/>
  <c r="A561" i="1"/>
  <c r="AU560" i="1"/>
  <c r="AE560" i="1"/>
  <c r="AD560" i="1"/>
  <c r="AC560" i="1"/>
  <c r="I560" i="1"/>
  <c r="C560" i="1"/>
  <c r="B560" i="1"/>
  <c r="A560" i="1"/>
  <c r="AU559" i="1"/>
  <c r="AE559" i="1"/>
  <c r="AD559" i="1"/>
  <c r="AC559" i="1"/>
  <c r="I559" i="1"/>
  <c r="C559" i="1"/>
  <c r="B559" i="1"/>
  <c r="A559" i="1"/>
  <c r="AU558" i="1"/>
  <c r="AE558" i="1"/>
  <c r="AD558" i="1"/>
  <c r="AC558" i="1"/>
  <c r="I558" i="1"/>
  <c r="C558" i="1"/>
  <c r="B558" i="1"/>
  <c r="A558" i="1"/>
  <c r="AU557" i="1"/>
  <c r="AE557" i="1"/>
  <c r="AD557" i="1"/>
  <c r="AC557" i="1"/>
  <c r="I557" i="1"/>
  <c r="C557" i="1"/>
  <c r="B557" i="1"/>
  <c r="A557" i="1"/>
  <c r="AU556" i="1"/>
  <c r="AE556" i="1"/>
  <c r="AD556" i="1"/>
  <c r="AC556" i="1"/>
  <c r="I556" i="1"/>
  <c r="C556" i="1"/>
  <c r="B556" i="1"/>
  <c r="A556" i="1"/>
  <c r="AU555" i="1"/>
  <c r="AE555" i="1"/>
  <c r="AD555" i="1"/>
  <c r="AC555" i="1"/>
  <c r="I555" i="1"/>
  <c r="C555" i="1"/>
  <c r="B555" i="1"/>
  <c r="A555" i="1"/>
  <c r="AU554" i="1"/>
  <c r="AE554" i="1"/>
  <c r="AD554" i="1"/>
  <c r="AC554" i="1"/>
  <c r="I554" i="1"/>
  <c r="C554" i="1"/>
  <c r="B554" i="1"/>
  <c r="A554" i="1"/>
  <c r="AU553" i="1"/>
  <c r="AE553" i="1"/>
  <c r="AD553" i="1"/>
  <c r="AC553" i="1"/>
  <c r="I553" i="1"/>
  <c r="C553" i="1"/>
  <c r="B553" i="1"/>
  <c r="A553" i="1"/>
  <c r="AU552" i="1"/>
  <c r="AE552" i="1"/>
  <c r="AD552" i="1"/>
  <c r="AC552" i="1"/>
  <c r="I552" i="1"/>
  <c r="C552" i="1"/>
  <c r="B552" i="1"/>
  <c r="A552" i="1"/>
  <c r="AU551" i="1"/>
  <c r="AE551" i="1"/>
  <c r="AD551" i="1"/>
  <c r="AC551" i="1"/>
  <c r="I551" i="1"/>
  <c r="C551" i="1"/>
  <c r="B551" i="1"/>
  <c r="A551" i="1"/>
  <c r="AU550" i="1"/>
  <c r="AE550" i="1"/>
  <c r="AD550" i="1"/>
  <c r="AC550" i="1"/>
  <c r="I550" i="1"/>
  <c r="C550" i="1"/>
  <c r="B550" i="1"/>
  <c r="A550" i="1"/>
  <c r="AU549" i="1"/>
  <c r="AE549" i="1"/>
  <c r="AD549" i="1"/>
  <c r="AC549" i="1"/>
  <c r="I549" i="1"/>
  <c r="C549" i="1"/>
  <c r="B549" i="1"/>
  <c r="A549" i="1"/>
  <c r="AU548" i="1"/>
  <c r="AE548" i="1"/>
  <c r="AD548" i="1"/>
  <c r="AC548" i="1"/>
  <c r="I548" i="1"/>
  <c r="C548" i="1"/>
  <c r="B548" i="1"/>
  <c r="A548" i="1"/>
  <c r="AU547" i="1"/>
  <c r="AE547" i="1"/>
  <c r="AD547" i="1"/>
  <c r="AC547" i="1"/>
  <c r="I547" i="1"/>
  <c r="C547" i="1"/>
  <c r="B547" i="1"/>
  <c r="A547" i="1"/>
  <c r="AU546" i="1"/>
  <c r="AE546" i="1"/>
  <c r="AD546" i="1"/>
  <c r="AC546" i="1"/>
  <c r="I546" i="1"/>
  <c r="C546" i="1"/>
  <c r="B546" i="1"/>
  <c r="A546" i="1"/>
  <c r="AU545" i="1"/>
  <c r="AE545" i="1"/>
  <c r="AD545" i="1"/>
  <c r="AC545" i="1"/>
  <c r="I545" i="1"/>
  <c r="C545" i="1"/>
  <c r="B545" i="1"/>
  <c r="A545" i="1"/>
  <c r="AU544" i="1"/>
  <c r="AE544" i="1"/>
  <c r="AD544" i="1"/>
  <c r="AC544" i="1"/>
  <c r="I544" i="1"/>
  <c r="C544" i="1"/>
  <c r="B544" i="1"/>
  <c r="A544" i="1"/>
  <c r="AU543" i="1"/>
  <c r="AE543" i="1"/>
  <c r="AD543" i="1"/>
  <c r="AC543" i="1"/>
  <c r="I543" i="1"/>
  <c r="C543" i="1"/>
  <c r="B543" i="1"/>
  <c r="A543" i="1"/>
  <c r="AU542" i="1"/>
  <c r="AE542" i="1"/>
  <c r="AD542" i="1"/>
  <c r="AC542" i="1"/>
  <c r="I542" i="1"/>
  <c r="C542" i="1"/>
  <c r="B542" i="1"/>
  <c r="A542" i="1"/>
  <c r="AU541" i="1"/>
  <c r="AE541" i="1"/>
  <c r="AD541" i="1"/>
  <c r="AC541" i="1"/>
  <c r="I541" i="1"/>
  <c r="C541" i="1"/>
  <c r="B541" i="1"/>
  <c r="A541" i="1"/>
  <c r="AU540" i="1"/>
  <c r="AE540" i="1"/>
  <c r="AD540" i="1"/>
  <c r="AC540" i="1"/>
  <c r="I540" i="1"/>
  <c r="C540" i="1"/>
  <c r="B540" i="1"/>
  <c r="A540" i="1"/>
  <c r="AU539" i="1"/>
  <c r="AE539" i="1"/>
  <c r="AD539" i="1"/>
  <c r="AC539" i="1"/>
  <c r="I539" i="1"/>
  <c r="C539" i="1"/>
  <c r="B539" i="1"/>
  <c r="A539" i="1"/>
  <c r="AU538" i="1"/>
  <c r="AE538" i="1"/>
  <c r="AD538" i="1"/>
  <c r="AC538" i="1"/>
  <c r="I538" i="1"/>
  <c r="C538" i="1"/>
  <c r="B538" i="1"/>
  <c r="A538" i="1"/>
  <c r="AU537" i="1"/>
  <c r="AE537" i="1"/>
  <c r="AD537" i="1"/>
  <c r="AC537" i="1"/>
  <c r="I537" i="1"/>
  <c r="C537" i="1"/>
  <c r="B537" i="1"/>
  <c r="A537" i="1"/>
  <c r="AU536" i="1"/>
  <c r="AE536" i="1"/>
  <c r="AD536" i="1"/>
  <c r="AC536" i="1"/>
  <c r="I536" i="1"/>
  <c r="C536" i="1"/>
  <c r="B536" i="1"/>
  <c r="A536" i="1"/>
  <c r="AU535" i="1"/>
  <c r="AE535" i="1"/>
  <c r="AD535" i="1"/>
  <c r="AC535" i="1"/>
  <c r="I535" i="1"/>
  <c r="C535" i="1"/>
  <c r="B535" i="1"/>
  <c r="A535" i="1"/>
  <c r="AU534" i="1"/>
  <c r="AE534" i="1"/>
  <c r="AD534" i="1"/>
  <c r="AC534" i="1"/>
  <c r="I534" i="1"/>
  <c r="C534" i="1"/>
  <c r="B534" i="1"/>
  <c r="A534" i="1"/>
  <c r="AU533" i="1"/>
  <c r="AE533" i="1"/>
  <c r="AD533" i="1"/>
  <c r="AC533" i="1"/>
  <c r="I533" i="1"/>
  <c r="C533" i="1"/>
  <c r="B533" i="1"/>
  <c r="A533" i="1"/>
  <c r="AU532" i="1"/>
  <c r="AE532" i="1"/>
  <c r="AD532" i="1"/>
  <c r="AC532" i="1"/>
  <c r="I532" i="1"/>
  <c r="C532" i="1"/>
  <c r="B532" i="1"/>
  <c r="A532" i="1"/>
  <c r="AU531" i="1"/>
  <c r="AE531" i="1"/>
  <c r="AD531" i="1"/>
  <c r="AC531" i="1"/>
  <c r="I531" i="1"/>
  <c r="C531" i="1"/>
  <c r="B531" i="1"/>
  <c r="A531" i="1"/>
  <c r="AU530" i="1"/>
  <c r="AE530" i="1"/>
  <c r="AD530" i="1"/>
  <c r="AC530" i="1"/>
  <c r="I530" i="1"/>
  <c r="C530" i="1"/>
  <c r="B530" i="1"/>
  <c r="A530" i="1"/>
  <c r="AU529" i="1"/>
  <c r="AE529" i="1"/>
  <c r="AD529" i="1"/>
  <c r="AC529" i="1"/>
  <c r="I529" i="1"/>
  <c r="C529" i="1"/>
  <c r="B529" i="1"/>
  <c r="A529" i="1"/>
  <c r="AU528" i="1"/>
  <c r="AE528" i="1"/>
  <c r="AD528" i="1"/>
  <c r="AC528" i="1"/>
  <c r="I528" i="1"/>
  <c r="C528" i="1"/>
  <c r="B528" i="1"/>
  <c r="A528" i="1"/>
  <c r="AU527" i="1"/>
  <c r="AE527" i="1"/>
  <c r="AD527" i="1"/>
  <c r="AC527" i="1"/>
  <c r="I527" i="1"/>
  <c r="C527" i="1"/>
  <c r="B527" i="1"/>
  <c r="A527" i="1"/>
  <c r="AU526" i="1"/>
  <c r="AE526" i="1"/>
  <c r="AD526" i="1"/>
  <c r="AC526" i="1"/>
  <c r="I526" i="1"/>
  <c r="C526" i="1"/>
  <c r="B526" i="1"/>
  <c r="A526" i="1"/>
  <c r="AU525" i="1"/>
  <c r="AE525" i="1"/>
  <c r="AD525" i="1"/>
  <c r="AC525" i="1"/>
  <c r="I525" i="1"/>
  <c r="C525" i="1"/>
  <c r="B525" i="1"/>
  <c r="A525" i="1"/>
  <c r="AU524" i="1"/>
  <c r="AE524" i="1"/>
  <c r="AD524" i="1"/>
  <c r="AC524" i="1"/>
  <c r="I524" i="1"/>
  <c r="C524" i="1"/>
  <c r="B524" i="1"/>
  <c r="A524" i="1"/>
  <c r="AU523" i="1"/>
  <c r="AE523" i="1"/>
  <c r="AD523" i="1"/>
  <c r="AC523" i="1"/>
  <c r="I523" i="1"/>
  <c r="C523" i="1"/>
  <c r="B523" i="1"/>
  <c r="A523" i="1"/>
  <c r="AU522" i="1"/>
  <c r="AE522" i="1"/>
  <c r="AD522" i="1"/>
  <c r="AC522" i="1"/>
  <c r="I522" i="1"/>
  <c r="C522" i="1"/>
  <c r="B522" i="1"/>
  <c r="A522" i="1"/>
  <c r="AU521" i="1"/>
  <c r="AE521" i="1"/>
  <c r="AD521" i="1"/>
  <c r="AC521" i="1"/>
  <c r="I521" i="1"/>
  <c r="C521" i="1"/>
  <c r="B521" i="1"/>
  <c r="A521" i="1"/>
  <c r="AU520" i="1"/>
  <c r="AE520" i="1"/>
  <c r="AD520" i="1"/>
  <c r="AC520" i="1"/>
  <c r="I520" i="1"/>
  <c r="C520" i="1"/>
  <c r="B520" i="1"/>
  <c r="A520" i="1"/>
  <c r="AU519" i="1"/>
  <c r="AE519" i="1"/>
  <c r="AD519" i="1"/>
  <c r="AC519" i="1"/>
  <c r="I519" i="1"/>
  <c r="C519" i="1"/>
  <c r="B519" i="1"/>
  <c r="A519" i="1"/>
  <c r="AU518" i="1"/>
  <c r="AE518" i="1"/>
  <c r="AD518" i="1"/>
  <c r="AC518" i="1"/>
  <c r="I518" i="1"/>
  <c r="C518" i="1"/>
  <c r="B518" i="1"/>
  <c r="A518" i="1"/>
  <c r="AU517" i="1"/>
  <c r="AE517" i="1"/>
  <c r="AD517" i="1"/>
  <c r="AC517" i="1"/>
  <c r="I517" i="1"/>
  <c r="C517" i="1"/>
  <c r="B517" i="1"/>
  <c r="A517" i="1"/>
  <c r="AU516" i="1"/>
  <c r="AE516" i="1"/>
  <c r="AD516" i="1"/>
  <c r="AC516" i="1"/>
  <c r="I516" i="1"/>
  <c r="C516" i="1"/>
  <c r="B516" i="1"/>
  <c r="A516" i="1"/>
  <c r="AU515" i="1"/>
  <c r="AE515" i="1"/>
  <c r="AD515" i="1"/>
  <c r="AC515" i="1"/>
  <c r="I515" i="1"/>
  <c r="C515" i="1"/>
  <c r="B515" i="1"/>
  <c r="A515" i="1"/>
  <c r="AU514" i="1"/>
  <c r="AE514" i="1"/>
  <c r="AD514" i="1"/>
  <c r="AC514" i="1"/>
  <c r="I514" i="1"/>
  <c r="C514" i="1"/>
  <c r="B514" i="1"/>
  <c r="A514" i="1"/>
  <c r="AU513" i="1"/>
  <c r="AE513" i="1"/>
  <c r="AD513" i="1"/>
  <c r="AC513" i="1"/>
  <c r="I513" i="1"/>
  <c r="C513" i="1"/>
  <c r="B513" i="1"/>
  <c r="A513" i="1"/>
  <c r="AU512" i="1"/>
  <c r="AE512" i="1"/>
  <c r="AD512" i="1"/>
  <c r="AC512" i="1"/>
  <c r="I512" i="1"/>
  <c r="C512" i="1"/>
  <c r="B512" i="1"/>
  <c r="A512" i="1"/>
  <c r="AU511" i="1"/>
  <c r="AE511" i="1"/>
  <c r="AD511" i="1"/>
  <c r="AC511" i="1"/>
  <c r="I511" i="1"/>
  <c r="C511" i="1"/>
  <c r="B511" i="1"/>
  <c r="A511" i="1"/>
  <c r="AU510" i="1"/>
  <c r="AE510" i="1"/>
  <c r="AD510" i="1"/>
  <c r="AC510" i="1"/>
  <c r="I510" i="1"/>
  <c r="C510" i="1"/>
  <c r="B510" i="1"/>
  <c r="A510" i="1"/>
  <c r="AU509" i="1"/>
  <c r="AE509" i="1"/>
  <c r="AD509" i="1"/>
  <c r="AC509" i="1"/>
  <c r="I509" i="1"/>
  <c r="C509" i="1"/>
  <c r="B509" i="1"/>
  <c r="A509" i="1"/>
  <c r="AU508" i="1"/>
  <c r="AE508" i="1"/>
  <c r="AD508" i="1"/>
  <c r="AC508" i="1"/>
  <c r="I508" i="1"/>
  <c r="C508" i="1"/>
  <c r="B508" i="1"/>
  <c r="A508" i="1"/>
  <c r="AU507" i="1"/>
  <c r="AE507" i="1"/>
  <c r="AD507" i="1"/>
  <c r="AC507" i="1"/>
  <c r="I507" i="1"/>
  <c r="C507" i="1"/>
  <c r="B507" i="1"/>
  <c r="A507" i="1"/>
  <c r="AU506" i="1"/>
  <c r="AE506" i="1"/>
  <c r="AD506" i="1"/>
  <c r="AC506" i="1"/>
  <c r="I506" i="1"/>
  <c r="C506" i="1"/>
  <c r="B506" i="1"/>
  <c r="A506" i="1"/>
  <c r="AU505" i="1"/>
  <c r="AE505" i="1"/>
  <c r="AD505" i="1"/>
  <c r="AC505" i="1"/>
  <c r="I505" i="1"/>
  <c r="C505" i="1"/>
  <c r="B505" i="1"/>
  <c r="A505" i="1"/>
  <c r="AU504" i="1"/>
  <c r="AE504" i="1"/>
  <c r="AD504" i="1"/>
  <c r="AC504" i="1"/>
  <c r="I504" i="1"/>
  <c r="C504" i="1"/>
  <c r="B504" i="1"/>
  <c r="A504" i="1"/>
  <c r="AU503" i="1"/>
  <c r="AE503" i="1"/>
  <c r="AD503" i="1"/>
  <c r="AC503" i="1"/>
  <c r="I503" i="1"/>
  <c r="C503" i="1"/>
  <c r="B503" i="1"/>
  <c r="A503" i="1"/>
  <c r="AU502" i="1"/>
  <c r="AE502" i="1"/>
  <c r="AD502" i="1"/>
  <c r="AC502" i="1"/>
  <c r="I502" i="1"/>
  <c r="C502" i="1"/>
  <c r="B502" i="1"/>
  <c r="A502" i="1"/>
  <c r="AU501" i="1"/>
  <c r="AE501" i="1"/>
  <c r="AD501" i="1"/>
  <c r="AC501" i="1"/>
  <c r="I501" i="1"/>
  <c r="C501" i="1"/>
  <c r="B501" i="1"/>
  <c r="A501" i="1"/>
  <c r="AU500" i="1"/>
  <c r="AE500" i="1"/>
  <c r="AD500" i="1"/>
  <c r="AC500" i="1"/>
  <c r="I500" i="1"/>
  <c r="C500" i="1"/>
  <c r="B500" i="1"/>
  <c r="A500" i="1"/>
  <c r="AU499" i="1"/>
  <c r="AE499" i="1"/>
  <c r="AD499" i="1"/>
  <c r="AC499" i="1"/>
  <c r="I499" i="1"/>
  <c r="C499" i="1"/>
  <c r="B499" i="1"/>
  <c r="A499" i="1"/>
  <c r="AU498" i="1"/>
  <c r="AE498" i="1"/>
  <c r="AD498" i="1"/>
  <c r="AC498" i="1"/>
  <c r="I498" i="1"/>
  <c r="C498" i="1"/>
  <c r="B498" i="1"/>
  <c r="A498" i="1"/>
  <c r="AU497" i="1"/>
  <c r="AE497" i="1"/>
  <c r="AD497" i="1"/>
  <c r="AC497" i="1"/>
  <c r="I497" i="1"/>
  <c r="C497" i="1"/>
  <c r="B497" i="1"/>
  <c r="A497" i="1"/>
  <c r="AU496" i="1"/>
  <c r="AE496" i="1"/>
  <c r="AD496" i="1"/>
  <c r="AC496" i="1"/>
  <c r="I496" i="1"/>
  <c r="C496" i="1"/>
  <c r="B496" i="1"/>
  <c r="A496" i="1"/>
  <c r="AU495" i="1"/>
  <c r="AE495" i="1"/>
  <c r="AD495" i="1"/>
  <c r="AC495" i="1"/>
  <c r="I495" i="1"/>
  <c r="C495" i="1"/>
  <c r="B495" i="1"/>
  <c r="A495" i="1"/>
  <c r="AU494" i="1"/>
  <c r="AE494" i="1"/>
  <c r="AD494" i="1"/>
  <c r="AC494" i="1"/>
  <c r="I494" i="1"/>
  <c r="C494" i="1"/>
  <c r="B494" i="1"/>
  <c r="A494" i="1"/>
  <c r="AU493" i="1"/>
  <c r="AE493" i="1"/>
  <c r="AD493" i="1"/>
  <c r="AC493" i="1"/>
  <c r="I493" i="1"/>
  <c r="C493" i="1"/>
  <c r="B493" i="1"/>
  <c r="A493" i="1"/>
  <c r="AU492" i="1"/>
  <c r="AE492" i="1"/>
  <c r="AD492" i="1"/>
  <c r="AC492" i="1"/>
  <c r="I492" i="1"/>
  <c r="C492" i="1"/>
  <c r="B492" i="1"/>
  <c r="A492" i="1"/>
  <c r="AU491" i="1"/>
  <c r="AE491" i="1"/>
  <c r="AD491" i="1"/>
  <c r="AC491" i="1"/>
  <c r="I491" i="1"/>
  <c r="C491" i="1"/>
  <c r="B491" i="1"/>
  <c r="A491" i="1"/>
  <c r="AU490" i="1"/>
  <c r="AE490" i="1"/>
  <c r="AD490" i="1"/>
  <c r="AC490" i="1"/>
  <c r="I490" i="1"/>
  <c r="C490" i="1"/>
  <c r="B490" i="1"/>
  <c r="A490" i="1"/>
  <c r="AU489" i="1"/>
  <c r="AE489" i="1"/>
  <c r="AD489" i="1"/>
  <c r="AC489" i="1"/>
  <c r="I489" i="1"/>
  <c r="C489" i="1"/>
  <c r="B489" i="1"/>
  <c r="A489" i="1"/>
  <c r="AU488" i="1"/>
  <c r="AE488" i="1"/>
  <c r="AD488" i="1"/>
  <c r="AC488" i="1"/>
  <c r="I488" i="1"/>
  <c r="C488" i="1"/>
  <c r="B488" i="1"/>
  <c r="A488" i="1"/>
  <c r="AU487" i="1"/>
  <c r="AE487" i="1"/>
  <c r="AD487" i="1"/>
  <c r="AC487" i="1"/>
  <c r="I487" i="1"/>
  <c r="C487" i="1"/>
  <c r="B487" i="1"/>
  <c r="A487" i="1"/>
  <c r="AU486" i="1"/>
  <c r="AE486" i="1"/>
  <c r="AD486" i="1"/>
  <c r="AC486" i="1"/>
  <c r="I486" i="1"/>
  <c r="C486" i="1"/>
  <c r="B486" i="1"/>
  <c r="A486" i="1"/>
  <c r="AU485" i="1"/>
  <c r="AE485" i="1"/>
  <c r="AD485" i="1"/>
  <c r="AC485" i="1"/>
  <c r="I485" i="1"/>
  <c r="C485" i="1"/>
  <c r="B485" i="1"/>
  <c r="A485" i="1"/>
  <c r="AU484" i="1"/>
  <c r="AE484" i="1"/>
  <c r="AD484" i="1"/>
  <c r="AC484" i="1"/>
  <c r="I484" i="1"/>
  <c r="C484" i="1"/>
  <c r="B484" i="1"/>
  <c r="A484" i="1"/>
  <c r="AU483" i="1"/>
  <c r="AE483" i="1"/>
  <c r="AD483" i="1"/>
  <c r="AC483" i="1"/>
  <c r="I483" i="1"/>
  <c r="C483" i="1"/>
  <c r="B483" i="1"/>
  <c r="A483" i="1"/>
  <c r="AU482" i="1"/>
  <c r="AE482" i="1"/>
  <c r="AD482" i="1"/>
  <c r="AC482" i="1"/>
  <c r="I482" i="1"/>
  <c r="C482" i="1"/>
  <c r="B482" i="1"/>
  <c r="A482" i="1"/>
  <c r="AU481" i="1"/>
  <c r="AE481" i="1"/>
  <c r="AD481" i="1"/>
  <c r="AC481" i="1"/>
  <c r="I481" i="1"/>
  <c r="C481" i="1"/>
  <c r="B481" i="1"/>
  <c r="A481" i="1"/>
  <c r="AU480" i="1"/>
  <c r="AE480" i="1"/>
  <c r="AD480" i="1"/>
  <c r="AC480" i="1"/>
  <c r="I480" i="1"/>
  <c r="C480" i="1"/>
  <c r="B480" i="1"/>
  <c r="A480" i="1"/>
  <c r="AU479" i="1"/>
  <c r="AE479" i="1"/>
  <c r="AD479" i="1"/>
  <c r="AC479" i="1"/>
  <c r="I479" i="1"/>
  <c r="C479" i="1"/>
  <c r="B479" i="1"/>
  <c r="A479" i="1"/>
  <c r="AU478" i="1"/>
  <c r="AE478" i="1"/>
  <c r="AD478" i="1"/>
  <c r="AC478" i="1"/>
  <c r="I478" i="1"/>
  <c r="C478" i="1"/>
  <c r="B478" i="1"/>
  <c r="A478" i="1"/>
  <c r="AU477" i="1"/>
  <c r="AE477" i="1"/>
  <c r="AD477" i="1"/>
  <c r="AC477" i="1"/>
  <c r="I477" i="1"/>
  <c r="C477" i="1"/>
  <c r="B477" i="1"/>
  <c r="A477" i="1"/>
  <c r="AU476" i="1"/>
  <c r="AE476" i="1"/>
  <c r="AD476" i="1"/>
  <c r="AC476" i="1"/>
  <c r="I476" i="1"/>
  <c r="C476" i="1"/>
  <c r="B476" i="1"/>
  <c r="A476" i="1"/>
  <c r="AU475" i="1"/>
  <c r="AE475" i="1"/>
  <c r="AD475" i="1"/>
  <c r="AC475" i="1"/>
  <c r="I475" i="1"/>
  <c r="C475" i="1"/>
  <c r="B475" i="1"/>
  <c r="A475" i="1"/>
  <c r="AU474" i="1"/>
  <c r="AE474" i="1"/>
  <c r="AD474" i="1"/>
  <c r="AC474" i="1"/>
  <c r="I474" i="1"/>
  <c r="C474" i="1"/>
  <c r="B474" i="1"/>
  <c r="A474" i="1"/>
  <c r="AU473" i="1"/>
  <c r="AE473" i="1"/>
  <c r="AD473" i="1"/>
  <c r="AC473" i="1"/>
  <c r="I473" i="1"/>
  <c r="C473" i="1"/>
  <c r="B473" i="1"/>
  <c r="A473" i="1"/>
  <c r="AU472" i="1"/>
  <c r="AE472" i="1"/>
  <c r="AD472" i="1"/>
  <c r="AC472" i="1"/>
  <c r="I472" i="1"/>
  <c r="C472" i="1"/>
  <c r="B472" i="1"/>
  <c r="A472" i="1"/>
  <c r="AU471" i="1"/>
  <c r="AE471" i="1"/>
  <c r="AD471" i="1"/>
  <c r="AC471" i="1"/>
  <c r="I471" i="1"/>
  <c r="C471" i="1"/>
  <c r="B471" i="1"/>
  <c r="A471" i="1"/>
  <c r="AU470" i="1"/>
  <c r="AE470" i="1"/>
  <c r="AD470" i="1"/>
  <c r="AC470" i="1"/>
  <c r="I470" i="1"/>
  <c r="C470" i="1"/>
  <c r="B470" i="1"/>
  <c r="A470" i="1"/>
  <c r="AU469" i="1"/>
  <c r="AE469" i="1"/>
  <c r="AD469" i="1"/>
  <c r="AC469" i="1"/>
  <c r="I469" i="1"/>
  <c r="C469" i="1"/>
  <c r="B469" i="1"/>
  <c r="A469" i="1"/>
  <c r="AU468" i="1"/>
  <c r="AE468" i="1"/>
  <c r="AD468" i="1"/>
  <c r="AC468" i="1"/>
  <c r="I468" i="1"/>
  <c r="C468" i="1"/>
  <c r="B468" i="1"/>
  <c r="A468" i="1"/>
  <c r="AU467" i="1"/>
  <c r="AE467" i="1"/>
  <c r="AD467" i="1"/>
  <c r="AC467" i="1"/>
  <c r="I467" i="1"/>
  <c r="C467" i="1"/>
  <c r="B467" i="1"/>
  <c r="A467" i="1"/>
  <c r="AU466" i="1"/>
  <c r="AE466" i="1"/>
  <c r="AD466" i="1"/>
  <c r="AC466" i="1"/>
  <c r="I466" i="1"/>
  <c r="C466" i="1"/>
  <c r="B466" i="1"/>
  <c r="A466" i="1"/>
  <c r="AU465" i="1"/>
  <c r="AE465" i="1"/>
  <c r="AD465" i="1"/>
  <c r="AC465" i="1"/>
  <c r="I465" i="1"/>
  <c r="C465" i="1"/>
  <c r="B465" i="1"/>
  <c r="A465" i="1"/>
  <c r="AU464" i="1"/>
  <c r="AE464" i="1"/>
  <c r="AD464" i="1"/>
  <c r="AC464" i="1"/>
  <c r="I464" i="1"/>
  <c r="C464" i="1"/>
  <c r="B464" i="1"/>
  <c r="A464" i="1"/>
  <c r="AU463" i="1"/>
  <c r="AE463" i="1"/>
  <c r="AD463" i="1"/>
  <c r="AC463" i="1"/>
  <c r="I463" i="1"/>
  <c r="C463" i="1"/>
  <c r="B463" i="1"/>
  <c r="A463" i="1"/>
  <c r="AU462" i="1"/>
  <c r="AE462" i="1"/>
  <c r="AD462" i="1"/>
  <c r="AC462" i="1"/>
  <c r="I462" i="1"/>
  <c r="C462" i="1"/>
  <c r="B462" i="1"/>
  <c r="A462" i="1"/>
  <c r="AU461" i="1"/>
  <c r="AE461" i="1"/>
  <c r="AD461" i="1"/>
  <c r="AC461" i="1"/>
  <c r="I461" i="1"/>
  <c r="C461" i="1"/>
  <c r="B461" i="1"/>
  <c r="A461" i="1"/>
  <c r="AU460" i="1"/>
  <c r="AE460" i="1"/>
  <c r="AD460" i="1"/>
  <c r="AC460" i="1"/>
  <c r="I460" i="1"/>
  <c r="C460" i="1"/>
  <c r="B460" i="1"/>
  <c r="A460" i="1"/>
  <c r="AU459" i="1"/>
  <c r="AE459" i="1"/>
  <c r="AD459" i="1"/>
  <c r="AC459" i="1"/>
  <c r="I459" i="1"/>
  <c r="C459" i="1"/>
  <c r="B459" i="1"/>
  <c r="A459" i="1"/>
  <c r="AU458" i="1"/>
  <c r="AE458" i="1"/>
  <c r="AD458" i="1"/>
  <c r="AC458" i="1"/>
  <c r="I458" i="1"/>
  <c r="C458" i="1"/>
  <c r="B458" i="1"/>
  <c r="A458" i="1"/>
  <c r="AU457" i="1"/>
  <c r="AE457" i="1"/>
  <c r="AD457" i="1"/>
  <c r="AC457" i="1"/>
  <c r="I457" i="1"/>
  <c r="C457" i="1"/>
  <c r="B457" i="1"/>
  <c r="A457" i="1"/>
  <c r="AU456" i="1"/>
  <c r="AE456" i="1"/>
  <c r="AD456" i="1"/>
  <c r="AC456" i="1"/>
  <c r="I456" i="1"/>
  <c r="C456" i="1"/>
  <c r="B456" i="1"/>
  <c r="A456" i="1"/>
  <c r="AU455" i="1"/>
  <c r="AE455" i="1"/>
  <c r="AD455" i="1"/>
  <c r="AC455" i="1"/>
  <c r="I455" i="1"/>
  <c r="C455" i="1"/>
  <c r="B455" i="1"/>
  <c r="A455" i="1"/>
  <c r="AU454" i="1"/>
  <c r="AE454" i="1"/>
  <c r="AD454" i="1"/>
  <c r="AC454" i="1"/>
  <c r="I454" i="1"/>
  <c r="C454" i="1"/>
  <c r="B454" i="1"/>
  <c r="A454" i="1"/>
  <c r="AU453" i="1"/>
  <c r="AE453" i="1"/>
  <c r="AD453" i="1"/>
  <c r="AC453" i="1"/>
  <c r="I453" i="1"/>
  <c r="C453" i="1"/>
  <c r="B453" i="1"/>
  <c r="A453" i="1"/>
  <c r="AU452" i="1"/>
  <c r="AE452" i="1"/>
  <c r="AD452" i="1"/>
  <c r="AC452" i="1"/>
  <c r="I452" i="1"/>
  <c r="C452" i="1"/>
  <c r="B452" i="1"/>
  <c r="A452" i="1"/>
  <c r="AU451" i="1"/>
  <c r="AE451" i="1"/>
  <c r="AD451" i="1"/>
  <c r="AC451" i="1"/>
  <c r="I451" i="1"/>
  <c r="C451" i="1"/>
  <c r="B451" i="1"/>
  <c r="A451" i="1"/>
  <c r="AU450" i="1"/>
  <c r="AE450" i="1"/>
  <c r="AD450" i="1"/>
  <c r="AC450" i="1"/>
  <c r="I450" i="1"/>
  <c r="C450" i="1"/>
  <c r="B450" i="1"/>
  <c r="A450" i="1"/>
  <c r="AU449" i="1"/>
  <c r="AE449" i="1"/>
  <c r="AD449" i="1"/>
  <c r="AC449" i="1"/>
  <c r="I449" i="1"/>
  <c r="C449" i="1"/>
  <c r="B449" i="1"/>
  <c r="A449" i="1"/>
  <c r="AU448" i="1"/>
  <c r="AE448" i="1"/>
  <c r="AD448" i="1"/>
  <c r="AC448" i="1"/>
  <c r="I448" i="1"/>
  <c r="C448" i="1"/>
  <c r="B448" i="1"/>
  <c r="A448" i="1"/>
  <c r="AU447" i="1"/>
  <c r="AE447" i="1"/>
  <c r="AD447" i="1"/>
  <c r="AC447" i="1"/>
  <c r="I447" i="1"/>
  <c r="C447" i="1"/>
  <c r="B447" i="1"/>
  <c r="A447" i="1"/>
  <c r="AU446" i="1"/>
  <c r="AE446" i="1"/>
  <c r="AD446" i="1"/>
  <c r="AC446" i="1"/>
  <c r="I446" i="1"/>
  <c r="C446" i="1"/>
  <c r="B446" i="1"/>
  <c r="A446" i="1"/>
  <c r="AU445" i="1"/>
  <c r="AE445" i="1"/>
  <c r="AD445" i="1"/>
  <c r="AC445" i="1"/>
  <c r="I445" i="1"/>
  <c r="C445" i="1"/>
  <c r="B445" i="1"/>
  <c r="A445" i="1"/>
  <c r="AU444" i="1"/>
  <c r="AE444" i="1"/>
  <c r="AD444" i="1"/>
  <c r="AC444" i="1"/>
  <c r="I444" i="1"/>
  <c r="C444" i="1"/>
  <c r="B444" i="1"/>
  <c r="A444" i="1"/>
  <c r="AU443" i="1"/>
  <c r="AE443" i="1"/>
  <c r="AD443" i="1"/>
  <c r="AC443" i="1"/>
  <c r="I443" i="1"/>
  <c r="C443" i="1"/>
  <c r="B443" i="1"/>
  <c r="A443" i="1"/>
  <c r="AU442" i="1"/>
  <c r="AE442" i="1"/>
  <c r="AD442" i="1"/>
  <c r="AC442" i="1"/>
  <c r="I442" i="1"/>
  <c r="C442" i="1"/>
  <c r="B442" i="1"/>
  <c r="A442" i="1"/>
  <c r="AU441" i="1"/>
  <c r="AE441" i="1"/>
  <c r="AD441" i="1"/>
  <c r="AC441" i="1"/>
  <c r="I441" i="1"/>
  <c r="C441" i="1"/>
  <c r="B441" i="1"/>
  <c r="A441" i="1"/>
  <c r="AU440" i="1"/>
  <c r="AE440" i="1"/>
  <c r="AD440" i="1"/>
  <c r="AC440" i="1"/>
  <c r="I440" i="1"/>
  <c r="C440" i="1"/>
  <c r="B440" i="1"/>
  <c r="A440" i="1"/>
  <c r="AU439" i="1"/>
  <c r="AE439" i="1"/>
  <c r="AD439" i="1"/>
  <c r="AC439" i="1"/>
  <c r="I439" i="1"/>
  <c r="C439" i="1"/>
  <c r="B439" i="1"/>
  <c r="A439" i="1"/>
  <c r="AU438" i="1"/>
  <c r="AE438" i="1"/>
  <c r="AD438" i="1"/>
  <c r="AC438" i="1"/>
  <c r="I438" i="1"/>
  <c r="C438" i="1"/>
  <c r="B438" i="1"/>
  <c r="A438" i="1"/>
  <c r="AU437" i="1"/>
  <c r="AE437" i="1"/>
  <c r="AD437" i="1"/>
  <c r="AC437" i="1"/>
  <c r="I437" i="1"/>
  <c r="C437" i="1"/>
  <c r="B437" i="1"/>
  <c r="A437" i="1"/>
  <c r="AU436" i="1"/>
  <c r="AE436" i="1"/>
  <c r="AD436" i="1"/>
  <c r="AC436" i="1"/>
  <c r="I436" i="1"/>
  <c r="C436" i="1"/>
  <c r="B436" i="1"/>
  <c r="A436" i="1"/>
  <c r="AU435" i="1"/>
  <c r="AE435" i="1"/>
  <c r="AD435" i="1"/>
  <c r="AC435" i="1"/>
  <c r="I435" i="1"/>
  <c r="C435" i="1"/>
  <c r="B435" i="1"/>
  <c r="A435" i="1"/>
  <c r="AU434" i="1"/>
  <c r="AE434" i="1"/>
  <c r="AD434" i="1"/>
  <c r="AC434" i="1"/>
  <c r="I434" i="1"/>
  <c r="C434" i="1"/>
  <c r="B434" i="1"/>
  <c r="A434" i="1"/>
  <c r="AU433" i="1"/>
  <c r="AE433" i="1"/>
  <c r="AD433" i="1"/>
  <c r="AC433" i="1"/>
  <c r="I433" i="1"/>
  <c r="C433" i="1"/>
  <c r="B433" i="1"/>
  <c r="A433" i="1"/>
  <c r="AU432" i="1"/>
  <c r="AE432" i="1"/>
  <c r="AD432" i="1"/>
  <c r="AC432" i="1"/>
  <c r="I432" i="1"/>
  <c r="C432" i="1"/>
  <c r="B432" i="1"/>
  <c r="A432" i="1"/>
  <c r="AU431" i="1"/>
  <c r="AE431" i="1"/>
  <c r="AD431" i="1"/>
  <c r="AC431" i="1"/>
  <c r="I431" i="1"/>
  <c r="C431" i="1"/>
  <c r="B431" i="1"/>
  <c r="A431" i="1"/>
  <c r="AU430" i="1"/>
  <c r="AE430" i="1"/>
  <c r="AD430" i="1"/>
  <c r="AC430" i="1"/>
  <c r="I430" i="1"/>
  <c r="C430" i="1"/>
  <c r="B430" i="1"/>
  <c r="A430" i="1"/>
  <c r="AU429" i="1"/>
  <c r="AE429" i="1"/>
  <c r="AD429" i="1"/>
  <c r="AC429" i="1"/>
  <c r="I429" i="1"/>
  <c r="C429" i="1"/>
  <c r="B429" i="1"/>
  <c r="A429" i="1"/>
  <c r="AU428" i="1"/>
  <c r="AE428" i="1"/>
  <c r="AD428" i="1"/>
  <c r="AC428" i="1"/>
  <c r="I428" i="1"/>
  <c r="C428" i="1"/>
  <c r="B428" i="1"/>
  <c r="A428" i="1"/>
  <c r="AU427" i="1"/>
  <c r="AE427" i="1"/>
  <c r="AD427" i="1"/>
  <c r="AC427" i="1"/>
  <c r="I427" i="1"/>
  <c r="C427" i="1"/>
  <c r="B427" i="1"/>
  <c r="A427" i="1"/>
  <c r="AU426" i="1"/>
  <c r="AE426" i="1"/>
  <c r="AD426" i="1"/>
  <c r="AC426" i="1"/>
  <c r="I426" i="1"/>
  <c r="C426" i="1"/>
  <c r="B426" i="1"/>
  <c r="A426" i="1"/>
  <c r="AU425" i="1"/>
  <c r="AE425" i="1"/>
  <c r="AD425" i="1"/>
  <c r="AC425" i="1"/>
  <c r="I425" i="1"/>
  <c r="C425" i="1"/>
  <c r="B425" i="1"/>
  <c r="A425" i="1"/>
  <c r="AU424" i="1"/>
  <c r="AE424" i="1"/>
  <c r="AD424" i="1"/>
  <c r="AC424" i="1"/>
  <c r="I424" i="1"/>
  <c r="C424" i="1"/>
  <c r="B424" i="1"/>
  <c r="A424" i="1"/>
  <c r="AU423" i="1"/>
  <c r="AE423" i="1"/>
  <c r="AD423" i="1"/>
  <c r="AC423" i="1"/>
  <c r="I423" i="1"/>
  <c r="C423" i="1"/>
  <c r="B423" i="1"/>
  <c r="A423" i="1"/>
  <c r="AU422" i="1"/>
  <c r="AE422" i="1"/>
  <c r="AD422" i="1"/>
  <c r="AC422" i="1"/>
  <c r="I422" i="1"/>
  <c r="C422" i="1"/>
  <c r="B422" i="1"/>
  <c r="A422" i="1"/>
  <c r="AU421" i="1"/>
  <c r="AE421" i="1"/>
  <c r="AD421" i="1"/>
  <c r="AC421" i="1"/>
  <c r="I421" i="1"/>
  <c r="C421" i="1"/>
  <c r="B421" i="1"/>
  <c r="A421" i="1"/>
  <c r="AU420" i="1"/>
  <c r="AE420" i="1"/>
  <c r="AD420" i="1"/>
  <c r="AC420" i="1"/>
  <c r="I420" i="1"/>
  <c r="C420" i="1"/>
  <c r="B420" i="1"/>
  <c r="A420" i="1"/>
  <c r="AU419" i="1"/>
  <c r="AE419" i="1"/>
  <c r="AD419" i="1"/>
  <c r="AC419" i="1"/>
  <c r="I419" i="1"/>
  <c r="C419" i="1"/>
  <c r="B419" i="1"/>
  <c r="A419" i="1"/>
  <c r="AU418" i="1"/>
  <c r="AE418" i="1"/>
  <c r="AD418" i="1"/>
  <c r="AC418" i="1"/>
  <c r="I418" i="1"/>
  <c r="C418" i="1"/>
  <c r="B418" i="1"/>
  <c r="A418" i="1"/>
  <c r="AU417" i="1"/>
  <c r="AE417" i="1"/>
  <c r="AD417" i="1"/>
  <c r="AC417" i="1"/>
  <c r="I417" i="1"/>
  <c r="C417" i="1"/>
  <c r="B417" i="1"/>
  <c r="A417" i="1"/>
  <c r="AU416" i="1"/>
  <c r="AE416" i="1"/>
  <c r="AD416" i="1"/>
  <c r="AC416" i="1"/>
  <c r="I416" i="1"/>
  <c r="C416" i="1"/>
  <c r="B416" i="1"/>
  <c r="A416" i="1"/>
  <c r="AU415" i="1"/>
  <c r="AE415" i="1"/>
  <c r="AD415" i="1"/>
  <c r="AC415" i="1"/>
  <c r="I415" i="1"/>
  <c r="C415" i="1"/>
  <c r="B415" i="1"/>
  <c r="A415" i="1"/>
  <c r="AU414" i="1"/>
  <c r="AE414" i="1"/>
  <c r="AD414" i="1"/>
  <c r="AC414" i="1"/>
  <c r="I414" i="1"/>
  <c r="C414" i="1"/>
  <c r="B414" i="1"/>
  <c r="A414" i="1"/>
  <c r="AU413" i="1"/>
  <c r="AE413" i="1"/>
  <c r="AD413" i="1"/>
  <c r="AC413" i="1"/>
  <c r="I413" i="1"/>
  <c r="C413" i="1"/>
  <c r="B413" i="1"/>
  <c r="A413" i="1"/>
  <c r="AU412" i="1"/>
  <c r="AE412" i="1"/>
  <c r="AD412" i="1"/>
  <c r="AC412" i="1"/>
  <c r="I412" i="1"/>
  <c r="C412" i="1"/>
  <c r="B412" i="1"/>
  <c r="A412" i="1"/>
  <c r="AU411" i="1"/>
  <c r="AE411" i="1"/>
  <c r="AD411" i="1"/>
  <c r="AC411" i="1"/>
  <c r="I411" i="1"/>
  <c r="C411" i="1"/>
  <c r="B411" i="1"/>
  <c r="A411" i="1"/>
  <c r="AU410" i="1"/>
  <c r="AE410" i="1"/>
  <c r="AD410" i="1"/>
  <c r="AC410" i="1"/>
  <c r="I410" i="1"/>
  <c r="C410" i="1"/>
  <c r="B410" i="1"/>
  <c r="A410" i="1"/>
  <c r="AU409" i="1"/>
  <c r="AE409" i="1"/>
  <c r="AD409" i="1"/>
  <c r="AC409" i="1"/>
  <c r="I409" i="1"/>
  <c r="C409" i="1"/>
  <c r="B409" i="1"/>
  <c r="A409" i="1"/>
  <c r="AU408" i="1"/>
  <c r="AE408" i="1"/>
  <c r="AD408" i="1"/>
  <c r="AC408" i="1"/>
  <c r="I408" i="1"/>
  <c r="C408" i="1"/>
  <c r="B408" i="1"/>
  <c r="A408" i="1"/>
  <c r="AU407" i="1"/>
  <c r="AE407" i="1"/>
  <c r="AD407" i="1"/>
  <c r="AC407" i="1"/>
  <c r="I407" i="1"/>
  <c r="C407" i="1"/>
  <c r="B407" i="1"/>
  <c r="A407" i="1"/>
  <c r="AU406" i="1"/>
  <c r="AE406" i="1"/>
  <c r="AD406" i="1"/>
  <c r="AC406" i="1"/>
  <c r="I406" i="1"/>
  <c r="C406" i="1"/>
  <c r="B406" i="1"/>
  <c r="A406" i="1"/>
  <c r="AU405" i="1"/>
  <c r="AE405" i="1"/>
  <c r="AD405" i="1"/>
  <c r="AC405" i="1"/>
  <c r="I405" i="1"/>
  <c r="C405" i="1"/>
  <c r="B405" i="1"/>
  <c r="A405" i="1"/>
  <c r="AU404" i="1"/>
  <c r="AE404" i="1"/>
  <c r="AD404" i="1"/>
  <c r="AC404" i="1"/>
  <c r="I404" i="1"/>
  <c r="C404" i="1"/>
  <c r="B404" i="1"/>
  <c r="A404" i="1"/>
  <c r="AU403" i="1"/>
  <c r="AE403" i="1"/>
  <c r="AD403" i="1"/>
  <c r="AC403" i="1"/>
  <c r="I403" i="1"/>
  <c r="C403" i="1"/>
  <c r="B403" i="1"/>
  <c r="A403" i="1"/>
  <c r="AU402" i="1"/>
  <c r="AE402" i="1"/>
  <c r="AD402" i="1"/>
  <c r="AC402" i="1"/>
  <c r="I402" i="1"/>
  <c r="C402" i="1"/>
  <c r="B402" i="1"/>
  <c r="A402" i="1"/>
  <c r="AU401" i="1"/>
  <c r="AE401" i="1"/>
  <c r="AD401" i="1"/>
  <c r="AC401" i="1"/>
  <c r="I401" i="1"/>
  <c r="C401" i="1"/>
  <c r="B401" i="1"/>
  <c r="A401" i="1"/>
  <c r="AU400" i="1"/>
  <c r="AE400" i="1"/>
  <c r="AD400" i="1"/>
  <c r="AC400" i="1"/>
  <c r="I400" i="1"/>
  <c r="C400" i="1"/>
  <c r="B400" i="1"/>
  <c r="A400" i="1"/>
  <c r="AU399" i="1"/>
  <c r="AE399" i="1"/>
  <c r="AD399" i="1"/>
  <c r="AC399" i="1"/>
  <c r="I399" i="1"/>
  <c r="C399" i="1"/>
  <c r="B399" i="1"/>
  <c r="A399" i="1"/>
  <c r="AU398" i="1"/>
  <c r="AE398" i="1"/>
  <c r="AD398" i="1"/>
  <c r="AC398" i="1"/>
  <c r="I398" i="1"/>
  <c r="C398" i="1"/>
  <c r="B398" i="1"/>
  <c r="A398" i="1"/>
  <c r="AU397" i="1"/>
  <c r="AE397" i="1"/>
  <c r="AD397" i="1"/>
  <c r="AC397" i="1"/>
  <c r="I397" i="1"/>
  <c r="C397" i="1"/>
  <c r="B397" i="1"/>
  <c r="A397" i="1"/>
  <c r="AU396" i="1"/>
  <c r="AE396" i="1"/>
  <c r="AD396" i="1"/>
  <c r="AC396" i="1"/>
  <c r="I396" i="1"/>
  <c r="C396" i="1"/>
  <c r="B396" i="1"/>
  <c r="A396" i="1"/>
  <c r="AU395" i="1"/>
  <c r="AE395" i="1"/>
  <c r="AD395" i="1"/>
  <c r="AC395" i="1"/>
  <c r="I395" i="1"/>
  <c r="C395" i="1"/>
  <c r="B395" i="1"/>
  <c r="A395" i="1"/>
  <c r="AU394" i="1"/>
  <c r="AE394" i="1"/>
  <c r="AD394" i="1"/>
  <c r="AC394" i="1"/>
  <c r="I394" i="1"/>
  <c r="C394" i="1"/>
  <c r="B394" i="1"/>
  <c r="A394" i="1"/>
  <c r="AU393" i="1"/>
  <c r="AE393" i="1"/>
  <c r="AD393" i="1"/>
  <c r="AC393" i="1"/>
  <c r="I393" i="1"/>
  <c r="C393" i="1"/>
  <c r="B393" i="1"/>
  <c r="A393" i="1"/>
  <c r="AU392" i="1"/>
  <c r="AE392" i="1"/>
  <c r="AD392" i="1"/>
  <c r="AC392" i="1"/>
  <c r="I392" i="1"/>
  <c r="C392" i="1"/>
  <c r="B392" i="1"/>
  <c r="A392" i="1"/>
  <c r="AU391" i="1"/>
  <c r="AE391" i="1"/>
  <c r="AD391" i="1"/>
  <c r="AC391" i="1"/>
  <c r="I391" i="1"/>
  <c r="C391" i="1"/>
  <c r="B391" i="1"/>
  <c r="A391" i="1"/>
  <c r="AU390" i="1"/>
  <c r="AE390" i="1"/>
  <c r="AD390" i="1"/>
  <c r="AC390" i="1"/>
  <c r="I390" i="1"/>
  <c r="C390" i="1"/>
  <c r="B390" i="1"/>
  <c r="A390" i="1"/>
  <c r="AU389" i="1"/>
  <c r="AE389" i="1"/>
  <c r="AD389" i="1"/>
  <c r="AC389" i="1"/>
  <c r="I389" i="1"/>
  <c r="C389" i="1"/>
  <c r="B389" i="1"/>
  <c r="A389" i="1"/>
  <c r="AU388" i="1"/>
  <c r="AE388" i="1"/>
  <c r="AD388" i="1"/>
  <c r="AC388" i="1"/>
  <c r="I388" i="1"/>
  <c r="C388" i="1"/>
  <c r="B388" i="1"/>
  <c r="A388" i="1"/>
  <c r="AU387" i="1"/>
  <c r="AE387" i="1"/>
  <c r="AD387" i="1"/>
  <c r="AC387" i="1"/>
  <c r="I387" i="1"/>
  <c r="C387" i="1"/>
  <c r="B387" i="1"/>
  <c r="A387" i="1"/>
  <c r="AU386" i="1"/>
  <c r="AE386" i="1"/>
  <c r="AD386" i="1"/>
  <c r="AC386" i="1"/>
  <c r="I386" i="1"/>
  <c r="C386" i="1"/>
  <c r="B386" i="1"/>
  <c r="A386" i="1"/>
  <c r="AU385" i="1"/>
  <c r="AE385" i="1"/>
  <c r="AD385" i="1"/>
  <c r="AC385" i="1"/>
  <c r="I385" i="1"/>
  <c r="C385" i="1"/>
  <c r="B385" i="1"/>
  <c r="A385" i="1"/>
  <c r="AU384" i="1"/>
  <c r="AE384" i="1"/>
  <c r="AD384" i="1"/>
  <c r="AC384" i="1"/>
  <c r="I384" i="1"/>
  <c r="C384" i="1"/>
  <c r="B384" i="1"/>
  <c r="A384" i="1"/>
  <c r="AU383" i="1"/>
  <c r="AE383" i="1"/>
  <c r="AD383" i="1"/>
  <c r="AC383" i="1"/>
  <c r="I383" i="1"/>
  <c r="C383" i="1"/>
  <c r="B383" i="1"/>
  <c r="A383" i="1"/>
  <c r="AU382" i="1"/>
  <c r="AE382" i="1"/>
  <c r="AD382" i="1"/>
  <c r="AC382" i="1"/>
  <c r="I382" i="1"/>
  <c r="C382" i="1"/>
  <c r="B382" i="1"/>
  <c r="A382" i="1"/>
  <c r="AU381" i="1"/>
  <c r="AE381" i="1"/>
  <c r="AD381" i="1"/>
  <c r="AC381" i="1"/>
  <c r="I381" i="1"/>
  <c r="C381" i="1"/>
  <c r="B381" i="1"/>
  <c r="A381" i="1"/>
  <c r="AU380" i="1"/>
  <c r="AE380" i="1"/>
  <c r="AD380" i="1"/>
  <c r="AC380" i="1"/>
  <c r="I380" i="1"/>
  <c r="C380" i="1"/>
  <c r="B380" i="1"/>
  <c r="A380" i="1"/>
  <c r="AU379" i="1"/>
  <c r="AE379" i="1"/>
  <c r="AD379" i="1"/>
  <c r="AC379" i="1"/>
  <c r="I379" i="1"/>
  <c r="C379" i="1"/>
  <c r="B379" i="1"/>
  <c r="A379" i="1"/>
  <c r="AU378" i="1"/>
  <c r="AE378" i="1"/>
  <c r="AD378" i="1"/>
  <c r="AC378" i="1"/>
  <c r="I378" i="1"/>
  <c r="C378" i="1"/>
  <c r="B378" i="1"/>
  <c r="A378" i="1"/>
  <c r="AU377" i="1"/>
  <c r="AE377" i="1"/>
  <c r="AD377" i="1"/>
  <c r="AC377" i="1"/>
  <c r="I377" i="1"/>
  <c r="C377" i="1"/>
  <c r="B377" i="1"/>
  <c r="A377" i="1"/>
  <c r="AU376" i="1"/>
  <c r="AE376" i="1"/>
  <c r="AD376" i="1"/>
  <c r="AC376" i="1"/>
  <c r="I376" i="1"/>
  <c r="C376" i="1"/>
  <c r="B376" i="1"/>
  <c r="A376" i="1"/>
  <c r="AU375" i="1"/>
  <c r="AE375" i="1"/>
  <c r="AD375" i="1"/>
  <c r="AC375" i="1"/>
  <c r="I375" i="1"/>
  <c r="C375" i="1"/>
  <c r="B375" i="1"/>
  <c r="A375" i="1"/>
  <c r="AU374" i="1"/>
  <c r="AE374" i="1"/>
  <c r="AD374" i="1"/>
  <c r="AC374" i="1"/>
  <c r="I374" i="1"/>
  <c r="C374" i="1"/>
  <c r="B374" i="1"/>
  <c r="A374" i="1"/>
  <c r="AU373" i="1"/>
  <c r="AE373" i="1"/>
  <c r="AD373" i="1"/>
  <c r="AC373" i="1"/>
  <c r="I373" i="1"/>
  <c r="C373" i="1"/>
  <c r="B373" i="1"/>
  <c r="A373" i="1"/>
  <c r="AU372" i="1"/>
  <c r="AE372" i="1"/>
  <c r="AD372" i="1"/>
  <c r="AC372" i="1"/>
  <c r="I372" i="1"/>
  <c r="C372" i="1"/>
  <c r="B372" i="1"/>
  <c r="A372" i="1"/>
  <c r="AU371" i="1"/>
  <c r="AE371" i="1"/>
  <c r="AD371" i="1"/>
  <c r="AC371" i="1"/>
  <c r="I371" i="1"/>
  <c r="C371" i="1"/>
  <c r="B371" i="1"/>
  <c r="A371" i="1"/>
  <c r="AU370" i="1"/>
  <c r="AE370" i="1"/>
  <c r="AD370" i="1"/>
  <c r="AC370" i="1"/>
  <c r="I370" i="1"/>
  <c r="C370" i="1"/>
  <c r="B370" i="1"/>
  <c r="A370" i="1"/>
  <c r="AU369" i="1"/>
  <c r="AE369" i="1"/>
  <c r="AD369" i="1"/>
  <c r="AC369" i="1"/>
  <c r="I369" i="1"/>
  <c r="C369" i="1"/>
  <c r="B369" i="1"/>
  <c r="A369" i="1"/>
  <c r="AU368" i="1"/>
  <c r="AE368" i="1"/>
  <c r="AD368" i="1"/>
  <c r="AC368" i="1"/>
  <c r="I368" i="1"/>
  <c r="C368" i="1"/>
  <c r="B368" i="1"/>
  <c r="A368" i="1"/>
  <c r="AU367" i="1"/>
  <c r="AE367" i="1"/>
  <c r="AD367" i="1"/>
  <c r="AC367" i="1"/>
  <c r="I367" i="1"/>
  <c r="C367" i="1"/>
  <c r="B367" i="1"/>
  <c r="A367" i="1"/>
  <c r="AU366" i="1"/>
  <c r="AE366" i="1"/>
  <c r="AD366" i="1"/>
  <c r="AC366" i="1"/>
  <c r="I366" i="1"/>
  <c r="C366" i="1"/>
  <c r="B366" i="1"/>
  <c r="A366" i="1"/>
  <c r="AU365" i="1"/>
  <c r="AE365" i="1"/>
  <c r="AD365" i="1"/>
  <c r="AC365" i="1"/>
  <c r="I365" i="1"/>
  <c r="C365" i="1"/>
  <c r="B365" i="1"/>
  <c r="A365" i="1"/>
  <c r="AU364" i="1"/>
  <c r="AE364" i="1"/>
  <c r="AD364" i="1"/>
  <c r="AC364" i="1"/>
  <c r="I364" i="1"/>
  <c r="C364" i="1"/>
  <c r="B364" i="1"/>
  <c r="A364" i="1"/>
  <c r="AU363" i="1"/>
  <c r="AE363" i="1"/>
  <c r="AD363" i="1"/>
  <c r="AC363" i="1"/>
  <c r="I363" i="1"/>
  <c r="C363" i="1"/>
  <c r="B363" i="1"/>
  <c r="A363" i="1"/>
  <c r="AU362" i="1"/>
  <c r="AE362" i="1"/>
  <c r="AD362" i="1"/>
  <c r="AC362" i="1"/>
  <c r="I362" i="1"/>
  <c r="C362" i="1"/>
  <c r="B362" i="1"/>
  <c r="A362" i="1"/>
  <c r="AU361" i="1"/>
  <c r="AE361" i="1"/>
  <c r="AD361" i="1"/>
  <c r="AC361" i="1"/>
  <c r="I361" i="1"/>
  <c r="C361" i="1"/>
  <c r="B361" i="1"/>
  <c r="A361" i="1"/>
  <c r="AU360" i="1"/>
  <c r="AE360" i="1"/>
  <c r="AD360" i="1"/>
  <c r="AC360" i="1"/>
  <c r="I360" i="1"/>
  <c r="C360" i="1"/>
  <c r="B360" i="1"/>
  <c r="A360" i="1"/>
  <c r="AU359" i="1"/>
  <c r="AE359" i="1"/>
  <c r="AD359" i="1"/>
  <c r="AC359" i="1"/>
  <c r="I359" i="1"/>
  <c r="C359" i="1"/>
  <c r="B359" i="1"/>
  <c r="A359" i="1"/>
  <c r="AU358" i="1"/>
  <c r="AE358" i="1"/>
  <c r="AD358" i="1"/>
  <c r="AC358" i="1"/>
  <c r="I358" i="1"/>
  <c r="C358" i="1"/>
  <c r="B358" i="1"/>
  <c r="A358" i="1"/>
  <c r="AU357" i="1"/>
  <c r="AE357" i="1"/>
  <c r="AD357" i="1"/>
  <c r="AC357" i="1"/>
  <c r="I357" i="1"/>
  <c r="C357" i="1"/>
  <c r="B357" i="1"/>
  <c r="A357" i="1"/>
  <c r="AU356" i="1"/>
  <c r="AE356" i="1"/>
  <c r="AD356" i="1"/>
  <c r="AC356" i="1"/>
  <c r="I356" i="1"/>
  <c r="C356" i="1"/>
  <c r="B356" i="1"/>
  <c r="A356" i="1"/>
  <c r="AU355" i="1"/>
  <c r="AE355" i="1"/>
  <c r="AD355" i="1"/>
  <c r="AC355" i="1"/>
  <c r="I355" i="1"/>
  <c r="C355" i="1"/>
  <c r="B355" i="1"/>
  <c r="A355" i="1"/>
  <c r="AU354" i="1"/>
  <c r="AE354" i="1"/>
  <c r="AD354" i="1"/>
  <c r="AC354" i="1"/>
  <c r="I354" i="1"/>
  <c r="C354" i="1"/>
  <c r="B354" i="1"/>
  <c r="A354" i="1"/>
  <c r="AU353" i="1"/>
  <c r="AE353" i="1"/>
  <c r="AD353" i="1"/>
  <c r="AC353" i="1"/>
  <c r="I353" i="1"/>
  <c r="C353" i="1"/>
  <c r="B353" i="1"/>
  <c r="A353" i="1"/>
  <c r="AU352" i="1"/>
  <c r="AE352" i="1"/>
  <c r="AD352" i="1"/>
  <c r="AC352" i="1"/>
  <c r="I352" i="1"/>
  <c r="C352" i="1"/>
  <c r="B352" i="1"/>
  <c r="A352" i="1"/>
  <c r="AU351" i="1"/>
  <c r="AE351" i="1"/>
  <c r="AD351" i="1"/>
  <c r="AC351" i="1"/>
  <c r="I351" i="1"/>
  <c r="C351" i="1"/>
  <c r="B351" i="1"/>
  <c r="A351" i="1"/>
  <c r="AU350" i="1"/>
  <c r="AE350" i="1"/>
  <c r="AD350" i="1"/>
  <c r="AC350" i="1"/>
  <c r="I350" i="1"/>
  <c r="C350" i="1"/>
  <c r="B350" i="1"/>
  <c r="A350" i="1"/>
  <c r="AU349" i="1"/>
  <c r="AE349" i="1"/>
  <c r="AD349" i="1"/>
  <c r="AC349" i="1"/>
  <c r="I349" i="1"/>
  <c r="C349" i="1"/>
  <c r="B349" i="1"/>
  <c r="A349" i="1"/>
  <c r="AU348" i="1"/>
  <c r="AE348" i="1"/>
  <c r="AD348" i="1"/>
  <c r="AC348" i="1"/>
  <c r="I348" i="1"/>
  <c r="C348" i="1"/>
  <c r="B348" i="1"/>
  <c r="A348" i="1"/>
  <c r="AU347" i="1"/>
  <c r="AE347" i="1"/>
  <c r="AD347" i="1"/>
  <c r="AC347" i="1"/>
  <c r="I347" i="1"/>
  <c r="C347" i="1"/>
  <c r="B347" i="1"/>
  <c r="A347" i="1"/>
  <c r="AU346" i="1"/>
  <c r="AE346" i="1"/>
  <c r="AD346" i="1"/>
  <c r="AC346" i="1"/>
  <c r="I346" i="1"/>
  <c r="C346" i="1"/>
  <c r="B346" i="1"/>
  <c r="A346" i="1"/>
  <c r="AU345" i="1"/>
  <c r="AE345" i="1"/>
  <c r="AD345" i="1"/>
  <c r="AC345" i="1"/>
  <c r="I345" i="1"/>
  <c r="C345" i="1"/>
  <c r="B345" i="1"/>
  <c r="A345" i="1"/>
  <c r="AU344" i="1"/>
  <c r="AE344" i="1"/>
  <c r="AD344" i="1"/>
  <c r="AC344" i="1"/>
  <c r="I344" i="1"/>
  <c r="C344" i="1"/>
  <c r="B344" i="1"/>
  <c r="A344" i="1"/>
  <c r="AU343" i="1"/>
  <c r="AE343" i="1"/>
  <c r="AD343" i="1"/>
  <c r="AC343" i="1"/>
  <c r="I343" i="1"/>
  <c r="C343" i="1"/>
  <c r="B343" i="1"/>
  <c r="A343" i="1"/>
  <c r="AU342" i="1"/>
  <c r="AE342" i="1"/>
  <c r="AD342" i="1"/>
  <c r="AC342" i="1"/>
  <c r="I342" i="1"/>
  <c r="C342" i="1"/>
  <c r="B342" i="1"/>
  <c r="A342" i="1"/>
  <c r="AU341" i="1"/>
  <c r="AE341" i="1"/>
  <c r="AD341" i="1"/>
  <c r="AC341" i="1"/>
  <c r="I341" i="1"/>
  <c r="C341" i="1"/>
  <c r="B341" i="1"/>
  <c r="A341" i="1"/>
  <c r="AU340" i="1"/>
  <c r="AE340" i="1"/>
  <c r="AD340" i="1"/>
  <c r="AC340" i="1"/>
  <c r="I340" i="1"/>
  <c r="C340" i="1"/>
  <c r="B340" i="1"/>
  <c r="A340" i="1"/>
  <c r="AU339" i="1"/>
  <c r="AE339" i="1"/>
  <c r="AD339" i="1"/>
  <c r="AC339" i="1"/>
  <c r="I339" i="1"/>
  <c r="C339" i="1"/>
  <c r="B339" i="1"/>
  <c r="A339" i="1"/>
  <c r="AU338" i="1"/>
  <c r="AE338" i="1"/>
  <c r="AD338" i="1"/>
  <c r="AC338" i="1"/>
  <c r="I338" i="1"/>
  <c r="C338" i="1"/>
  <c r="B338" i="1"/>
  <c r="A338" i="1"/>
  <c r="AU337" i="1"/>
  <c r="AE337" i="1"/>
  <c r="AD337" i="1"/>
  <c r="AC337" i="1"/>
  <c r="I337" i="1"/>
  <c r="C337" i="1"/>
  <c r="B337" i="1"/>
  <c r="A337" i="1"/>
  <c r="AU336" i="1"/>
  <c r="AE336" i="1"/>
  <c r="AD336" i="1"/>
  <c r="AC336" i="1"/>
  <c r="I336" i="1"/>
  <c r="C336" i="1"/>
  <c r="B336" i="1"/>
  <c r="A336" i="1"/>
  <c r="AU335" i="1"/>
  <c r="AE335" i="1"/>
  <c r="AD335" i="1"/>
  <c r="AC335" i="1"/>
  <c r="I335" i="1"/>
  <c r="C335" i="1"/>
  <c r="B335" i="1"/>
  <c r="A335" i="1"/>
  <c r="AU334" i="1"/>
  <c r="AE334" i="1"/>
  <c r="AD334" i="1"/>
  <c r="AC334" i="1"/>
  <c r="I334" i="1"/>
  <c r="C334" i="1"/>
  <c r="B334" i="1"/>
  <c r="A334" i="1"/>
  <c r="AU333" i="1"/>
  <c r="AE333" i="1"/>
  <c r="AD333" i="1"/>
  <c r="AC333" i="1"/>
  <c r="I333" i="1"/>
  <c r="C333" i="1"/>
  <c r="B333" i="1"/>
  <c r="A333" i="1"/>
  <c r="AU332" i="1"/>
  <c r="AE332" i="1"/>
  <c r="AD332" i="1"/>
  <c r="AC332" i="1"/>
  <c r="I332" i="1"/>
  <c r="C332" i="1"/>
  <c r="B332" i="1"/>
  <c r="A332" i="1"/>
  <c r="AU331" i="1"/>
  <c r="AE331" i="1"/>
  <c r="AD331" i="1"/>
  <c r="AC331" i="1"/>
  <c r="I331" i="1"/>
  <c r="C331" i="1"/>
  <c r="B331" i="1"/>
  <c r="A331" i="1"/>
  <c r="AU330" i="1"/>
  <c r="AE330" i="1"/>
  <c r="AD330" i="1"/>
  <c r="AC330" i="1"/>
  <c r="I330" i="1"/>
  <c r="C330" i="1"/>
  <c r="B330" i="1"/>
  <c r="A330" i="1"/>
  <c r="AU329" i="1"/>
  <c r="AE329" i="1"/>
  <c r="AD329" i="1"/>
  <c r="AC329" i="1"/>
  <c r="I329" i="1"/>
  <c r="C329" i="1"/>
  <c r="B329" i="1"/>
  <c r="A329" i="1"/>
  <c r="AU328" i="1"/>
  <c r="AE328" i="1"/>
  <c r="AD328" i="1"/>
  <c r="AC328" i="1"/>
  <c r="I328" i="1"/>
  <c r="C328" i="1"/>
  <c r="B328" i="1"/>
  <c r="A328" i="1"/>
  <c r="AU327" i="1"/>
  <c r="AE327" i="1"/>
  <c r="AD327" i="1"/>
  <c r="AC327" i="1"/>
  <c r="I327" i="1"/>
  <c r="C327" i="1"/>
  <c r="B327" i="1"/>
  <c r="A327" i="1"/>
  <c r="AU326" i="1"/>
  <c r="AE326" i="1"/>
  <c r="AD326" i="1"/>
  <c r="AC326" i="1"/>
  <c r="I326" i="1"/>
  <c r="C326" i="1"/>
  <c r="B326" i="1"/>
  <c r="A326" i="1"/>
  <c r="AU325" i="1"/>
  <c r="AE325" i="1"/>
  <c r="AD325" i="1"/>
  <c r="AC325" i="1"/>
  <c r="I325" i="1"/>
  <c r="C325" i="1"/>
  <c r="B325" i="1"/>
  <c r="A325" i="1"/>
  <c r="AU324" i="1"/>
  <c r="AE324" i="1"/>
  <c r="AD324" i="1"/>
  <c r="AC324" i="1"/>
  <c r="I324" i="1"/>
  <c r="C324" i="1"/>
  <c r="B324" i="1"/>
  <c r="A324" i="1"/>
  <c r="AU323" i="1"/>
  <c r="AE323" i="1"/>
  <c r="AD323" i="1"/>
  <c r="AC323" i="1"/>
  <c r="I323" i="1"/>
  <c r="C323" i="1"/>
  <c r="B323" i="1"/>
  <c r="A323" i="1"/>
  <c r="AU322" i="1"/>
  <c r="AE322" i="1"/>
  <c r="AD322" i="1"/>
  <c r="AC322" i="1"/>
  <c r="I322" i="1"/>
  <c r="C322" i="1"/>
  <c r="B322" i="1"/>
  <c r="A322" i="1"/>
  <c r="AU321" i="1"/>
  <c r="AE321" i="1"/>
  <c r="AD321" i="1"/>
  <c r="AC321" i="1"/>
  <c r="I321" i="1"/>
  <c r="C321" i="1"/>
  <c r="B321" i="1"/>
  <c r="A321" i="1"/>
  <c r="AU320" i="1"/>
  <c r="AE320" i="1"/>
  <c r="AD320" i="1"/>
  <c r="AC320" i="1"/>
  <c r="I320" i="1"/>
  <c r="C320" i="1"/>
  <c r="B320" i="1"/>
  <c r="A320" i="1"/>
  <c r="AU319" i="1"/>
  <c r="AE319" i="1"/>
  <c r="AD319" i="1"/>
  <c r="AC319" i="1"/>
  <c r="I319" i="1"/>
  <c r="C319" i="1"/>
  <c r="B319" i="1"/>
  <c r="A319" i="1"/>
  <c r="AU318" i="1"/>
  <c r="AE318" i="1"/>
  <c r="AD318" i="1"/>
  <c r="AC318" i="1"/>
  <c r="I318" i="1"/>
  <c r="C318" i="1"/>
  <c r="B318" i="1"/>
  <c r="A318" i="1"/>
  <c r="AU317" i="1"/>
  <c r="AE317" i="1"/>
  <c r="AD317" i="1"/>
  <c r="AC317" i="1"/>
  <c r="I317" i="1"/>
  <c r="C317" i="1"/>
  <c r="B317" i="1"/>
  <c r="A317" i="1"/>
  <c r="AU316" i="1"/>
  <c r="AE316" i="1"/>
  <c r="AD316" i="1"/>
  <c r="AC316" i="1"/>
  <c r="I316" i="1"/>
  <c r="C316" i="1"/>
  <c r="B316" i="1"/>
  <c r="A316" i="1"/>
  <c r="AU315" i="1"/>
  <c r="AE315" i="1"/>
  <c r="AD315" i="1"/>
  <c r="AC315" i="1"/>
  <c r="I315" i="1"/>
  <c r="C315" i="1"/>
  <c r="B315" i="1"/>
  <c r="A315" i="1"/>
  <c r="AU314" i="1"/>
  <c r="AE314" i="1"/>
  <c r="AD314" i="1"/>
  <c r="AC314" i="1"/>
  <c r="I314" i="1"/>
  <c r="C314" i="1"/>
  <c r="B314" i="1"/>
  <c r="A314" i="1"/>
  <c r="AU313" i="1"/>
  <c r="AE313" i="1"/>
  <c r="AD313" i="1"/>
  <c r="AC313" i="1"/>
  <c r="I313" i="1"/>
  <c r="C313" i="1"/>
  <c r="B313" i="1"/>
  <c r="A313" i="1"/>
  <c r="AU312" i="1"/>
  <c r="AE312" i="1"/>
  <c r="AD312" i="1"/>
  <c r="AC312" i="1"/>
  <c r="I312" i="1"/>
  <c r="C312" i="1"/>
  <c r="B312" i="1"/>
  <c r="A312" i="1"/>
  <c r="AU311" i="1"/>
  <c r="AE311" i="1"/>
  <c r="AD311" i="1"/>
  <c r="AC311" i="1"/>
  <c r="I311" i="1"/>
  <c r="C311" i="1"/>
  <c r="B311" i="1"/>
  <c r="A311" i="1"/>
  <c r="AU310" i="1"/>
  <c r="AE310" i="1"/>
  <c r="AD310" i="1"/>
  <c r="AC310" i="1"/>
  <c r="I310" i="1"/>
  <c r="C310" i="1"/>
  <c r="B310" i="1"/>
  <c r="A310" i="1"/>
  <c r="AU309" i="1"/>
  <c r="AE309" i="1"/>
  <c r="AD309" i="1"/>
  <c r="AC309" i="1"/>
  <c r="I309" i="1"/>
  <c r="C309" i="1"/>
  <c r="B309" i="1"/>
  <c r="A309" i="1"/>
  <c r="AU308" i="1"/>
  <c r="AE308" i="1"/>
  <c r="AD308" i="1"/>
  <c r="AC308" i="1"/>
  <c r="I308" i="1"/>
  <c r="C308" i="1"/>
  <c r="B308" i="1"/>
  <c r="A308" i="1"/>
  <c r="AU307" i="1"/>
  <c r="AE307" i="1"/>
  <c r="AD307" i="1"/>
  <c r="AC307" i="1"/>
  <c r="I307" i="1"/>
  <c r="C307" i="1"/>
  <c r="B307" i="1"/>
  <c r="A307" i="1"/>
  <c r="AU306" i="1"/>
  <c r="AE306" i="1"/>
  <c r="AD306" i="1"/>
  <c r="AC306" i="1"/>
  <c r="I306" i="1"/>
  <c r="C306" i="1"/>
  <c r="B306" i="1"/>
  <c r="A306" i="1"/>
  <c r="AU305" i="1"/>
  <c r="AE305" i="1"/>
  <c r="AD305" i="1"/>
  <c r="AC305" i="1"/>
  <c r="I305" i="1"/>
  <c r="C305" i="1"/>
  <c r="B305" i="1"/>
  <c r="A305" i="1"/>
  <c r="AU304" i="1"/>
  <c r="AE304" i="1"/>
  <c r="AD304" i="1"/>
  <c r="AC304" i="1"/>
  <c r="I304" i="1"/>
  <c r="C304" i="1"/>
  <c r="B304" i="1"/>
  <c r="A304" i="1"/>
  <c r="AU303" i="1"/>
  <c r="AE303" i="1"/>
  <c r="AD303" i="1"/>
  <c r="AC303" i="1"/>
  <c r="I303" i="1"/>
  <c r="C303" i="1"/>
  <c r="B303" i="1"/>
  <c r="A303" i="1"/>
  <c r="AU302" i="1"/>
  <c r="AE302" i="1"/>
  <c r="AD302" i="1"/>
  <c r="AC302" i="1"/>
  <c r="I302" i="1"/>
  <c r="C302" i="1"/>
  <c r="B302" i="1"/>
  <c r="A302" i="1"/>
  <c r="AU301" i="1"/>
  <c r="AE301" i="1"/>
  <c r="AD301" i="1"/>
  <c r="AC301" i="1"/>
  <c r="I301" i="1"/>
  <c r="C301" i="1"/>
  <c r="B301" i="1"/>
  <c r="A301" i="1"/>
  <c r="AU300" i="1"/>
  <c r="AE300" i="1"/>
  <c r="AD300" i="1"/>
  <c r="AC300" i="1"/>
  <c r="I300" i="1"/>
  <c r="C300" i="1"/>
  <c r="B300" i="1"/>
  <c r="A300" i="1"/>
  <c r="AU299" i="1"/>
  <c r="AE299" i="1"/>
  <c r="AD299" i="1"/>
  <c r="AC299" i="1"/>
  <c r="I299" i="1"/>
  <c r="C299" i="1"/>
  <c r="B299" i="1"/>
  <c r="A299" i="1"/>
  <c r="AU298" i="1"/>
  <c r="AE298" i="1"/>
  <c r="AD298" i="1"/>
  <c r="AC298" i="1"/>
  <c r="I298" i="1"/>
  <c r="C298" i="1"/>
  <c r="B298" i="1"/>
  <c r="A298" i="1"/>
  <c r="AU297" i="1"/>
  <c r="AE297" i="1"/>
  <c r="AD297" i="1"/>
  <c r="AC297" i="1"/>
  <c r="I297" i="1"/>
  <c r="C297" i="1"/>
  <c r="B297" i="1"/>
  <c r="A297" i="1"/>
  <c r="AU296" i="1"/>
  <c r="AE296" i="1"/>
  <c r="AD296" i="1"/>
  <c r="AC296" i="1"/>
  <c r="I296" i="1"/>
  <c r="C296" i="1"/>
  <c r="B296" i="1"/>
  <c r="A296" i="1"/>
  <c r="AU295" i="1"/>
  <c r="AE295" i="1"/>
  <c r="AD295" i="1"/>
  <c r="AC295" i="1"/>
  <c r="I295" i="1"/>
  <c r="C295" i="1"/>
  <c r="B295" i="1"/>
  <c r="A295" i="1"/>
  <c r="AU294" i="1"/>
  <c r="AE294" i="1"/>
  <c r="AD294" i="1"/>
  <c r="AC294" i="1"/>
  <c r="I294" i="1"/>
  <c r="C294" i="1"/>
  <c r="B294" i="1"/>
  <c r="A294" i="1"/>
  <c r="AU293" i="1"/>
  <c r="AE293" i="1"/>
  <c r="AD293" i="1"/>
  <c r="AC293" i="1"/>
  <c r="I293" i="1"/>
  <c r="C293" i="1"/>
  <c r="B293" i="1"/>
  <c r="A293" i="1"/>
  <c r="AU292" i="1"/>
  <c r="AE292" i="1"/>
  <c r="AD292" i="1"/>
  <c r="AC292" i="1"/>
  <c r="I292" i="1"/>
  <c r="C292" i="1"/>
  <c r="B292" i="1"/>
  <c r="A292" i="1"/>
  <c r="AU291" i="1"/>
  <c r="AE291" i="1"/>
  <c r="AD291" i="1"/>
  <c r="AC291" i="1"/>
  <c r="I291" i="1"/>
  <c r="C291" i="1"/>
  <c r="B291" i="1"/>
  <c r="A291" i="1"/>
  <c r="AU290" i="1"/>
  <c r="AE290" i="1"/>
  <c r="AD290" i="1"/>
  <c r="AC290" i="1"/>
  <c r="I290" i="1"/>
  <c r="C290" i="1"/>
  <c r="B290" i="1"/>
  <c r="A290" i="1"/>
  <c r="AU289" i="1"/>
  <c r="AE289" i="1"/>
  <c r="AD289" i="1"/>
  <c r="AC289" i="1"/>
  <c r="I289" i="1"/>
  <c r="C289" i="1"/>
  <c r="B289" i="1"/>
  <c r="A289" i="1"/>
  <c r="AU288" i="1"/>
  <c r="AE288" i="1"/>
  <c r="AD288" i="1"/>
  <c r="AC288" i="1"/>
  <c r="I288" i="1"/>
  <c r="C288" i="1"/>
  <c r="B288" i="1"/>
  <c r="A288" i="1"/>
  <c r="AU287" i="1"/>
  <c r="AE287" i="1"/>
  <c r="AD287" i="1"/>
  <c r="AC287" i="1"/>
  <c r="I287" i="1"/>
  <c r="C287" i="1"/>
  <c r="B287" i="1"/>
  <c r="A287" i="1"/>
  <c r="AU286" i="1"/>
  <c r="AE286" i="1"/>
  <c r="AD286" i="1"/>
  <c r="AC286" i="1"/>
  <c r="I286" i="1"/>
  <c r="C286" i="1"/>
  <c r="B286" i="1"/>
  <c r="A286" i="1"/>
  <c r="AU285" i="1"/>
  <c r="AE285" i="1"/>
  <c r="AD285" i="1"/>
  <c r="AC285" i="1"/>
  <c r="I285" i="1"/>
  <c r="C285" i="1"/>
  <c r="B285" i="1"/>
  <c r="A285" i="1"/>
  <c r="AU284" i="1"/>
  <c r="AE284" i="1"/>
  <c r="AD284" i="1"/>
  <c r="AC284" i="1"/>
  <c r="I284" i="1"/>
  <c r="C284" i="1"/>
  <c r="B284" i="1"/>
  <c r="A284" i="1"/>
  <c r="AU283" i="1"/>
  <c r="AE283" i="1"/>
  <c r="AD283" i="1"/>
  <c r="AC283" i="1"/>
  <c r="I283" i="1"/>
  <c r="C283" i="1"/>
  <c r="B283" i="1"/>
  <c r="A283" i="1"/>
  <c r="AU282" i="1"/>
  <c r="AE282" i="1"/>
  <c r="AD282" i="1"/>
  <c r="AC282" i="1"/>
  <c r="I282" i="1"/>
  <c r="C282" i="1"/>
  <c r="B282" i="1"/>
  <c r="A282" i="1"/>
  <c r="AU281" i="1"/>
  <c r="AE281" i="1"/>
  <c r="AD281" i="1"/>
  <c r="AC281" i="1"/>
  <c r="I281" i="1"/>
  <c r="C281" i="1"/>
  <c r="B281" i="1"/>
  <c r="A281" i="1"/>
  <c r="AU280" i="1"/>
  <c r="AE280" i="1"/>
  <c r="AD280" i="1"/>
  <c r="AC280" i="1"/>
  <c r="I280" i="1"/>
  <c r="C280" i="1"/>
  <c r="B280" i="1"/>
  <c r="A280" i="1"/>
  <c r="AU279" i="1"/>
  <c r="AE279" i="1"/>
  <c r="AD279" i="1"/>
  <c r="AC279" i="1"/>
  <c r="I279" i="1"/>
  <c r="C279" i="1"/>
  <c r="B279" i="1"/>
  <c r="A279" i="1"/>
  <c r="AU278" i="1"/>
  <c r="AE278" i="1"/>
  <c r="AD278" i="1"/>
  <c r="AC278" i="1"/>
  <c r="I278" i="1"/>
  <c r="C278" i="1"/>
  <c r="B278" i="1"/>
  <c r="A278" i="1"/>
  <c r="AU277" i="1"/>
  <c r="AE277" i="1"/>
  <c r="AD277" i="1"/>
  <c r="AC277" i="1"/>
  <c r="I277" i="1"/>
  <c r="C277" i="1"/>
  <c r="B277" i="1"/>
  <c r="A277" i="1"/>
  <c r="AU276" i="1"/>
  <c r="AE276" i="1"/>
  <c r="AD276" i="1"/>
  <c r="AC276" i="1"/>
  <c r="I276" i="1"/>
  <c r="C276" i="1"/>
  <c r="B276" i="1"/>
  <c r="A276" i="1"/>
  <c r="AU275" i="1"/>
  <c r="AE275" i="1"/>
  <c r="AD275" i="1"/>
  <c r="AC275" i="1"/>
  <c r="I275" i="1"/>
  <c r="C275" i="1"/>
  <c r="B275" i="1"/>
  <c r="A275" i="1"/>
  <c r="AU274" i="1"/>
  <c r="AE274" i="1"/>
  <c r="AD274" i="1"/>
  <c r="AC274" i="1"/>
  <c r="I274" i="1"/>
  <c r="C274" i="1"/>
  <c r="B274" i="1"/>
  <c r="A274" i="1"/>
  <c r="AU273" i="1"/>
  <c r="AE273" i="1"/>
  <c r="AD273" i="1"/>
  <c r="AC273" i="1"/>
  <c r="I273" i="1"/>
  <c r="C273" i="1"/>
  <c r="B273" i="1"/>
  <c r="A273" i="1"/>
  <c r="AU272" i="1"/>
  <c r="AE272" i="1"/>
  <c r="AD272" i="1"/>
  <c r="AC272" i="1"/>
  <c r="I272" i="1"/>
  <c r="C272" i="1"/>
  <c r="B272" i="1"/>
  <c r="A272" i="1"/>
  <c r="AU271" i="1"/>
  <c r="AE271" i="1"/>
  <c r="AD271" i="1"/>
  <c r="AC271" i="1"/>
  <c r="I271" i="1"/>
  <c r="C271" i="1"/>
  <c r="B271" i="1"/>
  <c r="A271" i="1"/>
  <c r="AU270" i="1"/>
  <c r="AE270" i="1"/>
  <c r="AD270" i="1"/>
  <c r="AC270" i="1"/>
  <c r="I270" i="1"/>
  <c r="C270" i="1"/>
  <c r="B270" i="1"/>
  <c r="A270" i="1"/>
  <c r="AU269" i="1"/>
  <c r="AE269" i="1"/>
  <c r="AD269" i="1"/>
  <c r="AC269" i="1"/>
  <c r="I269" i="1"/>
  <c r="C269" i="1"/>
  <c r="B269" i="1"/>
  <c r="A269" i="1"/>
  <c r="AU268" i="1"/>
  <c r="AE268" i="1"/>
  <c r="AD268" i="1"/>
  <c r="AC268" i="1"/>
  <c r="I268" i="1"/>
  <c r="C268" i="1"/>
  <c r="B268" i="1"/>
  <c r="A268" i="1"/>
  <c r="AU267" i="1"/>
  <c r="AE267" i="1"/>
  <c r="AD267" i="1"/>
  <c r="AC267" i="1"/>
  <c r="I267" i="1"/>
  <c r="C267" i="1"/>
  <c r="B267" i="1"/>
  <c r="A267" i="1"/>
  <c r="AU266" i="1"/>
  <c r="AE266" i="1"/>
  <c r="AD266" i="1"/>
  <c r="AC266" i="1"/>
  <c r="I266" i="1"/>
  <c r="C266" i="1"/>
  <c r="B266" i="1"/>
  <c r="A266" i="1"/>
  <c r="AU265" i="1"/>
  <c r="AE265" i="1"/>
  <c r="AD265" i="1"/>
  <c r="AC265" i="1"/>
  <c r="I265" i="1"/>
  <c r="C265" i="1"/>
  <c r="B265" i="1"/>
  <c r="A265" i="1"/>
  <c r="AU264" i="1"/>
  <c r="AE264" i="1"/>
  <c r="AD264" i="1"/>
  <c r="AC264" i="1"/>
  <c r="I264" i="1"/>
  <c r="C264" i="1"/>
  <c r="B264" i="1"/>
  <c r="A264" i="1"/>
  <c r="AU263" i="1"/>
  <c r="AE263" i="1"/>
  <c r="AD263" i="1"/>
  <c r="AC263" i="1"/>
  <c r="I263" i="1"/>
  <c r="C263" i="1"/>
  <c r="B263" i="1"/>
  <c r="A263" i="1"/>
  <c r="AU262" i="1"/>
  <c r="AE262" i="1"/>
  <c r="AD262" i="1"/>
  <c r="AC262" i="1"/>
  <c r="I262" i="1"/>
  <c r="C262" i="1"/>
  <c r="B262" i="1"/>
  <c r="A262" i="1"/>
  <c r="AU261" i="1"/>
  <c r="AE261" i="1"/>
  <c r="AD261" i="1"/>
  <c r="AC261" i="1"/>
  <c r="I261" i="1"/>
  <c r="C261" i="1"/>
  <c r="B261" i="1"/>
  <c r="A261" i="1"/>
  <c r="AU260" i="1"/>
  <c r="AE260" i="1"/>
  <c r="AD260" i="1"/>
  <c r="AC260" i="1"/>
  <c r="I260" i="1"/>
  <c r="C260" i="1"/>
  <c r="B260" i="1"/>
  <c r="A260" i="1"/>
  <c r="AU259" i="1"/>
  <c r="AE259" i="1"/>
  <c r="AD259" i="1"/>
  <c r="AC259" i="1"/>
  <c r="I259" i="1"/>
  <c r="C259" i="1"/>
  <c r="B259" i="1"/>
  <c r="A259" i="1"/>
  <c r="AU258" i="1"/>
  <c r="AE258" i="1"/>
  <c r="AD258" i="1"/>
  <c r="AC258" i="1"/>
  <c r="I258" i="1"/>
  <c r="C258" i="1"/>
  <c r="B258" i="1"/>
  <c r="A258" i="1"/>
  <c r="AU257" i="1"/>
  <c r="AE257" i="1"/>
  <c r="AD257" i="1"/>
  <c r="AC257" i="1"/>
  <c r="I257" i="1"/>
  <c r="C257" i="1"/>
  <c r="B257" i="1"/>
  <c r="A257" i="1"/>
  <c r="AU256" i="1"/>
  <c r="AE256" i="1"/>
  <c r="AD256" i="1"/>
  <c r="AC256" i="1"/>
  <c r="I256" i="1"/>
  <c r="C256" i="1"/>
  <c r="B256" i="1"/>
  <c r="A256" i="1"/>
  <c r="AU255" i="1"/>
  <c r="AE255" i="1"/>
  <c r="AD255" i="1"/>
  <c r="AC255" i="1"/>
  <c r="I255" i="1"/>
  <c r="C255" i="1"/>
  <c r="B255" i="1"/>
  <c r="A255" i="1"/>
  <c r="AU254" i="1"/>
  <c r="AE254" i="1"/>
  <c r="AD254" i="1"/>
  <c r="AC254" i="1"/>
  <c r="I254" i="1"/>
  <c r="C254" i="1"/>
  <c r="B254" i="1"/>
  <c r="A254" i="1"/>
  <c r="AU253" i="1"/>
  <c r="AE253" i="1"/>
  <c r="AD253" i="1"/>
  <c r="AC253" i="1"/>
  <c r="I253" i="1"/>
  <c r="C253" i="1"/>
  <c r="B253" i="1"/>
  <c r="A253" i="1"/>
  <c r="AU252" i="1"/>
  <c r="AE252" i="1"/>
  <c r="AD252" i="1"/>
  <c r="AC252" i="1"/>
  <c r="I252" i="1"/>
  <c r="C252" i="1"/>
  <c r="B252" i="1"/>
  <c r="A252" i="1"/>
  <c r="AU251" i="1"/>
  <c r="AE251" i="1"/>
  <c r="AD251" i="1"/>
  <c r="AC251" i="1"/>
  <c r="I251" i="1"/>
  <c r="C251" i="1"/>
  <c r="B251" i="1"/>
  <c r="A251" i="1"/>
  <c r="AU250" i="1"/>
  <c r="AE250" i="1"/>
  <c r="AD250" i="1"/>
  <c r="AC250" i="1"/>
  <c r="I250" i="1"/>
  <c r="C250" i="1"/>
  <c r="B250" i="1"/>
  <c r="A250" i="1"/>
  <c r="AU249" i="1"/>
  <c r="AE249" i="1"/>
  <c r="AD249" i="1"/>
  <c r="AC249" i="1"/>
  <c r="I249" i="1"/>
  <c r="C249" i="1"/>
  <c r="B249" i="1"/>
  <c r="A249" i="1"/>
  <c r="AU248" i="1"/>
  <c r="AE248" i="1"/>
  <c r="AD248" i="1"/>
  <c r="AC248" i="1"/>
  <c r="I248" i="1"/>
  <c r="C248" i="1"/>
  <c r="B248" i="1"/>
  <c r="A248" i="1"/>
  <c r="AU247" i="1"/>
  <c r="AE247" i="1"/>
  <c r="AD247" i="1"/>
  <c r="AC247" i="1"/>
  <c r="I247" i="1"/>
  <c r="C247" i="1"/>
  <c r="B247" i="1"/>
  <c r="A247" i="1"/>
  <c r="AU246" i="1"/>
  <c r="AE246" i="1"/>
  <c r="AD246" i="1"/>
  <c r="AC246" i="1"/>
  <c r="I246" i="1"/>
  <c r="C246" i="1"/>
  <c r="B246" i="1"/>
  <c r="A246" i="1"/>
  <c r="AU245" i="1"/>
  <c r="AE245" i="1"/>
  <c r="AD245" i="1"/>
  <c r="AC245" i="1"/>
  <c r="I245" i="1"/>
  <c r="C245" i="1"/>
  <c r="B245" i="1"/>
  <c r="A245" i="1"/>
  <c r="AU244" i="1"/>
  <c r="AE244" i="1"/>
  <c r="AD244" i="1"/>
  <c r="AC244" i="1"/>
  <c r="I244" i="1"/>
  <c r="C244" i="1"/>
  <c r="B244" i="1"/>
  <c r="A244" i="1"/>
  <c r="AU243" i="1"/>
  <c r="AE243" i="1"/>
  <c r="AD243" i="1"/>
  <c r="AC243" i="1"/>
  <c r="I243" i="1"/>
  <c r="C243" i="1"/>
  <c r="B243" i="1"/>
  <c r="A243" i="1"/>
  <c r="AU242" i="1"/>
  <c r="AE242" i="1"/>
  <c r="AD242" i="1"/>
  <c r="AC242" i="1"/>
  <c r="I242" i="1"/>
  <c r="C242" i="1"/>
  <c r="B242" i="1"/>
  <c r="A242" i="1"/>
  <c r="AU241" i="1"/>
  <c r="AE241" i="1"/>
  <c r="AD241" i="1"/>
  <c r="AC241" i="1"/>
  <c r="I241" i="1"/>
  <c r="C241" i="1"/>
  <c r="B241" i="1"/>
  <c r="A241" i="1"/>
  <c r="AU240" i="1"/>
  <c r="AE240" i="1"/>
  <c r="AD240" i="1"/>
  <c r="AC240" i="1"/>
  <c r="I240" i="1"/>
  <c r="C240" i="1"/>
  <c r="B240" i="1"/>
  <c r="A240" i="1"/>
  <c r="AU239" i="1"/>
  <c r="AE239" i="1"/>
  <c r="AD239" i="1"/>
  <c r="AC239" i="1"/>
  <c r="I239" i="1"/>
  <c r="C239" i="1"/>
  <c r="B239" i="1"/>
  <c r="A239" i="1"/>
  <c r="AU238" i="1"/>
  <c r="AE238" i="1"/>
  <c r="AD238" i="1"/>
  <c r="AC238" i="1"/>
  <c r="I238" i="1"/>
  <c r="C238" i="1"/>
  <c r="B238" i="1"/>
  <c r="A238" i="1"/>
  <c r="AU237" i="1"/>
  <c r="AE237" i="1"/>
  <c r="AD237" i="1"/>
  <c r="AC237" i="1"/>
  <c r="I237" i="1"/>
  <c r="C237" i="1"/>
  <c r="B237" i="1"/>
  <c r="A237" i="1"/>
  <c r="AU236" i="1"/>
  <c r="AE236" i="1"/>
  <c r="AD236" i="1"/>
  <c r="AC236" i="1"/>
  <c r="I236" i="1"/>
  <c r="C236" i="1"/>
  <c r="B236" i="1"/>
  <c r="A236" i="1"/>
  <c r="AU235" i="1"/>
  <c r="AE235" i="1"/>
  <c r="AD235" i="1"/>
  <c r="AC235" i="1"/>
  <c r="I235" i="1"/>
  <c r="C235" i="1"/>
  <c r="B235" i="1"/>
  <c r="A235" i="1"/>
  <c r="AU234" i="1"/>
  <c r="AE234" i="1"/>
  <c r="AD234" i="1"/>
  <c r="AC234" i="1"/>
  <c r="I234" i="1"/>
  <c r="C234" i="1"/>
  <c r="B234" i="1"/>
  <c r="A234" i="1"/>
  <c r="AU233" i="1"/>
  <c r="AE233" i="1"/>
  <c r="AD233" i="1"/>
  <c r="AC233" i="1"/>
  <c r="I233" i="1"/>
  <c r="C233" i="1"/>
  <c r="B233" i="1"/>
  <c r="A233" i="1"/>
  <c r="AU232" i="1"/>
  <c r="AE232" i="1"/>
  <c r="AD232" i="1"/>
  <c r="AC232" i="1"/>
  <c r="I232" i="1"/>
  <c r="C232" i="1"/>
  <c r="B232" i="1"/>
  <c r="A232" i="1"/>
  <c r="AU231" i="1"/>
  <c r="AE231" i="1"/>
  <c r="AD231" i="1"/>
  <c r="AC231" i="1"/>
  <c r="I231" i="1"/>
  <c r="C231" i="1"/>
  <c r="B231" i="1"/>
  <c r="A231" i="1"/>
  <c r="AU230" i="1"/>
  <c r="AE230" i="1"/>
  <c r="AD230" i="1"/>
  <c r="AC230" i="1"/>
  <c r="I230" i="1"/>
  <c r="C230" i="1"/>
  <c r="B230" i="1"/>
  <c r="A230" i="1"/>
  <c r="AU229" i="1"/>
  <c r="AE229" i="1"/>
  <c r="AD229" i="1"/>
  <c r="AC229" i="1"/>
  <c r="I229" i="1"/>
  <c r="C229" i="1"/>
  <c r="B229" i="1"/>
  <c r="A229" i="1"/>
  <c r="AU228" i="1"/>
  <c r="AE228" i="1"/>
  <c r="AD228" i="1"/>
  <c r="AC228" i="1"/>
  <c r="I228" i="1"/>
  <c r="C228" i="1"/>
  <c r="B228" i="1"/>
  <c r="A228" i="1"/>
  <c r="AU227" i="1"/>
  <c r="AE227" i="1"/>
  <c r="AD227" i="1"/>
  <c r="AC227" i="1"/>
  <c r="I227" i="1"/>
  <c r="C227" i="1"/>
  <c r="B227" i="1"/>
  <c r="A227" i="1"/>
  <c r="AU226" i="1"/>
  <c r="AE226" i="1"/>
  <c r="AD226" i="1"/>
  <c r="AC226" i="1"/>
  <c r="I226" i="1"/>
  <c r="C226" i="1"/>
  <c r="B226" i="1"/>
  <c r="A226" i="1"/>
  <c r="AU225" i="1"/>
  <c r="AE225" i="1"/>
  <c r="AD225" i="1"/>
  <c r="AC225" i="1"/>
  <c r="I225" i="1"/>
  <c r="C225" i="1"/>
  <c r="B225" i="1"/>
  <c r="A225" i="1"/>
  <c r="AU224" i="1"/>
  <c r="AE224" i="1"/>
  <c r="AD224" i="1"/>
  <c r="AC224" i="1"/>
  <c r="I224" i="1"/>
  <c r="C224" i="1"/>
  <c r="B224" i="1"/>
  <c r="A224" i="1"/>
  <c r="AU223" i="1"/>
  <c r="AE223" i="1"/>
  <c r="AD223" i="1"/>
  <c r="AC223" i="1"/>
  <c r="I223" i="1"/>
  <c r="C223" i="1"/>
  <c r="B223" i="1"/>
  <c r="A223" i="1"/>
  <c r="AU222" i="1"/>
  <c r="AE222" i="1"/>
  <c r="AD222" i="1"/>
  <c r="AC222" i="1"/>
  <c r="I222" i="1"/>
  <c r="C222" i="1"/>
  <c r="B222" i="1"/>
  <c r="A222" i="1"/>
  <c r="AU221" i="1"/>
  <c r="AE221" i="1"/>
  <c r="AD221" i="1"/>
  <c r="AC221" i="1"/>
  <c r="I221" i="1"/>
  <c r="C221" i="1"/>
  <c r="B221" i="1"/>
  <c r="A221" i="1"/>
  <c r="AU220" i="1"/>
  <c r="AE220" i="1"/>
  <c r="AD220" i="1"/>
  <c r="AC220" i="1"/>
  <c r="I220" i="1"/>
  <c r="C220" i="1"/>
  <c r="B220" i="1"/>
  <c r="A220" i="1"/>
  <c r="AU219" i="1"/>
  <c r="AE219" i="1"/>
  <c r="AD219" i="1"/>
  <c r="AC219" i="1"/>
  <c r="I219" i="1"/>
  <c r="C219" i="1"/>
  <c r="B219" i="1"/>
  <c r="A219" i="1"/>
  <c r="AU218" i="1"/>
  <c r="AE218" i="1"/>
  <c r="AD218" i="1"/>
  <c r="AC218" i="1"/>
  <c r="I218" i="1"/>
  <c r="C218" i="1"/>
  <c r="B218" i="1"/>
  <c r="A218" i="1"/>
  <c r="AU217" i="1"/>
  <c r="AE217" i="1"/>
  <c r="AD217" i="1"/>
  <c r="AC217" i="1"/>
  <c r="I217" i="1"/>
  <c r="C217" i="1"/>
  <c r="B217" i="1"/>
  <c r="A217" i="1"/>
  <c r="AU216" i="1"/>
  <c r="AE216" i="1"/>
  <c r="AD216" i="1"/>
  <c r="AC216" i="1"/>
  <c r="I216" i="1"/>
  <c r="C216" i="1"/>
  <c r="B216" i="1"/>
  <c r="A216" i="1"/>
  <c r="AU215" i="1"/>
  <c r="AE215" i="1"/>
  <c r="AD215" i="1"/>
  <c r="AC215" i="1"/>
  <c r="I215" i="1"/>
  <c r="C215" i="1"/>
  <c r="B215" i="1"/>
  <c r="A215" i="1"/>
  <c r="AU214" i="1"/>
  <c r="AE214" i="1"/>
  <c r="AD214" i="1"/>
  <c r="AC214" i="1"/>
  <c r="I214" i="1"/>
  <c r="C214" i="1"/>
  <c r="B214" i="1"/>
  <c r="A214" i="1"/>
  <c r="AU213" i="1"/>
  <c r="AE213" i="1"/>
  <c r="AD213" i="1"/>
  <c r="AC213" i="1"/>
  <c r="I213" i="1"/>
  <c r="C213" i="1"/>
  <c r="B213" i="1"/>
  <c r="A213" i="1"/>
  <c r="AU212" i="1"/>
  <c r="AE212" i="1"/>
  <c r="AD212" i="1"/>
  <c r="AC212" i="1"/>
  <c r="I212" i="1"/>
  <c r="C212" i="1"/>
  <c r="B212" i="1"/>
  <c r="A212" i="1"/>
  <c r="AU211" i="1"/>
  <c r="AE211" i="1"/>
  <c r="AD211" i="1"/>
  <c r="AC211" i="1"/>
  <c r="I211" i="1"/>
  <c r="C211" i="1"/>
  <c r="B211" i="1"/>
  <c r="A211" i="1"/>
  <c r="AU210" i="1"/>
  <c r="AE210" i="1"/>
  <c r="AD210" i="1"/>
  <c r="AC210" i="1"/>
  <c r="I210" i="1"/>
  <c r="C210" i="1"/>
  <c r="B210" i="1"/>
  <c r="A210" i="1"/>
  <c r="AU209" i="1"/>
  <c r="AE209" i="1"/>
  <c r="AD209" i="1"/>
  <c r="AC209" i="1"/>
  <c r="I209" i="1"/>
  <c r="C209" i="1"/>
  <c r="B209" i="1"/>
  <c r="A209" i="1"/>
  <c r="AU208" i="1"/>
  <c r="AE208" i="1"/>
  <c r="AD208" i="1"/>
  <c r="AC208" i="1"/>
  <c r="I208" i="1"/>
  <c r="C208" i="1"/>
  <c r="B208" i="1"/>
  <c r="A208" i="1"/>
  <c r="AU207" i="1"/>
  <c r="AE207" i="1"/>
  <c r="AD207" i="1"/>
  <c r="AC207" i="1"/>
  <c r="I207" i="1"/>
  <c r="C207" i="1"/>
  <c r="B207" i="1"/>
  <c r="A207" i="1"/>
  <c r="AU206" i="1"/>
  <c r="AE206" i="1"/>
  <c r="AD206" i="1"/>
  <c r="AC206" i="1"/>
  <c r="I206" i="1"/>
  <c r="C206" i="1"/>
  <c r="B206" i="1"/>
  <c r="A206" i="1"/>
  <c r="AU205" i="1"/>
  <c r="AE205" i="1"/>
  <c r="AD205" i="1"/>
  <c r="AC205" i="1"/>
  <c r="I205" i="1"/>
  <c r="C205" i="1"/>
  <c r="B205" i="1"/>
  <c r="A205" i="1"/>
  <c r="AU204" i="1"/>
  <c r="AE204" i="1"/>
  <c r="AD204" i="1"/>
  <c r="AC204" i="1"/>
  <c r="I204" i="1"/>
  <c r="C204" i="1"/>
  <c r="B204" i="1"/>
  <c r="A204" i="1"/>
  <c r="AU203" i="1"/>
  <c r="AE203" i="1"/>
  <c r="AD203" i="1"/>
  <c r="AC203" i="1"/>
  <c r="I203" i="1"/>
  <c r="C203" i="1"/>
  <c r="B203" i="1"/>
  <c r="A203" i="1"/>
  <c r="AU202" i="1"/>
  <c r="AE202" i="1"/>
  <c r="AD202" i="1"/>
  <c r="AC202" i="1"/>
  <c r="I202" i="1"/>
  <c r="C202" i="1"/>
  <c r="B202" i="1"/>
  <c r="A202" i="1"/>
  <c r="AU201" i="1"/>
  <c r="AE201" i="1"/>
  <c r="AD201" i="1"/>
  <c r="AC201" i="1"/>
  <c r="I201" i="1"/>
  <c r="C201" i="1"/>
  <c r="B201" i="1"/>
  <c r="A201" i="1"/>
  <c r="AU200" i="1"/>
  <c r="AE200" i="1"/>
  <c r="AD200" i="1"/>
  <c r="AC200" i="1"/>
  <c r="I200" i="1"/>
  <c r="C200" i="1"/>
  <c r="B200" i="1"/>
  <c r="A200" i="1"/>
  <c r="AU199" i="1"/>
  <c r="AE199" i="1"/>
  <c r="AD199" i="1"/>
  <c r="AC199" i="1"/>
  <c r="I199" i="1"/>
  <c r="C199" i="1"/>
  <c r="B199" i="1"/>
  <c r="A199" i="1"/>
  <c r="AU198" i="1"/>
  <c r="AE198" i="1"/>
  <c r="AD198" i="1"/>
  <c r="AC198" i="1"/>
  <c r="I198" i="1"/>
  <c r="C198" i="1"/>
  <c r="B198" i="1"/>
  <c r="A198" i="1"/>
  <c r="AU197" i="1"/>
  <c r="AE197" i="1"/>
  <c r="AD197" i="1"/>
  <c r="AC197" i="1"/>
  <c r="I197" i="1"/>
  <c r="C197" i="1"/>
  <c r="B197" i="1"/>
  <c r="A197" i="1"/>
  <c r="AU196" i="1"/>
  <c r="AE196" i="1"/>
  <c r="AD196" i="1"/>
  <c r="AC196" i="1"/>
  <c r="I196" i="1"/>
  <c r="C196" i="1"/>
  <c r="B196" i="1"/>
  <c r="A196" i="1"/>
  <c r="AU195" i="1"/>
  <c r="AE195" i="1"/>
  <c r="AD195" i="1"/>
  <c r="AC195" i="1"/>
  <c r="I195" i="1"/>
  <c r="C195" i="1"/>
  <c r="B195" i="1"/>
  <c r="A195" i="1"/>
  <c r="AU194" i="1"/>
  <c r="AE194" i="1"/>
  <c r="AD194" i="1"/>
  <c r="AC194" i="1"/>
  <c r="I194" i="1"/>
  <c r="C194" i="1"/>
  <c r="B194" i="1"/>
  <c r="A194" i="1"/>
  <c r="AU193" i="1"/>
  <c r="AE193" i="1"/>
  <c r="AD193" i="1"/>
  <c r="AC193" i="1"/>
  <c r="I193" i="1"/>
  <c r="C193" i="1"/>
  <c r="B193" i="1"/>
  <c r="A193" i="1"/>
  <c r="AU192" i="1"/>
  <c r="AE192" i="1"/>
  <c r="AD192" i="1"/>
  <c r="AC192" i="1"/>
  <c r="I192" i="1"/>
  <c r="C192" i="1"/>
  <c r="B192" i="1"/>
  <c r="A192" i="1"/>
  <c r="AU191" i="1"/>
  <c r="AE191" i="1"/>
  <c r="AD191" i="1"/>
  <c r="AC191" i="1"/>
  <c r="I191" i="1"/>
  <c r="C191" i="1"/>
  <c r="B191" i="1"/>
  <c r="A191" i="1"/>
  <c r="AU190" i="1"/>
  <c r="AE190" i="1"/>
  <c r="AD190" i="1"/>
  <c r="AC190" i="1"/>
  <c r="I190" i="1"/>
  <c r="C190" i="1"/>
  <c r="B190" i="1"/>
  <c r="A190" i="1"/>
  <c r="AU189" i="1"/>
  <c r="AE189" i="1"/>
  <c r="AD189" i="1"/>
  <c r="AC189" i="1"/>
  <c r="I189" i="1"/>
  <c r="C189" i="1"/>
  <c r="B189" i="1"/>
  <c r="A189" i="1"/>
  <c r="AU188" i="1"/>
  <c r="AE188" i="1"/>
  <c r="AD188" i="1"/>
  <c r="AC188" i="1"/>
  <c r="I188" i="1"/>
  <c r="C188" i="1"/>
  <c r="B188" i="1"/>
  <c r="A188" i="1"/>
  <c r="AU187" i="1"/>
  <c r="AE187" i="1"/>
  <c r="AD187" i="1"/>
  <c r="AC187" i="1"/>
  <c r="I187" i="1"/>
  <c r="C187" i="1"/>
  <c r="B187" i="1"/>
  <c r="A187" i="1"/>
  <c r="AU186" i="1"/>
  <c r="AE186" i="1"/>
  <c r="AD186" i="1"/>
  <c r="AC186" i="1"/>
  <c r="I186" i="1"/>
  <c r="C186" i="1"/>
  <c r="B186" i="1"/>
  <c r="A186" i="1"/>
  <c r="AU185" i="1"/>
  <c r="AE185" i="1"/>
  <c r="AD185" i="1"/>
  <c r="AC185" i="1"/>
  <c r="I185" i="1"/>
  <c r="C185" i="1"/>
  <c r="B185" i="1"/>
  <c r="A185" i="1"/>
  <c r="AU184" i="1"/>
  <c r="AE184" i="1"/>
  <c r="AD184" i="1"/>
  <c r="AC184" i="1"/>
  <c r="I184" i="1"/>
  <c r="C184" i="1"/>
  <c r="B184" i="1"/>
  <c r="A184" i="1"/>
  <c r="AU183" i="1"/>
  <c r="AE183" i="1"/>
  <c r="AD183" i="1"/>
  <c r="AC183" i="1"/>
  <c r="I183" i="1"/>
  <c r="C183" i="1"/>
  <c r="B183" i="1"/>
  <c r="A183" i="1"/>
  <c r="AU182" i="1"/>
  <c r="AE182" i="1"/>
  <c r="AD182" i="1"/>
  <c r="AC182" i="1"/>
  <c r="I182" i="1"/>
  <c r="C182" i="1"/>
  <c r="B182" i="1"/>
  <c r="A182" i="1"/>
  <c r="AU181" i="1"/>
  <c r="AE181" i="1"/>
  <c r="AD181" i="1"/>
  <c r="AC181" i="1"/>
  <c r="I181" i="1"/>
  <c r="C181" i="1"/>
  <c r="B181" i="1"/>
  <c r="A181" i="1"/>
  <c r="AU180" i="1"/>
  <c r="AE180" i="1"/>
  <c r="AD180" i="1"/>
  <c r="AC180" i="1"/>
  <c r="I180" i="1"/>
  <c r="C180" i="1"/>
  <c r="B180" i="1"/>
  <c r="A180" i="1"/>
  <c r="AU179" i="1"/>
  <c r="AE179" i="1"/>
  <c r="AD179" i="1"/>
  <c r="AC179" i="1"/>
  <c r="I179" i="1"/>
  <c r="C179" i="1"/>
  <c r="B179" i="1"/>
  <c r="A179" i="1"/>
  <c r="AU178" i="1"/>
  <c r="AE178" i="1"/>
  <c r="AD178" i="1"/>
  <c r="AC178" i="1"/>
  <c r="I178" i="1"/>
  <c r="C178" i="1"/>
  <c r="B178" i="1"/>
  <c r="A178" i="1"/>
  <c r="AU177" i="1"/>
  <c r="AE177" i="1"/>
  <c r="AD177" i="1"/>
  <c r="AC177" i="1"/>
  <c r="I177" i="1"/>
  <c r="C177" i="1"/>
  <c r="B177" i="1"/>
  <c r="A177" i="1"/>
  <c r="AU176" i="1"/>
  <c r="AE176" i="1"/>
  <c r="AD176" i="1"/>
  <c r="AC176" i="1"/>
  <c r="I176" i="1"/>
  <c r="C176" i="1"/>
  <c r="B176" i="1"/>
  <c r="A176" i="1"/>
  <c r="AU175" i="1"/>
  <c r="AE175" i="1"/>
  <c r="AD175" i="1"/>
  <c r="AC175" i="1"/>
  <c r="I175" i="1"/>
  <c r="C175" i="1"/>
  <c r="B175" i="1"/>
  <c r="A175" i="1"/>
  <c r="AU174" i="1"/>
  <c r="AE174" i="1"/>
  <c r="AD174" i="1"/>
  <c r="AC174" i="1"/>
  <c r="I174" i="1"/>
  <c r="C174" i="1"/>
  <c r="B174" i="1"/>
  <c r="A174" i="1"/>
  <c r="AU173" i="1"/>
  <c r="AE173" i="1"/>
  <c r="AD173" i="1"/>
  <c r="AC173" i="1"/>
  <c r="I173" i="1"/>
  <c r="C173" i="1"/>
  <c r="B173" i="1"/>
  <c r="A173" i="1"/>
  <c r="AU172" i="1"/>
  <c r="AE172" i="1"/>
  <c r="AD172" i="1"/>
  <c r="AC172" i="1"/>
  <c r="I172" i="1"/>
  <c r="C172" i="1"/>
  <c r="B172" i="1"/>
  <c r="A172" i="1"/>
  <c r="AU171" i="1"/>
  <c r="AE171" i="1"/>
  <c r="AD171" i="1"/>
  <c r="AC171" i="1"/>
  <c r="I171" i="1"/>
  <c r="C171" i="1"/>
  <c r="B171" i="1"/>
  <c r="A171" i="1"/>
  <c r="AU170" i="1"/>
  <c r="AE170" i="1"/>
  <c r="AD170" i="1"/>
  <c r="AC170" i="1"/>
  <c r="I170" i="1"/>
  <c r="C170" i="1"/>
  <c r="B170" i="1"/>
  <c r="A170" i="1"/>
  <c r="AU169" i="1"/>
  <c r="AE169" i="1"/>
  <c r="AD169" i="1"/>
  <c r="AC169" i="1"/>
  <c r="I169" i="1"/>
  <c r="C169" i="1"/>
  <c r="B169" i="1"/>
  <c r="A169" i="1"/>
  <c r="AU168" i="1"/>
  <c r="AE168" i="1"/>
  <c r="AD168" i="1"/>
  <c r="AC168" i="1"/>
  <c r="I168" i="1"/>
  <c r="C168" i="1"/>
  <c r="B168" i="1"/>
  <c r="A168" i="1"/>
  <c r="AU167" i="1"/>
  <c r="AE167" i="1"/>
  <c r="AD167" i="1"/>
  <c r="AC167" i="1"/>
  <c r="I167" i="1"/>
  <c r="C167" i="1"/>
  <c r="B167" i="1"/>
  <c r="A167" i="1"/>
  <c r="AU166" i="1"/>
  <c r="AE166" i="1"/>
  <c r="AD166" i="1"/>
  <c r="AC166" i="1"/>
  <c r="I166" i="1"/>
  <c r="C166" i="1"/>
  <c r="B166" i="1"/>
  <c r="A166" i="1"/>
  <c r="AU165" i="1"/>
  <c r="AE165" i="1"/>
  <c r="AD165" i="1"/>
  <c r="AC165" i="1"/>
  <c r="I165" i="1"/>
  <c r="C165" i="1"/>
  <c r="B165" i="1"/>
  <c r="A165" i="1"/>
  <c r="AU164" i="1"/>
  <c r="AE164" i="1"/>
  <c r="AD164" i="1"/>
  <c r="AC164" i="1"/>
  <c r="I164" i="1"/>
  <c r="C164" i="1"/>
  <c r="B164" i="1"/>
  <c r="A164" i="1"/>
  <c r="AU163" i="1"/>
  <c r="AE163" i="1"/>
  <c r="AD163" i="1"/>
  <c r="AC163" i="1"/>
  <c r="I163" i="1"/>
  <c r="C163" i="1"/>
  <c r="B163" i="1"/>
  <c r="A163" i="1"/>
  <c r="AU162" i="1"/>
  <c r="AE162" i="1"/>
  <c r="AD162" i="1"/>
  <c r="AC162" i="1"/>
  <c r="I162" i="1"/>
  <c r="C162" i="1"/>
  <c r="B162" i="1"/>
  <c r="A162" i="1"/>
  <c r="AU161" i="1"/>
  <c r="AE161" i="1"/>
  <c r="AD161" i="1"/>
  <c r="AC161" i="1"/>
  <c r="I161" i="1"/>
  <c r="C161" i="1"/>
  <c r="B161" i="1"/>
  <c r="A161" i="1"/>
  <c r="AU160" i="1"/>
  <c r="AE160" i="1"/>
  <c r="AD160" i="1"/>
  <c r="AC160" i="1"/>
  <c r="I160" i="1"/>
  <c r="C160" i="1"/>
  <c r="B160" i="1"/>
  <c r="A160" i="1"/>
  <c r="AU159" i="1"/>
  <c r="AE159" i="1"/>
  <c r="AD159" i="1"/>
  <c r="AC159" i="1"/>
  <c r="I159" i="1"/>
  <c r="C159" i="1"/>
  <c r="B159" i="1"/>
  <c r="A159" i="1"/>
  <c r="AU158" i="1"/>
  <c r="AE158" i="1"/>
  <c r="AD158" i="1"/>
  <c r="AC158" i="1"/>
  <c r="I158" i="1"/>
  <c r="C158" i="1"/>
  <c r="B158" i="1"/>
  <c r="A158" i="1"/>
  <c r="AU157" i="1"/>
  <c r="AE157" i="1"/>
  <c r="AD157" i="1"/>
  <c r="AC157" i="1"/>
  <c r="I157" i="1"/>
  <c r="C157" i="1"/>
  <c r="B157" i="1"/>
  <c r="A157" i="1"/>
  <c r="AU156" i="1"/>
  <c r="AE156" i="1"/>
  <c r="AD156" i="1"/>
  <c r="AC156" i="1"/>
  <c r="I156" i="1"/>
  <c r="C156" i="1"/>
  <c r="B156" i="1"/>
  <c r="A156" i="1"/>
  <c r="AU155" i="1"/>
  <c r="AE155" i="1"/>
  <c r="AD155" i="1"/>
  <c r="AC155" i="1"/>
  <c r="I155" i="1"/>
  <c r="C155" i="1"/>
  <c r="B155" i="1"/>
  <c r="A155" i="1"/>
  <c r="AU154" i="1"/>
  <c r="AE154" i="1"/>
  <c r="AD154" i="1"/>
  <c r="AC154" i="1"/>
  <c r="I154" i="1"/>
  <c r="C154" i="1"/>
  <c r="B154" i="1"/>
  <c r="A154" i="1"/>
  <c r="AU153" i="1"/>
  <c r="AE153" i="1"/>
  <c r="AD153" i="1"/>
  <c r="AC153" i="1"/>
  <c r="I153" i="1"/>
  <c r="C153" i="1"/>
  <c r="B153" i="1"/>
  <c r="A153" i="1"/>
  <c r="AU152" i="1"/>
  <c r="AE152" i="1"/>
  <c r="AD152" i="1"/>
  <c r="AC152" i="1"/>
  <c r="I152" i="1"/>
  <c r="C152" i="1"/>
  <c r="B152" i="1"/>
  <c r="A152" i="1"/>
  <c r="AU151" i="1"/>
  <c r="AE151" i="1"/>
  <c r="AD151" i="1"/>
  <c r="AC151" i="1"/>
  <c r="I151" i="1"/>
  <c r="C151" i="1"/>
  <c r="B151" i="1"/>
  <c r="A151" i="1"/>
  <c r="AU150" i="1"/>
  <c r="AE150" i="1"/>
  <c r="AD150" i="1"/>
  <c r="AC150" i="1"/>
  <c r="I150" i="1"/>
  <c r="C150" i="1"/>
  <c r="B150" i="1"/>
  <c r="A150" i="1"/>
  <c r="AU149" i="1"/>
  <c r="AE149" i="1"/>
  <c r="AD149" i="1"/>
  <c r="AC149" i="1"/>
  <c r="I149" i="1"/>
  <c r="C149" i="1"/>
  <c r="B149" i="1"/>
  <c r="A149" i="1"/>
  <c r="AU148" i="1"/>
  <c r="AE148" i="1"/>
  <c r="AD148" i="1"/>
  <c r="AC148" i="1"/>
  <c r="I148" i="1"/>
  <c r="C148" i="1"/>
  <c r="B148" i="1"/>
  <c r="A148" i="1"/>
  <c r="AU147" i="1"/>
  <c r="AE147" i="1"/>
  <c r="AD147" i="1"/>
  <c r="AC147" i="1"/>
  <c r="I147" i="1"/>
  <c r="C147" i="1"/>
  <c r="B147" i="1"/>
  <c r="A147" i="1"/>
  <c r="AU146" i="1"/>
  <c r="AE146" i="1"/>
  <c r="AD146" i="1"/>
  <c r="AC146" i="1"/>
  <c r="I146" i="1"/>
  <c r="C146" i="1"/>
  <c r="B146" i="1"/>
  <c r="A146" i="1"/>
  <c r="AU145" i="1"/>
  <c r="AE145" i="1"/>
  <c r="AD145" i="1"/>
  <c r="AC145" i="1"/>
  <c r="I145" i="1"/>
  <c r="C145" i="1"/>
  <c r="B145" i="1"/>
  <c r="A145" i="1"/>
  <c r="AU144" i="1"/>
  <c r="AE144" i="1"/>
  <c r="AD144" i="1"/>
  <c r="AC144" i="1"/>
  <c r="I144" i="1"/>
  <c r="C144" i="1"/>
  <c r="B144" i="1"/>
  <c r="A144" i="1"/>
  <c r="AU143" i="1"/>
  <c r="AE143" i="1"/>
  <c r="AD143" i="1"/>
  <c r="AC143" i="1"/>
  <c r="I143" i="1"/>
  <c r="C143" i="1"/>
  <c r="B143" i="1"/>
  <c r="A143" i="1"/>
  <c r="AU142" i="1"/>
  <c r="AE142" i="1"/>
  <c r="AD142" i="1"/>
  <c r="AC142" i="1"/>
  <c r="I142" i="1"/>
  <c r="C142" i="1"/>
  <c r="B142" i="1"/>
  <c r="A142" i="1"/>
  <c r="AU141" i="1"/>
  <c r="AE141" i="1"/>
  <c r="AD141" i="1"/>
  <c r="AC141" i="1"/>
  <c r="I141" i="1"/>
  <c r="C141" i="1"/>
  <c r="B141" i="1"/>
  <c r="A141" i="1"/>
  <c r="AU140" i="1"/>
  <c r="AE140" i="1"/>
  <c r="AD140" i="1"/>
  <c r="AC140" i="1"/>
  <c r="I140" i="1"/>
  <c r="C140" i="1"/>
  <c r="B140" i="1"/>
  <c r="A140" i="1"/>
  <c r="AU139" i="1"/>
  <c r="AE139" i="1"/>
  <c r="AD139" i="1"/>
  <c r="AC139" i="1"/>
  <c r="I139" i="1"/>
  <c r="C139" i="1"/>
  <c r="B139" i="1"/>
  <c r="A139" i="1"/>
  <c r="AU138" i="1"/>
  <c r="AE138" i="1"/>
  <c r="AD138" i="1"/>
  <c r="AC138" i="1"/>
  <c r="I138" i="1"/>
  <c r="C138" i="1"/>
  <c r="B138" i="1"/>
  <c r="A138" i="1"/>
  <c r="AU137" i="1"/>
  <c r="AE137" i="1"/>
  <c r="AD137" i="1"/>
  <c r="AC137" i="1"/>
  <c r="I137" i="1"/>
  <c r="C137" i="1"/>
  <c r="B137" i="1"/>
  <c r="A137" i="1"/>
  <c r="AU136" i="1"/>
  <c r="AE136" i="1"/>
  <c r="AD136" i="1"/>
  <c r="AC136" i="1"/>
  <c r="I136" i="1"/>
  <c r="C136" i="1"/>
  <c r="B136" i="1"/>
  <c r="A136" i="1"/>
  <c r="AU135" i="1"/>
  <c r="AE135" i="1"/>
  <c r="AD135" i="1"/>
  <c r="AC135" i="1"/>
  <c r="I135" i="1"/>
  <c r="C135" i="1"/>
  <c r="B135" i="1"/>
  <c r="A135" i="1"/>
  <c r="AU134" i="1"/>
  <c r="AE134" i="1"/>
  <c r="AD134" i="1"/>
  <c r="AC134" i="1"/>
  <c r="I134" i="1"/>
  <c r="C134" i="1"/>
  <c r="B134" i="1"/>
  <c r="A134" i="1"/>
  <c r="AU133" i="1"/>
  <c r="AE133" i="1"/>
  <c r="AD133" i="1"/>
  <c r="AC133" i="1"/>
  <c r="I133" i="1"/>
  <c r="C133" i="1"/>
  <c r="B133" i="1"/>
  <c r="A133" i="1"/>
  <c r="AU132" i="1"/>
  <c r="AE132" i="1"/>
  <c r="AD132" i="1"/>
  <c r="AC132" i="1"/>
  <c r="I132" i="1"/>
  <c r="C132" i="1"/>
  <c r="B132" i="1"/>
  <c r="A132" i="1"/>
  <c r="AU131" i="1"/>
  <c r="AE131" i="1"/>
  <c r="AD131" i="1"/>
  <c r="AC131" i="1"/>
  <c r="I131" i="1"/>
  <c r="C131" i="1"/>
  <c r="B131" i="1"/>
  <c r="A131" i="1"/>
  <c r="AU130" i="1"/>
  <c r="AE130" i="1"/>
  <c r="AD130" i="1"/>
  <c r="AC130" i="1"/>
  <c r="I130" i="1"/>
  <c r="C130" i="1"/>
  <c r="B130" i="1"/>
  <c r="A130" i="1"/>
  <c r="AU129" i="1"/>
  <c r="AE129" i="1"/>
  <c r="AD129" i="1"/>
  <c r="AC129" i="1"/>
  <c r="I129" i="1"/>
  <c r="C129" i="1"/>
  <c r="B129" i="1"/>
  <c r="A129" i="1"/>
  <c r="AU128" i="1"/>
  <c r="AE128" i="1"/>
  <c r="AD128" i="1"/>
  <c r="AC128" i="1"/>
  <c r="I128" i="1"/>
  <c r="C128" i="1"/>
  <c r="B128" i="1"/>
  <c r="A128" i="1"/>
  <c r="AU127" i="1"/>
  <c r="AE127" i="1"/>
  <c r="AD127" i="1"/>
  <c r="AC127" i="1"/>
  <c r="I127" i="1"/>
  <c r="C127" i="1"/>
  <c r="B127" i="1"/>
  <c r="A127" i="1"/>
  <c r="AU126" i="1"/>
  <c r="AE126" i="1"/>
  <c r="AD126" i="1"/>
  <c r="AC126" i="1"/>
  <c r="I126" i="1"/>
  <c r="C126" i="1"/>
  <c r="B126" i="1"/>
  <c r="A126" i="1"/>
  <c r="AU125" i="1"/>
  <c r="AE125" i="1"/>
  <c r="AD125" i="1"/>
  <c r="AC125" i="1"/>
  <c r="I125" i="1"/>
  <c r="C125" i="1"/>
  <c r="B125" i="1"/>
  <c r="A125" i="1"/>
  <c r="AU124" i="1"/>
  <c r="AE124" i="1"/>
  <c r="AD124" i="1"/>
  <c r="AC124" i="1"/>
  <c r="I124" i="1"/>
  <c r="C124" i="1"/>
  <c r="B124" i="1"/>
  <c r="A124" i="1"/>
  <c r="AU123" i="1"/>
  <c r="AE123" i="1"/>
  <c r="AD123" i="1"/>
  <c r="AC123" i="1"/>
  <c r="I123" i="1"/>
  <c r="C123" i="1"/>
  <c r="B123" i="1"/>
  <c r="A123" i="1"/>
  <c r="AU122" i="1"/>
  <c r="AE122" i="1"/>
  <c r="AD122" i="1"/>
  <c r="AC122" i="1"/>
  <c r="I122" i="1"/>
  <c r="C122" i="1"/>
  <c r="B122" i="1"/>
  <c r="A122" i="1"/>
  <c r="AU121" i="1"/>
  <c r="AE121" i="1"/>
  <c r="AD121" i="1"/>
  <c r="AC121" i="1"/>
  <c r="I121" i="1"/>
  <c r="C121" i="1"/>
  <c r="B121" i="1"/>
  <c r="A121" i="1"/>
  <c r="AU120" i="1"/>
  <c r="AE120" i="1"/>
  <c r="AD120" i="1"/>
  <c r="AC120" i="1"/>
  <c r="I120" i="1"/>
  <c r="C120" i="1"/>
  <c r="B120" i="1"/>
  <c r="A120" i="1"/>
  <c r="AU119" i="1"/>
  <c r="AE119" i="1"/>
  <c r="AD119" i="1"/>
  <c r="AC119" i="1"/>
  <c r="I119" i="1"/>
  <c r="C119" i="1"/>
  <c r="B119" i="1"/>
  <c r="A119" i="1"/>
  <c r="AU118" i="1"/>
  <c r="AE118" i="1"/>
  <c r="AD118" i="1"/>
  <c r="AC118" i="1"/>
  <c r="I118" i="1"/>
  <c r="C118" i="1"/>
  <c r="B118" i="1"/>
  <c r="A118" i="1"/>
  <c r="AU117" i="1"/>
  <c r="AE117" i="1"/>
  <c r="AD117" i="1"/>
  <c r="AC117" i="1"/>
  <c r="I117" i="1"/>
  <c r="C117" i="1"/>
  <c r="B117" i="1"/>
  <c r="A117" i="1"/>
  <c r="AU116" i="1"/>
  <c r="AE116" i="1"/>
  <c r="AD116" i="1"/>
  <c r="AC116" i="1"/>
  <c r="I116" i="1"/>
  <c r="C116" i="1"/>
  <c r="B116" i="1"/>
  <c r="A116" i="1"/>
  <c r="AU115" i="1"/>
  <c r="AE115" i="1"/>
  <c r="AD115" i="1"/>
  <c r="AC115" i="1"/>
  <c r="I115" i="1"/>
  <c r="C115" i="1"/>
  <c r="B115" i="1"/>
  <c r="A115" i="1"/>
  <c r="AU114" i="1"/>
  <c r="AE114" i="1"/>
  <c r="AD114" i="1"/>
  <c r="AC114" i="1"/>
  <c r="I114" i="1"/>
  <c r="C114" i="1"/>
  <c r="B114" i="1"/>
  <c r="A114" i="1"/>
  <c r="AU113" i="1"/>
  <c r="AE113" i="1"/>
  <c r="AD113" i="1"/>
  <c r="AC113" i="1"/>
  <c r="I113" i="1"/>
  <c r="C113" i="1"/>
  <c r="B113" i="1"/>
  <c r="A113" i="1"/>
  <c r="AU112" i="1"/>
  <c r="AE112" i="1"/>
  <c r="AD112" i="1"/>
  <c r="AC112" i="1"/>
  <c r="I112" i="1"/>
  <c r="C112" i="1"/>
  <c r="B112" i="1"/>
  <c r="A112" i="1"/>
  <c r="AU111" i="1"/>
  <c r="AE111" i="1"/>
  <c r="AD111" i="1"/>
  <c r="AC111" i="1"/>
  <c r="I111" i="1"/>
  <c r="C111" i="1"/>
  <c r="B111" i="1"/>
  <c r="A111" i="1"/>
  <c r="AU110" i="1"/>
  <c r="AE110" i="1"/>
  <c r="AD110" i="1"/>
  <c r="AC110" i="1"/>
  <c r="I110" i="1"/>
  <c r="C110" i="1"/>
  <c r="B110" i="1"/>
  <c r="A110" i="1"/>
  <c r="AU109" i="1"/>
  <c r="AE109" i="1"/>
  <c r="AD109" i="1"/>
  <c r="AC109" i="1"/>
  <c r="I109" i="1"/>
  <c r="C109" i="1"/>
  <c r="B109" i="1"/>
  <c r="A109" i="1"/>
  <c r="AU108" i="1"/>
  <c r="AE108" i="1"/>
  <c r="AD108" i="1"/>
  <c r="AC108" i="1"/>
  <c r="I108" i="1"/>
  <c r="C108" i="1"/>
  <c r="B108" i="1"/>
  <c r="A108" i="1"/>
  <c r="AU107" i="1"/>
  <c r="AE107" i="1"/>
  <c r="AD107" i="1"/>
  <c r="AC107" i="1"/>
  <c r="I107" i="1"/>
  <c r="C107" i="1"/>
  <c r="B107" i="1"/>
  <c r="A107" i="1"/>
  <c r="AU106" i="1"/>
  <c r="AE106" i="1"/>
  <c r="AD106" i="1"/>
  <c r="AC106" i="1"/>
  <c r="I106" i="1"/>
  <c r="C106" i="1"/>
  <c r="B106" i="1"/>
  <c r="A106" i="1"/>
  <c r="AU105" i="1"/>
  <c r="AE105" i="1"/>
  <c r="AD105" i="1"/>
  <c r="AC105" i="1"/>
  <c r="I105" i="1"/>
  <c r="C105" i="1"/>
  <c r="B105" i="1"/>
  <c r="A105" i="1"/>
  <c r="AU104" i="1"/>
  <c r="AE104" i="1"/>
  <c r="AD104" i="1"/>
  <c r="AC104" i="1"/>
  <c r="I104" i="1"/>
  <c r="C104" i="1"/>
  <c r="B104" i="1"/>
  <c r="A104" i="1"/>
  <c r="AU103" i="1"/>
  <c r="AE103" i="1"/>
  <c r="AD103" i="1"/>
  <c r="AC103" i="1"/>
  <c r="I103" i="1"/>
  <c r="C103" i="1"/>
  <c r="B103" i="1"/>
  <c r="A103" i="1"/>
  <c r="AU102" i="1"/>
  <c r="AE102" i="1"/>
  <c r="AD102" i="1"/>
  <c r="AC102" i="1"/>
  <c r="I102" i="1"/>
  <c r="C102" i="1"/>
  <c r="B102" i="1"/>
  <c r="A102" i="1"/>
  <c r="AU101" i="1"/>
  <c r="AE101" i="1"/>
  <c r="AD101" i="1"/>
  <c r="AC101" i="1"/>
  <c r="I101" i="1"/>
  <c r="C101" i="1"/>
  <c r="B101" i="1"/>
  <c r="A101" i="1"/>
  <c r="AU100" i="1"/>
  <c r="AE100" i="1"/>
  <c r="AD100" i="1"/>
  <c r="AC100" i="1"/>
  <c r="I100" i="1"/>
  <c r="C100" i="1"/>
  <c r="B100" i="1"/>
  <c r="A100" i="1"/>
  <c r="AU99" i="1"/>
  <c r="AE99" i="1"/>
  <c r="AD99" i="1"/>
  <c r="AC99" i="1"/>
  <c r="I99" i="1"/>
  <c r="C99" i="1"/>
  <c r="B99" i="1"/>
  <c r="A99" i="1"/>
  <c r="AU98" i="1"/>
  <c r="AE98" i="1"/>
  <c r="AD98" i="1"/>
  <c r="AC98" i="1"/>
  <c r="I98" i="1"/>
  <c r="C98" i="1"/>
  <c r="B98" i="1"/>
  <c r="A98" i="1"/>
  <c r="AU97" i="1"/>
  <c r="AE97" i="1"/>
  <c r="AD97" i="1"/>
  <c r="AC97" i="1"/>
  <c r="I97" i="1"/>
  <c r="C97" i="1"/>
  <c r="B97" i="1"/>
  <c r="A97" i="1"/>
  <c r="AU96" i="1"/>
  <c r="AE96" i="1"/>
  <c r="AD96" i="1"/>
  <c r="AC96" i="1"/>
  <c r="I96" i="1"/>
  <c r="C96" i="1"/>
  <c r="B96" i="1"/>
  <c r="A96" i="1"/>
  <c r="AU95" i="1"/>
  <c r="AE95" i="1"/>
  <c r="AD95" i="1"/>
  <c r="AC95" i="1"/>
  <c r="I95" i="1"/>
  <c r="C95" i="1"/>
  <c r="B95" i="1"/>
  <c r="A95" i="1"/>
  <c r="AU94" i="1"/>
  <c r="AE94" i="1"/>
  <c r="AD94" i="1"/>
  <c r="AC94" i="1"/>
  <c r="I94" i="1"/>
  <c r="C94" i="1"/>
  <c r="B94" i="1"/>
  <c r="A94" i="1"/>
  <c r="AU93" i="1"/>
  <c r="AE93" i="1"/>
  <c r="AD93" i="1"/>
  <c r="AC93" i="1"/>
  <c r="I93" i="1"/>
  <c r="C93" i="1"/>
  <c r="B93" i="1"/>
  <c r="A93" i="1"/>
  <c r="AU92" i="1"/>
  <c r="AE92" i="1"/>
  <c r="AD92" i="1"/>
  <c r="AC92" i="1"/>
  <c r="I92" i="1"/>
  <c r="C92" i="1"/>
  <c r="B92" i="1"/>
  <c r="A92" i="1"/>
  <c r="AU91" i="1"/>
  <c r="AE91" i="1"/>
  <c r="AD91" i="1"/>
  <c r="AC91" i="1"/>
  <c r="I91" i="1"/>
  <c r="C91" i="1"/>
  <c r="B91" i="1"/>
  <c r="A91" i="1"/>
  <c r="AU90" i="1"/>
  <c r="AE90" i="1"/>
  <c r="AD90" i="1"/>
  <c r="AC90" i="1"/>
  <c r="I90" i="1"/>
  <c r="C90" i="1"/>
  <c r="B90" i="1"/>
  <c r="A90" i="1"/>
  <c r="AU89" i="1"/>
  <c r="AE89" i="1"/>
  <c r="AD89" i="1"/>
  <c r="AC89" i="1"/>
  <c r="I89" i="1"/>
  <c r="C89" i="1"/>
  <c r="B89" i="1"/>
  <c r="A89" i="1"/>
  <c r="AU88" i="1"/>
  <c r="AE88" i="1"/>
  <c r="AD88" i="1"/>
  <c r="AC88" i="1"/>
  <c r="I88" i="1"/>
  <c r="C88" i="1"/>
  <c r="B88" i="1"/>
  <c r="A88" i="1"/>
  <c r="AU87" i="1"/>
  <c r="AE87" i="1"/>
  <c r="AD87" i="1"/>
  <c r="AC87" i="1"/>
  <c r="I87" i="1"/>
  <c r="C87" i="1"/>
  <c r="B87" i="1"/>
  <c r="A87" i="1"/>
  <c r="AU86" i="1"/>
  <c r="AE86" i="1"/>
  <c r="AD86" i="1"/>
  <c r="AC86" i="1"/>
  <c r="I86" i="1"/>
  <c r="C86" i="1"/>
  <c r="B86" i="1"/>
  <c r="A86" i="1"/>
  <c r="AU85" i="1"/>
  <c r="AE85" i="1"/>
  <c r="AD85" i="1"/>
  <c r="AC85" i="1"/>
  <c r="I85" i="1"/>
  <c r="C85" i="1"/>
  <c r="B85" i="1"/>
  <c r="A85" i="1"/>
  <c r="AU84" i="1"/>
  <c r="AE84" i="1"/>
  <c r="AD84" i="1"/>
  <c r="AC84" i="1"/>
  <c r="I84" i="1"/>
  <c r="C84" i="1"/>
  <c r="B84" i="1"/>
  <c r="A84" i="1"/>
  <c r="AU83" i="1"/>
  <c r="AE83" i="1"/>
  <c r="AD83" i="1"/>
  <c r="AC83" i="1"/>
  <c r="I83" i="1"/>
  <c r="C83" i="1"/>
  <c r="B83" i="1"/>
  <c r="A83" i="1"/>
  <c r="AU82" i="1"/>
  <c r="AE82" i="1"/>
  <c r="AD82" i="1"/>
  <c r="AC82" i="1"/>
  <c r="I82" i="1"/>
  <c r="C82" i="1"/>
  <c r="B82" i="1"/>
  <c r="A82" i="1"/>
  <c r="AU81" i="1"/>
  <c r="AE81" i="1"/>
  <c r="AD81" i="1"/>
  <c r="AC81" i="1"/>
  <c r="I81" i="1"/>
  <c r="C81" i="1"/>
  <c r="B81" i="1"/>
  <c r="A81" i="1"/>
  <c r="AU80" i="1"/>
  <c r="AE80" i="1"/>
  <c r="AD80" i="1"/>
  <c r="AC80" i="1"/>
  <c r="I80" i="1"/>
  <c r="C80" i="1"/>
  <c r="B80" i="1"/>
  <c r="A80" i="1"/>
  <c r="AU79" i="1"/>
  <c r="AE79" i="1"/>
  <c r="AD79" i="1"/>
  <c r="AC79" i="1"/>
  <c r="I79" i="1"/>
  <c r="C79" i="1"/>
  <c r="B79" i="1"/>
  <c r="A79" i="1"/>
  <c r="AU78" i="1"/>
  <c r="AE78" i="1"/>
  <c r="AD78" i="1"/>
  <c r="AC78" i="1"/>
  <c r="I78" i="1"/>
  <c r="C78" i="1"/>
  <c r="B78" i="1"/>
  <c r="A78" i="1"/>
  <c r="AU77" i="1"/>
  <c r="AE77" i="1"/>
  <c r="AD77" i="1"/>
  <c r="AC77" i="1"/>
  <c r="I77" i="1"/>
  <c r="C77" i="1"/>
  <c r="B77" i="1"/>
  <c r="A77" i="1"/>
  <c r="AU76" i="1"/>
  <c r="AE76" i="1"/>
  <c r="AD76" i="1"/>
  <c r="AC76" i="1"/>
  <c r="I76" i="1"/>
  <c r="C76" i="1"/>
  <c r="B76" i="1"/>
  <c r="A76" i="1"/>
  <c r="AU75" i="1"/>
  <c r="AE75" i="1"/>
  <c r="AD75" i="1"/>
  <c r="AC75" i="1"/>
  <c r="I75" i="1"/>
  <c r="C75" i="1"/>
  <c r="B75" i="1"/>
  <c r="A75" i="1"/>
  <c r="AU74" i="1"/>
  <c r="AE74" i="1"/>
  <c r="AD74" i="1"/>
  <c r="AC74" i="1"/>
  <c r="I74" i="1"/>
  <c r="C74" i="1"/>
  <c r="B74" i="1"/>
  <c r="A74" i="1"/>
  <c r="AU73" i="1"/>
  <c r="AE73" i="1"/>
  <c r="AD73" i="1"/>
  <c r="AC73" i="1"/>
  <c r="I73" i="1"/>
  <c r="C73" i="1"/>
  <c r="B73" i="1"/>
  <c r="A73" i="1"/>
  <c r="AU72" i="1"/>
  <c r="AE72" i="1"/>
  <c r="AD72" i="1"/>
  <c r="AC72" i="1"/>
  <c r="I72" i="1"/>
  <c r="C72" i="1"/>
  <c r="B72" i="1"/>
  <c r="A72" i="1"/>
  <c r="AU71" i="1"/>
  <c r="AE71" i="1"/>
  <c r="AD71" i="1"/>
  <c r="AC71" i="1"/>
  <c r="I71" i="1"/>
  <c r="C71" i="1"/>
  <c r="B71" i="1"/>
  <c r="A71" i="1"/>
  <c r="AU70" i="1"/>
  <c r="AE70" i="1"/>
  <c r="AD70" i="1"/>
  <c r="AC70" i="1"/>
  <c r="I70" i="1"/>
  <c r="C70" i="1"/>
  <c r="B70" i="1"/>
  <c r="A70" i="1"/>
  <c r="AU69" i="1"/>
  <c r="AE69" i="1"/>
  <c r="AD69" i="1"/>
  <c r="AC69" i="1"/>
  <c r="I69" i="1"/>
  <c r="C69" i="1"/>
  <c r="B69" i="1"/>
  <c r="A69" i="1"/>
  <c r="AU68" i="1"/>
  <c r="AE68" i="1"/>
  <c r="AD68" i="1"/>
  <c r="AC68" i="1"/>
  <c r="I68" i="1"/>
  <c r="C68" i="1"/>
  <c r="B68" i="1"/>
  <c r="A68" i="1"/>
  <c r="AU67" i="1"/>
  <c r="AE67" i="1"/>
  <c r="AD67" i="1"/>
  <c r="AC67" i="1"/>
  <c r="I67" i="1"/>
  <c r="C67" i="1"/>
  <c r="B67" i="1"/>
  <c r="A67" i="1"/>
  <c r="AU66" i="1"/>
  <c r="AE66" i="1"/>
  <c r="AD66" i="1"/>
  <c r="AC66" i="1"/>
  <c r="I66" i="1"/>
  <c r="C66" i="1"/>
  <c r="B66" i="1"/>
  <c r="A66" i="1"/>
  <c r="AU65" i="1"/>
  <c r="AE65" i="1"/>
  <c r="AD65" i="1"/>
  <c r="AC65" i="1"/>
  <c r="I65" i="1"/>
  <c r="C65" i="1"/>
  <c r="B65" i="1"/>
  <c r="A65" i="1"/>
  <c r="AU64" i="1"/>
  <c r="AE64" i="1"/>
  <c r="AD64" i="1"/>
  <c r="AC64" i="1"/>
  <c r="I64" i="1"/>
  <c r="C64" i="1"/>
  <c r="B64" i="1"/>
  <c r="A64" i="1"/>
  <c r="AU63" i="1"/>
  <c r="AE63" i="1"/>
  <c r="AD63" i="1"/>
  <c r="AC63" i="1"/>
  <c r="I63" i="1"/>
  <c r="C63" i="1"/>
  <c r="B63" i="1"/>
  <c r="A63" i="1"/>
  <c r="AU62" i="1"/>
  <c r="AE62" i="1"/>
  <c r="AD62" i="1"/>
  <c r="AC62" i="1"/>
  <c r="I62" i="1"/>
  <c r="C62" i="1"/>
  <c r="B62" i="1"/>
  <c r="A62" i="1"/>
  <c r="AU61" i="1"/>
  <c r="AE61" i="1"/>
  <c r="AD61" i="1"/>
  <c r="AC61" i="1"/>
  <c r="I61" i="1"/>
  <c r="C61" i="1"/>
  <c r="B61" i="1"/>
  <c r="A61" i="1"/>
  <c r="AU60" i="1"/>
  <c r="AE60" i="1"/>
  <c r="AD60" i="1"/>
  <c r="AC60" i="1"/>
  <c r="I60" i="1"/>
  <c r="C60" i="1"/>
  <c r="B60" i="1"/>
  <c r="A60" i="1"/>
  <c r="AU59" i="1"/>
  <c r="AE59" i="1"/>
  <c r="AD59" i="1"/>
  <c r="AC59" i="1"/>
  <c r="I59" i="1"/>
  <c r="C59" i="1"/>
  <c r="B59" i="1"/>
  <c r="A59" i="1"/>
  <c r="AU58" i="1"/>
  <c r="AE58" i="1"/>
  <c r="AD58" i="1"/>
  <c r="AC58" i="1"/>
  <c r="I58" i="1"/>
  <c r="C58" i="1"/>
  <c r="B58" i="1"/>
  <c r="A58" i="1"/>
  <c r="AU57" i="1"/>
  <c r="AE57" i="1"/>
  <c r="AD57" i="1"/>
  <c r="AC57" i="1"/>
  <c r="I57" i="1"/>
  <c r="C57" i="1"/>
  <c r="B57" i="1"/>
  <c r="A57" i="1"/>
  <c r="AU56" i="1"/>
  <c r="AE56" i="1"/>
  <c r="AD56" i="1"/>
  <c r="AC56" i="1"/>
  <c r="I56" i="1"/>
  <c r="C56" i="1"/>
  <c r="B56" i="1"/>
  <c r="A56" i="1"/>
  <c r="AU55" i="1"/>
  <c r="AE55" i="1"/>
  <c r="AD55" i="1"/>
  <c r="AC55" i="1"/>
  <c r="I55" i="1"/>
  <c r="C55" i="1"/>
  <c r="B55" i="1"/>
  <c r="A55" i="1"/>
  <c r="AU54" i="1"/>
  <c r="AE54" i="1"/>
  <c r="AD54" i="1"/>
  <c r="AC54" i="1"/>
  <c r="I54" i="1"/>
  <c r="C54" i="1"/>
  <c r="B54" i="1"/>
  <c r="A54" i="1"/>
  <c r="AU53" i="1"/>
  <c r="AE53" i="1"/>
  <c r="AD53" i="1"/>
  <c r="AC53" i="1"/>
  <c r="I53" i="1"/>
  <c r="C53" i="1"/>
  <c r="B53" i="1"/>
  <c r="A53" i="1"/>
  <c r="AU52" i="1"/>
  <c r="AE52" i="1"/>
  <c r="AD52" i="1"/>
  <c r="AC52" i="1"/>
  <c r="I52" i="1"/>
  <c r="C52" i="1"/>
  <c r="B52" i="1"/>
  <c r="A52" i="1"/>
  <c r="AU51" i="1"/>
  <c r="AE51" i="1"/>
  <c r="AD51" i="1"/>
  <c r="AC51" i="1"/>
  <c r="I51" i="1"/>
  <c r="C51" i="1"/>
  <c r="B51" i="1"/>
  <c r="A51" i="1"/>
  <c r="AU50" i="1"/>
  <c r="AE50" i="1"/>
  <c r="AD50" i="1"/>
  <c r="AC50" i="1"/>
  <c r="I50" i="1"/>
  <c r="C50" i="1"/>
  <c r="B50" i="1"/>
  <c r="A50" i="1"/>
  <c r="AU49" i="1"/>
  <c r="AE49" i="1"/>
  <c r="AD49" i="1"/>
  <c r="AC49" i="1"/>
  <c r="I49" i="1"/>
  <c r="C49" i="1"/>
  <c r="B49" i="1"/>
  <c r="A49" i="1"/>
  <c r="AU48" i="1"/>
  <c r="AE48" i="1"/>
  <c r="AD48" i="1"/>
  <c r="AC48" i="1"/>
  <c r="I48" i="1"/>
  <c r="C48" i="1"/>
  <c r="B48" i="1"/>
  <c r="A48" i="1"/>
  <c r="AU47" i="1"/>
  <c r="AE47" i="1"/>
  <c r="AD47" i="1"/>
  <c r="AC47" i="1"/>
  <c r="I47" i="1"/>
  <c r="C47" i="1"/>
  <c r="B47" i="1"/>
  <c r="A47" i="1"/>
  <c r="AU46" i="1"/>
  <c r="AE46" i="1"/>
  <c r="AD46" i="1"/>
  <c r="AC46" i="1"/>
  <c r="I46" i="1"/>
  <c r="C46" i="1"/>
  <c r="B46" i="1"/>
  <c r="A46" i="1"/>
  <c r="AU45" i="1"/>
  <c r="AE45" i="1"/>
  <c r="AD45" i="1"/>
  <c r="AC45" i="1"/>
  <c r="I45" i="1"/>
  <c r="C45" i="1"/>
  <c r="B45" i="1"/>
  <c r="A45" i="1"/>
  <c r="AU44" i="1"/>
  <c r="AE44" i="1"/>
  <c r="AD44" i="1"/>
  <c r="AC44" i="1"/>
  <c r="I44" i="1"/>
  <c r="C44" i="1"/>
  <c r="B44" i="1"/>
  <c r="A44" i="1"/>
  <c r="AU43" i="1"/>
  <c r="AE43" i="1"/>
  <c r="AD43" i="1"/>
  <c r="AC43" i="1"/>
  <c r="I43" i="1"/>
  <c r="C43" i="1"/>
  <c r="B43" i="1"/>
  <c r="A43" i="1"/>
  <c r="AU42" i="1"/>
  <c r="AE42" i="1"/>
  <c r="AD42" i="1"/>
  <c r="AC42" i="1"/>
  <c r="I42" i="1"/>
  <c r="C42" i="1"/>
  <c r="B42" i="1"/>
  <c r="A42" i="1"/>
  <c r="AU41" i="1"/>
  <c r="AE41" i="1"/>
  <c r="AD41" i="1"/>
  <c r="AC41" i="1"/>
  <c r="I41" i="1"/>
  <c r="C41" i="1"/>
  <c r="B41" i="1"/>
  <c r="A41" i="1"/>
  <c r="AU40" i="1"/>
  <c r="AE40" i="1"/>
  <c r="AD40" i="1"/>
  <c r="AC40" i="1"/>
  <c r="I40" i="1"/>
  <c r="C40" i="1"/>
  <c r="B40" i="1"/>
  <c r="A40" i="1"/>
  <c r="AU39" i="1"/>
  <c r="AE39" i="1"/>
  <c r="AD39" i="1"/>
  <c r="AC39" i="1"/>
  <c r="I39" i="1"/>
  <c r="C39" i="1"/>
  <c r="B39" i="1"/>
  <c r="A39" i="1"/>
  <c r="AU38" i="1"/>
  <c r="AE38" i="1"/>
  <c r="AD38" i="1"/>
  <c r="AC38" i="1"/>
  <c r="I38" i="1"/>
  <c r="C38" i="1"/>
  <c r="B38" i="1"/>
  <c r="A38" i="1"/>
  <c r="AU37" i="1"/>
  <c r="AE37" i="1"/>
  <c r="AD37" i="1"/>
  <c r="AC37" i="1"/>
  <c r="I37" i="1"/>
  <c r="C37" i="1"/>
  <c r="B37" i="1"/>
  <c r="A37" i="1"/>
  <c r="AU36" i="1"/>
  <c r="AE36" i="1"/>
  <c r="AD36" i="1"/>
  <c r="AC36" i="1"/>
  <c r="I36" i="1"/>
  <c r="C36" i="1"/>
  <c r="B36" i="1"/>
  <c r="A36" i="1"/>
  <c r="AU35" i="1"/>
  <c r="AE35" i="1"/>
  <c r="AD35" i="1"/>
  <c r="AC35" i="1"/>
  <c r="I35" i="1"/>
  <c r="C35" i="1"/>
  <c r="B35" i="1"/>
  <c r="A35" i="1"/>
  <c r="AU34" i="1"/>
  <c r="AE34" i="1"/>
  <c r="AD34" i="1"/>
  <c r="AC34" i="1"/>
  <c r="I34" i="1"/>
  <c r="C34" i="1"/>
  <c r="B34" i="1"/>
  <c r="A34" i="1"/>
  <c r="AU33" i="1"/>
  <c r="AE33" i="1"/>
  <c r="AD33" i="1"/>
  <c r="AC33" i="1"/>
  <c r="I33" i="1"/>
  <c r="C33" i="1"/>
  <c r="B33" i="1"/>
  <c r="A33" i="1"/>
  <c r="AU32" i="1"/>
  <c r="AE32" i="1"/>
  <c r="AD32" i="1"/>
  <c r="AC32" i="1"/>
  <c r="I32" i="1"/>
  <c r="C32" i="1"/>
  <c r="B32" i="1"/>
  <c r="A32" i="1"/>
  <c r="AU31" i="1"/>
  <c r="AE31" i="1"/>
  <c r="AD31" i="1"/>
  <c r="AC31" i="1"/>
  <c r="I31" i="1"/>
  <c r="C31" i="1"/>
  <c r="B31" i="1"/>
  <c r="A31" i="1"/>
  <c r="AU30" i="1"/>
  <c r="AE30" i="1"/>
  <c r="AD30" i="1"/>
  <c r="AC30" i="1"/>
  <c r="I30" i="1"/>
  <c r="C30" i="1"/>
  <c r="B30" i="1"/>
  <c r="A30" i="1"/>
  <c r="AU29" i="1"/>
  <c r="AE29" i="1"/>
  <c r="AD29" i="1"/>
  <c r="AC29" i="1"/>
  <c r="I29" i="1"/>
  <c r="C29" i="1"/>
  <c r="B29" i="1"/>
  <c r="A29" i="1"/>
  <c r="AU28" i="1"/>
  <c r="AE28" i="1"/>
  <c r="AD28" i="1"/>
  <c r="AC28" i="1"/>
  <c r="I28" i="1"/>
  <c r="C28" i="1"/>
  <c r="B28" i="1"/>
  <c r="A28" i="1"/>
  <c r="AU27" i="1"/>
  <c r="AE27" i="1"/>
  <c r="AD27" i="1"/>
  <c r="AC27" i="1"/>
  <c r="I27" i="1"/>
  <c r="C27" i="1"/>
  <c r="B27" i="1"/>
  <c r="A27" i="1"/>
  <c r="AU26" i="1"/>
  <c r="AE26" i="1"/>
  <c r="AD26" i="1"/>
  <c r="AC26" i="1"/>
  <c r="I26" i="1"/>
  <c r="C26" i="1"/>
  <c r="B26" i="1"/>
  <c r="A26" i="1"/>
  <c r="AU25" i="1"/>
  <c r="AE25" i="1"/>
  <c r="AD25" i="1"/>
  <c r="AC25" i="1"/>
  <c r="I25" i="1"/>
  <c r="C25" i="1"/>
  <c r="B25" i="1"/>
  <c r="A25" i="1"/>
  <c r="AU24" i="1"/>
  <c r="AE24" i="1"/>
  <c r="AD24" i="1"/>
  <c r="AC24" i="1"/>
  <c r="I24" i="1"/>
  <c r="C24" i="1"/>
  <c r="B24" i="1"/>
  <c r="A24" i="1"/>
  <c r="AU23" i="1"/>
  <c r="AE23" i="1"/>
  <c r="AD23" i="1"/>
  <c r="AC23" i="1"/>
  <c r="I23" i="1"/>
  <c r="C23" i="1"/>
  <c r="B23" i="1"/>
  <c r="A23" i="1"/>
  <c r="AU22" i="1"/>
  <c r="AE22" i="1"/>
  <c r="AD22" i="1"/>
  <c r="AC22" i="1"/>
  <c r="I22" i="1"/>
  <c r="C22" i="1"/>
  <c r="B22" i="1"/>
  <c r="A22" i="1"/>
  <c r="AU21" i="1"/>
  <c r="AE21" i="1"/>
  <c r="AD21" i="1"/>
  <c r="AC21" i="1"/>
  <c r="I21" i="1"/>
  <c r="C21" i="1"/>
  <c r="B21" i="1"/>
  <c r="A21" i="1"/>
  <c r="AU20" i="1"/>
  <c r="AE20" i="1"/>
  <c r="AD20" i="1"/>
  <c r="AC20" i="1"/>
  <c r="I20" i="1"/>
  <c r="C20" i="1"/>
  <c r="B20" i="1"/>
  <c r="A20" i="1"/>
  <c r="AU19" i="1"/>
  <c r="AE19" i="1"/>
  <c r="AD19" i="1"/>
  <c r="AC19" i="1"/>
  <c r="I19" i="1"/>
  <c r="C19" i="1"/>
  <c r="B19" i="1"/>
  <c r="A19" i="1"/>
  <c r="AU18" i="1"/>
  <c r="AE18" i="1"/>
  <c r="AD18" i="1"/>
  <c r="AC18" i="1"/>
  <c r="I18" i="1"/>
  <c r="C18" i="1"/>
  <c r="B18" i="1"/>
  <c r="A18" i="1"/>
  <c r="AU17" i="1"/>
  <c r="AE17" i="1"/>
  <c r="AD17" i="1"/>
  <c r="AC17" i="1"/>
  <c r="I17" i="1"/>
  <c r="C17" i="1"/>
  <c r="B17" i="1"/>
  <c r="A17" i="1"/>
  <c r="AU16" i="1"/>
  <c r="AE16" i="1"/>
  <c r="AD16" i="1"/>
  <c r="AC16" i="1"/>
  <c r="I16" i="1"/>
  <c r="C16" i="1"/>
  <c r="B16" i="1"/>
  <c r="A16" i="1"/>
  <c r="AU15" i="1"/>
  <c r="AE15" i="1"/>
  <c r="AD15" i="1"/>
  <c r="AC15" i="1"/>
  <c r="I15" i="1"/>
  <c r="C15" i="1"/>
  <c r="B15" i="1"/>
  <c r="A15" i="1"/>
  <c r="AU6" i="1"/>
  <c r="AE6" i="1"/>
  <c r="AD6" i="1"/>
  <c r="AC6" i="1"/>
  <c r="I6" i="1"/>
  <c r="B6" i="1"/>
  <c r="A6" i="1"/>
  <c r="AE635" i="1" l="1"/>
  <c r="Z635" i="1"/>
  <c r="AC635" i="1"/>
  <c r="T31" i="20"/>
  <c r="T39" i="21"/>
  <c r="AD635" i="1"/>
  <c r="AU635" i="1"/>
</calcChain>
</file>

<file path=xl/sharedStrings.xml><?xml version="1.0" encoding="utf-8"?>
<sst xmlns="http://schemas.openxmlformats.org/spreadsheetml/2006/main" count="9866" uniqueCount="1494">
  <si>
    <t>Account Group</t>
  </si>
  <si>
    <t>Content Expert</t>
  </si>
  <si>
    <t>Cost Center Code - Group</t>
  </si>
  <si>
    <t>Cost Center Code</t>
  </si>
  <si>
    <t>Cost Center Description</t>
  </si>
  <si>
    <t>Account Code</t>
  </si>
  <si>
    <t>Account Description</t>
  </si>
  <si>
    <t>GL Account Combination</t>
  </si>
  <si>
    <t>Future-1 Description</t>
  </si>
  <si>
    <t>Future 1</t>
  </si>
  <si>
    <t>Future-2 Description</t>
  </si>
  <si>
    <t>Future-2</t>
  </si>
  <si>
    <t>Itemised  Details/Calculation method</t>
  </si>
  <si>
    <t>Quantity (expected)</t>
  </si>
  <si>
    <t>Rate (expected)</t>
  </si>
  <si>
    <t>90% Budget Scenario Impact</t>
  </si>
  <si>
    <t xml:space="preserve">80% Budget Impact </t>
  </si>
  <si>
    <t>Total</t>
  </si>
  <si>
    <t>KU Strategy</t>
  </si>
  <si>
    <t>Contract or Agreement or PO or budgetary Quotation - KU Driver</t>
  </si>
  <si>
    <t>Future1</t>
  </si>
  <si>
    <t>Future1 Description</t>
  </si>
  <si>
    <t>Future2 Description</t>
  </si>
  <si>
    <t>Future2</t>
  </si>
  <si>
    <t>KUST - General</t>
  </si>
  <si>
    <t>FA179-Opex Expense</t>
  </si>
  <si>
    <t>200179</t>
  </si>
  <si>
    <t>Other support</t>
  </si>
  <si>
    <t>Un Specified</t>
  </si>
  <si>
    <t>000000</t>
  </si>
  <si>
    <t>Academic Advisory Service</t>
  </si>
  <si>
    <t>Academic</t>
  </si>
  <si>
    <t>KUST - Dean Of Medicine</t>
  </si>
  <si>
    <t>847.8471305.1.420550.000000.847001.200179</t>
  </si>
  <si>
    <t>IT Systems &amp; Support expenses</t>
  </si>
  <si>
    <t>847.8471305.1.420810.000000.847001.200179</t>
  </si>
  <si>
    <t>Management consultancy</t>
  </si>
  <si>
    <t>847.8471305.1.421000.000000.847001.200179</t>
  </si>
  <si>
    <t>847.8471305.1.421000.000000.847001.000000</t>
  </si>
  <si>
    <t>HR</t>
  </si>
  <si>
    <t>Standards certification (e.g. ISO)</t>
  </si>
  <si>
    <t>847.8471305.1.421700.000000.847001.200179</t>
  </si>
  <si>
    <t>Other specialised professional services, not mentioned elsewhere</t>
  </si>
  <si>
    <t>847.8471305.1.422900.000000.847001.200179</t>
  </si>
  <si>
    <t>Advertising</t>
  </si>
  <si>
    <t>847.8471305.1.425100.000000.847001.200179</t>
  </si>
  <si>
    <t>Conferences, seminars and exhibitions and other events: - Local Events</t>
  </si>
  <si>
    <t>847.8471305.1.425510.000000.847001.200179</t>
  </si>
  <si>
    <t>847.8471305.1.425510.000000.847001.000000</t>
  </si>
  <si>
    <t>Conferences, seminars and exhibitions and other events: - Overseas event</t>
  </si>
  <si>
    <t>847.8471305.1.425550.000000.847001.200179</t>
  </si>
  <si>
    <t>Education-Outsourced training service</t>
  </si>
  <si>
    <t>847.8471305.1.425720.000000.847001.200179</t>
  </si>
  <si>
    <t>847.8471305.1.425720.000000.847001.000000</t>
  </si>
  <si>
    <t>Student stipend</t>
  </si>
  <si>
    <t>847.8471305.1.425741.000000.847001.200179</t>
  </si>
  <si>
    <t>847.8471305.1.425741.000000.847001.000000</t>
  </si>
  <si>
    <t>Enrollment expenses</t>
  </si>
  <si>
    <t>847.8471305.1.425742.000000.847001.200179</t>
  </si>
  <si>
    <t>Student relocation &amp; travel exps</t>
  </si>
  <si>
    <t>847.8471305.1.425745.000000.847001.200179</t>
  </si>
  <si>
    <t>Postgraduate Student Salaries</t>
  </si>
  <si>
    <t>847.8471305.1.425749.000000.847001.200179</t>
  </si>
  <si>
    <t>Skill assessment service</t>
  </si>
  <si>
    <t>847.8471305.1.425750.000000.847001.200179</t>
  </si>
  <si>
    <t>Student activities &amp; field trip expenses</t>
  </si>
  <si>
    <t>847.8471305.1.425760.000000.847001.200179</t>
  </si>
  <si>
    <t>Student Internship</t>
  </si>
  <si>
    <t>847.8471305.1.425762.000000.847001.200179</t>
  </si>
  <si>
    <t>Student Project Expenses</t>
  </si>
  <si>
    <t>847.8471305.1.425763.000000.847001.200179</t>
  </si>
  <si>
    <t>847.8471305.1.425763.000000.847001.000000</t>
  </si>
  <si>
    <t>Academic Missions - Combined expenses</t>
  </si>
  <si>
    <t>847.8471305.1.425770.000000.847001.200179</t>
  </si>
  <si>
    <t>847.8471305.1.425770.000000.847001.000000</t>
  </si>
  <si>
    <t>Entertainment and hospitality</t>
  </si>
  <si>
    <t>847.8471305.1.425900.000000.847001.200179</t>
  </si>
  <si>
    <t>847.8471305.1.425900.000000.847001.000000</t>
  </si>
  <si>
    <t>Freight and shipping costs, not included elsewhere under purchase costs</t>
  </si>
  <si>
    <t>847.8471305.1.426100.000000.847001.200179</t>
  </si>
  <si>
    <t>Computer software licenses</t>
  </si>
  <si>
    <t>847.8471305.1.426610.000000.847001.200179</t>
  </si>
  <si>
    <t>Printing and publishing</t>
  </si>
  <si>
    <t>847.8471305.1.427200.000000.847001.200179</t>
  </si>
  <si>
    <t>Subscriptions and membership fees: Trade organisations</t>
  </si>
  <si>
    <t>847.8471305.1.427710.000000.847001.200179</t>
  </si>
  <si>
    <t>Business Travel - Combined expenses</t>
  </si>
  <si>
    <t>847.8471305.1.428090.000000.847001.200179</t>
  </si>
  <si>
    <t>847.8471305.1.428090.000000.847001.000000</t>
  </si>
  <si>
    <t>Events - Awards, prizes &amp; gifts</t>
  </si>
  <si>
    <t>Student</t>
  </si>
  <si>
    <t>847.8471305.1.428640.000000.847001.200179</t>
  </si>
  <si>
    <t>Computers and peripherals</t>
  </si>
  <si>
    <t>847.8471305.1.432205.000000.847001.200179</t>
  </si>
  <si>
    <t>Laboratory equipment</t>
  </si>
  <si>
    <t>847.8471305.1.432209.000000.847001.200179</t>
  </si>
  <si>
    <t>Newspapers, magazines, journals, etc</t>
  </si>
  <si>
    <t>847.8471305.1.435310.000000.847001.200179</t>
  </si>
  <si>
    <t>Library books</t>
  </si>
  <si>
    <t>847.8471305.1.435330.000000.847001.200179</t>
  </si>
  <si>
    <t>Text books and library books</t>
  </si>
  <si>
    <t>847.8471305.1.435340.000000.847001.200179</t>
  </si>
  <si>
    <t>Catering supplies: Offices</t>
  </si>
  <si>
    <t>847.8471305.1.435410.000000.847001.200179</t>
  </si>
  <si>
    <t>Laboratory - Scientific</t>
  </si>
  <si>
    <t>847.8471305.1.435508.000000.847001.200179</t>
  </si>
  <si>
    <t>847.8471305.1.435508.000000.847001.000000</t>
  </si>
  <si>
    <t>Photography - Consumable materials /Tools</t>
  </si>
  <si>
    <t>847.8471305.1.435519.000000.847001.200179</t>
  </si>
  <si>
    <t>School consumables, not specifically mentioned elsewhere</t>
  </si>
  <si>
    <t>847.8471305.1.435530.000000.847001.200179</t>
  </si>
  <si>
    <t>Printing supplies</t>
  </si>
  <si>
    <t>847.8471305.1.436110.000000.847001.200179</t>
  </si>
  <si>
    <t>Stationery</t>
  </si>
  <si>
    <t>847.8471305.1.436120.000000.847001.200179</t>
  </si>
  <si>
    <t>Capital expense - Buildings</t>
  </si>
  <si>
    <t>FA180-Capex Expense</t>
  </si>
  <si>
    <t>300180</t>
  </si>
  <si>
    <t>847.8471305.1.492200.000000.847001.300180</t>
  </si>
  <si>
    <t>Hardware &amp; peripherals</t>
  </si>
  <si>
    <t>847.8471305.1.492310.000000.847001.300180</t>
  </si>
  <si>
    <t>847.8471305.1.492316.000000.847001.300180</t>
  </si>
  <si>
    <t>847.8471305.1.492316.000000.847001.000000</t>
  </si>
  <si>
    <t>Furniture &amp; Fixtures - Offices</t>
  </si>
  <si>
    <t>847.8471305.1.492610.000000.847001.300180</t>
  </si>
  <si>
    <t xml:space="preserve">70% Budget Impact </t>
  </si>
  <si>
    <t>Required</t>
  </si>
  <si>
    <t>Drop Box List</t>
  </si>
  <si>
    <t>Number</t>
  </si>
  <si>
    <t>Budget Compliance Description</t>
  </si>
  <si>
    <t>Budget template  received</t>
  </si>
  <si>
    <t>Budget first submission</t>
  </si>
  <si>
    <t>Budget Latest submission</t>
  </si>
  <si>
    <t xml:space="preserve">Budget Itemized all lines entered </t>
  </si>
  <si>
    <t>Content expert’s confirmation</t>
  </si>
  <si>
    <t xml:space="preserve">IT – ADDA Template fill up and send to IT </t>
  </si>
  <si>
    <t>Feedback</t>
  </si>
  <si>
    <t xml:space="preserve">Date </t>
  </si>
  <si>
    <t>Entered budget scenarios impact for the 90% , 80% &amp; 70%</t>
  </si>
  <si>
    <t xml:space="preserve">Selected relevant budget driver/s </t>
  </si>
  <si>
    <t xml:space="preserve"> </t>
  </si>
  <si>
    <t>Entered KU Strategy linked with the budget objective</t>
  </si>
  <si>
    <t>Budget Type</t>
  </si>
  <si>
    <t>Strategic New Initiative</t>
  </si>
  <si>
    <t>Expenditure Frequency</t>
  </si>
  <si>
    <t>Recurring</t>
  </si>
  <si>
    <t>Non-recurring</t>
  </si>
  <si>
    <t>Regular operations</t>
  </si>
  <si>
    <t xml:space="preserve">2023 Budget </t>
  </si>
  <si>
    <t xml:space="preserve">2024 Budget </t>
  </si>
  <si>
    <t>Budget Driver Name - Primary</t>
  </si>
  <si>
    <t>Budget Driver Qty - Primary</t>
  </si>
  <si>
    <t>Budget Driver Name - Secondary</t>
  </si>
  <si>
    <t>Budget Driver Qty - Secondary</t>
  </si>
  <si>
    <t>Optional</t>
  </si>
  <si>
    <t>Budget Activity Type</t>
  </si>
  <si>
    <t>Department operation Objective</t>
  </si>
  <si>
    <t>KUST - Audit &amp; Compliance</t>
  </si>
  <si>
    <t>Internal Audit service</t>
  </si>
  <si>
    <t>847.8470120.1.420120.000000.847001.200179</t>
  </si>
  <si>
    <t>847.8470120.1.420120.000000.847001.000000</t>
  </si>
  <si>
    <t>KUST - Finance Operations</t>
  </si>
  <si>
    <t>External Audit service</t>
  </si>
  <si>
    <t>847.8470620.1.420130.000000.847001.200179</t>
  </si>
  <si>
    <t>847.8470620.1.420130.000000.847001.000000</t>
  </si>
  <si>
    <t>KUST - Facilities Management</t>
  </si>
  <si>
    <t>Cleaning: Business premises</t>
  </si>
  <si>
    <t>KUST - Main Campus</t>
  </si>
  <si>
    <t>847.8470530.1.420310.000000.847010.200179</t>
  </si>
  <si>
    <t>847.8470530.1.420310.000000.847010.000000</t>
  </si>
  <si>
    <t>KUST- Sas Al Nakhl Campus</t>
  </si>
  <si>
    <t>847.8470530.1.420310.000000.847020.200179</t>
  </si>
  <si>
    <t>847.8470530.1.420310.000000.847020.000000</t>
  </si>
  <si>
    <t>KUST- Masdar city campus</t>
  </si>
  <si>
    <t>847.8470530.1.420310.000000.847030.200179</t>
  </si>
  <si>
    <t>847.8470530.1.420310.000000.847030.000000</t>
  </si>
  <si>
    <t>KUST - SVP/ Academic &amp; Student Services Office</t>
  </si>
  <si>
    <t>847.8471210.1.420310.000000.847001.000000</t>
  </si>
  <si>
    <t>KUST - Student Life</t>
  </si>
  <si>
    <t>847.8471260.1.420310.000000.847001.200179</t>
  </si>
  <si>
    <t>KUST - Office of the President</t>
  </si>
  <si>
    <t>847.8470110.1.420550.000000.847001.200179</t>
  </si>
  <si>
    <t>847.8470110.1.420550.000000.847001.000000</t>
  </si>
  <si>
    <t>KUST - Graduate Studies</t>
  </si>
  <si>
    <t>847.8470230.1.420550.000000.847001.200179</t>
  </si>
  <si>
    <t>847.8470230.1.420550.000000.847001.000000</t>
  </si>
  <si>
    <t>KUST - Civil Engineering</t>
  </si>
  <si>
    <t>847.8470325.1.420550.000000.847001.200179</t>
  </si>
  <si>
    <t>KUST - Nuclear Engineering</t>
  </si>
  <si>
    <t>847.8470345.1.420550.000000.847001.200179</t>
  </si>
  <si>
    <t>847.8470345.1.420550.000000.847001.000000</t>
  </si>
  <si>
    <t>KUST - Petroleum Engineering</t>
  </si>
  <si>
    <t>847.8470350.1.420550.000000.847001.000000</t>
  </si>
  <si>
    <t>KUST - Dean Of Engineering</t>
  </si>
  <si>
    <t>Academic Collaborative Partnership Services</t>
  </si>
  <si>
    <t>847.8470305.1.420570.000000.847001.200179</t>
  </si>
  <si>
    <t>847.8470305.1.420570.000000.847001.000000</t>
  </si>
  <si>
    <t>KUST - Research Service</t>
  </si>
  <si>
    <t>847.8471130.1.420570.000000.847001.200179</t>
  </si>
  <si>
    <t>847.8471130.1.420570.000000.847001.000000</t>
  </si>
  <si>
    <t>KUST - Ankabut office</t>
  </si>
  <si>
    <t>847.8470810.1.420810.000000.847001.200179</t>
  </si>
  <si>
    <t>847.8470810.1.420810.000000.847001.000000</t>
  </si>
  <si>
    <t>KUST - Research Computing</t>
  </si>
  <si>
    <t>847.8471170.1.420810.000000.847001.200179</t>
  </si>
  <si>
    <t>Legal services</t>
  </si>
  <si>
    <t>847.8470110.1.420900.000000.847001.200179</t>
  </si>
  <si>
    <t>847.8470110.1.420900.000000.847001.000000</t>
  </si>
  <si>
    <t>KUST - General Counsel</t>
  </si>
  <si>
    <t>847.8470150.1.420900.000000.847001.200179</t>
  </si>
  <si>
    <t>KUST - Executive Vice President Office</t>
  </si>
  <si>
    <t>847.8470910.1.420900.000000.847001.000000</t>
  </si>
  <si>
    <t>KUST - Technology Management &amp; Innovation</t>
  </si>
  <si>
    <t>847.8471150.1.420900.000000.847001.200179</t>
  </si>
  <si>
    <t>847.8471150.1.420900.000000.847001.000000</t>
  </si>
  <si>
    <t>847.8470110.1.421000.000000.847001.200179</t>
  </si>
  <si>
    <t>847.8470110.1.421000.000000.847001.000000</t>
  </si>
  <si>
    <t>KUST - Institutional Research &amp; Planning</t>
  </si>
  <si>
    <t>847.8470130.1.421000.000000.847001.200179</t>
  </si>
  <si>
    <t>847.8470620.1.421000.000000.847001.200179</t>
  </si>
  <si>
    <t>847.8470620.1.421000.000000.847001.000000</t>
  </si>
  <si>
    <t>KUST - Procurement</t>
  </si>
  <si>
    <t>847.8470720.1.421000.000000.847001.200179</t>
  </si>
  <si>
    <t>KUST - Human Resources</t>
  </si>
  <si>
    <t>847.8470730.1.421000.000000.847001.200179</t>
  </si>
  <si>
    <t>847.8470810.1.421000.000000.847001.200179</t>
  </si>
  <si>
    <t>847.8470810.1.421000.000000.847001.000000</t>
  </si>
  <si>
    <t>KUST - SVP/ Research &amp; Development Office</t>
  </si>
  <si>
    <t>847.8471110.1.421000.000000.847001.200179</t>
  </si>
  <si>
    <t>847.8471110.1.421000.000000.847001.000000</t>
  </si>
  <si>
    <t>847.8471150.1.421000.000000.847001.200179</t>
  </si>
  <si>
    <t>KUST - Communication</t>
  </si>
  <si>
    <t>Manpower supply</t>
  </si>
  <si>
    <t>847.8470140.1.421100.000000.847001.000000</t>
  </si>
  <si>
    <t>KUST - Mechanical Engineering</t>
  </si>
  <si>
    <t>847.8470340.1.421100.000000.847001.000000</t>
  </si>
  <si>
    <t>847.8470530.1.421100.000000.847010.200179</t>
  </si>
  <si>
    <t>847.8470530.1.421100.000000.847010.000000</t>
  </si>
  <si>
    <t>847.8470530.1.421100.000000.847020.200179</t>
  </si>
  <si>
    <t>847.8470530.1.421100.000000.847020.000000</t>
  </si>
  <si>
    <t>847.8470530.1.421100.000000.847030.200179</t>
  </si>
  <si>
    <t>847.8470530.1.421100.000000.847030.000000</t>
  </si>
  <si>
    <t>847.8470620.1.421100.000000.847001.200179</t>
  </si>
  <si>
    <t>847.8470620.1.421100.000000.847001.000000</t>
  </si>
  <si>
    <t>847.8470720.1.421100.000000.847001.000000</t>
  </si>
  <si>
    <t>847.8470730.1.421100.000000.847001.200179</t>
  </si>
  <si>
    <t>847.8470730.1.421100.000000.847001.000000</t>
  </si>
  <si>
    <t>847.8470810.1.421100.000000.847001.200179</t>
  </si>
  <si>
    <t>847.8470810.1.421100.000000.847001.000000</t>
  </si>
  <si>
    <t>847.8471170.1.421100.000000.847001.200179</t>
  </si>
  <si>
    <t>847.8471170.1.421100.000000.847001.000000</t>
  </si>
  <si>
    <t>847.8471210.1.421100.000000.847001.000000</t>
  </si>
  <si>
    <t>847.8471260.1.421100.000000.847001.200179</t>
  </si>
  <si>
    <t>KUST - Environment, Health &amp; Safety</t>
  </si>
  <si>
    <t>Security service</t>
  </si>
  <si>
    <t>847.8470520.1.421600.000000.847010.200179</t>
  </si>
  <si>
    <t>847.8470520.1.421600.000000.847020.200179</t>
  </si>
  <si>
    <t>847.8470520.1.421600.000000.847030.200179</t>
  </si>
  <si>
    <t>847.8470530.1.421600.000000.847010.200179</t>
  </si>
  <si>
    <t>847.8470530.1.421600.000000.847010.000000</t>
  </si>
  <si>
    <t>847.8470530.1.421600.000000.847020.200179</t>
  </si>
  <si>
    <t>847.8470530.1.421600.000000.847020.000000</t>
  </si>
  <si>
    <t>847.8470530.1.421600.000000.847030.200179</t>
  </si>
  <si>
    <t>847.8470530.1.421600.000000.847030.000000</t>
  </si>
  <si>
    <t>847.8471210.1.421600.000000.847001.000000</t>
  </si>
  <si>
    <t>847.8471260.1.421600.000000.847001.200179</t>
  </si>
  <si>
    <t>847.8470305.1.421700.000000.847001.200179</t>
  </si>
  <si>
    <t>847.8470305.1.421700.000000.847001.000000</t>
  </si>
  <si>
    <t>KUST - Electrical &amp; Computer Engineering</t>
  </si>
  <si>
    <t>847.8470330.1.421700.000000.847001.200179</t>
  </si>
  <si>
    <t>KUST - Dean Of Arts &amp; Science</t>
  </si>
  <si>
    <t>847.8470405.1.421700.000000.847001.200179</t>
  </si>
  <si>
    <t>KUST - Physics</t>
  </si>
  <si>
    <t>847.8470425.1.421700.000000.847001.200179</t>
  </si>
  <si>
    <t>847.8470425.1.421700.000000.847001.000000</t>
  </si>
  <si>
    <t>KUST - Earth Science</t>
  </si>
  <si>
    <t>847.8470450.1.421700.000000.847001.000000</t>
  </si>
  <si>
    <t>847.8470520.1.421700.000000.847001.200179</t>
  </si>
  <si>
    <t>847.8470520.1.421700.000000.847001.000000</t>
  </si>
  <si>
    <t>847.8470530.1.421700.000000.847010.000000</t>
  </si>
  <si>
    <t>847.8470720.1.421700.000000.847001.200179</t>
  </si>
  <si>
    <t>KUST - Research Laboratories</t>
  </si>
  <si>
    <t>847.8471160.1.421700.000000.847001.200179</t>
  </si>
  <si>
    <t>Waste management service</t>
  </si>
  <si>
    <t>847.8470520.1.422100.000000.847001.000000</t>
  </si>
  <si>
    <t>847.8470530.1.422100.000000.847030.200179</t>
  </si>
  <si>
    <t>847.8471160.1.422100.000000.847001.200179</t>
  </si>
  <si>
    <t>847.8471160.1.422100.000000.847001.000000</t>
  </si>
  <si>
    <t>847.8470130.1.425100.000000.847001.200179</t>
  </si>
  <si>
    <t>847.8470140.1.425100.000000.847001.200179</t>
  </si>
  <si>
    <t>847.8470140.1.425100.000000.847001.000000</t>
  </si>
  <si>
    <t>847.8470230.1.425100.000000.847001.200179</t>
  </si>
  <si>
    <t>847.8470405.1.425100.000000.847001.200179</t>
  </si>
  <si>
    <t>847.8470405.1.425100.000000.847001.000000</t>
  </si>
  <si>
    <t>847.8470730.1.425100.000000.847001.000000</t>
  </si>
  <si>
    <t>Banking service charges / Fees</t>
  </si>
  <si>
    <t>847.8470620.1.425300.000000.847001.200179</t>
  </si>
  <si>
    <t>847.8470620.1.425300.000000.847001.000000</t>
  </si>
  <si>
    <t>Fees for processing e-payments</t>
  </si>
  <si>
    <t>847.8470620.1.425350.000000.847001.200179</t>
  </si>
  <si>
    <t>847.8470620.1.425350.000000.847001.000000</t>
  </si>
  <si>
    <t>847.8470110.1.425510.000000.847001.200179</t>
  </si>
  <si>
    <t>847.8470110.1.425510.000000.847001.000000</t>
  </si>
  <si>
    <t>847.8470130.1.425510.000000.847001.200179</t>
  </si>
  <si>
    <t>847.8470140.1.425510.000000.847001.200179</t>
  </si>
  <si>
    <t>847.8470140.1.425510.000000.847001.000000</t>
  </si>
  <si>
    <t>847.8470230.1.425510.000000.847001.200179</t>
  </si>
  <si>
    <t>847.8470305.1.425510.000000.847001.200179</t>
  </si>
  <si>
    <t>847.8470305.1.425510.000000.847001.000000</t>
  </si>
  <si>
    <t>KUST - Aerospace Engineering</t>
  </si>
  <si>
    <t>847.8470310.1.425510.000000.847001.200179</t>
  </si>
  <si>
    <t>KUST - Biomedical Engineering</t>
  </si>
  <si>
    <t>847.8470315.1.425510.000000.847001.200179</t>
  </si>
  <si>
    <t>847.8470325.1.425510.000000.847001.200179</t>
  </si>
  <si>
    <t>847.8470325.1.425510.000000.847001.000000</t>
  </si>
  <si>
    <t>847.8470330.1.425510.000000.847001.200179</t>
  </si>
  <si>
    <t>847.8470330.1.425510.000000.847001.000000</t>
  </si>
  <si>
    <t>KUST - Industrial &amp; Systems Engineering</t>
  </si>
  <si>
    <t>847.8470335.1.425510.000000.847001.200179</t>
  </si>
  <si>
    <t>847.8470335.1.425510.000000.847001.000000</t>
  </si>
  <si>
    <t>847.8470340.1.425510.000000.847001.200179</t>
  </si>
  <si>
    <t>847.8470345.1.425510.000000.847001.000000</t>
  </si>
  <si>
    <t>847.8470350.1.425510.000000.847001.200179</t>
  </si>
  <si>
    <t>847.8470350.1.425510.000000.847001.000000</t>
  </si>
  <si>
    <t>847.8470405.1.425510.000000.847001.200179</t>
  </si>
  <si>
    <t>847.8470405.1.425510.000000.847001.000000</t>
  </si>
  <si>
    <t>KUST - Computer Science</t>
  </si>
  <si>
    <t>847.8470420.1.425510.000000.847001.200179</t>
  </si>
  <si>
    <t>847.8470420.1.425510.000000.847001.000000</t>
  </si>
  <si>
    <t>847.8470520.1.425510.000000.847001.200179</t>
  </si>
  <si>
    <t>847.8470520.1.425510.000000.847001.000000</t>
  </si>
  <si>
    <t>COVID-19 Pandemic</t>
  </si>
  <si>
    <t>847.8470520.1.425510.000000.847951.200179</t>
  </si>
  <si>
    <t>847.8470530.1.425510.000000.847010.200179</t>
  </si>
  <si>
    <t>847.8470530.1.425510.000000.847010.000000</t>
  </si>
  <si>
    <t>847.8470620.1.425510.000000.847001.200179</t>
  </si>
  <si>
    <t>847.8470730.1.425510.000000.847001.200179</t>
  </si>
  <si>
    <t>847.8470730.1.425510.000000.847001.000000</t>
  </si>
  <si>
    <t>847.8471110.1.425510.000000.847001.000000</t>
  </si>
  <si>
    <t>KUST - University Sponsored Research</t>
  </si>
  <si>
    <t>847.8471140.1.425510.000000.847001.200179</t>
  </si>
  <si>
    <t>847.8471140.1.425510.000000.847001.000000</t>
  </si>
  <si>
    <t>847.8471150.1.425510.000000.847001.000000</t>
  </si>
  <si>
    <t>847.8471210.1.425510.000000.847001.000000</t>
  </si>
  <si>
    <t>KUST - Registrar</t>
  </si>
  <si>
    <t>847.8471220.1.425510.000000.847001.200179</t>
  </si>
  <si>
    <t>KUST - Student Success</t>
  </si>
  <si>
    <t>847.8471240.1.425510.000000.847001.200179</t>
  </si>
  <si>
    <t>847.8471240.1.425510.000000.847001.000000</t>
  </si>
  <si>
    <t>KUST - Career Services</t>
  </si>
  <si>
    <t>847.8471250.1.425510.000000.847001.200179</t>
  </si>
  <si>
    <t>847.8471250.1.425510.000000.847001.000000</t>
  </si>
  <si>
    <t>847.8471260.1.425510.000000.847001.200179</t>
  </si>
  <si>
    <t>KUST - Libraries</t>
  </si>
  <si>
    <t>847.8471270.1.425510.000000.847001.200179</t>
  </si>
  <si>
    <t>KUST - Center for Teaching &amp; Learning</t>
  </si>
  <si>
    <t>847.8471280.1.425510.000000.847001.200179</t>
  </si>
  <si>
    <t>847.8471280.1.425510.000000.847001.000000</t>
  </si>
  <si>
    <t>847.8470140.1.425550.000000.847001.200179</t>
  </si>
  <si>
    <t>847.8470230.1.425550.000000.847001.200179</t>
  </si>
  <si>
    <t>847.8470230.1.425550.000000.847001.000000</t>
  </si>
  <si>
    <t>847.8470405.1.425550.000000.847001.200179</t>
  </si>
  <si>
    <t>KUST - Chemistry</t>
  </si>
  <si>
    <t>847.8470415.1.425550.000000.847001.200179</t>
  </si>
  <si>
    <t>KUST - Department of English</t>
  </si>
  <si>
    <t>847.8470435.1.425550.000000.847001.200179</t>
  </si>
  <si>
    <t>847.8470305.1.425720.000000.847001.200179</t>
  </si>
  <si>
    <t>KUST - Continuing Education Office</t>
  </si>
  <si>
    <t>847.8471010.1.425720.000000.847001.200179</t>
  </si>
  <si>
    <t>847.8471240.1.425720.000000.847001.200179</t>
  </si>
  <si>
    <t>847.8471250.1.425720.000000.847001.200179</t>
  </si>
  <si>
    <t>847.8471260.1.425720.000000.847001.200179</t>
  </si>
  <si>
    <t>Scholarships &amp; other financial aid</t>
  </si>
  <si>
    <t>847.8470230.1.425740.000000.847001.000000</t>
  </si>
  <si>
    <t>847.8470230.1.425741.000000.847001.200179</t>
  </si>
  <si>
    <t>847.8470230.1.425741.000000.847001.000000</t>
  </si>
  <si>
    <t>847.8470730.1.425741.000000.847001.000000</t>
  </si>
  <si>
    <t>847.8471210.1.425741.000000.847001.200179</t>
  </si>
  <si>
    <t>847.8471220.1.425741.000000.847001.200179</t>
  </si>
  <si>
    <t>847.8471220.1.425741.000000.847001.000000</t>
  </si>
  <si>
    <t>847.8470230.1.425742.000000.847001.200179</t>
  </si>
  <si>
    <t>847.8470230.1.425742.000000.847001.000000</t>
  </si>
  <si>
    <t>KUST - Student Enrollment</t>
  </si>
  <si>
    <t>847.8471230.1.425742.000000.847001.200179</t>
  </si>
  <si>
    <t>847.8471230.1.425742.000000.847001.000000</t>
  </si>
  <si>
    <t>Graduation rewards</t>
  </si>
  <si>
    <t>847.8470230.1.425743.000000.847001.200179</t>
  </si>
  <si>
    <t>847.8470230.1.425743.000000.847001.000000</t>
  </si>
  <si>
    <t>Student medical insurance</t>
  </si>
  <si>
    <t>847.8470230.1.425744.000000.847001.000000</t>
  </si>
  <si>
    <t>847.8470230.1.425745.000000.847001.200179</t>
  </si>
  <si>
    <t>847.8470230.1.425745.000000.847001.000000</t>
  </si>
  <si>
    <t>847.8471210.1.425745.000000.847001.000000</t>
  </si>
  <si>
    <t>Student Transport</t>
  </si>
  <si>
    <t>847.8471210.1.425746.000000.847001.000000</t>
  </si>
  <si>
    <t>847.8471260.1.425746.000000.847001.200179</t>
  </si>
  <si>
    <t>Student Accommodation</t>
  </si>
  <si>
    <t>847.8471210.1.425747.000000.847001.000000</t>
  </si>
  <si>
    <t>847.8471260.1.425747.000000.847001.200179</t>
  </si>
  <si>
    <t>847.8470230.1.425749.000000.847001.200179</t>
  </si>
  <si>
    <t>847.8471240.1.425750.000000.847001.200179</t>
  </si>
  <si>
    <t>847.8471250.1.425750.000000.847001.000000</t>
  </si>
  <si>
    <t>847.8471260.1.425750.000000.847001.200179</t>
  </si>
  <si>
    <t>847.8470310.1.425760.000000.847001.200179</t>
  </si>
  <si>
    <t>847.8470315.1.425760.000000.847001.200179</t>
  </si>
  <si>
    <t>847.8470325.1.425760.000000.847001.200179</t>
  </si>
  <si>
    <t>847.8470330.1.425760.000000.847001.200179</t>
  </si>
  <si>
    <t>847.8470335.1.425760.000000.847001.200179</t>
  </si>
  <si>
    <t>847.8470340.1.425760.000000.847001.200179</t>
  </si>
  <si>
    <t>847.8470350.1.425760.000000.847001.200179</t>
  </si>
  <si>
    <t>KUST - Mathematics</t>
  </si>
  <si>
    <t>847.8470445.1.425760.000000.847001.200179</t>
  </si>
  <si>
    <t>847.8471210.1.425760.000000.847001.000000</t>
  </si>
  <si>
    <t>847.8471260.1.425760.000000.847001.200179</t>
  </si>
  <si>
    <t>Student Field trips</t>
  </si>
  <si>
    <t>847.8470230.1.425761.000000.847001.200179</t>
  </si>
  <si>
    <t>847.8470230.1.425761.000000.847001.000000</t>
  </si>
  <si>
    <t>847.8470310.1.425761.000000.847001.000000</t>
  </si>
  <si>
    <t>847.8470330.1.425761.000000.847001.200179</t>
  </si>
  <si>
    <t>847.8470330.1.425761.000000.847001.000000</t>
  </si>
  <si>
    <t>847.8470350.1.425761.000000.847001.000000</t>
  </si>
  <si>
    <t>KUST - Institute of International &amp; Civil Security</t>
  </si>
  <si>
    <t>847.8470410.1.425761.000000.847001.200179</t>
  </si>
  <si>
    <t>847.8470425.1.425761.000000.847001.200179</t>
  </si>
  <si>
    <t>KUST - Preparatory Program</t>
  </si>
  <si>
    <t>847.8470430.1.425761.000000.847001.000000</t>
  </si>
  <si>
    <t>KUST - Humanities &amp; Social Sciences</t>
  </si>
  <si>
    <t>847.8470440.1.425761.000000.847001.200179</t>
  </si>
  <si>
    <t>847.8470450.1.425761.000000.847001.200179</t>
  </si>
  <si>
    <t>847.8470450.1.425761.000000.847001.000000</t>
  </si>
  <si>
    <t>847.8471210.1.425761.000000.847001.000000</t>
  </si>
  <si>
    <t>847.8471240.1.425761.000000.847001.200179</t>
  </si>
  <si>
    <t>847.8471240.1.425761.000000.847001.000000</t>
  </si>
  <si>
    <t>847.8471250.1.425761.000000.847001.200179</t>
  </si>
  <si>
    <t>847.8471250.1.425761.000000.847001.000000</t>
  </si>
  <si>
    <t>847.8471250.1.425762.000000.847001.200179</t>
  </si>
  <si>
    <t>847.8471250.1.425762.000000.847001.000000</t>
  </si>
  <si>
    <t>847.8470305.1.425763.000000.847001.200179</t>
  </si>
  <si>
    <t>847.8470305.1.425763.000000.847001.000000</t>
  </si>
  <si>
    <t>847.8470310.1.425763.000000.847001.200179</t>
  </si>
  <si>
    <t>847.8470310.1.425763.000000.847001.000000</t>
  </si>
  <si>
    <t>847.8470315.1.425763.000000.847001.200179</t>
  </si>
  <si>
    <t>847.8470315.1.425763.000000.847001.000000</t>
  </si>
  <si>
    <t>KUST - Chemical Engineering</t>
  </si>
  <si>
    <t>847.8470320.1.425763.000000.847001.200179</t>
  </si>
  <si>
    <t>847.8470325.1.425763.000000.847001.200179</t>
  </si>
  <si>
    <t>847.8470325.1.425763.000000.847001.000000</t>
  </si>
  <si>
    <t>847.8470330.1.425763.000000.847001.200179</t>
  </si>
  <si>
    <t>847.8470330.1.425763.000000.847001.000000</t>
  </si>
  <si>
    <t>847.8470335.1.425763.000000.847001.200179</t>
  </si>
  <si>
    <t>847.8470340.1.425763.000000.847001.200179</t>
  </si>
  <si>
    <t>847.8470340.1.425763.000000.847001.000000</t>
  </si>
  <si>
    <t>847.8470350.1.425763.000000.847001.200179</t>
  </si>
  <si>
    <t>847.8471280.1.425763.000000.847001.000000</t>
  </si>
  <si>
    <t>847.8470110.1.425770.000000.847001.200179</t>
  </si>
  <si>
    <t>847.8470110.1.425770.000000.847001.000000</t>
  </si>
  <si>
    <t>847.8470230.1.425770.000000.847001.200179</t>
  </si>
  <si>
    <t>847.8470230.1.425770.000000.847001.000000</t>
  </si>
  <si>
    <t>847.8470305.1.425770.000000.847001.200179</t>
  </si>
  <si>
    <t>847.8470305.1.425770.000000.847001.000000</t>
  </si>
  <si>
    <t>847.8470310.1.425770.000000.847001.200179</t>
  </si>
  <si>
    <t>847.8470310.1.425770.000000.847001.000000</t>
  </si>
  <si>
    <t>847.8470315.1.425770.000000.847001.200179</t>
  </si>
  <si>
    <t>847.8470315.1.425770.000000.847001.000000</t>
  </si>
  <si>
    <t>847.8470320.1.425770.000000.847001.200179</t>
  </si>
  <si>
    <t>847.8470320.1.425770.000000.847001.000000</t>
  </si>
  <si>
    <t>847.8470325.1.425770.000000.847001.200179</t>
  </si>
  <si>
    <t>847.8470325.1.425770.000000.847001.000000</t>
  </si>
  <si>
    <t>847.8470330.1.425770.000000.847001.200179</t>
  </si>
  <si>
    <t>847.8470330.1.425770.000000.847001.000000</t>
  </si>
  <si>
    <t>847.8470335.1.425770.000000.847001.200179</t>
  </si>
  <si>
    <t>847.8470335.1.425770.000000.847001.000000</t>
  </si>
  <si>
    <t>847.8470340.1.425770.000000.847001.200179</t>
  </si>
  <si>
    <t>847.8470340.1.425770.000000.847001.000000</t>
  </si>
  <si>
    <t>847.8470345.1.425770.000000.847001.200179</t>
  </si>
  <si>
    <t>847.8470345.1.425770.000000.847001.000000</t>
  </si>
  <si>
    <t>847.8470350.1.425770.000000.847001.200179</t>
  </si>
  <si>
    <t>847.8470350.1.425770.000000.847001.000000</t>
  </si>
  <si>
    <t>847.8470405.1.425770.000000.847001.200179</t>
  </si>
  <si>
    <t>847.8470405.1.425770.000000.847001.000000</t>
  </si>
  <si>
    <t>847.8470410.1.425770.000000.847001.200179</t>
  </si>
  <si>
    <t>847.8470410.1.425770.000000.847001.000000</t>
  </si>
  <si>
    <t>847.8470415.1.425770.000000.847001.200179</t>
  </si>
  <si>
    <t>847.8470415.1.425770.000000.847001.000000</t>
  </si>
  <si>
    <t>847.8470420.1.425770.000000.847001.200179</t>
  </si>
  <si>
    <t>847.8470420.1.425770.000000.847001.000000</t>
  </si>
  <si>
    <t>847.8470425.1.425770.000000.847001.200179</t>
  </si>
  <si>
    <t>847.8470425.1.425770.000000.847001.000000</t>
  </si>
  <si>
    <t>847.8470430.1.425770.000000.847001.200179</t>
  </si>
  <si>
    <t>847.8470430.1.425770.000000.847001.000000</t>
  </si>
  <si>
    <t>847.8470435.1.425770.000000.847001.200179</t>
  </si>
  <si>
    <t>847.8470435.1.425770.000000.847001.000000</t>
  </si>
  <si>
    <t>847.8470440.1.425770.000000.847001.200179</t>
  </si>
  <si>
    <t>847.8470440.1.425770.000000.847001.000000</t>
  </si>
  <si>
    <t>847.8470445.1.425770.000000.847001.200179</t>
  </si>
  <si>
    <t>847.8470445.1.425770.000000.847001.000000</t>
  </si>
  <si>
    <t>847.8470450.1.425770.000000.847001.200179</t>
  </si>
  <si>
    <t>847.8470450.1.425770.000000.847001.000000</t>
  </si>
  <si>
    <t>847.8471110.1.425770.000000.847001.000000</t>
  </si>
  <si>
    <t>847.8471280.1.425770.000000.847001.200179</t>
  </si>
  <si>
    <t>847.8470110.1.425900.000000.847001.200179</t>
  </si>
  <si>
    <t>847.8470110.1.425900.000000.847001.000000</t>
  </si>
  <si>
    <t>847.8470140.1.425900.000000.847001.000000</t>
  </si>
  <si>
    <t>847.8470230.1.425900.000000.847001.200179</t>
  </si>
  <si>
    <t>847.8470230.1.425900.000000.847001.000000</t>
  </si>
  <si>
    <t>847.8470305.1.425900.000000.847001.200179</t>
  </si>
  <si>
    <t>847.8470305.1.425900.000000.847001.000000</t>
  </si>
  <si>
    <t>847.8470310.1.425900.000000.847001.200179</t>
  </si>
  <si>
    <t>847.8470315.1.425900.000000.847001.200179</t>
  </si>
  <si>
    <t>847.8470315.1.425900.000000.847001.000000</t>
  </si>
  <si>
    <t>847.8470320.1.425900.000000.847001.200179</t>
  </si>
  <si>
    <t>847.8470320.1.425900.000000.847001.000000</t>
  </si>
  <si>
    <t>847.8470325.1.425900.000000.847001.200179</t>
  </si>
  <si>
    <t>847.8470325.1.425900.000000.847001.000000</t>
  </si>
  <si>
    <t>847.8470330.1.425900.000000.847001.200179</t>
  </si>
  <si>
    <t>847.8470330.1.425900.000000.847001.000000</t>
  </si>
  <si>
    <t>847.8470335.1.425900.000000.847001.200179</t>
  </si>
  <si>
    <t>847.8470335.1.425900.000000.847001.000000</t>
  </si>
  <si>
    <t>847.8470340.1.425900.000000.847001.200179</t>
  </si>
  <si>
    <t>847.8470340.1.425900.000000.847001.000000</t>
  </si>
  <si>
    <t>847.8470345.1.425900.000000.847001.200179</t>
  </si>
  <si>
    <t>847.8470345.1.425900.000000.847001.000000</t>
  </si>
  <si>
    <t>847.8470350.1.425900.000000.847001.200179</t>
  </si>
  <si>
    <t>847.8470350.1.425900.000000.847001.000000</t>
  </si>
  <si>
    <t>847.8470415.1.425900.000000.847001.200179</t>
  </si>
  <si>
    <t>847.8470415.1.425900.000000.847001.000000</t>
  </si>
  <si>
    <t>847.8470425.1.425900.000000.847001.200179</t>
  </si>
  <si>
    <t>847.8470430.1.425900.000000.847001.200179</t>
  </si>
  <si>
    <t>847.8470430.1.425900.000000.847001.000000</t>
  </si>
  <si>
    <t>847.8470435.1.425900.000000.847001.000000</t>
  </si>
  <si>
    <t>847.8470530.1.425900.000000.847010.200179</t>
  </si>
  <si>
    <t>847.8470620.1.425900.000000.847001.200179</t>
  </si>
  <si>
    <t>847.8470620.1.425900.000000.847001.000000</t>
  </si>
  <si>
    <t>847.8470730.1.425900.000000.847001.200179</t>
  </si>
  <si>
    <t>847.8470730.1.425900.000000.847001.000000</t>
  </si>
  <si>
    <t>847.8470810.1.425900.000000.847001.200179</t>
  </si>
  <si>
    <t>847.8470810.1.425900.000000.847001.000000</t>
  </si>
  <si>
    <t>847.8471110.1.425900.000000.847001.200179</t>
  </si>
  <si>
    <t>847.8471110.1.425900.000000.847001.000000</t>
  </si>
  <si>
    <t>KUST - Institute for Automation, Information Science &amp; Communication</t>
  </si>
  <si>
    <t>847.8471120.1.425900.000000.847001.200179</t>
  </si>
  <si>
    <t>847.8471120.1.425900.000000.847001.000000</t>
  </si>
  <si>
    <t>847.8471130.1.425900.000000.847001.000000</t>
  </si>
  <si>
    <t>847.8471140.1.425900.000000.847001.200179</t>
  </si>
  <si>
    <t>847.8471210.1.425900.000000.847001.200179</t>
  </si>
  <si>
    <t>847.8471210.1.425900.000000.847001.000000</t>
  </si>
  <si>
    <t>847.8471240.1.425900.000000.847001.200179</t>
  </si>
  <si>
    <t>847.8471240.1.425900.000000.847001.000000</t>
  </si>
  <si>
    <t>847.8471250.1.425900.000000.847001.200179</t>
  </si>
  <si>
    <t>847.8471250.1.425900.000000.847001.000000</t>
  </si>
  <si>
    <t>847.8471260.1.425900.000000.847001.200179</t>
  </si>
  <si>
    <t>847.8471270.1.425900.000000.847001.200179</t>
  </si>
  <si>
    <t>Insurance - Cash and fidelity</t>
  </si>
  <si>
    <t>847.8470530.1.426210.000000.847010.200179</t>
  </si>
  <si>
    <t>847.8470620.1.426210.000000.847001.000000</t>
  </si>
  <si>
    <t>Insurance - Fire and allied perils</t>
  </si>
  <si>
    <t>847.8470305.1.426220.000000.847001.000000</t>
  </si>
  <si>
    <t>847.8470530.1.426220.000000.847010.200179</t>
  </si>
  <si>
    <t>847.8470530.1.426220.000000.847010.000000</t>
  </si>
  <si>
    <t>847.8470530.1.426220.000000.847030.200179</t>
  </si>
  <si>
    <t>847.8470530.1.426220.000000.847030.000000</t>
  </si>
  <si>
    <t>847.8470810.1.426220.000000.847001.000000</t>
  </si>
  <si>
    <t>847.8471160.1.426220.000000.847001.000000</t>
  </si>
  <si>
    <t>847.8471210.1.426220.000000.847001.000000</t>
  </si>
  <si>
    <t>847.8471260.1.426220.000000.847001.200179</t>
  </si>
  <si>
    <t>Insurance - Motor vehicles</t>
  </si>
  <si>
    <t>847.8470530.1.426250.000000.847010.200179</t>
  </si>
  <si>
    <t>847.8470530.1.426250.000000.847020.000000</t>
  </si>
  <si>
    <t>847.8470530.1.426250.000000.847030.000000</t>
  </si>
  <si>
    <t>Insurance - Other</t>
  </si>
  <si>
    <t>847.8470530.1.426290.000000.847010.000000</t>
  </si>
  <si>
    <t xml:space="preserve">Facilities </t>
  </si>
  <si>
    <t>847.8470730.1.426290.000000.847001.200179</t>
  </si>
  <si>
    <t>847.8470110.1.426610.000000.847001.200179</t>
  </si>
  <si>
    <t>IT</t>
  </si>
  <si>
    <t>847.8470110.1.426610.000000.847001.000000</t>
  </si>
  <si>
    <t>847.8470140.1.426610.000000.847001.000000</t>
  </si>
  <si>
    <t>847.8470230.1.426610.000000.847001.000000</t>
  </si>
  <si>
    <t>847.8470305.1.426610.000000.847001.200179</t>
  </si>
  <si>
    <t>847.8470305.1.426610.000000.847001.000000</t>
  </si>
  <si>
    <t>847.8470310.1.426610.000000.847001.200179</t>
  </si>
  <si>
    <t>847.8470310.1.426610.000000.847001.000000</t>
  </si>
  <si>
    <t>847.8470315.1.426610.000000.847001.200179</t>
  </si>
  <si>
    <t>847.8470320.1.426610.000000.847001.200179</t>
  </si>
  <si>
    <t>847.8470325.1.426610.000000.847001.200179</t>
  </si>
  <si>
    <t>847.8470330.1.426610.000000.847001.200179</t>
  </si>
  <si>
    <t>847.8470335.1.426610.000000.847001.200179</t>
  </si>
  <si>
    <t>847.8470335.1.426610.000000.847001.000000</t>
  </si>
  <si>
    <t>847.8470340.1.426610.000000.847001.200179</t>
  </si>
  <si>
    <t>847.8470340.1.426610.000000.847001.000000</t>
  </si>
  <si>
    <t>847.8470345.1.426610.000000.847001.200179</t>
  </si>
  <si>
    <t>847.8470345.1.426610.000000.847001.000000</t>
  </si>
  <si>
    <t>847.8470350.1.426610.000000.847001.200179</t>
  </si>
  <si>
    <t>847.8470350.1.426610.000000.847001.000000</t>
  </si>
  <si>
    <t>847.8470415.1.426610.000000.847001.200179</t>
  </si>
  <si>
    <t>847.8470430.1.426610.000000.847001.200179</t>
  </si>
  <si>
    <t>847.8470440.1.426610.000000.847001.200179</t>
  </si>
  <si>
    <t>847.8470445.1.426610.000000.847001.000000</t>
  </si>
  <si>
    <t>847.8470450.1.426610.000000.847001.200179</t>
  </si>
  <si>
    <t>847.8470520.1.426610.000000.847001.200179</t>
  </si>
  <si>
    <t>847.8470520.1.426610.000000.847001.000000</t>
  </si>
  <si>
    <t>847.8470620.1.426610.000000.847001.200179</t>
  </si>
  <si>
    <t>847.8470730.1.426610.000000.847001.200179</t>
  </si>
  <si>
    <t>847.8470810.1.426610.000000.847001.200179</t>
  </si>
  <si>
    <t>847.8470810.1.426610.000000.847001.000000</t>
  </si>
  <si>
    <t>847.8471110.1.426610.000000.847001.000000</t>
  </si>
  <si>
    <t>847.8471130.1.426610.000000.847001.200179</t>
  </si>
  <si>
    <t>847.8471130.1.426610.000000.847001.000000</t>
  </si>
  <si>
    <t>847.8471150.1.426610.000000.847001.200179</t>
  </si>
  <si>
    <t>847.8471170.1.426610.000000.847001.200179</t>
  </si>
  <si>
    <t>847.8471170.1.426610.000000.847001.000000</t>
  </si>
  <si>
    <t>847.8471210.1.426610.000000.847001.200179</t>
  </si>
  <si>
    <t>847.8471210.1.426610.000000.847001.000000</t>
  </si>
  <si>
    <t>847.8471230.1.426610.000000.847001.200179</t>
  </si>
  <si>
    <t>847.8471250.1.426610.000000.847001.200179</t>
  </si>
  <si>
    <t>847.8471250.1.426610.000000.847001.000000</t>
  </si>
  <si>
    <t>847.8471280.1.426610.000000.847001.200179</t>
  </si>
  <si>
    <t>847.8471280.1.426610.000000.847001.000000</t>
  </si>
  <si>
    <t>ADRIC operations</t>
  </si>
  <si>
    <t>Research Software renewal</t>
  </si>
  <si>
    <t>847.8477110.1.426610.000000.847078.000000</t>
  </si>
  <si>
    <t>Local Medical treatment expenses including preventive testing</t>
  </si>
  <si>
    <t>847.8471210.1.426751.000000.847001.000000</t>
  </si>
  <si>
    <t>Motor vehicle registration and inspection charges</t>
  </si>
  <si>
    <t>847.8470530.1.426800.000000.847010.200179</t>
  </si>
  <si>
    <t>847.8470530.1.426800.000000.847010.000000</t>
  </si>
  <si>
    <t>847.8470530.1.426800.000000.847020.200179</t>
  </si>
  <si>
    <t>847.8470530.1.426800.000000.847020.000000</t>
  </si>
  <si>
    <t>Postal, courier and other document delivery expenses</t>
  </si>
  <si>
    <t>847.8470530.1.426900.000000.847010.200179</t>
  </si>
  <si>
    <t>847.8470530.1.426900.000000.847020.000000</t>
  </si>
  <si>
    <t>847.8470720.1.426900.000000.847001.200179</t>
  </si>
  <si>
    <t>847.8470720.1.426900.000000.847001.000000</t>
  </si>
  <si>
    <t>847.8471130.1.426900.000000.847001.000000</t>
  </si>
  <si>
    <t>847.8471220.1.426900.000000.847001.200179</t>
  </si>
  <si>
    <t>Public relations</t>
  </si>
  <si>
    <t>847.8470140.1.427100.000000.847001.200179</t>
  </si>
  <si>
    <t>847.8470140.1.427100.000000.847001.000000</t>
  </si>
  <si>
    <t>847.8470730.1.427100.000000.847001.000000</t>
  </si>
  <si>
    <t>847.8470140.1.427200.000000.847001.200179</t>
  </si>
  <si>
    <t>847.8470730.1.427200.000000.847001.200179</t>
  </si>
  <si>
    <t>847.8471140.1.427200.000000.847001.200179</t>
  </si>
  <si>
    <t>847.8471210.1.427200.000000.847001.000000</t>
  </si>
  <si>
    <t>847.8470110.1.427710.000000.847001.200179</t>
  </si>
  <si>
    <t>847.8470410.1.427710.000000.847001.000000</t>
  </si>
  <si>
    <t>847.8470520.1.427710.000000.847001.200179</t>
  </si>
  <si>
    <t>847.8470730.1.427710.000000.847001.200179</t>
  </si>
  <si>
    <t>847.8471110.1.427710.000000.847001.200179</t>
  </si>
  <si>
    <t>847.8471110.1.427710.000000.847001.000000</t>
  </si>
  <si>
    <t>847.8471270.1.427710.000000.847001.000000</t>
  </si>
  <si>
    <t>Telephone and telefax charges</t>
  </si>
  <si>
    <t>847.8470810.1.427810.000000.847001.200179</t>
  </si>
  <si>
    <t>847.8470810.1.427810.000000.847001.000000</t>
  </si>
  <si>
    <t>847.8471210.1.427810.000000.847001.000000</t>
  </si>
  <si>
    <t>847.8471260.1.427810.000000.847001.200179</t>
  </si>
  <si>
    <t>Data Transmission charges</t>
  </si>
  <si>
    <t>847.8470810.1.427850.000000.847001.200179</t>
  </si>
  <si>
    <t>847.8470810.1.427850.000000.847001.000000</t>
  </si>
  <si>
    <t>847.8471210.1.427850.000000.847001.000000</t>
  </si>
  <si>
    <t>847.8471260.1.427850.000000.847001.200179</t>
  </si>
  <si>
    <t>Translation and interpretation service</t>
  </si>
  <si>
    <t>847.8470110.1.427900.000000.847001.000000</t>
  </si>
  <si>
    <t>847.8470730.1.427900.000000.847001.000000</t>
  </si>
  <si>
    <t>847.8471130.1.427900.000000.847001.000000</t>
  </si>
  <si>
    <t>847.8470110.1.428090.000000.847001.200179</t>
  </si>
  <si>
    <t>847.8470110.1.428090.000000.847001.000000</t>
  </si>
  <si>
    <t>847.8470120.1.428090.000000.847001.000000</t>
  </si>
  <si>
    <t>847.8470140.1.428090.000000.847001.000000</t>
  </si>
  <si>
    <t>847.8470230.1.428090.000000.847001.200179</t>
  </si>
  <si>
    <t>847.8470230.1.428090.000000.847001.000000</t>
  </si>
  <si>
    <t>847.8470305.1.428090.000000.847001.000000</t>
  </si>
  <si>
    <t>847.8470315.1.428090.000000.847001.200179</t>
  </si>
  <si>
    <t>847.8470320.1.428090.000000.847001.200179</t>
  </si>
  <si>
    <t>847.8470320.1.428090.000000.847001.000000</t>
  </si>
  <si>
    <t>847.8470325.1.428090.000000.847001.200179</t>
  </si>
  <si>
    <t>847.8470325.1.428090.000000.847001.000000</t>
  </si>
  <si>
    <t>847.8470330.1.428090.000000.847001.200179</t>
  </si>
  <si>
    <t>847.8470330.1.428090.000000.847001.000000</t>
  </si>
  <si>
    <t>847.8470335.1.428090.000000.847001.200179</t>
  </si>
  <si>
    <t>847.8470335.1.428090.000000.847001.000000</t>
  </si>
  <si>
    <t>847.8470340.1.428090.000000.847001.200179</t>
  </si>
  <si>
    <t>847.8470340.1.428090.000000.847001.000000</t>
  </si>
  <si>
    <t>847.8470345.1.428090.000000.847001.200179</t>
  </si>
  <si>
    <t>847.8470345.1.428090.000000.847001.000000</t>
  </si>
  <si>
    <t>847.8470350.1.428090.000000.847001.200179</t>
  </si>
  <si>
    <t>847.8470350.1.428090.000000.847001.000000</t>
  </si>
  <si>
    <t>847.8470405.1.428090.000000.847001.200179</t>
  </si>
  <si>
    <t>847.8470405.1.428090.000000.847001.000000</t>
  </si>
  <si>
    <t>847.8470410.1.428090.000000.847001.200179</t>
  </si>
  <si>
    <t>847.8470415.1.428090.000000.847001.200179</t>
  </si>
  <si>
    <t>847.8470420.1.428090.000000.847001.200179</t>
  </si>
  <si>
    <t>847.8470420.1.428090.000000.847001.000000</t>
  </si>
  <si>
    <t>847.8470435.1.428090.000000.847001.000000</t>
  </si>
  <si>
    <t>847.8470440.1.428090.000000.847001.200179</t>
  </si>
  <si>
    <t>847.8470450.1.428090.000000.847001.000000</t>
  </si>
  <si>
    <t>KUST - VP/ Administration, Facilities &amp; EHS Office</t>
  </si>
  <si>
    <t>847.8470510.1.428090.000000.847001.000000</t>
  </si>
  <si>
    <t>847.8470530.1.428090.000000.847010.200179</t>
  </si>
  <si>
    <t>847.8470620.1.428090.000000.847001.200179</t>
  </si>
  <si>
    <t>847.8470620.1.428090.000000.847001.000000</t>
  </si>
  <si>
    <t>KUST - Business Development</t>
  </si>
  <si>
    <t>847.8470630.1.428090.000000.847001.200179</t>
  </si>
  <si>
    <t>847.8470730.1.428090.000000.847001.200179</t>
  </si>
  <si>
    <t>847.8470730.1.428090.000000.847001.000000</t>
  </si>
  <si>
    <t>847.8470810.1.428090.000000.847001.200179</t>
  </si>
  <si>
    <t>847.8470810.1.428090.000000.847001.000000</t>
  </si>
  <si>
    <t>847.8470910.1.428090.000000.847001.000000</t>
  </si>
  <si>
    <t>847.8471110.1.428090.000000.847001.200179</t>
  </si>
  <si>
    <t>847.8471110.1.428090.000000.847001.000000</t>
  </si>
  <si>
    <t>847.8471120.1.428090.000000.847001.200179</t>
  </si>
  <si>
    <t>847.8471120.1.428090.000000.847001.000000</t>
  </si>
  <si>
    <t>847.8471130.1.428090.000000.847001.200179</t>
  </si>
  <si>
    <t>847.8471130.1.428090.000000.847001.000000</t>
  </si>
  <si>
    <t>847.8471140.1.428090.000000.847001.200179</t>
  </si>
  <si>
    <t>847.8471140.1.428090.000000.847001.000000</t>
  </si>
  <si>
    <t>847.8471150.1.428090.000000.847001.200179</t>
  </si>
  <si>
    <t>847.8471150.1.428090.000000.847001.000000</t>
  </si>
  <si>
    <t>847.8471170.1.428090.000000.847001.200179</t>
  </si>
  <si>
    <t>847.8471170.1.428090.000000.847001.000000</t>
  </si>
  <si>
    <t>847.8471210.1.428090.000000.847001.200179</t>
  </si>
  <si>
    <t>847.8471210.1.428090.000000.847001.000000</t>
  </si>
  <si>
    <t>847.8471230.1.428090.000000.847001.000000</t>
  </si>
  <si>
    <t>847.8471270.1.428090.000000.847001.200179</t>
  </si>
  <si>
    <t>Electricity consumption charges</t>
  </si>
  <si>
    <t>847.8470530.1.428111.000000.847010.200179</t>
  </si>
  <si>
    <t>847.8470530.1.428111.000000.847010.000000</t>
  </si>
  <si>
    <t>Student Related Costs</t>
  </si>
  <si>
    <t>847.8470530.1.428111.000000.847015.200179</t>
  </si>
  <si>
    <t>847.8470530.1.428111.000000.847020.200179</t>
  </si>
  <si>
    <t>847.8470530.1.428111.000000.847020.000000</t>
  </si>
  <si>
    <t>847.8470530.1.428111.000000.847030.200179</t>
  </si>
  <si>
    <t>847.8470530.1.428111.000000.847030.000000</t>
  </si>
  <si>
    <t>847.8471210.1.428111.000000.847001.000000</t>
  </si>
  <si>
    <t>847.8471260.1.428111.000000.847001.200179</t>
  </si>
  <si>
    <t>Water consumption charges</t>
  </si>
  <si>
    <t>847.8470530.1.428112.000000.847010.200179</t>
  </si>
  <si>
    <t>847.8470530.1.428112.000000.847015.200179</t>
  </si>
  <si>
    <t>847.8470530.1.428112.000000.847020.200179</t>
  </si>
  <si>
    <t>847.8471260.1.428112.000000.847001.200179</t>
  </si>
  <si>
    <t>Health,safety&amp;environment awareness</t>
  </si>
  <si>
    <t>847.8470520.1.428200.000000.847001.200179</t>
  </si>
  <si>
    <t>847.8470520.1.428200.000000.847001.000000</t>
  </si>
  <si>
    <t>847.8470520.1.428200.000000.847951.200179</t>
  </si>
  <si>
    <t>847.8470530.1.428200.000000.847010.200179</t>
  </si>
  <si>
    <t>847.8470530.1.428200.000000.847010.000000</t>
  </si>
  <si>
    <t>847.8470720.1.428200.000000.847001.200179</t>
  </si>
  <si>
    <t>Sponsorship expenses/contributions</t>
  </si>
  <si>
    <t>847.8470110.1.428400.000000.847001.200179</t>
  </si>
  <si>
    <t>847.8470110.1.428400.000000.847001.000000</t>
  </si>
  <si>
    <t>847.8471130.1.428400.000000.847001.200179</t>
  </si>
  <si>
    <t>847.8470140.1.428640.000000.847001.000000</t>
  </si>
  <si>
    <t>847.8470230.1.428640.000000.847001.200179</t>
  </si>
  <si>
    <t>847.8470230.1.428640.000000.847001.000000</t>
  </si>
  <si>
    <t>847.8470305.1.428640.000000.847001.200179</t>
  </si>
  <si>
    <t>847.8470415.1.428640.000000.847001.200179</t>
  </si>
  <si>
    <t>847.8471240.1.428640.000000.847001.200179</t>
  </si>
  <si>
    <t>847.8471240.1.428640.000000.847001.000000</t>
  </si>
  <si>
    <t>847.8471280.1.428640.000000.847001.200179</t>
  </si>
  <si>
    <t>Other services, not specifically mentioned elsewhere</t>
  </si>
  <si>
    <t>847.8470530.1.429900.000000.847010.200179</t>
  </si>
  <si>
    <t>Rental - Buildings, other than staff residences</t>
  </si>
  <si>
    <t>847.8470310.1.430120.000000.847001.200179</t>
  </si>
  <si>
    <t>Rental - Equipment</t>
  </si>
  <si>
    <t>847.8470810.1.430230.000000.847001.200179</t>
  </si>
  <si>
    <t>847.8470810.1.430230.000000.847001.000000</t>
  </si>
  <si>
    <t>847.8471210.1.430230.000000.847001.000000</t>
  </si>
  <si>
    <t>847.8471260.1.430230.000000.847001.200179</t>
  </si>
  <si>
    <t>Rental - Motor vehicles</t>
  </si>
  <si>
    <t>847.8470530.1.430330.000000.847010.200179</t>
  </si>
  <si>
    <t>847.8470530.1.430330.000000.847010.000000</t>
  </si>
  <si>
    <t>847.8470530.1.430330.000000.847020.200179</t>
  </si>
  <si>
    <t>847.8470530.1.430330.000000.847030.000000</t>
  </si>
  <si>
    <t>847.8470620.1.430330.000000.847001.000000</t>
  </si>
  <si>
    <t>847.8471160.1.430330.000000.847001.200179</t>
  </si>
  <si>
    <t>847.8471160.1.430330.000000.847001.000000</t>
  </si>
  <si>
    <t>Bldg maintenance-Business premises</t>
  </si>
  <si>
    <t>847.8470350.1.432120.000000.847001.000000</t>
  </si>
  <si>
    <t>847.8470450.1.432120.000000.847001.000000</t>
  </si>
  <si>
    <t>847.8470520.1.432120.000000.847001.000000</t>
  </si>
  <si>
    <t>847.8470530.1.432120.000000.847010.200179</t>
  </si>
  <si>
    <t>847.8470530.1.432120.000000.847010.000000</t>
  </si>
  <si>
    <t>847.8470530.1.432120.000000.847015.200179</t>
  </si>
  <si>
    <t>847.8470530.1.432120.000000.847020.200179</t>
  </si>
  <si>
    <t>847.8470530.1.432120.000000.847020.000000</t>
  </si>
  <si>
    <t>847.8470530.1.432120.000000.847030.200179</t>
  </si>
  <si>
    <t>847.8470530.1.432120.000000.847030.000000</t>
  </si>
  <si>
    <t>KUST - Administration</t>
  </si>
  <si>
    <t>847.8470540.1.432120.000000.847010.200179</t>
  </si>
  <si>
    <t>847.8470540.1.432120.000000.847020.200179</t>
  </si>
  <si>
    <t>847.8470810.1.432120.000000.847001.000000</t>
  </si>
  <si>
    <t>847.8471160.1.432120.000000.847001.200179</t>
  </si>
  <si>
    <t>847.8471160.1.432120.000000.847001.000000</t>
  </si>
  <si>
    <t>847.8471210.1.432120.000000.847001.000000</t>
  </si>
  <si>
    <t>847.8471260.1.432120.000000.847001.200179</t>
  </si>
  <si>
    <t>Bldg decoration &amp; minor improvements</t>
  </si>
  <si>
    <t>847.8470530.1.432170.000000.847010.200179</t>
  </si>
  <si>
    <t>847.8470530.1.432170.000000.847010.000000</t>
  </si>
  <si>
    <t>847.8470530.1.432170.000000.847020.000000</t>
  </si>
  <si>
    <t>847.8470530.1.432170.000000.847030.200179</t>
  </si>
  <si>
    <t>847.8470530.1.432170.000000.847030.000000</t>
  </si>
  <si>
    <t>847.8471280.1.432170.000000.847001.200179</t>
  </si>
  <si>
    <t>847.8470730.1.432205.000000.847001.200179</t>
  </si>
  <si>
    <t>847.8470810.1.432205.000000.847001.200179</t>
  </si>
  <si>
    <t>847.8470810.1.432205.000000.847001.000000</t>
  </si>
  <si>
    <t>847.8470305.1.432209.000000.847001.200179</t>
  </si>
  <si>
    <t>847.8470305.1.432209.000000.847001.000000</t>
  </si>
  <si>
    <t>847.8470315.1.432209.000000.847001.200179</t>
  </si>
  <si>
    <t>847.8470350.1.432209.000000.847001.200179</t>
  </si>
  <si>
    <t>847.8470350.1.432209.000000.847001.000000</t>
  </si>
  <si>
    <t>847.8470405.1.432209.000000.847001.200179</t>
  </si>
  <si>
    <t>847.8470405.1.432209.000000.847001.000000</t>
  </si>
  <si>
    <t>847.8470415.1.432209.000000.847001.200179</t>
  </si>
  <si>
    <t>847.8470450.1.432209.000000.847001.200179</t>
  </si>
  <si>
    <t>847.8470450.1.432209.000000.847001.000000</t>
  </si>
  <si>
    <t>847.8471160.1.432209.000000.847001.200179</t>
  </si>
  <si>
    <t>847.8471160.1.432209.000000.847001.000000</t>
  </si>
  <si>
    <t>Residential Furniture and fixtures</t>
  </si>
  <si>
    <t>847.8470530.1.432320.000000.847010.200179</t>
  </si>
  <si>
    <t>Motor vehicles (non-military)</t>
  </si>
  <si>
    <t>847.8470530.1.432540.000000.847010.200179</t>
  </si>
  <si>
    <t>847.8470530.1.432540.000000.847010.000000</t>
  </si>
  <si>
    <t>847.8470530.1.432540.000000.847020.200179</t>
  </si>
  <si>
    <t>847.8470530.1.432540.000000.847020.000000</t>
  </si>
  <si>
    <t>Plant, machinery and heavy equipment, not mentioned elsewhere</t>
  </si>
  <si>
    <t>847.8470305.1.432690.000000.847001.200179</t>
  </si>
  <si>
    <t>847.8470305.1.432690.000000.847001.000000</t>
  </si>
  <si>
    <t>847.8470530.1.432690.000000.847010.000000</t>
  </si>
  <si>
    <t>847.8470110.1.435310.000000.847001.200179</t>
  </si>
  <si>
    <t>847.8470110.1.435310.000000.847001.000000</t>
  </si>
  <si>
    <t>847.8470140.1.435310.000000.847001.200179</t>
  </si>
  <si>
    <t>847.8470140.1.435310.000000.847001.000000</t>
  </si>
  <si>
    <t>847.8470530.1.435310.000000.847010.000000</t>
  </si>
  <si>
    <t>847.8470530.1.435310.000000.847020.000000</t>
  </si>
  <si>
    <t>847.8470530.1.435310.000000.847030.000000</t>
  </si>
  <si>
    <t>847.8470620.1.435310.000000.847001.000000</t>
  </si>
  <si>
    <t>847.8471110.1.435310.000000.847001.000000</t>
  </si>
  <si>
    <t>847.8471150.1.435310.000000.847001.200179</t>
  </si>
  <si>
    <t>847.8471150.1.435310.000000.847001.000000</t>
  </si>
  <si>
    <t>847.8471270.1.435310.000000.847001.200179</t>
  </si>
  <si>
    <t>847.8471270.1.435310.000000.847001.000000</t>
  </si>
  <si>
    <t>847.8471270.1.435330.000000.847001.200179</t>
  </si>
  <si>
    <t>847.8471270.1.435330.000000.847001.000000</t>
  </si>
  <si>
    <t>847.8470230.1.435340.000000.847001.000000</t>
  </si>
  <si>
    <t>847.8470305.1.435340.000000.847001.000000</t>
  </si>
  <si>
    <t>847.8470330.1.435340.000000.847001.200179</t>
  </si>
  <si>
    <t>847.8470350.1.435340.000000.847001.000000</t>
  </si>
  <si>
    <t>847.8471220.1.435340.000000.847001.200179</t>
  </si>
  <si>
    <t>847.8471220.1.435340.000000.847001.000000</t>
  </si>
  <si>
    <t>Academic Publications</t>
  </si>
  <si>
    <t>847.8470305.1.435350.000000.847001.200179</t>
  </si>
  <si>
    <t>847.8470310.1.435350.000000.847001.200179</t>
  </si>
  <si>
    <t>847.8470315.1.435350.000000.847001.000000</t>
  </si>
  <si>
    <t>847.8470320.1.435350.000000.847001.200179</t>
  </si>
  <si>
    <t>847.8470320.1.435350.000000.847001.000000</t>
  </si>
  <si>
    <t>847.8470330.1.435350.000000.847001.200179</t>
  </si>
  <si>
    <t>847.8470330.1.435350.000000.847001.000000</t>
  </si>
  <si>
    <t>847.8470335.1.435350.000000.847001.200179</t>
  </si>
  <si>
    <t>847.8470340.1.435350.000000.847001.200179</t>
  </si>
  <si>
    <t>847.8470345.1.435350.000000.847001.200179</t>
  </si>
  <si>
    <t>847.8470350.1.435350.000000.847001.200179</t>
  </si>
  <si>
    <t>847.8470405.1.435350.000000.847001.200179</t>
  </si>
  <si>
    <t>847.8470405.1.435350.000000.847001.000000</t>
  </si>
  <si>
    <t>847.8470415.1.435350.000000.847001.200179</t>
  </si>
  <si>
    <t>847.8470415.1.435350.000000.847001.000000</t>
  </si>
  <si>
    <t>847.8470420.1.435350.000000.847001.000000</t>
  </si>
  <si>
    <t>847.8470425.1.435350.000000.847001.200179</t>
  </si>
  <si>
    <t>847.8470440.1.435350.000000.847001.000000</t>
  </si>
  <si>
    <t>847.8470450.1.435350.000000.847001.200179</t>
  </si>
  <si>
    <t>847.8470450.1.435350.000000.847001.000000</t>
  </si>
  <si>
    <t>847.8470110.1.435410.000000.847001.000000</t>
  </si>
  <si>
    <t>847.8470530.1.435410.000000.847020.000000</t>
  </si>
  <si>
    <t>847.8470720.1.435410.000000.847001.200179</t>
  </si>
  <si>
    <t>847.8470720.1.435410.000000.847001.000000</t>
  </si>
  <si>
    <t>847.8471210.1.435410.000000.847001.000000</t>
  </si>
  <si>
    <t>847.8471260.1.435410.000000.847001.200179</t>
  </si>
  <si>
    <t>KU - Research Support</t>
  </si>
  <si>
    <t>ADRIC</t>
  </si>
  <si>
    <t>843.8431020.1.435508.000000.843006.000000</t>
  </si>
  <si>
    <t>847.8470305.1.435508.000000.847001.200179</t>
  </si>
  <si>
    <t>847.8470310.1.435508.000000.847001.200179</t>
  </si>
  <si>
    <t>847.8470310.1.435508.000000.847001.000000</t>
  </si>
  <si>
    <t>847.8470315.1.435508.000000.847001.200179</t>
  </si>
  <si>
    <t>847.8470315.1.435508.000000.847001.000000</t>
  </si>
  <si>
    <t>847.8470320.1.435508.000000.847001.200179</t>
  </si>
  <si>
    <t>847.8470320.1.435508.000000.847001.000000</t>
  </si>
  <si>
    <t>847.8470325.1.435508.000000.847001.200179</t>
  </si>
  <si>
    <t>847.8470325.1.435508.000000.847001.000000</t>
  </si>
  <si>
    <t>847.8470330.1.435508.000000.847001.200179</t>
  </si>
  <si>
    <t>847.8470330.1.435508.000000.847001.000000</t>
  </si>
  <si>
    <t>847.8470335.1.435508.000000.847001.200179</t>
  </si>
  <si>
    <t>847.8470335.1.435508.000000.847001.000000</t>
  </si>
  <si>
    <t>847.8470340.1.435508.000000.847001.200179</t>
  </si>
  <si>
    <t>847.8470340.1.435508.000000.847001.000000</t>
  </si>
  <si>
    <t>847.8470345.1.435508.000000.847001.200179</t>
  </si>
  <si>
    <t>847.8470345.1.435508.000000.847001.000000</t>
  </si>
  <si>
    <t>847.8470350.1.435508.000000.847001.200179</t>
  </si>
  <si>
    <t>847.8470350.1.435508.000000.847001.000000</t>
  </si>
  <si>
    <t>847.8470405.1.435508.000000.847001.000000</t>
  </si>
  <si>
    <t>847.8470415.1.435508.000000.847001.200179</t>
  </si>
  <si>
    <t>847.8470415.1.435508.000000.847001.000000</t>
  </si>
  <si>
    <t>847.8470425.1.435508.000000.847001.200179</t>
  </si>
  <si>
    <t>847.8470430.1.435508.000000.847001.200179</t>
  </si>
  <si>
    <t>847.8470430.1.435508.000000.847001.000000</t>
  </si>
  <si>
    <t>847.8470450.1.435508.000000.847001.200179</t>
  </si>
  <si>
    <t>847.8470450.1.435508.000000.847001.000000</t>
  </si>
  <si>
    <t>847.8470530.1.435508.000000.847010.000000</t>
  </si>
  <si>
    <t>847.8470530.1.435508.000000.847020.200179</t>
  </si>
  <si>
    <t>847.8470530.1.435508.000000.847030.200179</t>
  </si>
  <si>
    <t>847.8471110.1.435508.000000.847001.000000</t>
  </si>
  <si>
    <t>847.8471130.1.435508.000000.847001.000000</t>
  </si>
  <si>
    <t>847.8471160.1.435508.000000.847001.200179</t>
  </si>
  <si>
    <t>847.8471160.1.435508.000000.847001.000000</t>
  </si>
  <si>
    <t>847.8471240.1.435508.000000.847001.000000</t>
  </si>
  <si>
    <t>Landscaping and other horticulture</t>
  </si>
  <si>
    <t>847.8470530.1.435510.000000.847010.200179</t>
  </si>
  <si>
    <t>847.8470530.1.435510.000000.847010.000000</t>
  </si>
  <si>
    <t>847.8470530.1.435510.000000.847020.200179</t>
  </si>
  <si>
    <t>847.8470530.1.435510.000000.847020.000000</t>
  </si>
  <si>
    <t>847.8470530.1.435510.000000.847030.200179</t>
  </si>
  <si>
    <t>847.8470140.1.435519.000000.847001.200179</t>
  </si>
  <si>
    <t>Scientific</t>
  </si>
  <si>
    <t>847.8470910.1.435523.000000.847001.000000</t>
  </si>
  <si>
    <t>847.8471130.1.435523.000000.847001.200179</t>
  </si>
  <si>
    <t>847.8471130.1.435523.000000.847001.000000</t>
  </si>
  <si>
    <t>847.8471140.1.435523.000000.847001.200179</t>
  </si>
  <si>
    <t>KUST - Gas Research Center Office</t>
  </si>
  <si>
    <t>KUST - GRC Operations</t>
  </si>
  <si>
    <t>847.8477010.1.435523.000000.847040.000000</t>
  </si>
  <si>
    <t>847.8471280.1.435530.000000.847001.200179</t>
  </si>
  <si>
    <t>847.8471280.1.435530.000000.847001.000000</t>
  </si>
  <si>
    <t>Fuel, oil and lubricants: Motor vehicles</t>
  </si>
  <si>
    <t>847.8470530.1.435740.000000.847010.200179</t>
  </si>
  <si>
    <t>847.8470530.1.435740.000000.847010.000000</t>
  </si>
  <si>
    <t>847.8470530.1.435740.000000.847020.200179</t>
  </si>
  <si>
    <t>847.8470530.1.435740.000000.847020.000000</t>
  </si>
  <si>
    <t>847.8470530.1.435740.000000.847030.000000</t>
  </si>
  <si>
    <t>847.8470140.1.436110.000000.847001.000000</t>
  </si>
  <si>
    <t>847.8470230.1.436110.000000.847001.200179</t>
  </si>
  <si>
    <t>847.8470230.1.436110.000000.847001.000000</t>
  </si>
  <si>
    <t>847.8470310.1.436110.000000.847001.000000</t>
  </si>
  <si>
    <t>847.8470325.1.436110.000000.847001.200179</t>
  </si>
  <si>
    <t>847.8470335.1.436110.000000.847001.200179</t>
  </si>
  <si>
    <t>847.8470345.1.436110.000000.847001.200179</t>
  </si>
  <si>
    <t>847.8470350.1.436110.000000.847001.200179</t>
  </si>
  <si>
    <t>847.8470415.1.436110.000000.847001.000000</t>
  </si>
  <si>
    <t>847.8470530.1.436110.000000.847010.200179</t>
  </si>
  <si>
    <t>847.8470530.1.436110.000000.847020.200179</t>
  </si>
  <si>
    <t>847.8470620.1.436110.000000.847001.200179</t>
  </si>
  <si>
    <t>847.8470620.1.436110.000000.847001.000000</t>
  </si>
  <si>
    <t>847.8470720.1.436110.000000.847001.200179</t>
  </si>
  <si>
    <t>847.8470720.1.436110.000000.847001.000000</t>
  </si>
  <si>
    <t>847.8470730.1.436110.000000.847001.200179</t>
  </si>
  <si>
    <t>847.8470730.1.436110.000000.847001.000000</t>
  </si>
  <si>
    <t>847.8471210.1.436110.000000.847001.000000</t>
  </si>
  <si>
    <t>847.8471220.1.436110.000000.847001.200179</t>
  </si>
  <si>
    <t>847.8471240.1.436110.000000.847001.200179</t>
  </si>
  <si>
    <t>847.8471240.1.436110.000000.847001.000000</t>
  </si>
  <si>
    <t>847.8471250.1.436110.000000.847001.200179</t>
  </si>
  <si>
    <t>847.8471250.1.436110.000000.847001.000000</t>
  </si>
  <si>
    <t>847.8471260.1.436110.000000.847001.200179</t>
  </si>
  <si>
    <t>847.8471270.1.436110.000000.847001.000000</t>
  </si>
  <si>
    <t>847.8470530.1.436120.000000.847020.200179</t>
  </si>
  <si>
    <t>847.8470530.1.436120.000000.847020.000000</t>
  </si>
  <si>
    <t>847.8470620.1.436120.000000.847001.200179</t>
  </si>
  <si>
    <t>847.8470620.1.436120.000000.847001.000000</t>
  </si>
  <si>
    <t>847.8470720.1.436120.000000.847001.200179</t>
  </si>
  <si>
    <t>847.8470720.1.436120.000000.847001.000000</t>
  </si>
  <si>
    <t>847.8470810.1.436120.000000.847001.200179</t>
  </si>
  <si>
    <t>847.8470810.1.436120.000000.847001.000000</t>
  </si>
  <si>
    <t>847.8471130.1.436120.000000.847001.000000</t>
  </si>
  <si>
    <t>847.8471220.1.436120.000000.847001.200179</t>
  </si>
  <si>
    <t>847.8471240.1.436120.000000.847001.200179</t>
  </si>
  <si>
    <t>847.8471240.1.436120.000000.847001.000000</t>
  </si>
  <si>
    <t>847.8471270.1.436120.000000.847001.200179</t>
  </si>
  <si>
    <t>847.8471270.1.436120.000000.847001.000000</t>
  </si>
  <si>
    <t>Road signs</t>
  </si>
  <si>
    <t>847.8470530.1.436220.000000.847010.200179</t>
  </si>
  <si>
    <t>Training/Teaching equipment and other educational aid</t>
  </si>
  <si>
    <t>847.8470110.1.436600.000000.847001.000000</t>
  </si>
  <si>
    <t>847.8470310.1.436600.000000.847001.200179</t>
  </si>
  <si>
    <t>847.8470310.1.436600.000000.847001.000000</t>
  </si>
  <si>
    <t>847.8470315.1.436600.000000.847001.000000</t>
  </si>
  <si>
    <t>847.8470320.1.436600.000000.847001.000000</t>
  </si>
  <si>
    <t>847.8470325.1.436600.000000.847001.000000</t>
  </si>
  <si>
    <t>847.8470330.1.436600.000000.847001.000000</t>
  </si>
  <si>
    <t>847.8470335.1.436600.000000.847001.200179</t>
  </si>
  <si>
    <t>847.8470335.1.436600.000000.847001.000000</t>
  </si>
  <si>
    <t>847.8470340.1.436600.000000.847001.200179</t>
  </si>
  <si>
    <t>847.8470340.1.436600.000000.847001.000000</t>
  </si>
  <si>
    <t>847.8470345.1.436600.000000.847001.000000</t>
  </si>
  <si>
    <t>847.8470350.1.436600.000000.847001.000000</t>
  </si>
  <si>
    <t>847.8470405.1.436600.000000.847001.000000</t>
  </si>
  <si>
    <t>847.8470415.1.436600.000000.847001.000000</t>
  </si>
  <si>
    <t>847.8470430.1.436600.000000.847001.200179</t>
  </si>
  <si>
    <t>847.8470430.1.436600.000000.847001.000000</t>
  </si>
  <si>
    <t>847.8470435.1.436600.000000.847001.000000</t>
  </si>
  <si>
    <t>847.8470440.1.436600.000000.847001.200179</t>
  </si>
  <si>
    <t>847.8470450.1.436600.000000.847001.200179</t>
  </si>
  <si>
    <t>847.8470450.1.436600.000000.847001.000000</t>
  </si>
  <si>
    <t>847.8470325.1.492200.000000.847001.300180</t>
  </si>
  <si>
    <t>847.8470530.1.492200.000000.847010.300180</t>
  </si>
  <si>
    <t>847.8470530.1.492200.000000.847010.000000</t>
  </si>
  <si>
    <t>847.8470530.1.492200.000000.847020.300180</t>
  </si>
  <si>
    <t>847.8470530.1.492200.000000.847020.000000</t>
  </si>
  <si>
    <t>847.8470530.1.492200.000000.847030.300180</t>
  </si>
  <si>
    <t>847.8470530.1.492200.000000.847030.000000</t>
  </si>
  <si>
    <t>847.8471260.1.492200.000000.847001.300180</t>
  </si>
  <si>
    <t>847.8470810.1.492310.000000.847001.300180</t>
  </si>
  <si>
    <t>847.8470810.1.492310.000000.847001.000000</t>
  </si>
  <si>
    <t>847.8470110.1.492316.000000.847001.300180</t>
  </si>
  <si>
    <t>847.8470110.1.492316.000000.847001.000000</t>
  </si>
  <si>
    <t>KUST - Office of the Provost</t>
  </si>
  <si>
    <t>847.8470220.1.492316.000000.847001.300180</t>
  </si>
  <si>
    <t>847.8470305.1.492316.000000.847001.300180</t>
  </si>
  <si>
    <t>847.8470305.1.492316.000000.847001.000000</t>
  </si>
  <si>
    <t>847.8470310.1.492316.000000.847001.300180</t>
  </si>
  <si>
    <t>847.8470310.1.492316.000000.847001.000000</t>
  </si>
  <si>
    <t>847.8470315.1.492316.000000.847001.300180</t>
  </si>
  <si>
    <t>847.8470315.1.492316.000000.847001.000000</t>
  </si>
  <si>
    <t>847.8470320.1.492316.000000.847001.300180</t>
  </si>
  <si>
    <t>847.8470320.1.492316.000000.847001.000000</t>
  </si>
  <si>
    <t>847.8470325.1.492316.000000.847001.300180</t>
  </si>
  <si>
    <t>847.8470325.1.492316.000000.847001.000000</t>
  </si>
  <si>
    <t>847.8470330.1.492316.000000.847001.300180</t>
  </si>
  <si>
    <t>847.8470330.1.492316.000000.847001.000000</t>
  </si>
  <si>
    <t>847.8470335.1.492316.000000.847001.300180</t>
  </si>
  <si>
    <t>847.8470335.1.492316.000000.847001.000000</t>
  </si>
  <si>
    <t>847.8470340.1.492316.000000.847001.300180</t>
  </si>
  <si>
    <t>847.8470340.1.492316.000000.847001.000000</t>
  </si>
  <si>
    <t>847.8470345.1.492316.000000.847001.300180</t>
  </si>
  <si>
    <t>847.8470345.1.492316.000000.847001.000000</t>
  </si>
  <si>
    <t>847.8470350.1.492316.000000.847001.300180</t>
  </si>
  <si>
    <t>847.8470350.1.492316.000000.847001.000000</t>
  </si>
  <si>
    <t>847.8470405.1.492316.000000.847001.300180</t>
  </si>
  <si>
    <t>847.8470415.1.492316.000000.847001.300180</t>
  </si>
  <si>
    <t>847.8470415.1.492316.000000.847001.000000</t>
  </si>
  <si>
    <t>847.8470420.1.492316.000000.847001.300180</t>
  </si>
  <si>
    <t>847.8470420.1.492316.000000.847001.000000</t>
  </si>
  <si>
    <t>847.8470425.1.492316.000000.847001.300180</t>
  </si>
  <si>
    <t>847.8470425.1.492316.000000.847001.000000</t>
  </si>
  <si>
    <t>847.8470430.1.492316.000000.847001.300180</t>
  </si>
  <si>
    <t>847.8470430.1.492316.000000.847001.000000</t>
  </si>
  <si>
    <t>847.8470445.1.492316.000000.847001.000000</t>
  </si>
  <si>
    <t>847.8470450.1.492316.000000.847001.000000</t>
  </si>
  <si>
    <t>847.8470520.1.492316.000000.847001.300180</t>
  </si>
  <si>
    <t>847.8470530.1.492316.000000.847010.000000</t>
  </si>
  <si>
    <t>847.8470530.1.492316.000000.847020.000000</t>
  </si>
  <si>
    <t>847.8470530.1.492316.000000.847030.300180</t>
  </si>
  <si>
    <t>847.8470620.1.492316.000000.847001.000000</t>
  </si>
  <si>
    <t>847.8470810.1.492316.000000.847001.300180</t>
  </si>
  <si>
    <t>847.8470810.1.492316.000000.847001.000000</t>
  </si>
  <si>
    <t>847.8471110.1.492316.000000.847001.300180</t>
  </si>
  <si>
    <t>847.8471110.1.492316.000000.847001.000000</t>
  </si>
  <si>
    <t>847.8471130.1.492316.000000.847001.300180</t>
  </si>
  <si>
    <t>847.8471130.1.492316.000000.847001.000000</t>
  </si>
  <si>
    <t>847.8471140.1.492316.000000.847001.300180</t>
  </si>
  <si>
    <t>847.8471160.1.492316.000000.847001.300180</t>
  </si>
  <si>
    <t>847.8471160.1.492316.000000.847001.000000</t>
  </si>
  <si>
    <t>847.8471170.1.492316.000000.847001.300180</t>
  </si>
  <si>
    <t>847.8471210.1.492316.000000.847001.000000</t>
  </si>
  <si>
    <t>847.8471230.1.492316.000000.847001.000000</t>
  </si>
  <si>
    <t>847.8471270.1.492316.000000.847001.000000</t>
  </si>
  <si>
    <t>847.8477010.1.492316.000000.847040.000000</t>
  </si>
  <si>
    <t>847.8470530.1.492610.000000.847010.300180</t>
  </si>
  <si>
    <t>847.8470530.1.492610.000000.847020.300180</t>
  </si>
  <si>
    <t>847.8470530.1.492610.000000.847020.000000</t>
  </si>
  <si>
    <t>847.8470530.1.492610.000000.847030.300180</t>
  </si>
  <si>
    <t>847.8470530.1.492610.000000.847030.000000</t>
  </si>
  <si>
    <t>847.8471260.1.492610.000000.847001.300180</t>
  </si>
  <si>
    <t>Copyrights, patents and licenses</t>
  </si>
  <si>
    <t>847.8470325.1.495140.000000.847001.000000</t>
  </si>
  <si>
    <t>847.8470340.1.495140.000000.847001.300180</t>
  </si>
  <si>
    <t>847.8470340.1.495140.000000.847001.000000</t>
  </si>
  <si>
    <t>847.8470440.1.495140.000000.847001.300180</t>
  </si>
  <si>
    <t>847.8470530.1.495140.000000.847010.300180</t>
  </si>
  <si>
    <t>847.8470620.1.495140.000000.847001.000000</t>
  </si>
  <si>
    <t>847.8470730.1.495140.000000.847001.300180</t>
  </si>
  <si>
    <t>847.8470810.1.495140.000000.847001.000000</t>
  </si>
  <si>
    <t>847.8471130.1.495140.000000.847001.300180</t>
  </si>
  <si>
    <t>Communiction &amp; Marketing</t>
  </si>
  <si>
    <t>Finance</t>
  </si>
  <si>
    <t xml:space="preserve">Academic </t>
  </si>
  <si>
    <t>Research</t>
  </si>
  <si>
    <t>Facilities</t>
  </si>
  <si>
    <t>847.8470110.1.420570.000000.847001.200179</t>
  </si>
  <si>
    <t>847.8470110.1.421700.000000.847001.200179</t>
  </si>
  <si>
    <t>847.8470110.1.425100.000000.847001.200179</t>
  </si>
  <si>
    <t>847.8470110.1.425550.000000.847001.200179</t>
  </si>
  <si>
    <t>847.8470110.1.427900.000000.847001.200179</t>
  </si>
  <si>
    <t>847.8470110.1.428640.000000.847001.200179</t>
  </si>
  <si>
    <t>847.8470110.1.430330.000000.847001.200179</t>
  </si>
  <si>
    <t>847.8470110.1.435410.000000.847001.200179</t>
  </si>
  <si>
    <t>847.8470110.1.435519.000000.847001.200179</t>
  </si>
  <si>
    <t>847.8470110.1.435530.000000.847001.200179</t>
  </si>
  <si>
    <t>847.8470110.1.436110.000000.847001.200179</t>
  </si>
  <si>
    <t>847.8470130.1.428090.000000.847001.200179</t>
  </si>
  <si>
    <t>847.8470140.1.428640.000000.847001.200179</t>
  </si>
  <si>
    <t>847.8470150.1.425900.000000.847001.200179</t>
  </si>
  <si>
    <t>847.8470230.1.425744.000000.847001.200179</t>
  </si>
  <si>
    <t>847.8470230.1.425762.000000.847001.200179</t>
  </si>
  <si>
    <t>847.8470230.1.426610.000000.847001.200179</t>
  </si>
  <si>
    <t>847.8470305.1.420550.000000.847001.200179</t>
  </si>
  <si>
    <t>847.8470305.1.425762.000000.847001.200179</t>
  </si>
  <si>
    <t>847.8470305.1.428090.000000.847001.200179</t>
  </si>
  <si>
    <t>847.8470305.1.428400.000000.847001.200179</t>
  </si>
  <si>
    <t>847.8470305.1.430330.000000.847001.200179</t>
  </si>
  <si>
    <t>847.8470305.1.435530.000000.847001.200179</t>
  </si>
  <si>
    <t>847.8470305.1.436110.000000.847001.200179</t>
  </si>
  <si>
    <t>847.8470305.1.436600.000000.847001.200179</t>
  </si>
  <si>
    <t>847.8470310.1.420550.000000.847001.200179</t>
  </si>
  <si>
    <t>847.8470310.1.428090.000000.847001.200179</t>
  </si>
  <si>
    <t>847.8470310.1.436110.000000.847001.200179</t>
  </si>
  <si>
    <t>847.8470315.1.420550.000000.847001.200179</t>
  </si>
  <si>
    <t>847.8470315.1.435350.000000.847001.200179</t>
  </si>
  <si>
    <t>847.8470315.1.436110.000000.847001.200179</t>
  </si>
  <si>
    <t>847.8470315.1.436600.000000.847001.200179</t>
  </si>
  <si>
    <t>847.8470320.1.420550.000000.847001.200179</t>
  </si>
  <si>
    <t>847.8470320.1.425510.000000.847001.200179</t>
  </si>
  <si>
    <t>847.8470320.1.425760.000000.847001.200179</t>
  </si>
  <si>
    <t>847.8470320.1.436110.000000.847001.200179</t>
  </si>
  <si>
    <t>847.8470320.1.436600.000000.847001.200179</t>
  </si>
  <si>
    <t>847.8470325.1.435350.000000.847001.200179</t>
  </si>
  <si>
    <t>847.8470325.1.436600.000000.847001.200179</t>
  </si>
  <si>
    <t>847.8470330.1.428640.000000.847001.200179</t>
  </si>
  <si>
    <t>847.8470330.1.436110.000000.847001.200179</t>
  </si>
  <si>
    <t>847.8470330.1.436600.000000.847001.200179</t>
  </si>
  <si>
    <t>847.8470335.1.420550.000000.847001.200179</t>
  </si>
  <si>
    <t>847.8470340.1.420550.000000.847001.200179</t>
  </si>
  <si>
    <t>847.8470340.1.436110.000000.847001.200179</t>
  </si>
  <si>
    <t>847.8470345.1.425510.000000.847001.200179</t>
  </si>
  <si>
    <t>847.8470345.1.425760.000000.847001.200179</t>
  </si>
  <si>
    <t>847.8470345.1.436600.000000.847001.200179</t>
  </si>
  <si>
    <t>847.8470350.1.420550.000000.847001.200179</t>
  </si>
  <si>
    <t>847.8470350.1.435340.000000.847001.200179</t>
  </si>
  <si>
    <t>847.8470350.1.436600.000000.847001.200179</t>
  </si>
  <si>
    <t>847.8470410.1.420570.000000.847001.200179</t>
  </si>
  <si>
    <t>847.8470410.1.425100.000000.847001.200179</t>
  </si>
  <si>
    <t>847.8470410.1.426610.000000.847001.200179</t>
  </si>
  <si>
    <t>847.8470410.1.428640.000000.847001.200179</t>
  </si>
  <si>
    <t>847.8470415.1.425510.000000.847001.200179</t>
  </si>
  <si>
    <t>847.8470415.1.425760.000000.847001.200179</t>
  </si>
  <si>
    <t>847.8470415.1.435519.000000.847001.200179</t>
  </si>
  <si>
    <t>847.8470415.1.436110.000000.847001.200179</t>
  </si>
  <si>
    <t>847.8470415.1.495140.000000.847001.300180</t>
  </si>
  <si>
    <t>847.8470425.1.420550.000000.847001.200179</t>
  </si>
  <si>
    <t>847.8470425.1.425510.000000.847001.200179</t>
  </si>
  <si>
    <t>847.8470425.1.428090.000000.847001.200179</t>
  </si>
  <si>
    <t>847.8470430.1.425746.000000.847001.200179</t>
  </si>
  <si>
    <t>847.8470430.1.425761.000000.847001.200179</t>
  </si>
  <si>
    <t>847.8470430.1.428640.000000.847001.200179</t>
  </si>
  <si>
    <t>847.8470435.1.425510.000000.847001.200179</t>
  </si>
  <si>
    <t>847.8470435.1.425761.000000.847001.200179</t>
  </si>
  <si>
    <t>847.8470435.1.425900.000000.847001.200179</t>
  </si>
  <si>
    <t>847.8470435.1.426610.000000.847001.200179</t>
  </si>
  <si>
    <t>847.8470435.1.427710.000000.847001.200179</t>
  </si>
  <si>
    <t>847.8470435.1.428090.000000.847001.200179</t>
  </si>
  <si>
    <t>847.8470435.1.435340.000000.847001.200179</t>
  </si>
  <si>
    <t>847.8470435.1.436600.000000.847001.200179</t>
  </si>
  <si>
    <t>847.8470435.1.492316.000000.847001.300180</t>
  </si>
  <si>
    <t>847.8470440.1.420570.000000.847001.200179</t>
  </si>
  <si>
    <t>847.8470440.1.428640.000000.847001.200179</t>
  </si>
  <si>
    <t>847.8470440.1.435340.000000.847001.200179</t>
  </si>
  <si>
    <t>847.8470440.1.435350.000000.847001.200179</t>
  </si>
  <si>
    <t>847.8470445.1.426610.000000.847001.200179</t>
  </si>
  <si>
    <t>847.8470450.1.492316.000000.847001.300180</t>
  </si>
  <si>
    <t>847.8470520.1.426100.000000.847001.200179</t>
  </si>
  <si>
    <t>847.8470530.1.435410.000000.847020.200179</t>
  </si>
  <si>
    <t>847.8470620.1.426210.000000.847001.200179</t>
  </si>
  <si>
    <t>847.8470620.1.426220.000000.847001.200179</t>
  </si>
  <si>
    <t>847.8470620.1.426250.000000.847001.200179</t>
  </si>
  <si>
    <t>847.8470620.1.427900.000000.847001.200179</t>
  </si>
  <si>
    <t>847.8470620.1.430330.000000.847001.200179</t>
  </si>
  <si>
    <t>847.8470630.1.429900.000000.847001.200179</t>
  </si>
  <si>
    <t>847.8470810.1.495110.000000.847001.300180</t>
  </si>
  <si>
    <t>847.8470910.1.432205.000000.847001.200179</t>
  </si>
  <si>
    <t>847.8470910.1.492316.000000.847001.300180</t>
  </si>
  <si>
    <t>847.8471120.1.429900.000000.847001.200179</t>
  </si>
  <si>
    <t>847.8471121.1.425900.000000.847001.200179</t>
  </si>
  <si>
    <t>847.8471121.1.428090.000000.847001.200179</t>
  </si>
  <si>
    <t>847.8471121.1.429900.000000.847001.200179</t>
  </si>
  <si>
    <t>847.8471122.1.425900.000000.847001.200179</t>
  </si>
  <si>
    <t>847.8471122.1.428090.000000.847001.200179</t>
  </si>
  <si>
    <t>847.8471122.1.429900.000000.847001.200179</t>
  </si>
  <si>
    <t>847.8471130.1.426900.000000.847001.200179</t>
  </si>
  <si>
    <t>847.8471130.1.427710.000000.847001.200179</t>
  </si>
  <si>
    <t>847.8471130.1.427900.000000.847001.200179</t>
  </si>
  <si>
    <t>847.8471130.1.428111.000000.847001.200179</t>
  </si>
  <si>
    <t>847.8471130.1.436120.000000.847001.200179</t>
  </si>
  <si>
    <t>847.8471130.1.492200.000000.847001.300180</t>
  </si>
  <si>
    <t>847.8471140.1.426900.000000.847001.200179</t>
  </si>
  <si>
    <t>847.8471140.1.428640.000000.847001.200179</t>
  </si>
  <si>
    <t>847.8471150.1.425510.000000.847001.200179</t>
  </si>
  <si>
    <t>847.8471150.1.425550.000000.847001.200179</t>
  </si>
  <si>
    <t>847.8471160.1.426610.000000.847001.200179</t>
  </si>
  <si>
    <t>847.8471170.1.425900.000000.847001.200179</t>
  </si>
  <si>
    <t>847.8471210.1.425100.000000.847001.200179</t>
  </si>
  <si>
    <t>847.8471210.1.427100.000000.847001.200179</t>
  </si>
  <si>
    <t>847.8471210.1.428640.000000.847001.200179</t>
  </si>
  <si>
    <t>847.8471210.1.435530.000000.847001.200179</t>
  </si>
  <si>
    <t>847.8471220.1.425550.000000.847001.200179</t>
  </si>
  <si>
    <t>847.8471220.1.425900.000000.847001.200179</t>
  </si>
  <si>
    <t>847.8471240.1.426610.000000.847001.200179</t>
  </si>
  <si>
    <t>847.8471240.1.428090.000000.847001.200179</t>
  </si>
  <si>
    <t>847.8471240.1.435330.000000.847001.200179</t>
  </si>
  <si>
    <t>847.8471250.1.425741.000000.847001.200179</t>
  </si>
  <si>
    <t>847.8471250.1.425750.000000.847001.200179</t>
  </si>
  <si>
    <t>847.8471250.1.428090.000000.847001.200179</t>
  </si>
  <si>
    <t>847.8471250.1.428640.000000.847001.200179</t>
  </si>
  <si>
    <t>847.8471260.1.422100.000000.847001.200179</t>
  </si>
  <si>
    <t>847.8471260.1.425100.000000.847001.200179</t>
  </si>
  <si>
    <t>847.8471260.1.425740.000000.847001.200179</t>
  </si>
  <si>
    <t>847.8471260.1.426610.000000.847001.200179</t>
  </si>
  <si>
    <t>847.8471260.1.427100.000000.847001.200179</t>
  </si>
  <si>
    <t>847.8471260.1.428090.000000.847001.200179</t>
  </si>
  <si>
    <t>847.8471260.1.428640.000000.847001.200179</t>
  </si>
  <si>
    <t>847.8471260.1.432209.000000.847001.200179</t>
  </si>
  <si>
    <t>847.8471260.1.435530.000000.847001.200179</t>
  </si>
  <si>
    <t>847.8471260.1.436120.000000.847001.200179</t>
  </si>
  <si>
    <t>847.8471270.1.436110.000000.847001.200179</t>
  </si>
  <si>
    <t>847.8471280.1.425100.000000.847001.200179</t>
  </si>
  <si>
    <t>847.8471280.1.425550.000000.847001.200179</t>
  </si>
  <si>
    <t>847.8471280.1.425760.000000.847001.200179</t>
  </si>
  <si>
    <t>847.8471280.1.435340.000000.847001.200179</t>
  </si>
  <si>
    <t>847.8471280.1.492316.000000.847001.300180</t>
  </si>
  <si>
    <t>847.8471305.1.420570.000000.847001.200179</t>
  </si>
  <si>
    <t>847.8471305.1.422100.000000.847001.200179</t>
  </si>
  <si>
    <t>847.8471305.1.425746.000000.847001.200179</t>
  </si>
  <si>
    <t>847.8471305.1.426900.000000.847001.200179</t>
  </si>
  <si>
    <t>847.8471305.1.427100.000000.847001.200179</t>
  </si>
  <si>
    <t>847.8471305.1.427810.000000.847001.200179</t>
  </si>
  <si>
    <t>847.8471305.1.428400.000000.847001.200179</t>
  </si>
  <si>
    <t>847.8470130.1.427710.000000.847001.200179</t>
  </si>
  <si>
    <t>847.8470140.1.492310.000000.847001.300180</t>
  </si>
  <si>
    <t>847.8470315.1.435508.000000.847951.200179</t>
  </si>
  <si>
    <t>847.8470325.1.435509.000000.847001.200179</t>
  </si>
  <si>
    <t>847.8470340.1.432209.000000.847001.200179</t>
  </si>
  <si>
    <t>847.8470405.1.427710.000000.847001.200179</t>
  </si>
  <si>
    <t>847.8470425.1.426610.000000.847001.200179</t>
  </si>
  <si>
    <t>847.8470530.1.420310.000000.847015.200179</t>
  </si>
  <si>
    <t>847.8470530.1.421600.000000.847015.200179</t>
  </si>
  <si>
    <t>847.8470530.1.428112.000000.847030.200179</t>
  </si>
  <si>
    <t>847.8470530.1.432120.000000.847951.200179</t>
  </si>
  <si>
    <t>847.8470530.1.432540.000000.847001.200179</t>
  </si>
  <si>
    <t>847.8470530.1.436110.000000.847001.200179</t>
  </si>
  <si>
    <t>847.8470530.1.436220.000000.847020.200179</t>
  </si>
  <si>
    <t>847.8470530.1.492200.000000.847001.300180</t>
  </si>
  <si>
    <t>847.8470530.1.492200.000000.847015.300180</t>
  </si>
  <si>
    <t>847.8470530.1.492200.000000.847951.300180</t>
  </si>
  <si>
    <t>847.8470530.1.492316.000000.847010.300180</t>
  </si>
  <si>
    <t>847.8470530.1.492610.000000.847015.300180</t>
  </si>
  <si>
    <t>847.8470540.1.421100.000000.847010.200179</t>
  </si>
  <si>
    <t>847.8470540.1.432540.000000.847010.200179</t>
  </si>
  <si>
    <t>847.8470540.1.435410.000000.847020.200179</t>
  </si>
  <si>
    <t>847.8470730.1.427900.000000.847001.200179</t>
  </si>
  <si>
    <t>847.8470730.1.428640.000000.847001.200179</t>
  </si>
  <si>
    <t>847.8470810.1.427850.000000.847951.200179</t>
  </si>
  <si>
    <t>847.8471010.1.425100.000000.847001.200179</t>
  </si>
  <si>
    <t>847.8471010.1.425510.000000.847001.200179</t>
  </si>
  <si>
    <t>847.8471010.1.425550.000000.847001.200179</t>
  </si>
  <si>
    <t>847.8471010.1.425900.000000.847001.200179</t>
  </si>
  <si>
    <t>847.8471010.1.436110.000000.847001.200179</t>
  </si>
  <si>
    <t>847.8471010.1.436120.000000.847001.200179</t>
  </si>
  <si>
    <t>847.8471121.1.435523.000000.847001.200179</t>
  </si>
  <si>
    <t>847.8471140.1.420570.000000.847001.200179</t>
  </si>
  <si>
    <t>847.8471140.1.426610.000000.847001.200179</t>
  </si>
  <si>
    <t>847.8471160.1.492200.000000.847001.300180</t>
  </si>
  <si>
    <t>847.8471170.1.492310.000000.847001.300180</t>
  </si>
  <si>
    <t>847.8471170.1.495110.000000.847001.300180</t>
  </si>
  <si>
    <t>847.8471305.1.432210.000000.847001.200179</t>
  </si>
  <si>
    <t>847.8471305.1.495140.000000.847001.300180</t>
  </si>
  <si>
    <t>Widen access to students with outstanding academic potential</t>
  </si>
  <si>
    <t>Align academic programs with the local and global labor market needs</t>
  </si>
  <si>
    <t>Develop a new learning outcomes assessment framework at the course, programs, and institutional levels</t>
  </si>
  <si>
    <t xml:space="preserve">Develop holistic internship programs </t>
  </si>
  <si>
    <t>Develop a career guidance system</t>
  </si>
  <si>
    <t>Develop the university innovation and entrepreneurship system</t>
  </si>
  <si>
    <t xml:space="preserve">Develop a life-long culture of community service beyond the classroom </t>
  </si>
  <si>
    <t>Establish a mobility program for students, faculty, researchers and staff</t>
  </si>
  <si>
    <t>Align the postgraduates programs with the research strategy</t>
  </si>
  <si>
    <t>Develop a comprehensive competitive internal research funding program</t>
  </si>
  <si>
    <t>Diversify and increase external research funds</t>
  </si>
  <si>
    <t>Strengthen research ethical culture framework across the university</t>
  </si>
  <si>
    <t>Review and revise as needed the research strategic plan</t>
  </si>
  <si>
    <t>Attract and organize international conferences and summits</t>
  </si>
  <si>
    <t>Increase number of postgraduate students</t>
  </si>
  <si>
    <t>Develop a multidimensional program to attract and retain diverse outstanding students</t>
  </si>
  <si>
    <t>Recruit and retain high caliber faculty, researchers and staff</t>
  </si>
  <si>
    <t>Realize a sustainable , healthy and safe campus environment for all community members</t>
  </si>
  <si>
    <t>Enhance the communication plan and outreach activities</t>
  </si>
  <si>
    <t>Increase publications in journals with high impact factor</t>
  </si>
  <si>
    <t>Increase filed and issued patents in USPTO and PCT</t>
  </si>
  <si>
    <t>Build partnerships with local and international universities</t>
  </si>
  <si>
    <t>Develop competitive fellowship programs for students</t>
  </si>
  <si>
    <t>Establish and manage start-up companies</t>
  </si>
  <si>
    <t>Create diversified financial resources for self sustaining university</t>
  </si>
  <si>
    <t>Design and implement professional development programs for researchers, faculty, and  staff to contribute to the university strategic plan</t>
  </si>
  <si>
    <t xml:space="preserve">Ensure the university sustainability </t>
  </si>
  <si>
    <t>Utilize state-of-the-art technologies and facilities in an optimal and efficient manner</t>
  </si>
  <si>
    <t>Promote a working culture of excellence and accountability</t>
  </si>
  <si>
    <t>Provide reliable, accurate and timely reports to different stakeholders</t>
  </si>
  <si>
    <t>Develop and implement of performance management system across the university</t>
  </si>
  <si>
    <t>#</t>
  </si>
  <si>
    <t>Objectives</t>
  </si>
  <si>
    <t>Key Performance Indicators</t>
  </si>
  <si>
    <t>Target 2022</t>
  </si>
  <si>
    <t>Owner</t>
  </si>
  <si>
    <t xml:space="preserve">Total students enrolment </t>
  </si>
  <si>
    <t>Senior VP Academic and Student Services</t>
  </si>
  <si>
    <t>% of new established programs aligned to the global and local market needs starting from 2021</t>
  </si>
  <si>
    <t>Provost</t>
  </si>
  <si>
    <t>% of assessed programs learning outcomes</t>
  </si>
  <si>
    <t>EVP/Director IRP</t>
  </si>
  <si>
    <t xml:space="preserve">Number of experiential learning programs a student should attend before graduating
</t>
  </si>
  <si>
    <t>% of graduating students who are engaged in institutionalized career guidance sessions</t>
  </si>
  <si>
    <t>Innovation and entrepreneurship ecosystem</t>
  </si>
  <si>
    <t>Complete</t>
  </si>
  <si>
    <t>Number of community services activities</t>
  </si>
  <si>
    <t>% of the students participate in exchange programs annually</t>
  </si>
  <si>
    <t>% of the Faculty participate in exchange programs annually</t>
  </si>
  <si>
    <t>% of the staff participate in exchange programs annually</t>
  </si>
  <si>
    <t xml:space="preserve">EVP/Chief of Staff </t>
  </si>
  <si>
    <t>% of aligned postgraduate programs and research strategy</t>
  </si>
  <si>
    <t>% of faculty received internal research funds</t>
  </si>
  <si>
    <t>Senior VP Research and Development</t>
  </si>
  <si>
    <t>% of the external research expenditure from total expenditure on research</t>
  </si>
  <si>
    <t xml:space="preserve">Senior VP Research and Development/VP Finance </t>
  </si>
  <si>
    <t>% of the university staff attended training programs on research ethics</t>
  </si>
  <si>
    <t>Implementing the updated research strategic plan</t>
  </si>
  <si>
    <t>Number of conferences/summits per year</t>
  </si>
  <si>
    <t>% of postgraduate students from the total student enrolment</t>
  </si>
  <si>
    <t>% international  students</t>
  </si>
  <si>
    <t>% of the newly recruited faculty with h-5index &gt;= 4</t>
  </si>
  <si>
    <t>% compatibility with the national standards**</t>
  </si>
  <si>
    <t>SVP Support Services</t>
  </si>
  <si>
    <t>Update and enhance the Communication and marketing plan</t>
  </si>
  <si>
    <t>EVP/Director Marketing and Comm</t>
  </si>
  <si>
    <t>Average number of publications indexed in Scopus per faculty</t>
  </si>
  <si>
    <t>Number of annual registered patents</t>
  </si>
  <si>
    <t>Number of new strategic partnerships with international universities/per year</t>
  </si>
  <si>
    <t>EVP/Chief of Staff</t>
  </si>
  <si>
    <t>% of sponsored students by external entities</t>
  </si>
  <si>
    <t xml:space="preserve">Dean of Postgraduate School </t>
  </si>
  <si>
    <t>Total number of start-up companies that have spun out of KU projects/research</t>
  </si>
  <si>
    <t>% of the university revenue from external funding sources from total revenue</t>
  </si>
  <si>
    <t>% of the university human capital who received documented and structured training</t>
  </si>
  <si>
    <t xml:space="preserve">SVP support services/VP HR and Procurement Al Kathiri/Provost </t>
  </si>
  <si>
    <t>% of employed nationals out of the total number of employees</t>
  </si>
  <si>
    <t xml:space="preserve">SVP support services/VP HR and Procurement </t>
  </si>
  <si>
    <t>% utilization rate of the university facilities</t>
  </si>
  <si>
    <t xml:space="preserve">SVP Support Services/CEO Ankabut  and VP facilities </t>
  </si>
  <si>
    <t>Process excellence framework</t>
  </si>
  <si>
    <t xml:space="preserve">VP Finance </t>
  </si>
  <si>
    <t>Holistic university information system</t>
  </si>
  <si>
    <t xml:space="preserve">EVP/Director IRP and CEO Ankabut </t>
  </si>
  <si>
    <t xml:space="preserve">Automated performance management system </t>
  </si>
  <si>
    <t xml:space="preserve">EVP/Director IRP and CEO Ankabut  </t>
  </si>
  <si>
    <t>KUST - Masdar Institute</t>
  </si>
  <si>
    <t>College of Arts &amp; Science</t>
  </si>
  <si>
    <t>Administration, Facilities and EHS Office</t>
  </si>
  <si>
    <t xml:space="preserve">President's Office </t>
  </si>
  <si>
    <t>Continuing Education</t>
  </si>
  <si>
    <t>KUST - Continuing Educati</t>
  </si>
  <si>
    <t>Finance &amp; Business Development Office</t>
  </si>
  <si>
    <t>College of Engineering</t>
  </si>
  <si>
    <t>Information Technology/ANKABUT</t>
  </si>
  <si>
    <t>Academic and Student Services Office</t>
  </si>
  <si>
    <t>Graduate Studies</t>
  </si>
  <si>
    <t>HR &amp; Procurement Office</t>
  </si>
  <si>
    <t>Senior Vice President, Research Office</t>
  </si>
  <si>
    <t xml:space="preserve">KUST - University Sponsored Research </t>
  </si>
  <si>
    <t>KUST - Petroleum Institute</t>
  </si>
  <si>
    <t>College of Medicine &amp; Health Sciences</t>
  </si>
  <si>
    <t>Executive Vice President Office</t>
  </si>
  <si>
    <t>KUST - Industry Engagement &amp; Research Partnerships</t>
  </si>
  <si>
    <t>kust-Institute for Automation , Information Science and Communication</t>
  </si>
  <si>
    <t>kust- Masdar Institute</t>
  </si>
  <si>
    <t/>
  </si>
  <si>
    <t>Cost Center</t>
  </si>
  <si>
    <t>Cost Center Grouping</t>
  </si>
  <si>
    <t>No Applicable</t>
  </si>
  <si>
    <t>Legal and professional fees</t>
  </si>
  <si>
    <t>Consultancy</t>
  </si>
  <si>
    <t>Outsourcing</t>
  </si>
  <si>
    <t>Events</t>
  </si>
  <si>
    <t>Activities and Field trips</t>
  </si>
  <si>
    <t>Software Operating</t>
  </si>
  <si>
    <t>Communications</t>
  </si>
  <si>
    <t>Gifts</t>
  </si>
  <si>
    <t>Coper lease</t>
  </si>
  <si>
    <t>Computer Maintenance</t>
  </si>
  <si>
    <t>Subscriptions</t>
  </si>
  <si>
    <t>Photography</t>
  </si>
  <si>
    <t>Building Improvements</t>
  </si>
  <si>
    <t>Furniture and Fixtures</t>
  </si>
  <si>
    <t>Software Capital</t>
  </si>
  <si>
    <t>Computer software</t>
  </si>
  <si>
    <t>Laboratory - Veterinary</t>
  </si>
  <si>
    <t>Medical equipment</t>
  </si>
  <si>
    <t>Other services, not speci.Un specified</t>
  </si>
  <si>
    <t>Year</t>
  </si>
  <si>
    <t xml:space="preserve">Cost Center Description : </t>
  </si>
  <si>
    <t>Budget Menu</t>
  </si>
  <si>
    <t>Future-1</t>
  </si>
  <si>
    <t>Budget 2022</t>
  </si>
  <si>
    <t>Budget 2023</t>
  </si>
  <si>
    <t>Budget 2024</t>
  </si>
  <si>
    <t>Check List</t>
  </si>
  <si>
    <t>Drivers</t>
  </si>
  <si>
    <t>8471200 - 8471299</t>
  </si>
  <si>
    <t>8470300 - 8470499 &amp; 8470230 , 8471305</t>
  </si>
  <si>
    <t>8470100 -8470199</t>
  </si>
  <si>
    <t>8471100 - 8471199</t>
  </si>
  <si>
    <t>8470500 -8470999</t>
  </si>
  <si>
    <t>Return to Main Page</t>
  </si>
  <si>
    <t>KUST - Khalifa University of Science &amp; Technology - General Administration</t>
  </si>
  <si>
    <t>KUST -Space and Projects Planning</t>
  </si>
  <si>
    <t>KUST - VP/ Finance &amp; Business Development Office</t>
  </si>
  <si>
    <t>KUST - VP/ HR &amp; Procurement Office</t>
  </si>
  <si>
    <t xml:space="preserve">Cost Center Code : </t>
  </si>
  <si>
    <t>8470100 -8470199 / 8470810</t>
  </si>
  <si>
    <t>8470620-630</t>
  </si>
  <si>
    <t>8470720 - 730</t>
  </si>
  <si>
    <t>Required - Drop Box</t>
  </si>
  <si>
    <t>Required -  Drop Box</t>
  </si>
  <si>
    <t>Optional - Drop Box</t>
  </si>
  <si>
    <t>Account - Drop Box List</t>
  </si>
  <si>
    <t>Optional - Drop Box List</t>
  </si>
  <si>
    <t>Required - Drop Box List</t>
  </si>
  <si>
    <t>Required - Drop Box Lsit</t>
  </si>
  <si>
    <t>Cost Center Code2</t>
  </si>
  <si>
    <t xml:space="preserve"> KU Budget Template for Years 2023 to 2025</t>
  </si>
  <si>
    <t>Enetred budget for the years 2024 - 2025</t>
  </si>
  <si>
    <t>2021Actual</t>
  </si>
  <si>
    <t>2022 Budget</t>
  </si>
  <si>
    <t>2022 Estimates full year Actual</t>
  </si>
  <si>
    <t xml:space="preserve">Budget Driver </t>
  </si>
  <si>
    <t>Account</t>
  </si>
  <si>
    <t>Cost drivers
(Measrable)</t>
  </si>
  <si>
    <t>Measruing unit</t>
  </si>
  <si>
    <t>Quantity of measruing units</t>
  </si>
  <si>
    <t>Advertising Services (General)</t>
  </si>
  <si>
    <t>Radio advertising cost</t>
  </si>
  <si>
    <t>Second</t>
  </si>
  <si>
    <t>TV advertising cost</t>
  </si>
  <si>
    <t>Advertising through newspapers and other print media</t>
  </si>
  <si>
    <t>cm2 - Word</t>
  </si>
  <si>
    <t>Digital Marketing Campaigns</t>
  </si>
  <si>
    <t>count</t>
  </si>
  <si>
    <t xml:space="preserve">Website Maintenance </t>
  </si>
  <si>
    <t xml:space="preserve">Animation Videos </t>
  </si>
  <si>
    <t>Search Engine Optimization (SEO)</t>
  </si>
  <si>
    <t>Video production</t>
  </si>
  <si>
    <t xml:space="preserve">second </t>
  </si>
  <si>
    <t>Corporate Photoshoot</t>
  </si>
  <si>
    <t>International Publicity</t>
  </si>
  <si>
    <t xml:space="preserve">Branding </t>
  </si>
  <si>
    <t xml:space="preserve">Digital advertizing (Radio, TV, Social Media)  </t>
  </si>
  <si>
    <t>The cost of advertising on billboards and malls</t>
  </si>
  <si>
    <t>cm2</t>
  </si>
  <si>
    <t>Trips</t>
  </si>
  <si>
    <t>Rate (expected)2</t>
  </si>
  <si>
    <t>%@1000</t>
  </si>
  <si>
    <t>Duplicated</t>
  </si>
  <si>
    <t xml:space="preserve">Duplicated </t>
  </si>
  <si>
    <t>Add Strategic Project</t>
  </si>
  <si>
    <t>2023 Budget Scenario 90%</t>
  </si>
  <si>
    <t>2023 Budget Scenario 80%</t>
  </si>
  <si>
    <t>2023 Budget Scenario 70%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</si>
  <si>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</si>
  <si>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</si>
  <si>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</si>
  <si>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</si>
  <si>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</si>
  <si>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</si>
  <si>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</si>
  <si>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</si>
  <si>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</si>
  <si>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</si>
  <si>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</si>
  <si>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</si>
  <si>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Updated 2023</t>
  </si>
  <si>
    <t>Contract or Agreement or PO or budgetary Quotation - Uploaded in KU Driver</t>
  </si>
  <si>
    <t>List : Yes/NO</t>
  </si>
  <si>
    <t>FMS</t>
  </si>
  <si>
    <t>Entered full year Actual Expenditures for 2022</t>
  </si>
  <si>
    <t>Supporting Documents for each budget line upload in KU shared drive</t>
  </si>
  <si>
    <t>Insert the linked</t>
  </si>
  <si>
    <t>Entered Itemized budget monthly  Cash Flow for year 2023</t>
  </si>
  <si>
    <t>Removed</t>
  </si>
  <si>
    <t xml:space="preserve">Strategic Project </t>
  </si>
  <si>
    <t>Yes/No</t>
  </si>
  <si>
    <t>Khalifa University Strategic Objectives and Targets 2023</t>
  </si>
  <si>
    <t>Entity</t>
  </si>
  <si>
    <t>Budget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</si>
</sst>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2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.5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rgb="FF93C6F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4">
    <xf numFmtId="0" fontId="0" fillId="0" borderId="0"/>
    <xf numFmtId="0" fontId="2" fillId="0" borderId="0"/>
    <xf numFmtId="43" fontId="10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44">
    <xf numFmtId="0" fontId="0" fillId="0" borderId="0" xfId="0"/>
    <xf numFmtId="0" fontId="6" fillId="0" borderId="0" xfId="0" applyFont="1"/>
    <xf numFmtId="0" fontId="6" fillId="0" borderId="0" xfId="0" applyFont="1" applyProtection="1">
      <protection locked="0"/>
    </xf>
    <xf numFmtId="0" fontId="6" fillId="0" borderId="5" xfId="0" applyFont="1" applyBorder="1"/>
    <xf numFmtId="0" fontId="6" fillId="0" borderId="1" xfId="0" applyFont="1" applyBorder="1"/>
    <xf numFmtId="2" fontId="6" fillId="0" borderId="1" xfId="0" applyNumberFormat="1" applyFont="1" applyBorder="1"/>
    <xf numFmtId="0" fontId="6" fillId="0" borderId="1" xfId="0" applyFont="1" applyBorder="1" applyProtection="1">
      <protection locked="0"/>
    </xf>
    <xf numFmtId="0" fontId="6" fillId="0" borderId="6" xfId="0" applyFont="1" applyBorder="1"/>
    <xf numFmtId="0" fontId="6" fillId="0" borderId="1" xfId="0" applyNumberFormat="1" applyFont="1" applyBorder="1"/>
    <xf numFmtId="0" fontId="6" fillId="0" borderId="1" xfId="0" applyNumberFormat="1" applyFont="1" applyBorder="1" applyProtection="1">
      <protection locked="0"/>
    </xf>
    <xf numFmtId="0" fontId="6" fillId="5" borderId="2" xfId="0" applyFont="1" applyFill="1" applyBorder="1" applyAlignment="1"/>
    <xf numFmtId="0" fontId="6" fillId="5" borderId="3" xfId="0" applyFont="1" applyFill="1" applyBorder="1" applyAlignment="1"/>
    <xf numFmtId="0" fontId="6" fillId="5" borderId="3" xfId="0" applyFont="1" applyFill="1" applyBorder="1" applyAlignment="1" applyProtection="1">
      <protection locked="0"/>
    </xf>
    <xf numFmtId="0" fontId="6" fillId="5" borderId="4" xfId="0" applyFont="1" applyFill="1" applyBorder="1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5" borderId="3" xfId="0" applyFont="1" applyFill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/>
    <xf numFmtId="0" fontId="1" fillId="6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1" fillId="6" borderId="10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0" fillId="0" borderId="1" xfId="0" applyBorder="1" applyAlignment="1"/>
    <xf numFmtId="0" fontId="8" fillId="0" borderId="1" xfId="0" applyFont="1" applyFill="1" applyBorder="1" applyAlignment="1">
      <alignment vertical="center"/>
    </xf>
    <xf numFmtId="0" fontId="9" fillId="0" borderId="5" xfId="0" applyNumberFormat="1" applyFont="1" applyBorder="1"/>
    <xf numFmtId="0" fontId="9" fillId="0" borderId="1" xfId="0" applyNumberFormat="1" applyFont="1" applyBorder="1"/>
    <xf numFmtId="0" fontId="9" fillId="0" borderId="1" xfId="0" applyFont="1" applyBorder="1"/>
    <xf numFmtId="2" fontId="9" fillId="0" borderId="1" xfId="0" applyNumberFormat="1" applyFont="1" applyBorder="1"/>
    <xf numFmtId="0" fontId="9" fillId="0" borderId="1" xfId="0" applyNumberFormat="1" applyFont="1" applyBorder="1" applyProtection="1">
      <protection locked="0"/>
    </xf>
    <xf numFmtId="0" fontId="9" fillId="0" borderId="6" xfId="0" applyFont="1" applyBorder="1"/>
    <xf numFmtId="0" fontId="8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3" borderId="1" xfId="0" applyFont="1" applyFill="1" applyBorder="1"/>
    <xf numFmtId="0" fontId="1" fillId="3" borderId="6" xfId="0" applyFont="1" applyFill="1" applyBorder="1"/>
    <xf numFmtId="0" fontId="3" fillId="0" borderId="0" xfId="0" applyFont="1" applyAlignment="1"/>
    <xf numFmtId="0" fontId="4" fillId="0" borderId="0" xfId="0" applyFont="1" applyAlignment="1"/>
    <xf numFmtId="0" fontId="4" fillId="4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1" fontId="4" fillId="4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/>
    <xf numFmtId="1" fontId="4" fillId="0" borderId="0" xfId="0" applyNumberFormat="1" applyFont="1" applyAlignment="1"/>
    <xf numFmtId="43" fontId="6" fillId="0" borderId="1" xfId="2" applyFont="1" applyBorder="1" applyProtection="1"/>
    <xf numFmtId="43" fontId="6" fillId="0" borderId="0" xfId="2" applyFont="1" applyProtection="1"/>
    <xf numFmtId="43" fontId="6" fillId="5" borderId="3" xfId="2" applyFont="1" applyFill="1" applyBorder="1" applyAlignment="1" applyProtection="1"/>
    <xf numFmtId="0" fontId="11" fillId="0" borderId="1" xfId="0" applyFont="1" applyFill="1" applyBorder="1" applyAlignment="1">
      <alignment horizontal="left" vertical="center" wrapText="1" readingOrder="1"/>
    </xf>
    <xf numFmtId="0" fontId="11" fillId="0" borderId="1" xfId="0" applyFont="1" applyFill="1" applyBorder="1" applyAlignment="1">
      <alignment vertical="center" wrapText="1" readingOrder="1"/>
    </xf>
    <xf numFmtId="0" fontId="0" fillId="0" borderId="0" xfId="0" applyAlignment="1">
      <alignment horizontal="left" wrapText="1"/>
    </xf>
    <xf numFmtId="0" fontId="13" fillId="3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 readingOrder="1"/>
    </xf>
    <xf numFmtId="0" fontId="11" fillId="0" borderId="1" xfId="0" applyFont="1" applyFill="1" applyBorder="1" applyAlignment="1">
      <alignment horizontal="justify" vertical="center" readingOrder="1"/>
    </xf>
    <xf numFmtId="1" fontId="11" fillId="7" borderId="1" xfId="0" applyNumberFormat="1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 readingOrder="1"/>
    </xf>
    <xf numFmtId="9" fontId="6" fillId="7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wrapText="1"/>
    </xf>
    <xf numFmtId="0" fontId="16" fillId="0" borderId="1" xfId="0" applyFont="1" applyFill="1" applyBorder="1" applyAlignment="1">
      <alignment vertical="center" wrapText="1" readingOrder="1"/>
    </xf>
    <xf numFmtId="0" fontId="11" fillId="7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9" fontId="11" fillId="7" borderId="1" xfId="0" applyNumberFormat="1" applyFont="1" applyFill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 readingOrder="1"/>
    </xf>
    <xf numFmtId="0" fontId="11" fillId="0" borderId="1" xfId="0" applyFont="1" applyFill="1" applyBorder="1" applyAlignment="1">
      <alignment vertical="center" readingOrder="1"/>
    </xf>
    <xf numFmtId="9" fontId="11" fillId="7" borderId="1" xfId="0" applyNumberFormat="1" applyFont="1" applyFill="1" applyBorder="1" applyAlignment="1">
      <alignment horizontal="center" vertical="center" readingOrder="1"/>
    </xf>
    <xf numFmtId="0" fontId="17" fillId="0" borderId="0" xfId="0" applyFont="1" applyBorder="1" applyAlignment="1">
      <alignment horizontal="center" vertical="center" wrapText="1" readingOrder="1"/>
    </xf>
    <xf numFmtId="0" fontId="13" fillId="0" borderId="0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6" fillId="0" borderId="1" xfId="0" applyNumberFormat="1" applyFont="1" applyBorder="1" applyAlignment="1">
      <alignment horizontal="left"/>
    </xf>
    <xf numFmtId="0" fontId="9" fillId="0" borderId="1" xfId="0" applyNumberFormat="1" applyFont="1" applyBorder="1" applyAlignment="1">
      <alignment horizontal="left"/>
    </xf>
    <xf numFmtId="0" fontId="6" fillId="8" borderId="1" xfId="0" applyFont="1" applyFill="1" applyBorder="1"/>
    <xf numFmtId="0" fontId="6" fillId="8" borderId="1" xfId="0" applyNumberFormat="1" applyFont="1" applyFill="1" applyBorder="1"/>
    <xf numFmtId="1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43" fontId="9" fillId="0" borderId="1" xfId="2" applyFont="1" applyBorder="1" applyProtection="1"/>
    <xf numFmtId="0" fontId="3" fillId="3" borderId="14" xfId="0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/>
    </xf>
    <xf numFmtId="0" fontId="7" fillId="0" borderId="0" xfId="0" applyFont="1" applyAlignment="1">
      <alignment horizontal="left" wrapText="1"/>
    </xf>
    <xf numFmtId="0" fontId="6" fillId="5" borderId="3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8" fillId="0" borderId="0" xfId="0" applyFont="1"/>
    <xf numFmtId="0" fontId="3" fillId="9" borderId="1" xfId="0" applyFont="1" applyFill="1" applyBorder="1" applyAlignment="1">
      <alignment horizontal="left" vertical="top" wrapText="1"/>
    </xf>
    <xf numFmtId="0" fontId="9" fillId="0" borderId="9" xfId="0" applyNumberFormat="1" applyFont="1" applyBorder="1"/>
    <xf numFmtId="0" fontId="9" fillId="0" borderId="7" xfId="0" applyNumberFormat="1" applyFont="1" applyBorder="1"/>
    <xf numFmtId="0" fontId="9" fillId="0" borderId="7" xfId="0" applyFont="1" applyBorder="1"/>
    <xf numFmtId="0" fontId="9" fillId="0" borderId="7" xfId="0" applyFont="1" applyBorder="1" applyAlignment="1">
      <alignment horizontal="left"/>
    </xf>
    <xf numFmtId="0" fontId="9" fillId="0" borderId="8" xfId="0" applyFont="1" applyBorder="1"/>
    <xf numFmtId="0" fontId="6" fillId="0" borderId="1" xfId="0" applyFont="1" applyBorder="1" applyAlignment="1">
      <alignment wrapText="1"/>
    </xf>
    <xf numFmtId="0" fontId="9" fillId="0" borderId="1" xfId="0" applyNumberFormat="1" applyFont="1" applyBorder="1" applyAlignment="1">
      <alignment wrapText="1"/>
    </xf>
    <xf numFmtId="0" fontId="20" fillId="0" borderId="0" xfId="0" applyFont="1"/>
    <xf numFmtId="43" fontId="19" fillId="0" borderId="0" xfId="3" applyNumberFormat="1" applyProtection="1"/>
    <xf numFmtId="1" fontId="21" fillId="0" borderId="16" xfId="0" applyNumberFormat="1" applyFont="1" applyFill="1" applyBorder="1" applyAlignment="1">
      <alignment horizontal="left" vertical="top"/>
    </xf>
    <xf numFmtId="0" fontId="21" fillId="0" borderId="17" xfId="0" applyFont="1" applyFill="1" applyBorder="1" applyAlignment="1">
      <alignment horizontal="left" vertical="top"/>
    </xf>
    <xf numFmtId="0" fontId="0" fillId="0" borderId="0" xfId="0" applyFill="1"/>
    <xf numFmtId="1" fontId="22" fillId="0" borderId="16" xfId="0" applyNumberFormat="1" applyFont="1" applyFill="1" applyBorder="1" applyAlignment="1">
      <alignment horizontal="left" vertical="top"/>
    </xf>
    <xf numFmtId="0" fontId="22" fillId="0" borderId="17" xfId="0" applyFont="1" applyFill="1" applyBorder="1" applyAlignment="1">
      <alignment horizontal="left" vertical="top"/>
    </xf>
    <xf numFmtId="0" fontId="21" fillId="3" borderId="14" xfId="0" applyFont="1" applyFill="1" applyBorder="1" applyAlignment="1">
      <alignment horizontal="left" vertical="top"/>
    </xf>
    <xf numFmtId="0" fontId="21" fillId="3" borderId="15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wrapText="1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9" fillId="0" borderId="1" xfId="0" applyFont="1" applyBorder="1" applyAlignment="1">
      <alignment wrapText="1"/>
    </xf>
    <xf numFmtId="0" fontId="0" fillId="0" borderId="0" xfId="0" quotePrefix="1"/>
    <xf numFmtId="0" fontId="22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wrapText="1"/>
    </xf>
    <xf numFmtId="0" fontId="22" fillId="11" borderId="1" xfId="0" applyFont="1" applyFill="1" applyBorder="1" applyAlignment="1">
      <alignment horizontal="center" vertical="center" wrapText="1"/>
    </xf>
    <xf numFmtId="0" fontId="19" fillId="0" borderId="1" xfId="3" applyBorder="1"/>
    <xf numFmtId="0" fontId="6" fillId="11" borderId="3" xfId="0" applyFont="1" applyFill="1" applyBorder="1" applyAlignment="1"/>
    <xf numFmtId="0" fontId="6" fillId="11" borderId="0" xfId="0" applyFont="1" applyFill="1"/>
    <xf numFmtId="0" fontId="5" fillId="11" borderId="0" xfId="0" applyFont="1" applyFill="1"/>
    <xf numFmtId="164" fontId="6" fillId="5" borderId="3" xfId="0" applyNumberFormat="1" applyFont="1" applyFill="1" applyBorder="1" applyAlignment="1"/>
    <xf numFmtId="0" fontId="8" fillId="11" borderId="1" xfId="0" applyFont="1" applyFill="1" applyBorder="1" applyAlignment="1">
      <alignment vertical="center"/>
    </xf>
    <xf numFmtId="0" fontId="23" fillId="11" borderId="1" xfId="0" applyFont="1" applyFill="1" applyBorder="1" applyAlignment="1">
      <alignment vertical="center"/>
    </xf>
    <xf numFmtId="0" fontId="24" fillId="11" borderId="0" xfId="0" applyFont="1" applyFill="1"/>
    <xf numFmtId="43" fontId="9" fillId="0" borderId="7" xfId="0" applyNumberFormat="1" applyFont="1" applyBorder="1" applyProtection="1"/>
    <xf numFmtId="0" fontId="9" fillId="0" borderId="7" xfId="0" applyNumberFormat="1" applyFont="1" applyBorder="1" applyProtection="1">
      <protection locked="0"/>
    </xf>
    <xf numFmtId="0" fontId="9" fillId="0" borderId="7" xfId="0" applyFont="1" applyBorder="1" applyAlignment="1">
      <alignment wrapText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2" fillId="2" borderId="0" xfId="0" applyFont="1" applyFill="1" applyAlignment="1">
      <alignment horizontal="center" wrapText="1"/>
    </xf>
  </cellXfs>
  <cellStyles count="4">
    <cellStyle name="Comma" xfId="2" builtinId="3"/>
    <cellStyle name="Hyperlink" xfId="3" builtinId="8"/>
    <cellStyle name="Normal" xfId="0" builtinId="0"/>
    <cellStyle name="Normal 2" xfId="1" xr:uid="{00000000-0005-0000-0000-000003000000}"/>
  </cellStyles>
  <dxfs count="2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</dxf>
    <dxf>
      <border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3C6F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</dxf>
    <dxf>
      <border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3C6F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3C6F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</font>
      <fill>
        <gradientFill degree="90">
          <stop position="0">
            <color rgb="FFFF000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9EF6CE"/>
      <color rgb="FF7CA2EE"/>
      <color rgb="FF93C6F5"/>
      <color rgb="FFDBF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0</xdr:rowOff>
    </xdr:from>
    <xdr:to>
      <xdr:col>3</xdr:col>
      <xdr:colOff>590550</xdr:colOff>
      <xdr:row>4</xdr:row>
      <xdr:rowOff>14387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84150"/>
          <a:ext cx="2260600" cy="5668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heriff/Desktop/Desktop%2023012021/CoA/Master%20CoA%20-%20K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heriff/Desktop/Budget%20Testing/CoA%20Ananlysis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ST cost center"/>
      <sheetName val="KUST Account Code"/>
      <sheetName val="Sheet1"/>
    </sheetNames>
    <sheetDataSet>
      <sheetData sheetId="0">
        <row r="1">
          <cell r="B1" t="str">
            <v>Cost Center Code</v>
          </cell>
          <cell r="C1" t="str">
            <v>Cost Center Description</v>
          </cell>
        </row>
        <row r="2">
          <cell r="B2">
            <v>8470110</v>
          </cell>
          <cell r="C2" t="str">
            <v>KUST - Office of the President</v>
          </cell>
        </row>
        <row r="3">
          <cell r="B3">
            <v>8470120</v>
          </cell>
          <cell r="C3" t="str">
            <v>KUST - Audit &amp; Compliance</v>
          </cell>
        </row>
        <row r="4">
          <cell r="B4">
            <v>8470130</v>
          </cell>
          <cell r="C4" t="str">
            <v>KUST - Institutional Research &amp; Planning</v>
          </cell>
        </row>
        <row r="5">
          <cell r="B5">
            <v>8470140</v>
          </cell>
          <cell r="C5" t="str">
            <v>KUST - Communication</v>
          </cell>
        </row>
        <row r="6">
          <cell r="B6">
            <v>8470150</v>
          </cell>
          <cell r="C6" t="str">
            <v>KUST - General Counsel</v>
          </cell>
        </row>
        <row r="7">
          <cell r="B7">
            <v>8470210</v>
          </cell>
          <cell r="C7" t="str">
            <v>KUST - Khalifa University of Science &amp; Technology - General Administration</v>
          </cell>
        </row>
        <row r="8">
          <cell r="B8">
            <v>8470220</v>
          </cell>
          <cell r="C8" t="str">
            <v>KUST - Office of the Provost</v>
          </cell>
        </row>
        <row r="9">
          <cell r="B9">
            <v>8470230</v>
          </cell>
          <cell r="C9" t="str">
            <v>KUST - Graduate Studies</v>
          </cell>
        </row>
        <row r="10">
          <cell r="B10">
            <v>8470305</v>
          </cell>
          <cell r="C10" t="str">
            <v>KUST - Dean Of Engineering</v>
          </cell>
        </row>
        <row r="11">
          <cell r="B11">
            <v>8470310</v>
          </cell>
          <cell r="C11" t="str">
            <v>KUST - Aerospace Engineering</v>
          </cell>
        </row>
        <row r="12">
          <cell r="B12">
            <v>8470315</v>
          </cell>
          <cell r="C12" t="str">
            <v>KUST - Biomedical Engineering</v>
          </cell>
        </row>
        <row r="13">
          <cell r="B13">
            <v>8470320</v>
          </cell>
          <cell r="C13" t="str">
            <v>KUST - Chemical Engineering</v>
          </cell>
        </row>
        <row r="14">
          <cell r="B14">
            <v>8470325</v>
          </cell>
          <cell r="C14" t="str">
            <v>KUST - Civil Engineering</v>
          </cell>
        </row>
        <row r="15">
          <cell r="B15">
            <v>8470330</v>
          </cell>
          <cell r="C15" t="str">
            <v>KUST - Electrical &amp; Computer Engineering</v>
          </cell>
        </row>
        <row r="16">
          <cell r="B16">
            <v>8470330</v>
          </cell>
          <cell r="C16" t="str">
            <v>KUST - Industrial &amp; Systems Engineering</v>
          </cell>
        </row>
        <row r="17">
          <cell r="B17">
            <v>8470455</v>
          </cell>
          <cell r="C17" t="str">
            <v>KUST – Biology</v>
          </cell>
        </row>
        <row r="18">
          <cell r="B18">
            <v>8470335</v>
          </cell>
          <cell r="C18" t="str">
            <v>KUST - Industrial &amp; Systems Engineering</v>
          </cell>
        </row>
        <row r="19">
          <cell r="B19">
            <v>8470340</v>
          </cell>
          <cell r="C19" t="str">
            <v>KUST - Mechanical Engineering</v>
          </cell>
        </row>
        <row r="20">
          <cell r="B20">
            <v>8470345</v>
          </cell>
          <cell r="C20" t="str">
            <v>KUST - Nuclear Engineering</v>
          </cell>
        </row>
        <row r="21">
          <cell r="B21">
            <v>8470350</v>
          </cell>
          <cell r="C21" t="str">
            <v>KUST - Petroleum Engineering</v>
          </cell>
        </row>
        <row r="22">
          <cell r="B22">
            <v>8470405</v>
          </cell>
          <cell r="C22" t="str">
            <v>KUST - Dean Of Arts &amp; Science</v>
          </cell>
        </row>
        <row r="23">
          <cell r="B23">
            <v>8470410</v>
          </cell>
          <cell r="C23" t="str">
            <v>KUST - Institute of International &amp; Civil Security</v>
          </cell>
        </row>
        <row r="24">
          <cell r="B24">
            <v>8470415</v>
          </cell>
          <cell r="C24" t="str">
            <v>KUST - Chemistry</v>
          </cell>
        </row>
        <row r="25">
          <cell r="B25">
            <v>8470420</v>
          </cell>
          <cell r="C25" t="str">
            <v>KUST - Computer Science</v>
          </cell>
        </row>
        <row r="26">
          <cell r="B26">
            <v>8470425</v>
          </cell>
          <cell r="C26" t="str">
            <v>KUST - Physics</v>
          </cell>
        </row>
        <row r="27">
          <cell r="B27">
            <v>8470430</v>
          </cell>
          <cell r="C27" t="str">
            <v>KUST - Preparatory Program</v>
          </cell>
        </row>
        <row r="28">
          <cell r="B28">
            <v>8470435</v>
          </cell>
          <cell r="C28" t="str">
            <v>KUST - Department of English</v>
          </cell>
        </row>
        <row r="29">
          <cell r="B29">
            <v>8470440</v>
          </cell>
          <cell r="C29" t="str">
            <v>KUST - Humanities &amp; Social Sciences</v>
          </cell>
        </row>
        <row r="30">
          <cell r="B30">
            <v>8470445</v>
          </cell>
          <cell r="C30" t="str">
            <v>KUST - Mathematics</v>
          </cell>
        </row>
        <row r="31">
          <cell r="B31">
            <v>8470450</v>
          </cell>
          <cell r="C31" t="str">
            <v>KUST - Earth Science</v>
          </cell>
        </row>
        <row r="32">
          <cell r="B32">
            <v>8470510</v>
          </cell>
          <cell r="C32" t="str">
            <v>KUST - VP/ Administration, Facilities &amp; EHS Office</v>
          </cell>
        </row>
        <row r="33">
          <cell r="B33">
            <v>8470520</v>
          </cell>
          <cell r="C33" t="str">
            <v>KUST - Environment, Health &amp; Safety</v>
          </cell>
        </row>
        <row r="34">
          <cell r="B34">
            <v>8470530</v>
          </cell>
          <cell r="C34" t="str">
            <v>KUST - Facilities Management</v>
          </cell>
        </row>
        <row r="35">
          <cell r="B35">
            <v>8470540</v>
          </cell>
          <cell r="C35" t="str">
            <v>KUST - Administration</v>
          </cell>
        </row>
        <row r="36">
          <cell r="B36">
            <v>8470550</v>
          </cell>
          <cell r="C36" t="str">
            <v>KUST -Space and Projects Planning</v>
          </cell>
        </row>
        <row r="37">
          <cell r="B37">
            <v>8470610</v>
          </cell>
          <cell r="C37" t="str">
            <v>KUST - VP/ Finance &amp; Business Development Office</v>
          </cell>
        </row>
        <row r="38">
          <cell r="B38">
            <v>8470620</v>
          </cell>
          <cell r="C38" t="str">
            <v>KUST - Finance Operations</v>
          </cell>
        </row>
        <row r="39">
          <cell r="B39">
            <v>8470630</v>
          </cell>
          <cell r="C39" t="str">
            <v>KUST - Business Development</v>
          </cell>
        </row>
        <row r="40">
          <cell r="B40">
            <v>8470710</v>
          </cell>
          <cell r="C40" t="str">
            <v>KUST - VP/ HR &amp; Procurement Office</v>
          </cell>
        </row>
        <row r="41">
          <cell r="B41">
            <v>8470720</v>
          </cell>
          <cell r="C41" t="str">
            <v>KUST - Procurement</v>
          </cell>
        </row>
        <row r="42">
          <cell r="B42">
            <v>8470730</v>
          </cell>
          <cell r="C42" t="str">
            <v>KUST - Human Resources</v>
          </cell>
        </row>
        <row r="43">
          <cell r="B43">
            <v>8470810</v>
          </cell>
          <cell r="C43" t="str">
            <v>KUST - Ankabut office</v>
          </cell>
        </row>
        <row r="44">
          <cell r="B44">
            <v>8470910</v>
          </cell>
          <cell r="C44" t="str">
            <v>KUST - Executive Vice President Office</v>
          </cell>
        </row>
        <row r="45">
          <cell r="B45">
            <v>8471010</v>
          </cell>
          <cell r="C45" t="str">
            <v>KUST - Continuing Education Office</v>
          </cell>
        </row>
        <row r="46">
          <cell r="B46">
            <v>8471110</v>
          </cell>
          <cell r="C46" t="str">
            <v>KUST - SVP/ Research &amp; Development Office</v>
          </cell>
        </row>
        <row r="47">
          <cell r="B47">
            <v>8471120</v>
          </cell>
          <cell r="C47" t="str">
            <v>KUST - Institute for Automation, Information Science &amp; Communication</v>
          </cell>
        </row>
        <row r="48">
          <cell r="B48">
            <v>8471121</v>
          </cell>
          <cell r="C48" t="str">
            <v>The Petroleum Institute</v>
          </cell>
        </row>
        <row r="49">
          <cell r="B49">
            <v>8471122</v>
          </cell>
          <cell r="C49" t="str">
            <v>KUST - Masdar Institute</v>
          </cell>
        </row>
        <row r="50">
          <cell r="B50">
            <v>8471130</v>
          </cell>
          <cell r="C50" t="str">
            <v>KUST - Research Service</v>
          </cell>
        </row>
        <row r="51">
          <cell r="B51">
            <v>8471140</v>
          </cell>
          <cell r="C51" t="str">
            <v>KUST - University Sponsored Research</v>
          </cell>
        </row>
        <row r="52">
          <cell r="B52">
            <v>8471150</v>
          </cell>
          <cell r="C52" t="str">
            <v>KUST - Technology Management &amp; Innovation</v>
          </cell>
        </row>
        <row r="53">
          <cell r="B53">
            <v>8471160</v>
          </cell>
          <cell r="C53" t="str">
            <v>KUST - Research Laboratories</v>
          </cell>
        </row>
        <row r="54">
          <cell r="B54">
            <v>8471170</v>
          </cell>
          <cell r="C54" t="str">
            <v>KUST - Research Computing</v>
          </cell>
        </row>
        <row r="55">
          <cell r="B55">
            <v>8471210</v>
          </cell>
          <cell r="C55" t="str">
            <v>KUST - SVP/ Academic &amp; Student Services Office</v>
          </cell>
        </row>
        <row r="56">
          <cell r="B56">
            <v>8471220</v>
          </cell>
          <cell r="C56" t="str">
            <v>KUST - Registrar</v>
          </cell>
        </row>
        <row r="57">
          <cell r="B57">
            <v>8471230</v>
          </cell>
          <cell r="C57" t="str">
            <v>KUST - Student Enrollment</v>
          </cell>
        </row>
        <row r="58">
          <cell r="B58">
            <v>8471240</v>
          </cell>
          <cell r="C58" t="str">
            <v>KUST - Student Success</v>
          </cell>
        </row>
        <row r="59">
          <cell r="B59">
            <v>8471250</v>
          </cell>
          <cell r="C59" t="str">
            <v>KUST - Career Services</v>
          </cell>
        </row>
        <row r="60">
          <cell r="B60">
            <v>8471260</v>
          </cell>
          <cell r="C60" t="str">
            <v>KUST - Student Life</v>
          </cell>
        </row>
        <row r="61">
          <cell r="B61">
            <v>8471270</v>
          </cell>
          <cell r="C61" t="str">
            <v>KUST - Libraries</v>
          </cell>
        </row>
        <row r="62">
          <cell r="B62">
            <v>8471280</v>
          </cell>
          <cell r="C62" t="str">
            <v>KUST - Center for Teaching &amp; Learning</v>
          </cell>
        </row>
        <row r="63">
          <cell r="B63">
            <v>8471305</v>
          </cell>
          <cell r="C63" t="str">
            <v>KUST - Dean Of Medicine</v>
          </cell>
        </row>
        <row r="64">
          <cell r="B64">
            <v>8477010</v>
          </cell>
          <cell r="C64" t="str">
            <v>KUST - Gas Research Center Office</v>
          </cell>
        </row>
        <row r="65">
          <cell r="B65"/>
          <cell r="C65"/>
        </row>
      </sheetData>
      <sheetData sheetId="1">
        <row r="1">
          <cell r="A1" t="str">
            <v>Account Code</v>
          </cell>
          <cell r="B1" t="str">
            <v>Account Description</v>
          </cell>
        </row>
        <row r="2">
          <cell r="A2">
            <v>101101</v>
          </cell>
          <cell r="B2" t="str">
            <v>Cash holdings with collectors</v>
          </cell>
        </row>
        <row r="3">
          <cell r="A3">
            <v>101400</v>
          </cell>
          <cell r="B3" t="str">
            <v>Cash holdings - imprest floats for general purpose (replenishable)</v>
          </cell>
        </row>
        <row r="4">
          <cell r="A4">
            <v>101401</v>
          </cell>
          <cell r="B4" t="str">
            <v>Cash holdings - Imprest floats for general purpose (replenishable)</v>
          </cell>
        </row>
        <row r="5">
          <cell r="A5">
            <v>101402</v>
          </cell>
          <cell r="B5" t="str">
            <v>Cash holdings - imprest floats for general purpose (replenishable) - Imprest no. 02</v>
          </cell>
        </row>
        <row r="6">
          <cell r="A6">
            <v>101403</v>
          </cell>
          <cell r="B6" t="str">
            <v>Cash holdings - imprest floats for general purpose (replenishable) - Imprest no. 03</v>
          </cell>
        </row>
        <row r="7">
          <cell r="A7">
            <v>101901</v>
          </cell>
          <cell r="B7" t="str">
            <v>Cash in Transit - AED</v>
          </cell>
        </row>
        <row r="8">
          <cell r="A8">
            <v>102101</v>
          </cell>
          <cell r="B8" t="str">
            <v>AED Current/Call Bank Acct</v>
          </cell>
        </row>
        <row r="9">
          <cell r="A9">
            <v>102148</v>
          </cell>
          <cell r="B9" t="str">
            <v>USD Current Bank Acct No.1</v>
          </cell>
        </row>
        <row r="10">
          <cell r="A10">
            <v>102201</v>
          </cell>
          <cell r="B10" t="str">
            <v>AED Bank Acct No. 2</v>
          </cell>
        </row>
        <row r="11">
          <cell r="A11">
            <v>102601</v>
          </cell>
          <cell r="B11" t="str">
            <v>AED Bank Acct No.6</v>
          </cell>
        </row>
        <row r="12">
          <cell r="A12">
            <v>102701</v>
          </cell>
          <cell r="B12" t="str">
            <v>AED Bank Acct No.7</v>
          </cell>
        </row>
        <row r="13">
          <cell r="A13">
            <v>103001</v>
          </cell>
          <cell r="B13" t="str">
            <v>AED Bank Acct No.10</v>
          </cell>
        </row>
        <row r="14">
          <cell r="A14">
            <v>105901</v>
          </cell>
          <cell r="B14" t="str">
            <v>AED AP Pyt - Clearing Acct</v>
          </cell>
        </row>
        <row r="15">
          <cell r="A15">
            <v>105902</v>
          </cell>
          <cell r="B15" t="str">
            <v>Clearing Account of Bank-2 for processing A P payments</v>
          </cell>
        </row>
        <row r="16">
          <cell r="A16">
            <v>108101</v>
          </cell>
          <cell r="B16" t="str">
            <v>AED Revenue Bank Acct No.1</v>
          </cell>
        </row>
        <row r="17">
          <cell r="A17">
            <v>110201</v>
          </cell>
          <cell r="B17" t="str">
            <v>AED Term Deposit - Bank No.2</v>
          </cell>
        </row>
        <row r="18">
          <cell r="A18">
            <v>120140</v>
          </cell>
          <cell r="B18" t="str">
            <v>Goods and services sales receivable</v>
          </cell>
        </row>
        <row r="19">
          <cell r="A19">
            <v>120180</v>
          </cell>
          <cell r="B19" t="str">
            <v>Accounts Receivable - General</v>
          </cell>
        </row>
        <row r="20">
          <cell r="A20">
            <v>120185</v>
          </cell>
          <cell r="B20" t="str">
            <v>Receivable against post dated cheques as part of AR</v>
          </cell>
        </row>
        <row r="21">
          <cell r="A21">
            <v>120199</v>
          </cell>
          <cell r="B21" t="str">
            <v>Provision for doubtful debt - Customers</v>
          </cell>
        </row>
        <row r="22">
          <cell r="A22">
            <v>120211</v>
          </cell>
          <cell r="B22" t="str">
            <v>Car loans to employees</v>
          </cell>
        </row>
        <row r="23">
          <cell r="A23">
            <v>120214</v>
          </cell>
          <cell r="B23" t="str">
            <v>Rent support loans to employees</v>
          </cell>
        </row>
        <row r="24">
          <cell r="A24">
            <v>120223</v>
          </cell>
          <cell r="B24" t="str">
            <v>Duty travel advances</v>
          </cell>
        </row>
        <row r="25">
          <cell r="A25">
            <v>120224</v>
          </cell>
          <cell r="B25" t="str">
            <v>Overpayments for recovery - employees</v>
          </cell>
        </row>
        <row r="26">
          <cell r="A26">
            <v>120227</v>
          </cell>
          <cell r="B26" t="str">
            <v>Vacation (Leave) pay advance (*)</v>
          </cell>
        </row>
        <row r="27">
          <cell r="A27">
            <v>120229</v>
          </cell>
          <cell r="B27" t="str">
            <v>Miscellaneous advances-Employees</v>
          </cell>
        </row>
        <row r="28">
          <cell r="A28">
            <v>120330</v>
          </cell>
          <cell r="B28" t="str">
            <v>Other advances to vendors</v>
          </cell>
        </row>
        <row r="29">
          <cell r="A29">
            <v>120565</v>
          </cell>
          <cell r="B29" t="str">
            <v>Receivable from Students in Educations Institutions</v>
          </cell>
        </row>
        <row r="30">
          <cell r="A30">
            <v>120985</v>
          </cell>
          <cell r="B30" t="str">
            <v>Discrepancies resulting from mispostings / fictitious entries</v>
          </cell>
        </row>
        <row r="31">
          <cell r="A31">
            <v>121001</v>
          </cell>
          <cell r="B31" t="str">
            <v>Inter-Departmental Offset</v>
          </cell>
        </row>
        <row r="32">
          <cell r="A32">
            <v>121009</v>
          </cell>
          <cell r="B32" t="str">
            <v>Intercompany VAT a/c with DoF Treasury</v>
          </cell>
        </row>
        <row r="33">
          <cell r="A33">
            <v>121010</v>
          </cell>
          <cell r="B33" t="str">
            <v>Inter-company Receivable(Payable)</v>
          </cell>
        </row>
        <row r="34">
          <cell r="A34">
            <v>125900</v>
          </cell>
          <cell r="B34" t="str">
            <v>Other accrued revenues</v>
          </cell>
        </row>
        <row r="35">
          <cell r="A35">
            <v>126510</v>
          </cell>
          <cell r="B35" t="str">
            <v>Input VAT recoverable</v>
          </cell>
        </row>
        <row r="36">
          <cell r="A36">
            <v>126550</v>
          </cell>
          <cell r="B36" t="str">
            <v>R C input VAT recoverable on Services</v>
          </cell>
        </row>
        <row r="37">
          <cell r="A37">
            <v>126610</v>
          </cell>
          <cell r="B37" t="str">
            <v>Input VAT apportionment</v>
          </cell>
        </row>
        <row r="38">
          <cell r="A38">
            <v>130111</v>
          </cell>
          <cell r="B38" t="str">
            <v>Material cost:Receipt (post-inspection)</v>
          </cell>
        </row>
        <row r="39">
          <cell r="A39">
            <v>130112</v>
          </cell>
          <cell r="B39" t="str">
            <v>Material cost:Receipt (pre-inspection)</v>
          </cell>
        </row>
        <row r="40">
          <cell r="A40">
            <v>130910</v>
          </cell>
          <cell r="B40" t="str">
            <v>Inventories (funded) (*)</v>
          </cell>
        </row>
        <row r="41">
          <cell r="A41">
            <v>132010</v>
          </cell>
          <cell r="B41" t="str">
            <v>Prepayments - (Unidentified category)</v>
          </cell>
        </row>
        <row r="42">
          <cell r="A42">
            <v>132020</v>
          </cell>
          <cell r="B42" t="str">
            <v>Prepayments-Asset Cost (for setup)</v>
          </cell>
        </row>
        <row r="43">
          <cell r="A43">
            <v>132021</v>
          </cell>
          <cell r="B43" t="str">
            <v>Prepayments-Asset Clearing (for setup)</v>
          </cell>
        </row>
        <row r="44">
          <cell r="A44">
            <v>132220</v>
          </cell>
          <cell r="B44" t="str">
            <v>Prepaid Rent -Business premises</v>
          </cell>
        </row>
        <row r="45">
          <cell r="A45">
            <v>132900</v>
          </cell>
          <cell r="B45" t="str">
            <v>Pre-paid expenses - Other</v>
          </cell>
        </row>
        <row r="46">
          <cell r="A46">
            <v>133020</v>
          </cell>
          <cell r="B46" t="str">
            <v>Petrol deposits (including coupon pre-purchase)</v>
          </cell>
        </row>
        <row r="47">
          <cell r="A47">
            <v>133090</v>
          </cell>
          <cell r="B47" t="str">
            <v>Other deposits</v>
          </cell>
        </row>
        <row r="48">
          <cell r="A48">
            <v>171050</v>
          </cell>
          <cell r="B48" t="str">
            <v>Provisional Asset (all categories for setup acct for accrual</v>
          </cell>
        </row>
        <row r="49">
          <cell r="A49">
            <v>171120</v>
          </cell>
          <cell r="B49" t="str">
            <v>Land and Land Improvements:Asset cost</v>
          </cell>
        </row>
        <row r="50">
          <cell r="A50">
            <v>171121</v>
          </cell>
          <cell r="B50" t="str">
            <v>Land and Land Improvements:Asset clearing</v>
          </cell>
        </row>
        <row r="51">
          <cell r="A51">
            <v>171220</v>
          </cell>
          <cell r="B51" t="str">
            <v>Buildings:Asset cost</v>
          </cell>
        </row>
        <row r="52">
          <cell r="A52">
            <v>171221</v>
          </cell>
          <cell r="B52" t="str">
            <v>Buildings:Asset clearing</v>
          </cell>
        </row>
        <row r="53">
          <cell r="A53">
            <v>171230</v>
          </cell>
          <cell r="B53" t="str">
            <v>Buildings:CIP cost</v>
          </cell>
        </row>
        <row r="54">
          <cell r="A54">
            <v>171260</v>
          </cell>
          <cell r="B54" t="str">
            <v>Buildings:Accumulated depreciation/amortization (Provision)</v>
          </cell>
        </row>
        <row r="55">
          <cell r="A55">
            <v>171320</v>
          </cell>
          <cell r="B55" t="str">
            <v>Plant, machinery &amp; equipment:Asset cost</v>
          </cell>
        </row>
        <row r="56">
          <cell r="A56">
            <v>171321</v>
          </cell>
          <cell r="B56" t="str">
            <v>Plant, machinery &amp; equipment:Asset clearing</v>
          </cell>
        </row>
        <row r="57">
          <cell r="A57">
            <v>171330</v>
          </cell>
          <cell r="B57" t="str">
            <v>Plant, machinery &amp; equipment:CIP cost</v>
          </cell>
        </row>
        <row r="58">
          <cell r="A58">
            <v>171360</v>
          </cell>
          <cell r="B58" t="str">
            <v>Plant, machinery &amp; equipment:Accumulated depreciation/amortization (Provision)</v>
          </cell>
        </row>
        <row r="59">
          <cell r="A59">
            <v>171520</v>
          </cell>
          <cell r="B59" t="str">
            <v>Motor vehicles: Asset cost</v>
          </cell>
        </row>
        <row r="60">
          <cell r="A60">
            <v>171521</v>
          </cell>
          <cell r="B60" t="str">
            <v>Motor vehicles: Asset clearing</v>
          </cell>
        </row>
        <row r="61">
          <cell r="A61">
            <v>171560</v>
          </cell>
          <cell r="B61" t="str">
            <v>Motor vehicles: Accumulated depreciation/amortization (Provision)</v>
          </cell>
        </row>
        <row r="62">
          <cell r="A62">
            <v>172020</v>
          </cell>
          <cell r="B62" t="str">
            <v>Furniture &amp; fixtures:Asset cost</v>
          </cell>
        </row>
        <row r="63">
          <cell r="A63">
            <v>172021</v>
          </cell>
          <cell r="B63" t="str">
            <v>Furniture &amp; fixtures:Asset clearing</v>
          </cell>
        </row>
        <row r="64">
          <cell r="A64">
            <v>172060</v>
          </cell>
          <cell r="B64" t="str">
            <v>Furniture &amp; fixtures:Accumulated depreciation/amortization (Provision)</v>
          </cell>
        </row>
        <row r="65">
          <cell r="A65">
            <v>173120</v>
          </cell>
          <cell r="B65" t="str">
            <v>Intangible Asset: Asset cost</v>
          </cell>
        </row>
        <row r="66">
          <cell r="A66">
            <v>173121</v>
          </cell>
          <cell r="B66" t="str">
            <v>Intangible Asset: Asset clearing</v>
          </cell>
        </row>
        <row r="67">
          <cell r="A67">
            <v>173130</v>
          </cell>
          <cell r="B67" t="str">
            <v>Intangible Asset: CIP cost</v>
          </cell>
        </row>
        <row r="68">
          <cell r="A68">
            <v>173160</v>
          </cell>
          <cell r="B68" t="str">
            <v>Intangible Asset: Accumulated depreciation/amortization (Provision)</v>
          </cell>
        </row>
        <row r="69">
          <cell r="A69">
            <v>200110</v>
          </cell>
          <cell r="B69" t="str">
            <v>Approved invoices - for payment</v>
          </cell>
        </row>
        <row r="70">
          <cell r="A70">
            <v>200120</v>
          </cell>
          <cell r="B70" t="str">
            <v>Approved invoices - for offset recovery</v>
          </cell>
        </row>
        <row r="71">
          <cell r="A71">
            <v>200130</v>
          </cell>
          <cell r="B71" t="str">
            <v>Accrued purchases - Invoice received pending approval</v>
          </cell>
        </row>
        <row r="72">
          <cell r="A72">
            <v>201101</v>
          </cell>
          <cell r="B72" t="str">
            <v>AD Pension Fund - Employer's (Govt) share (15%)</v>
          </cell>
        </row>
        <row r="73">
          <cell r="A73">
            <v>201102</v>
          </cell>
          <cell r="B73" t="str">
            <v>AD Pension Fund - Employee's share (5%)</v>
          </cell>
        </row>
        <row r="74">
          <cell r="A74">
            <v>201103</v>
          </cell>
          <cell r="B74" t="str">
            <v>AD Pension Fund - Other deductions/dues</v>
          </cell>
        </row>
        <row r="75">
          <cell r="A75">
            <v>201301</v>
          </cell>
          <cell r="B75" t="str">
            <v>Payable - Bahrain Pension Fund</v>
          </cell>
        </row>
        <row r="76">
          <cell r="A76">
            <v>201302</v>
          </cell>
          <cell r="B76" t="str">
            <v>Payable - Saudi Arabia Pension Fund</v>
          </cell>
        </row>
        <row r="77">
          <cell r="A77">
            <v>201305</v>
          </cell>
          <cell r="B77" t="str">
            <v>Payable - Oman Pension Fund</v>
          </cell>
        </row>
        <row r="78">
          <cell r="A78">
            <v>201602</v>
          </cell>
          <cell r="B78" t="str">
            <v>Nafaka beneficiaries</v>
          </cell>
        </row>
        <row r="79">
          <cell r="A79">
            <v>201701</v>
          </cell>
          <cell r="B79" t="str">
            <v>Advances received from customers</v>
          </cell>
        </row>
        <row r="80">
          <cell r="A80">
            <v>202510</v>
          </cell>
          <cell r="B80" t="str">
            <v>Output VAT payable</v>
          </cell>
        </row>
        <row r="81">
          <cell r="A81">
            <v>202550</v>
          </cell>
          <cell r="B81" t="str">
            <v>Reverse Charge output VAT payable</v>
          </cell>
        </row>
        <row r="82">
          <cell r="A82">
            <v>211111</v>
          </cell>
          <cell r="B82" t="str">
            <v>Expense AP Accrual - Inventories in receiving area (pre-inspection)</v>
          </cell>
        </row>
        <row r="83">
          <cell r="A83">
            <v>213600</v>
          </cell>
          <cell r="B83" t="str">
            <v>Other accrued expenses</v>
          </cell>
        </row>
        <row r="84">
          <cell r="A84">
            <v>213800</v>
          </cell>
          <cell r="B84" t="str">
            <v>Accrued stipend/remuneration payable to students in Educational Institutes</v>
          </cell>
        </row>
        <row r="85">
          <cell r="A85">
            <v>215100</v>
          </cell>
          <cell r="B85" t="str">
            <v>Expense payroll accrual - pending payment</v>
          </cell>
        </row>
        <row r="86">
          <cell r="A86">
            <v>215401</v>
          </cell>
          <cell r="B86" t="str">
            <v>Vacation pay</v>
          </cell>
        </row>
        <row r="87">
          <cell r="A87">
            <v>219110</v>
          </cell>
          <cell r="B87" t="str">
            <v>Corporate Credit Card Account</v>
          </cell>
        </row>
        <row r="88">
          <cell r="A88">
            <v>230400</v>
          </cell>
          <cell r="B88" t="str">
            <v>Grants and other transfer receipts</v>
          </cell>
        </row>
        <row r="89">
          <cell r="A89">
            <v>230800</v>
          </cell>
          <cell r="B89" t="str">
            <v>Deferred Revenues: Unearned Revenue</v>
          </cell>
        </row>
        <row r="90">
          <cell r="A90">
            <v>235199</v>
          </cell>
          <cell r="B90" t="str">
            <v>Regulatory deposits: Other</v>
          </cell>
        </row>
        <row r="91">
          <cell r="A91">
            <v>235210</v>
          </cell>
          <cell r="B91" t="str">
            <v>Contract retention deposits</v>
          </cell>
        </row>
        <row r="92">
          <cell r="A92">
            <v>235230</v>
          </cell>
          <cell r="B92" t="str">
            <v>Deposit for performance/delivery execution</v>
          </cell>
        </row>
        <row r="93">
          <cell r="A93">
            <v>235301</v>
          </cell>
          <cell r="B93" t="str">
            <v>Undisbursed salaries</v>
          </cell>
        </row>
        <row r="94">
          <cell r="A94">
            <v>235304</v>
          </cell>
          <cell r="B94" t="str">
            <v>Retention (contracted employees)</v>
          </cell>
        </row>
        <row r="95">
          <cell r="A95">
            <v>235630</v>
          </cell>
          <cell r="B95" t="str">
            <v>Unpaid chqs &amp; voided pyts (other than AP/Payroll system-related)</v>
          </cell>
        </row>
        <row r="96">
          <cell r="A96">
            <v>235990</v>
          </cell>
          <cell r="B96" t="str">
            <v>Other suspense receipts</v>
          </cell>
        </row>
        <row r="97">
          <cell r="A97">
            <v>236010</v>
          </cell>
          <cell r="B97" t="str">
            <v>Unidendified receipt (Customer not known)</v>
          </cell>
        </row>
        <row r="98">
          <cell r="A98">
            <v>236020</v>
          </cell>
          <cell r="B98" t="str">
            <v>Unapplied receipt (invoice unmatched)</v>
          </cell>
        </row>
        <row r="99">
          <cell r="A99">
            <v>236030</v>
          </cell>
          <cell r="B99" t="str">
            <v>Receipt on account (invoice not issued)</v>
          </cell>
        </row>
        <row r="100">
          <cell r="A100">
            <v>236101</v>
          </cell>
          <cell r="B100" t="str">
            <v>Customers Deposits</v>
          </cell>
        </row>
        <row r="101">
          <cell r="A101">
            <v>265501</v>
          </cell>
          <cell r="B101" t="str">
            <v>End-of-service gratuity</v>
          </cell>
        </row>
        <row r="102">
          <cell r="A102">
            <v>285630</v>
          </cell>
          <cell r="B102" t="str">
            <v>Other voided payments (not written back to AP/Payroll/Beneficiary)</v>
          </cell>
        </row>
        <row r="103">
          <cell r="A103">
            <v>331220</v>
          </cell>
          <cell r="B103" t="str">
            <v>Interest - Term deposits</v>
          </cell>
        </row>
        <row r="104">
          <cell r="A104">
            <v>335210</v>
          </cell>
          <cell r="B104" t="str">
            <v>Building rent: Commercial properties (including shops)</v>
          </cell>
        </row>
        <row r="105">
          <cell r="A105">
            <v>335220</v>
          </cell>
          <cell r="B105" t="str">
            <v>Building rent: Residences</v>
          </cell>
        </row>
        <row r="106">
          <cell r="A106">
            <v>351201</v>
          </cell>
          <cell r="B106" t="str">
            <v>TSA Transfers Received for DoF Treasury</v>
          </cell>
        </row>
        <row r="107">
          <cell r="A107">
            <v>365050</v>
          </cell>
          <cell r="B107" t="str">
            <v>Overhead recovery margin</v>
          </cell>
        </row>
        <row r="108">
          <cell r="A108">
            <v>365102</v>
          </cell>
          <cell r="B108" t="str">
            <v>Chgs for services to other govt units</v>
          </cell>
        </row>
        <row r="109">
          <cell r="A109">
            <v>365302</v>
          </cell>
          <cell r="B109" t="str">
            <v>Certificate issuance fee</v>
          </cell>
        </row>
        <row r="110">
          <cell r="A110">
            <v>365303</v>
          </cell>
          <cell r="B110" t="str">
            <v>Identity card issuance fee</v>
          </cell>
        </row>
        <row r="111">
          <cell r="A111">
            <v>365305</v>
          </cell>
          <cell r="B111" t="str">
            <v>Replacement fee for lost document</v>
          </cell>
        </row>
        <row r="112">
          <cell r="A112">
            <v>365405</v>
          </cell>
          <cell r="B112" t="str">
            <v>Student Transportation Charges</v>
          </cell>
        </row>
        <row r="113">
          <cell r="A113">
            <v>365471</v>
          </cell>
          <cell r="B113" t="str">
            <v>Educational Services-Sponsorship Income</v>
          </cell>
        </row>
        <row r="114">
          <cell r="A114">
            <v>367210</v>
          </cell>
          <cell r="B114" t="str">
            <v>Copying and printing documents</v>
          </cell>
        </row>
        <row r="115">
          <cell r="A115">
            <v>367330</v>
          </cell>
          <cell r="B115" t="str">
            <v>Training - General</v>
          </cell>
        </row>
        <row r="116">
          <cell r="A116">
            <v>367340</v>
          </cell>
          <cell r="B116" t="str">
            <v>Tuition fee</v>
          </cell>
        </row>
        <row r="117">
          <cell r="A117">
            <v>367350</v>
          </cell>
          <cell r="B117" t="str">
            <v>Sale of textbooks &amp; educational publication</v>
          </cell>
        </row>
        <row r="118">
          <cell r="A118">
            <v>367510</v>
          </cell>
          <cell r="B118" t="str">
            <v>Food and beverage supply</v>
          </cell>
        </row>
        <row r="119">
          <cell r="A119">
            <v>368104</v>
          </cell>
          <cell r="B119" t="str">
            <v>Parks &amp; gardens - Entrance charges</v>
          </cell>
        </row>
        <row r="120">
          <cell r="A120">
            <v>369000</v>
          </cell>
          <cell r="B120" t="str">
            <v>Other services:</v>
          </cell>
        </row>
        <row r="121">
          <cell r="A121">
            <v>377310</v>
          </cell>
          <cell r="B121" t="str">
            <v>Forfeiture of deposit</v>
          </cell>
        </row>
        <row r="122">
          <cell r="A122">
            <v>378110</v>
          </cell>
          <cell r="B122" t="str">
            <v>Penalty or liquidated damages</v>
          </cell>
        </row>
        <row r="123">
          <cell r="A123">
            <v>378120</v>
          </cell>
          <cell r="B123" t="str">
            <v>Administrative charge for default</v>
          </cell>
        </row>
        <row r="124">
          <cell r="A124">
            <v>382020</v>
          </cell>
          <cell r="B124" t="str">
            <v>FX translation gain(loss)-Transactions</v>
          </cell>
        </row>
        <row r="125">
          <cell r="A125">
            <v>382220</v>
          </cell>
          <cell r="B125" t="str">
            <v>Property damage</v>
          </cell>
        </row>
        <row r="126">
          <cell r="A126">
            <v>382500</v>
          </cell>
          <cell r="B126" t="str">
            <v>Insurance claim receipts</v>
          </cell>
        </row>
        <row r="127">
          <cell r="A127">
            <v>385007</v>
          </cell>
          <cell r="B127" t="str">
            <v>Gross Proceeds from Other assets</v>
          </cell>
        </row>
        <row r="128">
          <cell r="A128">
            <v>385100</v>
          </cell>
          <cell r="B128" t="str">
            <v>Written down value of assets sold/(disposed):</v>
          </cell>
        </row>
        <row r="129">
          <cell r="A129">
            <v>386000</v>
          </cell>
          <cell r="B129" t="str">
            <v>Sundry receipts</v>
          </cell>
        </row>
        <row r="130">
          <cell r="A130">
            <v>388000</v>
          </cell>
          <cell r="B130" t="str">
            <v>Refund of prior year expenditure</v>
          </cell>
        </row>
        <row r="131">
          <cell r="A131">
            <v>412110</v>
          </cell>
          <cell r="B131" t="str">
            <v>Consolidated pay (combined salaries and allowances)</v>
          </cell>
        </row>
        <row r="132">
          <cell r="A132">
            <v>412121</v>
          </cell>
          <cell r="B132" t="str">
            <v>Basic salary</v>
          </cell>
        </row>
        <row r="133">
          <cell r="A133">
            <v>412123</v>
          </cell>
          <cell r="B133" t="str">
            <v>Nationality allowance - Regular situation</v>
          </cell>
        </row>
        <row r="134">
          <cell r="A134">
            <v>412125</v>
          </cell>
          <cell r="B134" t="str">
            <v>Cost of living adjustment pay (COLA)</v>
          </cell>
        </row>
        <row r="135">
          <cell r="A135">
            <v>412151</v>
          </cell>
          <cell r="B135" t="str">
            <v>Committee pay / Board Member/Board of Trustees fee</v>
          </cell>
        </row>
        <row r="136">
          <cell r="A136">
            <v>412168</v>
          </cell>
          <cell r="B136" t="str">
            <v>Year of Zayed 2018 Bonus payments</v>
          </cell>
        </row>
        <row r="137">
          <cell r="A137">
            <v>412184</v>
          </cell>
          <cell r="B137" t="str">
            <v>Vacation pay (including cash in lieu payment)</v>
          </cell>
        </row>
        <row r="138">
          <cell r="A138">
            <v>412511</v>
          </cell>
          <cell r="B138" t="str">
            <v>Consolidated allowances: Emirati employees</v>
          </cell>
        </row>
        <row r="139">
          <cell r="A139">
            <v>412512</v>
          </cell>
          <cell r="B139" t="str">
            <v>Consolidated allowances: Expatriate employees</v>
          </cell>
        </row>
        <row r="140">
          <cell r="A140">
            <v>412521</v>
          </cell>
          <cell r="B140" t="str">
            <v>Administration allowance (including Mansab)</v>
          </cell>
        </row>
        <row r="141">
          <cell r="A141">
            <v>412523</v>
          </cell>
          <cell r="B141" t="str">
            <v>Child allowance</v>
          </cell>
        </row>
        <row r="142">
          <cell r="A142">
            <v>412526</v>
          </cell>
          <cell r="B142" t="str">
            <v>Housing allowance</v>
          </cell>
        </row>
        <row r="143">
          <cell r="A143">
            <v>412534</v>
          </cell>
          <cell r="B143" t="str">
            <v>School fee reimbursements</v>
          </cell>
        </row>
        <row r="144">
          <cell r="A144">
            <v>412540</v>
          </cell>
          <cell r="B144" t="str">
            <v>Telephone allowance</v>
          </cell>
        </row>
        <row r="145">
          <cell r="A145">
            <v>412542</v>
          </cell>
          <cell r="B145" t="str">
            <v>Other allowances (miscellaneous)</v>
          </cell>
        </row>
        <row r="146">
          <cell r="A146">
            <v>412544</v>
          </cell>
          <cell r="B146" t="str">
            <v>Social allowance</v>
          </cell>
        </row>
        <row r="147">
          <cell r="A147">
            <v>412546</v>
          </cell>
          <cell r="B147" t="str">
            <v>Travel allowance</v>
          </cell>
        </row>
        <row r="148">
          <cell r="A148">
            <v>412572</v>
          </cell>
          <cell r="B148" t="str">
            <v>Furniture grant</v>
          </cell>
        </row>
        <row r="149">
          <cell r="A149">
            <v>412590</v>
          </cell>
          <cell r="B149" t="str">
            <v>Rounding up cost of net pay</v>
          </cell>
        </row>
        <row r="150">
          <cell r="A150">
            <v>413121</v>
          </cell>
          <cell r="B150" t="str">
            <v>Basic salary</v>
          </cell>
        </row>
        <row r="151">
          <cell r="A151">
            <v>414120</v>
          </cell>
          <cell r="B151" t="str">
            <v>Gratuity - Non-pensionable employees</v>
          </cell>
        </row>
        <row r="152">
          <cell r="A152">
            <v>415110</v>
          </cell>
          <cell r="B152" t="str">
            <v>Govt contr - ADRB&amp;Pension</v>
          </cell>
        </row>
        <row r="153">
          <cell r="A153">
            <v>415181</v>
          </cell>
          <cell r="B153" t="str">
            <v>Govt contr - Bahrain Pension</v>
          </cell>
        </row>
        <row r="154">
          <cell r="A154">
            <v>415182</v>
          </cell>
          <cell r="B154" t="str">
            <v>Govt contr - Saudi Pension</v>
          </cell>
        </row>
        <row r="155">
          <cell r="A155">
            <v>415185</v>
          </cell>
          <cell r="B155" t="str">
            <v>Govt contr - Oman Pension</v>
          </cell>
        </row>
        <row r="156">
          <cell r="A156">
            <v>415210</v>
          </cell>
          <cell r="B156" t="str">
            <v>Recruitment expenses</v>
          </cell>
        </row>
        <row r="157">
          <cell r="A157">
            <v>415220</v>
          </cell>
          <cell r="B157" t="str">
            <v>UAE visa requirement costs</v>
          </cell>
        </row>
        <row r="158">
          <cell r="A158">
            <v>415230</v>
          </cell>
          <cell r="B158" t="str">
            <v>Relocation expenses</v>
          </cell>
        </row>
        <row r="159">
          <cell r="A159">
            <v>415353</v>
          </cell>
          <cell r="B159" t="str">
            <v>Other employee training costs</v>
          </cell>
        </row>
        <row r="160">
          <cell r="A160">
            <v>415410</v>
          </cell>
          <cell r="B160" t="str">
            <v>Staff welfare, sports and recreation expenses</v>
          </cell>
        </row>
        <row r="161">
          <cell r="A161">
            <v>416110</v>
          </cell>
          <cell r="B161" t="str">
            <v>Employee travel costs - Fares</v>
          </cell>
        </row>
        <row r="162">
          <cell r="A162">
            <v>416210</v>
          </cell>
          <cell r="B162" t="str">
            <v>Rent for staff residences</v>
          </cell>
        </row>
        <row r="163">
          <cell r="A163">
            <v>416310</v>
          </cell>
          <cell r="B163" t="str">
            <v>Medical insurance premium</v>
          </cell>
        </row>
        <row r="164">
          <cell r="A164">
            <v>416930</v>
          </cell>
          <cell r="B164" t="str">
            <v>Life insurance premiums</v>
          </cell>
        </row>
        <row r="165">
          <cell r="A165">
            <v>420120</v>
          </cell>
          <cell r="B165" t="str">
            <v>Internal Audit service</v>
          </cell>
        </row>
        <row r="166">
          <cell r="A166">
            <v>420130</v>
          </cell>
          <cell r="B166" t="str">
            <v>External Audit service</v>
          </cell>
        </row>
        <row r="167">
          <cell r="A167">
            <v>420310</v>
          </cell>
          <cell r="B167" t="str">
            <v>Cleaning: Business premises</v>
          </cell>
        </row>
        <row r="168">
          <cell r="A168">
            <v>420550</v>
          </cell>
          <cell r="B168" t="str">
            <v>Academic Advisory Service</v>
          </cell>
        </row>
        <row r="169">
          <cell r="A169">
            <v>420570</v>
          </cell>
          <cell r="B169" t="str">
            <v>Academic Collaborative Partnership Services</v>
          </cell>
        </row>
        <row r="170">
          <cell r="A170">
            <v>420810</v>
          </cell>
          <cell r="B170" t="str">
            <v>IT Systems &amp; Support expenses</v>
          </cell>
        </row>
        <row r="171">
          <cell r="A171">
            <v>420900</v>
          </cell>
          <cell r="B171" t="str">
            <v>Legal services</v>
          </cell>
        </row>
        <row r="172">
          <cell r="A172">
            <v>421000</v>
          </cell>
          <cell r="B172" t="str">
            <v>Management consultancy</v>
          </cell>
        </row>
        <row r="173">
          <cell r="A173">
            <v>421100</v>
          </cell>
          <cell r="B173" t="str">
            <v>Manpower supply</v>
          </cell>
        </row>
        <row r="174">
          <cell r="A174">
            <v>421600</v>
          </cell>
          <cell r="B174" t="str">
            <v>Security service</v>
          </cell>
        </row>
        <row r="175">
          <cell r="A175">
            <v>421700</v>
          </cell>
          <cell r="B175" t="str">
            <v>Standards certification (e.g. ISO)</v>
          </cell>
        </row>
        <row r="176">
          <cell r="A176">
            <v>422100</v>
          </cell>
          <cell r="B176" t="str">
            <v>Waste management service</v>
          </cell>
        </row>
        <row r="177">
          <cell r="A177">
            <v>422900</v>
          </cell>
          <cell r="B177" t="str">
            <v>Other specialised professional services, not mentioned elsewhere</v>
          </cell>
        </row>
        <row r="178">
          <cell r="A178">
            <v>425100</v>
          </cell>
          <cell r="B178" t="str">
            <v>Advertising</v>
          </cell>
        </row>
        <row r="179">
          <cell r="A179">
            <v>425300</v>
          </cell>
          <cell r="B179" t="str">
            <v>Banking service charges</v>
          </cell>
        </row>
        <row r="180">
          <cell r="A180">
            <v>425350</v>
          </cell>
          <cell r="B180" t="str">
            <v>Fees for processing e-payments</v>
          </cell>
        </row>
        <row r="181">
          <cell r="A181">
            <v>425510</v>
          </cell>
          <cell r="B181" t="str">
            <v>Conferences, seminars and exhibitions and other events: - Local Events</v>
          </cell>
        </row>
        <row r="182">
          <cell r="A182">
            <v>425550</v>
          </cell>
          <cell r="B182" t="str">
            <v>Conferences, seminars and exhibitions and other events: - Overseas event</v>
          </cell>
        </row>
        <row r="183">
          <cell r="A183">
            <v>425720</v>
          </cell>
          <cell r="B183" t="str">
            <v>Education-Outsourced training service</v>
          </cell>
        </row>
        <row r="184">
          <cell r="A184">
            <v>425740</v>
          </cell>
          <cell r="B184" t="str">
            <v>Scholarships &amp; other financial aid</v>
          </cell>
        </row>
        <row r="185">
          <cell r="A185">
            <v>425741</v>
          </cell>
          <cell r="B185" t="str">
            <v>Student stipend</v>
          </cell>
        </row>
        <row r="186">
          <cell r="A186">
            <v>425742</v>
          </cell>
          <cell r="B186" t="str">
            <v>Enrollment expenses</v>
          </cell>
        </row>
        <row r="187">
          <cell r="A187">
            <v>425743</v>
          </cell>
          <cell r="B187" t="str">
            <v>Graduation rewards</v>
          </cell>
        </row>
        <row r="188">
          <cell r="A188">
            <v>425744</v>
          </cell>
          <cell r="B188" t="str">
            <v>Student medical insurance</v>
          </cell>
        </row>
        <row r="189">
          <cell r="A189">
            <v>425745</v>
          </cell>
          <cell r="B189" t="str">
            <v>Student relocation &amp; travel exps</v>
          </cell>
        </row>
        <row r="190">
          <cell r="A190">
            <v>425746</v>
          </cell>
          <cell r="B190" t="str">
            <v>Student Transport</v>
          </cell>
        </row>
        <row r="191">
          <cell r="A191">
            <v>425747</v>
          </cell>
          <cell r="B191" t="str">
            <v>Student Accommodation</v>
          </cell>
        </row>
        <row r="192">
          <cell r="A192">
            <v>425749</v>
          </cell>
          <cell r="B192" t="str">
            <v>Postgraduate Student Salaries</v>
          </cell>
        </row>
        <row r="193">
          <cell r="A193">
            <v>425750</v>
          </cell>
          <cell r="B193" t="str">
            <v>Skill assessment service</v>
          </cell>
        </row>
        <row r="194">
          <cell r="A194">
            <v>425760</v>
          </cell>
          <cell r="B194" t="str">
            <v>Student activities &amp; field trip expenses</v>
          </cell>
        </row>
        <row r="195">
          <cell r="A195">
            <v>425761</v>
          </cell>
          <cell r="B195" t="str">
            <v>Student Field trips</v>
          </cell>
        </row>
        <row r="196">
          <cell r="A196">
            <v>425762</v>
          </cell>
          <cell r="B196" t="str">
            <v>Student Internship</v>
          </cell>
        </row>
        <row r="197">
          <cell r="A197">
            <v>425763</v>
          </cell>
          <cell r="B197" t="str">
            <v>Student Project Expenses</v>
          </cell>
        </row>
        <row r="198">
          <cell r="A198">
            <v>425770</v>
          </cell>
          <cell r="B198" t="str">
            <v>Academic Missions - Combined expenses</v>
          </cell>
        </row>
        <row r="199">
          <cell r="A199">
            <v>425900</v>
          </cell>
          <cell r="B199" t="str">
            <v>Entertainment and hospitality</v>
          </cell>
        </row>
        <row r="200">
          <cell r="A200">
            <v>426100</v>
          </cell>
          <cell r="B200" t="str">
            <v>Freight and shipping costs, not included elsewhere under purchase costs</v>
          </cell>
        </row>
        <row r="201">
          <cell r="A201">
            <v>426210</v>
          </cell>
          <cell r="B201" t="str">
            <v>Insurance - Cash and fidelity</v>
          </cell>
        </row>
        <row r="202">
          <cell r="A202">
            <v>426220</v>
          </cell>
          <cell r="B202" t="str">
            <v>Insurance - Fire and allied perils</v>
          </cell>
        </row>
        <row r="203">
          <cell r="A203">
            <v>426250</v>
          </cell>
          <cell r="B203" t="str">
            <v>Insurance - Motor vehicles</v>
          </cell>
        </row>
        <row r="204">
          <cell r="A204">
            <v>426290</v>
          </cell>
          <cell r="B204" t="str">
            <v>Insurance - Other</v>
          </cell>
        </row>
        <row r="205">
          <cell r="A205">
            <v>426610</v>
          </cell>
          <cell r="B205" t="str">
            <v>Computer software licenses</v>
          </cell>
        </row>
        <row r="206">
          <cell r="A206">
            <v>426751</v>
          </cell>
          <cell r="B206" t="str">
            <v>Local Medical treatment expenses including preventive testing</v>
          </cell>
        </row>
        <row r="207">
          <cell r="A207">
            <v>426800</v>
          </cell>
          <cell r="B207" t="str">
            <v>Motor vehicle registration and inspection charges</v>
          </cell>
        </row>
        <row r="208">
          <cell r="A208">
            <v>426900</v>
          </cell>
          <cell r="B208" t="str">
            <v>Postal, courier and other document delivery expenses</v>
          </cell>
        </row>
        <row r="209">
          <cell r="A209">
            <v>427100</v>
          </cell>
          <cell r="B209" t="str">
            <v>Public relations</v>
          </cell>
        </row>
        <row r="210">
          <cell r="A210">
            <v>427200</v>
          </cell>
          <cell r="B210" t="str">
            <v>Printing and publishing</v>
          </cell>
        </row>
        <row r="211">
          <cell r="A211">
            <v>427710</v>
          </cell>
          <cell r="B211" t="str">
            <v>Subscriptions and membership fees: Trade organisations</v>
          </cell>
        </row>
        <row r="212">
          <cell r="A212">
            <v>427810</v>
          </cell>
          <cell r="B212" t="str">
            <v>Telephone and telefax charges</v>
          </cell>
        </row>
        <row r="213">
          <cell r="A213">
            <v>427850</v>
          </cell>
          <cell r="B213" t="str">
            <v>Data Transmission charges</v>
          </cell>
        </row>
        <row r="214">
          <cell r="A214">
            <v>427900</v>
          </cell>
          <cell r="B214" t="str">
            <v>Translation and interpretation service</v>
          </cell>
        </row>
        <row r="215">
          <cell r="A215">
            <v>428090</v>
          </cell>
          <cell r="B215" t="str">
            <v>Business Travel - Combined expenses</v>
          </cell>
        </row>
        <row r="216">
          <cell r="A216">
            <v>428111</v>
          </cell>
          <cell r="B216" t="str">
            <v>Electricity consumption charges</v>
          </cell>
        </row>
        <row r="217">
          <cell r="A217">
            <v>428112</v>
          </cell>
          <cell r="B217" t="str">
            <v>Water consumption charges</v>
          </cell>
        </row>
        <row r="218">
          <cell r="A218">
            <v>428200</v>
          </cell>
          <cell r="B218" t="str">
            <v>Health,safety&amp;environment awareness</v>
          </cell>
        </row>
        <row r="219">
          <cell r="A219">
            <v>428400</v>
          </cell>
          <cell r="B219" t="str">
            <v>Sponsorship expenses/contributions</v>
          </cell>
        </row>
        <row r="220">
          <cell r="A220">
            <v>428640</v>
          </cell>
          <cell r="B220" t="str">
            <v>Events - Awards, prizes &amp; gifts</v>
          </cell>
        </row>
        <row r="221">
          <cell r="A221">
            <v>430120</v>
          </cell>
          <cell r="B221" t="str">
            <v>Rental - Buildings, other than staff residences</v>
          </cell>
        </row>
        <row r="222">
          <cell r="A222">
            <v>430230</v>
          </cell>
          <cell r="B222" t="str">
            <v>Rental - Equipment</v>
          </cell>
        </row>
        <row r="223">
          <cell r="A223">
            <v>430330</v>
          </cell>
          <cell r="B223" t="str">
            <v>Rental - Motor vehicles</v>
          </cell>
        </row>
        <row r="224">
          <cell r="A224">
            <v>432120</v>
          </cell>
          <cell r="B224" t="str">
            <v>Bldg maintenance-Business premises</v>
          </cell>
        </row>
        <row r="225">
          <cell r="A225">
            <v>432170</v>
          </cell>
          <cell r="B225" t="str">
            <v>Bldg decoration &amp; minor improvements</v>
          </cell>
        </row>
        <row r="226">
          <cell r="A226">
            <v>432205</v>
          </cell>
          <cell r="B226" t="str">
            <v>Computers and peripherals</v>
          </cell>
        </row>
        <row r="227">
          <cell r="A227">
            <v>432209</v>
          </cell>
          <cell r="B227" t="str">
            <v>Laboratory equipment</v>
          </cell>
        </row>
        <row r="228">
          <cell r="A228">
            <v>432320</v>
          </cell>
          <cell r="B228" t="str">
            <v>Residential Furniture and fixtures</v>
          </cell>
        </row>
        <row r="229">
          <cell r="A229">
            <v>432540</v>
          </cell>
          <cell r="B229" t="str">
            <v>Motor vehicles (non-military)</v>
          </cell>
        </row>
        <row r="230">
          <cell r="A230">
            <v>432690</v>
          </cell>
          <cell r="B230" t="str">
            <v>Plant, machinery and heavy equipment, not mentioned elsewhere</v>
          </cell>
        </row>
        <row r="231">
          <cell r="A231">
            <v>435011</v>
          </cell>
          <cell r="B231" t="str">
            <v>Cost of goods sold</v>
          </cell>
        </row>
        <row r="232">
          <cell r="A232">
            <v>435310</v>
          </cell>
          <cell r="B232" t="str">
            <v>Newspapers, magazines, journals, etc</v>
          </cell>
        </row>
        <row r="233">
          <cell r="A233">
            <v>435330</v>
          </cell>
          <cell r="B233" t="str">
            <v>Library books</v>
          </cell>
        </row>
        <row r="234">
          <cell r="A234">
            <v>435340</v>
          </cell>
          <cell r="B234" t="str">
            <v>Text books and library books</v>
          </cell>
        </row>
        <row r="235">
          <cell r="A235">
            <v>435350</v>
          </cell>
          <cell r="B235" t="str">
            <v>Academic Publications</v>
          </cell>
        </row>
        <row r="236">
          <cell r="A236">
            <v>435410</v>
          </cell>
          <cell r="B236" t="str">
            <v>Catering supplies: Offices</v>
          </cell>
        </row>
        <row r="237">
          <cell r="A237">
            <v>435508</v>
          </cell>
          <cell r="B237" t="str">
            <v>Laboratory - Scientific</v>
          </cell>
        </row>
        <row r="238">
          <cell r="A238">
            <v>435510</v>
          </cell>
          <cell r="B238" t="str">
            <v>Landscaping and other horticulture</v>
          </cell>
        </row>
        <row r="239">
          <cell r="A239">
            <v>435519</v>
          </cell>
          <cell r="B239" t="str">
            <v>Photography - Consumable materials /Tools</v>
          </cell>
        </row>
        <row r="240">
          <cell r="A240">
            <v>435523</v>
          </cell>
          <cell r="B240" t="str">
            <v>Scientific</v>
          </cell>
        </row>
        <row r="241">
          <cell r="A241">
            <v>435530</v>
          </cell>
          <cell r="B241" t="str">
            <v>School consumables, not specifically mentioned elsewhere</v>
          </cell>
        </row>
        <row r="242">
          <cell r="A242">
            <v>435740</v>
          </cell>
          <cell r="B242" t="str">
            <v>Fuel, oil and lubricants: Motor vehicles</v>
          </cell>
        </row>
        <row r="243">
          <cell r="A243">
            <v>436110</v>
          </cell>
          <cell r="B243" t="str">
            <v>Printing supplies</v>
          </cell>
        </row>
        <row r="244">
          <cell r="A244">
            <v>436120</v>
          </cell>
          <cell r="B244" t="str">
            <v>Stationery</v>
          </cell>
        </row>
        <row r="245">
          <cell r="A245">
            <v>436220</v>
          </cell>
          <cell r="B245" t="str">
            <v>Road signs</v>
          </cell>
        </row>
        <row r="246">
          <cell r="A246">
            <v>436600</v>
          </cell>
          <cell r="B246" t="str">
            <v>Training/Teaching equipment and other educational aid</v>
          </cell>
        </row>
        <row r="247">
          <cell r="A247">
            <v>436910</v>
          </cell>
          <cell r="B247" t="str">
            <v>Charges for Artwork/Exhibits on Loan</v>
          </cell>
        </row>
        <row r="248">
          <cell r="A248">
            <v>452201</v>
          </cell>
          <cell r="B248" t="str">
            <v>Revenue Transfer to Treasury</v>
          </cell>
        </row>
        <row r="249">
          <cell r="A249">
            <v>473050</v>
          </cell>
          <cell r="B249" t="str">
            <v>Bad Debts - Other</v>
          </cell>
        </row>
        <row r="250">
          <cell r="A250">
            <v>475210</v>
          </cell>
          <cell r="B250" t="str">
            <v>Depreciation - Buildings</v>
          </cell>
        </row>
        <row r="251">
          <cell r="A251">
            <v>475220</v>
          </cell>
          <cell r="B251" t="str">
            <v>Depreciation Chg - Plant, machinery and equipment</v>
          </cell>
        </row>
        <row r="252">
          <cell r="A252">
            <v>475230</v>
          </cell>
          <cell r="B252" t="str">
            <v>Depreciation Chg - Vehicles, ships and aircraft</v>
          </cell>
        </row>
        <row r="253">
          <cell r="A253">
            <v>475240</v>
          </cell>
          <cell r="B253" t="str">
            <v>Depreciation Chg - Furniture and fixtures</v>
          </cell>
        </row>
        <row r="254">
          <cell r="A254">
            <v>475250</v>
          </cell>
          <cell r="B254" t="str">
            <v>Depreciation Chg - Computer software</v>
          </cell>
        </row>
        <row r="255">
          <cell r="A255">
            <v>492200</v>
          </cell>
          <cell r="B255" t="str">
            <v>Capital expense - Buildings</v>
          </cell>
        </row>
        <row r="256">
          <cell r="A256">
            <v>492310</v>
          </cell>
          <cell r="B256" t="str">
            <v>Hardware &amp; peripherals</v>
          </cell>
        </row>
        <row r="257">
          <cell r="A257">
            <v>492316</v>
          </cell>
          <cell r="B257" t="str">
            <v>Laboratory equipment</v>
          </cell>
        </row>
        <row r="258">
          <cell r="A258">
            <v>492610</v>
          </cell>
          <cell r="B258" t="str">
            <v>Furniture &amp; Fixtures - Offices</v>
          </cell>
        </row>
        <row r="259">
          <cell r="A259">
            <v>495140</v>
          </cell>
          <cell r="B259" t="str">
            <v>Copyrights, patents and licenses</v>
          </cell>
        </row>
        <row r="260">
          <cell r="A260">
            <v>502100</v>
          </cell>
          <cell r="B260" t="str">
            <v>General Fund (general reserve)</v>
          </cell>
        </row>
        <row r="261">
          <cell r="A261">
            <v>502200</v>
          </cell>
          <cell r="B261" t="str">
            <v>Retained Earnings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</sheetNames>
    <sheetDataSet>
      <sheetData sheetId="0">
        <row r="3">
          <cell r="F3" t="str">
            <v>Future1</v>
          </cell>
          <cell r="G3" t="str">
            <v>Future1 Description</v>
          </cell>
        </row>
        <row r="4">
          <cell r="F4">
            <v>843006</v>
          </cell>
          <cell r="G4" t="str">
            <v>ADRIC</v>
          </cell>
        </row>
        <row r="5">
          <cell r="F5">
            <v>847001</v>
          </cell>
          <cell r="G5" t="str">
            <v>KUST - General</v>
          </cell>
        </row>
        <row r="6">
          <cell r="F6">
            <v>847001</v>
          </cell>
          <cell r="G6" t="str">
            <v>KUST - General</v>
          </cell>
        </row>
        <row r="7">
          <cell r="F7">
            <v>847001</v>
          </cell>
          <cell r="G7" t="str">
            <v>KUST - General</v>
          </cell>
        </row>
        <row r="8">
          <cell r="F8">
            <v>847001</v>
          </cell>
          <cell r="G8" t="str">
            <v>KUST - General</v>
          </cell>
        </row>
        <row r="9">
          <cell r="F9">
            <v>847001</v>
          </cell>
          <cell r="G9" t="str">
            <v>KUST - General</v>
          </cell>
        </row>
        <row r="10">
          <cell r="F10">
            <v>847001</v>
          </cell>
          <cell r="G10" t="str">
            <v>KUST - General</v>
          </cell>
        </row>
        <row r="11">
          <cell r="F11">
            <v>847001</v>
          </cell>
          <cell r="G11" t="str">
            <v>KUST - General</v>
          </cell>
        </row>
        <row r="12">
          <cell r="F12">
            <v>847001</v>
          </cell>
          <cell r="G12" t="str">
            <v>KUST - General</v>
          </cell>
        </row>
        <row r="13">
          <cell r="F13">
            <v>847001</v>
          </cell>
          <cell r="G13" t="str">
            <v>KUST - General</v>
          </cell>
        </row>
        <row r="14">
          <cell r="F14">
            <v>847001</v>
          </cell>
          <cell r="G14" t="str">
            <v>KUST - General</v>
          </cell>
        </row>
        <row r="15">
          <cell r="F15">
            <v>847001</v>
          </cell>
          <cell r="G15" t="str">
            <v>KUST - General</v>
          </cell>
        </row>
        <row r="16">
          <cell r="F16">
            <v>847001</v>
          </cell>
          <cell r="G16" t="str">
            <v>KUST - General</v>
          </cell>
        </row>
        <row r="17">
          <cell r="F17">
            <v>847001</v>
          </cell>
          <cell r="G17" t="str">
            <v>KUST - General</v>
          </cell>
        </row>
        <row r="18">
          <cell r="F18">
            <v>847001</v>
          </cell>
          <cell r="G18" t="str">
            <v>KUST - General</v>
          </cell>
        </row>
        <row r="19">
          <cell r="F19">
            <v>847001</v>
          </cell>
          <cell r="G19" t="str">
            <v>KUST - General</v>
          </cell>
        </row>
        <row r="20">
          <cell r="F20">
            <v>847001</v>
          </cell>
          <cell r="G20" t="str">
            <v>KUST - General</v>
          </cell>
        </row>
        <row r="21">
          <cell r="F21">
            <v>847001</v>
          </cell>
          <cell r="G21" t="str">
            <v>KUST - General</v>
          </cell>
        </row>
        <row r="22">
          <cell r="F22">
            <v>847001</v>
          </cell>
          <cell r="G22" t="str">
            <v>KUST - General</v>
          </cell>
        </row>
        <row r="23">
          <cell r="F23">
            <v>847001</v>
          </cell>
          <cell r="G23" t="str">
            <v>KUST - General</v>
          </cell>
        </row>
        <row r="24">
          <cell r="F24">
            <v>847001</v>
          </cell>
          <cell r="G24" t="str">
            <v>KUST - General</v>
          </cell>
        </row>
        <row r="25">
          <cell r="F25">
            <v>847001</v>
          </cell>
          <cell r="G25" t="str">
            <v>KUST - General</v>
          </cell>
        </row>
        <row r="26">
          <cell r="F26">
            <v>847001</v>
          </cell>
          <cell r="G26" t="str">
            <v>KUST - General</v>
          </cell>
        </row>
        <row r="27">
          <cell r="F27">
            <v>847001</v>
          </cell>
          <cell r="G27" t="str">
            <v>KUST - General</v>
          </cell>
        </row>
        <row r="28">
          <cell r="F28">
            <v>847001</v>
          </cell>
          <cell r="G28" t="str">
            <v>KUST - General</v>
          </cell>
        </row>
        <row r="29">
          <cell r="F29">
            <v>847001</v>
          </cell>
          <cell r="G29" t="str">
            <v>KUST - General</v>
          </cell>
        </row>
        <row r="30">
          <cell r="F30">
            <v>847001</v>
          </cell>
          <cell r="G30" t="str">
            <v>KUST - General</v>
          </cell>
        </row>
        <row r="31">
          <cell r="F31">
            <v>847001</v>
          </cell>
          <cell r="G31" t="str">
            <v>KUST - General</v>
          </cell>
        </row>
        <row r="32">
          <cell r="F32">
            <v>847001</v>
          </cell>
          <cell r="G32" t="str">
            <v>KUST - General</v>
          </cell>
        </row>
        <row r="33">
          <cell r="F33">
            <v>847001</v>
          </cell>
          <cell r="G33" t="str">
            <v>KUST - General</v>
          </cell>
        </row>
        <row r="34">
          <cell r="F34">
            <v>847001</v>
          </cell>
          <cell r="G34" t="str">
            <v>KUST - General</v>
          </cell>
        </row>
        <row r="35">
          <cell r="F35">
            <v>847001</v>
          </cell>
          <cell r="G35" t="str">
            <v>KUST - General</v>
          </cell>
        </row>
        <row r="36">
          <cell r="F36">
            <v>847001</v>
          </cell>
          <cell r="G36" t="str">
            <v>KUST - General</v>
          </cell>
        </row>
        <row r="37">
          <cell r="F37">
            <v>847001</v>
          </cell>
          <cell r="G37" t="str">
            <v>KUST - General</v>
          </cell>
        </row>
        <row r="38">
          <cell r="F38">
            <v>847001</v>
          </cell>
          <cell r="G38" t="str">
            <v>KUST - General</v>
          </cell>
        </row>
        <row r="39">
          <cell r="F39">
            <v>847001</v>
          </cell>
          <cell r="G39" t="str">
            <v>KUST - General</v>
          </cell>
        </row>
        <row r="40">
          <cell r="F40">
            <v>847001</v>
          </cell>
          <cell r="G40" t="str">
            <v>KUST - General</v>
          </cell>
        </row>
        <row r="41">
          <cell r="F41">
            <v>847001</v>
          </cell>
          <cell r="G41" t="str">
            <v>KUST - General</v>
          </cell>
        </row>
        <row r="42">
          <cell r="F42">
            <v>847001</v>
          </cell>
          <cell r="G42" t="str">
            <v>KUST - General</v>
          </cell>
        </row>
        <row r="43">
          <cell r="F43">
            <v>847001</v>
          </cell>
          <cell r="G43" t="str">
            <v>KUST - General</v>
          </cell>
        </row>
        <row r="44">
          <cell r="F44">
            <v>847001</v>
          </cell>
          <cell r="G44" t="str">
            <v>KUST - General</v>
          </cell>
        </row>
        <row r="45">
          <cell r="F45">
            <v>847001</v>
          </cell>
          <cell r="G45" t="str">
            <v>KUST - General</v>
          </cell>
        </row>
        <row r="46">
          <cell r="F46">
            <v>847001</v>
          </cell>
          <cell r="G46" t="str">
            <v>KUST - General</v>
          </cell>
        </row>
        <row r="47">
          <cell r="F47">
            <v>847001</v>
          </cell>
          <cell r="G47" t="str">
            <v>KUST - General</v>
          </cell>
        </row>
        <row r="48">
          <cell r="F48">
            <v>847001</v>
          </cell>
          <cell r="G48" t="str">
            <v>KUST - General</v>
          </cell>
        </row>
        <row r="49">
          <cell r="F49">
            <v>847001</v>
          </cell>
          <cell r="G49" t="str">
            <v>KUST - General</v>
          </cell>
        </row>
        <row r="50">
          <cell r="F50">
            <v>847001</v>
          </cell>
          <cell r="G50" t="str">
            <v>KUST - General</v>
          </cell>
        </row>
        <row r="51">
          <cell r="F51">
            <v>847001</v>
          </cell>
          <cell r="G51" t="str">
            <v>KUST - General</v>
          </cell>
        </row>
        <row r="52">
          <cell r="F52">
            <v>847001</v>
          </cell>
          <cell r="G52" t="str">
            <v>KUST - General</v>
          </cell>
        </row>
        <row r="53">
          <cell r="F53">
            <v>847001</v>
          </cell>
          <cell r="G53" t="str">
            <v>KUST - General</v>
          </cell>
        </row>
        <row r="54">
          <cell r="F54">
            <v>847001</v>
          </cell>
          <cell r="G54" t="str">
            <v>KUST - General</v>
          </cell>
        </row>
        <row r="55">
          <cell r="F55">
            <v>847001</v>
          </cell>
          <cell r="G55" t="str">
            <v>KUST - General</v>
          </cell>
        </row>
        <row r="56">
          <cell r="F56">
            <v>847001</v>
          </cell>
          <cell r="G56" t="str">
            <v>KUST - General</v>
          </cell>
        </row>
        <row r="57">
          <cell r="F57">
            <v>847001</v>
          </cell>
          <cell r="G57" t="str">
            <v>KUST - General</v>
          </cell>
        </row>
        <row r="58">
          <cell r="F58">
            <v>847001</v>
          </cell>
          <cell r="G58" t="str">
            <v>KUST - General</v>
          </cell>
        </row>
        <row r="59">
          <cell r="F59">
            <v>847001</v>
          </cell>
          <cell r="G59" t="str">
            <v>KUST - General</v>
          </cell>
        </row>
        <row r="60">
          <cell r="F60">
            <v>847001</v>
          </cell>
          <cell r="G60" t="str">
            <v>KUST - General</v>
          </cell>
        </row>
        <row r="61">
          <cell r="F61">
            <v>847001</v>
          </cell>
          <cell r="G61" t="str">
            <v>KUST - General</v>
          </cell>
        </row>
        <row r="62">
          <cell r="F62">
            <v>847001</v>
          </cell>
          <cell r="G62" t="str">
            <v>KUST - General</v>
          </cell>
        </row>
        <row r="63">
          <cell r="F63">
            <v>847001</v>
          </cell>
          <cell r="G63" t="str">
            <v>KUST - General</v>
          </cell>
        </row>
        <row r="64">
          <cell r="F64">
            <v>847001</v>
          </cell>
          <cell r="G64" t="str">
            <v>KUST - General</v>
          </cell>
        </row>
        <row r="65">
          <cell r="F65">
            <v>847001</v>
          </cell>
          <cell r="G65" t="str">
            <v>KUST - General</v>
          </cell>
        </row>
        <row r="66">
          <cell r="F66">
            <v>847001</v>
          </cell>
          <cell r="G66" t="str">
            <v>KUST - General</v>
          </cell>
        </row>
        <row r="67">
          <cell r="F67">
            <v>847001</v>
          </cell>
          <cell r="G67" t="str">
            <v>KUST - General</v>
          </cell>
        </row>
        <row r="68">
          <cell r="F68">
            <v>847001</v>
          </cell>
          <cell r="G68" t="str">
            <v>KUST - General</v>
          </cell>
        </row>
        <row r="69">
          <cell r="F69">
            <v>847001</v>
          </cell>
          <cell r="G69" t="str">
            <v>KUST - General</v>
          </cell>
        </row>
        <row r="70">
          <cell r="F70">
            <v>847001</v>
          </cell>
          <cell r="G70" t="str">
            <v>KUST - General</v>
          </cell>
        </row>
        <row r="71">
          <cell r="F71">
            <v>847001</v>
          </cell>
          <cell r="G71" t="str">
            <v>KUST - General</v>
          </cell>
        </row>
        <row r="72">
          <cell r="F72">
            <v>847001</v>
          </cell>
          <cell r="G72" t="str">
            <v>KUST - General</v>
          </cell>
        </row>
        <row r="73">
          <cell r="F73">
            <v>847001</v>
          </cell>
          <cell r="G73" t="str">
            <v>KUST - General</v>
          </cell>
        </row>
        <row r="74">
          <cell r="F74">
            <v>847001</v>
          </cell>
          <cell r="G74" t="str">
            <v>KUST - General</v>
          </cell>
        </row>
        <row r="75">
          <cell r="F75">
            <v>847001</v>
          </cell>
          <cell r="G75" t="str">
            <v>KUST - General</v>
          </cell>
        </row>
        <row r="76">
          <cell r="F76">
            <v>847001</v>
          </cell>
          <cell r="G76" t="str">
            <v>KUST - General</v>
          </cell>
        </row>
        <row r="77">
          <cell r="F77">
            <v>847001</v>
          </cell>
          <cell r="G77" t="str">
            <v>KUST - General</v>
          </cell>
        </row>
        <row r="78">
          <cell r="F78">
            <v>847001</v>
          </cell>
          <cell r="G78" t="str">
            <v>KUST - General</v>
          </cell>
        </row>
        <row r="79">
          <cell r="F79">
            <v>847001</v>
          </cell>
          <cell r="G79" t="str">
            <v>KUST - General</v>
          </cell>
        </row>
        <row r="80">
          <cell r="F80">
            <v>847001</v>
          </cell>
          <cell r="G80" t="str">
            <v>KUST - General</v>
          </cell>
        </row>
        <row r="81">
          <cell r="F81">
            <v>847001</v>
          </cell>
          <cell r="G81" t="str">
            <v>KUST - General</v>
          </cell>
        </row>
        <row r="82">
          <cell r="F82">
            <v>847001</v>
          </cell>
          <cell r="G82" t="str">
            <v>KUST - General</v>
          </cell>
        </row>
        <row r="83">
          <cell r="F83">
            <v>847001</v>
          </cell>
          <cell r="G83" t="str">
            <v>KUST - General</v>
          </cell>
        </row>
        <row r="84">
          <cell r="F84">
            <v>847001</v>
          </cell>
          <cell r="G84" t="str">
            <v>KUST - General</v>
          </cell>
        </row>
        <row r="85">
          <cell r="F85">
            <v>847001</v>
          </cell>
          <cell r="G85" t="str">
            <v>KUST - General</v>
          </cell>
        </row>
        <row r="86">
          <cell r="F86">
            <v>847001</v>
          </cell>
          <cell r="G86" t="str">
            <v>KUST - General</v>
          </cell>
        </row>
        <row r="87">
          <cell r="F87">
            <v>847001</v>
          </cell>
          <cell r="G87" t="str">
            <v>KUST - General</v>
          </cell>
        </row>
        <row r="88">
          <cell r="F88">
            <v>847001</v>
          </cell>
          <cell r="G88" t="str">
            <v>KUST - General</v>
          </cell>
        </row>
        <row r="89">
          <cell r="F89">
            <v>847001</v>
          </cell>
          <cell r="G89" t="str">
            <v>KUST - General</v>
          </cell>
        </row>
        <row r="90">
          <cell r="F90">
            <v>847001</v>
          </cell>
          <cell r="G90" t="str">
            <v>KUST - General</v>
          </cell>
        </row>
        <row r="91">
          <cell r="F91">
            <v>847001</v>
          </cell>
          <cell r="G91" t="str">
            <v>KUST - General</v>
          </cell>
        </row>
        <row r="92">
          <cell r="F92">
            <v>847001</v>
          </cell>
          <cell r="G92" t="str">
            <v>KUST - General</v>
          </cell>
        </row>
        <row r="93">
          <cell r="F93">
            <v>847001</v>
          </cell>
          <cell r="G93" t="str">
            <v>KUST - General</v>
          </cell>
        </row>
        <row r="94">
          <cell r="F94">
            <v>847001</v>
          </cell>
          <cell r="G94" t="str">
            <v>KUST - General</v>
          </cell>
        </row>
        <row r="95">
          <cell r="F95">
            <v>847001</v>
          </cell>
          <cell r="G95" t="str">
            <v>KUST - General</v>
          </cell>
        </row>
        <row r="96">
          <cell r="F96">
            <v>847001</v>
          </cell>
          <cell r="G96" t="str">
            <v>KUST - General</v>
          </cell>
        </row>
        <row r="97">
          <cell r="F97">
            <v>847001</v>
          </cell>
          <cell r="G97" t="str">
            <v>KUST - General</v>
          </cell>
        </row>
        <row r="98">
          <cell r="F98">
            <v>847001</v>
          </cell>
          <cell r="G98" t="str">
            <v>KUST - General</v>
          </cell>
        </row>
        <row r="99">
          <cell r="F99">
            <v>847001</v>
          </cell>
          <cell r="G99" t="str">
            <v>KUST - General</v>
          </cell>
        </row>
        <row r="100">
          <cell r="F100">
            <v>847001</v>
          </cell>
          <cell r="G100" t="str">
            <v>KUST - General</v>
          </cell>
        </row>
        <row r="101">
          <cell r="F101">
            <v>847001</v>
          </cell>
          <cell r="G101" t="str">
            <v>KUST - General</v>
          </cell>
        </row>
        <row r="102">
          <cell r="F102">
            <v>847001</v>
          </cell>
          <cell r="G102" t="str">
            <v>KUST - General</v>
          </cell>
        </row>
        <row r="103">
          <cell r="F103">
            <v>847001</v>
          </cell>
          <cell r="G103" t="str">
            <v>KUST - General</v>
          </cell>
        </row>
        <row r="104">
          <cell r="F104">
            <v>847001</v>
          </cell>
          <cell r="G104" t="str">
            <v>KUST - General</v>
          </cell>
        </row>
        <row r="105">
          <cell r="F105">
            <v>847001</v>
          </cell>
          <cell r="G105" t="str">
            <v>KUST - General</v>
          </cell>
        </row>
        <row r="106">
          <cell r="F106">
            <v>847001</v>
          </cell>
          <cell r="G106" t="str">
            <v>KUST - General</v>
          </cell>
        </row>
        <row r="107">
          <cell r="F107">
            <v>847001</v>
          </cell>
          <cell r="G107" t="str">
            <v>KUST - General</v>
          </cell>
        </row>
        <row r="108">
          <cell r="F108">
            <v>847001</v>
          </cell>
          <cell r="G108" t="str">
            <v>KUST - General</v>
          </cell>
        </row>
        <row r="109">
          <cell r="F109">
            <v>847001</v>
          </cell>
          <cell r="G109" t="str">
            <v>KUST - General</v>
          </cell>
        </row>
        <row r="110">
          <cell r="F110">
            <v>847001</v>
          </cell>
          <cell r="G110" t="str">
            <v>KUST - General</v>
          </cell>
        </row>
        <row r="111">
          <cell r="F111">
            <v>847001</v>
          </cell>
          <cell r="G111" t="str">
            <v>KUST - General</v>
          </cell>
        </row>
        <row r="112">
          <cell r="F112">
            <v>847001</v>
          </cell>
          <cell r="G112" t="str">
            <v>KUST - General</v>
          </cell>
        </row>
        <row r="113">
          <cell r="F113">
            <v>847001</v>
          </cell>
          <cell r="G113" t="str">
            <v>KUST - General</v>
          </cell>
        </row>
        <row r="114">
          <cell r="F114">
            <v>847001</v>
          </cell>
          <cell r="G114" t="str">
            <v>KUST - General</v>
          </cell>
        </row>
        <row r="115">
          <cell r="F115">
            <v>847001</v>
          </cell>
          <cell r="G115" t="str">
            <v>KUST - General</v>
          </cell>
        </row>
        <row r="116">
          <cell r="F116">
            <v>847001</v>
          </cell>
          <cell r="G116" t="str">
            <v>KUST - General</v>
          </cell>
        </row>
        <row r="117">
          <cell r="F117">
            <v>847001</v>
          </cell>
          <cell r="G117" t="str">
            <v>KUST - General</v>
          </cell>
        </row>
        <row r="118">
          <cell r="F118">
            <v>847001</v>
          </cell>
          <cell r="G118" t="str">
            <v>KUST - General</v>
          </cell>
        </row>
        <row r="119">
          <cell r="F119">
            <v>847001</v>
          </cell>
          <cell r="G119" t="str">
            <v>KUST - General</v>
          </cell>
        </row>
        <row r="120">
          <cell r="F120">
            <v>847001</v>
          </cell>
          <cell r="G120" t="str">
            <v>KUST - General</v>
          </cell>
        </row>
        <row r="121">
          <cell r="F121">
            <v>847001</v>
          </cell>
          <cell r="G121" t="str">
            <v>KUST - General</v>
          </cell>
        </row>
        <row r="122">
          <cell r="F122">
            <v>847001</v>
          </cell>
          <cell r="G122" t="str">
            <v>KUST - General</v>
          </cell>
        </row>
        <row r="123">
          <cell r="F123">
            <v>847001</v>
          </cell>
          <cell r="G123" t="str">
            <v>KUST - General</v>
          </cell>
        </row>
        <row r="124">
          <cell r="F124">
            <v>847001</v>
          </cell>
          <cell r="G124" t="str">
            <v>KUST - General</v>
          </cell>
        </row>
        <row r="125">
          <cell r="F125">
            <v>847001</v>
          </cell>
          <cell r="G125" t="str">
            <v>KUST - General</v>
          </cell>
        </row>
        <row r="126">
          <cell r="F126">
            <v>847001</v>
          </cell>
          <cell r="G126" t="str">
            <v>KUST - General</v>
          </cell>
        </row>
        <row r="127">
          <cell r="F127">
            <v>847001</v>
          </cell>
          <cell r="G127" t="str">
            <v>KUST - General</v>
          </cell>
        </row>
        <row r="128">
          <cell r="F128">
            <v>847001</v>
          </cell>
          <cell r="G128" t="str">
            <v>KUST - General</v>
          </cell>
        </row>
        <row r="129">
          <cell r="F129">
            <v>847001</v>
          </cell>
          <cell r="G129" t="str">
            <v>KUST - General</v>
          </cell>
        </row>
        <row r="130">
          <cell r="F130">
            <v>847001</v>
          </cell>
          <cell r="G130" t="str">
            <v>KUST - General</v>
          </cell>
        </row>
        <row r="131">
          <cell r="F131">
            <v>847001</v>
          </cell>
          <cell r="G131" t="str">
            <v>KUST - General</v>
          </cell>
        </row>
        <row r="132">
          <cell r="F132">
            <v>847001</v>
          </cell>
          <cell r="G132" t="str">
            <v>KUST - General</v>
          </cell>
        </row>
        <row r="133">
          <cell r="F133">
            <v>847001</v>
          </cell>
          <cell r="G133" t="str">
            <v>KUST - General</v>
          </cell>
        </row>
        <row r="134">
          <cell r="F134">
            <v>847001</v>
          </cell>
          <cell r="G134" t="str">
            <v>KUST - General</v>
          </cell>
        </row>
        <row r="135">
          <cell r="F135">
            <v>847001</v>
          </cell>
          <cell r="G135" t="str">
            <v>KUST - General</v>
          </cell>
        </row>
        <row r="136">
          <cell r="F136">
            <v>847001</v>
          </cell>
          <cell r="G136" t="str">
            <v>KUST - General</v>
          </cell>
        </row>
        <row r="137">
          <cell r="F137">
            <v>847001</v>
          </cell>
          <cell r="G137" t="str">
            <v>KUST - General</v>
          </cell>
        </row>
        <row r="138">
          <cell r="F138">
            <v>847001</v>
          </cell>
          <cell r="G138" t="str">
            <v>KUST - General</v>
          </cell>
        </row>
        <row r="139">
          <cell r="F139">
            <v>847001</v>
          </cell>
          <cell r="G139" t="str">
            <v>KUST - General</v>
          </cell>
        </row>
        <row r="140">
          <cell r="F140">
            <v>847001</v>
          </cell>
          <cell r="G140" t="str">
            <v>KUST - General</v>
          </cell>
        </row>
        <row r="141">
          <cell r="F141">
            <v>847001</v>
          </cell>
          <cell r="G141" t="str">
            <v>KUST - General</v>
          </cell>
        </row>
        <row r="142">
          <cell r="F142">
            <v>847001</v>
          </cell>
          <cell r="G142" t="str">
            <v>KUST - General</v>
          </cell>
        </row>
        <row r="143">
          <cell r="F143">
            <v>847001</v>
          </cell>
          <cell r="G143" t="str">
            <v>KUST - General</v>
          </cell>
        </row>
        <row r="144">
          <cell r="F144">
            <v>847001</v>
          </cell>
          <cell r="G144" t="str">
            <v>KUST - General</v>
          </cell>
        </row>
        <row r="145">
          <cell r="F145">
            <v>847001</v>
          </cell>
          <cell r="G145" t="str">
            <v>KUST - General</v>
          </cell>
        </row>
        <row r="146">
          <cell r="F146">
            <v>847001</v>
          </cell>
          <cell r="G146" t="str">
            <v>KUST - General</v>
          </cell>
        </row>
        <row r="147">
          <cell r="F147">
            <v>847001</v>
          </cell>
          <cell r="G147" t="str">
            <v>KUST - General</v>
          </cell>
        </row>
        <row r="148">
          <cell r="F148">
            <v>847001</v>
          </cell>
          <cell r="G148" t="str">
            <v>KUST - General</v>
          </cell>
        </row>
        <row r="149">
          <cell r="F149">
            <v>847001</v>
          </cell>
          <cell r="G149" t="str">
            <v>KUST - General</v>
          </cell>
        </row>
        <row r="150">
          <cell r="F150">
            <v>847001</v>
          </cell>
          <cell r="G150" t="str">
            <v>KUST - General</v>
          </cell>
        </row>
        <row r="151">
          <cell r="F151">
            <v>847001</v>
          </cell>
          <cell r="G151" t="str">
            <v>KUST - General</v>
          </cell>
        </row>
        <row r="152">
          <cell r="F152">
            <v>847001</v>
          </cell>
          <cell r="G152" t="str">
            <v>KUST - General</v>
          </cell>
        </row>
        <row r="153">
          <cell r="F153">
            <v>847001</v>
          </cell>
          <cell r="G153" t="str">
            <v>KUST - General</v>
          </cell>
        </row>
        <row r="154">
          <cell r="F154">
            <v>847001</v>
          </cell>
          <cell r="G154" t="str">
            <v>KUST - General</v>
          </cell>
        </row>
        <row r="155">
          <cell r="F155">
            <v>847001</v>
          </cell>
          <cell r="G155" t="str">
            <v>KUST - General</v>
          </cell>
        </row>
        <row r="156">
          <cell r="F156">
            <v>847001</v>
          </cell>
          <cell r="G156" t="str">
            <v>KUST - General</v>
          </cell>
        </row>
        <row r="157">
          <cell r="F157">
            <v>847001</v>
          </cell>
          <cell r="G157" t="str">
            <v>KUST - General</v>
          </cell>
        </row>
        <row r="158">
          <cell r="F158">
            <v>847001</v>
          </cell>
          <cell r="G158" t="str">
            <v>KUST - General</v>
          </cell>
        </row>
        <row r="159">
          <cell r="F159">
            <v>847001</v>
          </cell>
          <cell r="G159" t="str">
            <v>KUST - General</v>
          </cell>
        </row>
        <row r="160">
          <cell r="F160">
            <v>847001</v>
          </cell>
          <cell r="G160" t="str">
            <v>KUST - General</v>
          </cell>
        </row>
        <row r="161">
          <cell r="F161">
            <v>847001</v>
          </cell>
          <cell r="G161" t="str">
            <v>KUST - General</v>
          </cell>
        </row>
        <row r="162">
          <cell r="F162">
            <v>847001</v>
          </cell>
          <cell r="G162" t="str">
            <v>KUST - General</v>
          </cell>
        </row>
        <row r="163">
          <cell r="F163">
            <v>847001</v>
          </cell>
          <cell r="G163" t="str">
            <v>KUST - General</v>
          </cell>
        </row>
        <row r="164">
          <cell r="F164">
            <v>847001</v>
          </cell>
          <cell r="G164" t="str">
            <v>KUST - General</v>
          </cell>
        </row>
        <row r="165">
          <cell r="F165">
            <v>847001</v>
          </cell>
          <cell r="G165" t="str">
            <v>KUST - General</v>
          </cell>
        </row>
        <row r="166">
          <cell r="F166">
            <v>847001</v>
          </cell>
          <cell r="G166" t="str">
            <v>KUST - General</v>
          </cell>
        </row>
        <row r="167">
          <cell r="F167">
            <v>847001</v>
          </cell>
          <cell r="G167" t="str">
            <v>KUST - General</v>
          </cell>
        </row>
        <row r="168">
          <cell r="F168">
            <v>847001</v>
          </cell>
          <cell r="G168" t="str">
            <v>KUST - General</v>
          </cell>
        </row>
        <row r="169">
          <cell r="F169">
            <v>847001</v>
          </cell>
          <cell r="G169" t="str">
            <v>KUST - General</v>
          </cell>
        </row>
        <row r="170">
          <cell r="F170">
            <v>847001</v>
          </cell>
          <cell r="G170" t="str">
            <v>KUST - General</v>
          </cell>
        </row>
        <row r="171">
          <cell r="F171">
            <v>847001</v>
          </cell>
          <cell r="G171" t="str">
            <v>KUST - General</v>
          </cell>
        </row>
        <row r="172">
          <cell r="F172">
            <v>847001</v>
          </cell>
          <cell r="G172" t="str">
            <v>KUST - General</v>
          </cell>
        </row>
        <row r="173">
          <cell r="F173">
            <v>847001</v>
          </cell>
          <cell r="G173" t="str">
            <v>KUST - General</v>
          </cell>
        </row>
        <row r="174">
          <cell r="F174">
            <v>847001</v>
          </cell>
          <cell r="G174" t="str">
            <v>KUST - General</v>
          </cell>
        </row>
        <row r="175">
          <cell r="F175">
            <v>847001</v>
          </cell>
          <cell r="G175" t="str">
            <v>KUST - General</v>
          </cell>
        </row>
        <row r="176">
          <cell r="F176">
            <v>847001</v>
          </cell>
          <cell r="G176" t="str">
            <v>KUST - General</v>
          </cell>
        </row>
        <row r="177">
          <cell r="F177">
            <v>847001</v>
          </cell>
          <cell r="G177" t="str">
            <v>KUST - General</v>
          </cell>
        </row>
        <row r="178">
          <cell r="F178">
            <v>847001</v>
          </cell>
          <cell r="G178" t="str">
            <v>KUST - General</v>
          </cell>
        </row>
        <row r="179">
          <cell r="F179">
            <v>847001</v>
          </cell>
          <cell r="G179" t="str">
            <v>KUST - General</v>
          </cell>
        </row>
        <row r="180">
          <cell r="F180">
            <v>847001</v>
          </cell>
          <cell r="G180" t="str">
            <v>KUST - General</v>
          </cell>
        </row>
        <row r="181">
          <cell r="F181">
            <v>847001</v>
          </cell>
          <cell r="G181" t="str">
            <v>KUST - General</v>
          </cell>
        </row>
        <row r="182">
          <cell r="F182">
            <v>847001</v>
          </cell>
          <cell r="G182" t="str">
            <v>KUST - General</v>
          </cell>
        </row>
        <row r="183">
          <cell r="F183">
            <v>847001</v>
          </cell>
          <cell r="G183" t="str">
            <v>KUST - General</v>
          </cell>
        </row>
        <row r="184">
          <cell r="F184">
            <v>847001</v>
          </cell>
          <cell r="G184" t="str">
            <v>KUST - General</v>
          </cell>
        </row>
        <row r="185">
          <cell r="F185">
            <v>847001</v>
          </cell>
          <cell r="G185" t="str">
            <v>KUST - General</v>
          </cell>
        </row>
        <row r="186">
          <cell r="F186">
            <v>847001</v>
          </cell>
          <cell r="G186" t="str">
            <v>KUST - General</v>
          </cell>
        </row>
        <row r="187">
          <cell r="F187">
            <v>847001</v>
          </cell>
          <cell r="G187" t="str">
            <v>KUST - General</v>
          </cell>
        </row>
        <row r="188">
          <cell r="F188">
            <v>847001</v>
          </cell>
          <cell r="G188" t="str">
            <v>KUST - General</v>
          </cell>
        </row>
        <row r="189">
          <cell r="F189">
            <v>847001</v>
          </cell>
          <cell r="G189" t="str">
            <v>KUST - General</v>
          </cell>
        </row>
        <row r="190">
          <cell r="F190">
            <v>847001</v>
          </cell>
          <cell r="G190" t="str">
            <v>KUST - General</v>
          </cell>
        </row>
        <row r="191">
          <cell r="F191">
            <v>847001</v>
          </cell>
          <cell r="G191" t="str">
            <v>KUST - General</v>
          </cell>
        </row>
        <row r="192">
          <cell r="F192">
            <v>847001</v>
          </cell>
          <cell r="G192" t="str">
            <v>KUST - General</v>
          </cell>
        </row>
        <row r="193">
          <cell r="F193">
            <v>847001</v>
          </cell>
          <cell r="G193" t="str">
            <v>KUST - General</v>
          </cell>
        </row>
        <row r="194">
          <cell r="F194">
            <v>847001</v>
          </cell>
          <cell r="G194" t="str">
            <v>KUST - General</v>
          </cell>
        </row>
        <row r="195">
          <cell r="F195">
            <v>847001</v>
          </cell>
          <cell r="G195" t="str">
            <v>KUST - General</v>
          </cell>
        </row>
        <row r="196">
          <cell r="F196">
            <v>847001</v>
          </cell>
          <cell r="G196" t="str">
            <v>KUST - General</v>
          </cell>
        </row>
        <row r="197">
          <cell r="F197">
            <v>847001</v>
          </cell>
          <cell r="G197" t="str">
            <v>KUST - General</v>
          </cell>
        </row>
        <row r="198">
          <cell r="F198">
            <v>847001</v>
          </cell>
          <cell r="G198" t="str">
            <v>KUST - General</v>
          </cell>
        </row>
        <row r="199">
          <cell r="F199">
            <v>847001</v>
          </cell>
          <cell r="G199" t="str">
            <v>KUST - General</v>
          </cell>
        </row>
        <row r="200">
          <cell r="F200">
            <v>847001</v>
          </cell>
          <cell r="G200" t="str">
            <v>KUST - General</v>
          </cell>
        </row>
        <row r="201">
          <cell r="F201">
            <v>847001</v>
          </cell>
          <cell r="G201" t="str">
            <v>KUST - General</v>
          </cell>
        </row>
        <row r="202">
          <cell r="F202">
            <v>847001</v>
          </cell>
          <cell r="G202" t="str">
            <v>KUST - General</v>
          </cell>
        </row>
        <row r="203">
          <cell r="F203">
            <v>847001</v>
          </cell>
          <cell r="G203" t="str">
            <v>KUST - General</v>
          </cell>
        </row>
        <row r="204">
          <cell r="F204">
            <v>847001</v>
          </cell>
          <cell r="G204" t="str">
            <v>KUST - General</v>
          </cell>
        </row>
        <row r="205">
          <cell r="F205">
            <v>847001</v>
          </cell>
          <cell r="G205" t="str">
            <v>KUST - General</v>
          </cell>
        </row>
        <row r="206">
          <cell r="F206">
            <v>847001</v>
          </cell>
          <cell r="G206" t="str">
            <v>KUST - General</v>
          </cell>
        </row>
        <row r="207">
          <cell r="F207">
            <v>847001</v>
          </cell>
          <cell r="G207" t="str">
            <v>KUST - General</v>
          </cell>
        </row>
        <row r="208">
          <cell r="F208">
            <v>847001</v>
          </cell>
          <cell r="G208" t="str">
            <v>KUST - General</v>
          </cell>
        </row>
        <row r="209">
          <cell r="F209">
            <v>847001</v>
          </cell>
          <cell r="G209" t="str">
            <v>KUST - General</v>
          </cell>
        </row>
        <row r="210">
          <cell r="F210">
            <v>847001</v>
          </cell>
          <cell r="G210" t="str">
            <v>KUST - General</v>
          </cell>
        </row>
        <row r="211">
          <cell r="F211">
            <v>847001</v>
          </cell>
          <cell r="G211" t="str">
            <v>KUST - General</v>
          </cell>
        </row>
        <row r="212">
          <cell r="F212">
            <v>847001</v>
          </cell>
          <cell r="G212" t="str">
            <v>KUST - General</v>
          </cell>
        </row>
        <row r="213">
          <cell r="F213">
            <v>847001</v>
          </cell>
          <cell r="G213" t="str">
            <v>KUST - General</v>
          </cell>
        </row>
        <row r="214">
          <cell r="F214">
            <v>847001</v>
          </cell>
          <cell r="G214" t="str">
            <v>KUST - General</v>
          </cell>
        </row>
        <row r="215">
          <cell r="F215">
            <v>847001</v>
          </cell>
          <cell r="G215" t="str">
            <v>KUST - General</v>
          </cell>
        </row>
        <row r="216">
          <cell r="F216">
            <v>847001</v>
          </cell>
          <cell r="G216" t="str">
            <v>KUST - General</v>
          </cell>
        </row>
        <row r="217">
          <cell r="F217">
            <v>847001</v>
          </cell>
          <cell r="G217" t="str">
            <v>KUST - General</v>
          </cell>
        </row>
        <row r="218">
          <cell r="F218">
            <v>847001</v>
          </cell>
          <cell r="G218" t="str">
            <v>KUST - General</v>
          </cell>
        </row>
        <row r="219">
          <cell r="F219">
            <v>847001</v>
          </cell>
          <cell r="G219" t="str">
            <v>KUST - General</v>
          </cell>
        </row>
        <row r="220">
          <cell r="F220">
            <v>847001</v>
          </cell>
          <cell r="G220" t="str">
            <v>KUST - General</v>
          </cell>
        </row>
        <row r="221">
          <cell r="F221">
            <v>847001</v>
          </cell>
          <cell r="G221" t="str">
            <v>KUST - General</v>
          </cell>
        </row>
        <row r="222">
          <cell r="F222">
            <v>847001</v>
          </cell>
          <cell r="G222" t="str">
            <v>KUST - General</v>
          </cell>
        </row>
        <row r="223">
          <cell r="F223">
            <v>847001</v>
          </cell>
          <cell r="G223" t="str">
            <v>KUST - General</v>
          </cell>
        </row>
        <row r="224">
          <cell r="F224">
            <v>847001</v>
          </cell>
          <cell r="G224" t="str">
            <v>KUST - General</v>
          </cell>
        </row>
        <row r="225">
          <cell r="F225">
            <v>847001</v>
          </cell>
          <cell r="G225" t="str">
            <v>KUST - General</v>
          </cell>
        </row>
        <row r="226">
          <cell r="F226">
            <v>847001</v>
          </cell>
          <cell r="G226" t="str">
            <v>KUST - General</v>
          </cell>
        </row>
        <row r="227">
          <cell r="F227">
            <v>847001</v>
          </cell>
          <cell r="G227" t="str">
            <v>KUST - General</v>
          </cell>
        </row>
        <row r="228">
          <cell r="F228">
            <v>847001</v>
          </cell>
          <cell r="G228" t="str">
            <v>KUST - General</v>
          </cell>
        </row>
        <row r="229">
          <cell r="F229">
            <v>847001</v>
          </cell>
          <cell r="G229" t="str">
            <v>KUST - General</v>
          </cell>
        </row>
        <row r="230">
          <cell r="F230">
            <v>847001</v>
          </cell>
          <cell r="G230" t="str">
            <v>KUST - General</v>
          </cell>
        </row>
        <row r="231">
          <cell r="F231">
            <v>847001</v>
          </cell>
          <cell r="G231" t="str">
            <v>KUST - General</v>
          </cell>
        </row>
        <row r="232">
          <cell r="F232">
            <v>847001</v>
          </cell>
          <cell r="G232" t="str">
            <v>KUST - General</v>
          </cell>
        </row>
        <row r="233">
          <cell r="F233">
            <v>847001</v>
          </cell>
          <cell r="G233" t="str">
            <v>KUST - General</v>
          </cell>
        </row>
        <row r="234">
          <cell r="F234">
            <v>847001</v>
          </cell>
          <cell r="G234" t="str">
            <v>KUST - General</v>
          </cell>
        </row>
        <row r="235">
          <cell r="F235">
            <v>847001</v>
          </cell>
          <cell r="G235" t="str">
            <v>KUST - General</v>
          </cell>
        </row>
        <row r="236">
          <cell r="F236">
            <v>847001</v>
          </cell>
          <cell r="G236" t="str">
            <v>KUST - General</v>
          </cell>
        </row>
        <row r="237">
          <cell r="F237">
            <v>847001</v>
          </cell>
          <cell r="G237" t="str">
            <v>KUST - General</v>
          </cell>
        </row>
        <row r="238">
          <cell r="F238">
            <v>847001</v>
          </cell>
          <cell r="G238" t="str">
            <v>KUST - General</v>
          </cell>
        </row>
        <row r="239">
          <cell r="F239">
            <v>847001</v>
          </cell>
          <cell r="G239" t="str">
            <v>KUST - General</v>
          </cell>
        </row>
        <row r="240">
          <cell r="F240">
            <v>847001</v>
          </cell>
          <cell r="G240" t="str">
            <v>KUST - General</v>
          </cell>
        </row>
        <row r="241">
          <cell r="F241">
            <v>847001</v>
          </cell>
          <cell r="G241" t="str">
            <v>KUST - General</v>
          </cell>
        </row>
        <row r="242">
          <cell r="F242">
            <v>847001</v>
          </cell>
          <cell r="G242" t="str">
            <v>KUST - General</v>
          </cell>
        </row>
        <row r="243">
          <cell r="F243">
            <v>847001</v>
          </cell>
          <cell r="G243" t="str">
            <v>KUST - General</v>
          </cell>
        </row>
        <row r="244">
          <cell r="F244">
            <v>847001</v>
          </cell>
          <cell r="G244" t="str">
            <v>KUST - General</v>
          </cell>
        </row>
        <row r="245">
          <cell r="F245">
            <v>847001</v>
          </cell>
          <cell r="G245" t="str">
            <v>KUST - General</v>
          </cell>
        </row>
        <row r="246">
          <cell r="F246">
            <v>847001</v>
          </cell>
          <cell r="G246" t="str">
            <v>KUST - General</v>
          </cell>
        </row>
        <row r="247">
          <cell r="F247">
            <v>847001</v>
          </cell>
          <cell r="G247" t="str">
            <v>KUST - General</v>
          </cell>
        </row>
        <row r="248">
          <cell r="F248">
            <v>847001</v>
          </cell>
          <cell r="G248" t="str">
            <v>KUST - General</v>
          </cell>
        </row>
        <row r="249">
          <cell r="F249">
            <v>847001</v>
          </cell>
          <cell r="G249" t="str">
            <v>KUST - General</v>
          </cell>
        </row>
        <row r="250">
          <cell r="F250">
            <v>847001</v>
          </cell>
          <cell r="G250" t="str">
            <v>KUST - General</v>
          </cell>
        </row>
        <row r="251">
          <cell r="F251">
            <v>847001</v>
          </cell>
          <cell r="G251" t="str">
            <v>KUST - General</v>
          </cell>
        </row>
        <row r="252">
          <cell r="F252">
            <v>847001</v>
          </cell>
          <cell r="G252" t="str">
            <v>KUST - General</v>
          </cell>
        </row>
        <row r="253">
          <cell r="F253">
            <v>847001</v>
          </cell>
          <cell r="G253" t="str">
            <v>KUST - General</v>
          </cell>
        </row>
        <row r="254">
          <cell r="F254">
            <v>847001</v>
          </cell>
          <cell r="G254" t="str">
            <v>KUST - General</v>
          </cell>
        </row>
        <row r="255">
          <cell r="F255">
            <v>847001</v>
          </cell>
          <cell r="G255" t="str">
            <v>KUST - General</v>
          </cell>
        </row>
        <row r="256">
          <cell r="F256">
            <v>847001</v>
          </cell>
          <cell r="G256" t="str">
            <v>KUST - General</v>
          </cell>
        </row>
        <row r="257">
          <cell r="F257">
            <v>847001</v>
          </cell>
          <cell r="G257" t="str">
            <v>KUST - General</v>
          </cell>
        </row>
        <row r="258">
          <cell r="F258">
            <v>847001</v>
          </cell>
          <cell r="G258" t="str">
            <v>KUST - General</v>
          </cell>
        </row>
        <row r="259">
          <cell r="F259">
            <v>847001</v>
          </cell>
          <cell r="G259" t="str">
            <v>KUST - General</v>
          </cell>
        </row>
        <row r="260">
          <cell r="F260">
            <v>847001</v>
          </cell>
          <cell r="G260" t="str">
            <v>KUST - General</v>
          </cell>
        </row>
        <row r="261">
          <cell r="F261">
            <v>847001</v>
          </cell>
          <cell r="G261" t="str">
            <v>KUST - General</v>
          </cell>
        </row>
        <row r="262">
          <cell r="F262">
            <v>847001</v>
          </cell>
          <cell r="G262" t="str">
            <v>KUST - General</v>
          </cell>
        </row>
        <row r="263">
          <cell r="F263">
            <v>847001</v>
          </cell>
          <cell r="G263" t="str">
            <v>KUST - General</v>
          </cell>
        </row>
        <row r="264">
          <cell r="F264">
            <v>847001</v>
          </cell>
          <cell r="G264" t="str">
            <v>KUST - General</v>
          </cell>
        </row>
        <row r="265">
          <cell r="F265">
            <v>847001</v>
          </cell>
          <cell r="G265" t="str">
            <v>KUST - General</v>
          </cell>
        </row>
        <row r="266">
          <cell r="F266">
            <v>847001</v>
          </cell>
          <cell r="G266" t="str">
            <v>KUST - General</v>
          </cell>
        </row>
        <row r="267">
          <cell r="F267">
            <v>847001</v>
          </cell>
          <cell r="G267" t="str">
            <v>KUST - General</v>
          </cell>
        </row>
        <row r="268">
          <cell r="F268">
            <v>847001</v>
          </cell>
          <cell r="G268" t="str">
            <v>KUST - General</v>
          </cell>
        </row>
        <row r="269">
          <cell r="F269">
            <v>847001</v>
          </cell>
          <cell r="G269" t="str">
            <v>KUST - General</v>
          </cell>
        </row>
        <row r="270">
          <cell r="F270">
            <v>847001</v>
          </cell>
          <cell r="G270" t="str">
            <v>KUST - General</v>
          </cell>
        </row>
        <row r="271">
          <cell r="F271">
            <v>847001</v>
          </cell>
          <cell r="G271" t="str">
            <v>KUST - General</v>
          </cell>
        </row>
        <row r="272">
          <cell r="F272">
            <v>847001</v>
          </cell>
          <cell r="G272" t="str">
            <v>KUST - General</v>
          </cell>
        </row>
        <row r="273">
          <cell r="F273">
            <v>847001</v>
          </cell>
          <cell r="G273" t="str">
            <v>KUST - General</v>
          </cell>
        </row>
        <row r="274">
          <cell r="F274">
            <v>847001</v>
          </cell>
          <cell r="G274" t="str">
            <v>KUST - General</v>
          </cell>
        </row>
        <row r="275">
          <cell r="F275">
            <v>847001</v>
          </cell>
          <cell r="G275" t="str">
            <v>KUST - General</v>
          </cell>
        </row>
        <row r="276">
          <cell r="F276">
            <v>847001</v>
          </cell>
          <cell r="G276" t="str">
            <v>KUST - General</v>
          </cell>
        </row>
        <row r="277">
          <cell r="F277">
            <v>847001</v>
          </cell>
          <cell r="G277" t="str">
            <v>KUST - General</v>
          </cell>
        </row>
        <row r="278">
          <cell r="F278">
            <v>847001</v>
          </cell>
          <cell r="G278" t="str">
            <v>KUST - General</v>
          </cell>
        </row>
        <row r="279">
          <cell r="F279">
            <v>847001</v>
          </cell>
          <cell r="G279" t="str">
            <v>KUST - General</v>
          </cell>
        </row>
        <row r="280">
          <cell r="F280">
            <v>847001</v>
          </cell>
          <cell r="G280" t="str">
            <v>KUST - General</v>
          </cell>
        </row>
        <row r="281">
          <cell r="F281">
            <v>847001</v>
          </cell>
          <cell r="G281" t="str">
            <v>KUST - General</v>
          </cell>
        </row>
        <row r="282">
          <cell r="F282">
            <v>847001</v>
          </cell>
          <cell r="G282" t="str">
            <v>KUST - General</v>
          </cell>
        </row>
        <row r="283">
          <cell r="F283">
            <v>847001</v>
          </cell>
          <cell r="G283" t="str">
            <v>KUST - General</v>
          </cell>
        </row>
        <row r="284">
          <cell r="F284">
            <v>847001</v>
          </cell>
          <cell r="G284" t="str">
            <v>KUST - General</v>
          </cell>
        </row>
        <row r="285">
          <cell r="F285">
            <v>847001</v>
          </cell>
          <cell r="G285" t="str">
            <v>KUST - General</v>
          </cell>
        </row>
        <row r="286">
          <cell r="F286">
            <v>847001</v>
          </cell>
          <cell r="G286" t="str">
            <v>KUST - General</v>
          </cell>
        </row>
        <row r="287">
          <cell r="F287">
            <v>847001</v>
          </cell>
          <cell r="G287" t="str">
            <v>KUST - General</v>
          </cell>
        </row>
        <row r="288">
          <cell r="F288">
            <v>847001</v>
          </cell>
          <cell r="G288" t="str">
            <v>KUST - General</v>
          </cell>
        </row>
        <row r="289">
          <cell r="F289">
            <v>847001</v>
          </cell>
          <cell r="G289" t="str">
            <v>KUST - General</v>
          </cell>
        </row>
        <row r="290">
          <cell r="F290">
            <v>847001</v>
          </cell>
          <cell r="G290" t="str">
            <v>KUST - General</v>
          </cell>
        </row>
        <row r="291">
          <cell r="F291">
            <v>847001</v>
          </cell>
          <cell r="G291" t="str">
            <v>KUST - General</v>
          </cell>
        </row>
        <row r="292">
          <cell r="F292">
            <v>847001</v>
          </cell>
          <cell r="G292" t="str">
            <v>KUST - General</v>
          </cell>
        </row>
        <row r="293">
          <cell r="F293">
            <v>847001</v>
          </cell>
          <cell r="G293" t="str">
            <v>KUST - General</v>
          </cell>
        </row>
        <row r="294">
          <cell r="F294">
            <v>847001</v>
          </cell>
          <cell r="G294" t="str">
            <v>KUST - General</v>
          </cell>
        </row>
        <row r="295">
          <cell r="F295">
            <v>847001</v>
          </cell>
          <cell r="G295" t="str">
            <v>KUST - General</v>
          </cell>
        </row>
        <row r="296">
          <cell r="F296">
            <v>847001</v>
          </cell>
          <cell r="G296" t="str">
            <v>KUST - General</v>
          </cell>
        </row>
        <row r="297">
          <cell r="F297">
            <v>847001</v>
          </cell>
          <cell r="G297" t="str">
            <v>KUST - General</v>
          </cell>
        </row>
        <row r="298">
          <cell r="F298">
            <v>847001</v>
          </cell>
          <cell r="G298" t="str">
            <v>KUST - General</v>
          </cell>
        </row>
        <row r="299">
          <cell r="F299">
            <v>847001</v>
          </cell>
          <cell r="G299" t="str">
            <v>KUST - General</v>
          </cell>
        </row>
        <row r="300">
          <cell r="F300">
            <v>847001</v>
          </cell>
          <cell r="G300" t="str">
            <v>KUST - General</v>
          </cell>
        </row>
        <row r="301">
          <cell r="F301">
            <v>847001</v>
          </cell>
          <cell r="G301" t="str">
            <v>KUST - General</v>
          </cell>
        </row>
        <row r="302">
          <cell r="F302">
            <v>847001</v>
          </cell>
          <cell r="G302" t="str">
            <v>KUST - General</v>
          </cell>
        </row>
        <row r="303">
          <cell r="F303">
            <v>847001</v>
          </cell>
          <cell r="G303" t="str">
            <v>KUST - General</v>
          </cell>
        </row>
        <row r="304">
          <cell r="F304">
            <v>847001</v>
          </cell>
          <cell r="G304" t="str">
            <v>KUST - General</v>
          </cell>
        </row>
        <row r="305">
          <cell r="F305">
            <v>847001</v>
          </cell>
          <cell r="G305" t="str">
            <v>KUST - General</v>
          </cell>
        </row>
        <row r="306">
          <cell r="F306">
            <v>847001</v>
          </cell>
          <cell r="G306" t="str">
            <v>KUST - General</v>
          </cell>
        </row>
        <row r="307">
          <cell r="F307">
            <v>847001</v>
          </cell>
          <cell r="G307" t="str">
            <v>KUST - General</v>
          </cell>
        </row>
        <row r="308">
          <cell r="F308">
            <v>847001</v>
          </cell>
          <cell r="G308" t="str">
            <v>KUST - General</v>
          </cell>
        </row>
        <row r="309">
          <cell r="F309">
            <v>847001</v>
          </cell>
          <cell r="G309" t="str">
            <v>KUST - General</v>
          </cell>
        </row>
        <row r="310">
          <cell r="F310">
            <v>847001</v>
          </cell>
          <cell r="G310" t="str">
            <v>KUST - General</v>
          </cell>
        </row>
        <row r="311">
          <cell r="F311">
            <v>847001</v>
          </cell>
          <cell r="G311" t="str">
            <v>KUST - General</v>
          </cell>
        </row>
        <row r="312">
          <cell r="F312">
            <v>847001</v>
          </cell>
          <cell r="G312" t="str">
            <v>KUST - General</v>
          </cell>
        </row>
        <row r="313">
          <cell r="F313">
            <v>847001</v>
          </cell>
          <cell r="G313" t="str">
            <v>KUST - General</v>
          </cell>
        </row>
        <row r="314">
          <cell r="F314">
            <v>847001</v>
          </cell>
          <cell r="G314" t="str">
            <v>KUST - General</v>
          </cell>
        </row>
        <row r="315">
          <cell r="F315">
            <v>847001</v>
          </cell>
          <cell r="G315" t="str">
            <v>KUST - General</v>
          </cell>
        </row>
        <row r="316">
          <cell r="F316">
            <v>847001</v>
          </cell>
          <cell r="G316" t="str">
            <v>KUST - General</v>
          </cell>
        </row>
        <row r="317">
          <cell r="F317">
            <v>847001</v>
          </cell>
          <cell r="G317" t="str">
            <v>KUST - General</v>
          </cell>
        </row>
        <row r="318">
          <cell r="F318">
            <v>847001</v>
          </cell>
          <cell r="G318" t="str">
            <v>KUST - General</v>
          </cell>
        </row>
        <row r="319">
          <cell r="F319">
            <v>847001</v>
          </cell>
          <cell r="G319" t="str">
            <v>KUST - General</v>
          </cell>
        </row>
        <row r="320">
          <cell r="F320">
            <v>847001</v>
          </cell>
          <cell r="G320" t="str">
            <v>KUST - General</v>
          </cell>
        </row>
        <row r="321">
          <cell r="F321">
            <v>847001</v>
          </cell>
          <cell r="G321" t="str">
            <v>KUST - General</v>
          </cell>
        </row>
        <row r="322">
          <cell r="F322">
            <v>847001</v>
          </cell>
          <cell r="G322" t="str">
            <v>KUST - General</v>
          </cell>
        </row>
        <row r="323">
          <cell r="F323">
            <v>847001</v>
          </cell>
          <cell r="G323" t="str">
            <v>KUST - General</v>
          </cell>
        </row>
        <row r="324">
          <cell r="F324">
            <v>847001</v>
          </cell>
          <cell r="G324" t="str">
            <v>KUST - General</v>
          </cell>
        </row>
        <row r="325">
          <cell r="F325">
            <v>847001</v>
          </cell>
          <cell r="G325" t="str">
            <v>KUST - General</v>
          </cell>
        </row>
        <row r="326">
          <cell r="F326">
            <v>847001</v>
          </cell>
          <cell r="G326" t="str">
            <v>KUST - General</v>
          </cell>
        </row>
        <row r="327">
          <cell r="F327">
            <v>847001</v>
          </cell>
          <cell r="G327" t="str">
            <v>KUST - General</v>
          </cell>
        </row>
        <row r="328">
          <cell r="F328">
            <v>847001</v>
          </cell>
          <cell r="G328" t="str">
            <v>KUST - General</v>
          </cell>
        </row>
        <row r="329">
          <cell r="F329">
            <v>847001</v>
          </cell>
          <cell r="G329" t="str">
            <v>KUST - General</v>
          </cell>
        </row>
        <row r="330">
          <cell r="F330">
            <v>847001</v>
          </cell>
          <cell r="G330" t="str">
            <v>KUST - General</v>
          </cell>
        </row>
        <row r="331">
          <cell r="F331">
            <v>847001</v>
          </cell>
          <cell r="G331" t="str">
            <v>KUST - General</v>
          </cell>
        </row>
        <row r="332">
          <cell r="F332">
            <v>847001</v>
          </cell>
          <cell r="G332" t="str">
            <v>KUST - General</v>
          </cell>
        </row>
        <row r="333">
          <cell r="F333">
            <v>847001</v>
          </cell>
          <cell r="G333" t="str">
            <v>KUST - General</v>
          </cell>
        </row>
        <row r="334">
          <cell r="F334">
            <v>847001</v>
          </cell>
          <cell r="G334" t="str">
            <v>KUST - General</v>
          </cell>
        </row>
        <row r="335">
          <cell r="F335">
            <v>847001</v>
          </cell>
          <cell r="G335" t="str">
            <v>KUST - General</v>
          </cell>
        </row>
        <row r="336">
          <cell r="F336">
            <v>847001</v>
          </cell>
          <cell r="G336" t="str">
            <v>KUST - General</v>
          </cell>
        </row>
        <row r="337">
          <cell r="F337">
            <v>847001</v>
          </cell>
          <cell r="G337" t="str">
            <v>KUST - General</v>
          </cell>
        </row>
        <row r="338">
          <cell r="F338">
            <v>847001</v>
          </cell>
          <cell r="G338" t="str">
            <v>KUST - General</v>
          </cell>
        </row>
        <row r="339">
          <cell r="F339">
            <v>847001</v>
          </cell>
          <cell r="G339" t="str">
            <v>KUST - General</v>
          </cell>
        </row>
        <row r="340">
          <cell r="F340">
            <v>847001</v>
          </cell>
          <cell r="G340" t="str">
            <v>KUST - General</v>
          </cell>
        </row>
        <row r="341">
          <cell r="F341">
            <v>847001</v>
          </cell>
          <cell r="G341" t="str">
            <v>KUST - General</v>
          </cell>
        </row>
        <row r="342">
          <cell r="F342">
            <v>847001</v>
          </cell>
          <cell r="G342" t="str">
            <v>KUST - General</v>
          </cell>
        </row>
        <row r="343">
          <cell r="F343">
            <v>847001</v>
          </cell>
          <cell r="G343" t="str">
            <v>KUST - General</v>
          </cell>
        </row>
        <row r="344">
          <cell r="F344">
            <v>847001</v>
          </cell>
          <cell r="G344" t="str">
            <v>KUST - General</v>
          </cell>
        </row>
        <row r="345">
          <cell r="F345">
            <v>847001</v>
          </cell>
          <cell r="G345" t="str">
            <v>KUST - General</v>
          </cell>
        </row>
        <row r="346">
          <cell r="F346">
            <v>847001</v>
          </cell>
          <cell r="G346" t="str">
            <v>KUST - General</v>
          </cell>
        </row>
        <row r="347">
          <cell r="F347">
            <v>847001</v>
          </cell>
          <cell r="G347" t="str">
            <v>KUST - General</v>
          </cell>
        </row>
        <row r="348">
          <cell r="F348">
            <v>847001</v>
          </cell>
          <cell r="G348" t="str">
            <v>KUST - General</v>
          </cell>
        </row>
        <row r="349">
          <cell r="F349">
            <v>847001</v>
          </cell>
          <cell r="G349" t="str">
            <v>KUST - General</v>
          </cell>
        </row>
        <row r="350">
          <cell r="F350">
            <v>847001</v>
          </cell>
          <cell r="G350" t="str">
            <v>KUST - General</v>
          </cell>
        </row>
        <row r="351">
          <cell r="F351">
            <v>847001</v>
          </cell>
          <cell r="G351" t="str">
            <v>KUST - General</v>
          </cell>
        </row>
        <row r="352">
          <cell r="F352">
            <v>847001</v>
          </cell>
          <cell r="G352" t="str">
            <v>KUST - General</v>
          </cell>
        </row>
        <row r="353">
          <cell r="F353">
            <v>847001</v>
          </cell>
          <cell r="G353" t="str">
            <v>KUST - General</v>
          </cell>
        </row>
        <row r="354">
          <cell r="F354">
            <v>847001</v>
          </cell>
          <cell r="G354" t="str">
            <v>KUST - General</v>
          </cell>
        </row>
        <row r="355">
          <cell r="F355">
            <v>847001</v>
          </cell>
          <cell r="G355" t="str">
            <v>KUST - General</v>
          </cell>
        </row>
        <row r="356">
          <cell r="F356">
            <v>847001</v>
          </cell>
          <cell r="G356" t="str">
            <v>KUST - General</v>
          </cell>
        </row>
        <row r="357">
          <cell r="F357">
            <v>847001</v>
          </cell>
          <cell r="G357" t="str">
            <v>KUST - General</v>
          </cell>
        </row>
        <row r="358">
          <cell r="F358">
            <v>847001</v>
          </cell>
          <cell r="G358" t="str">
            <v>KUST - General</v>
          </cell>
        </row>
        <row r="359">
          <cell r="F359">
            <v>847001</v>
          </cell>
          <cell r="G359" t="str">
            <v>KUST - General</v>
          </cell>
        </row>
        <row r="360">
          <cell r="F360">
            <v>847001</v>
          </cell>
          <cell r="G360" t="str">
            <v>KUST - General</v>
          </cell>
        </row>
        <row r="361">
          <cell r="F361">
            <v>847001</v>
          </cell>
          <cell r="G361" t="str">
            <v>KUST - General</v>
          </cell>
        </row>
        <row r="362">
          <cell r="F362">
            <v>847001</v>
          </cell>
          <cell r="G362" t="str">
            <v>KUST - General</v>
          </cell>
        </row>
        <row r="363">
          <cell r="F363">
            <v>847001</v>
          </cell>
          <cell r="G363" t="str">
            <v>KUST - General</v>
          </cell>
        </row>
        <row r="364">
          <cell r="F364">
            <v>847001</v>
          </cell>
          <cell r="G364" t="str">
            <v>KUST - General</v>
          </cell>
        </row>
        <row r="365">
          <cell r="F365">
            <v>847001</v>
          </cell>
          <cell r="G365" t="str">
            <v>KUST - General</v>
          </cell>
        </row>
        <row r="366">
          <cell r="F366">
            <v>847001</v>
          </cell>
          <cell r="G366" t="str">
            <v>KUST - General</v>
          </cell>
        </row>
        <row r="367">
          <cell r="F367">
            <v>847001</v>
          </cell>
          <cell r="G367" t="str">
            <v>KUST - General</v>
          </cell>
        </row>
        <row r="368">
          <cell r="F368">
            <v>847001</v>
          </cell>
          <cell r="G368" t="str">
            <v>KUST - General</v>
          </cell>
        </row>
        <row r="369">
          <cell r="F369">
            <v>847001</v>
          </cell>
          <cell r="G369" t="str">
            <v>KUST - General</v>
          </cell>
        </row>
        <row r="370">
          <cell r="F370">
            <v>847001</v>
          </cell>
          <cell r="G370" t="str">
            <v>KUST - General</v>
          </cell>
        </row>
        <row r="371">
          <cell r="F371">
            <v>847001</v>
          </cell>
          <cell r="G371" t="str">
            <v>KUST - General</v>
          </cell>
        </row>
        <row r="372">
          <cell r="F372">
            <v>847001</v>
          </cell>
          <cell r="G372" t="str">
            <v>KUST - General</v>
          </cell>
        </row>
        <row r="373">
          <cell r="F373">
            <v>847001</v>
          </cell>
          <cell r="G373" t="str">
            <v>KUST - General</v>
          </cell>
        </row>
        <row r="374">
          <cell r="F374">
            <v>847001</v>
          </cell>
          <cell r="G374" t="str">
            <v>KUST - General</v>
          </cell>
        </row>
        <row r="375">
          <cell r="F375">
            <v>847001</v>
          </cell>
          <cell r="G375" t="str">
            <v>KUST - General</v>
          </cell>
        </row>
        <row r="376">
          <cell r="F376">
            <v>847001</v>
          </cell>
          <cell r="G376" t="str">
            <v>KUST - General</v>
          </cell>
        </row>
        <row r="377">
          <cell r="F377">
            <v>847001</v>
          </cell>
          <cell r="G377" t="str">
            <v>KUST - General</v>
          </cell>
        </row>
        <row r="378">
          <cell r="F378">
            <v>847001</v>
          </cell>
          <cell r="G378" t="str">
            <v>KUST - General</v>
          </cell>
        </row>
        <row r="379">
          <cell r="F379">
            <v>847001</v>
          </cell>
          <cell r="G379" t="str">
            <v>KUST - General</v>
          </cell>
        </row>
        <row r="380">
          <cell r="F380">
            <v>847001</v>
          </cell>
          <cell r="G380" t="str">
            <v>KUST - General</v>
          </cell>
        </row>
        <row r="381">
          <cell r="F381">
            <v>847001</v>
          </cell>
          <cell r="G381" t="str">
            <v>KUST - General</v>
          </cell>
        </row>
        <row r="382">
          <cell r="F382">
            <v>847001</v>
          </cell>
          <cell r="G382" t="str">
            <v>KUST - General</v>
          </cell>
        </row>
        <row r="383">
          <cell r="F383">
            <v>847001</v>
          </cell>
          <cell r="G383" t="str">
            <v>KUST - General</v>
          </cell>
        </row>
        <row r="384">
          <cell r="F384">
            <v>847001</v>
          </cell>
          <cell r="G384" t="str">
            <v>KUST - General</v>
          </cell>
        </row>
        <row r="385">
          <cell r="F385">
            <v>847001</v>
          </cell>
          <cell r="G385" t="str">
            <v>KUST - General</v>
          </cell>
        </row>
        <row r="386">
          <cell r="F386">
            <v>847001</v>
          </cell>
          <cell r="G386" t="str">
            <v>KUST - General</v>
          </cell>
        </row>
        <row r="387">
          <cell r="F387">
            <v>847001</v>
          </cell>
          <cell r="G387" t="str">
            <v>KUST - General</v>
          </cell>
        </row>
        <row r="388">
          <cell r="F388">
            <v>847001</v>
          </cell>
          <cell r="G388" t="str">
            <v>KUST - General</v>
          </cell>
        </row>
        <row r="389">
          <cell r="F389">
            <v>847001</v>
          </cell>
          <cell r="G389" t="str">
            <v>KUST - General</v>
          </cell>
        </row>
        <row r="390">
          <cell r="F390">
            <v>847001</v>
          </cell>
          <cell r="G390" t="str">
            <v>KUST - General</v>
          </cell>
        </row>
        <row r="391">
          <cell r="F391">
            <v>847001</v>
          </cell>
          <cell r="G391" t="str">
            <v>KUST - General</v>
          </cell>
        </row>
        <row r="392">
          <cell r="F392">
            <v>847001</v>
          </cell>
          <cell r="G392" t="str">
            <v>KUST - General</v>
          </cell>
        </row>
        <row r="393">
          <cell r="F393">
            <v>847001</v>
          </cell>
          <cell r="G393" t="str">
            <v>KUST - General</v>
          </cell>
        </row>
        <row r="394">
          <cell r="F394">
            <v>847001</v>
          </cell>
          <cell r="G394" t="str">
            <v>KUST - General</v>
          </cell>
        </row>
        <row r="395">
          <cell r="F395">
            <v>847001</v>
          </cell>
          <cell r="G395" t="str">
            <v>KUST - General</v>
          </cell>
        </row>
        <row r="396">
          <cell r="F396">
            <v>847001</v>
          </cell>
          <cell r="G396" t="str">
            <v>KUST - General</v>
          </cell>
        </row>
        <row r="397">
          <cell r="F397">
            <v>847001</v>
          </cell>
          <cell r="G397" t="str">
            <v>KUST - General</v>
          </cell>
        </row>
        <row r="398">
          <cell r="F398">
            <v>847001</v>
          </cell>
          <cell r="G398" t="str">
            <v>KUST - General</v>
          </cell>
        </row>
        <row r="399">
          <cell r="F399">
            <v>847001</v>
          </cell>
          <cell r="G399" t="str">
            <v>KUST - General</v>
          </cell>
        </row>
        <row r="400">
          <cell r="F400">
            <v>847001</v>
          </cell>
          <cell r="G400" t="str">
            <v>KUST - General</v>
          </cell>
        </row>
        <row r="401">
          <cell r="F401">
            <v>847001</v>
          </cell>
          <cell r="G401" t="str">
            <v>KUST - General</v>
          </cell>
        </row>
        <row r="402">
          <cell r="F402">
            <v>847001</v>
          </cell>
          <cell r="G402" t="str">
            <v>KUST - General</v>
          </cell>
        </row>
        <row r="403">
          <cell r="F403">
            <v>847010</v>
          </cell>
          <cell r="G403" t="str">
            <v>KUST - Main Campus</v>
          </cell>
        </row>
        <row r="404">
          <cell r="F404">
            <v>847020</v>
          </cell>
          <cell r="G404" t="str">
            <v>KUST- Sas Al Nakhl Campus</v>
          </cell>
        </row>
        <row r="405">
          <cell r="F405">
            <v>847030</v>
          </cell>
          <cell r="G405" t="str">
            <v>KUST- Masdar city campus</v>
          </cell>
        </row>
        <row r="406">
          <cell r="F406">
            <v>847001</v>
          </cell>
          <cell r="G406" t="str">
            <v>KUST - General</v>
          </cell>
        </row>
        <row r="407">
          <cell r="F407">
            <v>847001</v>
          </cell>
          <cell r="G407" t="str">
            <v>KUST - General</v>
          </cell>
        </row>
        <row r="408">
          <cell r="F408">
            <v>847001</v>
          </cell>
          <cell r="G408" t="str">
            <v>KUST - General</v>
          </cell>
        </row>
        <row r="409">
          <cell r="F409">
            <v>847001</v>
          </cell>
          <cell r="G409" t="str">
            <v>KUST - General</v>
          </cell>
        </row>
        <row r="410">
          <cell r="F410">
            <v>847001</v>
          </cell>
          <cell r="G410" t="str">
            <v>KUST - General</v>
          </cell>
        </row>
        <row r="411">
          <cell r="F411">
            <v>847951</v>
          </cell>
          <cell r="G411" t="str">
            <v>COVID-19 Pandemic</v>
          </cell>
        </row>
        <row r="412">
          <cell r="F412">
            <v>847001</v>
          </cell>
          <cell r="G412" t="str">
            <v>KUST - General</v>
          </cell>
        </row>
        <row r="413">
          <cell r="F413">
            <v>847001</v>
          </cell>
          <cell r="G413" t="str">
            <v>KUST - General</v>
          </cell>
        </row>
        <row r="414">
          <cell r="F414">
            <v>847001</v>
          </cell>
          <cell r="G414" t="str">
            <v>KUST - General</v>
          </cell>
        </row>
        <row r="415">
          <cell r="F415">
            <v>847001</v>
          </cell>
          <cell r="G415" t="str">
            <v>KUST - General</v>
          </cell>
        </row>
        <row r="416">
          <cell r="F416">
            <v>847001</v>
          </cell>
          <cell r="G416" t="str">
            <v>KUST - General</v>
          </cell>
        </row>
        <row r="417">
          <cell r="F417">
            <v>847951</v>
          </cell>
          <cell r="G417" t="str">
            <v>COVID-19 Pandemic</v>
          </cell>
        </row>
        <row r="418">
          <cell r="F418">
            <v>847001</v>
          </cell>
          <cell r="G418" t="str">
            <v>KUST - General</v>
          </cell>
        </row>
        <row r="419">
          <cell r="F419">
            <v>847001</v>
          </cell>
          <cell r="G419" t="str">
            <v>KUST - General</v>
          </cell>
        </row>
        <row r="420">
          <cell r="F420">
            <v>847010</v>
          </cell>
          <cell r="G420" t="str">
            <v>KUST - Main Campus</v>
          </cell>
        </row>
        <row r="421">
          <cell r="F421">
            <v>847010</v>
          </cell>
          <cell r="G421" t="str">
            <v>KUST - Main Campus</v>
          </cell>
        </row>
        <row r="422">
          <cell r="F422">
            <v>847020</v>
          </cell>
          <cell r="G422" t="str">
            <v>KUST- Sas Al Nakhl Campus</v>
          </cell>
        </row>
        <row r="423">
          <cell r="F423">
            <v>847020</v>
          </cell>
          <cell r="G423" t="str">
            <v>KUST- Sas Al Nakhl Campus</v>
          </cell>
        </row>
        <row r="424">
          <cell r="F424">
            <v>847030</v>
          </cell>
          <cell r="G424" t="str">
            <v>KUST- Masdar city campus</v>
          </cell>
        </row>
        <row r="425">
          <cell r="F425">
            <v>847030</v>
          </cell>
          <cell r="G425" t="str">
            <v>KUST- Masdar city campus</v>
          </cell>
        </row>
        <row r="426">
          <cell r="F426">
            <v>847010</v>
          </cell>
          <cell r="G426" t="str">
            <v>KUST - Main Campus</v>
          </cell>
        </row>
        <row r="427">
          <cell r="F427">
            <v>847010</v>
          </cell>
          <cell r="G427" t="str">
            <v>KUST - Main Campus</v>
          </cell>
        </row>
        <row r="428">
          <cell r="F428">
            <v>847020</v>
          </cell>
          <cell r="G428" t="str">
            <v>KUST- Sas Al Nakhl Campus</v>
          </cell>
        </row>
        <row r="429">
          <cell r="F429">
            <v>847020</v>
          </cell>
          <cell r="G429" t="str">
            <v>KUST- Sas Al Nakhl Campus</v>
          </cell>
        </row>
        <row r="430">
          <cell r="F430">
            <v>847030</v>
          </cell>
          <cell r="G430" t="str">
            <v>KUST- Masdar city campus</v>
          </cell>
        </row>
        <row r="431">
          <cell r="F431">
            <v>847030</v>
          </cell>
          <cell r="G431" t="str">
            <v>KUST- Masdar city campus</v>
          </cell>
        </row>
        <row r="432">
          <cell r="F432">
            <v>847010</v>
          </cell>
          <cell r="G432" t="str">
            <v>KUST - Main Campus</v>
          </cell>
        </row>
        <row r="433">
          <cell r="F433">
            <v>847010</v>
          </cell>
          <cell r="G433" t="str">
            <v>KUST - Main Campus</v>
          </cell>
        </row>
        <row r="434">
          <cell r="F434">
            <v>847020</v>
          </cell>
          <cell r="G434" t="str">
            <v>KUST- Sas Al Nakhl Campus</v>
          </cell>
        </row>
        <row r="435">
          <cell r="F435">
            <v>847020</v>
          </cell>
          <cell r="G435" t="str">
            <v>KUST- Sas Al Nakhl Campus</v>
          </cell>
        </row>
        <row r="436">
          <cell r="F436">
            <v>847030</v>
          </cell>
          <cell r="G436" t="str">
            <v>KUST- Masdar city campus</v>
          </cell>
        </row>
        <row r="437">
          <cell r="F437">
            <v>847030</v>
          </cell>
          <cell r="G437" t="str">
            <v>KUST- Masdar city campus</v>
          </cell>
        </row>
        <row r="438">
          <cell r="F438">
            <v>847010</v>
          </cell>
          <cell r="G438" t="str">
            <v>KUST - Main Campus</v>
          </cell>
        </row>
        <row r="439">
          <cell r="F439">
            <v>847030</v>
          </cell>
          <cell r="G439" t="str">
            <v>KUST- Masdar city campus</v>
          </cell>
        </row>
        <row r="440">
          <cell r="F440">
            <v>847010</v>
          </cell>
          <cell r="G440" t="str">
            <v>KUST - Main Campus</v>
          </cell>
        </row>
        <row r="441">
          <cell r="F441">
            <v>847010</v>
          </cell>
          <cell r="G441" t="str">
            <v>KUST - Main Campus</v>
          </cell>
        </row>
        <row r="442">
          <cell r="F442">
            <v>847010</v>
          </cell>
          <cell r="G442" t="str">
            <v>KUST - Main Campus</v>
          </cell>
        </row>
        <row r="443">
          <cell r="F443">
            <v>847010</v>
          </cell>
          <cell r="G443" t="str">
            <v>KUST - Main Campus</v>
          </cell>
        </row>
        <row r="444">
          <cell r="F444">
            <v>847010</v>
          </cell>
          <cell r="G444" t="str">
            <v>KUST - Main Campus</v>
          </cell>
        </row>
        <row r="445">
          <cell r="F445">
            <v>847010</v>
          </cell>
          <cell r="G445" t="str">
            <v>KUST - Main Campus</v>
          </cell>
        </row>
        <row r="446">
          <cell r="F446">
            <v>847030</v>
          </cell>
          <cell r="G446" t="str">
            <v>KUST- Masdar city campus</v>
          </cell>
        </row>
        <row r="447">
          <cell r="F447">
            <v>847030</v>
          </cell>
          <cell r="G447" t="str">
            <v>KUST- Masdar city campus</v>
          </cell>
        </row>
        <row r="448">
          <cell r="F448">
            <v>847010</v>
          </cell>
          <cell r="G448" t="str">
            <v>KUST - Main Campus</v>
          </cell>
        </row>
        <row r="449">
          <cell r="F449">
            <v>847020</v>
          </cell>
          <cell r="G449" t="str">
            <v>KUST- Sas Al Nakhl Campus</v>
          </cell>
        </row>
        <row r="450">
          <cell r="F450">
            <v>847030</v>
          </cell>
          <cell r="G450" t="str">
            <v>KUST- Masdar city campus</v>
          </cell>
        </row>
        <row r="451">
          <cell r="F451">
            <v>847010</v>
          </cell>
          <cell r="G451" t="str">
            <v>KUST - Main Campus</v>
          </cell>
        </row>
        <row r="452">
          <cell r="F452">
            <v>847010</v>
          </cell>
          <cell r="G452" t="str">
            <v>KUST - Main Campus</v>
          </cell>
        </row>
        <row r="453">
          <cell r="F453">
            <v>847010</v>
          </cell>
          <cell r="G453" t="str">
            <v>KUST - Main Campus</v>
          </cell>
        </row>
        <row r="454">
          <cell r="F454">
            <v>847020</v>
          </cell>
          <cell r="G454" t="str">
            <v>KUST- Sas Al Nakhl Campus</v>
          </cell>
        </row>
        <row r="455">
          <cell r="F455">
            <v>847020</v>
          </cell>
          <cell r="G455" t="str">
            <v>KUST- Sas Al Nakhl Campus</v>
          </cell>
        </row>
        <row r="456">
          <cell r="F456">
            <v>847010</v>
          </cell>
          <cell r="G456" t="str">
            <v>KUST - Main Campus</v>
          </cell>
        </row>
        <row r="457">
          <cell r="F457">
            <v>847020</v>
          </cell>
          <cell r="G457" t="str">
            <v>KUST- Sas Al Nakhl Campus</v>
          </cell>
        </row>
        <row r="458">
          <cell r="F458">
            <v>847010</v>
          </cell>
          <cell r="G458" t="str">
            <v>KUST - Main Campus</v>
          </cell>
        </row>
        <row r="459">
          <cell r="F459">
            <v>847010</v>
          </cell>
          <cell r="G459" t="str">
            <v>KUST - Main Campus</v>
          </cell>
        </row>
        <row r="460">
          <cell r="F460">
            <v>847010</v>
          </cell>
          <cell r="G460" t="str">
            <v>KUST - Main Campus</v>
          </cell>
        </row>
        <row r="461">
          <cell r="F461">
            <v>847015</v>
          </cell>
          <cell r="G461" t="str">
            <v>Student Related Costs</v>
          </cell>
        </row>
        <row r="462">
          <cell r="F462">
            <v>847020</v>
          </cell>
          <cell r="G462" t="str">
            <v>KUST- Sas Al Nakhl Campus</v>
          </cell>
        </row>
        <row r="463">
          <cell r="F463">
            <v>847020</v>
          </cell>
          <cell r="G463" t="str">
            <v>KUST- Sas Al Nakhl Campus</v>
          </cell>
        </row>
        <row r="464">
          <cell r="F464">
            <v>847030</v>
          </cell>
          <cell r="G464" t="str">
            <v>KUST- Masdar city campus</v>
          </cell>
        </row>
        <row r="465">
          <cell r="F465">
            <v>847030</v>
          </cell>
          <cell r="G465" t="str">
            <v>KUST- Masdar city campus</v>
          </cell>
        </row>
        <row r="466">
          <cell r="F466">
            <v>847010</v>
          </cell>
          <cell r="G466" t="str">
            <v>KUST - Main Campus</v>
          </cell>
        </row>
        <row r="467">
          <cell r="F467">
            <v>847015</v>
          </cell>
          <cell r="G467" t="str">
            <v>Student Related Costs</v>
          </cell>
        </row>
        <row r="468">
          <cell r="F468">
            <v>847020</v>
          </cell>
          <cell r="G468" t="str">
            <v>KUST- Sas Al Nakhl Campus</v>
          </cell>
        </row>
        <row r="469">
          <cell r="F469">
            <v>847010</v>
          </cell>
          <cell r="G469" t="str">
            <v>KUST - Main Campus</v>
          </cell>
        </row>
        <row r="470">
          <cell r="F470">
            <v>847010</v>
          </cell>
          <cell r="G470" t="str">
            <v>KUST - Main Campus</v>
          </cell>
        </row>
        <row r="471">
          <cell r="F471">
            <v>847010</v>
          </cell>
          <cell r="G471" t="str">
            <v>KUST - Main Campus</v>
          </cell>
        </row>
        <row r="472">
          <cell r="F472">
            <v>847010</v>
          </cell>
          <cell r="G472" t="str">
            <v>KUST - Main Campus</v>
          </cell>
        </row>
        <row r="473">
          <cell r="F473">
            <v>847010</v>
          </cell>
          <cell r="G473" t="str">
            <v>KUST - Main Campus</v>
          </cell>
        </row>
        <row r="474">
          <cell r="F474">
            <v>847020</v>
          </cell>
          <cell r="G474" t="str">
            <v>KUST- Sas Al Nakhl Campus</v>
          </cell>
        </row>
        <row r="475">
          <cell r="F475">
            <v>847030</v>
          </cell>
          <cell r="G475" t="str">
            <v>KUST- Masdar city campus</v>
          </cell>
        </row>
        <row r="476">
          <cell r="F476">
            <v>847010</v>
          </cell>
          <cell r="G476" t="str">
            <v>KUST - Main Campus</v>
          </cell>
        </row>
        <row r="477">
          <cell r="F477">
            <v>847010</v>
          </cell>
          <cell r="G477" t="str">
            <v>KUST - Main Campus</v>
          </cell>
        </row>
        <row r="478">
          <cell r="F478">
            <v>847015</v>
          </cell>
          <cell r="G478" t="str">
            <v>Student Related Costs</v>
          </cell>
        </row>
        <row r="479">
          <cell r="F479">
            <v>847020</v>
          </cell>
          <cell r="G479" t="str">
            <v>KUST- Sas Al Nakhl Campus</v>
          </cell>
        </row>
        <row r="480">
          <cell r="F480">
            <v>847020</v>
          </cell>
          <cell r="G480" t="str">
            <v>KUST- Sas Al Nakhl Campus</v>
          </cell>
        </row>
        <row r="481">
          <cell r="F481">
            <v>847030</v>
          </cell>
          <cell r="G481" t="str">
            <v>KUST- Masdar city campus</v>
          </cell>
        </row>
        <row r="482">
          <cell r="F482">
            <v>847030</v>
          </cell>
          <cell r="G482" t="str">
            <v>KUST- Masdar city campus</v>
          </cell>
        </row>
        <row r="483">
          <cell r="F483">
            <v>847010</v>
          </cell>
          <cell r="G483" t="str">
            <v>KUST - Main Campus</v>
          </cell>
        </row>
        <row r="484">
          <cell r="F484">
            <v>847010</v>
          </cell>
          <cell r="G484" t="str">
            <v>KUST - Main Campus</v>
          </cell>
        </row>
        <row r="485">
          <cell r="F485">
            <v>847020</v>
          </cell>
          <cell r="G485" t="str">
            <v>KUST- Sas Al Nakhl Campus</v>
          </cell>
        </row>
        <row r="486">
          <cell r="F486">
            <v>847030</v>
          </cell>
          <cell r="G486" t="str">
            <v>KUST- Masdar city campus</v>
          </cell>
        </row>
        <row r="487">
          <cell r="F487">
            <v>847030</v>
          </cell>
          <cell r="G487" t="str">
            <v>KUST- Masdar city campus</v>
          </cell>
        </row>
        <row r="488">
          <cell r="F488">
            <v>847010</v>
          </cell>
          <cell r="G488" t="str">
            <v>KUST - Main Campus</v>
          </cell>
        </row>
        <row r="489">
          <cell r="F489">
            <v>847010</v>
          </cell>
          <cell r="G489" t="str">
            <v>KUST - Main Campus</v>
          </cell>
        </row>
        <row r="490">
          <cell r="F490">
            <v>847010</v>
          </cell>
          <cell r="G490" t="str">
            <v>KUST - Main Campus</v>
          </cell>
        </row>
        <row r="491">
          <cell r="F491">
            <v>847020</v>
          </cell>
          <cell r="G491" t="str">
            <v>KUST- Sas Al Nakhl Campus</v>
          </cell>
        </row>
        <row r="492">
          <cell r="F492">
            <v>847020</v>
          </cell>
          <cell r="G492" t="str">
            <v>KUST- Sas Al Nakhl Campus</v>
          </cell>
        </row>
        <row r="493">
          <cell r="F493">
            <v>847010</v>
          </cell>
          <cell r="G493" t="str">
            <v>KUST - Main Campus</v>
          </cell>
        </row>
        <row r="494">
          <cell r="F494">
            <v>847010</v>
          </cell>
          <cell r="G494" t="str">
            <v>KUST - Main Campus</v>
          </cell>
        </row>
        <row r="495">
          <cell r="F495">
            <v>847020</v>
          </cell>
          <cell r="G495" t="str">
            <v>KUST- Sas Al Nakhl Campus</v>
          </cell>
        </row>
        <row r="496">
          <cell r="F496">
            <v>847030</v>
          </cell>
          <cell r="G496" t="str">
            <v>KUST- Masdar city campus</v>
          </cell>
        </row>
        <row r="497">
          <cell r="F497">
            <v>847020</v>
          </cell>
          <cell r="G497" t="str">
            <v>KUST- Sas Al Nakhl Campus</v>
          </cell>
        </row>
        <row r="498">
          <cell r="F498">
            <v>847010</v>
          </cell>
          <cell r="G498" t="str">
            <v>KUST - Main Campus</v>
          </cell>
        </row>
        <row r="499">
          <cell r="F499">
            <v>847020</v>
          </cell>
          <cell r="G499" t="str">
            <v>KUST- Sas Al Nakhl Campus</v>
          </cell>
        </row>
        <row r="500">
          <cell r="F500">
            <v>847030</v>
          </cell>
          <cell r="G500" t="str">
            <v>KUST- Masdar city campus</v>
          </cell>
        </row>
        <row r="501">
          <cell r="F501">
            <v>847010</v>
          </cell>
          <cell r="G501" t="str">
            <v>KUST - Main Campus</v>
          </cell>
        </row>
        <row r="502">
          <cell r="F502">
            <v>847010</v>
          </cell>
          <cell r="G502" t="str">
            <v>KUST - Main Campus</v>
          </cell>
        </row>
        <row r="503">
          <cell r="F503">
            <v>847020</v>
          </cell>
          <cell r="G503" t="str">
            <v>KUST- Sas Al Nakhl Campus</v>
          </cell>
        </row>
        <row r="504">
          <cell r="F504">
            <v>847020</v>
          </cell>
          <cell r="G504" t="str">
            <v>KUST- Sas Al Nakhl Campus</v>
          </cell>
        </row>
        <row r="505">
          <cell r="F505">
            <v>847030</v>
          </cell>
          <cell r="G505" t="str">
            <v>KUST- Masdar city campus</v>
          </cell>
        </row>
        <row r="506">
          <cell r="F506">
            <v>847010</v>
          </cell>
          <cell r="G506" t="str">
            <v>KUST - Main Campus</v>
          </cell>
        </row>
        <row r="507">
          <cell r="F507">
            <v>847010</v>
          </cell>
          <cell r="G507" t="str">
            <v>KUST - Main Campus</v>
          </cell>
        </row>
        <row r="508">
          <cell r="F508">
            <v>847020</v>
          </cell>
          <cell r="G508" t="str">
            <v>KUST- Sas Al Nakhl Campus</v>
          </cell>
        </row>
        <row r="509">
          <cell r="F509">
            <v>847020</v>
          </cell>
          <cell r="G509" t="str">
            <v>KUST- Sas Al Nakhl Campus</v>
          </cell>
        </row>
        <row r="510">
          <cell r="F510">
            <v>847030</v>
          </cell>
          <cell r="G510" t="str">
            <v>KUST- Masdar city campus</v>
          </cell>
        </row>
        <row r="511">
          <cell r="F511">
            <v>847010</v>
          </cell>
          <cell r="G511" t="str">
            <v>KUST - Main Campus</v>
          </cell>
        </row>
        <row r="512">
          <cell r="F512">
            <v>847020</v>
          </cell>
          <cell r="G512" t="str">
            <v>KUST- Sas Al Nakhl Campus</v>
          </cell>
        </row>
        <row r="513">
          <cell r="F513">
            <v>847020</v>
          </cell>
          <cell r="G513" t="str">
            <v>KUST- Sas Al Nakhl Campus</v>
          </cell>
        </row>
        <row r="514">
          <cell r="F514">
            <v>847020</v>
          </cell>
          <cell r="G514" t="str">
            <v>KUST- Sas Al Nakhl Campus</v>
          </cell>
        </row>
        <row r="515">
          <cell r="F515">
            <v>847010</v>
          </cell>
          <cell r="G515" t="str">
            <v>KUST - Main Campus</v>
          </cell>
        </row>
        <row r="516">
          <cell r="F516">
            <v>847010</v>
          </cell>
          <cell r="G516" t="str">
            <v>KUST - Main Campus</v>
          </cell>
        </row>
        <row r="517">
          <cell r="F517">
            <v>847010</v>
          </cell>
          <cell r="G517" t="str">
            <v>KUST - Main Campus</v>
          </cell>
        </row>
        <row r="518">
          <cell r="F518">
            <v>847020</v>
          </cell>
          <cell r="G518" t="str">
            <v>KUST- Sas Al Nakhl Campus</v>
          </cell>
        </row>
        <row r="519">
          <cell r="F519">
            <v>847020</v>
          </cell>
          <cell r="G519" t="str">
            <v>KUST- Sas Al Nakhl Campus</v>
          </cell>
        </row>
        <row r="520">
          <cell r="F520">
            <v>847030</v>
          </cell>
          <cell r="G520" t="str">
            <v>KUST- Masdar city campus</v>
          </cell>
        </row>
        <row r="521">
          <cell r="F521">
            <v>847030</v>
          </cell>
          <cell r="G521" t="str">
            <v>KUST- Masdar city campus</v>
          </cell>
        </row>
        <row r="522">
          <cell r="F522">
            <v>847010</v>
          </cell>
          <cell r="G522" t="str">
            <v>KUST - Main Campus</v>
          </cell>
        </row>
        <row r="523">
          <cell r="F523">
            <v>847020</v>
          </cell>
          <cell r="G523" t="str">
            <v>KUST- Sas Al Nakhl Campus</v>
          </cell>
        </row>
        <row r="524">
          <cell r="F524">
            <v>847030</v>
          </cell>
          <cell r="G524" t="str">
            <v>KUST- Masdar city campus</v>
          </cell>
        </row>
        <row r="525">
          <cell r="F525">
            <v>847010</v>
          </cell>
          <cell r="G525" t="str">
            <v>KUST - Main Campus</v>
          </cell>
        </row>
        <row r="526">
          <cell r="F526">
            <v>847020</v>
          </cell>
          <cell r="G526" t="str">
            <v>KUST- Sas Al Nakhl Campus</v>
          </cell>
        </row>
        <row r="527">
          <cell r="F527">
            <v>847020</v>
          </cell>
          <cell r="G527" t="str">
            <v>KUST- Sas Al Nakhl Campus</v>
          </cell>
        </row>
        <row r="528">
          <cell r="F528">
            <v>847030</v>
          </cell>
          <cell r="G528" t="str">
            <v>KUST- Masdar city campus</v>
          </cell>
        </row>
        <row r="529">
          <cell r="F529">
            <v>847030</v>
          </cell>
          <cell r="G529" t="str">
            <v>KUST- Masdar city campus</v>
          </cell>
        </row>
        <row r="530">
          <cell r="F530">
            <v>847010</v>
          </cell>
          <cell r="G530" t="str">
            <v>KUST - Main Campus</v>
          </cell>
        </row>
        <row r="531">
          <cell r="F531">
            <v>847010</v>
          </cell>
          <cell r="G531" t="str">
            <v>KUST - Main Campus</v>
          </cell>
        </row>
        <row r="532">
          <cell r="F532">
            <v>847010</v>
          </cell>
          <cell r="G532" t="str">
            <v>KUST - Main Campus</v>
          </cell>
        </row>
        <row r="533">
          <cell r="F533">
            <v>847020</v>
          </cell>
          <cell r="G533" t="str">
            <v>KUST- Sas Al Nakhl Campus</v>
          </cell>
        </row>
        <row r="534">
          <cell r="F534">
            <v>847001</v>
          </cell>
          <cell r="G534" t="str">
            <v>KUST - General</v>
          </cell>
        </row>
        <row r="535">
          <cell r="F535">
            <v>847001</v>
          </cell>
          <cell r="G535" t="str">
            <v>KUST - General</v>
          </cell>
        </row>
        <row r="536">
          <cell r="F536">
            <v>847001</v>
          </cell>
          <cell r="G536" t="str">
            <v>KUST - General</v>
          </cell>
        </row>
        <row r="537">
          <cell r="F537">
            <v>847001</v>
          </cell>
          <cell r="G537" t="str">
            <v>KUST - General</v>
          </cell>
        </row>
        <row r="538">
          <cell r="F538">
            <v>847001</v>
          </cell>
          <cell r="G538" t="str">
            <v>KUST - General</v>
          </cell>
        </row>
        <row r="539">
          <cell r="F539">
            <v>847001</v>
          </cell>
          <cell r="G539" t="str">
            <v>KUST - General</v>
          </cell>
        </row>
        <row r="540">
          <cell r="F540">
            <v>847001</v>
          </cell>
          <cell r="G540" t="str">
            <v>KUST - General</v>
          </cell>
        </row>
        <row r="541">
          <cell r="F541">
            <v>847001</v>
          </cell>
          <cell r="G541" t="str">
            <v>KUST - General</v>
          </cell>
        </row>
        <row r="542">
          <cell r="F542">
            <v>847001</v>
          </cell>
          <cell r="G542" t="str">
            <v>KUST - General</v>
          </cell>
        </row>
        <row r="543">
          <cell r="F543">
            <v>847001</v>
          </cell>
          <cell r="G543" t="str">
            <v>KUST - General</v>
          </cell>
        </row>
        <row r="544">
          <cell r="F544">
            <v>847001</v>
          </cell>
          <cell r="G544" t="str">
            <v>KUST - General</v>
          </cell>
        </row>
        <row r="545">
          <cell r="F545">
            <v>847001</v>
          </cell>
          <cell r="G545" t="str">
            <v>KUST - General</v>
          </cell>
        </row>
        <row r="546">
          <cell r="F546">
            <v>847001</v>
          </cell>
          <cell r="G546" t="str">
            <v>KUST - General</v>
          </cell>
        </row>
        <row r="547">
          <cell r="F547">
            <v>847001</v>
          </cell>
          <cell r="G547" t="str">
            <v>KUST - General</v>
          </cell>
        </row>
        <row r="548">
          <cell r="F548">
            <v>847001</v>
          </cell>
          <cell r="G548" t="str">
            <v>KUST - General</v>
          </cell>
        </row>
        <row r="549">
          <cell r="F549">
            <v>847001</v>
          </cell>
          <cell r="G549" t="str">
            <v>KUST - General</v>
          </cell>
        </row>
        <row r="550">
          <cell r="F550">
            <v>847001</v>
          </cell>
          <cell r="G550" t="str">
            <v>KUST - General</v>
          </cell>
        </row>
        <row r="551">
          <cell r="F551">
            <v>847001</v>
          </cell>
          <cell r="G551" t="str">
            <v>KUST - General</v>
          </cell>
        </row>
        <row r="552">
          <cell r="F552">
            <v>847001</v>
          </cell>
          <cell r="G552" t="str">
            <v>KUST - General</v>
          </cell>
        </row>
        <row r="553">
          <cell r="F553">
            <v>847001</v>
          </cell>
          <cell r="G553" t="str">
            <v>KUST - General</v>
          </cell>
        </row>
        <row r="554">
          <cell r="F554">
            <v>847001</v>
          </cell>
          <cell r="G554" t="str">
            <v>KUST - General</v>
          </cell>
        </row>
        <row r="555">
          <cell r="F555">
            <v>847001</v>
          </cell>
          <cell r="G555" t="str">
            <v>KUST - General</v>
          </cell>
        </row>
        <row r="556">
          <cell r="F556">
            <v>847001</v>
          </cell>
          <cell r="G556" t="str">
            <v>KUST - General</v>
          </cell>
        </row>
        <row r="557">
          <cell r="F557">
            <v>847001</v>
          </cell>
          <cell r="G557" t="str">
            <v>KUST - General</v>
          </cell>
        </row>
        <row r="558">
          <cell r="F558">
            <v>847001</v>
          </cell>
          <cell r="G558" t="str">
            <v>KUST - General</v>
          </cell>
        </row>
        <row r="559">
          <cell r="F559">
            <v>847001</v>
          </cell>
          <cell r="G559" t="str">
            <v>KUST - General</v>
          </cell>
        </row>
        <row r="560">
          <cell r="F560">
            <v>847001</v>
          </cell>
          <cell r="G560" t="str">
            <v>KUST - General</v>
          </cell>
        </row>
        <row r="561">
          <cell r="F561">
            <v>847001</v>
          </cell>
          <cell r="G561" t="str">
            <v>KUST - General</v>
          </cell>
        </row>
        <row r="562">
          <cell r="F562">
            <v>847001</v>
          </cell>
          <cell r="G562" t="str">
            <v>KUST - General</v>
          </cell>
        </row>
        <row r="563">
          <cell r="F563">
            <v>847001</v>
          </cell>
          <cell r="G563" t="str">
            <v>KUST - General</v>
          </cell>
        </row>
        <row r="564">
          <cell r="F564">
            <v>847001</v>
          </cell>
          <cell r="G564" t="str">
            <v>KUST - General</v>
          </cell>
        </row>
        <row r="565">
          <cell r="F565">
            <v>847001</v>
          </cell>
          <cell r="G565" t="str">
            <v>KUST - General</v>
          </cell>
        </row>
        <row r="566">
          <cell r="F566">
            <v>847001</v>
          </cell>
          <cell r="G566" t="str">
            <v>KUST - General</v>
          </cell>
        </row>
        <row r="567">
          <cell r="F567">
            <v>847001</v>
          </cell>
          <cell r="G567" t="str">
            <v>KUST - General</v>
          </cell>
        </row>
        <row r="568">
          <cell r="F568">
            <v>847001</v>
          </cell>
          <cell r="G568" t="str">
            <v>KUST - General</v>
          </cell>
        </row>
        <row r="569">
          <cell r="F569">
            <v>847001</v>
          </cell>
          <cell r="G569" t="str">
            <v>KUST - General</v>
          </cell>
        </row>
        <row r="570">
          <cell r="F570">
            <v>847001</v>
          </cell>
          <cell r="G570" t="str">
            <v>KUST - General</v>
          </cell>
        </row>
        <row r="571">
          <cell r="F571">
            <v>847001</v>
          </cell>
          <cell r="G571" t="str">
            <v>KUST - General</v>
          </cell>
        </row>
        <row r="572">
          <cell r="F572">
            <v>847001</v>
          </cell>
          <cell r="G572" t="str">
            <v>KUST - General</v>
          </cell>
        </row>
        <row r="573">
          <cell r="F573">
            <v>847001</v>
          </cell>
          <cell r="G573" t="str">
            <v>KUST - General</v>
          </cell>
        </row>
        <row r="574">
          <cell r="F574">
            <v>847001</v>
          </cell>
          <cell r="G574" t="str">
            <v>KUST - General</v>
          </cell>
        </row>
        <row r="575">
          <cell r="F575">
            <v>847001</v>
          </cell>
          <cell r="G575" t="str">
            <v>KUST - General</v>
          </cell>
        </row>
        <row r="576">
          <cell r="F576">
            <v>847001</v>
          </cell>
          <cell r="G576" t="str">
            <v>KUST - General</v>
          </cell>
        </row>
        <row r="577">
          <cell r="F577">
            <v>847001</v>
          </cell>
          <cell r="G577" t="str">
            <v>KUST - General</v>
          </cell>
        </row>
        <row r="578">
          <cell r="F578">
            <v>847001</v>
          </cell>
          <cell r="G578" t="str">
            <v>KUST - General</v>
          </cell>
        </row>
        <row r="579">
          <cell r="F579">
            <v>847001</v>
          </cell>
          <cell r="G579" t="str">
            <v>KUST - General</v>
          </cell>
        </row>
        <row r="580">
          <cell r="F580">
            <v>847001</v>
          </cell>
          <cell r="G580" t="str">
            <v>KUST - General</v>
          </cell>
        </row>
        <row r="581">
          <cell r="F581">
            <v>847001</v>
          </cell>
          <cell r="G581" t="str">
            <v>KUST - General</v>
          </cell>
        </row>
        <row r="582">
          <cell r="F582">
            <v>847001</v>
          </cell>
          <cell r="G582" t="str">
            <v>KUST - General</v>
          </cell>
        </row>
        <row r="583">
          <cell r="F583">
            <v>847001</v>
          </cell>
          <cell r="G583" t="str">
            <v>KUST - General</v>
          </cell>
        </row>
        <row r="584">
          <cell r="F584">
            <v>847001</v>
          </cell>
          <cell r="G584" t="str">
            <v>KUST - General</v>
          </cell>
        </row>
        <row r="585">
          <cell r="F585">
            <v>847001</v>
          </cell>
          <cell r="G585" t="str">
            <v>KUST - General</v>
          </cell>
        </row>
        <row r="586">
          <cell r="F586">
            <v>847001</v>
          </cell>
          <cell r="G586" t="str">
            <v>KUST - General</v>
          </cell>
        </row>
        <row r="587">
          <cell r="F587">
            <v>847001</v>
          </cell>
          <cell r="G587" t="str">
            <v>KUST - General</v>
          </cell>
        </row>
        <row r="588">
          <cell r="F588">
            <v>847001</v>
          </cell>
          <cell r="G588" t="str">
            <v>KUST - General</v>
          </cell>
        </row>
        <row r="589">
          <cell r="F589">
            <v>847001</v>
          </cell>
          <cell r="G589" t="str">
            <v>KUST - General</v>
          </cell>
        </row>
        <row r="590">
          <cell r="F590">
            <v>847001</v>
          </cell>
          <cell r="G590" t="str">
            <v>KUST - General</v>
          </cell>
        </row>
        <row r="591">
          <cell r="F591">
            <v>847001</v>
          </cell>
          <cell r="G591" t="str">
            <v>KUST - General</v>
          </cell>
        </row>
        <row r="592">
          <cell r="F592">
            <v>847001</v>
          </cell>
          <cell r="G592" t="str">
            <v>KUST - General</v>
          </cell>
        </row>
        <row r="593">
          <cell r="F593">
            <v>847001</v>
          </cell>
          <cell r="G593" t="str">
            <v>KUST - General</v>
          </cell>
        </row>
        <row r="594">
          <cell r="F594">
            <v>847001</v>
          </cell>
          <cell r="G594" t="str">
            <v>KUST - General</v>
          </cell>
        </row>
        <row r="595">
          <cell r="F595">
            <v>847001</v>
          </cell>
          <cell r="G595" t="str">
            <v>KUST - General</v>
          </cell>
        </row>
        <row r="596">
          <cell r="F596">
            <v>847001</v>
          </cell>
          <cell r="G596" t="str">
            <v>KUST - General</v>
          </cell>
        </row>
        <row r="597">
          <cell r="F597">
            <v>847001</v>
          </cell>
          <cell r="G597" t="str">
            <v>KUST - General</v>
          </cell>
        </row>
        <row r="598">
          <cell r="F598">
            <v>847001</v>
          </cell>
          <cell r="G598" t="str">
            <v>KUST - General</v>
          </cell>
        </row>
        <row r="599">
          <cell r="F599">
            <v>847001</v>
          </cell>
          <cell r="G599" t="str">
            <v>KUST - General</v>
          </cell>
        </row>
        <row r="600">
          <cell r="F600">
            <v>847001</v>
          </cell>
          <cell r="G600" t="str">
            <v>KUST - General</v>
          </cell>
        </row>
        <row r="601">
          <cell r="F601">
            <v>847001</v>
          </cell>
          <cell r="G601" t="str">
            <v>KUST - General</v>
          </cell>
        </row>
        <row r="602">
          <cell r="F602">
            <v>847001</v>
          </cell>
          <cell r="G602" t="str">
            <v>KUST - General</v>
          </cell>
        </row>
        <row r="603">
          <cell r="F603">
            <v>847001</v>
          </cell>
          <cell r="G603" t="str">
            <v>KUST - General</v>
          </cell>
        </row>
        <row r="604">
          <cell r="F604">
            <v>847001</v>
          </cell>
          <cell r="G604" t="str">
            <v>KUST - General</v>
          </cell>
        </row>
        <row r="605">
          <cell r="F605">
            <v>847001</v>
          </cell>
          <cell r="G605" t="str">
            <v>KUST - General</v>
          </cell>
        </row>
        <row r="606">
          <cell r="F606">
            <v>847001</v>
          </cell>
          <cell r="G606" t="str">
            <v>KUST - General</v>
          </cell>
        </row>
        <row r="607">
          <cell r="F607">
            <v>847001</v>
          </cell>
          <cell r="G607" t="str">
            <v>KUST - General</v>
          </cell>
        </row>
        <row r="608">
          <cell r="F608">
            <v>847001</v>
          </cell>
          <cell r="G608" t="str">
            <v>KUST - General</v>
          </cell>
        </row>
        <row r="609">
          <cell r="F609">
            <v>847001</v>
          </cell>
          <cell r="G609" t="str">
            <v>KUST - General</v>
          </cell>
        </row>
        <row r="610">
          <cell r="F610">
            <v>847001</v>
          </cell>
          <cell r="G610" t="str">
            <v>KUST - General</v>
          </cell>
        </row>
        <row r="611">
          <cell r="F611">
            <v>847001</v>
          </cell>
          <cell r="G611" t="str">
            <v>KUST - General</v>
          </cell>
        </row>
        <row r="612">
          <cell r="F612">
            <v>847001</v>
          </cell>
          <cell r="G612" t="str">
            <v>KUST - General</v>
          </cell>
        </row>
        <row r="613">
          <cell r="F613">
            <v>847001</v>
          </cell>
          <cell r="G613" t="str">
            <v>KUST - General</v>
          </cell>
        </row>
        <row r="614">
          <cell r="F614">
            <v>847001</v>
          </cell>
          <cell r="G614" t="str">
            <v>KUST - General</v>
          </cell>
        </row>
        <row r="615">
          <cell r="F615">
            <v>847001</v>
          </cell>
          <cell r="G615" t="str">
            <v>KUST - General</v>
          </cell>
        </row>
        <row r="616">
          <cell r="F616">
            <v>847001</v>
          </cell>
          <cell r="G616" t="str">
            <v>KUST - General</v>
          </cell>
        </row>
        <row r="617">
          <cell r="F617">
            <v>847001</v>
          </cell>
          <cell r="G617" t="str">
            <v>KUST - General</v>
          </cell>
        </row>
        <row r="618">
          <cell r="F618">
            <v>847001</v>
          </cell>
          <cell r="G618" t="str">
            <v>KUST - General</v>
          </cell>
        </row>
        <row r="619">
          <cell r="F619">
            <v>847001</v>
          </cell>
          <cell r="G619" t="str">
            <v>KUST - General</v>
          </cell>
        </row>
        <row r="620">
          <cell r="F620">
            <v>847001</v>
          </cell>
          <cell r="G620" t="str">
            <v>KUST - General</v>
          </cell>
        </row>
        <row r="621">
          <cell r="F621">
            <v>847001</v>
          </cell>
          <cell r="G621" t="str">
            <v>KUST - General</v>
          </cell>
        </row>
        <row r="622">
          <cell r="F622">
            <v>847001</v>
          </cell>
          <cell r="G622" t="str">
            <v>KUST - General</v>
          </cell>
        </row>
        <row r="623">
          <cell r="F623">
            <v>847001</v>
          </cell>
          <cell r="G623" t="str">
            <v>KUST - General</v>
          </cell>
        </row>
        <row r="624">
          <cell r="F624">
            <v>847001</v>
          </cell>
          <cell r="G624" t="str">
            <v>KUST - General</v>
          </cell>
        </row>
        <row r="625">
          <cell r="F625">
            <v>847001</v>
          </cell>
          <cell r="G625" t="str">
            <v>KUST - General</v>
          </cell>
        </row>
        <row r="626">
          <cell r="F626">
            <v>847001</v>
          </cell>
          <cell r="G626" t="str">
            <v>KUST - General</v>
          </cell>
        </row>
        <row r="627">
          <cell r="F627">
            <v>847001</v>
          </cell>
          <cell r="G627" t="str">
            <v>KUST - General</v>
          </cell>
        </row>
        <row r="628">
          <cell r="F628">
            <v>847001</v>
          </cell>
          <cell r="G628" t="str">
            <v>KUST - General</v>
          </cell>
        </row>
        <row r="629">
          <cell r="F629">
            <v>847001</v>
          </cell>
          <cell r="G629" t="str">
            <v>KUST - General</v>
          </cell>
        </row>
        <row r="630">
          <cell r="F630">
            <v>847001</v>
          </cell>
          <cell r="G630" t="str">
            <v>KUST - General</v>
          </cell>
        </row>
        <row r="631">
          <cell r="F631">
            <v>847001</v>
          </cell>
          <cell r="G631" t="str">
            <v>KUST - General</v>
          </cell>
        </row>
        <row r="632">
          <cell r="F632">
            <v>847001</v>
          </cell>
          <cell r="G632" t="str">
            <v>KUST - General</v>
          </cell>
        </row>
        <row r="633">
          <cell r="F633">
            <v>847001</v>
          </cell>
          <cell r="G633" t="str">
            <v>KUST - General</v>
          </cell>
        </row>
        <row r="634">
          <cell r="F634">
            <v>847001</v>
          </cell>
          <cell r="G634" t="str">
            <v>KUST - General</v>
          </cell>
        </row>
        <row r="635">
          <cell r="F635">
            <v>847001</v>
          </cell>
          <cell r="G635" t="str">
            <v>KUST - General</v>
          </cell>
        </row>
        <row r="636">
          <cell r="F636">
            <v>847001</v>
          </cell>
          <cell r="G636" t="str">
            <v>KUST - General</v>
          </cell>
        </row>
        <row r="637">
          <cell r="F637">
            <v>847001</v>
          </cell>
          <cell r="G637" t="str">
            <v>KUST - General</v>
          </cell>
        </row>
        <row r="638">
          <cell r="F638">
            <v>847001</v>
          </cell>
          <cell r="G638" t="str">
            <v>KUST - General</v>
          </cell>
        </row>
        <row r="639">
          <cell r="F639">
            <v>847001</v>
          </cell>
          <cell r="G639" t="str">
            <v>KUST - General</v>
          </cell>
        </row>
        <row r="640">
          <cell r="F640">
            <v>847001</v>
          </cell>
          <cell r="G640" t="str">
            <v>KUST - General</v>
          </cell>
        </row>
        <row r="641">
          <cell r="F641">
            <v>847001</v>
          </cell>
          <cell r="G641" t="str">
            <v>KUST - General</v>
          </cell>
        </row>
        <row r="642">
          <cell r="F642">
            <v>847001</v>
          </cell>
          <cell r="G642" t="str">
            <v>KUST - General</v>
          </cell>
        </row>
        <row r="643">
          <cell r="F643">
            <v>847001</v>
          </cell>
          <cell r="G643" t="str">
            <v>KUST - General</v>
          </cell>
        </row>
        <row r="644">
          <cell r="F644">
            <v>847001</v>
          </cell>
          <cell r="G644" t="str">
            <v>KUST - General</v>
          </cell>
        </row>
        <row r="645">
          <cell r="F645">
            <v>847001</v>
          </cell>
          <cell r="G645" t="str">
            <v>KUST - General</v>
          </cell>
        </row>
        <row r="646">
          <cell r="F646">
            <v>847001</v>
          </cell>
          <cell r="G646" t="str">
            <v>KUST - General</v>
          </cell>
        </row>
        <row r="647">
          <cell r="F647">
            <v>847001</v>
          </cell>
          <cell r="G647" t="str">
            <v>KUST - General</v>
          </cell>
        </row>
        <row r="648">
          <cell r="F648">
            <v>847001</v>
          </cell>
          <cell r="G648" t="str">
            <v>KUST - General</v>
          </cell>
        </row>
        <row r="649">
          <cell r="F649">
            <v>847001</v>
          </cell>
          <cell r="G649" t="str">
            <v>KUST - General</v>
          </cell>
        </row>
        <row r="650">
          <cell r="F650">
            <v>847001</v>
          </cell>
          <cell r="G650" t="str">
            <v>KUST - General</v>
          </cell>
        </row>
        <row r="651">
          <cell r="F651">
            <v>847001</v>
          </cell>
          <cell r="G651" t="str">
            <v>KUST - General</v>
          </cell>
        </row>
        <row r="652">
          <cell r="F652">
            <v>847001</v>
          </cell>
          <cell r="G652" t="str">
            <v>KUST - General</v>
          </cell>
        </row>
        <row r="653">
          <cell r="F653">
            <v>847001</v>
          </cell>
          <cell r="G653" t="str">
            <v>KUST - General</v>
          </cell>
        </row>
        <row r="654">
          <cell r="F654">
            <v>847001</v>
          </cell>
          <cell r="G654" t="str">
            <v>KUST - General</v>
          </cell>
        </row>
        <row r="655">
          <cell r="F655">
            <v>847001</v>
          </cell>
          <cell r="G655" t="str">
            <v>KUST - General</v>
          </cell>
        </row>
        <row r="656">
          <cell r="F656">
            <v>847001</v>
          </cell>
          <cell r="G656" t="str">
            <v>KUST - General</v>
          </cell>
        </row>
        <row r="657">
          <cell r="F657">
            <v>847001</v>
          </cell>
          <cell r="G657" t="str">
            <v>KUST - General</v>
          </cell>
        </row>
        <row r="658">
          <cell r="F658">
            <v>847001</v>
          </cell>
          <cell r="G658" t="str">
            <v>KUST - General</v>
          </cell>
        </row>
        <row r="659">
          <cell r="F659">
            <v>847001</v>
          </cell>
          <cell r="G659" t="str">
            <v>KUST - General</v>
          </cell>
        </row>
        <row r="660">
          <cell r="F660">
            <v>847001</v>
          </cell>
          <cell r="G660" t="str">
            <v>KUST - General</v>
          </cell>
        </row>
        <row r="661">
          <cell r="F661">
            <v>847001</v>
          </cell>
          <cell r="G661" t="str">
            <v>KUST - General</v>
          </cell>
        </row>
        <row r="662">
          <cell r="F662">
            <v>847001</v>
          </cell>
          <cell r="G662" t="str">
            <v>KUST - General</v>
          </cell>
        </row>
        <row r="663">
          <cell r="F663">
            <v>847001</v>
          </cell>
          <cell r="G663" t="str">
            <v>KUST - General</v>
          </cell>
        </row>
        <row r="664">
          <cell r="F664">
            <v>847001</v>
          </cell>
          <cell r="G664" t="str">
            <v>KUST - General</v>
          </cell>
        </row>
        <row r="665">
          <cell r="F665">
            <v>847001</v>
          </cell>
          <cell r="G665" t="str">
            <v>KUST - General</v>
          </cell>
        </row>
        <row r="666">
          <cell r="F666">
            <v>847001</v>
          </cell>
          <cell r="G666" t="str">
            <v>KUST - General</v>
          </cell>
        </row>
        <row r="667">
          <cell r="F667">
            <v>847001</v>
          </cell>
          <cell r="G667" t="str">
            <v>KUST - General</v>
          </cell>
        </row>
        <row r="668">
          <cell r="F668">
            <v>847001</v>
          </cell>
          <cell r="G668" t="str">
            <v>KUST - General</v>
          </cell>
        </row>
        <row r="669">
          <cell r="F669">
            <v>847001</v>
          </cell>
          <cell r="G669" t="str">
            <v>KUST - General</v>
          </cell>
        </row>
        <row r="670">
          <cell r="F670">
            <v>847001</v>
          </cell>
          <cell r="G670" t="str">
            <v>KUST - General</v>
          </cell>
        </row>
        <row r="671">
          <cell r="F671">
            <v>847001</v>
          </cell>
          <cell r="G671" t="str">
            <v>KUST - General</v>
          </cell>
        </row>
        <row r="672">
          <cell r="F672">
            <v>847001</v>
          </cell>
          <cell r="G672" t="str">
            <v>KUST - General</v>
          </cell>
        </row>
        <row r="673">
          <cell r="F673">
            <v>847001</v>
          </cell>
          <cell r="G673" t="str">
            <v>KUST - General</v>
          </cell>
        </row>
        <row r="674">
          <cell r="F674">
            <v>847001</v>
          </cell>
          <cell r="G674" t="str">
            <v>KUST - General</v>
          </cell>
        </row>
        <row r="675">
          <cell r="F675">
            <v>847001</v>
          </cell>
          <cell r="G675" t="str">
            <v>KUST - General</v>
          </cell>
        </row>
        <row r="676">
          <cell r="F676">
            <v>847001</v>
          </cell>
          <cell r="G676" t="str">
            <v>KUST - General</v>
          </cell>
        </row>
        <row r="677">
          <cell r="F677">
            <v>847001</v>
          </cell>
          <cell r="G677" t="str">
            <v>KUST - General</v>
          </cell>
        </row>
        <row r="678">
          <cell r="F678">
            <v>847001</v>
          </cell>
          <cell r="G678" t="str">
            <v>KUST - General</v>
          </cell>
        </row>
        <row r="679">
          <cell r="F679">
            <v>847001</v>
          </cell>
          <cell r="G679" t="str">
            <v>KUST - General</v>
          </cell>
        </row>
        <row r="680">
          <cell r="F680">
            <v>847001</v>
          </cell>
          <cell r="G680" t="str">
            <v>KUST - General</v>
          </cell>
        </row>
        <row r="681">
          <cell r="F681">
            <v>847001</v>
          </cell>
          <cell r="G681" t="str">
            <v>KUST - General</v>
          </cell>
        </row>
        <row r="682">
          <cell r="F682">
            <v>847001</v>
          </cell>
          <cell r="G682" t="str">
            <v>KUST - General</v>
          </cell>
        </row>
        <row r="683">
          <cell r="F683">
            <v>847001</v>
          </cell>
          <cell r="G683" t="str">
            <v>KUST - General</v>
          </cell>
        </row>
        <row r="684">
          <cell r="F684">
            <v>847001</v>
          </cell>
          <cell r="G684" t="str">
            <v>KUST - General</v>
          </cell>
        </row>
        <row r="685">
          <cell r="F685">
            <v>847001</v>
          </cell>
          <cell r="G685" t="str">
            <v>KUST - General</v>
          </cell>
        </row>
        <row r="686">
          <cell r="F686">
            <v>847001</v>
          </cell>
          <cell r="G686" t="str">
            <v>KUST - General</v>
          </cell>
        </row>
        <row r="687">
          <cell r="F687">
            <v>847001</v>
          </cell>
          <cell r="G687" t="str">
            <v>KUST - General</v>
          </cell>
        </row>
        <row r="688">
          <cell r="F688">
            <v>847001</v>
          </cell>
          <cell r="G688" t="str">
            <v>KUST - General</v>
          </cell>
        </row>
        <row r="689">
          <cell r="F689">
            <v>847001</v>
          </cell>
          <cell r="G689" t="str">
            <v>KUST - General</v>
          </cell>
        </row>
        <row r="690">
          <cell r="F690">
            <v>847001</v>
          </cell>
          <cell r="G690" t="str">
            <v>KUST - General</v>
          </cell>
        </row>
        <row r="691">
          <cell r="F691">
            <v>847001</v>
          </cell>
          <cell r="G691" t="str">
            <v>KUST - General</v>
          </cell>
        </row>
        <row r="692">
          <cell r="F692">
            <v>847001</v>
          </cell>
          <cell r="G692" t="str">
            <v>KUST - General</v>
          </cell>
        </row>
        <row r="693">
          <cell r="F693">
            <v>847001</v>
          </cell>
          <cell r="G693" t="str">
            <v>KUST - General</v>
          </cell>
        </row>
        <row r="694">
          <cell r="F694">
            <v>847001</v>
          </cell>
          <cell r="G694" t="str">
            <v>KUST - General</v>
          </cell>
        </row>
        <row r="695">
          <cell r="F695">
            <v>847001</v>
          </cell>
          <cell r="G695" t="str">
            <v>KUST - General</v>
          </cell>
        </row>
        <row r="696">
          <cell r="F696">
            <v>847001</v>
          </cell>
          <cell r="G696" t="str">
            <v>KUST - General</v>
          </cell>
        </row>
        <row r="697">
          <cell r="F697">
            <v>847001</v>
          </cell>
          <cell r="G697" t="str">
            <v>KUST - General</v>
          </cell>
        </row>
        <row r="698">
          <cell r="F698">
            <v>847001</v>
          </cell>
          <cell r="G698" t="str">
            <v>KUST - General</v>
          </cell>
        </row>
        <row r="699">
          <cell r="F699">
            <v>847001</v>
          </cell>
          <cell r="G699" t="str">
            <v>KUST - General</v>
          </cell>
        </row>
        <row r="700">
          <cell r="F700">
            <v>847001</v>
          </cell>
          <cell r="G700" t="str">
            <v>KUST - General</v>
          </cell>
        </row>
        <row r="701">
          <cell r="F701">
            <v>847001</v>
          </cell>
          <cell r="G701" t="str">
            <v>KUST - General</v>
          </cell>
        </row>
        <row r="702">
          <cell r="F702">
            <v>847001</v>
          </cell>
          <cell r="G702" t="str">
            <v>KUST - General</v>
          </cell>
        </row>
        <row r="703">
          <cell r="F703">
            <v>847001</v>
          </cell>
          <cell r="G703" t="str">
            <v>KUST - General</v>
          </cell>
        </row>
        <row r="704">
          <cell r="F704">
            <v>847001</v>
          </cell>
          <cell r="G704" t="str">
            <v>KUST - General</v>
          </cell>
        </row>
        <row r="705">
          <cell r="F705">
            <v>847001</v>
          </cell>
          <cell r="G705" t="str">
            <v>KUST - General</v>
          </cell>
        </row>
        <row r="706">
          <cell r="F706">
            <v>847001</v>
          </cell>
          <cell r="G706" t="str">
            <v>KUST - General</v>
          </cell>
        </row>
        <row r="707">
          <cell r="F707">
            <v>847001</v>
          </cell>
          <cell r="G707" t="str">
            <v>KUST - General</v>
          </cell>
        </row>
        <row r="708">
          <cell r="F708">
            <v>847001</v>
          </cell>
          <cell r="G708" t="str">
            <v>KUST - General</v>
          </cell>
        </row>
        <row r="709">
          <cell r="F709">
            <v>847001</v>
          </cell>
          <cell r="G709" t="str">
            <v>KUST - General</v>
          </cell>
        </row>
        <row r="710">
          <cell r="F710">
            <v>847001</v>
          </cell>
          <cell r="G710" t="str">
            <v>KUST - General</v>
          </cell>
        </row>
        <row r="711">
          <cell r="F711">
            <v>847001</v>
          </cell>
          <cell r="G711" t="str">
            <v>KUST - General</v>
          </cell>
        </row>
        <row r="712">
          <cell r="F712">
            <v>847001</v>
          </cell>
          <cell r="G712" t="str">
            <v>KUST - General</v>
          </cell>
        </row>
        <row r="713">
          <cell r="F713">
            <v>847001</v>
          </cell>
          <cell r="G713" t="str">
            <v>KUST - General</v>
          </cell>
        </row>
        <row r="714">
          <cell r="F714">
            <v>847001</v>
          </cell>
          <cell r="G714" t="str">
            <v>KUST - General</v>
          </cell>
        </row>
        <row r="715">
          <cell r="F715">
            <v>847001</v>
          </cell>
          <cell r="G715" t="str">
            <v>KUST - General</v>
          </cell>
        </row>
        <row r="716">
          <cell r="F716">
            <v>847001</v>
          </cell>
          <cell r="G716" t="str">
            <v>KUST - General</v>
          </cell>
        </row>
        <row r="717">
          <cell r="F717">
            <v>847001</v>
          </cell>
          <cell r="G717" t="str">
            <v>KUST - General</v>
          </cell>
        </row>
        <row r="718">
          <cell r="F718">
            <v>847001</v>
          </cell>
          <cell r="G718" t="str">
            <v>KUST - General</v>
          </cell>
        </row>
        <row r="719">
          <cell r="F719">
            <v>847001</v>
          </cell>
          <cell r="G719" t="str">
            <v>KUST - General</v>
          </cell>
        </row>
        <row r="720">
          <cell r="F720">
            <v>847001</v>
          </cell>
          <cell r="G720" t="str">
            <v>KUST - General</v>
          </cell>
        </row>
        <row r="721">
          <cell r="F721">
            <v>847001</v>
          </cell>
          <cell r="G721" t="str">
            <v>KUST - General</v>
          </cell>
        </row>
        <row r="722">
          <cell r="F722">
            <v>847001</v>
          </cell>
          <cell r="G722" t="str">
            <v>KUST - General</v>
          </cell>
        </row>
        <row r="723">
          <cell r="F723">
            <v>847001</v>
          </cell>
          <cell r="G723" t="str">
            <v>KUST - General</v>
          </cell>
        </row>
        <row r="724">
          <cell r="F724">
            <v>847001</v>
          </cell>
          <cell r="G724" t="str">
            <v>KUST - General</v>
          </cell>
        </row>
        <row r="725">
          <cell r="F725">
            <v>847001</v>
          </cell>
          <cell r="G725" t="str">
            <v>KUST - General</v>
          </cell>
        </row>
        <row r="726">
          <cell r="F726">
            <v>847001</v>
          </cell>
          <cell r="G726" t="str">
            <v>KUST - General</v>
          </cell>
        </row>
        <row r="727">
          <cell r="F727">
            <v>847001</v>
          </cell>
          <cell r="G727" t="str">
            <v>KUST - General</v>
          </cell>
        </row>
        <row r="728">
          <cell r="F728">
            <v>847001</v>
          </cell>
          <cell r="G728" t="str">
            <v>KUST - General</v>
          </cell>
        </row>
        <row r="729">
          <cell r="F729">
            <v>847001</v>
          </cell>
          <cell r="G729" t="str">
            <v>KUST - General</v>
          </cell>
        </row>
        <row r="730">
          <cell r="F730">
            <v>847001</v>
          </cell>
          <cell r="G730" t="str">
            <v>KUST - General</v>
          </cell>
        </row>
        <row r="731">
          <cell r="F731">
            <v>847001</v>
          </cell>
          <cell r="G731" t="str">
            <v>KUST - General</v>
          </cell>
        </row>
        <row r="732">
          <cell r="F732">
            <v>847001</v>
          </cell>
          <cell r="G732" t="str">
            <v>KUST - General</v>
          </cell>
        </row>
        <row r="733">
          <cell r="F733">
            <v>847001</v>
          </cell>
          <cell r="G733" t="str">
            <v>KUST - General</v>
          </cell>
        </row>
        <row r="734">
          <cell r="F734">
            <v>847001</v>
          </cell>
          <cell r="G734" t="str">
            <v>KUST - General</v>
          </cell>
        </row>
        <row r="735">
          <cell r="F735">
            <v>847001</v>
          </cell>
          <cell r="G735" t="str">
            <v>KUST - General</v>
          </cell>
        </row>
        <row r="736">
          <cell r="F736">
            <v>847001</v>
          </cell>
          <cell r="G736" t="str">
            <v>KUST - General</v>
          </cell>
        </row>
        <row r="737">
          <cell r="F737">
            <v>847001</v>
          </cell>
          <cell r="G737" t="str">
            <v>KUST - General</v>
          </cell>
        </row>
        <row r="738">
          <cell r="F738">
            <v>847001</v>
          </cell>
          <cell r="G738" t="str">
            <v>KUST - General</v>
          </cell>
        </row>
        <row r="739">
          <cell r="F739">
            <v>847001</v>
          </cell>
          <cell r="G739" t="str">
            <v>KUST - General</v>
          </cell>
        </row>
        <row r="740">
          <cell r="F740">
            <v>847001</v>
          </cell>
          <cell r="G740" t="str">
            <v>KUST - General</v>
          </cell>
        </row>
        <row r="741">
          <cell r="F741">
            <v>847001</v>
          </cell>
          <cell r="G741" t="str">
            <v>KUST - General</v>
          </cell>
        </row>
        <row r="742">
          <cell r="F742">
            <v>847001</v>
          </cell>
          <cell r="G742" t="str">
            <v>KUST - General</v>
          </cell>
        </row>
        <row r="743">
          <cell r="F743">
            <v>847001</v>
          </cell>
          <cell r="G743" t="str">
            <v>KUST - General</v>
          </cell>
        </row>
        <row r="744">
          <cell r="F744">
            <v>847001</v>
          </cell>
          <cell r="G744" t="str">
            <v>KUST - General</v>
          </cell>
        </row>
        <row r="745">
          <cell r="F745">
            <v>847001</v>
          </cell>
          <cell r="G745" t="str">
            <v>KUST - General</v>
          </cell>
        </row>
        <row r="746">
          <cell r="F746">
            <v>847001</v>
          </cell>
          <cell r="G746" t="str">
            <v>KUST - General</v>
          </cell>
        </row>
        <row r="747">
          <cell r="F747">
            <v>847001</v>
          </cell>
          <cell r="G747" t="str">
            <v>KUST - General</v>
          </cell>
        </row>
        <row r="748">
          <cell r="F748">
            <v>847001</v>
          </cell>
          <cell r="G748" t="str">
            <v>KUST - General</v>
          </cell>
        </row>
        <row r="749">
          <cell r="F749">
            <v>847001</v>
          </cell>
          <cell r="G749" t="str">
            <v>KUST - General</v>
          </cell>
        </row>
        <row r="750">
          <cell r="F750">
            <v>847001</v>
          </cell>
          <cell r="G750" t="str">
            <v>KUST - General</v>
          </cell>
        </row>
        <row r="751">
          <cell r="F751">
            <v>847001</v>
          </cell>
          <cell r="G751" t="str">
            <v>KUST - General</v>
          </cell>
        </row>
        <row r="752">
          <cell r="F752">
            <v>847001</v>
          </cell>
          <cell r="G752" t="str">
            <v>KUST - General</v>
          </cell>
        </row>
        <row r="753">
          <cell r="F753">
            <v>847001</v>
          </cell>
          <cell r="G753" t="str">
            <v>KUST - General</v>
          </cell>
        </row>
        <row r="754">
          <cell r="F754">
            <v>847001</v>
          </cell>
          <cell r="G754" t="str">
            <v>KUST - General</v>
          </cell>
        </row>
        <row r="755">
          <cell r="F755">
            <v>847001</v>
          </cell>
          <cell r="G755" t="str">
            <v>KUST - General</v>
          </cell>
        </row>
        <row r="756">
          <cell r="F756">
            <v>847001</v>
          </cell>
          <cell r="G756" t="str">
            <v>KUST - General</v>
          </cell>
        </row>
        <row r="757">
          <cell r="F757">
            <v>847001</v>
          </cell>
          <cell r="G757" t="str">
            <v>KUST - General</v>
          </cell>
        </row>
        <row r="758">
          <cell r="F758">
            <v>847001</v>
          </cell>
          <cell r="G758" t="str">
            <v>KUST - General</v>
          </cell>
        </row>
        <row r="759">
          <cell r="F759">
            <v>847001</v>
          </cell>
          <cell r="G759" t="str">
            <v>KUST - General</v>
          </cell>
        </row>
        <row r="760">
          <cell r="F760">
            <v>847001</v>
          </cell>
          <cell r="G760" t="str">
            <v>KUST - General</v>
          </cell>
        </row>
        <row r="761">
          <cell r="F761">
            <v>847001</v>
          </cell>
          <cell r="G761" t="str">
            <v>KUST - General</v>
          </cell>
        </row>
        <row r="762">
          <cell r="F762">
            <v>847001</v>
          </cell>
          <cell r="G762" t="str">
            <v>KUST - General</v>
          </cell>
        </row>
        <row r="763">
          <cell r="F763">
            <v>847001</v>
          </cell>
          <cell r="G763" t="str">
            <v>KUST - General</v>
          </cell>
        </row>
        <row r="764">
          <cell r="F764">
            <v>847001</v>
          </cell>
          <cell r="G764" t="str">
            <v>KUST - General</v>
          </cell>
        </row>
        <row r="765">
          <cell r="F765">
            <v>847001</v>
          </cell>
          <cell r="G765" t="str">
            <v>KUST - General</v>
          </cell>
        </row>
        <row r="766">
          <cell r="F766">
            <v>847001</v>
          </cell>
          <cell r="G766" t="str">
            <v>KUST - General</v>
          </cell>
        </row>
        <row r="767">
          <cell r="F767">
            <v>847001</v>
          </cell>
          <cell r="G767" t="str">
            <v>KUST - General</v>
          </cell>
        </row>
        <row r="768">
          <cell r="F768">
            <v>847001</v>
          </cell>
          <cell r="G768" t="str">
            <v>KUST - General</v>
          </cell>
        </row>
        <row r="769">
          <cell r="F769">
            <v>847001</v>
          </cell>
          <cell r="G769" t="str">
            <v>KUST - General</v>
          </cell>
        </row>
        <row r="770">
          <cell r="F770">
            <v>847001</v>
          </cell>
          <cell r="G770" t="str">
            <v>KUST - General</v>
          </cell>
        </row>
        <row r="771">
          <cell r="F771">
            <v>847001</v>
          </cell>
          <cell r="G771" t="str">
            <v>KUST - General</v>
          </cell>
        </row>
        <row r="772">
          <cell r="F772">
            <v>847001</v>
          </cell>
          <cell r="G772" t="str">
            <v>KUST - General</v>
          </cell>
        </row>
        <row r="773">
          <cell r="F773">
            <v>847001</v>
          </cell>
          <cell r="G773" t="str">
            <v>KUST - General</v>
          </cell>
        </row>
        <row r="774">
          <cell r="F774">
            <v>847001</v>
          </cell>
          <cell r="G774" t="str">
            <v>KUST - General</v>
          </cell>
        </row>
        <row r="775">
          <cell r="F775">
            <v>847001</v>
          </cell>
          <cell r="G775" t="str">
            <v>KUST - General</v>
          </cell>
        </row>
        <row r="776">
          <cell r="F776">
            <v>847001</v>
          </cell>
          <cell r="G776" t="str">
            <v>KUST - General</v>
          </cell>
        </row>
        <row r="777">
          <cell r="F777">
            <v>847001</v>
          </cell>
          <cell r="G777" t="str">
            <v>KUST - General</v>
          </cell>
        </row>
        <row r="778">
          <cell r="F778">
            <v>847001</v>
          </cell>
          <cell r="G778" t="str">
            <v>KUST - General</v>
          </cell>
        </row>
        <row r="779">
          <cell r="F779">
            <v>847001</v>
          </cell>
          <cell r="G779" t="str">
            <v>KUST - General</v>
          </cell>
        </row>
        <row r="780">
          <cell r="F780">
            <v>847001</v>
          </cell>
          <cell r="G780" t="str">
            <v>KUST - General</v>
          </cell>
        </row>
        <row r="781">
          <cell r="F781">
            <v>847001</v>
          </cell>
          <cell r="G781" t="str">
            <v>KUST - General</v>
          </cell>
        </row>
        <row r="782">
          <cell r="F782">
            <v>847001</v>
          </cell>
          <cell r="G782" t="str">
            <v>KUST - General</v>
          </cell>
        </row>
        <row r="783">
          <cell r="F783">
            <v>847001</v>
          </cell>
          <cell r="G783" t="str">
            <v>KUST - General</v>
          </cell>
        </row>
        <row r="784">
          <cell r="F784">
            <v>847001</v>
          </cell>
          <cell r="G784" t="str">
            <v>KUST - General</v>
          </cell>
        </row>
        <row r="785">
          <cell r="F785">
            <v>847001</v>
          </cell>
          <cell r="G785" t="str">
            <v>KUST - General</v>
          </cell>
        </row>
        <row r="786">
          <cell r="F786">
            <v>847001</v>
          </cell>
          <cell r="G786" t="str">
            <v>KUST - General</v>
          </cell>
        </row>
        <row r="787">
          <cell r="F787">
            <v>847001</v>
          </cell>
          <cell r="G787" t="str">
            <v>KUST - General</v>
          </cell>
        </row>
        <row r="788">
          <cell r="F788">
            <v>847001</v>
          </cell>
          <cell r="G788" t="str">
            <v>KUST - General</v>
          </cell>
        </row>
        <row r="789">
          <cell r="F789">
            <v>847001</v>
          </cell>
          <cell r="G789" t="str">
            <v>KUST - General</v>
          </cell>
        </row>
        <row r="790">
          <cell r="F790">
            <v>847001</v>
          </cell>
          <cell r="G790" t="str">
            <v>KUST - General</v>
          </cell>
        </row>
        <row r="791">
          <cell r="F791">
            <v>847001</v>
          </cell>
          <cell r="G791" t="str">
            <v>KUST - General</v>
          </cell>
        </row>
        <row r="792">
          <cell r="F792">
            <v>847001</v>
          </cell>
          <cell r="G792" t="str">
            <v>KUST - General</v>
          </cell>
        </row>
        <row r="793">
          <cell r="F793">
            <v>847001</v>
          </cell>
          <cell r="G793" t="str">
            <v>KUST - General</v>
          </cell>
        </row>
        <row r="794">
          <cell r="F794">
            <v>847001</v>
          </cell>
          <cell r="G794" t="str">
            <v>KUST - General</v>
          </cell>
        </row>
        <row r="795">
          <cell r="F795">
            <v>847001</v>
          </cell>
          <cell r="G795" t="str">
            <v>KUST - General</v>
          </cell>
        </row>
        <row r="796">
          <cell r="F796">
            <v>847001</v>
          </cell>
          <cell r="G796" t="str">
            <v>KUST - General</v>
          </cell>
        </row>
        <row r="797">
          <cell r="F797">
            <v>847001</v>
          </cell>
          <cell r="G797" t="str">
            <v>KUST - General</v>
          </cell>
        </row>
        <row r="798">
          <cell r="F798">
            <v>847001</v>
          </cell>
          <cell r="G798" t="str">
            <v>KUST - General</v>
          </cell>
        </row>
        <row r="799">
          <cell r="F799">
            <v>847001</v>
          </cell>
          <cell r="G799" t="str">
            <v>KUST - General</v>
          </cell>
        </row>
        <row r="800">
          <cell r="F800">
            <v>847001</v>
          </cell>
          <cell r="G800" t="str">
            <v>KUST - General</v>
          </cell>
        </row>
        <row r="801">
          <cell r="F801">
            <v>847001</v>
          </cell>
          <cell r="G801" t="str">
            <v>KUST - General</v>
          </cell>
        </row>
        <row r="802">
          <cell r="F802">
            <v>847001</v>
          </cell>
          <cell r="G802" t="str">
            <v>KUST - General</v>
          </cell>
        </row>
        <row r="803">
          <cell r="F803">
            <v>847001</v>
          </cell>
          <cell r="G803" t="str">
            <v>KUST - General</v>
          </cell>
        </row>
        <row r="804">
          <cell r="F804">
            <v>847001</v>
          </cell>
          <cell r="G804" t="str">
            <v>KUST - General</v>
          </cell>
        </row>
        <row r="805">
          <cell r="F805">
            <v>847001</v>
          </cell>
          <cell r="G805" t="str">
            <v>KUST - General</v>
          </cell>
        </row>
        <row r="806">
          <cell r="F806">
            <v>847001</v>
          </cell>
          <cell r="G806" t="str">
            <v>KUST - General</v>
          </cell>
        </row>
        <row r="807">
          <cell r="F807">
            <v>847001</v>
          </cell>
          <cell r="G807" t="str">
            <v>KUST - General</v>
          </cell>
        </row>
        <row r="808">
          <cell r="F808">
            <v>847001</v>
          </cell>
          <cell r="G808" t="str">
            <v>KUST - General</v>
          </cell>
        </row>
        <row r="809">
          <cell r="F809">
            <v>847001</v>
          </cell>
          <cell r="G809" t="str">
            <v>KUST - General</v>
          </cell>
        </row>
        <row r="810">
          <cell r="F810">
            <v>847001</v>
          </cell>
          <cell r="G810" t="str">
            <v>KUST - General</v>
          </cell>
        </row>
        <row r="811">
          <cell r="F811">
            <v>847001</v>
          </cell>
          <cell r="G811" t="str">
            <v>KUST - General</v>
          </cell>
        </row>
        <row r="812">
          <cell r="F812">
            <v>847001</v>
          </cell>
          <cell r="G812" t="str">
            <v>KUST - General</v>
          </cell>
        </row>
        <row r="813">
          <cell r="F813">
            <v>847001</v>
          </cell>
          <cell r="G813" t="str">
            <v>KUST - General</v>
          </cell>
        </row>
        <row r="814">
          <cell r="F814">
            <v>847001</v>
          </cell>
          <cell r="G814" t="str">
            <v>KUST - General</v>
          </cell>
        </row>
        <row r="815">
          <cell r="F815">
            <v>847001</v>
          </cell>
          <cell r="G815" t="str">
            <v>KUST - General</v>
          </cell>
        </row>
        <row r="816">
          <cell r="F816">
            <v>847001</v>
          </cell>
          <cell r="G816" t="str">
            <v>KUST - General</v>
          </cell>
        </row>
        <row r="817">
          <cell r="F817">
            <v>847001</v>
          </cell>
          <cell r="G817" t="str">
            <v>KUST - General</v>
          </cell>
        </row>
        <row r="818">
          <cell r="F818">
            <v>847001</v>
          </cell>
          <cell r="G818" t="str">
            <v>KUST - General</v>
          </cell>
        </row>
        <row r="819">
          <cell r="F819">
            <v>847001</v>
          </cell>
          <cell r="G819" t="str">
            <v>KUST - General</v>
          </cell>
        </row>
        <row r="820">
          <cell r="F820">
            <v>847001</v>
          </cell>
          <cell r="G820" t="str">
            <v>KUST - General</v>
          </cell>
        </row>
        <row r="821">
          <cell r="F821">
            <v>847001</v>
          </cell>
          <cell r="G821" t="str">
            <v>KUST - General</v>
          </cell>
        </row>
        <row r="822">
          <cell r="F822">
            <v>847001</v>
          </cell>
          <cell r="G822" t="str">
            <v>KUST - General</v>
          </cell>
        </row>
        <row r="823">
          <cell r="F823">
            <v>847001</v>
          </cell>
          <cell r="G823" t="str">
            <v>KUST - General</v>
          </cell>
        </row>
        <row r="824">
          <cell r="F824">
            <v>847001</v>
          </cell>
          <cell r="G824" t="str">
            <v>KUST - General</v>
          </cell>
        </row>
        <row r="825">
          <cell r="F825">
            <v>847001</v>
          </cell>
          <cell r="G825" t="str">
            <v>KUST - General</v>
          </cell>
        </row>
        <row r="826">
          <cell r="F826">
            <v>847001</v>
          </cell>
          <cell r="G826" t="str">
            <v>KUST - General</v>
          </cell>
        </row>
        <row r="827">
          <cell r="F827">
            <v>847001</v>
          </cell>
          <cell r="G827" t="str">
            <v>KUST - General</v>
          </cell>
        </row>
        <row r="828">
          <cell r="F828">
            <v>847001</v>
          </cell>
          <cell r="G828" t="str">
            <v>KUST - General</v>
          </cell>
        </row>
        <row r="829">
          <cell r="F829">
            <v>847001</v>
          </cell>
          <cell r="G829" t="str">
            <v>KUST - General</v>
          </cell>
        </row>
        <row r="830">
          <cell r="F830">
            <v>847001</v>
          </cell>
          <cell r="G830" t="str">
            <v>KUST - General</v>
          </cell>
        </row>
        <row r="831">
          <cell r="F831">
            <v>847001</v>
          </cell>
          <cell r="G831" t="str">
            <v>KUST - General</v>
          </cell>
        </row>
        <row r="832">
          <cell r="F832">
            <v>847001</v>
          </cell>
          <cell r="G832" t="str">
            <v>KUST - General</v>
          </cell>
        </row>
        <row r="833">
          <cell r="F833">
            <v>847001</v>
          </cell>
          <cell r="G833" t="str">
            <v>KUST - General</v>
          </cell>
        </row>
        <row r="834">
          <cell r="F834">
            <v>847001</v>
          </cell>
          <cell r="G834" t="str">
            <v>KUST - General</v>
          </cell>
        </row>
        <row r="835">
          <cell r="F835">
            <v>847001</v>
          </cell>
          <cell r="G835" t="str">
            <v>KUST - General</v>
          </cell>
        </row>
        <row r="836">
          <cell r="F836">
            <v>847001</v>
          </cell>
          <cell r="G836" t="str">
            <v>KUST - General</v>
          </cell>
        </row>
        <row r="837">
          <cell r="F837">
            <v>847001</v>
          </cell>
          <cell r="G837" t="str">
            <v>KUST - General</v>
          </cell>
        </row>
        <row r="838">
          <cell r="F838">
            <v>847001</v>
          </cell>
          <cell r="G838" t="str">
            <v>KUST - General</v>
          </cell>
        </row>
        <row r="839">
          <cell r="F839">
            <v>847001</v>
          </cell>
          <cell r="G839" t="str">
            <v>KUST - General</v>
          </cell>
        </row>
        <row r="840">
          <cell r="F840">
            <v>847001</v>
          </cell>
          <cell r="G840" t="str">
            <v>KUST - General</v>
          </cell>
        </row>
        <row r="841">
          <cell r="F841">
            <v>847001</v>
          </cell>
          <cell r="G841" t="str">
            <v>KUST - General</v>
          </cell>
        </row>
        <row r="842">
          <cell r="F842">
            <v>847001</v>
          </cell>
          <cell r="G842" t="str">
            <v>KUST - General</v>
          </cell>
        </row>
        <row r="843">
          <cell r="F843">
            <v>847001</v>
          </cell>
          <cell r="G843" t="str">
            <v>KUST - General</v>
          </cell>
        </row>
        <row r="844">
          <cell r="F844">
            <v>847001</v>
          </cell>
          <cell r="G844" t="str">
            <v>KUST - General</v>
          </cell>
        </row>
        <row r="845">
          <cell r="F845">
            <v>847001</v>
          </cell>
          <cell r="G845" t="str">
            <v>KUST - General</v>
          </cell>
        </row>
        <row r="846">
          <cell r="F846">
            <v>847001</v>
          </cell>
          <cell r="G846" t="str">
            <v>KUST - General</v>
          </cell>
        </row>
        <row r="847">
          <cell r="F847">
            <v>847001</v>
          </cell>
          <cell r="G847" t="str">
            <v>KUST - General</v>
          </cell>
        </row>
        <row r="848">
          <cell r="F848">
            <v>847001</v>
          </cell>
          <cell r="G848" t="str">
            <v>KUST - General</v>
          </cell>
        </row>
        <row r="849">
          <cell r="F849">
            <v>847001</v>
          </cell>
          <cell r="G849" t="str">
            <v>KUST - General</v>
          </cell>
        </row>
        <row r="850">
          <cell r="F850">
            <v>847001</v>
          </cell>
          <cell r="G850" t="str">
            <v>KUST - General</v>
          </cell>
        </row>
        <row r="851">
          <cell r="F851">
            <v>847001</v>
          </cell>
          <cell r="G851" t="str">
            <v>KUST - General</v>
          </cell>
        </row>
        <row r="852">
          <cell r="F852">
            <v>847001</v>
          </cell>
          <cell r="G852" t="str">
            <v>KUST - General</v>
          </cell>
        </row>
        <row r="853">
          <cell r="F853">
            <v>847001</v>
          </cell>
          <cell r="G853" t="str">
            <v>KUST - General</v>
          </cell>
        </row>
        <row r="854">
          <cell r="F854">
            <v>847001</v>
          </cell>
          <cell r="G854" t="str">
            <v>KUST - General</v>
          </cell>
        </row>
        <row r="855">
          <cell r="F855">
            <v>847001</v>
          </cell>
          <cell r="G855" t="str">
            <v>KUST - General</v>
          </cell>
        </row>
        <row r="856">
          <cell r="F856">
            <v>847001</v>
          </cell>
          <cell r="G856" t="str">
            <v>KUST - General</v>
          </cell>
        </row>
        <row r="857">
          <cell r="F857">
            <v>847001</v>
          </cell>
          <cell r="G857" t="str">
            <v>KUST - General</v>
          </cell>
        </row>
        <row r="858">
          <cell r="F858">
            <v>847001</v>
          </cell>
          <cell r="G858" t="str">
            <v>KUST - General</v>
          </cell>
        </row>
        <row r="859">
          <cell r="F859">
            <v>847001</v>
          </cell>
          <cell r="G859" t="str">
            <v>KUST - General</v>
          </cell>
        </row>
        <row r="860">
          <cell r="F860">
            <v>847001</v>
          </cell>
          <cell r="G860" t="str">
            <v>KUST - General</v>
          </cell>
        </row>
        <row r="861">
          <cell r="F861">
            <v>847001</v>
          </cell>
          <cell r="G861" t="str">
            <v>KUST - General</v>
          </cell>
        </row>
        <row r="862">
          <cell r="F862">
            <v>847001</v>
          </cell>
          <cell r="G862" t="str">
            <v>KUST - General</v>
          </cell>
        </row>
        <row r="863">
          <cell r="F863">
            <v>847001</v>
          </cell>
          <cell r="G863" t="str">
            <v>KUST - General</v>
          </cell>
        </row>
        <row r="864">
          <cell r="F864">
            <v>847001</v>
          </cell>
          <cell r="G864" t="str">
            <v>KUST - General</v>
          </cell>
        </row>
        <row r="865">
          <cell r="F865">
            <v>847001</v>
          </cell>
          <cell r="G865" t="str">
            <v>KUST - General</v>
          </cell>
        </row>
        <row r="866">
          <cell r="F866">
            <v>847001</v>
          </cell>
          <cell r="G866" t="str">
            <v>KUST - General</v>
          </cell>
        </row>
        <row r="867">
          <cell r="F867">
            <v>847040</v>
          </cell>
          <cell r="G867" t="str">
            <v>KUST - GRC Operations</v>
          </cell>
        </row>
        <row r="868">
          <cell r="F868">
            <v>847040</v>
          </cell>
          <cell r="G868" t="str">
            <v>KUST - GRC Operations</v>
          </cell>
        </row>
        <row r="869">
          <cell r="F869">
            <v>847040</v>
          </cell>
          <cell r="G869" t="str">
            <v>KUST - GRC Operations</v>
          </cell>
        </row>
        <row r="870">
          <cell r="F870">
            <v>847078</v>
          </cell>
          <cell r="G870" t="str">
            <v>Research Software renewal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AX635" totalsRowCount="1" headerRowDxfId="226" dataDxfId="224" headerRowBorderDxfId="225" tableBorderDxfId="223" totalsRowBorderDxfId="222">
  <tableColumns count="50">
    <tableColumn id="1" xr3:uid="{00000000-0010-0000-0000-000001000000}" name="Account Group" dataDxfId="221" totalsRowDxfId="49">
      <calculatedColumnFormula>VLOOKUP(H6,'Accoount Code Combination'!$D:$L,8,FALSE)</calculatedColumnFormula>
    </tableColumn>
    <tableColumn id="2" xr3:uid="{00000000-0010-0000-0000-000002000000}" name="Content Expert" dataDxfId="220" totalsRowDxfId="48">
      <calculatedColumnFormula>VLOOKUP(Table1[[#This Row],[Account Code]],'Accoount Code Combination'!$D:$L,9,FALSE)</calculatedColumnFormula>
    </tableColumn>
    <tableColumn id="3" xr3:uid="{00000000-0010-0000-0000-000003000000}" name="Cost Center Code - Group" dataDxfId="219" totalsRowDxfId="47">
      <calculatedColumnFormula>VLOOKUP(Table1[[#This Row],[Cost Center Code]],'Cost Center Group'!A:B,2,FALSE)</calculatedColumnFormula>
    </tableColumn>
    <tableColumn id="50" xr3:uid="{00000000-0010-0000-0000-000032000000}" name="Entity" dataDxfId="218" totalsRowDxfId="46"/>
    <tableColumn id="4" xr3:uid="{00000000-0010-0000-0000-000004000000}" name="Cost Center Code" dataDxfId="217" totalsRowDxfId="45"/>
    <tableColumn id="5" xr3:uid="{00000000-0010-0000-0000-000005000000}" name="Cost Center Description" dataDxfId="216" totalsRowDxfId="44"/>
    <tableColumn id="51" xr3:uid="{00000000-0010-0000-0000-000033000000}" name="Budget Group" dataDxfId="215" totalsRowDxfId="43"/>
    <tableColumn id="6" xr3:uid="{00000000-0010-0000-0000-000006000000}" name="Account Code" dataDxfId="214" totalsRowDxfId="42"/>
    <tableColumn id="7" xr3:uid="{00000000-0010-0000-0000-000007000000}" name="Account Description" dataDxfId="213" totalsRowDxfId="41">
      <calculatedColumnFormula>VLOOKUP(Table1[[#This Row],[Account Code]],'Accoount Code Combination'!$D:$H,2,FALSE)</calculatedColumnFormula>
    </tableColumn>
    <tableColumn id="46" xr3:uid="{00000000-0010-0000-0000-00002E000000}" name="Cost Center Code2" dataDxfId="212" totalsRowDxfId="40"/>
    <tableColumn id="9" xr3:uid="{00000000-0010-0000-0000-000009000000}" name="Future-1 Description" dataDxfId="211" totalsRowDxfId="39"/>
    <tableColumn id="10" xr3:uid="{00000000-0010-0000-0000-00000A000000}" name="Future-1" dataDxfId="210" totalsRowDxfId="38">
      <calculatedColumnFormula>VLOOKUP(Table1[[#This Row],[Future-1 Description]],'Other '!E1:$F10,2,FALSE)</calculatedColumnFormula>
    </tableColumn>
    <tableColumn id="11" xr3:uid="{00000000-0010-0000-0000-00000B000000}" name="Future-2 Description" dataDxfId="209" totalsRowDxfId="37"/>
    <tableColumn id="12" xr3:uid="{00000000-0010-0000-0000-00000C000000}" name="Future-2" dataDxfId="208" totalsRowDxfId="36"/>
    <tableColumn id="52" xr3:uid="{00000000-0010-0000-0000-000034000000}" name="GL Account Combination" dataDxfId="207" totalsRowDxfId="35"/>
    <tableColumn id="13" xr3:uid="{00000000-0010-0000-0000-00000D000000}" name="2021Actual" totalsRowFunction="custom" dataDxfId="206" totalsRowDxfId="34" dataCellStyle="Comma">
      <totalsRowFormula>SUM(Table1[2021Actual])</totalsRowFormula>
    </tableColumn>
    <tableColumn id="14" xr3:uid="{00000000-0010-0000-0000-00000E000000}" name="2022 Budget" totalsRowFunction="custom" dataDxfId="205" totalsRowDxfId="33" dataCellStyle="Comma">
      <totalsRowFormula>SUM(Table1[2022 Budget])</totalsRowFormula>
    </tableColumn>
    <tableColumn id="15" xr3:uid="{00000000-0010-0000-0000-00000F000000}" name="2022 Estimates full year Actual" totalsRowFunction="custom" dataDxfId="204" totalsRowDxfId="32">
      <totalsRowFormula>SUM(Table1[2022 Estimates full year Actual])</totalsRowFormula>
    </tableColumn>
    <tableColumn id="16" xr3:uid="{00000000-0010-0000-0000-000010000000}" name="Budget Driver " dataDxfId="203" totalsRowDxfId="31"/>
    <tableColumn id="17" xr3:uid="{00000000-0010-0000-0000-000011000000}" name="Measruing unit" dataDxfId="202" totalsRowDxfId="30"/>
    <tableColumn id="47" xr3:uid="{00000000-0010-0000-0000-00002F000000}" name="Quantity of measruing units" dataDxfId="201" totalsRowDxfId="29"/>
    <tableColumn id="48" xr3:uid="{00000000-0010-0000-0000-000030000000}" name="Rate (expected)" dataDxfId="200" totalsRowDxfId="28"/>
    <tableColumn id="18" xr3:uid="{00000000-0010-0000-0000-000012000000}" name="Itemised  Details/Calculation method" dataDxfId="199" totalsRowDxfId="27"/>
    <tableColumn id="19" xr3:uid="{00000000-0010-0000-0000-000013000000}" name="Quantity (expected)" dataDxfId="198" totalsRowDxfId="26"/>
    <tableColumn id="20" xr3:uid="{00000000-0010-0000-0000-000014000000}" name="Rate (expected)2" dataDxfId="197" totalsRowDxfId="25"/>
    <tableColumn id="21" xr3:uid="{00000000-0010-0000-0000-000015000000}" name="2023 Budget " totalsRowFunction="custom" dataDxfId="196" totalsRowDxfId="24">
      <calculatedColumnFormula>Table1[[#This Row],[Quantity of measruing units]]*Table1[[#This Row],[Rate (expected)]]</calculatedColumnFormula>
      <totalsRowFormula>SUM(Table1[[2023 Budget ]])</totalsRowFormula>
    </tableColumn>
    <tableColumn id="44" xr3:uid="{00000000-0010-0000-0000-00002C000000}" name="Budget Activity Type" dataDxfId="195" totalsRowDxfId="23"/>
    <tableColumn id="45" xr3:uid="{00000000-0010-0000-0000-00002D000000}" name="Expenditure Frequency" dataDxfId="194" totalsRowDxfId="22"/>
    <tableColumn id="22" xr3:uid="{00000000-0010-0000-0000-000016000000}" name="2023 Budget Scenario 90%" totalsRowFunction="custom" dataDxfId="193" totalsRowDxfId="21">
      <calculatedColumnFormula>Table1[[#This Row],[Quantity (expected)]]*Table1[[#This Row],[Rate (expected)2]]*0.9</calculatedColumnFormula>
      <totalsRowFormula>SUM(Table1[2023 Budget Scenario 90%])</totalsRowFormula>
    </tableColumn>
    <tableColumn id="23" xr3:uid="{00000000-0010-0000-0000-000017000000}" name="2023 Budget Scenario 80%" totalsRowFunction="custom" dataDxfId="192" totalsRowDxfId="20">
      <calculatedColumnFormula>Table1[[#This Row],[Quantity (expected)]]*Table1[[#This Row],[Rate (expected)2]]*0.8</calculatedColumnFormula>
      <totalsRowFormula>SUM(Table1[2023 Budget Scenario 80%])</totalsRowFormula>
    </tableColumn>
    <tableColumn id="24" xr3:uid="{00000000-0010-0000-0000-000018000000}" name="2023 Budget Scenario 70%" totalsRowFunction="custom" dataDxfId="191" totalsRowDxfId="19">
      <calculatedColumnFormula>Table1[[#This Row],[Quantity (expected)]]*Table1[[#This Row],[Rate (expected)2]]*0.7</calculatedColumnFormula>
      <totalsRowFormula>SUM(Table1[2023 Budget Scenario 70%])</totalsRowFormula>
    </tableColumn>
    <tableColumn id="25" xr3:uid="{00000000-0010-0000-0000-000019000000}" name="90% Budget Scenario Impact" dataDxfId="190" totalsRowDxfId="18"/>
    <tableColumn id="26" xr3:uid="{00000000-0010-0000-0000-00001A000000}" name="80% Budget Impact " dataDxfId="189" totalsRowDxfId="17"/>
    <tableColumn id="27" xr3:uid="{00000000-0010-0000-0000-00001B000000}" name="70% Budget Impact " dataDxfId="188" totalsRowDxfId="16"/>
    <tableColumn id="28" xr3:uid="{00000000-0010-0000-0000-00001C000000}" name="Jan-23" totalsRowFunction="custom" dataDxfId="187" totalsRowDxfId="15">
      <totalsRowFormula>SUM(Table1[Jan-23])</totalsRowFormula>
    </tableColumn>
    <tableColumn id="29" xr3:uid="{00000000-0010-0000-0000-00001D000000}" name="Feb-23" totalsRowFunction="custom" dataDxfId="186" totalsRowDxfId="14">
      <totalsRowFormula>SUM(Table1[Feb-23])</totalsRowFormula>
    </tableColumn>
    <tableColumn id="30" xr3:uid="{00000000-0010-0000-0000-00001E000000}" name="Mar-23" totalsRowFunction="custom" dataDxfId="185" totalsRowDxfId="13">
      <totalsRowFormula>SUM(Table1[Mar-23])</totalsRowFormula>
    </tableColumn>
    <tableColumn id="31" xr3:uid="{00000000-0010-0000-0000-00001F000000}" name="Apr-23" totalsRowFunction="custom" dataDxfId="184" totalsRowDxfId="12">
      <totalsRowFormula>SUM(Table1[Apr-23])</totalsRowFormula>
    </tableColumn>
    <tableColumn id="32" xr3:uid="{00000000-0010-0000-0000-000020000000}" name="May-23" totalsRowFunction="custom" dataDxfId="183" totalsRowDxfId="11">
      <totalsRowFormula>SUM(Table1[May-23])</totalsRowFormula>
    </tableColumn>
    <tableColumn id="33" xr3:uid="{00000000-0010-0000-0000-000021000000}" name="Jun-23" totalsRowFunction="custom" dataDxfId="182" totalsRowDxfId="10">
      <totalsRowFormula>SUM(Table1[Jun-23])</totalsRowFormula>
    </tableColumn>
    <tableColumn id="34" xr3:uid="{00000000-0010-0000-0000-000022000000}" name="Jul-23" totalsRowFunction="custom" dataDxfId="181" totalsRowDxfId="9">
      <totalsRowFormula>SUM(Table1[Jul-23])</totalsRowFormula>
    </tableColumn>
    <tableColumn id="35" xr3:uid="{00000000-0010-0000-0000-000023000000}" name="Aug-23" totalsRowFunction="custom" dataDxfId="180" totalsRowDxfId="8">
      <totalsRowFormula>SUM(Table1[Aug-23])</totalsRowFormula>
    </tableColumn>
    <tableColumn id="36" xr3:uid="{00000000-0010-0000-0000-000024000000}" name="Sep-23" totalsRowFunction="custom" dataDxfId="179" totalsRowDxfId="7">
      <totalsRowFormula>SUM(Table1[Sep-23])</totalsRowFormula>
    </tableColumn>
    <tableColumn id="37" xr3:uid="{00000000-0010-0000-0000-000025000000}" name="Oct-23" totalsRowFunction="custom" dataDxfId="178" totalsRowDxfId="6">
      <totalsRowFormula>SUM(Table1[Oct-23])</totalsRowFormula>
    </tableColumn>
    <tableColumn id="38" xr3:uid="{00000000-0010-0000-0000-000026000000}" name="Nov-23" totalsRowFunction="custom" dataDxfId="177" totalsRowDxfId="5">
      <totalsRowFormula>SUM(Table1[Nov-23])</totalsRowFormula>
    </tableColumn>
    <tableColumn id="39" xr3:uid="{00000000-0010-0000-0000-000027000000}" name="Dec-23" totalsRowFunction="custom" dataDxfId="176" totalsRowDxfId="4">
      <totalsRowFormula>SUM(Table1[Dec-23])</totalsRowFormula>
    </tableColumn>
    <tableColumn id="40" xr3:uid="{00000000-0010-0000-0000-000028000000}" name="Total" totalsRowFunction="custom" dataDxfId="175" totalsRowDxfId="3">
      <calculatedColumnFormula>SUM(Table1[[#This Row],[Jan-23]:[Dec-23]])</calculatedColumnFormula>
      <totalsRowFormula>SUM(Table1[Total])</totalsRowFormula>
    </tableColumn>
    <tableColumn id="41" xr3:uid="{00000000-0010-0000-0000-000029000000}" name="KU Strategy" dataDxfId="174" totalsRowDxfId="2"/>
    <tableColumn id="42" xr3:uid="{00000000-0010-0000-0000-00002A000000}" name="Department operation Objective" dataDxfId="173" totalsRowDxfId="1"/>
    <tableColumn id="43" xr3:uid="{00000000-0010-0000-0000-00002B000000}" name="Contract or Agreement or PO or budgetary Quotation - Uploaded in KU Driver" dataDxfId="172" totalsRow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5" displayName="Table15" ref="A5:Y31" totalsRowCount="1" headerRowDxfId="171" dataDxfId="169" headerRowBorderDxfId="170" tableBorderDxfId="168" totalsRowBorderDxfId="167">
  <tableColumns count="25">
    <tableColumn id="1" xr3:uid="{00000000-0010-0000-0100-000001000000}" name="Account Group" dataDxfId="166" totalsRowDxfId="165">
      <calculatedColumnFormula>IFERROR(VLOOKUP(F6,'Accoount Code Combination'!$D:$L,8,FALSE),"")</calculatedColumnFormula>
    </tableColumn>
    <tableColumn id="2" xr3:uid="{00000000-0010-0000-0100-000002000000}" name="Content Expert" dataDxfId="164" totalsRowDxfId="163">
      <calculatedColumnFormula>IFERROR(VLOOKUP(Table15[[#This Row],[Account Code]],'Accoount Code Combination'!$D:$L,9,FALSE),"")</calculatedColumnFormula>
    </tableColumn>
    <tableColumn id="3" xr3:uid="{00000000-0010-0000-0100-000003000000}" name="Cost Center Code - Group" dataDxfId="162" totalsRowDxfId="161">
      <calculatedColumnFormula>IFERROR(VLOOKUP(Table15[[#This Row],[Cost Center Code]],'Cost Center Group'!A:B,2,FALSE),"")</calculatedColumnFormula>
    </tableColumn>
    <tableColumn id="4" xr3:uid="{00000000-0010-0000-0100-000004000000}" name="Cost Center Code" dataDxfId="160" totalsRowDxfId="159"/>
    <tableColumn id="5" xr3:uid="{00000000-0010-0000-0100-000005000000}" name="Cost Center Description" dataDxfId="158" totalsRowDxfId="157"/>
    <tableColumn id="6" xr3:uid="{00000000-0010-0000-0100-000006000000}" name="Account Code" dataDxfId="156" totalsRowDxfId="155"/>
    <tableColumn id="7" xr3:uid="{00000000-0010-0000-0100-000007000000}" name="Account Description" dataDxfId="154" totalsRowDxfId="153">
      <calculatedColumnFormula>IFERROR(VLOOKUP(Table15[[#This Row],[Account Code]],'Accoount Code Combination'!$D:$H,2,FALSE),"")</calculatedColumnFormula>
    </tableColumn>
    <tableColumn id="8" xr3:uid="{00000000-0010-0000-0100-000008000000}" name="GL Account Combination" dataDxfId="152" totalsRowDxfId="151"/>
    <tableColumn id="9" xr3:uid="{00000000-0010-0000-0100-000009000000}" name="Future-1 Description" dataDxfId="150" totalsRowDxfId="149"/>
    <tableColumn id="10" xr3:uid="{00000000-0010-0000-0100-00000A000000}" name="Future 1" dataDxfId="148" totalsRowDxfId="147">
      <calculatedColumnFormula>IFERROR(VLOOKUP(Table15[[#This Row],[Future-1 Description]],'Other '!$E:$F,2,FALSE),"")</calculatedColumnFormula>
    </tableColumn>
    <tableColumn id="11" xr3:uid="{00000000-0010-0000-0100-00000B000000}" name="Future-2 Description" dataDxfId="146" totalsRowDxfId="145"/>
    <tableColumn id="12" xr3:uid="{00000000-0010-0000-0100-00000C000000}" name="Future-2" dataDxfId="144" totalsRowDxfId="143"/>
    <tableColumn id="16" xr3:uid="{00000000-0010-0000-0100-000010000000}" name="Budget Driver Name - Primary" dataDxfId="142" totalsRowDxfId="141"/>
    <tableColumn id="17" xr3:uid="{00000000-0010-0000-0100-000011000000}" name="Budget Driver Qty - Primary" dataDxfId="140" totalsRowDxfId="139"/>
    <tableColumn id="48" xr3:uid="{00000000-0010-0000-0100-000030000000}" name="Budget Driver Name - Secondary" dataDxfId="138" totalsRowDxfId="137"/>
    <tableColumn id="47" xr3:uid="{00000000-0010-0000-0100-00002F000000}" name="Budget Driver Qty - Secondary" dataDxfId="136" totalsRowDxfId="135"/>
    <tableColumn id="18" xr3:uid="{00000000-0010-0000-0100-000012000000}" name="Itemised  Details/Calculation method" dataDxfId="134" totalsRowDxfId="133"/>
    <tableColumn id="19" xr3:uid="{00000000-0010-0000-0100-000013000000}" name="Quantity (expected)" dataDxfId="132" totalsRowDxfId="131"/>
    <tableColumn id="20" xr3:uid="{00000000-0010-0000-0100-000014000000}" name="Rate (expected)" dataDxfId="130" totalsRowDxfId="129"/>
    <tableColumn id="21" xr3:uid="{00000000-0010-0000-0100-000015000000}" name="2023 Budget " totalsRowFunction="custom" dataDxfId="128" totalsRowDxfId="127">
      <calculatedColumnFormula>Table15[[#This Row],[Quantity (expected)]]*Table15[[#This Row],[Rate (expected)]]</calculatedColumnFormula>
      <totalsRowFormula>SUM(Table15[[2023 Budget ]])</totalsRowFormula>
    </tableColumn>
    <tableColumn id="44" xr3:uid="{00000000-0010-0000-0100-00002C000000}" name="Budget Activity Type" dataDxfId="126" totalsRowDxfId="125"/>
    <tableColumn id="45" xr3:uid="{00000000-0010-0000-0100-00002D000000}" name="Expenditure Frequency" dataDxfId="124" totalsRowDxfId="123"/>
    <tableColumn id="41" xr3:uid="{00000000-0010-0000-0100-000029000000}" name="KU Strategy" dataDxfId="122" totalsRowDxfId="121"/>
    <tableColumn id="42" xr3:uid="{00000000-0010-0000-0100-00002A000000}" name="Department operation Objective" dataDxfId="120" totalsRowDxfId="119"/>
    <tableColumn id="43" xr3:uid="{00000000-0010-0000-0100-00002B000000}" name="Contract or Agreement or PO or budgetary Quotation - KU Driver" dataDxfId="118" totalsRowDxfId="1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156" displayName="Table156" ref="A5:Y39" totalsRowCount="1" headerRowDxfId="116" dataDxfId="114" headerRowBorderDxfId="115" tableBorderDxfId="113" totalsRowBorderDxfId="112">
  <tableColumns count="25">
    <tableColumn id="1" xr3:uid="{00000000-0010-0000-0200-000001000000}" name="Account Group" dataDxfId="111" totalsRowDxfId="110">
      <calculatedColumnFormula>IFERROR(VLOOKUP(F6,'Accoount Code Combination'!$D:$L,8,FALSE),"")</calculatedColumnFormula>
    </tableColumn>
    <tableColumn id="2" xr3:uid="{00000000-0010-0000-0200-000002000000}" name="Content Expert" dataDxfId="109" totalsRowDxfId="108">
      <calculatedColumnFormula>IFERROR(VLOOKUP(Table156[[#This Row],[Account Code]],'Accoount Code Combination'!$D:$L,9,FALSE),"")</calculatedColumnFormula>
    </tableColumn>
    <tableColumn id="3" xr3:uid="{00000000-0010-0000-0200-000003000000}" name="Cost Center Code - Group" dataDxfId="107" totalsRowDxfId="106">
      <calculatedColumnFormula>IFERROR(VLOOKUP(Table156[[#This Row],[Cost Center Code]],'Cost Center Group'!A:B,2,FALSE),"")</calculatedColumnFormula>
    </tableColumn>
    <tableColumn id="4" xr3:uid="{00000000-0010-0000-0200-000004000000}" name="Cost Center Code" dataDxfId="105" totalsRowDxfId="104"/>
    <tableColumn id="5" xr3:uid="{00000000-0010-0000-0200-000005000000}" name="Cost Center Description" dataDxfId="103" totalsRowDxfId="102"/>
    <tableColumn id="6" xr3:uid="{00000000-0010-0000-0200-000006000000}" name="Account Code" dataDxfId="101" totalsRowDxfId="100"/>
    <tableColumn id="7" xr3:uid="{00000000-0010-0000-0200-000007000000}" name="Account Description" dataDxfId="99" totalsRowDxfId="98">
      <calculatedColumnFormula>IFERROR(VLOOKUP(Table156[[#This Row],[Account Code]],'Accoount Code Combination'!$D:$H,2,FALSE),"")</calculatedColumnFormula>
    </tableColumn>
    <tableColumn id="8" xr3:uid="{00000000-0010-0000-0200-000008000000}" name="GL Account Combination" dataDxfId="97" totalsRowDxfId="96"/>
    <tableColumn id="9" xr3:uid="{00000000-0010-0000-0200-000009000000}" name="Future-1 Description" dataDxfId="95" totalsRowDxfId="94"/>
    <tableColumn id="10" xr3:uid="{00000000-0010-0000-0200-00000A000000}" name="Future 1" dataDxfId="93" totalsRowDxfId="92">
      <calculatedColumnFormula>IFERROR(VLOOKUP(Table156[[#This Row],[Future-1 Description]],'Other '!$E:$F,2,FALSE),"")</calculatedColumnFormula>
    </tableColumn>
    <tableColumn id="11" xr3:uid="{00000000-0010-0000-0200-00000B000000}" name="Future-2 Description" dataDxfId="91" totalsRowDxfId="90"/>
    <tableColumn id="12" xr3:uid="{00000000-0010-0000-0200-00000C000000}" name="Future-2" dataDxfId="89" totalsRowDxfId="88"/>
    <tableColumn id="16" xr3:uid="{00000000-0010-0000-0200-000010000000}" name="Budget Driver Name - Primary" dataDxfId="87" totalsRowDxfId="86"/>
    <tableColumn id="17" xr3:uid="{00000000-0010-0000-0200-000011000000}" name="Budget Driver Qty - Primary" dataDxfId="85" totalsRowDxfId="84"/>
    <tableColumn id="48" xr3:uid="{00000000-0010-0000-0200-000030000000}" name="Budget Driver Name - Secondary" dataDxfId="83" totalsRowDxfId="82"/>
    <tableColumn id="47" xr3:uid="{00000000-0010-0000-0200-00002F000000}" name="Budget Driver Qty - Secondary" dataDxfId="81" totalsRowDxfId="80"/>
    <tableColumn id="18" xr3:uid="{00000000-0010-0000-0200-000012000000}" name="Itemised  Details/Calculation method" dataDxfId="79" totalsRowDxfId="78"/>
    <tableColumn id="19" xr3:uid="{00000000-0010-0000-0200-000013000000}" name="Quantity (expected)" dataDxfId="77" totalsRowDxfId="76"/>
    <tableColumn id="20" xr3:uid="{00000000-0010-0000-0200-000014000000}" name="Rate (expected)" dataDxfId="75" totalsRowDxfId="74"/>
    <tableColumn id="21" xr3:uid="{00000000-0010-0000-0200-000015000000}" name="2024 Budget " totalsRowFunction="custom" dataDxfId="73" totalsRowDxfId="72">
      <calculatedColumnFormula>Table156[[#This Row],[Quantity (expected)]]*Table156[[#This Row],[Rate (expected)]]</calculatedColumnFormula>
      <totalsRowFormula>SUM(Table156[[2024 Budget ]])</totalsRowFormula>
    </tableColumn>
    <tableColumn id="44" xr3:uid="{00000000-0010-0000-0200-00002C000000}" name="Budget Activity Type" dataDxfId="71" totalsRowDxfId="70"/>
    <tableColumn id="45" xr3:uid="{00000000-0010-0000-0200-00002D000000}" name="Expenditure Frequency" dataDxfId="69" totalsRowDxfId="68"/>
    <tableColumn id="41" xr3:uid="{00000000-0010-0000-0200-000029000000}" name="KU Strategy" dataDxfId="67" totalsRowDxfId="66"/>
    <tableColumn id="42" xr3:uid="{00000000-0010-0000-0200-00002A000000}" name="Department operation Objective" dataDxfId="65" totalsRowDxfId="64"/>
    <tableColumn id="43" xr3:uid="{00000000-0010-0000-0200-00002B000000}" name="Contract or Agreement or PO or budgetary Quotation - KU Driver" dataDxfId="63" totalsRowDxfId="6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%25@100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I16"/>
  <sheetViews>
    <sheetView showGridLines="0" workbookViewId="0">
      <selection activeCell="B9" sqref="B9"/>
    </sheetView>
  </sheetViews>
  <sheetFormatPr defaultRowHeight="14.5" x14ac:dyDescent="0.35"/>
  <cols>
    <col min="1" max="1" width="3" customWidth="1"/>
    <col min="2" max="2" width="13.26953125" customWidth="1"/>
  </cols>
  <sheetData>
    <row r="6" spans="2:9" x14ac:dyDescent="0.35">
      <c r="B6" s="118" t="s">
        <v>1430</v>
      </c>
      <c r="C6" s="119"/>
      <c r="D6" s="119"/>
      <c r="E6" s="120"/>
    </row>
    <row r="7" spans="2:9" x14ac:dyDescent="0.35">
      <c r="B7" s="107"/>
    </row>
    <row r="8" spans="2:9" x14ac:dyDescent="0.35">
      <c r="B8" s="98" t="s">
        <v>1401</v>
      </c>
      <c r="C8" s="98"/>
      <c r="I8" s="98"/>
    </row>
    <row r="9" spans="2:9" x14ac:dyDescent="0.35">
      <c r="B9" s="122" t="s">
        <v>1403</v>
      </c>
    </row>
    <row r="10" spans="2:9" x14ac:dyDescent="0.35">
      <c r="B10" t="s">
        <v>1404</v>
      </c>
    </row>
    <row r="11" spans="2:9" x14ac:dyDescent="0.35">
      <c r="B11" t="s">
        <v>1405</v>
      </c>
    </row>
    <row r="12" spans="2:9" x14ac:dyDescent="0.35">
      <c r="B12" t="s">
        <v>1406</v>
      </c>
    </row>
    <row r="13" spans="2:9" x14ac:dyDescent="0.35">
      <c r="B13" t="s">
        <v>1407</v>
      </c>
    </row>
    <row r="14" spans="2:9" x14ac:dyDescent="0.35">
      <c r="B14" s="122" t="s">
        <v>5</v>
      </c>
    </row>
    <row r="15" spans="2:9" x14ac:dyDescent="0.35">
      <c r="B15" s="107"/>
    </row>
    <row r="16" spans="2:9" x14ac:dyDescent="0.35">
      <c r="B16" s="10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35"/>
  <sheetViews>
    <sheetView showGridLines="0" tabSelected="1" topLeftCell="AI1" zoomScale="80" zoomScaleNormal="80" workbookViewId="0">
      <pane ySplit="5" topLeftCell="A6" activePane="bottomLeft" state="frozen"/>
      <selection activeCell="A11" sqref="A11"/>
      <selection pane="bottomLeft" activeCell="AV6" sqref="AV6"/>
    </sheetView>
  </sheetViews>
  <sheetFormatPr defaultColWidth="28" defaultRowHeight="13" x14ac:dyDescent="0.3"/>
  <cols>
    <col min="1" max="1" width="26.54296875" style="1" customWidth="1"/>
    <col min="2" max="2" width="12.453125" style="1" customWidth="1"/>
    <col min="3" max="4" width="17.7265625" style="1" customWidth="1"/>
    <col min="5" max="5" width="13.26953125" style="1" customWidth="1"/>
    <col min="6" max="6" width="56.1796875" style="1" customWidth="1"/>
    <col min="7" max="7" width="11.7265625" style="1" bestFit="1" customWidth="1"/>
    <col min="8" max="8" width="28" style="97"/>
    <col min="9" max="9" width="32.54296875" style="1" customWidth="1"/>
    <col min="10" max="10" width="11.81640625" style="1" customWidth="1"/>
    <col min="11" max="11" width="18.81640625" style="1" customWidth="1"/>
    <col min="12" max="12" width="9.1796875" style="1" customWidth="1"/>
    <col min="13" max="14" width="28" style="1" customWidth="1"/>
    <col min="15" max="15" width="35.54296875" style="1" bestFit="1" customWidth="1"/>
    <col min="16" max="17" width="28" style="50"/>
    <col min="18" max="22" width="28" style="1"/>
    <col min="23" max="23" width="37.81640625" style="1" customWidth="1"/>
    <col min="24" max="28" width="28" style="1"/>
    <col min="29" max="31" width="28" style="2"/>
    <col min="32" max="34" width="28" style="1"/>
    <col min="35" max="46" width="9.54296875" style="1" customWidth="1"/>
    <col min="47" max="47" width="20.81640625" style="1" customWidth="1"/>
    <col min="48" max="48" width="42.26953125" style="1" customWidth="1"/>
    <col min="49" max="49" width="28" style="1"/>
    <col min="50" max="50" width="35.81640625" style="1" customWidth="1"/>
    <col min="51" max="16384" width="28" style="1"/>
  </cols>
  <sheetData>
    <row r="1" spans="1:51" x14ac:dyDescent="0.3">
      <c r="H1" s="116" t="s">
        <v>1400</v>
      </c>
      <c r="I1" s="91" t="str">
        <f>IFERROR(VLOOKUP(I2,'Cost Center'!$A:$B,2,FALSE),"")</f>
        <v/>
      </c>
    </row>
    <row r="2" spans="1:51" ht="14.5" x14ac:dyDescent="0.35">
      <c r="H2" s="92" t="s">
        <v>1418</v>
      </c>
      <c r="I2" s="92"/>
      <c r="P2" s="108" t="s">
        <v>1413</v>
      </c>
      <c r="X2" s="131" t="s">
        <v>1463</v>
      </c>
      <c r="Y2" s="131" t="s">
        <v>1462</v>
      </c>
      <c r="AA2" s="132" t="s">
        <v>1464</v>
      </c>
    </row>
    <row r="3" spans="1:51" ht="13.5" thickBot="1" x14ac:dyDescent="0.35">
      <c r="H3" s="92" t="s">
        <v>1399</v>
      </c>
      <c r="I3" s="92">
        <v>2023</v>
      </c>
      <c r="AV3" s="131" t="s">
        <v>1480</v>
      </c>
      <c r="AW3" s="131" t="s">
        <v>1480</v>
      </c>
    </row>
    <row r="4" spans="1:51" ht="13.5" thickBot="1" x14ac:dyDescent="0.35">
      <c r="A4" s="15"/>
      <c r="B4" s="15"/>
      <c r="C4" s="2"/>
      <c r="D4" s="2"/>
      <c r="H4" s="93" t="s">
        <v>1425</v>
      </c>
      <c r="R4" s="17" t="s">
        <v>126</v>
      </c>
      <c r="S4" s="18" t="s">
        <v>127</v>
      </c>
      <c r="T4" s="17" t="s">
        <v>126</v>
      </c>
      <c r="U4" s="17" t="s">
        <v>126</v>
      </c>
      <c r="V4" s="17"/>
      <c r="W4" s="17" t="s">
        <v>126</v>
      </c>
      <c r="X4" s="17" t="s">
        <v>126</v>
      </c>
      <c r="Y4" s="17" t="s">
        <v>126</v>
      </c>
      <c r="Z4" s="17" t="s">
        <v>126</v>
      </c>
      <c r="AA4" s="17" t="s">
        <v>1422</v>
      </c>
      <c r="AB4" s="17" t="s">
        <v>1423</v>
      </c>
      <c r="AF4" s="17" t="s">
        <v>126</v>
      </c>
      <c r="AG4" s="17" t="s">
        <v>126</v>
      </c>
      <c r="AH4" s="17" t="s">
        <v>126</v>
      </c>
      <c r="AI4" s="140" t="s">
        <v>126</v>
      </c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2"/>
      <c r="AV4" s="18" t="s">
        <v>127</v>
      </c>
      <c r="AW4" s="18" t="s">
        <v>126</v>
      </c>
      <c r="AX4" s="17" t="s">
        <v>126</v>
      </c>
    </row>
    <row r="5" spans="1:51" s="14" customFormat="1" ht="26" x14ac:dyDescent="0.3">
      <c r="A5" s="10" t="s">
        <v>0</v>
      </c>
      <c r="B5" s="11" t="s">
        <v>1</v>
      </c>
      <c r="C5" s="11" t="s">
        <v>2</v>
      </c>
      <c r="D5" s="11" t="s">
        <v>1492</v>
      </c>
      <c r="E5" s="11" t="s">
        <v>3</v>
      </c>
      <c r="F5" s="11" t="s">
        <v>4</v>
      </c>
      <c r="G5" s="11" t="s">
        <v>1493</v>
      </c>
      <c r="H5" s="94" t="s">
        <v>5</v>
      </c>
      <c r="I5" s="11" t="s">
        <v>6</v>
      </c>
      <c r="J5" s="11" t="s">
        <v>1429</v>
      </c>
      <c r="K5" s="11" t="s">
        <v>8</v>
      </c>
      <c r="L5" s="11" t="s">
        <v>1402</v>
      </c>
      <c r="M5" s="11" t="s">
        <v>10</v>
      </c>
      <c r="N5" s="11" t="s">
        <v>11</v>
      </c>
      <c r="O5" s="11" t="s">
        <v>7</v>
      </c>
      <c r="P5" s="51" t="s">
        <v>1432</v>
      </c>
      <c r="Q5" s="51" t="s">
        <v>1433</v>
      </c>
      <c r="R5" s="16" t="s">
        <v>1434</v>
      </c>
      <c r="S5" s="127" t="s">
        <v>1435</v>
      </c>
      <c r="T5" s="127" t="s">
        <v>1438</v>
      </c>
      <c r="U5" s="128" t="s">
        <v>1439</v>
      </c>
      <c r="V5" s="130" t="s">
        <v>14</v>
      </c>
      <c r="W5" s="11" t="s">
        <v>12</v>
      </c>
      <c r="X5" s="11" t="s">
        <v>13</v>
      </c>
      <c r="Y5" s="11" t="s">
        <v>1460</v>
      </c>
      <c r="Z5" s="11" t="s">
        <v>148</v>
      </c>
      <c r="AA5" s="11" t="s">
        <v>155</v>
      </c>
      <c r="AB5" s="11" t="s">
        <v>144</v>
      </c>
      <c r="AC5" s="12" t="s">
        <v>1465</v>
      </c>
      <c r="AD5" s="12" t="s">
        <v>1466</v>
      </c>
      <c r="AE5" s="12" t="s">
        <v>1467</v>
      </c>
      <c r="AF5" s="11" t="s">
        <v>15</v>
      </c>
      <c r="AG5" s="11" t="s">
        <v>16</v>
      </c>
      <c r="AH5" s="11" t="s">
        <v>125</v>
      </c>
      <c r="AI5" s="133" t="s">
        <v>1468</v>
      </c>
      <c r="AJ5" s="133" t="s">
        <v>1469</v>
      </c>
      <c r="AK5" s="133" t="s">
        <v>1470</v>
      </c>
      <c r="AL5" s="133" t="s">
        <v>1471</v>
      </c>
      <c r="AM5" s="133" t="s">
        <v>1472</v>
      </c>
      <c r="AN5" s="133" t="s">
        <v>1473</v>
      </c>
      <c r="AO5" s="133" t="s">
        <v>1474</v>
      </c>
      <c r="AP5" s="133" t="s">
        <v>1475</v>
      </c>
      <c r="AQ5" s="133" t="s">
        <v>1476</v>
      </c>
      <c r="AR5" s="133" t="s">
        <v>1477</v>
      </c>
      <c r="AS5" s="133" t="s">
        <v>1478</v>
      </c>
      <c r="AT5" s="133" t="s">
        <v>1479</v>
      </c>
      <c r="AU5" s="11" t="s">
        <v>17</v>
      </c>
      <c r="AV5" s="11" t="s">
        <v>18</v>
      </c>
      <c r="AW5" s="11" t="s">
        <v>156</v>
      </c>
      <c r="AX5" s="117" t="s">
        <v>1481</v>
      </c>
    </row>
    <row r="6" spans="1:51" ht="26.5" x14ac:dyDescent="0.35">
      <c r="A6" s="3" t="str">
        <f>VLOOKUP(H6,'Accoount Code Combination'!$D:$L,8,FALSE)</f>
        <v>HR</v>
      </c>
      <c r="B6" s="4" t="str">
        <f>VLOOKUP(Table1[[#This Row],[Account Code]],'Accoount Code Combination'!$D:$L,9,FALSE)</f>
        <v>Outsourcing</v>
      </c>
      <c r="C6" s="4" t="str">
        <f>VLOOKUP(Table1[[#This Row],[Cost Center Code]],'Cost Center Group'!A:B,2,FALSE)</f>
        <v xml:space="preserve">President's Office </v>
      </c>
      <c r="D6" s="4">
        <v>847</v>
      </c>
      <c r="E6" s="78">
        <v>8470110</v>
      </c>
      <c r="F6" s="4" t="s">
        <v>180</v>
      </c>
      <c r="G6" s="4">
        <v>1</v>
      </c>
      <c r="H6" s="95">
        <v>421100</v>
      </c>
      <c r="I6" s="105" t="str">
        <f>IFERROR(VLOOKUP(Table1[[#This Row],[Account Code]],'Accoount Code Combination'!$D:$H,2,FALSE),"")</f>
        <v>Manpower supply</v>
      </c>
      <c r="J6" s="78">
        <v>8470110</v>
      </c>
      <c r="K6" s="4" t="s">
        <v>331</v>
      </c>
      <c r="L6" s="4">
        <f>IFERROR(VLOOKUP(Table1[[#This Row],[Future-1 Description]],'Other '!E1:$F10,2,FALSE),"")</f>
        <v>847951</v>
      </c>
      <c r="M6" s="4"/>
      <c r="N6" s="4">
        <v>200179</v>
      </c>
      <c r="O6" s="4"/>
      <c r="P6" s="49">
        <v>29118.02</v>
      </c>
      <c r="Q6" s="49">
        <v>29119</v>
      </c>
      <c r="R6" s="4"/>
      <c r="S6" s="4" t="s">
        <v>1459</v>
      </c>
      <c r="T6" s="4" t="s">
        <v>128</v>
      </c>
      <c r="U6" s="4">
        <v>50</v>
      </c>
      <c r="V6" s="4">
        <v>10000</v>
      </c>
      <c r="W6" s="129" t="s">
        <v>1461</v>
      </c>
      <c r="X6" s="5"/>
      <c r="Y6" s="5"/>
      <c r="Z6" s="4">
        <f>Table1[[#This Row],[Quantity of measruing units]]*Table1[[#This Row],[Rate (expected)]]</f>
        <v>500000</v>
      </c>
      <c r="AA6" s="4"/>
      <c r="AB6" s="4"/>
      <c r="AC6" s="6">
        <f>Table1[[#This Row],[Quantity (expected)]]*Table1[[#This Row],[Rate (expected)2]]*0.9</f>
        <v>0</v>
      </c>
      <c r="AD6" s="6">
        <f>Table1[[#This Row],[Quantity (expected)]]*Table1[[#This Row],[Rate (expected)2]]*0.8</f>
        <v>0</v>
      </c>
      <c r="AE6" s="6">
        <f>Table1[[#This Row],[Quantity (expected)]]*Table1[[#This Row],[Rate (expected)2]]*0.7</f>
        <v>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>
        <v>0</v>
      </c>
      <c r="AR6" s="4">
        <v>0</v>
      </c>
      <c r="AS6" s="4">
        <v>0</v>
      </c>
      <c r="AT6" s="4"/>
      <c r="AU6" s="4">
        <f>SUM(Table1[[#This Row],[Jan-23]:[Dec-23]])</f>
        <v>0</v>
      </c>
      <c r="AV6" s="105" t="s">
        <v>1275</v>
      </c>
      <c r="AW6" s="4"/>
      <c r="AX6" s="7"/>
      <c r="AY6" s="131" t="s">
        <v>1482</v>
      </c>
    </row>
    <row r="7" spans="1:51" x14ac:dyDescent="0.3">
      <c r="A7" s="30" t="str">
        <f>VLOOKUP(H7,'Accoount Code Combination'!$D:$L,8,FALSE)</f>
        <v>Other support</v>
      </c>
      <c r="B7" s="31" t="str">
        <f>VLOOKUP(Table1[[#This Row],[Account Code]],'Accoount Code Combination'!$D:$L,9,FALSE)</f>
        <v>Legal and professional fees</v>
      </c>
      <c r="C7" s="31" t="str">
        <f>VLOOKUP(Table1[[#This Row],[Cost Center Code]],'Cost Center Group'!A:B,2,FALSE)</f>
        <v>Information Technology/ANKABUT</v>
      </c>
      <c r="D7" s="4">
        <v>847</v>
      </c>
      <c r="E7" s="78">
        <v>8470810</v>
      </c>
      <c r="F7" s="31"/>
      <c r="G7" s="4">
        <v>1</v>
      </c>
      <c r="H7" s="79">
        <v>420900</v>
      </c>
      <c r="I7" s="106" t="str">
        <f>VLOOKUP(Table1[[#This Row],[Account Code]],'Accoount Code Combination'!$D:$H,2,FALSE)</f>
        <v>Legal services</v>
      </c>
      <c r="J7" s="78">
        <v>8470110</v>
      </c>
      <c r="K7" s="31" t="s">
        <v>173</v>
      </c>
      <c r="L7" s="31">
        <f>VLOOKUP(Table1[[#This Row],[Future-1 Description]],'Other '!E2:$F11,2,FALSE)</f>
        <v>847030</v>
      </c>
      <c r="M7" s="32"/>
      <c r="N7" s="4">
        <v>200179</v>
      </c>
      <c r="O7" s="32"/>
      <c r="P7" s="86"/>
      <c r="Q7" s="86"/>
      <c r="R7" s="32"/>
      <c r="S7" s="32"/>
      <c r="T7" s="32"/>
      <c r="U7" s="32"/>
      <c r="V7" s="32"/>
      <c r="W7" s="32"/>
      <c r="X7" s="33"/>
      <c r="Y7" s="33"/>
      <c r="Z7" s="31">
        <f>Table1[[#This Row],[Quantity of measruing units]]*Table1[[#This Row],[Rate (expected)]]</f>
        <v>0</v>
      </c>
      <c r="AA7" s="31"/>
      <c r="AB7" s="31"/>
      <c r="AC7" s="34">
        <f>Table1[[#This Row],[Quantity (expected)]]*Table1[[#This Row],[Rate (expected)2]]*0.9</f>
        <v>0</v>
      </c>
      <c r="AD7" s="34">
        <f>Table1[[#This Row],[Quantity (expected)]]*Table1[[#This Row],[Rate (expected)2]]*0.8</f>
        <v>0</v>
      </c>
      <c r="AE7" s="34">
        <f>Table1[[#This Row],[Quantity (expected)]]*Table1[[#This Row],[Rate (expected)2]]*0.7</f>
        <v>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1">
        <f>SUM(Table1[[#This Row],[Jan-23]:[Dec-23]])</f>
        <v>0</v>
      </c>
      <c r="AV7" s="121"/>
      <c r="AW7" s="32"/>
      <c r="AX7" s="35"/>
    </row>
    <row r="8" spans="1:51" x14ac:dyDescent="0.3">
      <c r="A8" s="30" t="str">
        <f>VLOOKUP(H8,'Accoount Code Combination'!$D:$L,8,FALSE)</f>
        <v>Academic</v>
      </c>
      <c r="B8" s="31" t="str">
        <f>VLOOKUP(Table1[[#This Row],[Account Code]],'Accoount Code Combination'!$D:$L,9,FALSE)</f>
        <v>No Applicable</v>
      </c>
      <c r="C8" s="31" t="str">
        <f>VLOOKUP(Table1[[#This Row],[Cost Center Code]],'Cost Center Group'!A:B,2,FALSE)</f>
        <v xml:space="preserve">President's Office </v>
      </c>
      <c r="D8" s="4">
        <v>847</v>
      </c>
      <c r="E8" s="78">
        <v>8470110</v>
      </c>
      <c r="F8" s="31"/>
      <c r="G8" s="4">
        <v>1</v>
      </c>
      <c r="H8" s="79">
        <v>425770</v>
      </c>
      <c r="I8" s="106" t="str">
        <f>VLOOKUP(Table1[[#This Row],[Account Code]],'Accoount Code Combination'!$D:$H,2,FALSE)</f>
        <v>Academic Missions - Combined expenses</v>
      </c>
      <c r="J8" s="78">
        <v>8470110</v>
      </c>
      <c r="K8" s="31"/>
      <c r="L8" s="31" t="e">
        <f>VLOOKUP(Table1[[#This Row],[Future-1 Description]],'Other '!E3:$F12,2,FALSE)</f>
        <v>#N/A</v>
      </c>
      <c r="M8" s="32"/>
      <c r="N8" s="32"/>
      <c r="O8" s="32"/>
      <c r="P8" s="86"/>
      <c r="Q8" s="86"/>
      <c r="R8" s="32"/>
      <c r="S8" s="32"/>
      <c r="T8" s="32"/>
      <c r="U8" s="32"/>
      <c r="V8" s="32"/>
      <c r="W8" s="32"/>
      <c r="X8" s="33"/>
      <c r="Y8" s="33"/>
      <c r="Z8" s="31">
        <f>Table1[[#This Row],[Quantity of measruing units]]*Table1[[#This Row],[Rate (expected)]]</f>
        <v>0</v>
      </c>
      <c r="AA8" s="31"/>
      <c r="AB8" s="31"/>
      <c r="AC8" s="34">
        <f>Table1[[#This Row],[Quantity (expected)]]*Table1[[#This Row],[Rate (expected)2]]*0.9</f>
        <v>0</v>
      </c>
      <c r="AD8" s="34">
        <f>Table1[[#This Row],[Quantity (expected)]]*Table1[[#This Row],[Rate (expected)2]]*0.8</f>
        <v>0</v>
      </c>
      <c r="AE8" s="34">
        <f>Table1[[#This Row],[Quantity (expected)]]*Table1[[#This Row],[Rate (expected)2]]*0.7</f>
        <v>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1">
        <f>SUM(Table1[[#This Row],[Jan-23]:[Dec-23]])</f>
        <v>0</v>
      </c>
      <c r="AV8" s="121"/>
      <c r="AW8" s="32"/>
      <c r="AX8" s="35"/>
    </row>
    <row r="9" spans="1:51" x14ac:dyDescent="0.3">
      <c r="A9" s="30" t="str">
        <f>VLOOKUP(H9,'Accoount Code Combination'!$D:$L,8,FALSE)</f>
        <v>Other support</v>
      </c>
      <c r="B9" s="31" t="str">
        <f>VLOOKUP(Table1[[#This Row],[Account Code]],'Accoount Code Combination'!$D:$L,9,FALSE)</f>
        <v>No Applicable</v>
      </c>
      <c r="C9" s="31" t="str">
        <f>VLOOKUP(Table1[[#This Row],[Cost Center Code]],'Cost Center Group'!A:B,2,FALSE)</f>
        <v xml:space="preserve">President's Office </v>
      </c>
      <c r="D9" s="4">
        <v>847</v>
      </c>
      <c r="E9" s="78">
        <v>8470110</v>
      </c>
      <c r="F9" s="31"/>
      <c r="G9" s="4">
        <v>1</v>
      </c>
      <c r="H9" s="79">
        <v>425900</v>
      </c>
      <c r="I9" s="106" t="str">
        <f>VLOOKUP(Table1[[#This Row],[Account Code]],'Accoount Code Combination'!$D:$H,2,FALSE)</f>
        <v>Entertainment and hospitality</v>
      </c>
      <c r="J9" s="78">
        <v>8470110</v>
      </c>
      <c r="K9" s="31" t="s">
        <v>926</v>
      </c>
      <c r="L9" s="31">
        <f>VLOOKUP(Table1[[#This Row],[Future-1 Description]],'Other '!E4:$F13,2,FALSE)</f>
        <v>847040</v>
      </c>
      <c r="M9" s="32"/>
      <c r="N9" s="32"/>
      <c r="O9" s="32"/>
      <c r="P9" s="86"/>
      <c r="Q9" s="86"/>
      <c r="R9" s="32"/>
      <c r="S9" s="32"/>
      <c r="T9" s="32"/>
      <c r="U9" s="32"/>
      <c r="V9" s="32"/>
      <c r="W9" s="32"/>
      <c r="X9" s="33"/>
      <c r="Y9" s="33"/>
      <c r="Z9" s="31">
        <f>Table1[[#This Row],[Quantity of measruing units]]*Table1[[#This Row],[Rate (expected)]]</f>
        <v>0</v>
      </c>
      <c r="AA9" s="31"/>
      <c r="AB9" s="31"/>
      <c r="AC9" s="34">
        <f>Table1[[#This Row],[Quantity (expected)]]*Table1[[#This Row],[Rate (expected)2]]*0.9</f>
        <v>0</v>
      </c>
      <c r="AD9" s="34">
        <f>Table1[[#This Row],[Quantity (expected)]]*Table1[[#This Row],[Rate (expected)2]]*0.8</f>
        <v>0</v>
      </c>
      <c r="AE9" s="34">
        <f>Table1[[#This Row],[Quantity (expected)]]*Table1[[#This Row],[Rate (expected)2]]*0.7</f>
        <v>0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1">
        <f>SUM(Table1[[#This Row],[Jan-23]:[Dec-23]])</f>
        <v>0</v>
      </c>
      <c r="AV9" s="121"/>
      <c r="AW9" s="32"/>
      <c r="AX9" s="35"/>
    </row>
    <row r="10" spans="1:51" x14ac:dyDescent="0.3">
      <c r="A10" s="30" t="str">
        <f>VLOOKUP(H10,'Accoount Code Combination'!$D:$L,8,FALSE)</f>
        <v>Other support</v>
      </c>
      <c r="B10" s="31" t="str">
        <f>VLOOKUP(Table1[[#This Row],[Account Code]],'Accoount Code Combination'!$D:$L,9,FALSE)</f>
        <v>Legal and professional fees</v>
      </c>
      <c r="C10" s="31" t="str">
        <f>VLOOKUP(Table1[[#This Row],[Cost Center Code]],'Cost Center Group'!A:B,2,FALSE)</f>
        <v xml:space="preserve">President's Office </v>
      </c>
      <c r="D10" s="4">
        <v>847</v>
      </c>
      <c r="E10" s="78">
        <v>8470110</v>
      </c>
      <c r="F10" s="31"/>
      <c r="G10" s="4">
        <v>1</v>
      </c>
      <c r="H10" s="79">
        <v>420900</v>
      </c>
      <c r="I10" s="106" t="str">
        <f>VLOOKUP(Table1[[#This Row],[Account Code]],'Accoount Code Combination'!$D:$H,2,FALSE)</f>
        <v>Legal services</v>
      </c>
      <c r="J10" s="78">
        <v>8470110</v>
      </c>
      <c r="K10" s="31" t="s">
        <v>926</v>
      </c>
      <c r="L10" s="31">
        <f>VLOOKUP(Table1[[#This Row],[Future-1 Description]],'Other '!E5:$F14,2,FALSE)</f>
        <v>847040</v>
      </c>
      <c r="M10" s="32"/>
      <c r="N10" s="32"/>
      <c r="O10" s="32"/>
      <c r="P10" s="86"/>
      <c r="Q10" s="86"/>
      <c r="R10" s="32"/>
      <c r="S10" s="32"/>
      <c r="T10" s="32"/>
      <c r="U10" s="32"/>
      <c r="V10" s="32"/>
      <c r="W10" s="32"/>
      <c r="X10" s="33"/>
      <c r="Y10" s="33"/>
      <c r="Z10" s="31">
        <f>Table1[[#This Row],[Quantity of measruing units]]*Table1[[#This Row],[Rate (expected)]]</f>
        <v>0</v>
      </c>
      <c r="AA10" s="31"/>
      <c r="AB10" s="31"/>
      <c r="AC10" s="34">
        <f>Table1[[#This Row],[Quantity (expected)]]*Table1[[#This Row],[Rate (expected)2]]*0.9</f>
        <v>0</v>
      </c>
      <c r="AD10" s="34">
        <f>Table1[[#This Row],[Quantity (expected)]]*Table1[[#This Row],[Rate (expected)2]]*0.8</f>
        <v>0</v>
      </c>
      <c r="AE10" s="34">
        <f>Table1[[#This Row],[Quantity (expected)]]*Table1[[#This Row],[Rate (expected)2]]*0.7</f>
        <v>0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1">
        <f>SUM(Table1[[#This Row],[Jan-23]:[Dec-23]])</f>
        <v>0</v>
      </c>
      <c r="AV10" s="121"/>
      <c r="AW10" s="32"/>
      <c r="AX10" s="35"/>
    </row>
    <row r="11" spans="1:51" x14ac:dyDescent="0.3">
      <c r="A11" s="30" t="e">
        <f>VLOOKUP(H11,'Accoount Code Combination'!$D:$L,8,FALSE)</f>
        <v>#N/A</v>
      </c>
      <c r="B11" s="31" t="e">
        <f>VLOOKUP(Table1[[#This Row],[Account Code]],'Accoount Code Combination'!$D:$L,9,FALSE)</f>
        <v>#N/A</v>
      </c>
      <c r="C11" s="31" t="str">
        <f>VLOOKUP(Table1[[#This Row],[Cost Center Code]],'Cost Center Group'!A:B,2,FALSE)</f>
        <v xml:space="preserve">President's Office </v>
      </c>
      <c r="D11" s="4">
        <v>847</v>
      </c>
      <c r="E11" s="78">
        <v>8470110</v>
      </c>
      <c r="F11" s="31"/>
      <c r="G11" s="4">
        <v>1</v>
      </c>
      <c r="H11" s="79"/>
      <c r="I11" s="106" t="e">
        <f>VLOOKUP(Table1[[#This Row],[Account Code]],'Accoount Code Combination'!$D:$H,2,FALSE)</f>
        <v>#N/A</v>
      </c>
      <c r="J11" s="78">
        <v>8470110</v>
      </c>
      <c r="K11" s="31"/>
      <c r="L11" s="31" t="e">
        <f>VLOOKUP(Table1[[#This Row],[Future-1 Description]],'Other '!E6:$F15,2,FALSE)</f>
        <v>#N/A</v>
      </c>
      <c r="M11" s="32"/>
      <c r="N11" s="32"/>
      <c r="O11" s="32"/>
      <c r="P11" s="86"/>
      <c r="Q11" s="86"/>
      <c r="R11" s="32"/>
      <c r="S11" s="32"/>
      <c r="T11" s="32"/>
      <c r="U11" s="32"/>
      <c r="V11" s="32"/>
      <c r="W11" s="32"/>
      <c r="X11" s="33"/>
      <c r="Y11" s="33"/>
      <c r="Z11" s="31">
        <f>Table1[[#This Row],[Quantity of measruing units]]*Table1[[#This Row],[Rate (expected)]]</f>
        <v>0</v>
      </c>
      <c r="AA11" s="31"/>
      <c r="AB11" s="31"/>
      <c r="AC11" s="34">
        <f>Table1[[#This Row],[Quantity (expected)]]*Table1[[#This Row],[Rate (expected)2]]*0.9</f>
        <v>0</v>
      </c>
      <c r="AD11" s="34">
        <f>Table1[[#This Row],[Quantity (expected)]]*Table1[[#This Row],[Rate (expected)2]]*0.8</f>
        <v>0</v>
      </c>
      <c r="AE11" s="34">
        <f>Table1[[#This Row],[Quantity (expected)]]*Table1[[#This Row],[Rate (expected)2]]*0.7</f>
        <v>0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1">
        <f>SUM(Table1[[#This Row],[Jan-23]:[Dec-23]])</f>
        <v>0</v>
      </c>
      <c r="AV11" s="121"/>
      <c r="AW11" s="32"/>
      <c r="AX11" s="35"/>
    </row>
    <row r="12" spans="1:51" x14ac:dyDescent="0.3">
      <c r="A12" s="30" t="e">
        <f>VLOOKUP(H12,'Accoount Code Combination'!$D:$L,8,FALSE)</f>
        <v>#N/A</v>
      </c>
      <c r="B12" s="31" t="e">
        <f>VLOOKUP(Table1[[#This Row],[Account Code]],'Accoount Code Combination'!$D:$L,9,FALSE)</f>
        <v>#N/A</v>
      </c>
      <c r="C12" s="31" t="str">
        <f>VLOOKUP(Table1[[#This Row],[Cost Center Code]],'Cost Center Group'!A:B,2,FALSE)</f>
        <v xml:space="preserve">President's Office </v>
      </c>
      <c r="D12" s="4">
        <v>847</v>
      </c>
      <c r="E12" s="78">
        <v>8470110</v>
      </c>
      <c r="F12" s="31"/>
      <c r="G12" s="4">
        <v>1</v>
      </c>
      <c r="H12" s="79"/>
      <c r="I12" s="106" t="e">
        <f>VLOOKUP(Table1[[#This Row],[Account Code]],'Accoount Code Combination'!$D:$H,2,FALSE)</f>
        <v>#N/A</v>
      </c>
      <c r="J12" s="78">
        <v>8470110</v>
      </c>
      <c r="K12" s="31"/>
      <c r="L12" s="31" t="e">
        <f>VLOOKUP(Table1[[#This Row],[Future-1 Description]],'Other '!E7:$F16,2,FALSE)</f>
        <v>#N/A</v>
      </c>
      <c r="M12" s="32"/>
      <c r="N12" s="32"/>
      <c r="O12" s="32"/>
      <c r="P12" s="86"/>
      <c r="Q12" s="86"/>
      <c r="R12" s="32"/>
      <c r="S12" s="32"/>
      <c r="T12" s="32"/>
      <c r="U12" s="32"/>
      <c r="V12" s="32"/>
      <c r="W12" s="32"/>
      <c r="X12" s="33"/>
      <c r="Y12" s="33"/>
      <c r="Z12" s="31">
        <f>Table1[[#This Row],[Quantity of measruing units]]*Table1[[#This Row],[Rate (expected)]]</f>
        <v>0</v>
      </c>
      <c r="AA12" s="31"/>
      <c r="AB12" s="31"/>
      <c r="AC12" s="34">
        <f>Table1[[#This Row],[Quantity (expected)]]*Table1[[#This Row],[Rate (expected)2]]*0.9</f>
        <v>0</v>
      </c>
      <c r="AD12" s="34">
        <f>Table1[[#This Row],[Quantity (expected)]]*Table1[[#This Row],[Rate (expected)2]]*0.8</f>
        <v>0</v>
      </c>
      <c r="AE12" s="34">
        <f>Table1[[#This Row],[Quantity (expected)]]*Table1[[#This Row],[Rate (expected)2]]*0.7</f>
        <v>0</v>
      </c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1">
        <f>SUM(Table1[[#This Row],[Jan-23]:[Dec-23]])</f>
        <v>0</v>
      </c>
      <c r="AV12" s="121"/>
      <c r="AW12" s="32"/>
      <c r="AX12" s="35"/>
    </row>
    <row r="13" spans="1:51" x14ac:dyDescent="0.3">
      <c r="A13" s="30" t="e">
        <f>VLOOKUP(H13,'Accoount Code Combination'!$D:$L,8,FALSE)</f>
        <v>#N/A</v>
      </c>
      <c r="B13" s="31" t="e">
        <f>VLOOKUP(Table1[[#This Row],[Account Code]],'Accoount Code Combination'!$D:$L,9,FALSE)</f>
        <v>#N/A</v>
      </c>
      <c r="C13" s="31" t="str">
        <f>VLOOKUP(Table1[[#This Row],[Cost Center Code]],'Cost Center Group'!A:B,2,FALSE)</f>
        <v xml:space="preserve">President's Office </v>
      </c>
      <c r="D13" s="4">
        <v>847</v>
      </c>
      <c r="E13" s="78">
        <v>8470110</v>
      </c>
      <c r="F13" s="31"/>
      <c r="G13" s="4">
        <v>1</v>
      </c>
      <c r="H13" s="79"/>
      <c r="I13" s="106" t="e">
        <f>VLOOKUP(Table1[[#This Row],[Account Code]],'Accoount Code Combination'!$D:$H,2,FALSE)</f>
        <v>#N/A</v>
      </c>
      <c r="J13" s="78">
        <v>8470110</v>
      </c>
      <c r="K13" s="31"/>
      <c r="L13" s="31" t="e">
        <f>VLOOKUP(Table1[[#This Row],[Future-1 Description]],'Other '!E8:$F17,2,FALSE)</f>
        <v>#N/A</v>
      </c>
      <c r="M13" s="32"/>
      <c r="N13" s="32"/>
      <c r="O13" s="32"/>
      <c r="P13" s="86"/>
      <c r="Q13" s="86"/>
      <c r="R13" s="32"/>
      <c r="S13" s="32"/>
      <c r="T13" s="32"/>
      <c r="U13" s="32"/>
      <c r="V13" s="32"/>
      <c r="W13" s="32"/>
      <c r="X13" s="33"/>
      <c r="Y13" s="33"/>
      <c r="Z13" s="31">
        <f>Table1[[#This Row],[Quantity of measruing units]]*Table1[[#This Row],[Rate (expected)]]</f>
        <v>0</v>
      </c>
      <c r="AA13" s="31"/>
      <c r="AB13" s="31"/>
      <c r="AC13" s="34">
        <f>Table1[[#This Row],[Quantity (expected)]]*Table1[[#This Row],[Rate (expected)2]]*0.9</f>
        <v>0</v>
      </c>
      <c r="AD13" s="34">
        <f>Table1[[#This Row],[Quantity (expected)]]*Table1[[#This Row],[Rate (expected)2]]*0.8</f>
        <v>0</v>
      </c>
      <c r="AE13" s="34">
        <f>Table1[[#This Row],[Quantity (expected)]]*Table1[[#This Row],[Rate (expected)2]]*0.7</f>
        <v>0</v>
      </c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1">
        <f>SUM(Table1[[#This Row],[Jan-23]:[Dec-23]])</f>
        <v>0</v>
      </c>
      <c r="AV13" s="121"/>
      <c r="AW13" s="32"/>
      <c r="AX13" s="35"/>
    </row>
    <row r="14" spans="1:51" x14ac:dyDescent="0.3">
      <c r="A14" s="30" t="e">
        <f>VLOOKUP(H14,'Accoount Code Combination'!$D:$L,8,FALSE)</f>
        <v>#N/A</v>
      </c>
      <c r="B14" s="31" t="e">
        <f>VLOOKUP(Table1[[#This Row],[Account Code]],'Accoount Code Combination'!$D:$L,9,FALSE)</f>
        <v>#N/A</v>
      </c>
      <c r="C14" s="31" t="str">
        <f>VLOOKUP(Table1[[#This Row],[Cost Center Code]],'Cost Center Group'!A:B,2,FALSE)</f>
        <v xml:space="preserve">President's Office </v>
      </c>
      <c r="D14" s="4">
        <v>847</v>
      </c>
      <c r="E14" s="78">
        <v>8470110</v>
      </c>
      <c r="F14" s="31"/>
      <c r="G14" s="4">
        <v>1</v>
      </c>
      <c r="H14" s="79"/>
      <c r="I14" s="106" t="e">
        <f>VLOOKUP(Table1[[#This Row],[Account Code]],'Accoount Code Combination'!$D:$H,2,FALSE)</f>
        <v>#N/A</v>
      </c>
      <c r="J14" s="78">
        <v>8470110</v>
      </c>
      <c r="K14" s="31"/>
      <c r="L14" s="31" t="e">
        <f>VLOOKUP(Table1[[#This Row],[Future-1 Description]],'Other '!E2:$F11,2,FALSE)</f>
        <v>#N/A</v>
      </c>
      <c r="M14" s="32"/>
      <c r="N14" s="32"/>
      <c r="O14" s="32"/>
      <c r="P14" s="86"/>
      <c r="Q14" s="86"/>
      <c r="R14" s="32"/>
      <c r="S14" s="32"/>
      <c r="T14" s="32"/>
      <c r="U14" s="32"/>
      <c r="V14" s="32"/>
      <c r="W14" s="32"/>
      <c r="X14" s="33"/>
      <c r="Y14" s="33"/>
      <c r="Z14" s="31">
        <f>Table1[[#This Row],[Quantity of measruing units]]*Table1[[#This Row],[Rate (expected)]]</f>
        <v>0</v>
      </c>
      <c r="AA14" s="31"/>
      <c r="AB14" s="31"/>
      <c r="AC14" s="34">
        <f>Table1[[#This Row],[Quantity (expected)]]*Table1[[#This Row],[Rate (expected)2]]*0.9</f>
        <v>0</v>
      </c>
      <c r="AD14" s="34">
        <f>Table1[[#This Row],[Quantity (expected)]]*Table1[[#This Row],[Rate (expected)2]]*0.8</f>
        <v>0</v>
      </c>
      <c r="AE14" s="34">
        <f>Table1[[#This Row],[Quantity (expected)]]*Table1[[#This Row],[Rate (expected)2]]*0.7</f>
        <v>0</v>
      </c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1">
        <f>SUM(Table1[[#This Row],[Jan-23]:[Dec-23]])</f>
        <v>0</v>
      </c>
      <c r="AV14" s="121"/>
      <c r="AW14" s="32"/>
      <c r="AX14" s="35"/>
    </row>
    <row r="15" spans="1:51" ht="26" x14ac:dyDescent="0.3">
      <c r="A15" s="3" t="str">
        <f>VLOOKUP(H15,'Accoount Code Combination'!$D:$L,8,FALSE)</f>
        <v>Academic</v>
      </c>
      <c r="B15" s="4" t="str">
        <f>VLOOKUP(Table1[[#This Row],[Account Code]],'Accoount Code Combination'!$D:$L,9,FALSE)</f>
        <v>No Applicable</v>
      </c>
      <c r="C15" s="4" t="str">
        <f>VLOOKUP(Table1[[#This Row],[Cost Center Code]],'Cost Center Group'!A:B,2,FALSE)</f>
        <v xml:space="preserve">President's Office </v>
      </c>
      <c r="D15" s="4">
        <v>847</v>
      </c>
      <c r="E15" s="78">
        <v>8470110</v>
      </c>
      <c r="F15" s="4" t="s">
        <v>180</v>
      </c>
      <c r="G15" s="4">
        <v>1</v>
      </c>
      <c r="H15" s="95">
        <v>420570</v>
      </c>
      <c r="I15" s="105" t="str">
        <f>IFERROR(VLOOKUP(Table1[[#This Row],[Account Code]],'Accoount Code Combination'!$D:$H,2,FALSE),"")</f>
        <v>Academic Collaborative Partnership Services</v>
      </c>
      <c r="J15" s="78">
        <v>8470110</v>
      </c>
      <c r="K15" s="4"/>
      <c r="L15" s="4" t="str">
        <f>IFERROR(VLOOKUP(Table1[[#This Row],[Future-1 Description]],'Other '!E3:$F12,2,FALSE),"")</f>
        <v/>
      </c>
      <c r="M15" s="4"/>
      <c r="N15" s="4"/>
      <c r="O15" s="4"/>
      <c r="P15" s="49">
        <v>0</v>
      </c>
      <c r="Q15" s="49">
        <v>1</v>
      </c>
      <c r="R15" s="4"/>
      <c r="S15" s="4"/>
      <c r="T15" s="4"/>
      <c r="U15" s="4"/>
      <c r="V15" s="4"/>
      <c r="W15" s="4"/>
      <c r="X15" s="5"/>
      <c r="Y15" s="5"/>
      <c r="Z15" s="8">
        <f>Table1[[#This Row],[Quantity of measruing units]]*Table1[[#This Row],[Rate (expected)]]</f>
        <v>0</v>
      </c>
      <c r="AA15" s="4"/>
      <c r="AB15" s="4"/>
      <c r="AC15" s="9">
        <f>Table1[[#This Row],[Quantity (expected)]]*Table1[[#This Row],[Rate (expected)2]]*0.9</f>
        <v>0</v>
      </c>
      <c r="AD15" s="9">
        <f>Table1[[#This Row],[Quantity (expected)]]*Table1[[#This Row],[Rate (expected)2]]*0.8</f>
        <v>0</v>
      </c>
      <c r="AE15" s="9">
        <f>Table1[[#This Row],[Quantity (expected)]]*Table1[[#This Row],[Rate (expected)2]]*0.7</f>
        <v>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8">
        <f>SUM(Table1[[#This Row],[Jan-23]:[Dec-23]])</f>
        <v>0</v>
      </c>
      <c r="AV15" s="105"/>
      <c r="AW15" s="4"/>
      <c r="AX15" s="7"/>
    </row>
    <row r="16" spans="1:51" x14ac:dyDescent="0.3">
      <c r="A16" s="30" t="str">
        <f>VLOOKUP(H16,'Accoount Code Combination'!$D:$L,8,FALSE)</f>
        <v>Other support</v>
      </c>
      <c r="B16" s="31" t="str">
        <f>VLOOKUP(Table1[[#This Row],[Account Code]],'Accoount Code Combination'!$D:$L,9,FALSE)</f>
        <v>Legal and professional fees</v>
      </c>
      <c r="C16" s="4" t="str">
        <f>VLOOKUP(Table1[[#This Row],[Cost Center Code]],'Cost Center Group'!A:B,2,FALSE)</f>
        <v xml:space="preserve">President's Office </v>
      </c>
      <c r="D16" s="4">
        <v>847</v>
      </c>
      <c r="E16" s="79">
        <v>8470110</v>
      </c>
      <c r="F16" s="32" t="s">
        <v>180</v>
      </c>
      <c r="G16" s="4">
        <v>1</v>
      </c>
      <c r="H16" s="95">
        <v>420900</v>
      </c>
      <c r="I16" s="106" t="str">
        <f>IFERROR(VLOOKUP(Table1[[#This Row],[Account Code]],'Accoount Code Combination'!$D:$H,2,FALSE),"")</f>
        <v>Legal services</v>
      </c>
      <c r="J16" s="79">
        <v>8470110</v>
      </c>
      <c r="K16" s="4"/>
      <c r="L16" s="4" t="str">
        <f>IFERROR(VLOOKUP(Table1[[#This Row],[Future-1 Description]],'Other '!E4:$F13,2,FALSE),"")</f>
        <v/>
      </c>
      <c r="M16" s="32"/>
      <c r="N16" s="32"/>
      <c r="O16" s="32"/>
      <c r="P16" s="49">
        <v>1845</v>
      </c>
      <c r="Q16" s="49">
        <v>1501</v>
      </c>
      <c r="R16" s="32"/>
      <c r="S16" s="4"/>
      <c r="T16" s="32"/>
      <c r="U16" s="32"/>
      <c r="V16" s="32"/>
      <c r="W16" s="32"/>
      <c r="X16" s="33"/>
      <c r="Y16" s="33"/>
      <c r="Z16" s="31">
        <f>Table1[[#This Row],[Quantity of measruing units]]*Table1[[#This Row],[Rate (expected)]]</f>
        <v>0</v>
      </c>
      <c r="AA16" s="31"/>
      <c r="AB16" s="31"/>
      <c r="AC16" s="34">
        <f>Table1[[#This Row],[Quantity (expected)]]*Table1[[#This Row],[Rate (expected)2]]*0.9</f>
        <v>0</v>
      </c>
      <c r="AD16" s="34">
        <f>Table1[[#This Row],[Quantity (expected)]]*Table1[[#This Row],[Rate (expected)2]]*0.8</f>
        <v>0</v>
      </c>
      <c r="AE16" s="34">
        <f>Table1[[#This Row],[Quantity (expected)]]*Table1[[#This Row],[Rate (expected)2]]*0.7</f>
        <v>0</v>
      </c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1">
        <f>SUM(Table1[[#This Row],[Jan-23]:[Dec-23]])</f>
        <v>0</v>
      </c>
      <c r="AV16" s="105"/>
      <c r="AW16" s="32"/>
      <c r="AX16" s="35"/>
    </row>
    <row r="17" spans="1:50" x14ac:dyDescent="0.3">
      <c r="A17" s="30" t="str">
        <f>VLOOKUP(H17,'Accoount Code Combination'!$D:$L,8,FALSE)</f>
        <v>HR</v>
      </c>
      <c r="B17" s="31" t="str">
        <f>VLOOKUP(Table1[[#This Row],[Account Code]],'Accoount Code Combination'!$D:$L,9,FALSE)</f>
        <v>Consultancy</v>
      </c>
      <c r="C17" s="4" t="str">
        <f>VLOOKUP(Table1[[#This Row],[Cost Center Code]],'Cost Center Group'!A:B,2,FALSE)</f>
        <v xml:space="preserve">President's Office </v>
      </c>
      <c r="D17" s="4">
        <v>847</v>
      </c>
      <c r="E17" s="79">
        <v>8470110</v>
      </c>
      <c r="F17" s="32" t="s">
        <v>180</v>
      </c>
      <c r="G17" s="4">
        <v>1</v>
      </c>
      <c r="H17" s="95">
        <v>421000</v>
      </c>
      <c r="I17" s="106" t="str">
        <f>IFERROR(VLOOKUP(Table1[[#This Row],[Account Code]],'Accoount Code Combination'!$D:$H,2,FALSE),"")</f>
        <v>Management consultancy</v>
      </c>
      <c r="J17" s="79">
        <v>8470110</v>
      </c>
      <c r="K17" s="4"/>
      <c r="L17" s="4" t="str">
        <f>IFERROR(VLOOKUP(Table1[[#This Row],[Future-1 Description]],'Other '!E5:$F14,2,FALSE),"")</f>
        <v/>
      </c>
      <c r="M17" s="32"/>
      <c r="N17" s="32"/>
      <c r="O17" s="32"/>
      <c r="P17" s="49">
        <v>0</v>
      </c>
      <c r="Q17" s="49">
        <v>1</v>
      </c>
      <c r="R17" s="32"/>
      <c r="S17" s="4"/>
      <c r="T17" s="32"/>
      <c r="U17" s="32"/>
      <c r="V17" s="32"/>
      <c r="W17" s="32"/>
      <c r="X17" s="33"/>
      <c r="Y17" s="33"/>
      <c r="Z17" s="31">
        <f>Table1[[#This Row],[Quantity of measruing units]]*Table1[[#This Row],[Rate (expected)]]</f>
        <v>0</v>
      </c>
      <c r="AA17" s="31"/>
      <c r="AB17" s="31"/>
      <c r="AC17" s="34">
        <f>Table1[[#This Row],[Quantity (expected)]]*Table1[[#This Row],[Rate (expected)2]]*0.9</f>
        <v>0</v>
      </c>
      <c r="AD17" s="34">
        <f>Table1[[#This Row],[Quantity (expected)]]*Table1[[#This Row],[Rate (expected)2]]*0.8</f>
        <v>0</v>
      </c>
      <c r="AE17" s="34">
        <f>Table1[[#This Row],[Quantity (expected)]]*Table1[[#This Row],[Rate (expected)2]]*0.7</f>
        <v>0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1">
        <f>SUM(Table1[[#This Row],[Jan-23]:[Dec-23]])</f>
        <v>0</v>
      </c>
      <c r="AV17" s="105"/>
      <c r="AW17" s="32"/>
      <c r="AX17" s="35"/>
    </row>
    <row r="18" spans="1:50" x14ac:dyDescent="0.3">
      <c r="A18" s="30" t="str">
        <f>VLOOKUP(H18,'Accoount Code Combination'!$D:$L,8,FALSE)</f>
        <v>Academic</v>
      </c>
      <c r="B18" s="31" t="str">
        <f>VLOOKUP(Table1[[#This Row],[Account Code]],'Accoount Code Combination'!$D:$L,9,FALSE)</f>
        <v>No Applicable</v>
      </c>
      <c r="C18" s="4" t="str">
        <f>VLOOKUP(Table1[[#This Row],[Cost Center Code]],'Cost Center Group'!A:B,2,FALSE)</f>
        <v xml:space="preserve">President's Office </v>
      </c>
      <c r="D18" s="4">
        <v>847</v>
      </c>
      <c r="E18" s="79">
        <v>8470110</v>
      </c>
      <c r="F18" s="32" t="s">
        <v>180</v>
      </c>
      <c r="G18" s="4">
        <v>1</v>
      </c>
      <c r="H18" s="95">
        <v>421700</v>
      </c>
      <c r="I18" s="106" t="str">
        <f>IFERROR(VLOOKUP(Table1[[#This Row],[Account Code]],'Accoount Code Combination'!$D:$H,2,FALSE),"")</f>
        <v>Standards certification (e.g. ISO)</v>
      </c>
      <c r="J18" s="79">
        <v>8470110</v>
      </c>
      <c r="K18" s="4"/>
      <c r="L18" s="4" t="str">
        <f>IFERROR(VLOOKUP(Table1[[#This Row],[Future-1 Description]],'Other '!E6:$F15,2,FALSE),"")</f>
        <v/>
      </c>
      <c r="M18" s="32"/>
      <c r="N18" s="32"/>
      <c r="O18" s="32"/>
      <c r="P18" s="49">
        <v>0</v>
      </c>
      <c r="Q18" s="49">
        <v>25000</v>
      </c>
      <c r="R18" s="32"/>
      <c r="S18" s="4"/>
      <c r="T18" s="32"/>
      <c r="U18" s="32"/>
      <c r="V18" s="32"/>
      <c r="W18" s="32"/>
      <c r="X18" s="33"/>
      <c r="Y18" s="33"/>
      <c r="Z18" s="31">
        <f>Table1[[#This Row],[Quantity of measruing units]]*Table1[[#This Row],[Rate (expected)]]</f>
        <v>0</v>
      </c>
      <c r="AA18" s="31"/>
      <c r="AB18" s="31"/>
      <c r="AC18" s="34">
        <f>Table1[[#This Row],[Quantity (expected)]]*Table1[[#This Row],[Rate (expected)2]]*0.9</f>
        <v>0</v>
      </c>
      <c r="AD18" s="34">
        <f>Table1[[#This Row],[Quantity (expected)]]*Table1[[#This Row],[Rate (expected)2]]*0.8</f>
        <v>0</v>
      </c>
      <c r="AE18" s="34">
        <f>Table1[[#This Row],[Quantity (expected)]]*Table1[[#This Row],[Rate (expected)2]]*0.7</f>
        <v>0</v>
      </c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1">
        <f>SUM(Table1[[#This Row],[Jan-23]:[Dec-23]])</f>
        <v>0</v>
      </c>
      <c r="AV18" s="105"/>
      <c r="AW18" s="32"/>
      <c r="AX18" s="35"/>
    </row>
    <row r="19" spans="1:50" x14ac:dyDescent="0.3">
      <c r="A19" s="30" t="str">
        <f>VLOOKUP(H19,'Accoount Code Combination'!$D:$L,8,FALSE)</f>
        <v>Communiction &amp; Marketing</v>
      </c>
      <c r="B19" s="31" t="str">
        <f>VLOOKUP(Table1[[#This Row],[Account Code]],'Accoount Code Combination'!$D:$L,9,FALSE)</f>
        <v>Advertising</v>
      </c>
      <c r="C19" s="4" t="str">
        <f>VLOOKUP(Table1[[#This Row],[Cost Center Code]],'Cost Center Group'!A:B,2,FALSE)</f>
        <v xml:space="preserve">President's Office </v>
      </c>
      <c r="D19" s="4">
        <v>847</v>
      </c>
      <c r="E19" s="79">
        <v>8470110</v>
      </c>
      <c r="F19" s="32" t="s">
        <v>180</v>
      </c>
      <c r="G19" s="4">
        <v>1</v>
      </c>
      <c r="H19" s="95">
        <v>425100</v>
      </c>
      <c r="I19" s="106" t="str">
        <f>IFERROR(VLOOKUP(Table1[[#This Row],[Account Code]],'Accoount Code Combination'!$D:$H,2,FALSE),"")</f>
        <v>Advertising</v>
      </c>
      <c r="J19" s="79">
        <v>8470110</v>
      </c>
      <c r="K19" s="4"/>
      <c r="L19" s="4" t="str">
        <f>IFERROR(VLOOKUP(Table1[[#This Row],[Future-1 Description]],'Other '!E7:$F16,2,FALSE),"")</f>
        <v/>
      </c>
      <c r="M19" s="32"/>
      <c r="N19" s="32"/>
      <c r="O19" s="32"/>
      <c r="P19" s="49">
        <v>0</v>
      </c>
      <c r="Q19" s="49">
        <v>0</v>
      </c>
      <c r="R19" s="32"/>
      <c r="S19" s="4"/>
      <c r="T19" s="32"/>
      <c r="U19" s="32"/>
      <c r="V19" s="32"/>
      <c r="W19" s="32"/>
      <c r="X19" s="33"/>
      <c r="Y19" s="33"/>
      <c r="Z19" s="31">
        <f>Table1[[#This Row],[Quantity of measruing units]]*Table1[[#This Row],[Rate (expected)]]</f>
        <v>0</v>
      </c>
      <c r="AA19" s="31"/>
      <c r="AB19" s="31"/>
      <c r="AC19" s="34">
        <f>Table1[[#This Row],[Quantity (expected)]]*Table1[[#This Row],[Rate (expected)2]]*0.9</f>
        <v>0</v>
      </c>
      <c r="AD19" s="34">
        <f>Table1[[#This Row],[Quantity (expected)]]*Table1[[#This Row],[Rate (expected)2]]*0.8</f>
        <v>0</v>
      </c>
      <c r="AE19" s="34">
        <f>Table1[[#This Row],[Quantity (expected)]]*Table1[[#This Row],[Rate (expected)2]]*0.7</f>
        <v>0</v>
      </c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1">
        <f>SUM(Table1[[#This Row],[Jan-23]:[Dec-23]])</f>
        <v>0</v>
      </c>
      <c r="AV19" s="105"/>
      <c r="AW19" s="32"/>
      <c r="AX19" s="35"/>
    </row>
    <row r="20" spans="1:50" ht="26" x14ac:dyDescent="0.3">
      <c r="A20" s="30" t="str">
        <f>VLOOKUP(H20,'Accoount Code Combination'!$D:$L,8,FALSE)</f>
        <v>Communiction &amp; Marketing</v>
      </c>
      <c r="B20" s="31" t="str">
        <f>VLOOKUP(Table1[[#This Row],[Account Code]],'Accoount Code Combination'!$D:$L,9,FALSE)</f>
        <v>Events</v>
      </c>
      <c r="C20" s="4" t="str">
        <f>VLOOKUP(Table1[[#This Row],[Cost Center Code]],'Cost Center Group'!A:B,2,FALSE)</f>
        <v xml:space="preserve">President's Office </v>
      </c>
      <c r="D20" s="4">
        <v>847</v>
      </c>
      <c r="E20" s="79">
        <v>8470110</v>
      </c>
      <c r="F20" s="32" t="s">
        <v>180</v>
      </c>
      <c r="G20" s="4">
        <v>1</v>
      </c>
      <c r="H20" s="95">
        <v>425510</v>
      </c>
      <c r="I20" s="106" t="str">
        <f>IFERROR(VLOOKUP(Table1[[#This Row],[Account Code]],'Accoount Code Combination'!$D:$H,2,FALSE),"")</f>
        <v>Conferences, seminars and exhibitions and other events: - Local Events</v>
      </c>
      <c r="J20" s="79">
        <v>8470110</v>
      </c>
      <c r="K20" s="4"/>
      <c r="L20" s="4" t="str">
        <f>IFERROR(VLOOKUP(Table1[[#This Row],[Future-1 Description]],'Other '!E8:$F17,2,FALSE),"")</f>
        <v/>
      </c>
      <c r="M20" s="32"/>
      <c r="N20" s="32"/>
      <c r="O20" s="32"/>
      <c r="P20" s="49">
        <v>277368</v>
      </c>
      <c r="Q20" s="49">
        <v>0</v>
      </c>
      <c r="R20" s="32"/>
      <c r="S20" s="4"/>
      <c r="T20" s="32"/>
      <c r="U20" s="32"/>
      <c r="V20" s="32"/>
      <c r="W20" s="32"/>
      <c r="X20" s="33"/>
      <c r="Y20" s="33"/>
      <c r="Z20" s="31">
        <f>Table1[[#This Row],[Quantity of measruing units]]*Table1[[#This Row],[Rate (expected)]]</f>
        <v>0</v>
      </c>
      <c r="AA20" s="31"/>
      <c r="AB20" s="31"/>
      <c r="AC20" s="34">
        <f>Table1[[#This Row],[Quantity (expected)]]*Table1[[#This Row],[Rate (expected)2]]*0.9</f>
        <v>0</v>
      </c>
      <c r="AD20" s="34">
        <f>Table1[[#This Row],[Quantity (expected)]]*Table1[[#This Row],[Rate (expected)2]]*0.8</f>
        <v>0</v>
      </c>
      <c r="AE20" s="34">
        <f>Table1[[#This Row],[Quantity (expected)]]*Table1[[#This Row],[Rate (expected)2]]*0.7</f>
        <v>0</v>
      </c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1">
        <f>SUM(Table1[[#This Row],[Jan-23]:[Dec-23]])</f>
        <v>0</v>
      </c>
      <c r="AV20" s="105"/>
      <c r="AW20" s="32"/>
      <c r="AX20" s="35"/>
    </row>
    <row r="21" spans="1:50" ht="26" x14ac:dyDescent="0.3">
      <c r="A21" s="30" t="str">
        <f>VLOOKUP(H21,'Accoount Code Combination'!$D:$L,8,FALSE)</f>
        <v>Communiction &amp; Marketing</v>
      </c>
      <c r="B21" s="31" t="str">
        <f>VLOOKUP(Table1[[#This Row],[Account Code]],'Accoount Code Combination'!$D:$L,9,FALSE)</f>
        <v>No Applicable</v>
      </c>
      <c r="C21" s="4" t="str">
        <f>VLOOKUP(Table1[[#This Row],[Cost Center Code]],'Cost Center Group'!A:B,2,FALSE)</f>
        <v xml:space="preserve">President's Office </v>
      </c>
      <c r="D21" s="4">
        <v>847</v>
      </c>
      <c r="E21" s="79">
        <v>8470110</v>
      </c>
      <c r="F21" s="32" t="s">
        <v>180</v>
      </c>
      <c r="G21" s="4">
        <v>1</v>
      </c>
      <c r="H21" s="95">
        <v>425550</v>
      </c>
      <c r="I21" s="106" t="str">
        <f>IFERROR(VLOOKUP(Table1[[#This Row],[Account Code]],'Accoount Code Combination'!$D:$H,2,FALSE),"")</f>
        <v>Conferences, seminars and exhibitions and other events: - Overseas event</v>
      </c>
      <c r="J21" s="79">
        <v>8470110</v>
      </c>
      <c r="K21" s="4"/>
      <c r="L21" s="4" t="str">
        <f>IFERROR(VLOOKUP(Table1[[#This Row],[Future-1 Description]],'Other '!E9:$F18,2,FALSE),"")</f>
        <v/>
      </c>
      <c r="M21" s="32"/>
      <c r="N21" s="32"/>
      <c r="O21" s="32"/>
      <c r="P21" s="49">
        <v>0</v>
      </c>
      <c r="Q21" s="49">
        <v>0</v>
      </c>
      <c r="R21" s="32"/>
      <c r="S21" s="4"/>
      <c r="T21" s="32"/>
      <c r="U21" s="32"/>
      <c r="V21" s="32"/>
      <c r="W21" s="32"/>
      <c r="X21" s="33"/>
      <c r="Y21" s="33"/>
      <c r="Z21" s="31">
        <f>Table1[[#This Row],[Quantity of measruing units]]*Table1[[#This Row],[Rate (expected)]]</f>
        <v>0</v>
      </c>
      <c r="AA21" s="31"/>
      <c r="AB21" s="31"/>
      <c r="AC21" s="34">
        <f>Table1[[#This Row],[Quantity (expected)]]*Table1[[#This Row],[Rate (expected)2]]*0.9</f>
        <v>0</v>
      </c>
      <c r="AD21" s="34">
        <f>Table1[[#This Row],[Quantity (expected)]]*Table1[[#This Row],[Rate (expected)2]]*0.8</f>
        <v>0</v>
      </c>
      <c r="AE21" s="34">
        <f>Table1[[#This Row],[Quantity (expected)]]*Table1[[#This Row],[Rate (expected)2]]*0.7</f>
        <v>0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1">
        <f>SUM(Table1[[#This Row],[Jan-23]:[Dec-23]])</f>
        <v>0</v>
      </c>
      <c r="AV21" s="105"/>
      <c r="AW21" s="32"/>
      <c r="AX21" s="35"/>
    </row>
    <row r="22" spans="1:50" x14ac:dyDescent="0.3">
      <c r="A22" s="30" t="str">
        <f>VLOOKUP(H22,'Accoount Code Combination'!$D:$L,8,FALSE)</f>
        <v>Academic</v>
      </c>
      <c r="B22" s="31" t="str">
        <f>VLOOKUP(Table1[[#This Row],[Account Code]],'Accoount Code Combination'!$D:$L,9,FALSE)</f>
        <v>No Applicable</v>
      </c>
      <c r="C22" s="4" t="str">
        <f>VLOOKUP(Table1[[#This Row],[Cost Center Code]],'Cost Center Group'!A:B,2,FALSE)</f>
        <v xml:space="preserve">President's Office </v>
      </c>
      <c r="D22" s="4">
        <v>847</v>
      </c>
      <c r="E22" s="79">
        <v>8470110</v>
      </c>
      <c r="F22" s="32" t="s">
        <v>180</v>
      </c>
      <c r="G22" s="4">
        <v>1</v>
      </c>
      <c r="H22" s="95">
        <v>425770</v>
      </c>
      <c r="I22" s="106" t="str">
        <f>IFERROR(VLOOKUP(Table1[[#This Row],[Account Code]],'Accoount Code Combination'!$D:$H,2,FALSE),"")</f>
        <v>Academic Missions - Combined expenses</v>
      </c>
      <c r="J22" s="79">
        <v>8470110</v>
      </c>
      <c r="K22" s="4"/>
      <c r="L22" s="4" t="str">
        <f>IFERROR(VLOOKUP(Table1[[#This Row],[Future-1 Description]],'Other '!E10:$F19,2,FALSE),"")</f>
        <v/>
      </c>
      <c r="M22" s="32"/>
      <c r="N22" s="32"/>
      <c r="O22" s="32"/>
      <c r="P22" s="49">
        <v>-13420</v>
      </c>
      <c r="Q22" s="49">
        <v>0</v>
      </c>
      <c r="R22" s="32"/>
      <c r="S22" s="4"/>
      <c r="T22" s="32"/>
      <c r="U22" s="32"/>
      <c r="V22" s="32"/>
      <c r="W22" s="32"/>
      <c r="X22" s="33"/>
      <c r="Y22" s="33"/>
      <c r="Z22" s="31">
        <f>Table1[[#This Row],[Quantity of measruing units]]*Table1[[#This Row],[Rate (expected)]]</f>
        <v>0</v>
      </c>
      <c r="AA22" s="31"/>
      <c r="AB22" s="31"/>
      <c r="AC22" s="34">
        <f>Table1[[#This Row],[Quantity (expected)]]*Table1[[#This Row],[Rate (expected)2]]*0.9</f>
        <v>0</v>
      </c>
      <c r="AD22" s="34">
        <f>Table1[[#This Row],[Quantity (expected)]]*Table1[[#This Row],[Rate (expected)2]]*0.8</f>
        <v>0</v>
      </c>
      <c r="AE22" s="34">
        <f>Table1[[#This Row],[Quantity (expected)]]*Table1[[#This Row],[Rate (expected)2]]*0.7</f>
        <v>0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1">
        <f>SUM(Table1[[#This Row],[Jan-23]:[Dec-23]])</f>
        <v>0</v>
      </c>
      <c r="AV22" s="105"/>
      <c r="AW22" s="32"/>
      <c r="AX22" s="35"/>
    </row>
    <row r="23" spans="1:50" x14ac:dyDescent="0.3">
      <c r="A23" s="30" t="str">
        <f>VLOOKUP(H23,'Accoount Code Combination'!$D:$L,8,FALSE)</f>
        <v>Other support</v>
      </c>
      <c r="B23" s="31" t="str">
        <f>VLOOKUP(Table1[[#This Row],[Account Code]],'Accoount Code Combination'!$D:$L,9,FALSE)</f>
        <v>No Applicable</v>
      </c>
      <c r="C23" s="4" t="str">
        <f>VLOOKUP(Table1[[#This Row],[Cost Center Code]],'Cost Center Group'!A:B,2,FALSE)</f>
        <v xml:space="preserve">President's Office </v>
      </c>
      <c r="D23" s="4">
        <v>847</v>
      </c>
      <c r="E23" s="79">
        <v>8470110</v>
      </c>
      <c r="F23" s="32" t="s">
        <v>180</v>
      </c>
      <c r="G23" s="4">
        <v>1</v>
      </c>
      <c r="H23" s="95">
        <v>425900</v>
      </c>
      <c r="I23" s="106" t="str">
        <f>IFERROR(VLOOKUP(Table1[[#This Row],[Account Code]],'Accoount Code Combination'!$D:$H,2,FALSE),"")</f>
        <v>Entertainment and hospitality</v>
      </c>
      <c r="J23" s="79">
        <v>8470110</v>
      </c>
      <c r="K23" s="4"/>
      <c r="L23" s="4" t="str">
        <f>IFERROR(VLOOKUP(Table1[[#This Row],[Future-1 Description]],'Other '!E11:$F20,2,FALSE),"")</f>
        <v/>
      </c>
      <c r="M23" s="32"/>
      <c r="N23" s="32"/>
      <c r="O23" s="32"/>
      <c r="P23" s="49">
        <v>13355.7</v>
      </c>
      <c r="Q23" s="49">
        <v>10000</v>
      </c>
      <c r="R23" s="32"/>
      <c r="S23" s="4"/>
      <c r="T23" s="32"/>
      <c r="U23" s="32"/>
      <c r="V23" s="32"/>
      <c r="W23" s="32"/>
      <c r="X23" s="33"/>
      <c r="Y23" s="33"/>
      <c r="Z23" s="31">
        <f>Table1[[#This Row],[Quantity of measruing units]]*Table1[[#This Row],[Rate (expected)]]</f>
        <v>0</v>
      </c>
      <c r="AA23" s="31"/>
      <c r="AB23" s="31"/>
      <c r="AC23" s="34">
        <f>Table1[[#This Row],[Quantity (expected)]]*Table1[[#This Row],[Rate (expected)2]]*0.9</f>
        <v>0</v>
      </c>
      <c r="AD23" s="34">
        <f>Table1[[#This Row],[Quantity (expected)]]*Table1[[#This Row],[Rate (expected)2]]*0.8</f>
        <v>0</v>
      </c>
      <c r="AE23" s="34">
        <f>Table1[[#This Row],[Quantity (expected)]]*Table1[[#This Row],[Rate (expected)2]]*0.7</f>
        <v>0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1">
        <f>SUM(Table1[[#This Row],[Jan-23]:[Dec-23]])</f>
        <v>0</v>
      </c>
      <c r="AV23" s="105"/>
      <c r="AW23" s="32"/>
      <c r="AX23" s="35"/>
    </row>
    <row r="24" spans="1:50" x14ac:dyDescent="0.3">
      <c r="A24" s="30" t="str">
        <f>VLOOKUP(H24,'Accoount Code Combination'!$D:$L,8,FALSE)</f>
        <v>IT</v>
      </c>
      <c r="B24" s="31" t="str">
        <f>VLOOKUP(Table1[[#This Row],[Account Code]],'Accoount Code Combination'!$D:$L,9,FALSE)</f>
        <v>Software Operating</v>
      </c>
      <c r="C24" s="4" t="str">
        <f>VLOOKUP(Table1[[#This Row],[Cost Center Code]],'Cost Center Group'!A:B,2,FALSE)</f>
        <v xml:space="preserve">President's Office </v>
      </c>
      <c r="D24" s="4">
        <v>847</v>
      </c>
      <c r="E24" s="79">
        <v>8470110</v>
      </c>
      <c r="F24" s="32" t="s">
        <v>180</v>
      </c>
      <c r="G24" s="4">
        <v>1</v>
      </c>
      <c r="H24" s="95">
        <v>426610</v>
      </c>
      <c r="I24" s="106" t="str">
        <f>IFERROR(VLOOKUP(Table1[[#This Row],[Account Code]],'Accoount Code Combination'!$D:$H,2,FALSE),"")</f>
        <v>Computer software licenses</v>
      </c>
      <c r="J24" s="79">
        <v>8470110</v>
      </c>
      <c r="K24" s="4"/>
      <c r="L24" s="4" t="str">
        <f>IFERROR(VLOOKUP(Table1[[#This Row],[Future-1 Description]],'Other '!E12:$F21,2,FALSE),"")</f>
        <v/>
      </c>
      <c r="M24" s="32"/>
      <c r="N24" s="32"/>
      <c r="O24" s="32"/>
      <c r="P24" s="49">
        <v>42239.5</v>
      </c>
      <c r="Q24" s="49">
        <v>80204</v>
      </c>
      <c r="R24" s="32"/>
      <c r="S24" s="4"/>
      <c r="T24" s="32"/>
      <c r="U24" s="32"/>
      <c r="V24" s="32"/>
      <c r="W24" s="32"/>
      <c r="X24" s="33"/>
      <c r="Y24" s="33"/>
      <c r="Z24" s="31">
        <f>Table1[[#This Row],[Quantity of measruing units]]*Table1[[#This Row],[Rate (expected)]]</f>
        <v>0</v>
      </c>
      <c r="AA24" s="31"/>
      <c r="AB24" s="31"/>
      <c r="AC24" s="34">
        <f>Table1[[#This Row],[Quantity (expected)]]*Table1[[#This Row],[Rate (expected)2]]*0.9</f>
        <v>0</v>
      </c>
      <c r="AD24" s="34">
        <f>Table1[[#This Row],[Quantity (expected)]]*Table1[[#This Row],[Rate (expected)2]]*0.8</f>
        <v>0</v>
      </c>
      <c r="AE24" s="34">
        <f>Table1[[#This Row],[Quantity (expected)]]*Table1[[#This Row],[Rate (expected)2]]*0.7</f>
        <v>0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1">
        <f>SUM(Table1[[#This Row],[Jan-23]:[Dec-23]])</f>
        <v>0</v>
      </c>
      <c r="AV24" s="105"/>
      <c r="AW24" s="32"/>
      <c r="AX24" s="35"/>
    </row>
    <row r="25" spans="1:50" ht="26" x14ac:dyDescent="0.3">
      <c r="A25" s="30" t="str">
        <f>VLOOKUP(H25,'Accoount Code Combination'!$D:$L,8,FALSE)</f>
        <v>Academic</v>
      </c>
      <c r="B25" s="31" t="str">
        <f>VLOOKUP(Table1[[#This Row],[Account Code]],'Accoount Code Combination'!$D:$L,9,FALSE)</f>
        <v>No Applicable</v>
      </c>
      <c r="C25" s="4" t="str">
        <f>VLOOKUP(Table1[[#This Row],[Cost Center Code]],'Cost Center Group'!A:B,2,FALSE)</f>
        <v xml:space="preserve">President's Office </v>
      </c>
      <c r="D25" s="4">
        <v>847</v>
      </c>
      <c r="E25" s="79">
        <v>8470110</v>
      </c>
      <c r="F25" s="32" t="s">
        <v>180</v>
      </c>
      <c r="G25" s="4">
        <v>1</v>
      </c>
      <c r="H25" s="95">
        <v>427710</v>
      </c>
      <c r="I25" s="106" t="str">
        <f>IFERROR(VLOOKUP(Table1[[#This Row],[Account Code]],'Accoount Code Combination'!$D:$H,2,FALSE),"")</f>
        <v>Subscriptions and membership fees: Trade organisations</v>
      </c>
      <c r="J25" s="79">
        <v>8470110</v>
      </c>
      <c r="K25" s="4"/>
      <c r="L25" s="4" t="str">
        <f>IFERROR(VLOOKUP(Table1[[#This Row],[Future-1 Description]],'Other '!E13:$F22,2,FALSE),"")</f>
        <v/>
      </c>
      <c r="M25" s="32"/>
      <c r="N25" s="32"/>
      <c r="O25" s="32"/>
      <c r="P25" s="49">
        <v>3882.17</v>
      </c>
      <c r="Q25" s="49">
        <v>1880</v>
      </c>
      <c r="R25" s="32"/>
      <c r="S25" s="4"/>
      <c r="T25" s="32"/>
      <c r="U25" s="32"/>
      <c r="V25" s="32"/>
      <c r="W25" s="32"/>
      <c r="X25" s="33"/>
      <c r="Y25" s="33"/>
      <c r="Z25" s="31">
        <f>Table1[[#This Row],[Quantity of measruing units]]*Table1[[#This Row],[Rate (expected)]]</f>
        <v>0</v>
      </c>
      <c r="AA25" s="31"/>
      <c r="AB25" s="31"/>
      <c r="AC25" s="34">
        <f>Table1[[#This Row],[Quantity (expected)]]*Table1[[#This Row],[Rate (expected)2]]*0.9</f>
        <v>0</v>
      </c>
      <c r="AD25" s="34">
        <f>Table1[[#This Row],[Quantity (expected)]]*Table1[[#This Row],[Rate (expected)2]]*0.8</f>
        <v>0</v>
      </c>
      <c r="AE25" s="34">
        <f>Table1[[#This Row],[Quantity (expected)]]*Table1[[#This Row],[Rate (expected)2]]*0.7</f>
        <v>0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1">
        <f>SUM(Table1[[#This Row],[Jan-23]:[Dec-23]])</f>
        <v>0</v>
      </c>
      <c r="AV25" s="105"/>
      <c r="AW25" s="32"/>
      <c r="AX25" s="35"/>
    </row>
    <row r="26" spans="1:50" x14ac:dyDescent="0.3">
      <c r="A26" s="30" t="str">
        <f>VLOOKUP(H26,'Accoount Code Combination'!$D:$L,8,FALSE)</f>
        <v>Other support</v>
      </c>
      <c r="B26" s="31" t="str">
        <f>VLOOKUP(Table1[[#This Row],[Account Code]],'Accoount Code Combination'!$D:$L,9,FALSE)</f>
        <v>No Applicable</v>
      </c>
      <c r="C26" s="4" t="str">
        <f>VLOOKUP(Table1[[#This Row],[Cost Center Code]],'Cost Center Group'!A:B,2,FALSE)</f>
        <v xml:space="preserve">President's Office </v>
      </c>
      <c r="D26" s="4">
        <v>847</v>
      </c>
      <c r="E26" s="79">
        <v>8470110</v>
      </c>
      <c r="F26" s="32" t="s">
        <v>180</v>
      </c>
      <c r="G26" s="4">
        <v>1</v>
      </c>
      <c r="H26" s="95">
        <v>427900</v>
      </c>
      <c r="I26" s="106" t="str">
        <f>IFERROR(VLOOKUP(Table1[[#This Row],[Account Code]],'Accoount Code Combination'!$D:$H,2,FALSE),"")</f>
        <v>Translation and interpretation service</v>
      </c>
      <c r="J26" s="79">
        <v>8470110</v>
      </c>
      <c r="K26" s="4"/>
      <c r="L26" s="4" t="str">
        <f>IFERROR(VLOOKUP(Table1[[#This Row],[Future-1 Description]],'Other '!E14:$F23,2,FALSE),"")</f>
        <v/>
      </c>
      <c r="M26" s="32"/>
      <c r="N26" s="32"/>
      <c r="O26" s="32"/>
      <c r="P26" s="49">
        <v>0</v>
      </c>
      <c r="Q26" s="49">
        <v>12585</v>
      </c>
      <c r="R26" s="32"/>
      <c r="S26" s="4"/>
      <c r="T26" s="32"/>
      <c r="U26" s="32"/>
      <c r="V26" s="32"/>
      <c r="W26" s="32"/>
      <c r="X26" s="33"/>
      <c r="Y26" s="33"/>
      <c r="Z26" s="31">
        <f>Table1[[#This Row],[Quantity of measruing units]]*Table1[[#This Row],[Rate (expected)]]</f>
        <v>0</v>
      </c>
      <c r="AA26" s="31"/>
      <c r="AB26" s="31"/>
      <c r="AC26" s="34">
        <f>Table1[[#This Row],[Quantity (expected)]]*Table1[[#This Row],[Rate (expected)2]]*0.9</f>
        <v>0</v>
      </c>
      <c r="AD26" s="34">
        <f>Table1[[#This Row],[Quantity (expected)]]*Table1[[#This Row],[Rate (expected)2]]*0.8</f>
        <v>0</v>
      </c>
      <c r="AE26" s="34">
        <f>Table1[[#This Row],[Quantity (expected)]]*Table1[[#This Row],[Rate (expected)2]]*0.7</f>
        <v>0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1">
        <f>SUM(Table1[[#This Row],[Jan-23]:[Dec-23]])</f>
        <v>0</v>
      </c>
      <c r="AV26" s="105"/>
      <c r="AW26" s="32"/>
      <c r="AX26" s="35"/>
    </row>
    <row r="27" spans="1:50" x14ac:dyDescent="0.3">
      <c r="A27" s="30" t="str">
        <f>VLOOKUP(H27,'Accoount Code Combination'!$D:$L,8,FALSE)</f>
        <v xml:space="preserve">Academic </v>
      </c>
      <c r="B27" s="31" t="str">
        <f>VLOOKUP(Table1[[#This Row],[Account Code]],'Accoount Code Combination'!$D:$L,9,FALSE)</f>
        <v>No Applicable</v>
      </c>
      <c r="C27" s="4" t="str">
        <f>VLOOKUP(Table1[[#This Row],[Cost Center Code]],'Cost Center Group'!A:B,2,FALSE)</f>
        <v xml:space="preserve">President's Office </v>
      </c>
      <c r="D27" s="4">
        <v>847</v>
      </c>
      <c r="E27" s="79">
        <v>8470110</v>
      </c>
      <c r="F27" s="32" t="s">
        <v>180</v>
      </c>
      <c r="G27" s="4">
        <v>1</v>
      </c>
      <c r="H27" s="95">
        <v>428090</v>
      </c>
      <c r="I27" s="106" t="str">
        <f>IFERROR(VLOOKUP(Table1[[#This Row],[Account Code]],'Accoount Code Combination'!$D:$H,2,FALSE),"")</f>
        <v>Business Travel - Combined expenses</v>
      </c>
      <c r="J27" s="79">
        <v>8470110</v>
      </c>
      <c r="K27" s="4"/>
      <c r="L27" s="4" t="str">
        <f>IFERROR(VLOOKUP(Table1[[#This Row],[Future-1 Description]],'Other '!E15:$F24,2,FALSE),"")</f>
        <v/>
      </c>
      <c r="M27" s="32"/>
      <c r="N27" s="32"/>
      <c r="O27" s="32"/>
      <c r="P27" s="49">
        <v>64375.44</v>
      </c>
      <c r="Q27" s="49">
        <v>64381</v>
      </c>
      <c r="R27" s="32"/>
      <c r="S27" s="4"/>
      <c r="T27" s="32"/>
      <c r="U27" s="32"/>
      <c r="V27" s="32"/>
      <c r="W27" s="32"/>
      <c r="X27" s="33"/>
      <c r="Y27" s="33"/>
      <c r="Z27" s="31">
        <f>Table1[[#This Row],[Quantity of measruing units]]*Table1[[#This Row],[Rate (expected)]]</f>
        <v>0</v>
      </c>
      <c r="AA27" s="31"/>
      <c r="AB27" s="31"/>
      <c r="AC27" s="34">
        <f>Table1[[#This Row],[Quantity (expected)]]*Table1[[#This Row],[Rate (expected)2]]*0.9</f>
        <v>0</v>
      </c>
      <c r="AD27" s="34">
        <f>Table1[[#This Row],[Quantity (expected)]]*Table1[[#This Row],[Rate (expected)2]]*0.8</f>
        <v>0</v>
      </c>
      <c r="AE27" s="34">
        <f>Table1[[#This Row],[Quantity (expected)]]*Table1[[#This Row],[Rate (expected)2]]*0.7</f>
        <v>0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1">
        <f>SUM(Table1[[#This Row],[Jan-23]:[Dec-23]])</f>
        <v>0</v>
      </c>
      <c r="AV27" s="105"/>
      <c r="AW27" s="32"/>
      <c r="AX27" s="35"/>
    </row>
    <row r="28" spans="1:50" x14ac:dyDescent="0.3">
      <c r="A28" s="30" t="str">
        <f>VLOOKUP(H28,'Accoount Code Combination'!$D:$L,8,FALSE)</f>
        <v>Research</v>
      </c>
      <c r="B28" s="31" t="str">
        <f>VLOOKUP(Table1[[#This Row],[Account Code]],'Accoount Code Combination'!$D:$L,9,FALSE)</f>
        <v>No Applicable</v>
      </c>
      <c r="C28" s="4" t="str">
        <f>VLOOKUP(Table1[[#This Row],[Cost Center Code]],'Cost Center Group'!A:B,2,FALSE)</f>
        <v xml:space="preserve">President's Office </v>
      </c>
      <c r="D28" s="4">
        <v>847</v>
      </c>
      <c r="E28" s="79">
        <v>8470110</v>
      </c>
      <c r="F28" s="32" t="s">
        <v>180</v>
      </c>
      <c r="G28" s="4">
        <v>1</v>
      </c>
      <c r="H28" s="95">
        <v>428400</v>
      </c>
      <c r="I28" s="106" t="str">
        <f>IFERROR(VLOOKUP(Table1[[#This Row],[Account Code]],'Accoount Code Combination'!$D:$H,2,FALSE),"")</f>
        <v>Sponsorship expenses/contributions</v>
      </c>
      <c r="J28" s="79">
        <v>8470110</v>
      </c>
      <c r="K28" s="4"/>
      <c r="L28" s="4" t="str">
        <f>IFERROR(VLOOKUP(Table1[[#This Row],[Future-1 Description]],'Other '!E16:$F25,2,FALSE),"")</f>
        <v/>
      </c>
      <c r="M28" s="32"/>
      <c r="N28" s="32"/>
      <c r="O28" s="32"/>
      <c r="P28" s="49">
        <v>22708674.989999998</v>
      </c>
      <c r="Q28" s="49">
        <v>0</v>
      </c>
      <c r="R28" s="32"/>
      <c r="S28" s="4"/>
      <c r="T28" s="32"/>
      <c r="U28" s="32"/>
      <c r="V28" s="32"/>
      <c r="W28" s="32"/>
      <c r="X28" s="33"/>
      <c r="Y28" s="33"/>
      <c r="Z28" s="31">
        <f>Table1[[#This Row],[Quantity of measruing units]]*Table1[[#This Row],[Rate (expected)]]</f>
        <v>0</v>
      </c>
      <c r="AA28" s="31"/>
      <c r="AB28" s="31"/>
      <c r="AC28" s="34">
        <f>Table1[[#This Row],[Quantity (expected)]]*Table1[[#This Row],[Rate (expected)2]]*0.9</f>
        <v>0</v>
      </c>
      <c r="AD28" s="34">
        <f>Table1[[#This Row],[Quantity (expected)]]*Table1[[#This Row],[Rate (expected)2]]*0.8</f>
        <v>0</v>
      </c>
      <c r="AE28" s="34">
        <f>Table1[[#This Row],[Quantity (expected)]]*Table1[[#This Row],[Rate (expected)2]]*0.7</f>
        <v>0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1">
        <f>SUM(Table1[[#This Row],[Jan-23]:[Dec-23]])</f>
        <v>0</v>
      </c>
      <c r="AV28" s="105"/>
      <c r="AW28" s="32"/>
      <c r="AX28" s="35"/>
    </row>
    <row r="29" spans="1:50" x14ac:dyDescent="0.3">
      <c r="A29" s="30" t="str">
        <f>VLOOKUP(H29,'Accoount Code Combination'!$D:$L,8,FALSE)</f>
        <v>Communiction &amp; Marketing</v>
      </c>
      <c r="B29" s="31" t="str">
        <f>VLOOKUP(Table1[[#This Row],[Account Code]],'Accoount Code Combination'!$D:$L,9,FALSE)</f>
        <v>Gifts</v>
      </c>
      <c r="C29" s="4" t="str">
        <f>VLOOKUP(Table1[[#This Row],[Cost Center Code]],'Cost Center Group'!A:B,2,FALSE)</f>
        <v xml:space="preserve">President's Office </v>
      </c>
      <c r="D29" s="4">
        <v>847</v>
      </c>
      <c r="E29" s="79">
        <v>8470110</v>
      </c>
      <c r="F29" s="32" t="s">
        <v>180</v>
      </c>
      <c r="G29" s="4">
        <v>1</v>
      </c>
      <c r="H29" s="95">
        <v>428640</v>
      </c>
      <c r="I29" s="106" t="str">
        <f>IFERROR(VLOOKUP(Table1[[#This Row],[Account Code]],'Accoount Code Combination'!$D:$H,2,FALSE),"")</f>
        <v>Events - Awards, prizes &amp; gifts</v>
      </c>
      <c r="J29" s="79">
        <v>8470110</v>
      </c>
      <c r="K29" s="4"/>
      <c r="L29" s="4" t="str">
        <f>IFERROR(VLOOKUP(Table1[[#This Row],[Future-1 Description]],'Other '!E17:$F26,2,FALSE),"")</f>
        <v/>
      </c>
      <c r="M29" s="32"/>
      <c r="N29" s="32"/>
      <c r="O29" s="32"/>
      <c r="P29" s="49">
        <v>0</v>
      </c>
      <c r="Q29" s="49">
        <v>1</v>
      </c>
      <c r="R29" s="32"/>
      <c r="S29" s="4"/>
      <c r="T29" s="32"/>
      <c r="U29" s="32"/>
      <c r="V29" s="32"/>
      <c r="W29" s="32"/>
      <c r="X29" s="33"/>
      <c r="Y29" s="33"/>
      <c r="Z29" s="31">
        <f>Table1[[#This Row],[Quantity of measruing units]]*Table1[[#This Row],[Rate (expected)]]</f>
        <v>0</v>
      </c>
      <c r="AA29" s="31"/>
      <c r="AB29" s="31"/>
      <c r="AC29" s="34">
        <f>Table1[[#This Row],[Quantity (expected)]]*Table1[[#This Row],[Rate (expected)2]]*0.9</f>
        <v>0</v>
      </c>
      <c r="AD29" s="34">
        <f>Table1[[#This Row],[Quantity (expected)]]*Table1[[#This Row],[Rate (expected)2]]*0.8</f>
        <v>0</v>
      </c>
      <c r="AE29" s="34">
        <f>Table1[[#This Row],[Quantity (expected)]]*Table1[[#This Row],[Rate (expected)2]]*0.7</f>
        <v>0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1">
        <f>SUM(Table1[[#This Row],[Jan-23]:[Dec-23]])</f>
        <v>0</v>
      </c>
      <c r="AV29" s="105"/>
      <c r="AW29" s="32"/>
      <c r="AX29" s="35"/>
    </row>
    <row r="30" spans="1:50" x14ac:dyDescent="0.3">
      <c r="A30" s="30" t="str">
        <f>VLOOKUP(H30,'Accoount Code Combination'!$D:$L,8,FALSE)</f>
        <v xml:space="preserve">Facilities </v>
      </c>
      <c r="B30" s="31" t="str">
        <f>VLOOKUP(Table1[[#This Row],[Account Code]],'Accoount Code Combination'!$D:$L,9,FALSE)</f>
        <v>No Applicable</v>
      </c>
      <c r="C30" s="4" t="str">
        <f>VLOOKUP(Table1[[#This Row],[Cost Center Code]],'Cost Center Group'!A:B,2,FALSE)</f>
        <v xml:space="preserve">President's Office </v>
      </c>
      <c r="D30" s="4">
        <v>847</v>
      </c>
      <c r="E30" s="79">
        <v>8470110</v>
      </c>
      <c r="F30" s="32" t="s">
        <v>180</v>
      </c>
      <c r="G30" s="4">
        <v>1</v>
      </c>
      <c r="H30" s="95">
        <v>430330</v>
      </c>
      <c r="I30" s="106" t="str">
        <f>IFERROR(VLOOKUP(Table1[[#This Row],[Account Code]],'Accoount Code Combination'!$D:$H,2,FALSE),"")</f>
        <v>Rental - Motor vehicles</v>
      </c>
      <c r="J30" s="79">
        <v>8470110</v>
      </c>
      <c r="K30" s="4"/>
      <c r="L30" s="4" t="str">
        <f>IFERROR(VLOOKUP(Table1[[#This Row],[Future-1 Description]],'Other '!E18:$F27,2,FALSE),"")</f>
        <v/>
      </c>
      <c r="M30" s="32"/>
      <c r="N30" s="32"/>
      <c r="O30" s="32"/>
      <c r="P30" s="49">
        <v>0</v>
      </c>
      <c r="Q30" s="49">
        <v>0</v>
      </c>
      <c r="R30" s="32"/>
      <c r="S30" s="4"/>
      <c r="T30" s="32"/>
      <c r="U30" s="32"/>
      <c r="V30" s="32"/>
      <c r="W30" s="32"/>
      <c r="X30" s="33"/>
      <c r="Y30" s="33"/>
      <c r="Z30" s="31">
        <f>Table1[[#This Row],[Quantity of measruing units]]*Table1[[#This Row],[Rate (expected)]]</f>
        <v>0</v>
      </c>
      <c r="AA30" s="31"/>
      <c r="AB30" s="31"/>
      <c r="AC30" s="34">
        <f>Table1[[#This Row],[Quantity (expected)]]*Table1[[#This Row],[Rate (expected)2]]*0.9</f>
        <v>0</v>
      </c>
      <c r="AD30" s="34">
        <f>Table1[[#This Row],[Quantity (expected)]]*Table1[[#This Row],[Rate (expected)2]]*0.8</f>
        <v>0</v>
      </c>
      <c r="AE30" s="34">
        <f>Table1[[#This Row],[Quantity (expected)]]*Table1[[#This Row],[Rate (expected)2]]*0.7</f>
        <v>0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1">
        <f>SUM(Table1[[#This Row],[Jan-23]:[Dec-23]])</f>
        <v>0</v>
      </c>
      <c r="AV30" s="105"/>
      <c r="AW30" s="32"/>
      <c r="AX30" s="35"/>
    </row>
    <row r="31" spans="1:50" x14ac:dyDescent="0.3">
      <c r="A31" s="30" t="str">
        <f>VLOOKUP(H31,'Accoount Code Combination'!$D:$L,8,FALSE)</f>
        <v>Other support</v>
      </c>
      <c r="B31" s="31" t="str">
        <f>VLOOKUP(Table1[[#This Row],[Account Code]],'Accoount Code Combination'!$D:$L,9,FALSE)</f>
        <v>Subscriptions</v>
      </c>
      <c r="C31" s="4" t="str">
        <f>VLOOKUP(Table1[[#This Row],[Cost Center Code]],'Cost Center Group'!A:B,2,FALSE)</f>
        <v xml:space="preserve">President's Office </v>
      </c>
      <c r="D31" s="4">
        <v>847</v>
      </c>
      <c r="E31" s="79">
        <v>8470110</v>
      </c>
      <c r="F31" s="32" t="s">
        <v>180</v>
      </c>
      <c r="G31" s="4">
        <v>1</v>
      </c>
      <c r="H31" s="95">
        <v>435310</v>
      </c>
      <c r="I31" s="106" t="str">
        <f>IFERROR(VLOOKUP(Table1[[#This Row],[Account Code]],'Accoount Code Combination'!$D:$H,2,FALSE),"")</f>
        <v>Newspapers, magazines, journals, etc</v>
      </c>
      <c r="J31" s="79">
        <v>8470110</v>
      </c>
      <c r="K31" s="4"/>
      <c r="L31" s="4" t="str">
        <f>IFERROR(VLOOKUP(Table1[[#This Row],[Future-1 Description]],'Other '!E19:$F28,2,FALSE),"")</f>
        <v/>
      </c>
      <c r="M31" s="32"/>
      <c r="N31" s="32"/>
      <c r="O31" s="32"/>
      <c r="P31" s="49">
        <v>0</v>
      </c>
      <c r="Q31" s="49">
        <v>0</v>
      </c>
      <c r="R31" s="32"/>
      <c r="S31" s="4"/>
      <c r="T31" s="32"/>
      <c r="U31" s="32"/>
      <c r="V31" s="32"/>
      <c r="W31" s="32"/>
      <c r="X31" s="33"/>
      <c r="Y31" s="33"/>
      <c r="Z31" s="31">
        <f>Table1[[#This Row],[Quantity of measruing units]]*Table1[[#This Row],[Rate (expected)]]</f>
        <v>0</v>
      </c>
      <c r="AA31" s="31"/>
      <c r="AB31" s="31"/>
      <c r="AC31" s="34">
        <f>Table1[[#This Row],[Quantity (expected)]]*Table1[[#This Row],[Rate (expected)2]]*0.9</f>
        <v>0</v>
      </c>
      <c r="AD31" s="34">
        <f>Table1[[#This Row],[Quantity (expected)]]*Table1[[#This Row],[Rate (expected)2]]*0.8</f>
        <v>0</v>
      </c>
      <c r="AE31" s="34">
        <f>Table1[[#This Row],[Quantity (expected)]]*Table1[[#This Row],[Rate (expected)2]]*0.7</f>
        <v>0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1">
        <f>SUM(Table1[[#This Row],[Jan-23]:[Dec-23]])</f>
        <v>0</v>
      </c>
      <c r="AV31" s="105"/>
      <c r="AW31" s="32"/>
      <c r="AX31" s="35"/>
    </row>
    <row r="32" spans="1:50" x14ac:dyDescent="0.3">
      <c r="A32" s="30" t="str">
        <f>VLOOKUP(H32,'Accoount Code Combination'!$D:$L,8,FALSE)</f>
        <v>Other support</v>
      </c>
      <c r="B32" s="31" t="str">
        <f>VLOOKUP(Table1[[#This Row],[Account Code]],'Accoount Code Combination'!$D:$L,9,FALSE)</f>
        <v>No Applicable</v>
      </c>
      <c r="C32" s="4" t="str">
        <f>VLOOKUP(Table1[[#This Row],[Cost Center Code]],'Cost Center Group'!A:B,2,FALSE)</f>
        <v xml:space="preserve">President's Office </v>
      </c>
      <c r="D32" s="4">
        <v>847</v>
      </c>
      <c r="E32" s="79">
        <v>8470110</v>
      </c>
      <c r="F32" s="32" t="s">
        <v>180</v>
      </c>
      <c r="G32" s="4">
        <v>1</v>
      </c>
      <c r="H32" s="95">
        <v>435410</v>
      </c>
      <c r="I32" s="106" t="str">
        <f>IFERROR(VLOOKUP(Table1[[#This Row],[Account Code]],'Accoount Code Combination'!$D:$H,2,FALSE),"")</f>
        <v>Catering supplies: Offices</v>
      </c>
      <c r="J32" s="79">
        <v>8470110</v>
      </c>
      <c r="K32" s="4"/>
      <c r="L32" s="4" t="str">
        <f>IFERROR(VLOOKUP(Table1[[#This Row],[Future-1 Description]],'Other '!E20:$F29,2,FALSE),"")</f>
        <v/>
      </c>
      <c r="M32" s="32"/>
      <c r="N32" s="32"/>
      <c r="O32" s="32"/>
      <c r="P32" s="49">
        <v>0</v>
      </c>
      <c r="Q32" s="49">
        <v>1</v>
      </c>
      <c r="R32" s="32"/>
      <c r="S32" s="4"/>
      <c r="T32" s="32"/>
      <c r="U32" s="32"/>
      <c r="V32" s="32"/>
      <c r="W32" s="32"/>
      <c r="X32" s="33"/>
      <c r="Y32" s="33"/>
      <c r="Z32" s="31">
        <f>Table1[[#This Row],[Quantity of measruing units]]*Table1[[#This Row],[Rate (expected)]]</f>
        <v>0</v>
      </c>
      <c r="AA32" s="31"/>
      <c r="AB32" s="31"/>
      <c r="AC32" s="34">
        <f>Table1[[#This Row],[Quantity (expected)]]*Table1[[#This Row],[Rate (expected)2]]*0.9</f>
        <v>0</v>
      </c>
      <c r="AD32" s="34">
        <f>Table1[[#This Row],[Quantity (expected)]]*Table1[[#This Row],[Rate (expected)2]]*0.8</f>
        <v>0</v>
      </c>
      <c r="AE32" s="34">
        <f>Table1[[#This Row],[Quantity (expected)]]*Table1[[#This Row],[Rate (expected)2]]*0.7</f>
        <v>0</v>
      </c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1">
        <f>SUM(Table1[[#This Row],[Jan-23]:[Dec-23]])</f>
        <v>0</v>
      </c>
      <c r="AV32" s="105"/>
      <c r="AW32" s="32"/>
      <c r="AX32" s="35"/>
    </row>
    <row r="33" spans="1:50" ht="26" x14ac:dyDescent="0.3">
      <c r="A33" s="30" t="str">
        <f>VLOOKUP(H33,'Accoount Code Combination'!$D:$L,8,FALSE)</f>
        <v>Communiction &amp; Marketing</v>
      </c>
      <c r="B33" s="31" t="str">
        <f>VLOOKUP(Table1[[#This Row],[Account Code]],'Accoount Code Combination'!$D:$L,9,FALSE)</f>
        <v>Photography</v>
      </c>
      <c r="C33" s="4" t="str">
        <f>VLOOKUP(Table1[[#This Row],[Cost Center Code]],'Cost Center Group'!A:B,2,FALSE)</f>
        <v xml:space="preserve">President's Office </v>
      </c>
      <c r="D33" s="4">
        <v>847</v>
      </c>
      <c r="E33" s="79">
        <v>8470110</v>
      </c>
      <c r="F33" s="32" t="s">
        <v>180</v>
      </c>
      <c r="G33" s="4">
        <v>1</v>
      </c>
      <c r="H33" s="95">
        <v>435519</v>
      </c>
      <c r="I33" s="106" t="str">
        <f>IFERROR(VLOOKUP(Table1[[#This Row],[Account Code]],'Accoount Code Combination'!$D:$H,2,FALSE),"")</f>
        <v>Photography - Consumable materials /Tools</v>
      </c>
      <c r="J33" s="79">
        <v>8470110</v>
      </c>
      <c r="K33" s="4"/>
      <c r="L33" s="4" t="str">
        <f>IFERROR(VLOOKUP(Table1[[#This Row],[Future-1 Description]],'Other '!E21:$F30,2,FALSE),"")</f>
        <v/>
      </c>
      <c r="M33" s="32"/>
      <c r="N33" s="32"/>
      <c r="O33" s="32"/>
      <c r="P33" s="49">
        <v>0</v>
      </c>
      <c r="Q33" s="49">
        <v>2000</v>
      </c>
      <c r="R33" s="32"/>
      <c r="S33" s="4"/>
      <c r="T33" s="32"/>
      <c r="U33" s="32"/>
      <c r="V33" s="32"/>
      <c r="W33" s="32"/>
      <c r="X33" s="33"/>
      <c r="Y33" s="33"/>
      <c r="Z33" s="31">
        <f>Table1[[#This Row],[Quantity of measruing units]]*Table1[[#This Row],[Rate (expected)]]</f>
        <v>0</v>
      </c>
      <c r="AA33" s="31"/>
      <c r="AB33" s="31"/>
      <c r="AC33" s="34">
        <f>Table1[[#This Row],[Quantity (expected)]]*Table1[[#This Row],[Rate (expected)2]]*0.9</f>
        <v>0</v>
      </c>
      <c r="AD33" s="34">
        <f>Table1[[#This Row],[Quantity (expected)]]*Table1[[#This Row],[Rate (expected)2]]*0.8</f>
        <v>0</v>
      </c>
      <c r="AE33" s="34">
        <f>Table1[[#This Row],[Quantity (expected)]]*Table1[[#This Row],[Rate (expected)2]]*0.7</f>
        <v>0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1">
        <f>SUM(Table1[[#This Row],[Jan-23]:[Dec-23]])</f>
        <v>0</v>
      </c>
      <c r="AV33" s="105"/>
      <c r="AW33" s="32"/>
      <c r="AX33" s="35"/>
    </row>
    <row r="34" spans="1:50" ht="26" x14ac:dyDescent="0.3">
      <c r="A34" s="30" t="str">
        <f>VLOOKUP(H34,'Accoount Code Combination'!$D:$L,8,FALSE)</f>
        <v>Academic</v>
      </c>
      <c r="B34" s="31" t="str">
        <f>VLOOKUP(Table1[[#This Row],[Account Code]],'Accoount Code Combination'!$D:$L,9,FALSE)</f>
        <v>No Applicable</v>
      </c>
      <c r="C34" s="4" t="str">
        <f>VLOOKUP(Table1[[#This Row],[Cost Center Code]],'Cost Center Group'!A:B,2,FALSE)</f>
        <v xml:space="preserve">President's Office </v>
      </c>
      <c r="D34" s="4">
        <v>847</v>
      </c>
      <c r="E34" s="79">
        <v>8470110</v>
      </c>
      <c r="F34" s="32" t="s">
        <v>180</v>
      </c>
      <c r="G34" s="4">
        <v>1</v>
      </c>
      <c r="H34" s="95">
        <v>435530</v>
      </c>
      <c r="I34" s="106" t="str">
        <f>IFERROR(VLOOKUP(Table1[[#This Row],[Account Code]],'Accoount Code Combination'!$D:$H,2,FALSE),"")</f>
        <v>School consumables, not specifically mentioned elsewhere</v>
      </c>
      <c r="J34" s="79">
        <v>8470110</v>
      </c>
      <c r="K34" s="4"/>
      <c r="L34" s="4" t="str">
        <f>IFERROR(VLOOKUP(Table1[[#This Row],[Future-1 Description]],'Other '!E22:$F31,2,FALSE),"")</f>
        <v/>
      </c>
      <c r="M34" s="32"/>
      <c r="N34" s="32"/>
      <c r="O34" s="32"/>
      <c r="P34" s="49">
        <v>0</v>
      </c>
      <c r="Q34" s="49">
        <v>0</v>
      </c>
      <c r="R34" s="32"/>
      <c r="S34" s="4"/>
      <c r="T34" s="32"/>
      <c r="U34" s="32"/>
      <c r="V34" s="32"/>
      <c r="W34" s="32"/>
      <c r="X34" s="33"/>
      <c r="Y34" s="33"/>
      <c r="Z34" s="31">
        <f>Table1[[#This Row],[Quantity of measruing units]]*Table1[[#This Row],[Rate (expected)]]</f>
        <v>0</v>
      </c>
      <c r="AA34" s="31"/>
      <c r="AB34" s="31"/>
      <c r="AC34" s="34">
        <f>Table1[[#This Row],[Quantity (expected)]]*Table1[[#This Row],[Rate (expected)2]]*0.9</f>
        <v>0</v>
      </c>
      <c r="AD34" s="34">
        <f>Table1[[#This Row],[Quantity (expected)]]*Table1[[#This Row],[Rate (expected)2]]*0.8</f>
        <v>0</v>
      </c>
      <c r="AE34" s="34">
        <f>Table1[[#This Row],[Quantity (expected)]]*Table1[[#This Row],[Rate (expected)2]]*0.7</f>
        <v>0</v>
      </c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1">
        <f>SUM(Table1[[#This Row],[Jan-23]:[Dec-23]])</f>
        <v>0</v>
      </c>
      <c r="AV34" s="105"/>
      <c r="AW34" s="32"/>
      <c r="AX34" s="35"/>
    </row>
    <row r="35" spans="1:50" x14ac:dyDescent="0.3">
      <c r="A35" s="30" t="str">
        <f>VLOOKUP(H35,'Accoount Code Combination'!$D:$L,8,FALSE)</f>
        <v>Other support</v>
      </c>
      <c r="B35" s="31" t="str">
        <f>VLOOKUP(Table1[[#This Row],[Account Code]],'Accoount Code Combination'!$D:$L,9,FALSE)</f>
        <v>No Applicable</v>
      </c>
      <c r="C35" s="4" t="str">
        <f>VLOOKUP(Table1[[#This Row],[Cost Center Code]],'Cost Center Group'!A:B,2,FALSE)</f>
        <v xml:space="preserve">President's Office </v>
      </c>
      <c r="D35" s="4">
        <v>847</v>
      </c>
      <c r="E35" s="79">
        <v>8470110</v>
      </c>
      <c r="F35" s="32" t="s">
        <v>180</v>
      </c>
      <c r="G35" s="4">
        <v>1</v>
      </c>
      <c r="H35" s="95">
        <v>436110</v>
      </c>
      <c r="I35" s="106" t="str">
        <f>IFERROR(VLOOKUP(Table1[[#This Row],[Account Code]],'Accoount Code Combination'!$D:$H,2,FALSE),"")</f>
        <v>Printing supplies</v>
      </c>
      <c r="J35" s="79">
        <v>8470110</v>
      </c>
      <c r="K35" s="4"/>
      <c r="L35" s="4" t="str">
        <f>IFERROR(VLOOKUP(Table1[[#This Row],[Future-1 Description]],'Other '!E23:$F32,2,FALSE),"")</f>
        <v/>
      </c>
      <c r="M35" s="32"/>
      <c r="N35" s="32"/>
      <c r="O35" s="32"/>
      <c r="P35" s="49">
        <v>0</v>
      </c>
      <c r="Q35" s="49">
        <v>4195</v>
      </c>
      <c r="R35" s="32"/>
      <c r="S35" s="4"/>
      <c r="T35" s="32"/>
      <c r="U35" s="32"/>
      <c r="V35" s="32"/>
      <c r="W35" s="32"/>
      <c r="X35" s="33"/>
      <c r="Y35" s="33"/>
      <c r="Z35" s="31">
        <f>Table1[[#This Row],[Quantity of measruing units]]*Table1[[#This Row],[Rate (expected)]]</f>
        <v>0</v>
      </c>
      <c r="AA35" s="31"/>
      <c r="AB35" s="31"/>
      <c r="AC35" s="34">
        <f>Table1[[#This Row],[Quantity (expected)]]*Table1[[#This Row],[Rate (expected)2]]*0.9</f>
        <v>0</v>
      </c>
      <c r="AD35" s="34">
        <f>Table1[[#This Row],[Quantity (expected)]]*Table1[[#This Row],[Rate (expected)2]]*0.8</f>
        <v>0</v>
      </c>
      <c r="AE35" s="34">
        <f>Table1[[#This Row],[Quantity (expected)]]*Table1[[#This Row],[Rate (expected)2]]*0.7</f>
        <v>0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1">
        <f>SUM(Table1[[#This Row],[Jan-23]:[Dec-23]])</f>
        <v>0</v>
      </c>
      <c r="AV35" s="105"/>
      <c r="AW35" s="32"/>
      <c r="AX35" s="35"/>
    </row>
    <row r="36" spans="1:50" x14ac:dyDescent="0.3">
      <c r="A36" s="30">
        <f>VLOOKUP(H36,'Accoount Code Combination'!$D:$L,8,FALSE)</f>
        <v>0</v>
      </c>
      <c r="B36" s="31" t="str">
        <f>VLOOKUP(Table1[[#This Row],[Account Code]],'Accoount Code Combination'!$D:$L,9,FALSE)</f>
        <v>No Applicable</v>
      </c>
      <c r="C36" s="4" t="str">
        <f>VLOOKUP(Table1[[#This Row],[Cost Center Code]],'Cost Center Group'!A:B,2,FALSE)</f>
        <v xml:space="preserve">President's Office </v>
      </c>
      <c r="D36" s="4">
        <v>847</v>
      </c>
      <c r="E36" s="79">
        <v>8470110</v>
      </c>
      <c r="F36" s="32" t="s">
        <v>180</v>
      </c>
      <c r="G36" s="4">
        <v>1</v>
      </c>
      <c r="H36" s="95">
        <v>492316</v>
      </c>
      <c r="I36" s="106" t="str">
        <f>IFERROR(VLOOKUP(Table1[[#This Row],[Account Code]],'Accoount Code Combination'!$D:$H,2,FALSE),"")</f>
        <v>Laboratory equipment</v>
      </c>
      <c r="J36" s="79">
        <v>8470110</v>
      </c>
      <c r="K36" s="4"/>
      <c r="L36" s="4" t="str">
        <f>IFERROR(VLOOKUP(Table1[[#This Row],[Future-1 Description]],'Other '!E24:$F33,2,FALSE),"")</f>
        <v/>
      </c>
      <c r="M36" s="32"/>
      <c r="N36" s="32"/>
      <c r="O36" s="32"/>
      <c r="P36" s="49">
        <v>39940.11</v>
      </c>
      <c r="Q36" s="49">
        <v>0</v>
      </c>
      <c r="R36" s="32"/>
      <c r="S36" s="4"/>
      <c r="T36" s="32"/>
      <c r="U36" s="32"/>
      <c r="V36" s="32"/>
      <c r="W36" s="32"/>
      <c r="X36" s="33"/>
      <c r="Y36" s="33"/>
      <c r="Z36" s="31">
        <f>Table1[[#This Row],[Quantity of measruing units]]*Table1[[#This Row],[Rate (expected)]]</f>
        <v>0</v>
      </c>
      <c r="AA36" s="31"/>
      <c r="AB36" s="31"/>
      <c r="AC36" s="34">
        <f>Table1[[#This Row],[Quantity (expected)]]*Table1[[#This Row],[Rate (expected)2]]*0.9</f>
        <v>0</v>
      </c>
      <c r="AD36" s="34">
        <f>Table1[[#This Row],[Quantity (expected)]]*Table1[[#This Row],[Rate (expected)2]]*0.8</f>
        <v>0</v>
      </c>
      <c r="AE36" s="34">
        <f>Table1[[#This Row],[Quantity (expected)]]*Table1[[#This Row],[Rate (expected)2]]*0.7</f>
        <v>0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1">
        <f>SUM(Table1[[#This Row],[Jan-23]:[Dec-23]])</f>
        <v>0</v>
      </c>
      <c r="AV36" s="105"/>
      <c r="AW36" s="32"/>
      <c r="AX36" s="35"/>
    </row>
    <row r="37" spans="1:50" x14ac:dyDescent="0.3">
      <c r="A37" s="30" t="str">
        <f>VLOOKUP(H37,'Accoount Code Combination'!$D:$L,8,FALSE)</f>
        <v>Other support</v>
      </c>
      <c r="B37" s="31" t="str">
        <f>VLOOKUP(Table1[[#This Row],[Account Code]],'Accoount Code Combination'!$D:$L,9,FALSE)</f>
        <v>No Applicable</v>
      </c>
      <c r="C37" s="4" t="str">
        <f>VLOOKUP(Table1[[#This Row],[Cost Center Code]],'Cost Center Group'!A:B,2,FALSE)</f>
        <v xml:space="preserve">President's Office </v>
      </c>
      <c r="D37" s="4">
        <v>847</v>
      </c>
      <c r="E37" s="79">
        <v>8470120</v>
      </c>
      <c r="F37" s="32" t="s">
        <v>157</v>
      </c>
      <c r="G37" s="4">
        <v>1</v>
      </c>
      <c r="H37" s="95">
        <v>420120</v>
      </c>
      <c r="I37" s="106" t="str">
        <f>IFERROR(VLOOKUP(Table1[[#This Row],[Account Code]],'Accoount Code Combination'!$D:$H,2,FALSE),"")</f>
        <v>Internal Audit service</v>
      </c>
      <c r="J37" s="79">
        <v>8470120</v>
      </c>
      <c r="K37" s="4"/>
      <c r="L37" s="4" t="str">
        <f>IFERROR(VLOOKUP(Table1[[#This Row],[Future-1 Description]],'Other '!E25:$F34,2,FALSE),"")</f>
        <v/>
      </c>
      <c r="M37" s="32"/>
      <c r="N37" s="32"/>
      <c r="O37" s="32"/>
      <c r="P37" s="49">
        <v>-493500</v>
      </c>
      <c r="Q37" s="49">
        <v>400000</v>
      </c>
      <c r="R37" s="32"/>
      <c r="S37" s="4"/>
      <c r="T37" s="32"/>
      <c r="U37" s="32"/>
      <c r="V37" s="32"/>
      <c r="W37" s="32"/>
      <c r="X37" s="33"/>
      <c r="Y37" s="33"/>
      <c r="Z37" s="31">
        <f>Table1[[#This Row],[Quantity of measruing units]]*Table1[[#This Row],[Rate (expected)]]</f>
        <v>0</v>
      </c>
      <c r="AA37" s="31"/>
      <c r="AB37" s="31"/>
      <c r="AC37" s="34">
        <f>Table1[[#This Row],[Quantity (expected)]]*Table1[[#This Row],[Rate (expected)2]]*0.9</f>
        <v>0</v>
      </c>
      <c r="AD37" s="34">
        <f>Table1[[#This Row],[Quantity (expected)]]*Table1[[#This Row],[Rate (expected)2]]*0.8</f>
        <v>0</v>
      </c>
      <c r="AE37" s="34">
        <f>Table1[[#This Row],[Quantity (expected)]]*Table1[[#This Row],[Rate (expected)2]]*0.7</f>
        <v>0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1">
        <f>SUM(Table1[[#This Row],[Jan-23]:[Dec-23]])</f>
        <v>0</v>
      </c>
      <c r="AV37" s="105"/>
      <c r="AW37" s="32"/>
      <c r="AX37" s="35"/>
    </row>
    <row r="38" spans="1:50" x14ac:dyDescent="0.3">
      <c r="A38" s="30" t="str">
        <f>VLOOKUP(H38,'Accoount Code Combination'!$D:$L,8,FALSE)</f>
        <v>HR</v>
      </c>
      <c r="B38" s="31" t="str">
        <f>VLOOKUP(Table1[[#This Row],[Account Code]],'Accoount Code Combination'!$D:$L,9,FALSE)</f>
        <v>Consultancy</v>
      </c>
      <c r="C38" s="4" t="str">
        <f>VLOOKUP(Table1[[#This Row],[Cost Center Code]],'Cost Center Group'!A:B,2,FALSE)</f>
        <v xml:space="preserve">President's Office </v>
      </c>
      <c r="D38" s="4">
        <v>847</v>
      </c>
      <c r="E38" s="79">
        <v>8470130</v>
      </c>
      <c r="F38" s="32" t="s">
        <v>217</v>
      </c>
      <c r="G38" s="4">
        <v>1</v>
      </c>
      <c r="H38" s="95">
        <v>421000</v>
      </c>
      <c r="I38" s="106" t="str">
        <f>IFERROR(VLOOKUP(Table1[[#This Row],[Account Code]],'Accoount Code Combination'!$D:$H,2,FALSE),"")</f>
        <v>Management consultancy</v>
      </c>
      <c r="J38" s="79">
        <v>8470130</v>
      </c>
      <c r="K38" s="4"/>
      <c r="L38" s="4" t="str">
        <f>IFERROR(VLOOKUP(Table1[[#This Row],[Future-1 Description]],'Other '!E26:$F35,2,FALSE),"")</f>
        <v/>
      </c>
      <c r="M38" s="32"/>
      <c r="N38" s="32"/>
      <c r="O38" s="32"/>
      <c r="P38" s="49">
        <v>28465.75</v>
      </c>
      <c r="Q38" s="49">
        <v>134500</v>
      </c>
      <c r="R38" s="32"/>
      <c r="S38" s="4"/>
      <c r="T38" s="32"/>
      <c r="U38" s="32"/>
      <c r="V38" s="32"/>
      <c r="W38" s="32"/>
      <c r="X38" s="33"/>
      <c r="Y38" s="33"/>
      <c r="Z38" s="31">
        <f>Table1[[#This Row],[Quantity of measruing units]]*Table1[[#This Row],[Rate (expected)]]</f>
        <v>0</v>
      </c>
      <c r="AA38" s="31"/>
      <c r="AB38" s="31"/>
      <c r="AC38" s="34">
        <f>Table1[[#This Row],[Quantity (expected)]]*Table1[[#This Row],[Rate (expected)2]]*0.9</f>
        <v>0</v>
      </c>
      <c r="AD38" s="34">
        <f>Table1[[#This Row],[Quantity (expected)]]*Table1[[#This Row],[Rate (expected)2]]*0.8</f>
        <v>0</v>
      </c>
      <c r="AE38" s="34">
        <f>Table1[[#This Row],[Quantity (expected)]]*Table1[[#This Row],[Rate (expected)2]]*0.7</f>
        <v>0</v>
      </c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1">
        <f>SUM(Table1[[#This Row],[Jan-23]:[Dec-23]])</f>
        <v>0</v>
      </c>
      <c r="AV38" s="105"/>
      <c r="AW38" s="32"/>
      <c r="AX38" s="35"/>
    </row>
    <row r="39" spans="1:50" x14ac:dyDescent="0.3">
      <c r="A39" s="30" t="str">
        <f>VLOOKUP(H39,'Accoount Code Combination'!$D:$L,8,FALSE)</f>
        <v>Communiction &amp; Marketing</v>
      </c>
      <c r="B39" s="31" t="str">
        <f>VLOOKUP(Table1[[#This Row],[Account Code]],'Accoount Code Combination'!$D:$L,9,FALSE)</f>
        <v>Advertising</v>
      </c>
      <c r="C39" s="4" t="str">
        <f>VLOOKUP(Table1[[#This Row],[Cost Center Code]],'Cost Center Group'!A:B,2,FALSE)</f>
        <v xml:space="preserve">President's Office </v>
      </c>
      <c r="D39" s="4">
        <v>847</v>
      </c>
      <c r="E39" s="79">
        <v>8470130</v>
      </c>
      <c r="F39" s="32" t="s">
        <v>217</v>
      </c>
      <c r="G39" s="4">
        <v>1</v>
      </c>
      <c r="H39" s="95">
        <v>425100</v>
      </c>
      <c r="I39" s="106" t="str">
        <f>IFERROR(VLOOKUP(Table1[[#This Row],[Account Code]],'Accoount Code Combination'!$D:$H,2,FALSE),"")</f>
        <v>Advertising</v>
      </c>
      <c r="J39" s="79">
        <v>8470130</v>
      </c>
      <c r="K39" s="4"/>
      <c r="L39" s="4" t="str">
        <f>IFERROR(VLOOKUP(Table1[[#This Row],[Future-1 Description]],'Other '!E27:$F36,2,FALSE),"")</f>
        <v/>
      </c>
      <c r="M39" s="32"/>
      <c r="N39" s="32"/>
      <c r="O39" s="32"/>
      <c r="P39" s="49">
        <v>0</v>
      </c>
      <c r="Q39" s="49">
        <v>0</v>
      </c>
      <c r="R39" s="32"/>
      <c r="S39" s="4"/>
      <c r="T39" s="32"/>
      <c r="U39" s="32"/>
      <c r="V39" s="32"/>
      <c r="W39" s="32"/>
      <c r="X39" s="33"/>
      <c r="Y39" s="33"/>
      <c r="Z39" s="31">
        <f>Table1[[#This Row],[Quantity of measruing units]]*Table1[[#This Row],[Rate (expected)]]</f>
        <v>0</v>
      </c>
      <c r="AA39" s="31"/>
      <c r="AB39" s="31"/>
      <c r="AC39" s="34">
        <f>Table1[[#This Row],[Quantity (expected)]]*Table1[[#This Row],[Rate (expected)2]]*0.9</f>
        <v>0</v>
      </c>
      <c r="AD39" s="34">
        <f>Table1[[#This Row],[Quantity (expected)]]*Table1[[#This Row],[Rate (expected)2]]*0.8</f>
        <v>0</v>
      </c>
      <c r="AE39" s="34">
        <f>Table1[[#This Row],[Quantity (expected)]]*Table1[[#This Row],[Rate (expected)2]]*0.7</f>
        <v>0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1">
        <f>SUM(Table1[[#This Row],[Jan-23]:[Dec-23]])</f>
        <v>0</v>
      </c>
      <c r="AV39" s="105"/>
      <c r="AW39" s="32"/>
      <c r="AX39" s="35"/>
    </row>
    <row r="40" spans="1:50" ht="26" x14ac:dyDescent="0.3">
      <c r="A40" s="30" t="str">
        <f>VLOOKUP(H40,'Accoount Code Combination'!$D:$L,8,FALSE)</f>
        <v>Communiction &amp; Marketing</v>
      </c>
      <c r="B40" s="31" t="str">
        <f>VLOOKUP(Table1[[#This Row],[Account Code]],'Accoount Code Combination'!$D:$L,9,FALSE)</f>
        <v>Events</v>
      </c>
      <c r="C40" s="4" t="str">
        <f>VLOOKUP(Table1[[#This Row],[Cost Center Code]],'Cost Center Group'!A:B,2,FALSE)</f>
        <v xml:space="preserve">President's Office </v>
      </c>
      <c r="D40" s="4">
        <v>847</v>
      </c>
      <c r="E40" s="79">
        <v>8470130</v>
      </c>
      <c r="F40" s="32" t="s">
        <v>217</v>
      </c>
      <c r="G40" s="4">
        <v>1</v>
      </c>
      <c r="H40" s="95">
        <v>425510</v>
      </c>
      <c r="I40" s="106" t="str">
        <f>IFERROR(VLOOKUP(Table1[[#This Row],[Account Code]],'Accoount Code Combination'!$D:$H,2,FALSE),"")</f>
        <v>Conferences, seminars and exhibitions and other events: - Local Events</v>
      </c>
      <c r="J40" s="79">
        <v>8470130</v>
      </c>
      <c r="K40" s="4"/>
      <c r="L40" s="4" t="str">
        <f>IFERROR(VLOOKUP(Table1[[#This Row],[Future-1 Description]],'Other '!E28:$F37,2,FALSE),"")</f>
        <v/>
      </c>
      <c r="M40" s="32"/>
      <c r="N40" s="32"/>
      <c r="O40" s="32"/>
      <c r="P40" s="49">
        <v>2200</v>
      </c>
      <c r="Q40" s="49">
        <v>2200</v>
      </c>
      <c r="R40" s="32"/>
      <c r="S40" s="4"/>
      <c r="T40" s="32"/>
      <c r="U40" s="32"/>
      <c r="V40" s="32"/>
      <c r="W40" s="32"/>
      <c r="X40" s="33"/>
      <c r="Y40" s="33"/>
      <c r="Z40" s="31">
        <f>Table1[[#This Row],[Quantity of measruing units]]*Table1[[#This Row],[Rate (expected)]]</f>
        <v>0</v>
      </c>
      <c r="AA40" s="31"/>
      <c r="AB40" s="31"/>
      <c r="AC40" s="34">
        <f>Table1[[#This Row],[Quantity (expected)]]*Table1[[#This Row],[Rate (expected)2]]*0.9</f>
        <v>0</v>
      </c>
      <c r="AD40" s="34">
        <f>Table1[[#This Row],[Quantity (expected)]]*Table1[[#This Row],[Rate (expected)2]]*0.8</f>
        <v>0</v>
      </c>
      <c r="AE40" s="34">
        <f>Table1[[#This Row],[Quantity (expected)]]*Table1[[#This Row],[Rate (expected)2]]*0.7</f>
        <v>0</v>
      </c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1">
        <f>SUM(Table1[[#This Row],[Jan-23]:[Dec-23]])</f>
        <v>0</v>
      </c>
      <c r="AV40" s="105"/>
      <c r="AW40" s="32"/>
      <c r="AX40" s="35"/>
    </row>
    <row r="41" spans="1:50" x14ac:dyDescent="0.3">
      <c r="A41" s="30" t="str">
        <f>VLOOKUP(H41,'Accoount Code Combination'!$D:$L,8,FALSE)</f>
        <v xml:space="preserve">Academic </v>
      </c>
      <c r="B41" s="31" t="str">
        <f>VLOOKUP(Table1[[#This Row],[Account Code]],'Accoount Code Combination'!$D:$L,9,FALSE)</f>
        <v>No Applicable</v>
      </c>
      <c r="C41" s="4" t="str">
        <f>VLOOKUP(Table1[[#This Row],[Cost Center Code]],'Cost Center Group'!A:B,2,FALSE)</f>
        <v xml:space="preserve">President's Office </v>
      </c>
      <c r="D41" s="4">
        <v>847</v>
      </c>
      <c r="E41" s="79">
        <v>8470130</v>
      </c>
      <c r="F41" s="32" t="s">
        <v>217</v>
      </c>
      <c r="G41" s="4">
        <v>1</v>
      </c>
      <c r="H41" s="95">
        <v>428090</v>
      </c>
      <c r="I41" s="106" t="str">
        <f>IFERROR(VLOOKUP(Table1[[#This Row],[Account Code]],'Accoount Code Combination'!$D:$H,2,FALSE),"")</f>
        <v>Business Travel - Combined expenses</v>
      </c>
      <c r="J41" s="79">
        <v>8470130</v>
      </c>
      <c r="K41" s="4"/>
      <c r="L41" s="4" t="str">
        <f>IFERROR(VLOOKUP(Table1[[#This Row],[Future-1 Description]],'Other '!E29:$F38,2,FALSE),"")</f>
        <v/>
      </c>
      <c r="M41" s="32"/>
      <c r="N41" s="32"/>
      <c r="O41" s="32"/>
      <c r="P41" s="49">
        <v>0</v>
      </c>
      <c r="Q41" s="49">
        <v>0</v>
      </c>
      <c r="R41" s="32"/>
      <c r="S41" s="4"/>
      <c r="T41" s="32"/>
      <c r="U41" s="32"/>
      <c r="V41" s="32"/>
      <c r="W41" s="32"/>
      <c r="X41" s="33"/>
      <c r="Y41" s="33"/>
      <c r="Z41" s="31">
        <f>Table1[[#This Row],[Quantity of measruing units]]*Table1[[#This Row],[Rate (expected)]]</f>
        <v>0</v>
      </c>
      <c r="AA41" s="31"/>
      <c r="AB41" s="31"/>
      <c r="AC41" s="34">
        <f>Table1[[#This Row],[Quantity (expected)]]*Table1[[#This Row],[Rate (expected)2]]*0.9</f>
        <v>0</v>
      </c>
      <c r="AD41" s="34">
        <f>Table1[[#This Row],[Quantity (expected)]]*Table1[[#This Row],[Rate (expected)2]]*0.8</f>
        <v>0</v>
      </c>
      <c r="AE41" s="34">
        <f>Table1[[#This Row],[Quantity (expected)]]*Table1[[#This Row],[Rate (expected)2]]*0.7</f>
        <v>0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1">
        <f>SUM(Table1[[#This Row],[Jan-23]:[Dec-23]])</f>
        <v>0</v>
      </c>
      <c r="AV41" s="105"/>
      <c r="AW41" s="32"/>
      <c r="AX41" s="35"/>
    </row>
    <row r="42" spans="1:50" x14ac:dyDescent="0.3">
      <c r="A42" s="30" t="str">
        <f>VLOOKUP(H42,'Accoount Code Combination'!$D:$L,8,FALSE)</f>
        <v>Communiction &amp; Marketing</v>
      </c>
      <c r="B42" s="31" t="str">
        <f>VLOOKUP(Table1[[#This Row],[Account Code]],'Accoount Code Combination'!$D:$L,9,FALSE)</f>
        <v>Advertising</v>
      </c>
      <c r="C42" s="4" t="str">
        <f>VLOOKUP(Table1[[#This Row],[Cost Center Code]],'Cost Center Group'!A:B,2,FALSE)</f>
        <v xml:space="preserve">President's Office </v>
      </c>
      <c r="D42" s="4">
        <v>847</v>
      </c>
      <c r="E42" s="79">
        <v>8470140</v>
      </c>
      <c r="F42" s="32" t="s">
        <v>231</v>
      </c>
      <c r="G42" s="4">
        <v>1</v>
      </c>
      <c r="H42" s="95">
        <v>425100</v>
      </c>
      <c r="I42" s="106" t="str">
        <f>IFERROR(VLOOKUP(Table1[[#This Row],[Account Code]],'Accoount Code Combination'!$D:$H,2,FALSE),"")</f>
        <v>Advertising</v>
      </c>
      <c r="J42" s="79">
        <v>8470140</v>
      </c>
      <c r="K42" s="4"/>
      <c r="L42" s="4" t="str">
        <f>IFERROR(VLOOKUP(Table1[[#This Row],[Future-1 Description]],'Other '!E30:$F39,2,FALSE),"")</f>
        <v/>
      </c>
      <c r="M42" s="32"/>
      <c r="N42" s="32"/>
      <c r="O42" s="32"/>
      <c r="P42" s="49">
        <v>2353626.8199999998</v>
      </c>
      <c r="Q42" s="49">
        <v>3070934</v>
      </c>
      <c r="R42" s="32"/>
      <c r="S42" s="4"/>
      <c r="T42" s="32"/>
      <c r="U42" s="32"/>
      <c r="V42" s="32"/>
      <c r="W42" s="32"/>
      <c r="X42" s="33"/>
      <c r="Y42" s="33"/>
      <c r="Z42" s="31">
        <f>Table1[[#This Row],[Quantity of measruing units]]*Table1[[#This Row],[Rate (expected)]]</f>
        <v>0</v>
      </c>
      <c r="AA42" s="31"/>
      <c r="AB42" s="31"/>
      <c r="AC42" s="34">
        <f>Table1[[#This Row],[Quantity (expected)]]*Table1[[#This Row],[Rate (expected)2]]*0.9</f>
        <v>0</v>
      </c>
      <c r="AD42" s="34">
        <f>Table1[[#This Row],[Quantity (expected)]]*Table1[[#This Row],[Rate (expected)2]]*0.8</f>
        <v>0</v>
      </c>
      <c r="AE42" s="34">
        <f>Table1[[#This Row],[Quantity (expected)]]*Table1[[#This Row],[Rate (expected)2]]*0.7</f>
        <v>0</v>
      </c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1">
        <f>SUM(Table1[[#This Row],[Jan-23]:[Dec-23]])</f>
        <v>0</v>
      </c>
      <c r="AV42" s="105"/>
      <c r="AW42" s="32"/>
      <c r="AX42" s="35"/>
    </row>
    <row r="43" spans="1:50" ht="26" x14ac:dyDescent="0.3">
      <c r="A43" s="30" t="str">
        <f>VLOOKUP(H43,'Accoount Code Combination'!$D:$L,8,FALSE)</f>
        <v>Communiction &amp; Marketing</v>
      </c>
      <c r="B43" s="31" t="str">
        <f>VLOOKUP(Table1[[#This Row],[Account Code]],'Accoount Code Combination'!$D:$L,9,FALSE)</f>
        <v>Events</v>
      </c>
      <c r="C43" s="4" t="str">
        <f>VLOOKUP(Table1[[#This Row],[Cost Center Code]],'Cost Center Group'!A:B,2,FALSE)</f>
        <v xml:space="preserve">President's Office </v>
      </c>
      <c r="D43" s="4">
        <v>847</v>
      </c>
      <c r="E43" s="79">
        <v>8470140</v>
      </c>
      <c r="F43" s="32" t="s">
        <v>231</v>
      </c>
      <c r="G43" s="4">
        <v>1</v>
      </c>
      <c r="H43" s="95">
        <v>425510</v>
      </c>
      <c r="I43" s="106" t="str">
        <f>IFERROR(VLOOKUP(Table1[[#This Row],[Account Code]],'Accoount Code Combination'!$D:$H,2,FALSE),"")</f>
        <v>Conferences, seminars and exhibitions and other events: - Local Events</v>
      </c>
      <c r="J43" s="79">
        <v>8470140</v>
      </c>
      <c r="K43" s="4"/>
      <c r="L43" s="4" t="str">
        <f>IFERROR(VLOOKUP(Table1[[#This Row],[Future-1 Description]],'Other '!E31:$F40,2,FALSE),"")</f>
        <v/>
      </c>
      <c r="M43" s="32"/>
      <c r="N43" s="32"/>
      <c r="O43" s="32"/>
      <c r="P43" s="49">
        <v>2727959.13</v>
      </c>
      <c r="Q43" s="49">
        <v>2850000</v>
      </c>
      <c r="R43" s="32"/>
      <c r="S43" s="4"/>
      <c r="T43" s="32"/>
      <c r="U43" s="32"/>
      <c r="V43" s="32"/>
      <c r="W43" s="32"/>
      <c r="X43" s="33"/>
      <c r="Y43" s="33"/>
      <c r="Z43" s="31">
        <f>Table1[[#This Row],[Quantity of measruing units]]*Table1[[#This Row],[Rate (expected)]]</f>
        <v>0</v>
      </c>
      <c r="AA43" s="31"/>
      <c r="AB43" s="31"/>
      <c r="AC43" s="34">
        <f>Table1[[#This Row],[Quantity (expected)]]*Table1[[#This Row],[Rate (expected)2]]*0.9</f>
        <v>0</v>
      </c>
      <c r="AD43" s="34">
        <f>Table1[[#This Row],[Quantity (expected)]]*Table1[[#This Row],[Rate (expected)2]]*0.8</f>
        <v>0</v>
      </c>
      <c r="AE43" s="34">
        <f>Table1[[#This Row],[Quantity (expected)]]*Table1[[#This Row],[Rate (expected)2]]*0.7</f>
        <v>0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1">
        <f>SUM(Table1[[#This Row],[Jan-23]:[Dec-23]])</f>
        <v>0</v>
      </c>
      <c r="AV43" s="105"/>
      <c r="AW43" s="32"/>
      <c r="AX43" s="35"/>
    </row>
    <row r="44" spans="1:50" ht="26" x14ac:dyDescent="0.3">
      <c r="A44" s="30" t="str">
        <f>VLOOKUP(H44,'Accoount Code Combination'!$D:$L,8,FALSE)</f>
        <v>Communiction &amp; Marketing</v>
      </c>
      <c r="B44" s="31" t="str">
        <f>VLOOKUP(Table1[[#This Row],[Account Code]],'Accoount Code Combination'!$D:$L,9,FALSE)</f>
        <v>No Applicable</v>
      </c>
      <c r="C44" s="4" t="str">
        <f>VLOOKUP(Table1[[#This Row],[Cost Center Code]],'Cost Center Group'!A:B,2,FALSE)</f>
        <v xml:space="preserve">President's Office </v>
      </c>
      <c r="D44" s="4">
        <v>847</v>
      </c>
      <c r="E44" s="79">
        <v>8470140</v>
      </c>
      <c r="F44" s="32" t="s">
        <v>231</v>
      </c>
      <c r="G44" s="4">
        <v>1</v>
      </c>
      <c r="H44" s="95">
        <v>425550</v>
      </c>
      <c r="I44" s="106" t="str">
        <f>IFERROR(VLOOKUP(Table1[[#This Row],[Account Code]],'Accoount Code Combination'!$D:$H,2,FALSE),"")</f>
        <v>Conferences, seminars and exhibitions and other events: - Overseas event</v>
      </c>
      <c r="J44" s="79">
        <v>8470140</v>
      </c>
      <c r="K44" s="4"/>
      <c r="L44" s="4" t="str">
        <f>IFERROR(VLOOKUP(Table1[[#This Row],[Future-1 Description]],'Other '!E32:$F41,2,FALSE),"")</f>
        <v/>
      </c>
      <c r="M44" s="32"/>
      <c r="N44" s="32"/>
      <c r="O44" s="32"/>
      <c r="P44" s="49">
        <v>0</v>
      </c>
      <c r="Q44" s="49">
        <v>1</v>
      </c>
      <c r="R44" s="32"/>
      <c r="S44" s="4"/>
      <c r="T44" s="32"/>
      <c r="U44" s="32"/>
      <c r="V44" s="32"/>
      <c r="W44" s="32"/>
      <c r="X44" s="33"/>
      <c r="Y44" s="33"/>
      <c r="Z44" s="31">
        <f>Table1[[#This Row],[Quantity of measruing units]]*Table1[[#This Row],[Rate (expected)]]</f>
        <v>0</v>
      </c>
      <c r="AA44" s="31"/>
      <c r="AB44" s="31"/>
      <c r="AC44" s="34">
        <f>Table1[[#This Row],[Quantity (expected)]]*Table1[[#This Row],[Rate (expected)2]]*0.9</f>
        <v>0</v>
      </c>
      <c r="AD44" s="34">
        <f>Table1[[#This Row],[Quantity (expected)]]*Table1[[#This Row],[Rate (expected)2]]*0.8</f>
        <v>0</v>
      </c>
      <c r="AE44" s="34">
        <f>Table1[[#This Row],[Quantity (expected)]]*Table1[[#This Row],[Rate (expected)2]]*0.7</f>
        <v>0</v>
      </c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1">
        <f>SUM(Table1[[#This Row],[Jan-23]:[Dec-23]])</f>
        <v>0</v>
      </c>
      <c r="AV44" s="105"/>
      <c r="AW44" s="32"/>
      <c r="AX44" s="35"/>
    </row>
    <row r="45" spans="1:50" x14ac:dyDescent="0.3">
      <c r="A45" s="30" t="str">
        <f>VLOOKUP(H45,'Accoount Code Combination'!$D:$L,8,FALSE)</f>
        <v>Communiction &amp; Marketing</v>
      </c>
      <c r="B45" s="31" t="str">
        <f>VLOOKUP(Table1[[#This Row],[Account Code]],'Accoount Code Combination'!$D:$L,9,FALSE)</f>
        <v>Communications</v>
      </c>
      <c r="C45" s="4" t="str">
        <f>VLOOKUP(Table1[[#This Row],[Cost Center Code]],'Cost Center Group'!A:B,2,FALSE)</f>
        <v xml:space="preserve">President's Office </v>
      </c>
      <c r="D45" s="4">
        <v>847</v>
      </c>
      <c r="E45" s="79">
        <v>8470140</v>
      </c>
      <c r="F45" s="32" t="s">
        <v>231</v>
      </c>
      <c r="G45" s="4">
        <v>1</v>
      </c>
      <c r="H45" s="95">
        <v>427100</v>
      </c>
      <c r="I45" s="106" t="str">
        <f>IFERROR(VLOOKUP(Table1[[#This Row],[Account Code]],'Accoount Code Combination'!$D:$H,2,FALSE),"")</f>
        <v>Public relations</v>
      </c>
      <c r="J45" s="79">
        <v>8470140</v>
      </c>
      <c r="K45" s="4"/>
      <c r="L45" s="4" t="str">
        <f>IFERROR(VLOOKUP(Table1[[#This Row],[Future-1 Description]],'Other '!E33:$F42,2,FALSE),"")</f>
        <v/>
      </c>
      <c r="M45" s="32"/>
      <c r="N45" s="32"/>
      <c r="O45" s="32"/>
      <c r="P45" s="49">
        <v>129310</v>
      </c>
      <c r="Q45" s="49">
        <v>137341</v>
      </c>
      <c r="R45" s="32"/>
      <c r="S45" s="4"/>
      <c r="T45" s="32"/>
      <c r="U45" s="32"/>
      <c r="V45" s="32"/>
      <c r="W45" s="32"/>
      <c r="X45" s="33"/>
      <c r="Y45" s="33"/>
      <c r="Z45" s="31">
        <f>Table1[[#This Row],[Quantity of measruing units]]*Table1[[#This Row],[Rate (expected)]]</f>
        <v>0</v>
      </c>
      <c r="AA45" s="31"/>
      <c r="AB45" s="31"/>
      <c r="AC45" s="34">
        <f>Table1[[#This Row],[Quantity (expected)]]*Table1[[#This Row],[Rate (expected)2]]*0.9</f>
        <v>0</v>
      </c>
      <c r="AD45" s="34">
        <f>Table1[[#This Row],[Quantity (expected)]]*Table1[[#This Row],[Rate (expected)2]]*0.8</f>
        <v>0</v>
      </c>
      <c r="AE45" s="34">
        <f>Table1[[#This Row],[Quantity (expected)]]*Table1[[#This Row],[Rate (expected)2]]*0.7</f>
        <v>0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1">
        <f>SUM(Table1[[#This Row],[Jan-23]:[Dec-23]])</f>
        <v>0</v>
      </c>
      <c r="AV45" s="105"/>
      <c r="AW45" s="32"/>
      <c r="AX45" s="35"/>
    </row>
    <row r="46" spans="1:50" x14ac:dyDescent="0.3">
      <c r="A46" s="30" t="str">
        <f>VLOOKUP(H46,'Accoount Code Combination'!$D:$L,8,FALSE)</f>
        <v>Communiction &amp; Marketing</v>
      </c>
      <c r="B46" s="31" t="str">
        <f>VLOOKUP(Table1[[#This Row],[Account Code]],'Accoount Code Combination'!$D:$L,9,FALSE)</f>
        <v>No Applicable</v>
      </c>
      <c r="C46" s="4" t="str">
        <f>VLOOKUP(Table1[[#This Row],[Cost Center Code]],'Cost Center Group'!A:B,2,FALSE)</f>
        <v xml:space="preserve">President's Office </v>
      </c>
      <c r="D46" s="4">
        <v>847</v>
      </c>
      <c r="E46" s="79">
        <v>8470140</v>
      </c>
      <c r="F46" s="32" t="s">
        <v>231</v>
      </c>
      <c r="G46" s="4">
        <v>1</v>
      </c>
      <c r="H46" s="95">
        <v>427200</v>
      </c>
      <c r="I46" s="106" t="str">
        <f>IFERROR(VLOOKUP(Table1[[#This Row],[Account Code]],'Accoount Code Combination'!$D:$H,2,FALSE),"")</f>
        <v>Printing and publishing</v>
      </c>
      <c r="J46" s="79">
        <v>8470140</v>
      </c>
      <c r="K46" s="4"/>
      <c r="L46" s="4" t="str">
        <f>IFERROR(VLOOKUP(Table1[[#This Row],[Future-1 Description]],'Other '!E34:$F43,2,FALSE),"")</f>
        <v/>
      </c>
      <c r="M46" s="32"/>
      <c r="N46" s="32"/>
      <c r="O46" s="32"/>
      <c r="P46" s="49">
        <v>125002.84</v>
      </c>
      <c r="Q46" s="49">
        <v>1962</v>
      </c>
      <c r="R46" s="32"/>
      <c r="S46" s="4"/>
      <c r="T46" s="32"/>
      <c r="U46" s="32"/>
      <c r="V46" s="32"/>
      <c r="W46" s="32"/>
      <c r="X46" s="33"/>
      <c r="Y46" s="33"/>
      <c r="Z46" s="31">
        <f>Table1[[#This Row],[Quantity of measruing units]]*Table1[[#This Row],[Rate (expected)]]</f>
        <v>0</v>
      </c>
      <c r="AA46" s="31"/>
      <c r="AB46" s="31"/>
      <c r="AC46" s="34">
        <f>Table1[[#This Row],[Quantity (expected)]]*Table1[[#This Row],[Rate (expected)2]]*0.9</f>
        <v>0</v>
      </c>
      <c r="AD46" s="34">
        <f>Table1[[#This Row],[Quantity (expected)]]*Table1[[#This Row],[Rate (expected)2]]*0.8</f>
        <v>0</v>
      </c>
      <c r="AE46" s="34">
        <f>Table1[[#This Row],[Quantity (expected)]]*Table1[[#This Row],[Rate (expected)2]]*0.7</f>
        <v>0</v>
      </c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1">
        <f>SUM(Table1[[#This Row],[Jan-23]:[Dec-23]])</f>
        <v>0</v>
      </c>
      <c r="AV46" s="105"/>
      <c r="AW46" s="32"/>
      <c r="AX46" s="35"/>
    </row>
    <row r="47" spans="1:50" x14ac:dyDescent="0.3">
      <c r="A47" s="30" t="str">
        <f>VLOOKUP(H47,'Accoount Code Combination'!$D:$L,8,FALSE)</f>
        <v>Communiction &amp; Marketing</v>
      </c>
      <c r="B47" s="31" t="str">
        <f>VLOOKUP(Table1[[#This Row],[Account Code]],'Accoount Code Combination'!$D:$L,9,FALSE)</f>
        <v>Gifts</v>
      </c>
      <c r="C47" s="4" t="str">
        <f>VLOOKUP(Table1[[#This Row],[Cost Center Code]],'Cost Center Group'!A:B,2,FALSE)</f>
        <v xml:space="preserve">President's Office </v>
      </c>
      <c r="D47" s="4">
        <v>847</v>
      </c>
      <c r="E47" s="79">
        <v>8470140</v>
      </c>
      <c r="F47" s="32" t="s">
        <v>231</v>
      </c>
      <c r="G47" s="4">
        <v>1</v>
      </c>
      <c r="H47" s="95">
        <v>428640</v>
      </c>
      <c r="I47" s="106" t="str">
        <f>IFERROR(VLOOKUP(Table1[[#This Row],[Account Code]],'Accoount Code Combination'!$D:$H,2,FALSE),"")</f>
        <v>Events - Awards, prizes &amp; gifts</v>
      </c>
      <c r="J47" s="79">
        <v>8470140</v>
      </c>
      <c r="K47" s="4"/>
      <c r="L47" s="4" t="str">
        <f>IFERROR(VLOOKUP(Table1[[#This Row],[Future-1 Description]],'Other '!E35:$F44,2,FALSE),"")</f>
        <v/>
      </c>
      <c r="M47" s="32"/>
      <c r="N47" s="32"/>
      <c r="O47" s="32"/>
      <c r="P47" s="49">
        <v>0</v>
      </c>
      <c r="Q47" s="49">
        <v>0</v>
      </c>
      <c r="R47" s="32"/>
      <c r="S47" s="4"/>
      <c r="T47" s="32"/>
      <c r="U47" s="32"/>
      <c r="V47" s="32"/>
      <c r="W47" s="32"/>
      <c r="X47" s="33"/>
      <c r="Y47" s="33"/>
      <c r="Z47" s="31">
        <f>Table1[[#This Row],[Quantity of measruing units]]*Table1[[#This Row],[Rate (expected)]]</f>
        <v>0</v>
      </c>
      <c r="AA47" s="31"/>
      <c r="AB47" s="31"/>
      <c r="AC47" s="34">
        <f>Table1[[#This Row],[Quantity (expected)]]*Table1[[#This Row],[Rate (expected)2]]*0.9</f>
        <v>0</v>
      </c>
      <c r="AD47" s="34">
        <f>Table1[[#This Row],[Quantity (expected)]]*Table1[[#This Row],[Rate (expected)2]]*0.8</f>
        <v>0</v>
      </c>
      <c r="AE47" s="34">
        <f>Table1[[#This Row],[Quantity (expected)]]*Table1[[#This Row],[Rate (expected)2]]*0.7</f>
        <v>0</v>
      </c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1">
        <f>SUM(Table1[[#This Row],[Jan-23]:[Dec-23]])</f>
        <v>0</v>
      </c>
      <c r="AV47" s="105"/>
      <c r="AW47" s="32"/>
      <c r="AX47" s="35"/>
    </row>
    <row r="48" spans="1:50" x14ac:dyDescent="0.3">
      <c r="A48" s="30" t="str">
        <f>VLOOKUP(H48,'Accoount Code Combination'!$D:$L,8,FALSE)</f>
        <v>Other support</v>
      </c>
      <c r="B48" s="31" t="str">
        <f>VLOOKUP(Table1[[#This Row],[Account Code]],'Accoount Code Combination'!$D:$L,9,FALSE)</f>
        <v>Subscriptions</v>
      </c>
      <c r="C48" s="4" t="str">
        <f>VLOOKUP(Table1[[#This Row],[Cost Center Code]],'Cost Center Group'!A:B,2,FALSE)</f>
        <v xml:space="preserve">President's Office </v>
      </c>
      <c r="D48" s="4">
        <v>847</v>
      </c>
      <c r="E48" s="79">
        <v>8470140</v>
      </c>
      <c r="F48" s="32" t="s">
        <v>231</v>
      </c>
      <c r="G48" s="4">
        <v>1</v>
      </c>
      <c r="H48" s="95">
        <v>435310</v>
      </c>
      <c r="I48" s="106" t="str">
        <f>IFERROR(VLOOKUP(Table1[[#This Row],[Account Code]],'Accoount Code Combination'!$D:$H,2,FALSE),"")</f>
        <v>Newspapers, magazines, journals, etc</v>
      </c>
      <c r="J48" s="79">
        <v>8470140</v>
      </c>
      <c r="K48" s="4"/>
      <c r="L48" s="4" t="str">
        <f>IFERROR(VLOOKUP(Table1[[#This Row],[Future-1 Description]],'Other '!E36:$F45,2,FALSE),"")</f>
        <v/>
      </c>
      <c r="M48" s="32"/>
      <c r="N48" s="32"/>
      <c r="O48" s="32"/>
      <c r="P48" s="49">
        <v>13568.1</v>
      </c>
      <c r="Q48" s="49">
        <v>10000</v>
      </c>
      <c r="R48" s="32"/>
      <c r="S48" s="4"/>
      <c r="T48" s="32"/>
      <c r="U48" s="32"/>
      <c r="V48" s="32"/>
      <c r="W48" s="32"/>
      <c r="X48" s="33"/>
      <c r="Y48" s="33"/>
      <c r="Z48" s="31">
        <f>Table1[[#This Row],[Quantity of measruing units]]*Table1[[#This Row],[Rate (expected)]]</f>
        <v>0</v>
      </c>
      <c r="AA48" s="31"/>
      <c r="AB48" s="31"/>
      <c r="AC48" s="34">
        <f>Table1[[#This Row],[Quantity (expected)]]*Table1[[#This Row],[Rate (expected)2]]*0.9</f>
        <v>0</v>
      </c>
      <c r="AD48" s="34">
        <f>Table1[[#This Row],[Quantity (expected)]]*Table1[[#This Row],[Rate (expected)2]]*0.8</f>
        <v>0</v>
      </c>
      <c r="AE48" s="34">
        <f>Table1[[#This Row],[Quantity (expected)]]*Table1[[#This Row],[Rate (expected)2]]*0.7</f>
        <v>0</v>
      </c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1">
        <f>SUM(Table1[[#This Row],[Jan-23]:[Dec-23]])</f>
        <v>0</v>
      </c>
      <c r="AV48" s="105"/>
      <c r="AW48" s="32"/>
      <c r="AX48" s="35"/>
    </row>
    <row r="49" spans="1:50" ht="26" x14ac:dyDescent="0.3">
      <c r="A49" s="30" t="str">
        <f>VLOOKUP(H49,'Accoount Code Combination'!$D:$L,8,FALSE)</f>
        <v>Communiction &amp; Marketing</v>
      </c>
      <c r="B49" s="31" t="str">
        <f>VLOOKUP(Table1[[#This Row],[Account Code]],'Accoount Code Combination'!$D:$L,9,FALSE)</f>
        <v>Photography</v>
      </c>
      <c r="C49" s="4" t="str">
        <f>VLOOKUP(Table1[[#This Row],[Cost Center Code]],'Cost Center Group'!A:B,2,FALSE)</f>
        <v xml:space="preserve">President's Office </v>
      </c>
      <c r="D49" s="4">
        <v>847</v>
      </c>
      <c r="E49" s="79">
        <v>8470140</v>
      </c>
      <c r="F49" s="32" t="s">
        <v>231</v>
      </c>
      <c r="G49" s="4">
        <v>1</v>
      </c>
      <c r="H49" s="95">
        <v>435519</v>
      </c>
      <c r="I49" s="106" t="str">
        <f>IFERROR(VLOOKUP(Table1[[#This Row],[Account Code]],'Accoount Code Combination'!$D:$H,2,FALSE),"")</f>
        <v>Photography - Consumable materials /Tools</v>
      </c>
      <c r="J49" s="79">
        <v>8470140</v>
      </c>
      <c r="K49" s="4"/>
      <c r="L49" s="4" t="str">
        <f>IFERROR(VLOOKUP(Table1[[#This Row],[Future-1 Description]],'Other '!E37:$F46,2,FALSE),"")</f>
        <v/>
      </c>
      <c r="M49" s="32"/>
      <c r="N49" s="32"/>
      <c r="O49" s="32"/>
      <c r="P49" s="49">
        <v>53870</v>
      </c>
      <c r="Q49" s="49">
        <v>193297</v>
      </c>
      <c r="R49" s="32"/>
      <c r="S49" s="4"/>
      <c r="T49" s="32"/>
      <c r="U49" s="32"/>
      <c r="V49" s="32"/>
      <c r="W49" s="32"/>
      <c r="X49" s="33"/>
      <c r="Y49" s="33"/>
      <c r="Z49" s="31">
        <f>Table1[[#This Row],[Quantity of measruing units]]*Table1[[#This Row],[Rate (expected)]]</f>
        <v>0</v>
      </c>
      <c r="AA49" s="31"/>
      <c r="AB49" s="31"/>
      <c r="AC49" s="34">
        <f>Table1[[#This Row],[Quantity (expected)]]*Table1[[#This Row],[Rate (expected)2]]*0.9</f>
        <v>0</v>
      </c>
      <c r="AD49" s="34">
        <f>Table1[[#This Row],[Quantity (expected)]]*Table1[[#This Row],[Rate (expected)2]]*0.8</f>
        <v>0</v>
      </c>
      <c r="AE49" s="34">
        <f>Table1[[#This Row],[Quantity (expected)]]*Table1[[#This Row],[Rate (expected)2]]*0.7</f>
        <v>0</v>
      </c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1">
        <f>SUM(Table1[[#This Row],[Jan-23]:[Dec-23]])</f>
        <v>0</v>
      </c>
      <c r="AV49" s="105"/>
      <c r="AW49" s="32"/>
      <c r="AX49" s="35"/>
    </row>
    <row r="50" spans="1:50" x14ac:dyDescent="0.3">
      <c r="A50" s="30" t="str">
        <f>VLOOKUP(H50,'Accoount Code Combination'!$D:$L,8,FALSE)</f>
        <v>Other support</v>
      </c>
      <c r="B50" s="31" t="str">
        <f>VLOOKUP(Table1[[#This Row],[Account Code]],'Accoount Code Combination'!$D:$L,9,FALSE)</f>
        <v>Legal and professional fees</v>
      </c>
      <c r="C50" s="4" t="str">
        <f>VLOOKUP(Table1[[#This Row],[Cost Center Code]],'Cost Center Group'!A:B,2,FALSE)</f>
        <v xml:space="preserve">President's Office </v>
      </c>
      <c r="D50" s="4">
        <v>847</v>
      </c>
      <c r="E50" s="79">
        <v>8470150</v>
      </c>
      <c r="F50" s="32" t="s">
        <v>208</v>
      </c>
      <c r="G50" s="4">
        <v>1</v>
      </c>
      <c r="H50" s="95">
        <v>420900</v>
      </c>
      <c r="I50" s="106" t="str">
        <f>IFERROR(VLOOKUP(Table1[[#This Row],[Account Code]],'Accoount Code Combination'!$D:$H,2,FALSE),"")</f>
        <v>Legal services</v>
      </c>
      <c r="J50" s="79">
        <v>8470150</v>
      </c>
      <c r="K50" s="4"/>
      <c r="L50" s="4" t="str">
        <f>IFERROR(VLOOKUP(Table1[[#This Row],[Future-1 Description]],'Other '!E38:$F47,2,FALSE),"")</f>
        <v/>
      </c>
      <c r="M50" s="32"/>
      <c r="N50" s="32"/>
      <c r="O50" s="32"/>
      <c r="P50" s="49">
        <v>16996.14</v>
      </c>
      <c r="Q50" s="49">
        <v>18595</v>
      </c>
      <c r="R50" s="32"/>
      <c r="S50" s="4"/>
      <c r="T50" s="32"/>
      <c r="U50" s="32"/>
      <c r="V50" s="32"/>
      <c r="W50" s="32"/>
      <c r="X50" s="33"/>
      <c r="Y50" s="33"/>
      <c r="Z50" s="31">
        <f>Table1[[#This Row],[Quantity of measruing units]]*Table1[[#This Row],[Rate (expected)]]</f>
        <v>0</v>
      </c>
      <c r="AA50" s="31"/>
      <c r="AB50" s="31"/>
      <c r="AC50" s="34">
        <f>Table1[[#This Row],[Quantity (expected)]]*Table1[[#This Row],[Rate (expected)2]]*0.9</f>
        <v>0</v>
      </c>
      <c r="AD50" s="34">
        <f>Table1[[#This Row],[Quantity (expected)]]*Table1[[#This Row],[Rate (expected)2]]*0.8</f>
        <v>0</v>
      </c>
      <c r="AE50" s="34">
        <f>Table1[[#This Row],[Quantity (expected)]]*Table1[[#This Row],[Rate (expected)2]]*0.7</f>
        <v>0</v>
      </c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1">
        <f>SUM(Table1[[#This Row],[Jan-23]:[Dec-23]])</f>
        <v>0</v>
      </c>
      <c r="AV50" s="105"/>
      <c r="AW50" s="32"/>
      <c r="AX50" s="35"/>
    </row>
    <row r="51" spans="1:50" x14ac:dyDescent="0.3">
      <c r="A51" s="30" t="str">
        <f>VLOOKUP(H51,'Accoount Code Combination'!$D:$L,8,FALSE)</f>
        <v>Other support</v>
      </c>
      <c r="B51" s="31" t="str">
        <f>VLOOKUP(Table1[[#This Row],[Account Code]],'Accoount Code Combination'!$D:$L,9,FALSE)</f>
        <v>No Applicable</v>
      </c>
      <c r="C51" s="4" t="str">
        <f>VLOOKUP(Table1[[#This Row],[Cost Center Code]],'Cost Center Group'!A:B,2,FALSE)</f>
        <v xml:space="preserve">President's Office </v>
      </c>
      <c r="D51" s="4">
        <v>847</v>
      </c>
      <c r="E51" s="79">
        <v>8470150</v>
      </c>
      <c r="F51" s="32" t="s">
        <v>208</v>
      </c>
      <c r="G51" s="4">
        <v>1</v>
      </c>
      <c r="H51" s="95">
        <v>425900</v>
      </c>
      <c r="I51" s="106" t="str">
        <f>IFERROR(VLOOKUP(Table1[[#This Row],[Account Code]],'Accoount Code Combination'!$D:$H,2,FALSE),"")</f>
        <v>Entertainment and hospitality</v>
      </c>
      <c r="J51" s="79">
        <v>8470150</v>
      </c>
      <c r="K51" s="4"/>
      <c r="L51" s="4" t="str">
        <f>IFERROR(VLOOKUP(Table1[[#This Row],[Future-1 Description]],'Other '!E39:$F48,2,FALSE),"")</f>
        <v/>
      </c>
      <c r="M51" s="32"/>
      <c r="N51" s="32"/>
      <c r="O51" s="32"/>
      <c r="P51" s="49">
        <v>0</v>
      </c>
      <c r="Q51" s="49">
        <v>1</v>
      </c>
      <c r="R51" s="32"/>
      <c r="S51" s="4"/>
      <c r="T51" s="32"/>
      <c r="U51" s="32"/>
      <c r="V51" s="32"/>
      <c r="W51" s="32"/>
      <c r="X51" s="33"/>
      <c r="Y51" s="33"/>
      <c r="Z51" s="31">
        <f>Table1[[#This Row],[Quantity of measruing units]]*Table1[[#This Row],[Rate (expected)]]</f>
        <v>0</v>
      </c>
      <c r="AA51" s="31"/>
      <c r="AB51" s="31"/>
      <c r="AC51" s="34">
        <f>Table1[[#This Row],[Quantity (expected)]]*Table1[[#This Row],[Rate (expected)2]]*0.9</f>
        <v>0</v>
      </c>
      <c r="AD51" s="34">
        <f>Table1[[#This Row],[Quantity (expected)]]*Table1[[#This Row],[Rate (expected)2]]*0.8</f>
        <v>0</v>
      </c>
      <c r="AE51" s="34">
        <f>Table1[[#This Row],[Quantity (expected)]]*Table1[[#This Row],[Rate (expected)2]]*0.7</f>
        <v>0</v>
      </c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1">
        <f>SUM(Table1[[#This Row],[Jan-23]:[Dec-23]])</f>
        <v>0</v>
      </c>
      <c r="AV51" s="105"/>
      <c r="AW51" s="32"/>
      <c r="AX51" s="35"/>
    </row>
    <row r="52" spans="1:50" x14ac:dyDescent="0.3">
      <c r="A52" s="30">
        <f>VLOOKUP(H52,'Accoount Code Combination'!$D:$L,8,FALSE)</f>
        <v>0</v>
      </c>
      <c r="B52" s="31" t="str">
        <f>VLOOKUP(Table1[[#This Row],[Account Code]],'Accoount Code Combination'!$D:$L,9,FALSE)</f>
        <v>No Applicable</v>
      </c>
      <c r="C52" s="4" t="str">
        <f>VLOOKUP(Table1[[#This Row],[Cost Center Code]],'Cost Center Group'!A:B,2,FALSE)</f>
        <v>Provost</v>
      </c>
      <c r="D52" s="4">
        <v>847</v>
      </c>
      <c r="E52" s="79">
        <v>8470220</v>
      </c>
      <c r="F52" s="32" t="s">
        <v>1011</v>
      </c>
      <c r="G52" s="4">
        <v>1</v>
      </c>
      <c r="H52" s="95">
        <v>492316</v>
      </c>
      <c r="I52" s="106" t="str">
        <f>IFERROR(VLOOKUP(Table1[[#This Row],[Account Code]],'Accoount Code Combination'!$D:$H,2,FALSE),"")</f>
        <v>Laboratory equipment</v>
      </c>
      <c r="J52" s="79">
        <v>8470220</v>
      </c>
      <c r="K52" s="4"/>
      <c r="L52" s="4" t="str">
        <f>IFERROR(VLOOKUP(Table1[[#This Row],[Future-1 Description]],'Other '!E40:$F49,2,FALSE),"")</f>
        <v/>
      </c>
      <c r="M52" s="32"/>
      <c r="N52" s="32"/>
      <c r="O52" s="32"/>
      <c r="P52" s="49">
        <v>1481224.01</v>
      </c>
      <c r="Q52" s="49">
        <v>160720</v>
      </c>
      <c r="R52" s="32"/>
      <c r="S52" s="4"/>
      <c r="T52" s="32"/>
      <c r="U52" s="32"/>
      <c r="V52" s="32"/>
      <c r="W52" s="32"/>
      <c r="X52" s="33"/>
      <c r="Y52" s="33"/>
      <c r="Z52" s="31">
        <f>Table1[[#This Row],[Quantity of measruing units]]*Table1[[#This Row],[Rate (expected)]]</f>
        <v>0</v>
      </c>
      <c r="AA52" s="31"/>
      <c r="AB52" s="31"/>
      <c r="AC52" s="34">
        <f>Table1[[#This Row],[Quantity (expected)]]*Table1[[#This Row],[Rate (expected)2]]*0.9</f>
        <v>0</v>
      </c>
      <c r="AD52" s="34">
        <f>Table1[[#This Row],[Quantity (expected)]]*Table1[[#This Row],[Rate (expected)2]]*0.8</f>
        <v>0</v>
      </c>
      <c r="AE52" s="34">
        <f>Table1[[#This Row],[Quantity (expected)]]*Table1[[#This Row],[Rate (expected)2]]*0.7</f>
        <v>0</v>
      </c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1">
        <f>SUM(Table1[[#This Row],[Jan-23]:[Dec-23]])</f>
        <v>0</v>
      </c>
      <c r="AV52" s="105"/>
      <c r="AW52" s="32"/>
      <c r="AX52" s="35"/>
    </row>
    <row r="53" spans="1:50" x14ac:dyDescent="0.3">
      <c r="A53" s="30" t="str">
        <f>VLOOKUP(H53,'Accoount Code Combination'!$D:$L,8,FALSE)</f>
        <v>Academic</v>
      </c>
      <c r="B53" s="31" t="str">
        <f>VLOOKUP(Table1[[#This Row],[Account Code]],'Accoount Code Combination'!$D:$L,9,FALSE)</f>
        <v>No Applicable</v>
      </c>
      <c r="C53" s="4" t="str">
        <f>VLOOKUP(Table1[[#This Row],[Cost Center Code]],'Cost Center Group'!A:B,2,FALSE)</f>
        <v>Graduate Studies</v>
      </c>
      <c r="D53" s="4">
        <v>847</v>
      </c>
      <c r="E53" s="79">
        <v>8470230</v>
      </c>
      <c r="F53" s="32" t="s">
        <v>183</v>
      </c>
      <c r="G53" s="4">
        <v>1</v>
      </c>
      <c r="H53" s="95">
        <v>420550</v>
      </c>
      <c r="I53" s="106" t="str">
        <f>IFERROR(VLOOKUP(Table1[[#This Row],[Account Code]],'Accoount Code Combination'!$D:$H,2,FALSE),"")</f>
        <v>Academic Advisory Service</v>
      </c>
      <c r="J53" s="79">
        <v>8470230</v>
      </c>
      <c r="K53" s="4"/>
      <c r="L53" s="4" t="str">
        <f>IFERROR(VLOOKUP(Table1[[#This Row],[Future-1 Description]],'Other '!E41:$F50,2,FALSE),"")</f>
        <v/>
      </c>
      <c r="M53" s="32"/>
      <c r="N53" s="32"/>
      <c r="O53" s="32"/>
      <c r="P53" s="49">
        <v>79119.87</v>
      </c>
      <c r="Q53" s="49">
        <v>80740</v>
      </c>
      <c r="R53" s="32"/>
      <c r="S53" s="4"/>
      <c r="T53" s="32"/>
      <c r="U53" s="32"/>
      <c r="V53" s="32"/>
      <c r="W53" s="32"/>
      <c r="X53" s="33"/>
      <c r="Y53" s="33"/>
      <c r="Z53" s="31">
        <f>Table1[[#This Row],[Quantity of measruing units]]*Table1[[#This Row],[Rate (expected)]]</f>
        <v>0</v>
      </c>
      <c r="AA53" s="31"/>
      <c r="AB53" s="31"/>
      <c r="AC53" s="34">
        <f>Table1[[#This Row],[Quantity (expected)]]*Table1[[#This Row],[Rate (expected)2]]*0.9</f>
        <v>0</v>
      </c>
      <c r="AD53" s="34">
        <f>Table1[[#This Row],[Quantity (expected)]]*Table1[[#This Row],[Rate (expected)2]]*0.8</f>
        <v>0</v>
      </c>
      <c r="AE53" s="34">
        <f>Table1[[#This Row],[Quantity (expected)]]*Table1[[#This Row],[Rate (expected)2]]*0.7</f>
        <v>0</v>
      </c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1">
        <f>SUM(Table1[[#This Row],[Jan-23]:[Dec-23]])</f>
        <v>0</v>
      </c>
      <c r="AV53" s="105"/>
      <c r="AW53" s="32"/>
      <c r="AX53" s="35"/>
    </row>
    <row r="54" spans="1:50" x14ac:dyDescent="0.3">
      <c r="A54" s="30" t="str">
        <f>VLOOKUP(H54,'Accoount Code Combination'!$D:$L,8,FALSE)</f>
        <v>Communiction &amp; Marketing</v>
      </c>
      <c r="B54" s="31" t="str">
        <f>VLOOKUP(Table1[[#This Row],[Account Code]],'Accoount Code Combination'!$D:$L,9,FALSE)</f>
        <v>Advertising</v>
      </c>
      <c r="C54" s="4" t="str">
        <f>VLOOKUP(Table1[[#This Row],[Cost Center Code]],'Cost Center Group'!A:B,2,FALSE)</f>
        <v>Graduate Studies</v>
      </c>
      <c r="D54" s="4">
        <v>847</v>
      </c>
      <c r="E54" s="79">
        <v>8470230</v>
      </c>
      <c r="F54" s="32" t="s">
        <v>183</v>
      </c>
      <c r="G54" s="4">
        <v>1</v>
      </c>
      <c r="H54" s="95">
        <v>425100</v>
      </c>
      <c r="I54" s="106" t="str">
        <f>IFERROR(VLOOKUP(Table1[[#This Row],[Account Code]],'Accoount Code Combination'!$D:$H,2,FALSE),"")</f>
        <v>Advertising</v>
      </c>
      <c r="J54" s="79">
        <v>8470230</v>
      </c>
      <c r="K54" s="4"/>
      <c r="L54" s="4" t="str">
        <f>IFERROR(VLOOKUP(Table1[[#This Row],[Future-1 Description]],'Other '!E42:$F51,2,FALSE),"")</f>
        <v/>
      </c>
      <c r="M54" s="32"/>
      <c r="N54" s="32"/>
      <c r="O54" s="32"/>
      <c r="P54" s="49">
        <v>0</v>
      </c>
      <c r="Q54" s="49">
        <v>240000</v>
      </c>
      <c r="R54" s="32"/>
      <c r="S54" s="4"/>
      <c r="T54" s="32"/>
      <c r="U54" s="32"/>
      <c r="V54" s="32"/>
      <c r="W54" s="32"/>
      <c r="X54" s="33"/>
      <c r="Y54" s="33"/>
      <c r="Z54" s="31">
        <f>Table1[[#This Row],[Quantity of measruing units]]*Table1[[#This Row],[Rate (expected)]]</f>
        <v>0</v>
      </c>
      <c r="AA54" s="31"/>
      <c r="AB54" s="31"/>
      <c r="AC54" s="34">
        <f>Table1[[#This Row],[Quantity (expected)]]*Table1[[#This Row],[Rate (expected)2]]*0.9</f>
        <v>0</v>
      </c>
      <c r="AD54" s="34">
        <f>Table1[[#This Row],[Quantity (expected)]]*Table1[[#This Row],[Rate (expected)2]]*0.8</f>
        <v>0</v>
      </c>
      <c r="AE54" s="34">
        <f>Table1[[#This Row],[Quantity (expected)]]*Table1[[#This Row],[Rate (expected)2]]*0.7</f>
        <v>0</v>
      </c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1">
        <f>SUM(Table1[[#This Row],[Jan-23]:[Dec-23]])</f>
        <v>0</v>
      </c>
      <c r="AV54" s="105"/>
      <c r="AW54" s="32"/>
      <c r="AX54" s="35"/>
    </row>
    <row r="55" spans="1:50" ht="26" x14ac:dyDescent="0.3">
      <c r="A55" s="30" t="str">
        <f>VLOOKUP(H55,'Accoount Code Combination'!$D:$L,8,FALSE)</f>
        <v>Communiction &amp; Marketing</v>
      </c>
      <c r="B55" s="31" t="str">
        <f>VLOOKUP(Table1[[#This Row],[Account Code]],'Accoount Code Combination'!$D:$L,9,FALSE)</f>
        <v>Events</v>
      </c>
      <c r="C55" s="4" t="str">
        <f>VLOOKUP(Table1[[#This Row],[Cost Center Code]],'Cost Center Group'!A:B,2,FALSE)</f>
        <v>Graduate Studies</v>
      </c>
      <c r="D55" s="4">
        <v>847</v>
      </c>
      <c r="E55" s="79">
        <v>8470230</v>
      </c>
      <c r="F55" s="32" t="s">
        <v>183</v>
      </c>
      <c r="G55" s="4">
        <v>1</v>
      </c>
      <c r="H55" s="95">
        <v>425510</v>
      </c>
      <c r="I55" s="106" t="str">
        <f>IFERROR(VLOOKUP(Table1[[#This Row],[Account Code]],'Accoount Code Combination'!$D:$H,2,FALSE),"")</f>
        <v>Conferences, seminars and exhibitions and other events: - Local Events</v>
      </c>
      <c r="J55" s="79">
        <v>8470230</v>
      </c>
      <c r="K55" s="4"/>
      <c r="L55" s="4" t="str">
        <f>IFERROR(VLOOKUP(Table1[[#This Row],[Future-1 Description]],'Other '!E43:$F52,2,FALSE),"")</f>
        <v/>
      </c>
      <c r="M55" s="32"/>
      <c r="N55" s="32"/>
      <c r="O55" s="32"/>
      <c r="P55" s="49">
        <v>17919</v>
      </c>
      <c r="Q55" s="49">
        <v>10000</v>
      </c>
      <c r="R55" s="32"/>
      <c r="S55" s="4"/>
      <c r="T55" s="32"/>
      <c r="U55" s="32"/>
      <c r="V55" s="32"/>
      <c r="W55" s="32"/>
      <c r="X55" s="33"/>
      <c r="Y55" s="33"/>
      <c r="Z55" s="31">
        <f>Table1[[#This Row],[Quantity of measruing units]]*Table1[[#This Row],[Rate (expected)]]</f>
        <v>0</v>
      </c>
      <c r="AA55" s="31"/>
      <c r="AB55" s="31"/>
      <c r="AC55" s="34">
        <f>Table1[[#This Row],[Quantity (expected)]]*Table1[[#This Row],[Rate (expected)2]]*0.9</f>
        <v>0</v>
      </c>
      <c r="AD55" s="34">
        <f>Table1[[#This Row],[Quantity (expected)]]*Table1[[#This Row],[Rate (expected)2]]*0.8</f>
        <v>0</v>
      </c>
      <c r="AE55" s="34">
        <f>Table1[[#This Row],[Quantity (expected)]]*Table1[[#This Row],[Rate (expected)2]]*0.7</f>
        <v>0</v>
      </c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1">
        <f>SUM(Table1[[#This Row],[Jan-23]:[Dec-23]])</f>
        <v>0</v>
      </c>
      <c r="AV55" s="105"/>
      <c r="AW55" s="32"/>
      <c r="AX55" s="35"/>
    </row>
    <row r="56" spans="1:50" ht="26" x14ac:dyDescent="0.3">
      <c r="A56" s="30" t="str">
        <f>VLOOKUP(H56,'Accoount Code Combination'!$D:$L,8,FALSE)</f>
        <v>Communiction &amp; Marketing</v>
      </c>
      <c r="B56" s="31" t="str">
        <f>VLOOKUP(Table1[[#This Row],[Account Code]],'Accoount Code Combination'!$D:$L,9,FALSE)</f>
        <v>No Applicable</v>
      </c>
      <c r="C56" s="4" t="str">
        <f>VLOOKUP(Table1[[#This Row],[Cost Center Code]],'Cost Center Group'!A:B,2,FALSE)</f>
        <v>Graduate Studies</v>
      </c>
      <c r="D56" s="4">
        <v>847</v>
      </c>
      <c r="E56" s="79">
        <v>8470230</v>
      </c>
      <c r="F56" s="32" t="s">
        <v>183</v>
      </c>
      <c r="G56" s="4">
        <v>1</v>
      </c>
      <c r="H56" s="95">
        <v>425550</v>
      </c>
      <c r="I56" s="106" t="str">
        <f>IFERROR(VLOOKUP(Table1[[#This Row],[Account Code]],'Accoount Code Combination'!$D:$H,2,FALSE),"")</f>
        <v>Conferences, seminars and exhibitions and other events: - Overseas event</v>
      </c>
      <c r="J56" s="79">
        <v>8470230</v>
      </c>
      <c r="K56" s="4"/>
      <c r="L56" s="4" t="str">
        <f>IFERROR(VLOOKUP(Table1[[#This Row],[Future-1 Description]],'Other '!E44:$F53,2,FALSE),"")</f>
        <v/>
      </c>
      <c r="M56" s="32"/>
      <c r="N56" s="32"/>
      <c r="O56" s="32"/>
      <c r="P56" s="49">
        <v>25200.26</v>
      </c>
      <c r="Q56" s="49">
        <v>16500</v>
      </c>
      <c r="R56" s="32"/>
      <c r="S56" s="4"/>
      <c r="T56" s="32"/>
      <c r="U56" s="32"/>
      <c r="V56" s="32"/>
      <c r="W56" s="32"/>
      <c r="X56" s="33"/>
      <c r="Y56" s="33"/>
      <c r="Z56" s="31">
        <f>Table1[[#This Row],[Quantity of measruing units]]*Table1[[#This Row],[Rate (expected)]]</f>
        <v>0</v>
      </c>
      <c r="AA56" s="31"/>
      <c r="AB56" s="31"/>
      <c r="AC56" s="34">
        <f>Table1[[#This Row],[Quantity (expected)]]*Table1[[#This Row],[Rate (expected)2]]*0.9</f>
        <v>0</v>
      </c>
      <c r="AD56" s="34">
        <f>Table1[[#This Row],[Quantity (expected)]]*Table1[[#This Row],[Rate (expected)2]]*0.8</f>
        <v>0</v>
      </c>
      <c r="AE56" s="34">
        <f>Table1[[#This Row],[Quantity (expected)]]*Table1[[#This Row],[Rate (expected)2]]*0.7</f>
        <v>0</v>
      </c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1">
        <f>SUM(Table1[[#This Row],[Jan-23]:[Dec-23]])</f>
        <v>0</v>
      </c>
      <c r="AV56" s="105"/>
      <c r="AW56" s="32"/>
      <c r="AX56" s="35"/>
    </row>
    <row r="57" spans="1:50" x14ac:dyDescent="0.3">
      <c r="A57" s="30" t="str">
        <f>VLOOKUP(H57,'Accoount Code Combination'!$D:$L,8,FALSE)</f>
        <v>Student</v>
      </c>
      <c r="B57" s="31" t="str">
        <f>VLOOKUP(Table1[[#This Row],[Account Code]],'Accoount Code Combination'!$D:$L,9,FALSE)</f>
        <v>No Applicable</v>
      </c>
      <c r="C57" s="4" t="str">
        <f>VLOOKUP(Table1[[#This Row],[Cost Center Code]],'Cost Center Group'!A:B,2,FALSE)</f>
        <v>Graduate Studies</v>
      </c>
      <c r="D57" s="4">
        <v>847</v>
      </c>
      <c r="E57" s="79">
        <v>8470230</v>
      </c>
      <c r="F57" s="32" t="s">
        <v>183</v>
      </c>
      <c r="G57" s="4">
        <v>1</v>
      </c>
      <c r="H57" s="95">
        <v>425741</v>
      </c>
      <c r="I57" s="106" t="str">
        <f>IFERROR(VLOOKUP(Table1[[#This Row],[Account Code]],'Accoount Code Combination'!$D:$H,2,FALSE),"")</f>
        <v>Student stipend</v>
      </c>
      <c r="J57" s="79">
        <v>8470230</v>
      </c>
      <c r="K57" s="4"/>
      <c r="L57" s="4" t="str">
        <f>IFERROR(VLOOKUP(Table1[[#This Row],[Future-1 Description]],'Other '!E45:$F54,2,FALSE),"")</f>
        <v/>
      </c>
      <c r="M57" s="32"/>
      <c r="N57" s="32"/>
      <c r="O57" s="32"/>
      <c r="P57" s="49">
        <v>39497428.030000001</v>
      </c>
      <c r="Q57" s="49">
        <v>0</v>
      </c>
      <c r="R57" s="32"/>
      <c r="S57" s="4"/>
      <c r="T57" s="32"/>
      <c r="U57" s="32"/>
      <c r="V57" s="32"/>
      <c r="W57" s="32"/>
      <c r="X57" s="33"/>
      <c r="Y57" s="33"/>
      <c r="Z57" s="31">
        <f>Table1[[#This Row],[Quantity of measruing units]]*Table1[[#This Row],[Rate (expected)]]</f>
        <v>0</v>
      </c>
      <c r="AA57" s="31"/>
      <c r="AB57" s="31"/>
      <c r="AC57" s="34">
        <f>Table1[[#This Row],[Quantity (expected)]]*Table1[[#This Row],[Rate (expected)2]]*0.9</f>
        <v>0</v>
      </c>
      <c r="AD57" s="34">
        <f>Table1[[#This Row],[Quantity (expected)]]*Table1[[#This Row],[Rate (expected)2]]*0.8</f>
        <v>0</v>
      </c>
      <c r="AE57" s="34">
        <f>Table1[[#This Row],[Quantity (expected)]]*Table1[[#This Row],[Rate (expected)2]]*0.7</f>
        <v>0</v>
      </c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1">
        <f>SUM(Table1[[#This Row],[Jan-23]:[Dec-23]])</f>
        <v>0</v>
      </c>
      <c r="AV57" s="105"/>
      <c r="AW57" s="32"/>
      <c r="AX57" s="35"/>
    </row>
    <row r="58" spans="1:50" x14ac:dyDescent="0.3">
      <c r="A58" s="30" t="str">
        <f>VLOOKUP(H58,'Accoount Code Combination'!$D:$L,8,FALSE)</f>
        <v>Academic</v>
      </c>
      <c r="B58" s="31" t="str">
        <f>VLOOKUP(Table1[[#This Row],[Account Code]],'Accoount Code Combination'!$D:$L,9,FALSE)</f>
        <v>No Applicable</v>
      </c>
      <c r="C58" s="4" t="str">
        <f>VLOOKUP(Table1[[#This Row],[Cost Center Code]],'Cost Center Group'!A:B,2,FALSE)</f>
        <v>Graduate Studies</v>
      </c>
      <c r="D58" s="4">
        <v>847</v>
      </c>
      <c r="E58" s="79">
        <v>8470230</v>
      </c>
      <c r="F58" s="32" t="s">
        <v>183</v>
      </c>
      <c r="G58" s="4">
        <v>1</v>
      </c>
      <c r="H58" s="95">
        <v>425742</v>
      </c>
      <c r="I58" s="106" t="str">
        <f>IFERROR(VLOOKUP(Table1[[#This Row],[Account Code]],'Accoount Code Combination'!$D:$H,2,FALSE),"")</f>
        <v>Enrollment expenses</v>
      </c>
      <c r="J58" s="79">
        <v>8470230</v>
      </c>
      <c r="K58" s="4"/>
      <c r="L58" s="4" t="str">
        <f>IFERROR(VLOOKUP(Table1[[#This Row],[Future-1 Description]],'Other '!E46:$F55,2,FALSE),"")</f>
        <v/>
      </c>
      <c r="M58" s="32"/>
      <c r="N58" s="32"/>
      <c r="O58" s="32"/>
      <c r="P58" s="49">
        <v>-103009</v>
      </c>
      <c r="Q58" s="49">
        <v>0</v>
      </c>
      <c r="R58" s="32"/>
      <c r="S58" s="4"/>
      <c r="T58" s="32"/>
      <c r="U58" s="32"/>
      <c r="V58" s="32"/>
      <c r="W58" s="32"/>
      <c r="X58" s="33"/>
      <c r="Y58" s="33"/>
      <c r="Z58" s="31">
        <f>Table1[[#This Row],[Quantity of measruing units]]*Table1[[#This Row],[Rate (expected)]]</f>
        <v>0</v>
      </c>
      <c r="AA58" s="31"/>
      <c r="AB58" s="31"/>
      <c r="AC58" s="34">
        <f>Table1[[#This Row],[Quantity (expected)]]*Table1[[#This Row],[Rate (expected)2]]*0.9</f>
        <v>0</v>
      </c>
      <c r="AD58" s="34">
        <f>Table1[[#This Row],[Quantity (expected)]]*Table1[[#This Row],[Rate (expected)2]]*0.8</f>
        <v>0</v>
      </c>
      <c r="AE58" s="34">
        <f>Table1[[#This Row],[Quantity (expected)]]*Table1[[#This Row],[Rate (expected)2]]*0.7</f>
        <v>0</v>
      </c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1">
        <f>SUM(Table1[[#This Row],[Jan-23]:[Dec-23]])</f>
        <v>0</v>
      </c>
      <c r="AV58" s="105"/>
      <c r="AW58" s="32"/>
      <c r="AX58" s="35"/>
    </row>
    <row r="59" spans="1:50" x14ac:dyDescent="0.3">
      <c r="A59" s="30" t="str">
        <f>VLOOKUP(H59,'Accoount Code Combination'!$D:$L,8,FALSE)</f>
        <v>Student</v>
      </c>
      <c r="B59" s="31" t="str">
        <f>VLOOKUP(Table1[[#This Row],[Account Code]],'Accoount Code Combination'!$D:$L,9,FALSE)</f>
        <v>No Applicable</v>
      </c>
      <c r="C59" s="4" t="str">
        <f>VLOOKUP(Table1[[#This Row],[Cost Center Code]],'Cost Center Group'!A:B,2,FALSE)</f>
        <v>Graduate Studies</v>
      </c>
      <c r="D59" s="4">
        <v>847</v>
      </c>
      <c r="E59" s="79">
        <v>8470230</v>
      </c>
      <c r="F59" s="32" t="s">
        <v>183</v>
      </c>
      <c r="G59" s="4">
        <v>1</v>
      </c>
      <c r="H59" s="95">
        <v>425743</v>
      </c>
      <c r="I59" s="106" t="str">
        <f>IFERROR(VLOOKUP(Table1[[#This Row],[Account Code]],'Accoount Code Combination'!$D:$H,2,FALSE),"")</f>
        <v>Graduation rewards</v>
      </c>
      <c r="J59" s="79">
        <v>8470230</v>
      </c>
      <c r="K59" s="4"/>
      <c r="L59" s="4" t="str">
        <f>IFERROR(VLOOKUP(Table1[[#This Row],[Future-1 Description]],'Other '!E47:$F56,2,FALSE),"")</f>
        <v/>
      </c>
      <c r="M59" s="32"/>
      <c r="N59" s="32"/>
      <c r="O59" s="32"/>
      <c r="P59" s="49">
        <v>2010000</v>
      </c>
      <c r="Q59" s="49">
        <v>720000</v>
      </c>
      <c r="R59" s="32"/>
      <c r="S59" s="4"/>
      <c r="T59" s="32"/>
      <c r="U59" s="32"/>
      <c r="V59" s="32"/>
      <c r="W59" s="32"/>
      <c r="X59" s="33"/>
      <c r="Y59" s="33"/>
      <c r="Z59" s="31">
        <f>Table1[[#This Row],[Quantity of measruing units]]*Table1[[#This Row],[Rate (expected)]]</f>
        <v>0</v>
      </c>
      <c r="AA59" s="31"/>
      <c r="AB59" s="31"/>
      <c r="AC59" s="34">
        <f>Table1[[#This Row],[Quantity (expected)]]*Table1[[#This Row],[Rate (expected)2]]*0.9</f>
        <v>0</v>
      </c>
      <c r="AD59" s="34">
        <f>Table1[[#This Row],[Quantity (expected)]]*Table1[[#This Row],[Rate (expected)2]]*0.8</f>
        <v>0</v>
      </c>
      <c r="AE59" s="34">
        <f>Table1[[#This Row],[Quantity (expected)]]*Table1[[#This Row],[Rate (expected)2]]*0.7</f>
        <v>0</v>
      </c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1">
        <f>SUM(Table1[[#This Row],[Jan-23]:[Dec-23]])</f>
        <v>0</v>
      </c>
      <c r="AV59" s="105"/>
      <c r="AW59" s="32"/>
      <c r="AX59" s="35"/>
    </row>
    <row r="60" spans="1:50" x14ac:dyDescent="0.3">
      <c r="A60" s="30" t="str">
        <f>VLOOKUP(H60,'Accoount Code Combination'!$D:$L,8,FALSE)</f>
        <v>Student</v>
      </c>
      <c r="B60" s="31" t="str">
        <f>VLOOKUP(Table1[[#This Row],[Account Code]],'Accoount Code Combination'!$D:$L,9,FALSE)</f>
        <v>No Applicable</v>
      </c>
      <c r="C60" s="4" t="str">
        <f>VLOOKUP(Table1[[#This Row],[Cost Center Code]],'Cost Center Group'!A:B,2,FALSE)</f>
        <v>Graduate Studies</v>
      </c>
      <c r="D60" s="4">
        <v>847</v>
      </c>
      <c r="E60" s="79">
        <v>8470230</v>
      </c>
      <c r="F60" s="32" t="s">
        <v>183</v>
      </c>
      <c r="G60" s="4">
        <v>1</v>
      </c>
      <c r="H60" s="95">
        <v>425744</v>
      </c>
      <c r="I60" s="106" t="str">
        <f>IFERROR(VLOOKUP(Table1[[#This Row],[Account Code]],'Accoount Code Combination'!$D:$H,2,FALSE),"")</f>
        <v>Student medical insurance</v>
      </c>
      <c r="J60" s="79">
        <v>8470230</v>
      </c>
      <c r="K60" s="4"/>
      <c r="L60" s="4" t="str">
        <f>IFERROR(VLOOKUP(Table1[[#This Row],[Future-1 Description]],'Other '!E48:$F57,2,FALSE),"")</f>
        <v/>
      </c>
      <c r="M60" s="32"/>
      <c r="N60" s="32"/>
      <c r="O60" s="32"/>
      <c r="P60" s="49">
        <v>0</v>
      </c>
      <c r="Q60" s="49">
        <v>1</v>
      </c>
      <c r="R60" s="32"/>
      <c r="S60" s="4"/>
      <c r="T60" s="32"/>
      <c r="U60" s="32"/>
      <c r="V60" s="32"/>
      <c r="W60" s="32"/>
      <c r="X60" s="33"/>
      <c r="Y60" s="33"/>
      <c r="Z60" s="31">
        <f>Table1[[#This Row],[Quantity of measruing units]]*Table1[[#This Row],[Rate (expected)]]</f>
        <v>0</v>
      </c>
      <c r="AA60" s="31"/>
      <c r="AB60" s="31"/>
      <c r="AC60" s="34">
        <f>Table1[[#This Row],[Quantity (expected)]]*Table1[[#This Row],[Rate (expected)2]]*0.9</f>
        <v>0</v>
      </c>
      <c r="AD60" s="34">
        <f>Table1[[#This Row],[Quantity (expected)]]*Table1[[#This Row],[Rate (expected)2]]*0.8</f>
        <v>0</v>
      </c>
      <c r="AE60" s="34">
        <f>Table1[[#This Row],[Quantity (expected)]]*Table1[[#This Row],[Rate (expected)2]]*0.7</f>
        <v>0</v>
      </c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1">
        <f>SUM(Table1[[#This Row],[Jan-23]:[Dec-23]])</f>
        <v>0</v>
      </c>
      <c r="AV60" s="105"/>
      <c r="AW60" s="32"/>
      <c r="AX60" s="35"/>
    </row>
    <row r="61" spans="1:50" x14ac:dyDescent="0.3">
      <c r="A61" s="30" t="str">
        <f>VLOOKUP(H61,'Accoount Code Combination'!$D:$L,8,FALSE)</f>
        <v>Student</v>
      </c>
      <c r="B61" s="31" t="str">
        <f>VLOOKUP(Table1[[#This Row],[Account Code]],'Accoount Code Combination'!$D:$L,9,FALSE)</f>
        <v>No Applicable</v>
      </c>
      <c r="C61" s="4" t="str">
        <f>VLOOKUP(Table1[[#This Row],[Cost Center Code]],'Cost Center Group'!A:B,2,FALSE)</f>
        <v>Graduate Studies</v>
      </c>
      <c r="D61" s="4">
        <v>847</v>
      </c>
      <c r="E61" s="79">
        <v>8470230</v>
      </c>
      <c r="F61" s="32" t="s">
        <v>183</v>
      </c>
      <c r="G61" s="4">
        <v>1</v>
      </c>
      <c r="H61" s="95">
        <v>425745</v>
      </c>
      <c r="I61" s="106" t="str">
        <f>IFERROR(VLOOKUP(Table1[[#This Row],[Account Code]],'Accoount Code Combination'!$D:$H,2,FALSE),"")</f>
        <v>Student relocation &amp; travel exps</v>
      </c>
      <c r="J61" s="79">
        <v>8470230</v>
      </c>
      <c r="K61" s="4"/>
      <c r="L61" s="4" t="str">
        <f>IFERROR(VLOOKUP(Table1[[#This Row],[Future-1 Description]],'Other '!E49:$F58,2,FALSE),"")</f>
        <v/>
      </c>
      <c r="M61" s="32"/>
      <c r="N61" s="32"/>
      <c r="O61" s="32"/>
      <c r="P61" s="49">
        <v>1706509.45</v>
      </c>
      <c r="Q61" s="49">
        <v>1403064</v>
      </c>
      <c r="R61" s="32"/>
      <c r="S61" s="4"/>
      <c r="T61" s="32"/>
      <c r="U61" s="32"/>
      <c r="V61" s="32"/>
      <c r="W61" s="32"/>
      <c r="X61" s="33"/>
      <c r="Y61" s="33"/>
      <c r="Z61" s="31">
        <f>Table1[[#This Row],[Quantity of measruing units]]*Table1[[#This Row],[Rate (expected)]]</f>
        <v>0</v>
      </c>
      <c r="AA61" s="31"/>
      <c r="AB61" s="31"/>
      <c r="AC61" s="34">
        <f>Table1[[#This Row],[Quantity (expected)]]*Table1[[#This Row],[Rate (expected)2]]*0.9</f>
        <v>0</v>
      </c>
      <c r="AD61" s="34">
        <f>Table1[[#This Row],[Quantity (expected)]]*Table1[[#This Row],[Rate (expected)2]]*0.8</f>
        <v>0</v>
      </c>
      <c r="AE61" s="34">
        <f>Table1[[#This Row],[Quantity (expected)]]*Table1[[#This Row],[Rate (expected)2]]*0.7</f>
        <v>0</v>
      </c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1">
        <f>SUM(Table1[[#This Row],[Jan-23]:[Dec-23]])</f>
        <v>0</v>
      </c>
      <c r="AV61" s="105"/>
      <c r="AW61" s="32"/>
      <c r="AX61" s="35"/>
    </row>
    <row r="62" spans="1:50" x14ac:dyDescent="0.3">
      <c r="A62" s="30" t="str">
        <f>VLOOKUP(H62,'Accoount Code Combination'!$D:$L,8,FALSE)</f>
        <v>Student</v>
      </c>
      <c r="B62" s="31" t="str">
        <f>VLOOKUP(Table1[[#This Row],[Account Code]],'Accoount Code Combination'!$D:$L,9,FALSE)</f>
        <v>No Applicable</v>
      </c>
      <c r="C62" s="4" t="str">
        <f>VLOOKUP(Table1[[#This Row],[Cost Center Code]],'Cost Center Group'!A:B,2,FALSE)</f>
        <v>Graduate Studies</v>
      </c>
      <c r="D62" s="4">
        <v>847</v>
      </c>
      <c r="E62" s="79">
        <v>8470230</v>
      </c>
      <c r="F62" s="32" t="s">
        <v>183</v>
      </c>
      <c r="G62" s="4">
        <v>1</v>
      </c>
      <c r="H62" s="95">
        <v>425749</v>
      </c>
      <c r="I62" s="106" t="str">
        <f>IFERROR(VLOOKUP(Table1[[#This Row],[Account Code]],'Accoount Code Combination'!$D:$H,2,FALSE),"")</f>
        <v>Postgraduate Student Salaries</v>
      </c>
      <c r="J62" s="79">
        <v>8470230</v>
      </c>
      <c r="K62" s="4"/>
      <c r="L62" s="4" t="str">
        <f>IFERROR(VLOOKUP(Table1[[#This Row],[Future-1 Description]],'Other '!E50:$F59,2,FALSE),"")</f>
        <v/>
      </c>
      <c r="M62" s="32"/>
      <c r="N62" s="32"/>
      <c r="O62" s="32"/>
      <c r="P62" s="49">
        <v>22420057.32</v>
      </c>
      <c r="Q62" s="49">
        <v>101999705</v>
      </c>
      <c r="R62" s="32"/>
      <c r="S62" s="4"/>
      <c r="T62" s="32"/>
      <c r="U62" s="32"/>
      <c r="V62" s="32"/>
      <c r="W62" s="32"/>
      <c r="X62" s="33"/>
      <c r="Y62" s="33"/>
      <c r="Z62" s="31">
        <f>Table1[[#This Row],[Quantity of measruing units]]*Table1[[#This Row],[Rate (expected)]]</f>
        <v>0</v>
      </c>
      <c r="AA62" s="31"/>
      <c r="AB62" s="31"/>
      <c r="AC62" s="34">
        <f>Table1[[#This Row],[Quantity (expected)]]*Table1[[#This Row],[Rate (expected)2]]*0.9</f>
        <v>0</v>
      </c>
      <c r="AD62" s="34">
        <f>Table1[[#This Row],[Quantity (expected)]]*Table1[[#This Row],[Rate (expected)2]]*0.8</f>
        <v>0</v>
      </c>
      <c r="AE62" s="34">
        <f>Table1[[#This Row],[Quantity (expected)]]*Table1[[#This Row],[Rate (expected)2]]*0.7</f>
        <v>0</v>
      </c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1">
        <f>SUM(Table1[[#This Row],[Jan-23]:[Dec-23]])</f>
        <v>0</v>
      </c>
      <c r="AV62" s="105"/>
      <c r="AW62" s="32"/>
      <c r="AX62" s="35"/>
    </row>
    <row r="63" spans="1:50" x14ac:dyDescent="0.3">
      <c r="A63" s="30" t="str">
        <f>VLOOKUP(H63,'Accoount Code Combination'!$D:$L,8,FALSE)</f>
        <v>Academic</v>
      </c>
      <c r="B63" s="31" t="str">
        <f>VLOOKUP(Table1[[#This Row],[Account Code]],'Accoount Code Combination'!$D:$L,9,FALSE)</f>
        <v>No Applicable</v>
      </c>
      <c r="C63" s="4" t="str">
        <f>VLOOKUP(Table1[[#This Row],[Cost Center Code]],'Cost Center Group'!A:B,2,FALSE)</f>
        <v>Graduate Studies</v>
      </c>
      <c r="D63" s="4">
        <v>847</v>
      </c>
      <c r="E63" s="79">
        <v>8470230</v>
      </c>
      <c r="F63" s="32" t="s">
        <v>183</v>
      </c>
      <c r="G63" s="4">
        <v>1</v>
      </c>
      <c r="H63" s="95">
        <v>425761</v>
      </c>
      <c r="I63" s="106" t="str">
        <f>IFERROR(VLOOKUP(Table1[[#This Row],[Account Code]],'Accoount Code Combination'!$D:$H,2,FALSE),"")</f>
        <v>Student Field trips</v>
      </c>
      <c r="J63" s="79">
        <v>8470230</v>
      </c>
      <c r="K63" s="4"/>
      <c r="L63" s="4" t="str">
        <f>IFERROR(VLOOKUP(Table1[[#This Row],[Future-1 Description]],'Other '!E51:$F60,2,FALSE),"")</f>
        <v/>
      </c>
      <c r="M63" s="32"/>
      <c r="N63" s="32"/>
      <c r="O63" s="32"/>
      <c r="P63" s="49">
        <v>0</v>
      </c>
      <c r="Q63" s="49">
        <v>0</v>
      </c>
      <c r="R63" s="32"/>
      <c r="S63" s="4"/>
      <c r="T63" s="32"/>
      <c r="U63" s="32"/>
      <c r="V63" s="32"/>
      <c r="W63" s="32"/>
      <c r="X63" s="33"/>
      <c r="Y63" s="33"/>
      <c r="Z63" s="31">
        <f>Table1[[#This Row],[Quantity of measruing units]]*Table1[[#This Row],[Rate (expected)]]</f>
        <v>0</v>
      </c>
      <c r="AA63" s="31"/>
      <c r="AB63" s="31"/>
      <c r="AC63" s="34">
        <f>Table1[[#This Row],[Quantity (expected)]]*Table1[[#This Row],[Rate (expected)2]]*0.9</f>
        <v>0</v>
      </c>
      <c r="AD63" s="34">
        <f>Table1[[#This Row],[Quantity (expected)]]*Table1[[#This Row],[Rate (expected)2]]*0.8</f>
        <v>0</v>
      </c>
      <c r="AE63" s="34">
        <f>Table1[[#This Row],[Quantity (expected)]]*Table1[[#This Row],[Rate (expected)2]]*0.7</f>
        <v>0</v>
      </c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1">
        <f>SUM(Table1[[#This Row],[Jan-23]:[Dec-23]])</f>
        <v>0</v>
      </c>
      <c r="AV63" s="105"/>
      <c r="AW63" s="32"/>
      <c r="AX63" s="35"/>
    </row>
    <row r="64" spans="1:50" x14ac:dyDescent="0.3">
      <c r="A64" s="30" t="str">
        <f>VLOOKUP(H64,'Accoount Code Combination'!$D:$L,8,FALSE)</f>
        <v>Student</v>
      </c>
      <c r="B64" s="31" t="str">
        <f>VLOOKUP(Table1[[#This Row],[Account Code]],'Accoount Code Combination'!$D:$L,9,FALSE)</f>
        <v>No Applicable</v>
      </c>
      <c r="C64" s="4" t="str">
        <f>VLOOKUP(Table1[[#This Row],[Cost Center Code]],'Cost Center Group'!A:B,2,FALSE)</f>
        <v>Graduate Studies</v>
      </c>
      <c r="D64" s="4">
        <v>847</v>
      </c>
      <c r="E64" s="79">
        <v>8470230</v>
      </c>
      <c r="F64" s="32" t="s">
        <v>183</v>
      </c>
      <c r="G64" s="4">
        <v>1</v>
      </c>
      <c r="H64" s="95">
        <v>425762</v>
      </c>
      <c r="I64" s="106" t="str">
        <f>IFERROR(VLOOKUP(Table1[[#This Row],[Account Code]],'Accoount Code Combination'!$D:$H,2,FALSE),"")</f>
        <v>Student Internship</v>
      </c>
      <c r="J64" s="79">
        <v>8470230</v>
      </c>
      <c r="K64" s="4"/>
      <c r="L64" s="4" t="str">
        <f>IFERROR(VLOOKUP(Table1[[#This Row],[Future-1 Description]],'Other '!E52:$F61,2,FALSE),"")</f>
        <v/>
      </c>
      <c r="M64" s="32"/>
      <c r="N64" s="32"/>
      <c r="O64" s="32"/>
      <c r="P64" s="49">
        <v>0</v>
      </c>
      <c r="Q64" s="49">
        <v>0</v>
      </c>
      <c r="R64" s="32"/>
      <c r="S64" s="4"/>
      <c r="T64" s="32"/>
      <c r="U64" s="32"/>
      <c r="V64" s="32"/>
      <c r="W64" s="32"/>
      <c r="X64" s="33"/>
      <c r="Y64" s="33"/>
      <c r="Z64" s="31">
        <f>Table1[[#This Row],[Quantity of measruing units]]*Table1[[#This Row],[Rate (expected)]]</f>
        <v>0</v>
      </c>
      <c r="AA64" s="31"/>
      <c r="AB64" s="31"/>
      <c r="AC64" s="34">
        <f>Table1[[#This Row],[Quantity (expected)]]*Table1[[#This Row],[Rate (expected)2]]*0.9</f>
        <v>0</v>
      </c>
      <c r="AD64" s="34">
        <f>Table1[[#This Row],[Quantity (expected)]]*Table1[[#This Row],[Rate (expected)2]]*0.8</f>
        <v>0</v>
      </c>
      <c r="AE64" s="34">
        <f>Table1[[#This Row],[Quantity (expected)]]*Table1[[#This Row],[Rate (expected)2]]*0.7</f>
        <v>0</v>
      </c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1">
        <f>SUM(Table1[[#This Row],[Jan-23]:[Dec-23]])</f>
        <v>0</v>
      </c>
      <c r="AV64" s="105"/>
      <c r="AW64" s="32"/>
      <c r="AX64" s="35"/>
    </row>
    <row r="65" spans="1:50" x14ac:dyDescent="0.3">
      <c r="A65" s="30" t="str">
        <f>VLOOKUP(H65,'Accoount Code Combination'!$D:$L,8,FALSE)</f>
        <v>Academic</v>
      </c>
      <c r="B65" s="31" t="str">
        <f>VLOOKUP(Table1[[#This Row],[Account Code]],'Accoount Code Combination'!$D:$L,9,FALSE)</f>
        <v>No Applicable</v>
      </c>
      <c r="C65" s="4" t="str">
        <f>VLOOKUP(Table1[[#This Row],[Cost Center Code]],'Cost Center Group'!A:B,2,FALSE)</f>
        <v>Graduate Studies</v>
      </c>
      <c r="D65" s="4">
        <v>847</v>
      </c>
      <c r="E65" s="79">
        <v>8470230</v>
      </c>
      <c r="F65" s="32" t="s">
        <v>183</v>
      </c>
      <c r="G65" s="4">
        <v>1</v>
      </c>
      <c r="H65" s="95">
        <v>425770</v>
      </c>
      <c r="I65" s="106" t="str">
        <f>IFERROR(VLOOKUP(Table1[[#This Row],[Account Code]],'Accoount Code Combination'!$D:$H,2,FALSE),"")</f>
        <v>Academic Missions - Combined expenses</v>
      </c>
      <c r="J65" s="79">
        <v>8470230</v>
      </c>
      <c r="K65" s="4"/>
      <c r="L65" s="4" t="str">
        <f>IFERROR(VLOOKUP(Table1[[#This Row],[Future-1 Description]],'Other '!E53:$F62,2,FALSE),"")</f>
        <v/>
      </c>
      <c r="M65" s="32"/>
      <c r="N65" s="32"/>
      <c r="O65" s="32"/>
      <c r="P65" s="49">
        <v>-1720</v>
      </c>
      <c r="Q65" s="49">
        <v>0</v>
      </c>
      <c r="R65" s="32"/>
      <c r="S65" s="4"/>
      <c r="T65" s="32"/>
      <c r="U65" s="32"/>
      <c r="V65" s="32"/>
      <c r="W65" s="32"/>
      <c r="X65" s="33"/>
      <c r="Y65" s="33"/>
      <c r="Z65" s="31">
        <f>Table1[[#This Row],[Quantity of measruing units]]*Table1[[#This Row],[Rate (expected)]]</f>
        <v>0</v>
      </c>
      <c r="AA65" s="31"/>
      <c r="AB65" s="31"/>
      <c r="AC65" s="34">
        <f>Table1[[#This Row],[Quantity (expected)]]*Table1[[#This Row],[Rate (expected)2]]*0.9</f>
        <v>0</v>
      </c>
      <c r="AD65" s="34">
        <f>Table1[[#This Row],[Quantity (expected)]]*Table1[[#This Row],[Rate (expected)2]]*0.8</f>
        <v>0</v>
      </c>
      <c r="AE65" s="34">
        <f>Table1[[#This Row],[Quantity (expected)]]*Table1[[#This Row],[Rate (expected)2]]*0.7</f>
        <v>0</v>
      </c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1">
        <f>SUM(Table1[[#This Row],[Jan-23]:[Dec-23]])</f>
        <v>0</v>
      </c>
      <c r="AV65" s="105"/>
      <c r="AW65" s="32"/>
      <c r="AX65" s="35"/>
    </row>
    <row r="66" spans="1:50" x14ac:dyDescent="0.3">
      <c r="A66" s="30" t="str">
        <f>VLOOKUP(H66,'Accoount Code Combination'!$D:$L,8,FALSE)</f>
        <v>Other support</v>
      </c>
      <c r="B66" s="31" t="str">
        <f>VLOOKUP(Table1[[#This Row],[Account Code]],'Accoount Code Combination'!$D:$L,9,FALSE)</f>
        <v>No Applicable</v>
      </c>
      <c r="C66" s="4" t="str">
        <f>VLOOKUP(Table1[[#This Row],[Cost Center Code]],'Cost Center Group'!A:B,2,FALSE)</f>
        <v>Graduate Studies</v>
      </c>
      <c r="D66" s="4">
        <v>847</v>
      </c>
      <c r="E66" s="79">
        <v>8470230</v>
      </c>
      <c r="F66" s="32" t="s">
        <v>183</v>
      </c>
      <c r="G66" s="4">
        <v>1</v>
      </c>
      <c r="H66" s="95">
        <v>425900</v>
      </c>
      <c r="I66" s="106" t="str">
        <f>IFERROR(VLOOKUP(Table1[[#This Row],[Account Code]],'Accoount Code Combination'!$D:$H,2,FALSE),"")</f>
        <v>Entertainment and hospitality</v>
      </c>
      <c r="J66" s="79">
        <v>8470230</v>
      </c>
      <c r="K66" s="4"/>
      <c r="L66" s="4" t="str">
        <f>IFERROR(VLOOKUP(Table1[[#This Row],[Future-1 Description]],'Other '!E54:$F63,2,FALSE),"")</f>
        <v/>
      </c>
      <c r="M66" s="32"/>
      <c r="N66" s="32"/>
      <c r="O66" s="32"/>
      <c r="P66" s="49">
        <v>6993</v>
      </c>
      <c r="Q66" s="49">
        <v>0</v>
      </c>
      <c r="R66" s="32"/>
      <c r="S66" s="4"/>
      <c r="T66" s="32"/>
      <c r="U66" s="32"/>
      <c r="V66" s="32"/>
      <c r="W66" s="32"/>
      <c r="X66" s="33"/>
      <c r="Y66" s="33"/>
      <c r="Z66" s="31">
        <f>Table1[[#This Row],[Quantity of measruing units]]*Table1[[#This Row],[Rate (expected)]]</f>
        <v>0</v>
      </c>
      <c r="AA66" s="31"/>
      <c r="AB66" s="31"/>
      <c r="AC66" s="34">
        <f>Table1[[#This Row],[Quantity (expected)]]*Table1[[#This Row],[Rate (expected)2]]*0.9</f>
        <v>0</v>
      </c>
      <c r="AD66" s="34">
        <f>Table1[[#This Row],[Quantity (expected)]]*Table1[[#This Row],[Rate (expected)2]]*0.8</f>
        <v>0</v>
      </c>
      <c r="AE66" s="34">
        <f>Table1[[#This Row],[Quantity (expected)]]*Table1[[#This Row],[Rate (expected)2]]*0.7</f>
        <v>0</v>
      </c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1">
        <f>SUM(Table1[[#This Row],[Jan-23]:[Dec-23]])</f>
        <v>0</v>
      </c>
      <c r="AV66" s="105"/>
      <c r="AW66" s="32"/>
      <c r="AX66" s="35"/>
    </row>
    <row r="67" spans="1:50" x14ac:dyDescent="0.3">
      <c r="A67" s="30" t="str">
        <f>VLOOKUP(H67,'Accoount Code Combination'!$D:$L,8,FALSE)</f>
        <v>IT</v>
      </c>
      <c r="B67" s="31" t="str">
        <f>VLOOKUP(Table1[[#This Row],[Account Code]],'Accoount Code Combination'!$D:$L,9,FALSE)</f>
        <v>Software Operating</v>
      </c>
      <c r="C67" s="4" t="str">
        <f>VLOOKUP(Table1[[#This Row],[Cost Center Code]],'Cost Center Group'!A:B,2,FALSE)</f>
        <v>Graduate Studies</v>
      </c>
      <c r="D67" s="4">
        <v>847</v>
      </c>
      <c r="E67" s="79">
        <v>8470230</v>
      </c>
      <c r="F67" s="32" t="s">
        <v>183</v>
      </c>
      <c r="G67" s="4">
        <v>1</v>
      </c>
      <c r="H67" s="95">
        <v>426610</v>
      </c>
      <c r="I67" s="106" t="str">
        <f>IFERROR(VLOOKUP(Table1[[#This Row],[Account Code]],'Accoount Code Combination'!$D:$H,2,FALSE),"")</f>
        <v>Computer software licenses</v>
      </c>
      <c r="J67" s="79">
        <v>8470230</v>
      </c>
      <c r="K67" s="4"/>
      <c r="L67" s="4" t="str">
        <f>IFERROR(VLOOKUP(Table1[[#This Row],[Future-1 Description]],'Other '!E55:$F64,2,FALSE),"")</f>
        <v/>
      </c>
      <c r="M67" s="32"/>
      <c r="N67" s="32"/>
      <c r="O67" s="32"/>
      <c r="P67" s="49">
        <v>0</v>
      </c>
      <c r="Q67" s="49">
        <v>8959</v>
      </c>
      <c r="R67" s="32"/>
      <c r="S67" s="4"/>
      <c r="T67" s="32"/>
      <c r="U67" s="32"/>
      <c r="V67" s="32"/>
      <c r="W67" s="32"/>
      <c r="X67" s="33"/>
      <c r="Y67" s="33"/>
      <c r="Z67" s="31">
        <f>Table1[[#This Row],[Quantity of measruing units]]*Table1[[#This Row],[Rate (expected)]]</f>
        <v>0</v>
      </c>
      <c r="AA67" s="31"/>
      <c r="AB67" s="31"/>
      <c r="AC67" s="34">
        <f>Table1[[#This Row],[Quantity (expected)]]*Table1[[#This Row],[Rate (expected)2]]*0.9</f>
        <v>0</v>
      </c>
      <c r="AD67" s="34">
        <f>Table1[[#This Row],[Quantity (expected)]]*Table1[[#This Row],[Rate (expected)2]]*0.8</f>
        <v>0</v>
      </c>
      <c r="AE67" s="34">
        <f>Table1[[#This Row],[Quantity (expected)]]*Table1[[#This Row],[Rate (expected)2]]*0.7</f>
        <v>0</v>
      </c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1">
        <f>SUM(Table1[[#This Row],[Jan-23]:[Dec-23]])</f>
        <v>0</v>
      </c>
      <c r="AV67" s="105"/>
      <c r="AW67" s="32"/>
      <c r="AX67" s="35"/>
    </row>
    <row r="68" spans="1:50" x14ac:dyDescent="0.3">
      <c r="A68" s="30" t="str">
        <f>VLOOKUP(H68,'Accoount Code Combination'!$D:$L,8,FALSE)</f>
        <v xml:space="preserve">Academic </v>
      </c>
      <c r="B68" s="31" t="str">
        <f>VLOOKUP(Table1[[#This Row],[Account Code]],'Accoount Code Combination'!$D:$L,9,FALSE)</f>
        <v>No Applicable</v>
      </c>
      <c r="C68" s="4" t="str">
        <f>VLOOKUP(Table1[[#This Row],[Cost Center Code]],'Cost Center Group'!A:B,2,FALSE)</f>
        <v>Graduate Studies</v>
      </c>
      <c r="D68" s="4">
        <v>847</v>
      </c>
      <c r="E68" s="79">
        <v>8470230</v>
      </c>
      <c r="F68" s="32" t="s">
        <v>183</v>
      </c>
      <c r="G68" s="4">
        <v>1</v>
      </c>
      <c r="H68" s="95">
        <v>428090</v>
      </c>
      <c r="I68" s="106" t="str">
        <f>IFERROR(VLOOKUP(Table1[[#This Row],[Account Code]],'Accoount Code Combination'!$D:$H,2,FALSE),"")</f>
        <v>Business Travel - Combined expenses</v>
      </c>
      <c r="J68" s="79">
        <v>8470230</v>
      </c>
      <c r="K68" s="4"/>
      <c r="L68" s="4" t="str">
        <f>IFERROR(VLOOKUP(Table1[[#This Row],[Future-1 Description]],'Other '!E56:$F65,2,FALSE),"")</f>
        <v/>
      </c>
      <c r="M68" s="32"/>
      <c r="N68" s="32"/>
      <c r="O68" s="32"/>
      <c r="P68" s="49">
        <v>10778.55</v>
      </c>
      <c r="Q68" s="49">
        <v>0</v>
      </c>
      <c r="R68" s="32"/>
      <c r="S68" s="4"/>
      <c r="T68" s="32"/>
      <c r="U68" s="32"/>
      <c r="V68" s="32"/>
      <c r="W68" s="32"/>
      <c r="X68" s="33"/>
      <c r="Y68" s="33"/>
      <c r="Z68" s="31">
        <f>Table1[[#This Row],[Quantity of measruing units]]*Table1[[#This Row],[Rate (expected)]]</f>
        <v>0</v>
      </c>
      <c r="AA68" s="31"/>
      <c r="AB68" s="31"/>
      <c r="AC68" s="34">
        <f>Table1[[#This Row],[Quantity (expected)]]*Table1[[#This Row],[Rate (expected)2]]*0.9</f>
        <v>0</v>
      </c>
      <c r="AD68" s="34">
        <f>Table1[[#This Row],[Quantity (expected)]]*Table1[[#This Row],[Rate (expected)2]]*0.8</f>
        <v>0</v>
      </c>
      <c r="AE68" s="34">
        <f>Table1[[#This Row],[Quantity (expected)]]*Table1[[#This Row],[Rate (expected)2]]*0.7</f>
        <v>0</v>
      </c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1">
        <f>SUM(Table1[[#This Row],[Jan-23]:[Dec-23]])</f>
        <v>0</v>
      </c>
      <c r="AV68" s="105"/>
      <c r="AW68" s="32"/>
      <c r="AX68" s="35"/>
    </row>
    <row r="69" spans="1:50" x14ac:dyDescent="0.3">
      <c r="A69" s="30" t="str">
        <f>VLOOKUP(H69,'Accoount Code Combination'!$D:$L,8,FALSE)</f>
        <v>Communiction &amp; Marketing</v>
      </c>
      <c r="B69" s="31" t="str">
        <f>VLOOKUP(Table1[[#This Row],[Account Code]],'Accoount Code Combination'!$D:$L,9,FALSE)</f>
        <v>Gifts</v>
      </c>
      <c r="C69" s="4" t="str">
        <f>VLOOKUP(Table1[[#This Row],[Cost Center Code]],'Cost Center Group'!A:B,2,FALSE)</f>
        <v>Graduate Studies</v>
      </c>
      <c r="D69" s="4">
        <v>847</v>
      </c>
      <c r="E69" s="79">
        <v>8470230</v>
      </c>
      <c r="F69" s="32" t="s">
        <v>183</v>
      </c>
      <c r="G69" s="4">
        <v>1</v>
      </c>
      <c r="H69" s="95">
        <v>428640</v>
      </c>
      <c r="I69" s="106" t="str">
        <f>IFERROR(VLOOKUP(Table1[[#This Row],[Account Code]],'Accoount Code Combination'!$D:$H,2,FALSE),"")</f>
        <v>Events - Awards, prizes &amp; gifts</v>
      </c>
      <c r="J69" s="79">
        <v>8470230</v>
      </c>
      <c r="K69" s="4"/>
      <c r="L69" s="4" t="str">
        <f>IFERROR(VLOOKUP(Table1[[#This Row],[Future-1 Description]],'Other '!E57:$F66,2,FALSE),"")</f>
        <v/>
      </c>
      <c r="M69" s="32"/>
      <c r="N69" s="32"/>
      <c r="O69" s="32"/>
      <c r="P69" s="49">
        <v>0</v>
      </c>
      <c r="Q69" s="49">
        <v>0</v>
      </c>
      <c r="R69" s="32"/>
      <c r="S69" s="4"/>
      <c r="T69" s="32"/>
      <c r="U69" s="32"/>
      <c r="V69" s="32"/>
      <c r="W69" s="32"/>
      <c r="X69" s="33"/>
      <c r="Y69" s="33"/>
      <c r="Z69" s="31">
        <f>Table1[[#This Row],[Quantity of measruing units]]*Table1[[#This Row],[Rate (expected)]]</f>
        <v>0</v>
      </c>
      <c r="AA69" s="31"/>
      <c r="AB69" s="31"/>
      <c r="AC69" s="34">
        <f>Table1[[#This Row],[Quantity (expected)]]*Table1[[#This Row],[Rate (expected)2]]*0.9</f>
        <v>0</v>
      </c>
      <c r="AD69" s="34">
        <f>Table1[[#This Row],[Quantity (expected)]]*Table1[[#This Row],[Rate (expected)2]]*0.8</f>
        <v>0</v>
      </c>
      <c r="AE69" s="34">
        <f>Table1[[#This Row],[Quantity (expected)]]*Table1[[#This Row],[Rate (expected)2]]*0.7</f>
        <v>0</v>
      </c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1">
        <f>SUM(Table1[[#This Row],[Jan-23]:[Dec-23]])</f>
        <v>0</v>
      </c>
      <c r="AV69" s="105"/>
      <c r="AW69" s="32"/>
      <c r="AX69" s="35"/>
    </row>
    <row r="70" spans="1:50" x14ac:dyDescent="0.3">
      <c r="A70" s="30" t="str">
        <f>VLOOKUP(H70,'Accoount Code Combination'!$D:$L,8,FALSE)</f>
        <v>Other support</v>
      </c>
      <c r="B70" s="31" t="str">
        <f>VLOOKUP(Table1[[#This Row],[Account Code]],'Accoount Code Combination'!$D:$L,9,FALSE)</f>
        <v>No Applicable</v>
      </c>
      <c r="C70" s="4" t="str">
        <f>VLOOKUP(Table1[[#This Row],[Cost Center Code]],'Cost Center Group'!A:B,2,FALSE)</f>
        <v>Graduate Studies</v>
      </c>
      <c r="D70" s="4">
        <v>847</v>
      </c>
      <c r="E70" s="79">
        <v>8470230</v>
      </c>
      <c r="F70" s="32" t="s">
        <v>183</v>
      </c>
      <c r="G70" s="4">
        <v>1</v>
      </c>
      <c r="H70" s="95">
        <v>436110</v>
      </c>
      <c r="I70" s="106" t="str">
        <f>IFERROR(VLOOKUP(Table1[[#This Row],[Account Code]],'Accoount Code Combination'!$D:$H,2,FALSE),"")</f>
        <v>Printing supplies</v>
      </c>
      <c r="J70" s="79">
        <v>8470230</v>
      </c>
      <c r="K70" s="4"/>
      <c r="L70" s="4" t="str">
        <f>IFERROR(VLOOKUP(Table1[[#This Row],[Future-1 Description]],'Other '!E58:$F67,2,FALSE),"")</f>
        <v/>
      </c>
      <c r="M70" s="32"/>
      <c r="N70" s="32"/>
      <c r="O70" s="32"/>
      <c r="P70" s="49">
        <v>42100</v>
      </c>
      <c r="Q70" s="49">
        <v>5000</v>
      </c>
      <c r="R70" s="32"/>
      <c r="S70" s="4"/>
      <c r="T70" s="32"/>
      <c r="U70" s="32"/>
      <c r="V70" s="32"/>
      <c r="W70" s="32"/>
      <c r="X70" s="33"/>
      <c r="Y70" s="33"/>
      <c r="Z70" s="31">
        <f>Table1[[#This Row],[Quantity of measruing units]]*Table1[[#This Row],[Rate (expected)]]</f>
        <v>0</v>
      </c>
      <c r="AA70" s="31"/>
      <c r="AB70" s="31"/>
      <c r="AC70" s="34">
        <f>Table1[[#This Row],[Quantity (expected)]]*Table1[[#This Row],[Rate (expected)2]]*0.9</f>
        <v>0</v>
      </c>
      <c r="AD70" s="34">
        <f>Table1[[#This Row],[Quantity (expected)]]*Table1[[#This Row],[Rate (expected)2]]*0.8</f>
        <v>0</v>
      </c>
      <c r="AE70" s="34">
        <f>Table1[[#This Row],[Quantity (expected)]]*Table1[[#This Row],[Rate (expected)2]]*0.7</f>
        <v>0</v>
      </c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1">
        <f>SUM(Table1[[#This Row],[Jan-23]:[Dec-23]])</f>
        <v>0</v>
      </c>
      <c r="AV70" s="105"/>
      <c r="AW70" s="32"/>
      <c r="AX70" s="35"/>
    </row>
    <row r="71" spans="1:50" x14ac:dyDescent="0.3">
      <c r="A71" s="30" t="str">
        <f>VLOOKUP(H71,'Accoount Code Combination'!$D:$L,8,FALSE)</f>
        <v>Academic</v>
      </c>
      <c r="B71" s="31" t="str">
        <f>VLOOKUP(Table1[[#This Row],[Account Code]],'Accoount Code Combination'!$D:$L,9,FALSE)</f>
        <v>No Applicable</v>
      </c>
      <c r="C71" s="4" t="str">
        <f>VLOOKUP(Table1[[#This Row],[Cost Center Code]],'Cost Center Group'!A:B,2,FALSE)</f>
        <v>College of Engineering</v>
      </c>
      <c r="D71" s="4">
        <v>847</v>
      </c>
      <c r="E71" s="79">
        <v>8470305</v>
      </c>
      <c r="F71" s="32" t="s">
        <v>193</v>
      </c>
      <c r="G71" s="4">
        <v>1</v>
      </c>
      <c r="H71" s="95">
        <v>420550</v>
      </c>
      <c r="I71" s="106" t="str">
        <f>IFERROR(VLOOKUP(Table1[[#This Row],[Account Code]],'Accoount Code Combination'!$D:$H,2,FALSE),"")</f>
        <v>Academic Advisory Service</v>
      </c>
      <c r="J71" s="79">
        <v>8470305</v>
      </c>
      <c r="K71" s="4"/>
      <c r="L71" s="4" t="str">
        <f>IFERROR(VLOOKUP(Table1[[#This Row],[Future-1 Description]],'Other '!E59:$F68,2,FALSE),"")</f>
        <v/>
      </c>
      <c r="M71" s="32"/>
      <c r="N71" s="32"/>
      <c r="O71" s="32"/>
      <c r="P71" s="49">
        <v>0</v>
      </c>
      <c r="Q71" s="49">
        <v>1</v>
      </c>
      <c r="R71" s="32"/>
      <c r="S71" s="4"/>
      <c r="T71" s="32"/>
      <c r="U71" s="32"/>
      <c r="V71" s="32"/>
      <c r="W71" s="32"/>
      <c r="X71" s="33"/>
      <c r="Y71" s="33"/>
      <c r="Z71" s="31">
        <f>Table1[[#This Row],[Quantity of measruing units]]*Table1[[#This Row],[Rate (expected)]]</f>
        <v>0</v>
      </c>
      <c r="AA71" s="31"/>
      <c r="AB71" s="31"/>
      <c r="AC71" s="34">
        <f>Table1[[#This Row],[Quantity (expected)]]*Table1[[#This Row],[Rate (expected)2]]*0.9</f>
        <v>0</v>
      </c>
      <c r="AD71" s="34">
        <f>Table1[[#This Row],[Quantity (expected)]]*Table1[[#This Row],[Rate (expected)2]]*0.8</f>
        <v>0</v>
      </c>
      <c r="AE71" s="34">
        <f>Table1[[#This Row],[Quantity (expected)]]*Table1[[#This Row],[Rate (expected)2]]*0.7</f>
        <v>0</v>
      </c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1">
        <f>SUM(Table1[[#This Row],[Jan-23]:[Dec-23]])</f>
        <v>0</v>
      </c>
      <c r="AV71" s="105"/>
      <c r="AW71" s="32"/>
      <c r="AX71" s="35"/>
    </row>
    <row r="72" spans="1:50" ht="26" x14ac:dyDescent="0.3">
      <c r="A72" s="30" t="str">
        <f>VLOOKUP(H72,'Accoount Code Combination'!$D:$L,8,FALSE)</f>
        <v>Academic</v>
      </c>
      <c r="B72" s="31" t="str">
        <f>VLOOKUP(Table1[[#This Row],[Account Code]],'Accoount Code Combination'!$D:$L,9,FALSE)</f>
        <v>No Applicable</v>
      </c>
      <c r="C72" s="4" t="str">
        <f>VLOOKUP(Table1[[#This Row],[Cost Center Code]],'Cost Center Group'!A:B,2,FALSE)</f>
        <v>College of Engineering</v>
      </c>
      <c r="D72" s="4">
        <v>847</v>
      </c>
      <c r="E72" s="79">
        <v>8470305</v>
      </c>
      <c r="F72" s="32" t="s">
        <v>193</v>
      </c>
      <c r="G72" s="4">
        <v>1</v>
      </c>
      <c r="H72" s="95">
        <v>420570</v>
      </c>
      <c r="I72" s="106" t="str">
        <f>IFERROR(VLOOKUP(Table1[[#This Row],[Account Code]],'Accoount Code Combination'!$D:$H,2,FALSE),"")</f>
        <v>Academic Collaborative Partnership Services</v>
      </c>
      <c r="J72" s="79">
        <v>8470305</v>
      </c>
      <c r="K72" s="4"/>
      <c r="L72" s="4" t="str">
        <f>IFERROR(VLOOKUP(Table1[[#This Row],[Future-1 Description]],'Other '!E60:$F69,2,FALSE),"")</f>
        <v/>
      </c>
      <c r="M72" s="32"/>
      <c r="N72" s="32"/>
      <c r="O72" s="32"/>
      <c r="P72" s="49">
        <v>4591.25</v>
      </c>
      <c r="Q72" s="49">
        <v>9200</v>
      </c>
      <c r="R72" s="32"/>
      <c r="S72" s="4"/>
      <c r="T72" s="32"/>
      <c r="U72" s="32"/>
      <c r="V72" s="32"/>
      <c r="W72" s="32"/>
      <c r="X72" s="33"/>
      <c r="Y72" s="33"/>
      <c r="Z72" s="31">
        <f>Table1[[#This Row],[Quantity of measruing units]]*Table1[[#This Row],[Rate (expected)]]</f>
        <v>0</v>
      </c>
      <c r="AA72" s="31"/>
      <c r="AB72" s="31"/>
      <c r="AC72" s="34">
        <f>Table1[[#This Row],[Quantity (expected)]]*Table1[[#This Row],[Rate (expected)2]]*0.9</f>
        <v>0</v>
      </c>
      <c r="AD72" s="34">
        <f>Table1[[#This Row],[Quantity (expected)]]*Table1[[#This Row],[Rate (expected)2]]*0.8</f>
        <v>0</v>
      </c>
      <c r="AE72" s="34">
        <f>Table1[[#This Row],[Quantity (expected)]]*Table1[[#This Row],[Rate (expected)2]]*0.7</f>
        <v>0</v>
      </c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1">
        <f>SUM(Table1[[#This Row],[Jan-23]:[Dec-23]])</f>
        <v>0</v>
      </c>
      <c r="AV72" s="105"/>
      <c r="AW72" s="32"/>
      <c r="AX72" s="35"/>
    </row>
    <row r="73" spans="1:50" x14ac:dyDescent="0.3">
      <c r="A73" s="30" t="str">
        <f>VLOOKUP(H73,'Accoount Code Combination'!$D:$L,8,FALSE)</f>
        <v>Academic</v>
      </c>
      <c r="B73" s="31" t="str">
        <f>VLOOKUP(Table1[[#This Row],[Account Code]],'Accoount Code Combination'!$D:$L,9,FALSE)</f>
        <v>No Applicable</v>
      </c>
      <c r="C73" s="4" t="str">
        <f>VLOOKUP(Table1[[#This Row],[Cost Center Code]],'Cost Center Group'!A:B,2,FALSE)</f>
        <v>College of Engineering</v>
      </c>
      <c r="D73" s="4">
        <v>847</v>
      </c>
      <c r="E73" s="79">
        <v>8470305</v>
      </c>
      <c r="F73" s="32" t="s">
        <v>193</v>
      </c>
      <c r="G73" s="4">
        <v>1</v>
      </c>
      <c r="H73" s="95">
        <v>421700</v>
      </c>
      <c r="I73" s="106" t="str">
        <f>IFERROR(VLOOKUP(Table1[[#This Row],[Account Code]],'Accoount Code Combination'!$D:$H,2,FALSE),"")</f>
        <v>Standards certification (e.g. ISO)</v>
      </c>
      <c r="J73" s="79">
        <v>8470305</v>
      </c>
      <c r="K73" s="4"/>
      <c r="L73" s="4" t="str">
        <f>IFERROR(VLOOKUP(Table1[[#This Row],[Future-1 Description]],'Other '!E61:$F70,2,FALSE),"")</f>
        <v/>
      </c>
      <c r="M73" s="32"/>
      <c r="N73" s="32"/>
      <c r="O73" s="32"/>
      <c r="P73" s="49">
        <v>597850.89</v>
      </c>
      <c r="Q73" s="49">
        <v>390800</v>
      </c>
      <c r="R73" s="32"/>
      <c r="S73" s="4"/>
      <c r="T73" s="32"/>
      <c r="U73" s="32"/>
      <c r="V73" s="32"/>
      <c r="W73" s="32"/>
      <c r="X73" s="33"/>
      <c r="Y73" s="33"/>
      <c r="Z73" s="31">
        <f>Table1[[#This Row],[Quantity of measruing units]]*Table1[[#This Row],[Rate (expected)]]</f>
        <v>0</v>
      </c>
      <c r="AA73" s="31"/>
      <c r="AB73" s="31"/>
      <c r="AC73" s="34">
        <f>Table1[[#This Row],[Quantity (expected)]]*Table1[[#This Row],[Rate (expected)2]]*0.9</f>
        <v>0</v>
      </c>
      <c r="AD73" s="34">
        <f>Table1[[#This Row],[Quantity (expected)]]*Table1[[#This Row],[Rate (expected)2]]*0.8</f>
        <v>0</v>
      </c>
      <c r="AE73" s="34">
        <f>Table1[[#This Row],[Quantity (expected)]]*Table1[[#This Row],[Rate (expected)2]]*0.7</f>
        <v>0</v>
      </c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1">
        <f>SUM(Table1[[#This Row],[Jan-23]:[Dec-23]])</f>
        <v>0</v>
      </c>
      <c r="AV73" s="105"/>
      <c r="AW73" s="32"/>
      <c r="AX73" s="35"/>
    </row>
    <row r="74" spans="1:50" ht="26" x14ac:dyDescent="0.3">
      <c r="A74" s="30" t="str">
        <f>VLOOKUP(H74,'Accoount Code Combination'!$D:$L,8,FALSE)</f>
        <v>Communiction &amp; Marketing</v>
      </c>
      <c r="B74" s="31" t="str">
        <f>VLOOKUP(Table1[[#This Row],[Account Code]],'Accoount Code Combination'!$D:$L,9,FALSE)</f>
        <v>Events</v>
      </c>
      <c r="C74" s="4" t="str">
        <f>VLOOKUP(Table1[[#This Row],[Cost Center Code]],'Cost Center Group'!A:B,2,FALSE)</f>
        <v>College of Engineering</v>
      </c>
      <c r="D74" s="4">
        <v>847</v>
      </c>
      <c r="E74" s="79">
        <v>8470305</v>
      </c>
      <c r="F74" s="32" t="s">
        <v>193</v>
      </c>
      <c r="G74" s="4">
        <v>1</v>
      </c>
      <c r="H74" s="95">
        <v>425510</v>
      </c>
      <c r="I74" s="106" t="str">
        <f>IFERROR(VLOOKUP(Table1[[#This Row],[Account Code]],'Accoount Code Combination'!$D:$H,2,FALSE),"")</f>
        <v>Conferences, seminars and exhibitions and other events: - Local Events</v>
      </c>
      <c r="J74" s="79">
        <v>8470305</v>
      </c>
      <c r="K74" s="4"/>
      <c r="L74" s="4" t="str">
        <f>IFERROR(VLOOKUP(Table1[[#This Row],[Future-1 Description]],'Other '!E62:$F71,2,FALSE),"")</f>
        <v/>
      </c>
      <c r="M74" s="32"/>
      <c r="N74" s="32"/>
      <c r="O74" s="32"/>
      <c r="P74" s="49">
        <v>10444</v>
      </c>
      <c r="Q74" s="49">
        <v>10000</v>
      </c>
      <c r="R74" s="32"/>
      <c r="S74" s="4"/>
      <c r="T74" s="32"/>
      <c r="U74" s="32"/>
      <c r="V74" s="32"/>
      <c r="W74" s="32"/>
      <c r="X74" s="33"/>
      <c r="Y74" s="33"/>
      <c r="Z74" s="31">
        <f>Table1[[#This Row],[Quantity of measruing units]]*Table1[[#This Row],[Rate (expected)]]</f>
        <v>0</v>
      </c>
      <c r="AA74" s="31"/>
      <c r="AB74" s="31"/>
      <c r="AC74" s="34">
        <f>Table1[[#This Row],[Quantity (expected)]]*Table1[[#This Row],[Rate (expected)2]]*0.9</f>
        <v>0</v>
      </c>
      <c r="AD74" s="34">
        <f>Table1[[#This Row],[Quantity (expected)]]*Table1[[#This Row],[Rate (expected)2]]*0.8</f>
        <v>0</v>
      </c>
      <c r="AE74" s="34">
        <f>Table1[[#This Row],[Quantity (expected)]]*Table1[[#This Row],[Rate (expected)2]]*0.7</f>
        <v>0</v>
      </c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1">
        <f>SUM(Table1[[#This Row],[Jan-23]:[Dec-23]])</f>
        <v>0</v>
      </c>
      <c r="AV74" s="105"/>
      <c r="AW74" s="32"/>
      <c r="AX74" s="35"/>
    </row>
    <row r="75" spans="1:50" x14ac:dyDescent="0.3">
      <c r="A75" s="30" t="str">
        <f>VLOOKUP(H75,'Accoount Code Combination'!$D:$L,8,FALSE)</f>
        <v>Student</v>
      </c>
      <c r="B75" s="31" t="str">
        <f>VLOOKUP(Table1[[#This Row],[Account Code]],'Accoount Code Combination'!$D:$L,9,FALSE)</f>
        <v>No Applicable</v>
      </c>
      <c r="C75" s="4" t="str">
        <f>VLOOKUP(Table1[[#This Row],[Cost Center Code]],'Cost Center Group'!A:B,2,FALSE)</f>
        <v>College of Engineering</v>
      </c>
      <c r="D75" s="4">
        <v>847</v>
      </c>
      <c r="E75" s="79">
        <v>8470305</v>
      </c>
      <c r="F75" s="32" t="s">
        <v>193</v>
      </c>
      <c r="G75" s="4">
        <v>1</v>
      </c>
      <c r="H75" s="95">
        <v>425762</v>
      </c>
      <c r="I75" s="106" t="str">
        <f>IFERROR(VLOOKUP(Table1[[#This Row],[Account Code]],'Accoount Code Combination'!$D:$H,2,FALSE),"")</f>
        <v>Student Internship</v>
      </c>
      <c r="J75" s="79">
        <v>8470305</v>
      </c>
      <c r="K75" s="4"/>
      <c r="L75" s="4" t="str">
        <f>IFERROR(VLOOKUP(Table1[[#This Row],[Future-1 Description]],'Other '!E63:$F72,2,FALSE),"")</f>
        <v/>
      </c>
      <c r="M75" s="32"/>
      <c r="N75" s="32"/>
      <c r="O75" s="32"/>
      <c r="P75" s="49">
        <v>0</v>
      </c>
      <c r="Q75" s="49">
        <v>0</v>
      </c>
      <c r="R75" s="32"/>
      <c r="S75" s="4"/>
      <c r="T75" s="32"/>
      <c r="U75" s="32"/>
      <c r="V75" s="32"/>
      <c r="W75" s="32"/>
      <c r="X75" s="33"/>
      <c r="Y75" s="33"/>
      <c r="Z75" s="31">
        <f>Table1[[#This Row],[Quantity of measruing units]]*Table1[[#This Row],[Rate (expected)]]</f>
        <v>0</v>
      </c>
      <c r="AA75" s="31"/>
      <c r="AB75" s="31"/>
      <c r="AC75" s="34">
        <f>Table1[[#This Row],[Quantity (expected)]]*Table1[[#This Row],[Rate (expected)2]]*0.9</f>
        <v>0</v>
      </c>
      <c r="AD75" s="34">
        <f>Table1[[#This Row],[Quantity (expected)]]*Table1[[#This Row],[Rate (expected)2]]*0.8</f>
        <v>0</v>
      </c>
      <c r="AE75" s="34">
        <f>Table1[[#This Row],[Quantity (expected)]]*Table1[[#This Row],[Rate (expected)2]]*0.7</f>
        <v>0</v>
      </c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1">
        <f>SUM(Table1[[#This Row],[Jan-23]:[Dec-23]])</f>
        <v>0</v>
      </c>
      <c r="AV75" s="105"/>
      <c r="AW75" s="32"/>
      <c r="AX75" s="35"/>
    </row>
    <row r="76" spans="1:50" x14ac:dyDescent="0.3">
      <c r="A76" s="30" t="str">
        <f>VLOOKUP(H76,'Accoount Code Combination'!$D:$L,8,FALSE)</f>
        <v>Student</v>
      </c>
      <c r="B76" s="31" t="str">
        <f>VLOOKUP(Table1[[#This Row],[Account Code]],'Accoount Code Combination'!$D:$L,9,FALSE)</f>
        <v>No Applicable</v>
      </c>
      <c r="C76" s="4" t="str">
        <f>VLOOKUP(Table1[[#This Row],[Cost Center Code]],'Cost Center Group'!A:B,2,FALSE)</f>
        <v>College of Engineering</v>
      </c>
      <c r="D76" s="4">
        <v>847</v>
      </c>
      <c r="E76" s="79">
        <v>8470305</v>
      </c>
      <c r="F76" s="32" t="s">
        <v>193</v>
      </c>
      <c r="G76" s="4">
        <v>1</v>
      </c>
      <c r="H76" s="95">
        <v>425763</v>
      </c>
      <c r="I76" s="106" t="str">
        <f>IFERROR(VLOOKUP(Table1[[#This Row],[Account Code]],'Accoount Code Combination'!$D:$H,2,FALSE),"")</f>
        <v>Student Project Expenses</v>
      </c>
      <c r="J76" s="79">
        <v>8470305</v>
      </c>
      <c r="K76" s="4"/>
      <c r="L76" s="4" t="str">
        <f>IFERROR(VLOOKUP(Table1[[#This Row],[Future-1 Description]],'Other '!E64:$F73,2,FALSE),"")</f>
        <v/>
      </c>
      <c r="M76" s="32"/>
      <c r="N76" s="32"/>
      <c r="O76" s="32"/>
      <c r="P76" s="49">
        <v>617637.56000000006</v>
      </c>
      <c r="Q76" s="49">
        <v>100000</v>
      </c>
      <c r="R76" s="32"/>
      <c r="S76" s="4"/>
      <c r="T76" s="32"/>
      <c r="U76" s="32"/>
      <c r="V76" s="32"/>
      <c r="W76" s="32"/>
      <c r="X76" s="33"/>
      <c r="Y76" s="33"/>
      <c r="Z76" s="31">
        <f>Table1[[#This Row],[Quantity of measruing units]]*Table1[[#This Row],[Rate (expected)]]</f>
        <v>0</v>
      </c>
      <c r="AA76" s="31"/>
      <c r="AB76" s="31"/>
      <c r="AC76" s="34">
        <f>Table1[[#This Row],[Quantity (expected)]]*Table1[[#This Row],[Rate (expected)2]]*0.9</f>
        <v>0</v>
      </c>
      <c r="AD76" s="34">
        <f>Table1[[#This Row],[Quantity (expected)]]*Table1[[#This Row],[Rate (expected)2]]*0.8</f>
        <v>0</v>
      </c>
      <c r="AE76" s="34">
        <f>Table1[[#This Row],[Quantity (expected)]]*Table1[[#This Row],[Rate (expected)2]]*0.7</f>
        <v>0</v>
      </c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1">
        <f>SUM(Table1[[#This Row],[Jan-23]:[Dec-23]])</f>
        <v>0</v>
      </c>
      <c r="AV76" s="105"/>
      <c r="AW76" s="32"/>
      <c r="AX76" s="35"/>
    </row>
    <row r="77" spans="1:50" x14ac:dyDescent="0.3">
      <c r="A77" s="30" t="str">
        <f>VLOOKUP(H77,'Accoount Code Combination'!$D:$L,8,FALSE)</f>
        <v>Academic</v>
      </c>
      <c r="B77" s="31" t="str">
        <f>VLOOKUP(Table1[[#This Row],[Account Code]],'Accoount Code Combination'!$D:$L,9,FALSE)</f>
        <v>No Applicable</v>
      </c>
      <c r="C77" s="4" t="str">
        <f>VLOOKUP(Table1[[#This Row],[Cost Center Code]],'Cost Center Group'!A:B,2,FALSE)</f>
        <v>College of Engineering</v>
      </c>
      <c r="D77" s="4">
        <v>847</v>
      </c>
      <c r="E77" s="79">
        <v>8470305</v>
      </c>
      <c r="F77" s="32" t="s">
        <v>193</v>
      </c>
      <c r="G77" s="4">
        <v>1</v>
      </c>
      <c r="H77" s="95">
        <v>425770</v>
      </c>
      <c r="I77" s="106" t="str">
        <f>IFERROR(VLOOKUP(Table1[[#This Row],[Account Code]],'Accoount Code Combination'!$D:$H,2,FALSE),"")</f>
        <v>Academic Missions - Combined expenses</v>
      </c>
      <c r="J77" s="79">
        <v>8470305</v>
      </c>
      <c r="K77" s="4"/>
      <c r="L77" s="4" t="str">
        <f>IFERROR(VLOOKUP(Table1[[#This Row],[Future-1 Description]],'Other '!E65:$F74,2,FALSE),"")</f>
        <v/>
      </c>
      <c r="M77" s="32"/>
      <c r="N77" s="32"/>
      <c r="O77" s="32"/>
      <c r="P77" s="49">
        <v>7218.55</v>
      </c>
      <c r="Q77" s="49">
        <v>20000</v>
      </c>
      <c r="R77" s="32"/>
      <c r="S77" s="4"/>
      <c r="T77" s="32"/>
      <c r="U77" s="32"/>
      <c r="V77" s="32"/>
      <c r="W77" s="32"/>
      <c r="X77" s="33"/>
      <c r="Y77" s="33"/>
      <c r="Z77" s="31">
        <f>Table1[[#This Row],[Quantity of measruing units]]*Table1[[#This Row],[Rate (expected)]]</f>
        <v>0</v>
      </c>
      <c r="AA77" s="31"/>
      <c r="AB77" s="31"/>
      <c r="AC77" s="34">
        <f>Table1[[#This Row],[Quantity (expected)]]*Table1[[#This Row],[Rate (expected)2]]*0.9</f>
        <v>0</v>
      </c>
      <c r="AD77" s="34">
        <f>Table1[[#This Row],[Quantity (expected)]]*Table1[[#This Row],[Rate (expected)2]]*0.8</f>
        <v>0</v>
      </c>
      <c r="AE77" s="34">
        <f>Table1[[#This Row],[Quantity (expected)]]*Table1[[#This Row],[Rate (expected)2]]*0.7</f>
        <v>0</v>
      </c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1">
        <f>SUM(Table1[[#This Row],[Jan-23]:[Dec-23]])</f>
        <v>0</v>
      </c>
      <c r="AV77" s="105"/>
      <c r="AW77" s="32"/>
      <c r="AX77" s="35"/>
    </row>
    <row r="78" spans="1:50" x14ac:dyDescent="0.3">
      <c r="A78" s="30" t="str">
        <f>VLOOKUP(H78,'Accoount Code Combination'!$D:$L,8,FALSE)</f>
        <v>Other support</v>
      </c>
      <c r="B78" s="31" t="str">
        <f>VLOOKUP(Table1[[#This Row],[Account Code]],'Accoount Code Combination'!$D:$L,9,FALSE)</f>
        <v>No Applicable</v>
      </c>
      <c r="C78" s="4" t="str">
        <f>VLOOKUP(Table1[[#This Row],[Cost Center Code]],'Cost Center Group'!A:B,2,FALSE)</f>
        <v>College of Engineering</v>
      </c>
      <c r="D78" s="4">
        <v>847</v>
      </c>
      <c r="E78" s="79">
        <v>8470305</v>
      </c>
      <c r="F78" s="32" t="s">
        <v>193</v>
      </c>
      <c r="G78" s="4">
        <v>1</v>
      </c>
      <c r="H78" s="95">
        <v>425900</v>
      </c>
      <c r="I78" s="106" t="str">
        <f>IFERROR(VLOOKUP(Table1[[#This Row],[Account Code]],'Accoount Code Combination'!$D:$H,2,FALSE),"")</f>
        <v>Entertainment and hospitality</v>
      </c>
      <c r="J78" s="79">
        <v>8470305</v>
      </c>
      <c r="K78" s="4"/>
      <c r="L78" s="4" t="str">
        <f>IFERROR(VLOOKUP(Table1[[#This Row],[Future-1 Description]],'Other '!E66:$F75,2,FALSE),"")</f>
        <v/>
      </c>
      <c r="M78" s="32"/>
      <c r="N78" s="32"/>
      <c r="O78" s="32"/>
      <c r="P78" s="49">
        <v>-10521</v>
      </c>
      <c r="Q78" s="49">
        <v>0</v>
      </c>
      <c r="R78" s="32"/>
      <c r="S78" s="4"/>
      <c r="T78" s="32"/>
      <c r="U78" s="32"/>
      <c r="V78" s="32"/>
      <c r="W78" s="32"/>
      <c r="X78" s="33"/>
      <c r="Y78" s="33"/>
      <c r="Z78" s="31">
        <f>Table1[[#This Row],[Quantity of measruing units]]*Table1[[#This Row],[Rate (expected)]]</f>
        <v>0</v>
      </c>
      <c r="AA78" s="31"/>
      <c r="AB78" s="31"/>
      <c r="AC78" s="34">
        <f>Table1[[#This Row],[Quantity (expected)]]*Table1[[#This Row],[Rate (expected)2]]*0.9</f>
        <v>0</v>
      </c>
      <c r="AD78" s="34">
        <f>Table1[[#This Row],[Quantity (expected)]]*Table1[[#This Row],[Rate (expected)2]]*0.8</f>
        <v>0</v>
      </c>
      <c r="AE78" s="34">
        <f>Table1[[#This Row],[Quantity (expected)]]*Table1[[#This Row],[Rate (expected)2]]*0.7</f>
        <v>0</v>
      </c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1">
        <f>SUM(Table1[[#This Row],[Jan-23]:[Dec-23]])</f>
        <v>0</v>
      </c>
      <c r="AV78" s="105"/>
      <c r="AW78" s="32"/>
      <c r="AX78" s="35"/>
    </row>
    <row r="79" spans="1:50" x14ac:dyDescent="0.3">
      <c r="A79" s="30" t="str">
        <f>VLOOKUP(H79,'Accoount Code Combination'!$D:$L,8,FALSE)</f>
        <v>IT</v>
      </c>
      <c r="B79" s="31" t="str">
        <f>VLOOKUP(Table1[[#This Row],[Account Code]],'Accoount Code Combination'!$D:$L,9,FALSE)</f>
        <v>Software Operating</v>
      </c>
      <c r="C79" s="4" t="str">
        <f>VLOOKUP(Table1[[#This Row],[Cost Center Code]],'Cost Center Group'!A:B,2,FALSE)</f>
        <v>College of Engineering</v>
      </c>
      <c r="D79" s="4">
        <v>847</v>
      </c>
      <c r="E79" s="79">
        <v>8470305</v>
      </c>
      <c r="F79" s="32" t="s">
        <v>193</v>
      </c>
      <c r="G79" s="4">
        <v>1</v>
      </c>
      <c r="H79" s="95">
        <v>426610</v>
      </c>
      <c r="I79" s="106" t="str">
        <f>IFERROR(VLOOKUP(Table1[[#This Row],[Account Code]],'Accoount Code Combination'!$D:$H,2,FALSE),"")</f>
        <v>Computer software licenses</v>
      </c>
      <c r="J79" s="79">
        <v>8470305</v>
      </c>
      <c r="K79" s="4"/>
      <c r="L79" s="4" t="str">
        <f>IFERROR(VLOOKUP(Table1[[#This Row],[Future-1 Description]],'Other '!E67:$F76,2,FALSE),"")</f>
        <v/>
      </c>
      <c r="M79" s="32"/>
      <c r="N79" s="32"/>
      <c r="O79" s="32"/>
      <c r="P79" s="49">
        <v>236658.04</v>
      </c>
      <c r="Q79" s="49">
        <v>224793</v>
      </c>
      <c r="R79" s="32"/>
      <c r="S79" s="4"/>
      <c r="T79" s="32"/>
      <c r="U79" s="32"/>
      <c r="V79" s="32"/>
      <c r="W79" s="32"/>
      <c r="X79" s="33"/>
      <c r="Y79" s="33"/>
      <c r="Z79" s="31">
        <f>Table1[[#This Row],[Quantity of measruing units]]*Table1[[#This Row],[Rate (expected)]]</f>
        <v>0</v>
      </c>
      <c r="AA79" s="31"/>
      <c r="AB79" s="31"/>
      <c r="AC79" s="34">
        <f>Table1[[#This Row],[Quantity (expected)]]*Table1[[#This Row],[Rate (expected)2]]*0.9</f>
        <v>0</v>
      </c>
      <c r="AD79" s="34">
        <f>Table1[[#This Row],[Quantity (expected)]]*Table1[[#This Row],[Rate (expected)2]]*0.8</f>
        <v>0</v>
      </c>
      <c r="AE79" s="34">
        <f>Table1[[#This Row],[Quantity (expected)]]*Table1[[#This Row],[Rate (expected)2]]*0.7</f>
        <v>0</v>
      </c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1">
        <f>SUM(Table1[[#This Row],[Jan-23]:[Dec-23]])</f>
        <v>0</v>
      </c>
      <c r="AV79" s="105"/>
      <c r="AW79" s="32"/>
      <c r="AX79" s="35"/>
    </row>
    <row r="80" spans="1:50" x14ac:dyDescent="0.3">
      <c r="A80" s="30" t="str">
        <f>VLOOKUP(H80,'Accoount Code Combination'!$D:$L,8,FALSE)</f>
        <v xml:space="preserve">Academic </v>
      </c>
      <c r="B80" s="31" t="str">
        <f>VLOOKUP(Table1[[#This Row],[Account Code]],'Accoount Code Combination'!$D:$L,9,FALSE)</f>
        <v>No Applicable</v>
      </c>
      <c r="C80" s="4" t="str">
        <f>VLOOKUP(Table1[[#This Row],[Cost Center Code]],'Cost Center Group'!A:B,2,FALSE)</f>
        <v>College of Engineering</v>
      </c>
      <c r="D80" s="4">
        <v>847</v>
      </c>
      <c r="E80" s="79">
        <v>8470305</v>
      </c>
      <c r="F80" s="32" t="s">
        <v>193</v>
      </c>
      <c r="G80" s="4">
        <v>1</v>
      </c>
      <c r="H80" s="95">
        <v>428090</v>
      </c>
      <c r="I80" s="106" t="str">
        <f>IFERROR(VLOOKUP(Table1[[#This Row],[Account Code]],'Accoount Code Combination'!$D:$H,2,FALSE),"")</f>
        <v>Business Travel - Combined expenses</v>
      </c>
      <c r="J80" s="79">
        <v>8470305</v>
      </c>
      <c r="K80" s="4"/>
      <c r="L80" s="4" t="str">
        <f>IFERROR(VLOOKUP(Table1[[#This Row],[Future-1 Description]],'Other '!E68:$F77,2,FALSE),"")</f>
        <v/>
      </c>
      <c r="M80" s="32"/>
      <c r="N80" s="32"/>
      <c r="O80" s="32"/>
      <c r="P80" s="49">
        <v>0</v>
      </c>
      <c r="Q80" s="49">
        <v>0</v>
      </c>
      <c r="R80" s="32"/>
      <c r="S80" s="4"/>
      <c r="T80" s="32"/>
      <c r="U80" s="32"/>
      <c r="V80" s="32"/>
      <c r="W80" s="32"/>
      <c r="X80" s="33"/>
      <c r="Y80" s="33"/>
      <c r="Z80" s="31">
        <f>Table1[[#This Row],[Quantity of measruing units]]*Table1[[#This Row],[Rate (expected)]]</f>
        <v>0</v>
      </c>
      <c r="AA80" s="31"/>
      <c r="AB80" s="31"/>
      <c r="AC80" s="34">
        <f>Table1[[#This Row],[Quantity (expected)]]*Table1[[#This Row],[Rate (expected)2]]*0.9</f>
        <v>0</v>
      </c>
      <c r="AD80" s="34">
        <f>Table1[[#This Row],[Quantity (expected)]]*Table1[[#This Row],[Rate (expected)2]]*0.8</f>
        <v>0</v>
      </c>
      <c r="AE80" s="34">
        <f>Table1[[#This Row],[Quantity (expected)]]*Table1[[#This Row],[Rate (expected)2]]*0.7</f>
        <v>0</v>
      </c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1">
        <f>SUM(Table1[[#This Row],[Jan-23]:[Dec-23]])</f>
        <v>0</v>
      </c>
      <c r="AV80" s="105"/>
      <c r="AW80" s="32"/>
      <c r="AX80" s="35"/>
    </row>
    <row r="81" spans="1:50" x14ac:dyDescent="0.3">
      <c r="A81" s="30" t="str">
        <f>VLOOKUP(H81,'Accoount Code Combination'!$D:$L,8,FALSE)</f>
        <v>Research</v>
      </c>
      <c r="B81" s="31" t="str">
        <f>VLOOKUP(Table1[[#This Row],[Account Code]],'Accoount Code Combination'!$D:$L,9,FALSE)</f>
        <v>No Applicable</v>
      </c>
      <c r="C81" s="4" t="str">
        <f>VLOOKUP(Table1[[#This Row],[Cost Center Code]],'Cost Center Group'!A:B,2,FALSE)</f>
        <v>College of Engineering</v>
      </c>
      <c r="D81" s="4">
        <v>847</v>
      </c>
      <c r="E81" s="79">
        <v>8470305</v>
      </c>
      <c r="F81" s="32" t="s">
        <v>193</v>
      </c>
      <c r="G81" s="4">
        <v>1</v>
      </c>
      <c r="H81" s="95">
        <v>428400</v>
      </c>
      <c r="I81" s="106" t="str">
        <f>IFERROR(VLOOKUP(Table1[[#This Row],[Account Code]],'Accoount Code Combination'!$D:$H,2,FALSE),"")</f>
        <v>Sponsorship expenses/contributions</v>
      </c>
      <c r="J81" s="79">
        <v>8470305</v>
      </c>
      <c r="K81" s="4"/>
      <c r="L81" s="4" t="str">
        <f>IFERROR(VLOOKUP(Table1[[#This Row],[Future-1 Description]],'Other '!E69:$F78,2,FALSE),"")</f>
        <v/>
      </c>
      <c r="M81" s="32"/>
      <c r="N81" s="32"/>
      <c r="O81" s="32"/>
      <c r="P81" s="49">
        <v>0</v>
      </c>
      <c r="Q81" s="49">
        <v>0</v>
      </c>
      <c r="R81" s="32"/>
      <c r="S81" s="4"/>
      <c r="T81" s="32"/>
      <c r="U81" s="32"/>
      <c r="V81" s="32"/>
      <c r="W81" s="32"/>
      <c r="X81" s="33"/>
      <c r="Y81" s="33"/>
      <c r="Z81" s="31">
        <f>Table1[[#This Row],[Quantity of measruing units]]*Table1[[#This Row],[Rate (expected)]]</f>
        <v>0</v>
      </c>
      <c r="AA81" s="31"/>
      <c r="AB81" s="31"/>
      <c r="AC81" s="34">
        <f>Table1[[#This Row],[Quantity (expected)]]*Table1[[#This Row],[Rate (expected)2]]*0.9</f>
        <v>0</v>
      </c>
      <c r="AD81" s="34">
        <f>Table1[[#This Row],[Quantity (expected)]]*Table1[[#This Row],[Rate (expected)2]]*0.8</f>
        <v>0</v>
      </c>
      <c r="AE81" s="34">
        <f>Table1[[#This Row],[Quantity (expected)]]*Table1[[#This Row],[Rate (expected)2]]*0.7</f>
        <v>0</v>
      </c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1">
        <f>SUM(Table1[[#This Row],[Jan-23]:[Dec-23]])</f>
        <v>0</v>
      </c>
      <c r="AV81" s="105"/>
      <c r="AW81" s="32"/>
      <c r="AX81" s="35"/>
    </row>
    <row r="82" spans="1:50" x14ac:dyDescent="0.3">
      <c r="A82" s="30" t="str">
        <f>VLOOKUP(H82,'Accoount Code Combination'!$D:$L,8,FALSE)</f>
        <v>Communiction &amp; Marketing</v>
      </c>
      <c r="B82" s="31" t="str">
        <f>VLOOKUP(Table1[[#This Row],[Account Code]],'Accoount Code Combination'!$D:$L,9,FALSE)</f>
        <v>Gifts</v>
      </c>
      <c r="C82" s="4" t="str">
        <f>VLOOKUP(Table1[[#This Row],[Cost Center Code]],'Cost Center Group'!A:B,2,FALSE)</f>
        <v>College of Engineering</v>
      </c>
      <c r="D82" s="4">
        <v>847</v>
      </c>
      <c r="E82" s="79">
        <v>8470305</v>
      </c>
      <c r="F82" s="32" t="s">
        <v>193</v>
      </c>
      <c r="G82" s="4">
        <v>1</v>
      </c>
      <c r="H82" s="95">
        <v>428640</v>
      </c>
      <c r="I82" s="106" t="str">
        <f>IFERROR(VLOOKUP(Table1[[#This Row],[Account Code]],'Accoount Code Combination'!$D:$H,2,FALSE),"")</f>
        <v>Events - Awards, prizes &amp; gifts</v>
      </c>
      <c r="J82" s="79">
        <v>8470305</v>
      </c>
      <c r="K82" s="4"/>
      <c r="L82" s="4" t="str">
        <f>IFERROR(VLOOKUP(Table1[[#This Row],[Future-1 Description]],'Other '!E70:$F79,2,FALSE),"")</f>
        <v/>
      </c>
      <c r="M82" s="32"/>
      <c r="N82" s="32"/>
      <c r="O82" s="32"/>
      <c r="P82" s="49">
        <v>-3637.45</v>
      </c>
      <c r="Q82" s="49">
        <v>1</v>
      </c>
      <c r="R82" s="32"/>
      <c r="S82" s="4"/>
      <c r="T82" s="32"/>
      <c r="U82" s="32"/>
      <c r="V82" s="32"/>
      <c r="W82" s="32"/>
      <c r="X82" s="33"/>
      <c r="Y82" s="33"/>
      <c r="Z82" s="31">
        <f>Table1[[#This Row],[Quantity of measruing units]]*Table1[[#This Row],[Rate (expected)]]</f>
        <v>0</v>
      </c>
      <c r="AA82" s="31"/>
      <c r="AB82" s="31"/>
      <c r="AC82" s="34">
        <f>Table1[[#This Row],[Quantity (expected)]]*Table1[[#This Row],[Rate (expected)2]]*0.9</f>
        <v>0</v>
      </c>
      <c r="AD82" s="34">
        <f>Table1[[#This Row],[Quantity (expected)]]*Table1[[#This Row],[Rate (expected)2]]*0.8</f>
        <v>0</v>
      </c>
      <c r="AE82" s="34">
        <f>Table1[[#This Row],[Quantity (expected)]]*Table1[[#This Row],[Rate (expected)2]]*0.7</f>
        <v>0</v>
      </c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1">
        <f>SUM(Table1[[#This Row],[Jan-23]:[Dec-23]])</f>
        <v>0</v>
      </c>
      <c r="AV82" s="105"/>
      <c r="AW82" s="32"/>
      <c r="AX82" s="35"/>
    </row>
    <row r="83" spans="1:50" x14ac:dyDescent="0.3">
      <c r="A83" s="30" t="str">
        <f>VLOOKUP(H83,'Accoount Code Combination'!$D:$L,8,FALSE)</f>
        <v xml:space="preserve">Facilities </v>
      </c>
      <c r="B83" s="31" t="str">
        <f>VLOOKUP(Table1[[#This Row],[Account Code]],'Accoount Code Combination'!$D:$L,9,FALSE)</f>
        <v>No Applicable</v>
      </c>
      <c r="C83" s="4" t="str">
        <f>VLOOKUP(Table1[[#This Row],[Cost Center Code]],'Cost Center Group'!A:B,2,FALSE)</f>
        <v>College of Engineering</v>
      </c>
      <c r="D83" s="4">
        <v>847</v>
      </c>
      <c r="E83" s="79">
        <v>8470305</v>
      </c>
      <c r="F83" s="32" t="s">
        <v>193</v>
      </c>
      <c r="G83" s="4">
        <v>1</v>
      </c>
      <c r="H83" s="95">
        <v>430330</v>
      </c>
      <c r="I83" s="106" t="str">
        <f>IFERROR(VLOOKUP(Table1[[#This Row],[Account Code]],'Accoount Code Combination'!$D:$H,2,FALSE),"")</f>
        <v>Rental - Motor vehicles</v>
      </c>
      <c r="J83" s="79">
        <v>8470305</v>
      </c>
      <c r="K83" s="4"/>
      <c r="L83" s="4" t="str">
        <f>IFERROR(VLOOKUP(Table1[[#This Row],[Future-1 Description]],'Other '!E71:$F80,2,FALSE),"")</f>
        <v/>
      </c>
      <c r="M83" s="32"/>
      <c r="N83" s="32"/>
      <c r="O83" s="32"/>
      <c r="P83" s="49">
        <v>0</v>
      </c>
      <c r="Q83" s="49">
        <v>0</v>
      </c>
      <c r="R83" s="32"/>
      <c r="S83" s="4"/>
      <c r="T83" s="32"/>
      <c r="U83" s="32"/>
      <c r="V83" s="32"/>
      <c r="W83" s="32"/>
      <c r="X83" s="33"/>
      <c r="Y83" s="33"/>
      <c r="Z83" s="31">
        <f>Table1[[#This Row],[Quantity of measruing units]]*Table1[[#This Row],[Rate (expected)]]</f>
        <v>0</v>
      </c>
      <c r="AA83" s="31"/>
      <c r="AB83" s="31"/>
      <c r="AC83" s="34">
        <f>Table1[[#This Row],[Quantity (expected)]]*Table1[[#This Row],[Rate (expected)2]]*0.9</f>
        <v>0</v>
      </c>
      <c r="AD83" s="34">
        <f>Table1[[#This Row],[Quantity (expected)]]*Table1[[#This Row],[Rate (expected)2]]*0.8</f>
        <v>0</v>
      </c>
      <c r="AE83" s="34">
        <f>Table1[[#This Row],[Quantity (expected)]]*Table1[[#This Row],[Rate (expected)2]]*0.7</f>
        <v>0</v>
      </c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1">
        <f>SUM(Table1[[#This Row],[Jan-23]:[Dec-23]])</f>
        <v>0</v>
      </c>
      <c r="AV83" s="105"/>
      <c r="AW83" s="32"/>
      <c r="AX83" s="35"/>
    </row>
    <row r="84" spans="1:50" x14ac:dyDescent="0.3">
      <c r="A84" s="30" t="str">
        <f>VLOOKUP(H84,'Accoount Code Combination'!$D:$L,8,FALSE)</f>
        <v>Academic</v>
      </c>
      <c r="B84" s="31" t="str">
        <f>VLOOKUP(Table1[[#This Row],[Account Code]],'Accoount Code Combination'!$D:$L,9,FALSE)</f>
        <v>No Applicable</v>
      </c>
      <c r="C84" s="4" t="str">
        <f>VLOOKUP(Table1[[#This Row],[Cost Center Code]],'Cost Center Group'!A:B,2,FALSE)</f>
        <v>College of Engineering</v>
      </c>
      <c r="D84" s="4">
        <v>847</v>
      </c>
      <c r="E84" s="79">
        <v>8470305</v>
      </c>
      <c r="F84" s="32" t="s">
        <v>193</v>
      </c>
      <c r="G84" s="4">
        <v>1</v>
      </c>
      <c r="H84" s="95">
        <v>432209</v>
      </c>
      <c r="I84" s="106" t="str">
        <f>IFERROR(VLOOKUP(Table1[[#This Row],[Account Code]],'Accoount Code Combination'!$D:$H,2,FALSE),"")</f>
        <v>Laboratory equipment</v>
      </c>
      <c r="J84" s="79">
        <v>8470305</v>
      </c>
      <c r="K84" s="4"/>
      <c r="L84" s="4" t="str">
        <f>IFERROR(VLOOKUP(Table1[[#This Row],[Future-1 Description]],'Other '!E72:$F81,2,FALSE),"")</f>
        <v/>
      </c>
      <c r="M84" s="32"/>
      <c r="N84" s="32"/>
      <c r="O84" s="32"/>
      <c r="P84" s="49">
        <v>786038.6</v>
      </c>
      <c r="Q84" s="49">
        <v>250000</v>
      </c>
      <c r="R84" s="32"/>
      <c r="S84" s="4"/>
      <c r="T84" s="32"/>
      <c r="U84" s="32"/>
      <c r="V84" s="32"/>
      <c r="W84" s="32"/>
      <c r="X84" s="33"/>
      <c r="Y84" s="33"/>
      <c r="Z84" s="31">
        <f>Table1[[#This Row],[Quantity of measruing units]]*Table1[[#This Row],[Rate (expected)]]</f>
        <v>0</v>
      </c>
      <c r="AA84" s="31"/>
      <c r="AB84" s="31"/>
      <c r="AC84" s="34">
        <f>Table1[[#This Row],[Quantity (expected)]]*Table1[[#This Row],[Rate (expected)2]]*0.9</f>
        <v>0</v>
      </c>
      <c r="AD84" s="34">
        <f>Table1[[#This Row],[Quantity (expected)]]*Table1[[#This Row],[Rate (expected)2]]*0.8</f>
        <v>0</v>
      </c>
      <c r="AE84" s="34">
        <f>Table1[[#This Row],[Quantity (expected)]]*Table1[[#This Row],[Rate (expected)2]]*0.7</f>
        <v>0</v>
      </c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1">
        <f>SUM(Table1[[#This Row],[Jan-23]:[Dec-23]])</f>
        <v>0</v>
      </c>
      <c r="AV84" s="105"/>
      <c r="AW84" s="32"/>
      <c r="AX84" s="35"/>
    </row>
    <row r="85" spans="1:50" ht="26" x14ac:dyDescent="0.3">
      <c r="A85" s="30">
        <f>VLOOKUP(H85,'Accoount Code Combination'!$D:$L,8,FALSE)</f>
        <v>0</v>
      </c>
      <c r="B85" s="31" t="str">
        <f>VLOOKUP(Table1[[#This Row],[Account Code]],'Accoount Code Combination'!$D:$L,9,FALSE)</f>
        <v>No Applicable</v>
      </c>
      <c r="C85" s="4" t="str">
        <f>VLOOKUP(Table1[[#This Row],[Cost Center Code]],'Cost Center Group'!A:B,2,FALSE)</f>
        <v>College of Engineering</v>
      </c>
      <c r="D85" s="4">
        <v>847</v>
      </c>
      <c r="E85" s="79">
        <v>8470305</v>
      </c>
      <c r="F85" s="32" t="s">
        <v>193</v>
      </c>
      <c r="G85" s="4">
        <v>1</v>
      </c>
      <c r="H85" s="95">
        <v>432690</v>
      </c>
      <c r="I85" s="106" t="str">
        <f>IFERROR(VLOOKUP(Table1[[#This Row],[Account Code]],'Accoount Code Combination'!$D:$H,2,FALSE),"")</f>
        <v>Plant, machinery and heavy equipment, not mentioned elsewhere</v>
      </c>
      <c r="J85" s="79">
        <v>8470305</v>
      </c>
      <c r="K85" s="4"/>
      <c r="L85" s="4" t="str">
        <f>IFERROR(VLOOKUP(Table1[[#This Row],[Future-1 Description]],'Other '!E73:$F82,2,FALSE),"")</f>
        <v/>
      </c>
      <c r="M85" s="32"/>
      <c r="N85" s="32"/>
      <c r="O85" s="32"/>
      <c r="P85" s="49">
        <v>-2820</v>
      </c>
      <c r="Q85" s="49">
        <v>5000</v>
      </c>
      <c r="R85" s="32"/>
      <c r="S85" s="4"/>
      <c r="T85" s="32"/>
      <c r="U85" s="32"/>
      <c r="V85" s="32"/>
      <c r="W85" s="32"/>
      <c r="X85" s="33"/>
      <c r="Y85" s="33"/>
      <c r="Z85" s="31">
        <f>Table1[[#This Row],[Quantity of measruing units]]*Table1[[#This Row],[Rate (expected)]]</f>
        <v>0</v>
      </c>
      <c r="AA85" s="31"/>
      <c r="AB85" s="31"/>
      <c r="AC85" s="34">
        <f>Table1[[#This Row],[Quantity (expected)]]*Table1[[#This Row],[Rate (expected)2]]*0.9</f>
        <v>0</v>
      </c>
      <c r="AD85" s="34">
        <f>Table1[[#This Row],[Quantity (expected)]]*Table1[[#This Row],[Rate (expected)2]]*0.8</f>
        <v>0</v>
      </c>
      <c r="AE85" s="34">
        <f>Table1[[#This Row],[Quantity (expected)]]*Table1[[#This Row],[Rate (expected)2]]*0.7</f>
        <v>0</v>
      </c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1">
        <f>SUM(Table1[[#This Row],[Jan-23]:[Dec-23]])</f>
        <v>0</v>
      </c>
      <c r="AV85" s="105"/>
      <c r="AW85" s="32"/>
      <c r="AX85" s="35"/>
    </row>
    <row r="86" spans="1:50" x14ac:dyDescent="0.3">
      <c r="A86" s="30" t="str">
        <f>VLOOKUP(H86,'Accoount Code Combination'!$D:$L,8,FALSE)</f>
        <v>Academic</v>
      </c>
      <c r="B86" s="31" t="str">
        <f>VLOOKUP(Table1[[#This Row],[Account Code]],'Accoount Code Combination'!$D:$L,9,FALSE)</f>
        <v>No Applicable</v>
      </c>
      <c r="C86" s="4" t="str">
        <f>VLOOKUP(Table1[[#This Row],[Cost Center Code]],'Cost Center Group'!A:B,2,FALSE)</f>
        <v>College of Engineering</v>
      </c>
      <c r="D86" s="4">
        <v>847</v>
      </c>
      <c r="E86" s="79">
        <v>8470305</v>
      </c>
      <c r="F86" s="32" t="s">
        <v>193</v>
      </c>
      <c r="G86" s="4">
        <v>1</v>
      </c>
      <c r="H86" s="95">
        <v>435350</v>
      </c>
      <c r="I86" s="106" t="str">
        <f>IFERROR(VLOOKUP(Table1[[#This Row],[Account Code]],'Accoount Code Combination'!$D:$H,2,FALSE),"")</f>
        <v>Academic Publications</v>
      </c>
      <c r="J86" s="79">
        <v>8470305</v>
      </c>
      <c r="K86" s="4"/>
      <c r="L86" s="4" t="str">
        <f>IFERROR(VLOOKUP(Table1[[#This Row],[Future-1 Description]],'Other '!E74:$F83,2,FALSE),"")</f>
        <v/>
      </c>
      <c r="M86" s="32"/>
      <c r="N86" s="32"/>
      <c r="O86" s="32"/>
      <c r="P86" s="49">
        <v>2389</v>
      </c>
      <c r="Q86" s="49">
        <v>22529</v>
      </c>
      <c r="R86" s="32"/>
      <c r="S86" s="4"/>
      <c r="T86" s="32"/>
      <c r="U86" s="32"/>
      <c r="V86" s="32"/>
      <c r="W86" s="32"/>
      <c r="X86" s="33"/>
      <c r="Y86" s="33"/>
      <c r="Z86" s="31">
        <f>Table1[[#This Row],[Quantity of measruing units]]*Table1[[#This Row],[Rate (expected)]]</f>
        <v>0</v>
      </c>
      <c r="AA86" s="31"/>
      <c r="AB86" s="31"/>
      <c r="AC86" s="34">
        <f>Table1[[#This Row],[Quantity (expected)]]*Table1[[#This Row],[Rate (expected)2]]*0.9</f>
        <v>0</v>
      </c>
      <c r="AD86" s="34">
        <f>Table1[[#This Row],[Quantity (expected)]]*Table1[[#This Row],[Rate (expected)2]]*0.8</f>
        <v>0</v>
      </c>
      <c r="AE86" s="34">
        <f>Table1[[#This Row],[Quantity (expected)]]*Table1[[#This Row],[Rate (expected)2]]*0.7</f>
        <v>0</v>
      </c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1">
        <f>SUM(Table1[[#This Row],[Jan-23]:[Dec-23]])</f>
        <v>0</v>
      </c>
      <c r="AV86" s="105"/>
      <c r="AW86" s="32"/>
      <c r="AX86" s="35"/>
    </row>
    <row r="87" spans="1:50" x14ac:dyDescent="0.3">
      <c r="A87" s="30" t="str">
        <f>VLOOKUP(H87,'Accoount Code Combination'!$D:$L,8,FALSE)</f>
        <v>Academic</v>
      </c>
      <c r="B87" s="31" t="str">
        <f>VLOOKUP(Table1[[#This Row],[Account Code]],'Accoount Code Combination'!$D:$L,9,FALSE)</f>
        <v>No Applicable</v>
      </c>
      <c r="C87" s="4" t="str">
        <f>VLOOKUP(Table1[[#This Row],[Cost Center Code]],'Cost Center Group'!A:B,2,FALSE)</f>
        <v>College of Engineering</v>
      </c>
      <c r="D87" s="4">
        <v>847</v>
      </c>
      <c r="E87" s="79">
        <v>8470305</v>
      </c>
      <c r="F87" s="32" t="s">
        <v>193</v>
      </c>
      <c r="G87" s="4">
        <v>1</v>
      </c>
      <c r="H87" s="95">
        <v>435508</v>
      </c>
      <c r="I87" s="106" t="str">
        <f>IFERROR(VLOOKUP(Table1[[#This Row],[Account Code]],'Accoount Code Combination'!$D:$H,2,FALSE),"")</f>
        <v>Laboratory - Scientific</v>
      </c>
      <c r="J87" s="79">
        <v>8470305</v>
      </c>
      <c r="K87" s="4"/>
      <c r="L87" s="4" t="str">
        <f>IFERROR(VLOOKUP(Table1[[#This Row],[Future-1 Description]],'Other '!E75:$F84,2,FALSE),"")</f>
        <v/>
      </c>
      <c r="M87" s="32"/>
      <c r="N87" s="32"/>
      <c r="O87" s="32"/>
      <c r="P87" s="49">
        <v>22871.83</v>
      </c>
      <c r="Q87" s="49">
        <v>51790</v>
      </c>
      <c r="R87" s="32"/>
      <c r="S87" s="4"/>
      <c r="T87" s="32"/>
      <c r="U87" s="32"/>
      <c r="V87" s="32"/>
      <c r="W87" s="32"/>
      <c r="X87" s="33"/>
      <c r="Y87" s="33"/>
      <c r="Z87" s="31">
        <f>Table1[[#This Row],[Quantity of measruing units]]*Table1[[#This Row],[Rate (expected)]]</f>
        <v>0</v>
      </c>
      <c r="AA87" s="31"/>
      <c r="AB87" s="31"/>
      <c r="AC87" s="34">
        <f>Table1[[#This Row],[Quantity (expected)]]*Table1[[#This Row],[Rate (expected)2]]*0.9</f>
        <v>0</v>
      </c>
      <c r="AD87" s="34">
        <f>Table1[[#This Row],[Quantity (expected)]]*Table1[[#This Row],[Rate (expected)2]]*0.8</f>
        <v>0</v>
      </c>
      <c r="AE87" s="34">
        <f>Table1[[#This Row],[Quantity (expected)]]*Table1[[#This Row],[Rate (expected)2]]*0.7</f>
        <v>0</v>
      </c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1">
        <f>SUM(Table1[[#This Row],[Jan-23]:[Dec-23]])</f>
        <v>0</v>
      </c>
      <c r="AV87" s="105"/>
      <c r="AW87" s="32"/>
      <c r="AX87" s="35"/>
    </row>
    <row r="88" spans="1:50" ht="26" x14ac:dyDescent="0.3">
      <c r="A88" s="30" t="str">
        <f>VLOOKUP(H88,'Accoount Code Combination'!$D:$L,8,FALSE)</f>
        <v>Academic</v>
      </c>
      <c r="B88" s="31" t="str">
        <f>VLOOKUP(Table1[[#This Row],[Account Code]],'Accoount Code Combination'!$D:$L,9,FALSE)</f>
        <v>No Applicable</v>
      </c>
      <c r="C88" s="4" t="str">
        <f>VLOOKUP(Table1[[#This Row],[Cost Center Code]],'Cost Center Group'!A:B,2,FALSE)</f>
        <v>College of Engineering</v>
      </c>
      <c r="D88" s="4">
        <v>847</v>
      </c>
      <c r="E88" s="79">
        <v>8470305</v>
      </c>
      <c r="F88" s="32" t="s">
        <v>193</v>
      </c>
      <c r="G88" s="4">
        <v>1</v>
      </c>
      <c r="H88" s="95">
        <v>435530</v>
      </c>
      <c r="I88" s="106" t="str">
        <f>IFERROR(VLOOKUP(Table1[[#This Row],[Account Code]],'Accoount Code Combination'!$D:$H,2,FALSE),"")</f>
        <v>School consumables, not specifically mentioned elsewhere</v>
      </c>
      <c r="J88" s="79">
        <v>8470305</v>
      </c>
      <c r="K88" s="4"/>
      <c r="L88" s="4" t="str">
        <f>IFERROR(VLOOKUP(Table1[[#This Row],[Future-1 Description]],'Other '!E76:$F85,2,FALSE),"")</f>
        <v/>
      </c>
      <c r="M88" s="32"/>
      <c r="N88" s="32"/>
      <c r="O88" s="32"/>
      <c r="P88" s="49">
        <v>0</v>
      </c>
      <c r="Q88" s="49">
        <v>0</v>
      </c>
      <c r="R88" s="32"/>
      <c r="S88" s="4"/>
      <c r="T88" s="32"/>
      <c r="U88" s="32"/>
      <c r="V88" s="32"/>
      <c r="W88" s="32"/>
      <c r="X88" s="33"/>
      <c r="Y88" s="33"/>
      <c r="Z88" s="31">
        <f>Table1[[#This Row],[Quantity of measruing units]]*Table1[[#This Row],[Rate (expected)]]</f>
        <v>0</v>
      </c>
      <c r="AA88" s="31"/>
      <c r="AB88" s="31"/>
      <c r="AC88" s="34">
        <f>Table1[[#This Row],[Quantity (expected)]]*Table1[[#This Row],[Rate (expected)2]]*0.9</f>
        <v>0</v>
      </c>
      <c r="AD88" s="34">
        <f>Table1[[#This Row],[Quantity (expected)]]*Table1[[#This Row],[Rate (expected)2]]*0.8</f>
        <v>0</v>
      </c>
      <c r="AE88" s="34">
        <f>Table1[[#This Row],[Quantity (expected)]]*Table1[[#This Row],[Rate (expected)2]]*0.7</f>
        <v>0</v>
      </c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1">
        <f>SUM(Table1[[#This Row],[Jan-23]:[Dec-23]])</f>
        <v>0</v>
      </c>
      <c r="AV88" s="105"/>
      <c r="AW88" s="32"/>
      <c r="AX88" s="35"/>
    </row>
    <row r="89" spans="1:50" x14ac:dyDescent="0.3">
      <c r="A89" s="30" t="str">
        <f>VLOOKUP(H89,'Accoount Code Combination'!$D:$L,8,FALSE)</f>
        <v>Other support</v>
      </c>
      <c r="B89" s="31" t="str">
        <f>VLOOKUP(Table1[[#This Row],[Account Code]],'Accoount Code Combination'!$D:$L,9,FALSE)</f>
        <v>No Applicable</v>
      </c>
      <c r="C89" s="4" t="str">
        <f>VLOOKUP(Table1[[#This Row],[Cost Center Code]],'Cost Center Group'!A:B,2,FALSE)</f>
        <v>College of Engineering</v>
      </c>
      <c r="D89" s="4">
        <v>847</v>
      </c>
      <c r="E89" s="79">
        <v>8470305</v>
      </c>
      <c r="F89" s="32" t="s">
        <v>193</v>
      </c>
      <c r="G89" s="4">
        <v>1</v>
      </c>
      <c r="H89" s="95">
        <v>436110</v>
      </c>
      <c r="I89" s="106" t="str">
        <f>IFERROR(VLOOKUP(Table1[[#This Row],[Account Code]],'Accoount Code Combination'!$D:$H,2,FALSE),"")</f>
        <v>Printing supplies</v>
      </c>
      <c r="J89" s="79">
        <v>8470305</v>
      </c>
      <c r="K89" s="4"/>
      <c r="L89" s="4" t="str">
        <f>IFERROR(VLOOKUP(Table1[[#This Row],[Future-1 Description]],'Other '!E77:$F86,2,FALSE),"")</f>
        <v/>
      </c>
      <c r="M89" s="32"/>
      <c r="N89" s="32"/>
      <c r="O89" s="32"/>
      <c r="P89" s="49">
        <v>0</v>
      </c>
      <c r="Q89" s="49">
        <v>0</v>
      </c>
      <c r="R89" s="32"/>
      <c r="S89" s="4"/>
      <c r="T89" s="32"/>
      <c r="U89" s="32"/>
      <c r="V89" s="32"/>
      <c r="W89" s="32"/>
      <c r="X89" s="33"/>
      <c r="Y89" s="33"/>
      <c r="Z89" s="31">
        <f>Table1[[#This Row],[Quantity of measruing units]]*Table1[[#This Row],[Rate (expected)]]</f>
        <v>0</v>
      </c>
      <c r="AA89" s="31"/>
      <c r="AB89" s="31"/>
      <c r="AC89" s="34">
        <f>Table1[[#This Row],[Quantity (expected)]]*Table1[[#This Row],[Rate (expected)2]]*0.9</f>
        <v>0</v>
      </c>
      <c r="AD89" s="34">
        <f>Table1[[#This Row],[Quantity (expected)]]*Table1[[#This Row],[Rate (expected)2]]*0.8</f>
        <v>0</v>
      </c>
      <c r="AE89" s="34">
        <f>Table1[[#This Row],[Quantity (expected)]]*Table1[[#This Row],[Rate (expected)2]]*0.7</f>
        <v>0</v>
      </c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1">
        <f>SUM(Table1[[#This Row],[Jan-23]:[Dec-23]])</f>
        <v>0</v>
      </c>
      <c r="AV89" s="105"/>
      <c r="AW89" s="32"/>
      <c r="AX89" s="35"/>
    </row>
    <row r="90" spans="1:50" ht="26" x14ac:dyDescent="0.3">
      <c r="A90" s="30" t="str">
        <f>VLOOKUP(H90,'Accoount Code Combination'!$D:$L,8,FALSE)</f>
        <v>Academic</v>
      </c>
      <c r="B90" s="31" t="str">
        <f>VLOOKUP(Table1[[#This Row],[Account Code]],'Accoount Code Combination'!$D:$L,9,FALSE)</f>
        <v>No Applicable</v>
      </c>
      <c r="C90" s="4" t="str">
        <f>VLOOKUP(Table1[[#This Row],[Cost Center Code]],'Cost Center Group'!A:B,2,FALSE)</f>
        <v>College of Engineering</v>
      </c>
      <c r="D90" s="4">
        <v>847</v>
      </c>
      <c r="E90" s="79">
        <v>8470305</v>
      </c>
      <c r="F90" s="32" t="s">
        <v>193</v>
      </c>
      <c r="G90" s="4">
        <v>1</v>
      </c>
      <c r="H90" s="95">
        <v>436600</v>
      </c>
      <c r="I90" s="106" t="str">
        <f>IFERROR(VLOOKUP(Table1[[#This Row],[Account Code]],'Accoount Code Combination'!$D:$H,2,FALSE),"")</f>
        <v>Training/Teaching equipment and other educational aid</v>
      </c>
      <c r="J90" s="79">
        <v>8470305</v>
      </c>
      <c r="K90" s="4"/>
      <c r="L90" s="4" t="str">
        <f>IFERROR(VLOOKUP(Table1[[#This Row],[Future-1 Description]],'Other '!E78:$F87,2,FALSE),"")</f>
        <v/>
      </c>
      <c r="M90" s="32"/>
      <c r="N90" s="32"/>
      <c r="O90" s="32"/>
      <c r="P90" s="49">
        <v>0</v>
      </c>
      <c r="Q90" s="49">
        <v>0</v>
      </c>
      <c r="R90" s="32"/>
      <c r="S90" s="4"/>
      <c r="T90" s="32"/>
      <c r="U90" s="32"/>
      <c r="V90" s="32"/>
      <c r="W90" s="32"/>
      <c r="X90" s="33"/>
      <c r="Y90" s="33"/>
      <c r="Z90" s="31">
        <f>Table1[[#This Row],[Quantity of measruing units]]*Table1[[#This Row],[Rate (expected)]]</f>
        <v>0</v>
      </c>
      <c r="AA90" s="31"/>
      <c r="AB90" s="31"/>
      <c r="AC90" s="34">
        <f>Table1[[#This Row],[Quantity (expected)]]*Table1[[#This Row],[Rate (expected)2]]*0.9</f>
        <v>0</v>
      </c>
      <c r="AD90" s="34">
        <f>Table1[[#This Row],[Quantity (expected)]]*Table1[[#This Row],[Rate (expected)2]]*0.8</f>
        <v>0</v>
      </c>
      <c r="AE90" s="34">
        <f>Table1[[#This Row],[Quantity (expected)]]*Table1[[#This Row],[Rate (expected)2]]*0.7</f>
        <v>0</v>
      </c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1">
        <f>SUM(Table1[[#This Row],[Jan-23]:[Dec-23]])</f>
        <v>0</v>
      </c>
      <c r="AV90" s="105"/>
      <c r="AW90" s="32"/>
      <c r="AX90" s="35"/>
    </row>
    <row r="91" spans="1:50" x14ac:dyDescent="0.3">
      <c r="A91" s="30">
        <f>VLOOKUP(H91,'Accoount Code Combination'!$D:$L,8,FALSE)</f>
        <v>0</v>
      </c>
      <c r="B91" s="31" t="str">
        <f>VLOOKUP(Table1[[#This Row],[Account Code]],'Accoount Code Combination'!$D:$L,9,FALSE)</f>
        <v>No Applicable</v>
      </c>
      <c r="C91" s="4" t="str">
        <f>VLOOKUP(Table1[[#This Row],[Cost Center Code]],'Cost Center Group'!A:B,2,FALSE)</f>
        <v>College of Engineering</v>
      </c>
      <c r="D91" s="4">
        <v>847</v>
      </c>
      <c r="E91" s="79">
        <v>8470305</v>
      </c>
      <c r="F91" s="32" t="s">
        <v>193</v>
      </c>
      <c r="G91" s="4">
        <v>1</v>
      </c>
      <c r="H91" s="95">
        <v>492316</v>
      </c>
      <c r="I91" s="106" t="str">
        <f>IFERROR(VLOOKUP(Table1[[#This Row],[Account Code]],'Accoount Code Combination'!$D:$H,2,FALSE),"")</f>
        <v>Laboratory equipment</v>
      </c>
      <c r="J91" s="79">
        <v>8470305</v>
      </c>
      <c r="K91" s="4"/>
      <c r="L91" s="4" t="str">
        <f>IFERROR(VLOOKUP(Table1[[#This Row],[Future-1 Description]],'Other '!E79:$F88,2,FALSE),"")</f>
        <v/>
      </c>
      <c r="M91" s="32"/>
      <c r="N91" s="32"/>
      <c r="O91" s="32"/>
      <c r="P91" s="49">
        <v>2550.18999999994</v>
      </c>
      <c r="Q91" s="49">
        <v>0</v>
      </c>
      <c r="R91" s="32"/>
      <c r="S91" s="4"/>
      <c r="T91" s="32"/>
      <c r="U91" s="32"/>
      <c r="V91" s="32"/>
      <c r="W91" s="32"/>
      <c r="X91" s="33"/>
      <c r="Y91" s="33"/>
      <c r="Z91" s="31">
        <f>Table1[[#This Row],[Quantity of measruing units]]*Table1[[#This Row],[Rate (expected)]]</f>
        <v>0</v>
      </c>
      <c r="AA91" s="31"/>
      <c r="AB91" s="31"/>
      <c r="AC91" s="34">
        <f>Table1[[#This Row],[Quantity (expected)]]*Table1[[#This Row],[Rate (expected)2]]*0.9</f>
        <v>0</v>
      </c>
      <c r="AD91" s="34">
        <f>Table1[[#This Row],[Quantity (expected)]]*Table1[[#This Row],[Rate (expected)2]]*0.8</f>
        <v>0</v>
      </c>
      <c r="AE91" s="34">
        <f>Table1[[#This Row],[Quantity (expected)]]*Table1[[#This Row],[Rate (expected)2]]*0.7</f>
        <v>0</v>
      </c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1">
        <f>SUM(Table1[[#This Row],[Jan-23]:[Dec-23]])</f>
        <v>0</v>
      </c>
      <c r="AV91" s="105"/>
      <c r="AW91" s="32"/>
      <c r="AX91" s="35"/>
    </row>
    <row r="92" spans="1:50" x14ac:dyDescent="0.3">
      <c r="A92" s="30" t="str">
        <f>VLOOKUP(H92,'Accoount Code Combination'!$D:$L,8,FALSE)</f>
        <v>Academic</v>
      </c>
      <c r="B92" s="31" t="str">
        <f>VLOOKUP(Table1[[#This Row],[Account Code]],'Accoount Code Combination'!$D:$L,9,FALSE)</f>
        <v>No Applicable</v>
      </c>
      <c r="C92" s="4" t="str">
        <f>VLOOKUP(Table1[[#This Row],[Cost Center Code]],'Cost Center Group'!A:B,2,FALSE)</f>
        <v>College of Engineering</v>
      </c>
      <c r="D92" s="4">
        <v>847</v>
      </c>
      <c r="E92" s="79">
        <v>8470310</v>
      </c>
      <c r="F92" s="32" t="s">
        <v>309</v>
      </c>
      <c r="G92" s="4">
        <v>1</v>
      </c>
      <c r="H92" s="95">
        <v>420550</v>
      </c>
      <c r="I92" s="106" t="str">
        <f>IFERROR(VLOOKUP(Table1[[#This Row],[Account Code]],'Accoount Code Combination'!$D:$H,2,FALSE),"")</f>
        <v>Academic Advisory Service</v>
      </c>
      <c r="J92" s="79">
        <v>8470310</v>
      </c>
      <c r="K92" s="4"/>
      <c r="L92" s="4" t="str">
        <f>IFERROR(VLOOKUP(Table1[[#This Row],[Future-1 Description]],'Other '!E80:$F89,2,FALSE),"")</f>
        <v/>
      </c>
      <c r="M92" s="32"/>
      <c r="N92" s="32"/>
      <c r="O92" s="32"/>
      <c r="P92" s="49">
        <v>0</v>
      </c>
      <c r="Q92" s="49">
        <v>0</v>
      </c>
      <c r="R92" s="32"/>
      <c r="S92" s="4"/>
      <c r="T92" s="32"/>
      <c r="U92" s="32"/>
      <c r="V92" s="32"/>
      <c r="W92" s="32"/>
      <c r="X92" s="33"/>
      <c r="Y92" s="33"/>
      <c r="Z92" s="31">
        <f>Table1[[#This Row],[Quantity of measruing units]]*Table1[[#This Row],[Rate (expected)]]</f>
        <v>0</v>
      </c>
      <c r="AA92" s="31"/>
      <c r="AB92" s="31"/>
      <c r="AC92" s="34">
        <f>Table1[[#This Row],[Quantity (expected)]]*Table1[[#This Row],[Rate (expected)2]]*0.9</f>
        <v>0</v>
      </c>
      <c r="AD92" s="34">
        <f>Table1[[#This Row],[Quantity (expected)]]*Table1[[#This Row],[Rate (expected)2]]*0.8</f>
        <v>0</v>
      </c>
      <c r="AE92" s="34">
        <f>Table1[[#This Row],[Quantity (expected)]]*Table1[[#This Row],[Rate (expected)2]]*0.7</f>
        <v>0</v>
      </c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1">
        <f>SUM(Table1[[#This Row],[Jan-23]:[Dec-23]])</f>
        <v>0</v>
      </c>
      <c r="AV92" s="105"/>
      <c r="AW92" s="32"/>
      <c r="AX92" s="35"/>
    </row>
    <row r="93" spans="1:50" ht="26" x14ac:dyDescent="0.3">
      <c r="A93" s="30" t="str">
        <f>VLOOKUP(H93,'Accoount Code Combination'!$D:$L,8,FALSE)</f>
        <v>Communiction &amp; Marketing</v>
      </c>
      <c r="B93" s="31" t="str">
        <f>VLOOKUP(Table1[[#This Row],[Account Code]],'Accoount Code Combination'!$D:$L,9,FALSE)</f>
        <v>Events</v>
      </c>
      <c r="C93" s="4" t="str">
        <f>VLOOKUP(Table1[[#This Row],[Cost Center Code]],'Cost Center Group'!A:B,2,FALSE)</f>
        <v>College of Engineering</v>
      </c>
      <c r="D93" s="4">
        <v>847</v>
      </c>
      <c r="E93" s="79">
        <v>8470310</v>
      </c>
      <c r="F93" s="32" t="s">
        <v>309</v>
      </c>
      <c r="G93" s="4">
        <v>1</v>
      </c>
      <c r="H93" s="95">
        <v>425510</v>
      </c>
      <c r="I93" s="106" t="str">
        <f>IFERROR(VLOOKUP(Table1[[#This Row],[Account Code]],'Accoount Code Combination'!$D:$H,2,FALSE),"")</f>
        <v>Conferences, seminars and exhibitions and other events: - Local Events</v>
      </c>
      <c r="J93" s="79">
        <v>8470310</v>
      </c>
      <c r="K93" s="4"/>
      <c r="L93" s="4" t="str">
        <f>IFERROR(VLOOKUP(Table1[[#This Row],[Future-1 Description]],'Other '!E81:$F90,2,FALSE),"")</f>
        <v/>
      </c>
      <c r="M93" s="32"/>
      <c r="N93" s="32"/>
      <c r="O93" s="32"/>
      <c r="P93" s="49">
        <v>0</v>
      </c>
      <c r="Q93" s="49">
        <v>0</v>
      </c>
      <c r="R93" s="32"/>
      <c r="S93" s="4"/>
      <c r="T93" s="32"/>
      <c r="U93" s="32"/>
      <c r="V93" s="32"/>
      <c r="W93" s="32"/>
      <c r="X93" s="33"/>
      <c r="Y93" s="33"/>
      <c r="Z93" s="31">
        <f>Table1[[#This Row],[Quantity of measruing units]]*Table1[[#This Row],[Rate (expected)]]</f>
        <v>0</v>
      </c>
      <c r="AA93" s="31"/>
      <c r="AB93" s="31"/>
      <c r="AC93" s="34">
        <f>Table1[[#This Row],[Quantity (expected)]]*Table1[[#This Row],[Rate (expected)2]]*0.9</f>
        <v>0</v>
      </c>
      <c r="AD93" s="34">
        <f>Table1[[#This Row],[Quantity (expected)]]*Table1[[#This Row],[Rate (expected)2]]*0.8</f>
        <v>0</v>
      </c>
      <c r="AE93" s="34">
        <f>Table1[[#This Row],[Quantity (expected)]]*Table1[[#This Row],[Rate (expected)2]]*0.7</f>
        <v>0</v>
      </c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1">
        <f>SUM(Table1[[#This Row],[Jan-23]:[Dec-23]])</f>
        <v>0</v>
      </c>
      <c r="AV93" s="105"/>
      <c r="AW93" s="32"/>
      <c r="AX93" s="35"/>
    </row>
    <row r="94" spans="1:50" x14ac:dyDescent="0.3">
      <c r="A94" s="30" t="str">
        <f>VLOOKUP(H94,'Accoount Code Combination'!$D:$L,8,FALSE)</f>
        <v>Student</v>
      </c>
      <c r="B94" s="31" t="str">
        <f>VLOOKUP(Table1[[#This Row],[Account Code]],'Accoount Code Combination'!$D:$L,9,FALSE)</f>
        <v>Activities and Field trips</v>
      </c>
      <c r="C94" s="4" t="str">
        <f>VLOOKUP(Table1[[#This Row],[Cost Center Code]],'Cost Center Group'!A:B,2,FALSE)</f>
        <v>College of Engineering</v>
      </c>
      <c r="D94" s="4">
        <v>847</v>
      </c>
      <c r="E94" s="79">
        <v>8470310</v>
      </c>
      <c r="F94" s="32" t="s">
        <v>309</v>
      </c>
      <c r="G94" s="4">
        <v>1</v>
      </c>
      <c r="H94" s="95">
        <v>425760</v>
      </c>
      <c r="I94" s="106" t="str">
        <f>IFERROR(VLOOKUP(Table1[[#This Row],[Account Code]],'Accoount Code Combination'!$D:$H,2,FALSE),"")</f>
        <v>Student activities &amp; field trip expenses</v>
      </c>
      <c r="J94" s="79">
        <v>8470310</v>
      </c>
      <c r="K94" s="4"/>
      <c r="L94" s="4" t="str">
        <f>IFERROR(VLOOKUP(Table1[[#This Row],[Future-1 Description]],'Other '!E82:$F91,2,FALSE),"")</f>
        <v/>
      </c>
      <c r="M94" s="32"/>
      <c r="N94" s="32"/>
      <c r="O94" s="32"/>
      <c r="P94" s="49">
        <v>0</v>
      </c>
      <c r="Q94" s="49">
        <v>0</v>
      </c>
      <c r="R94" s="32"/>
      <c r="S94" s="4"/>
      <c r="T94" s="32"/>
      <c r="U94" s="32"/>
      <c r="V94" s="32"/>
      <c r="W94" s="32"/>
      <c r="X94" s="33"/>
      <c r="Y94" s="33"/>
      <c r="Z94" s="31">
        <f>Table1[[#This Row],[Quantity of measruing units]]*Table1[[#This Row],[Rate (expected)]]</f>
        <v>0</v>
      </c>
      <c r="AA94" s="31"/>
      <c r="AB94" s="31"/>
      <c r="AC94" s="34">
        <f>Table1[[#This Row],[Quantity (expected)]]*Table1[[#This Row],[Rate (expected)2]]*0.9</f>
        <v>0</v>
      </c>
      <c r="AD94" s="34">
        <f>Table1[[#This Row],[Quantity (expected)]]*Table1[[#This Row],[Rate (expected)2]]*0.8</f>
        <v>0</v>
      </c>
      <c r="AE94" s="34">
        <f>Table1[[#This Row],[Quantity (expected)]]*Table1[[#This Row],[Rate (expected)2]]*0.7</f>
        <v>0</v>
      </c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1">
        <f>SUM(Table1[[#This Row],[Jan-23]:[Dec-23]])</f>
        <v>0</v>
      </c>
      <c r="AV94" s="105"/>
      <c r="AW94" s="32"/>
      <c r="AX94" s="35"/>
    </row>
    <row r="95" spans="1:50" x14ac:dyDescent="0.3">
      <c r="A95" s="30" t="str">
        <f>VLOOKUP(H95,'Accoount Code Combination'!$D:$L,8,FALSE)</f>
        <v>Student</v>
      </c>
      <c r="B95" s="31" t="str">
        <f>VLOOKUP(Table1[[#This Row],[Account Code]],'Accoount Code Combination'!$D:$L,9,FALSE)</f>
        <v>No Applicable</v>
      </c>
      <c r="C95" s="4" t="str">
        <f>VLOOKUP(Table1[[#This Row],[Cost Center Code]],'Cost Center Group'!A:B,2,FALSE)</f>
        <v>College of Engineering</v>
      </c>
      <c r="D95" s="4">
        <v>847</v>
      </c>
      <c r="E95" s="79">
        <v>8470310</v>
      </c>
      <c r="F95" s="32" t="s">
        <v>309</v>
      </c>
      <c r="G95" s="4">
        <v>1</v>
      </c>
      <c r="H95" s="95">
        <v>425763</v>
      </c>
      <c r="I95" s="106" t="str">
        <f>IFERROR(VLOOKUP(Table1[[#This Row],[Account Code]],'Accoount Code Combination'!$D:$H,2,FALSE),"")</f>
        <v>Student Project Expenses</v>
      </c>
      <c r="J95" s="79">
        <v>8470310</v>
      </c>
      <c r="K95" s="4"/>
      <c r="L95" s="4" t="str">
        <f>IFERROR(VLOOKUP(Table1[[#This Row],[Future-1 Description]],'Other '!E83:$F92,2,FALSE),"")</f>
        <v/>
      </c>
      <c r="M95" s="32"/>
      <c r="N95" s="32"/>
      <c r="O95" s="32"/>
      <c r="P95" s="49">
        <v>62464.480000000003</v>
      </c>
      <c r="Q95" s="49">
        <v>85000</v>
      </c>
      <c r="R95" s="32"/>
      <c r="S95" s="4"/>
      <c r="T95" s="32"/>
      <c r="U95" s="32"/>
      <c r="V95" s="32"/>
      <c r="W95" s="32"/>
      <c r="X95" s="33"/>
      <c r="Y95" s="33"/>
      <c r="Z95" s="31">
        <f>Table1[[#This Row],[Quantity of measruing units]]*Table1[[#This Row],[Rate (expected)]]</f>
        <v>0</v>
      </c>
      <c r="AA95" s="31"/>
      <c r="AB95" s="31"/>
      <c r="AC95" s="34">
        <f>Table1[[#This Row],[Quantity (expected)]]*Table1[[#This Row],[Rate (expected)2]]*0.9</f>
        <v>0</v>
      </c>
      <c r="AD95" s="34">
        <f>Table1[[#This Row],[Quantity (expected)]]*Table1[[#This Row],[Rate (expected)2]]*0.8</f>
        <v>0</v>
      </c>
      <c r="AE95" s="34">
        <f>Table1[[#This Row],[Quantity (expected)]]*Table1[[#This Row],[Rate (expected)2]]*0.7</f>
        <v>0</v>
      </c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1">
        <f>SUM(Table1[[#This Row],[Jan-23]:[Dec-23]])</f>
        <v>0</v>
      </c>
      <c r="AV95" s="105"/>
      <c r="AW95" s="32"/>
      <c r="AX95" s="35"/>
    </row>
    <row r="96" spans="1:50" x14ac:dyDescent="0.3">
      <c r="A96" s="30" t="str">
        <f>VLOOKUP(H96,'Accoount Code Combination'!$D:$L,8,FALSE)</f>
        <v>Academic</v>
      </c>
      <c r="B96" s="31" t="str">
        <f>VLOOKUP(Table1[[#This Row],[Account Code]],'Accoount Code Combination'!$D:$L,9,FALSE)</f>
        <v>No Applicable</v>
      </c>
      <c r="C96" s="4" t="str">
        <f>VLOOKUP(Table1[[#This Row],[Cost Center Code]],'Cost Center Group'!A:B,2,FALSE)</f>
        <v>College of Engineering</v>
      </c>
      <c r="D96" s="4">
        <v>847</v>
      </c>
      <c r="E96" s="79">
        <v>8470310</v>
      </c>
      <c r="F96" s="32" t="s">
        <v>309</v>
      </c>
      <c r="G96" s="4">
        <v>1</v>
      </c>
      <c r="H96" s="95">
        <v>425770</v>
      </c>
      <c r="I96" s="106" t="str">
        <f>IFERROR(VLOOKUP(Table1[[#This Row],[Account Code]],'Accoount Code Combination'!$D:$H,2,FALSE),"")</f>
        <v>Academic Missions - Combined expenses</v>
      </c>
      <c r="J96" s="79">
        <v>8470310</v>
      </c>
      <c r="K96" s="4"/>
      <c r="L96" s="4" t="str">
        <f>IFERROR(VLOOKUP(Table1[[#This Row],[Future-1 Description]],'Other '!E84:$F93,2,FALSE),"")</f>
        <v/>
      </c>
      <c r="M96" s="32"/>
      <c r="N96" s="32"/>
      <c r="O96" s="32"/>
      <c r="P96" s="49">
        <v>2890</v>
      </c>
      <c r="Q96" s="49">
        <v>14490</v>
      </c>
      <c r="R96" s="32"/>
      <c r="S96" s="4"/>
      <c r="T96" s="32"/>
      <c r="U96" s="32"/>
      <c r="V96" s="32"/>
      <c r="W96" s="32"/>
      <c r="X96" s="33"/>
      <c r="Y96" s="33"/>
      <c r="Z96" s="31">
        <f>Table1[[#This Row],[Quantity of measruing units]]*Table1[[#This Row],[Rate (expected)]]</f>
        <v>0</v>
      </c>
      <c r="AA96" s="31"/>
      <c r="AB96" s="31"/>
      <c r="AC96" s="34">
        <f>Table1[[#This Row],[Quantity (expected)]]*Table1[[#This Row],[Rate (expected)2]]*0.9</f>
        <v>0</v>
      </c>
      <c r="AD96" s="34">
        <f>Table1[[#This Row],[Quantity (expected)]]*Table1[[#This Row],[Rate (expected)2]]*0.8</f>
        <v>0</v>
      </c>
      <c r="AE96" s="34">
        <f>Table1[[#This Row],[Quantity (expected)]]*Table1[[#This Row],[Rate (expected)2]]*0.7</f>
        <v>0</v>
      </c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1">
        <f>SUM(Table1[[#This Row],[Jan-23]:[Dec-23]])</f>
        <v>0</v>
      </c>
      <c r="AV96" s="105"/>
      <c r="AW96" s="32"/>
      <c r="AX96" s="35"/>
    </row>
    <row r="97" spans="1:50" x14ac:dyDescent="0.3">
      <c r="A97" s="30" t="str">
        <f>VLOOKUP(H97,'Accoount Code Combination'!$D:$L,8,FALSE)</f>
        <v>Other support</v>
      </c>
      <c r="B97" s="31" t="str">
        <f>VLOOKUP(Table1[[#This Row],[Account Code]],'Accoount Code Combination'!$D:$L,9,FALSE)</f>
        <v>No Applicable</v>
      </c>
      <c r="C97" s="4" t="str">
        <f>VLOOKUP(Table1[[#This Row],[Cost Center Code]],'Cost Center Group'!A:B,2,FALSE)</f>
        <v>College of Engineering</v>
      </c>
      <c r="D97" s="4">
        <v>847</v>
      </c>
      <c r="E97" s="79">
        <v>8470310</v>
      </c>
      <c r="F97" s="32" t="s">
        <v>309</v>
      </c>
      <c r="G97" s="4">
        <v>1</v>
      </c>
      <c r="H97" s="95">
        <v>425900</v>
      </c>
      <c r="I97" s="106" t="str">
        <f>IFERROR(VLOOKUP(Table1[[#This Row],[Account Code]],'Accoount Code Combination'!$D:$H,2,FALSE),"")</f>
        <v>Entertainment and hospitality</v>
      </c>
      <c r="J97" s="79">
        <v>8470310</v>
      </c>
      <c r="K97" s="4"/>
      <c r="L97" s="4" t="str">
        <f>IFERROR(VLOOKUP(Table1[[#This Row],[Future-1 Description]],'Other '!E85:$F94,2,FALSE),"")</f>
        <v/>
      </c>
      <c r="M97" s="32"/>
      <c r="N97" s="32"/>
      <c r="O97" s="32"/>
      <c r="P97" s="49">
        <v>392</v>
      </c>
      <c r="Q97" s="49">
        <v>0</v>
      </c>
      <c r="R97" s="32"/>
      <c r="S97" s="4"/>
      <c r="T97" s="32"/>
      <c r="U97" s="32"/>
      <c r="V97" s="32"/>
      <c r="W97" s="32"/>
      <c r="X97" s="33"/>
      <c r="Y97" s="33"/>
      <c r="Z97" s="31">
        <f>Table1[[#This Row],[Quantity of measruing units]]*Table1[[#This Row],[Rate (expected)]]</f>
        <v>0</v>
      </c>
      <c r="AA97" s="31"/>
      <c r="AB97" s="31"/>
      <c r="AC97" s="34">
        <f>Table1[[#This Row],[Quantity (expected)]]*Table1[[#This Row],[Rate (expected)2]]*0.9</f>
        <v>0</v>
      </c>
      <c r="AD97" s="34">
        <f>Table1[[#This Row],[Quantity (expected)]]*Table1[[#This Row],[Rate (expected)2]]*0.8</f>
        <v>0</v>
      </c>
      <c r="AE97" s="34">
        <f>Table1[[#This Row],[Quantity (expected)]]*Table1[[#This Row],[Rate (expected)2]]*0.7</f>
        <v>0</v>
      </c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1">
        <f>SUM(Table1[[#This Row],[Jan-23]:[Dec-23]])</f>
        <v>0</v>
      </c>
      <c r="AV97" s="105"/>
      <c r="AW97" s="32"/>
      <c r="AX97" s="35"/>
    </row>
    <row r="98" spans="1:50" x14ac:dyDescent="0.3">
      <c r="A98" s="30" t="str">
        <f>VLOOKUP(H98,'Accoount Code Combination'!$D:$L,8,FALSE)</f>
        <v>IT</v>
      </c>
      <c r="B98" s="31" t="str">
        <f>VLOOKUP(Table1[[#This Row],[Account Code]],'Accoount Code Combination'!$D:$L,9,FALSE)</f>
        <v>Software Operating</v>
      </c>
      <c r="C98" s="4" t="str">
        <f>VLOOKUP(Table1[[#This Row],[Cost Center Code]],'Cost Center Group'!A:B,2,FALSE)</f>
        <v>College of Engineering</v>
      </c>
      <c r="D98" s="4">
        <v>847</v>
      </c>
      <c r="E98" s="79">
        <v>8470310</v>
      </c>
      <c r="F98" s="32" t="s">
        <v>309</v>
      </c>
      <c r="G98" s="4">
        <v>1</v>
      </c>
      <c r="H98" s="95">
        <v>426610</v>
      </c>
      <c r="I98" s="106" t="str">
        <f>IFERROR(VLOOKUP(Table1[[#This Row],[Account Code]],'Accoount Code Combination'!$D:$H,2,FALSE),"")</f>
        <v>Computer software licenses</v>
      </c>
      <c r="J98" s="79">
        <v>8470310</v>
      </c>
      <c r="K98" s="4"/>
      <c r="L98" s="4" t="str">
        <f>IFERROR(VLOOKUP(Table1[[#This Row],[Future-1 Description]],'Other '!E86:$F95,2,FALSE),"")</f>
        <v/>
      </c>
      <c r="M98" s="32"/>
      <c r="N98" s="32"/>
      <c r="O98" s="32"/>
      <c r="P98" s="49">
        <v>8348.36</v>
      </c>
      <c r="Q98" s="49">
        <v>0</v>
      </c>
      <c r="R98" s="32"/>
      <c r="S98" s="4"/>
      <c r="T98" s="32"/>
      <c r="U98" s="32"/>
      <c r="V98" s="32"/>
      <c r="W98" s="32"/>
      <c r="X98" s="33"/>
      <c r="Y98" s="33"/>
      <c r="Z98" s="31">
        <f>Table1[[#This Row],[Quantity of measruing units]]*Table1[[#This Row],[Rate (expected)]]</f>
        <v>0</v>
      </c>
      <c r="AA98" s="31"/>
      <c r="AB98" s="31"/>
      <c r="AC98" s="34">
        <f>Table1[[#This Row],[Quantity (expected)]]*Table1[[#This Row],[Rate (expected)2]]*0.9</f>
        <v>0</v>
      </c>
      <c r="AD98" s="34">
        <f>Table1[[#This Row],[Quantity (expected)]]*Table1[[#This Row],[Rate (expected)2]]*0.8</f>
        <v>0</v>
      </c>
      <c r="AE98" s="34">
        <f>Table1[[#This Row],[Quantity (expected)]]*Table1[[#This Row],[Rate (expected)2]]*0.7</f>
        <v>0</v>
      </c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1">
        <f>SUM(Table1[[#This Row],[Jan-23]:[Dec-23]])</f>
        <v>0</v>
      </c>
      <c r="AV98" s="105"/>
      <c r="AW98" s="32"/>
      <c r="AX98" s="35"/>
    </row>
    <row r="99" spans="1:50" x14ac:dyDescent="0.3">
      <c r="A99" s="30" t="str">
        <f>VLOOKUP(H99,'Accoount Code Combination'!$D:$L,8,FALSE)</f>
        <v xml:space="preserve">Academic </v>
      </c>
      <c r="B99" s="31" t="str">
        <f>VLOOKUP(Table1[[#This Row],[Account Code]],'Accoount Code Combination'!$D:$L,9,FALSE)</f>
        <v>No Applicable</v>
      </c>
      <c r="C99" s="4" t="str">
        <f>VLOOKUP(Table1[[#This Row],[Cost Center Code]],'Cost Center Group'!A:B,2,FALSE)</f>
        <v>College of Engineering</v>
      </c>
      <c r="D99" s="4">
        <v>847</v>
      </c>
      <c r="E99" s="79">
        <v>8470310</v>
      </c>
      <c r="F99" s="32" t="s">
        <v>309</v>
      </c>
      <c r="G99" s="4">
        <v>1</v>
      </c>
      <c r="H99" s="95">
        <v>428090</v>
      </c>
      <c r="I99" s="106" t="str">
        <f>IFERROR(VLOOKUP(Table1[[#This Row],[Account Code]],'Accoount Code Combination'!$D:$H,2,FALSE),"")</f>
        <v>Business Travel - Combined expenses</v>
      </c>
      <c r="J99" s="79">
        <v>8470310</v>
      </c>
      <c r="K99" s="4"/>
      <c r="L99" s="4" t="str">
        <f>IFERROR(VLOOKUP(Table1[[#This Row],[Future-1 Description]],'Other '!E87:$F96,2,FALSE),"")</f>
        <v/>
      </c>
      <c r="M99" s="32"/>
      <c r="N99" s="32"/>
      <c r="O99" s="32"/>
      <c r="P99" s="49">
        <v>0</v>
      </c>
      <c r="Q99" s="49">
        <v>0</v>
      </c>
      <c r="R99" s="32"/>
      <c r="S99" s="4"/>
      <c r="T99" s="32"/>
      <c r="U99" s="32"/>
      <c r="V99" s="32"/>
      <c r="W99" s="32"/>
      <c r="X99" s="33"/>
      <c r="Y99" s="33"/>
      <c r="Z99" s="31">
        <f>Table1[[#This Row],[Quantity of measruing units]]*Table1[[#This Row],[Rate (expected)]]</f>
        <v>0</v>
      </c>
      <c r="AA99" s="31"/>
      <c r="AB99" s="31"/>
      <c r="AC99" s="34">
        <f>Table1[[#This Row],[Quantity (expected)]]*Table1[[#This Row],[Rate (expected)2]]*0.9</f>
        <v>0</v>
      </c>
      <c r="AD99" s="34">
        <f>Table1[[#This Row],[Quantity (expected)]]*Table1[[#This Row],[Rate (expected)2]]*0.8</f>
        <v>0</v>
      </c>
      <c r="AE99" s="34">
        <f>Table1[[#This Row],[Quantity (expected)]]*Table1[[#This Row],[Rate (expected)2]]*0.7</f>
        <v>0</v>
      </c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1">
        <f>SUM(Table1[[#This Row],[Jan-23]:[Dec-23]])</f>
        <v>0</v>
      </c>
      <c r="AV99" s="105"/>
      <c r="AW99" s="32"/>
      <c r="AX99" s="35"/>
    </row>
    <row r="100" spans="1:50" x14ac:dyDescent="0.3">
      <c r="A100" s="30" t="str">
        <f>VLOOKUP(H100,'Accoount Code Combination'!$D:$L,8,FALSE)</f>
        <v>Academic</v>
      </c>
      <c r="B100" s="31" t="str">
        <f>VLOOKUP(Table1[[#This Row],[Account Code]],'Accoount Code Combination'!$D:$L,9,FALSE)</f>
        <v>No Applicable</v>
      </c>
      <c r="C100" s="4" t="str">
        <f>VLOOKUP(Table1[[#This Row],[Cost Center Code]],'Cost Center Group'!A:B,2,FALSE)</f>
        <v>College of Engineering</v>
      </c>
      <c r="D100" s="4">
        <v>847</v>
      </c>
      <c r="E100" s="79">
        <v>8470310</v>
      </c>
      <c r="F100" s="32" t="s">
        <v>309</v>
      </c>
      <c r="G100" s="4">
        <v>1</v>
      </c>
      <c r="H100" s="95">
        <v>435350</v>
      </c>
      <c r="I100" s="106" t="str">
        <f>IFERROR(VLOOKUP(Table1[[#This Row],[Account Code]],'Accoount Code Combination'!$D:$H,2,FALSE),"")</f>
        <v>Academic Publications</v>
      </c>
      <c r="J100" s="79">
        <v>8470310</v>
      </c>
      <c r="K100" s="4"/>
      <c r="L100" s="4" t="str">
        <f>IFERROR(VLOOKUP(Table1[[#This Row],[Future-1 Description]],'Other '!E88:$F97,2,FALSE),"")</f>
        <v/>
      </c>
      <c r="M100" s="32"/>
      <c r="N100" s="32"/>
      <c r="O100" s="32"/>
      <c r="P100" s="49">
        <v>0</v>
      </c>
      <c r="Q100" s="49">
        <v>52000</v>
      </c>
      <c r="R100" s="32"/>
      <c r="S100" s="4"/>
      <c r="T100" s="32"/>
      <c r="U100" s="32"/>
      <c r="V100" s="32"/>
      <c r="W100" s="32"/>
      <c r="X100" s="33"/>
      <c r="Y100" s="33"/>
      <c r="Z100" s="31">
        <f>Table1[[#This Row],[Quantity of measruing units]]*Table1[[#This Row],[Rate (expected)]]</f>
        <v>0</v>
      </c>
      <c r="AA100" s="31"/>
      <c r="AB100" s="31"/>
      <c r="AC100" s="34">
        <f>Table1[[#This Row],[Quantity (expected)]]*Table1[[#This Row],[Rate (expected)2]]*0.9</f>
        <v>0</v>
      </c>
      <c r="AD100" s="34">
        <f>Table1[[#This Row],[Quantity (expected)]]*Table1[[#This Row],[Rate (expected)2]]*0.8</f>
        <v>0</v>
      </c>
      <c r="AE100" s="34">
        <f>Table1[[#This Row],[Quantity (expected)]]*Table1[[#This Row],[Rate (expected)2]]*0.7</f>
        <v>0</v>
      </c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1">
        <f>SUM(Table1[[#This Row],[Jan-23]:[Dec-23]])</f>
        <v>0</v>
      </c>
      <c r="AV100" s="105"/>
      <c r="AW100" s="32"/>
      <c r="AX100" s="35"/>
    </row>
    <row r="101" spans="1:50" x14ac:dyDescent="0.3">
      <c r="A101" s="30" t="str">
        <f>VLOOKUP(H101,'Accoount Code Combination'!$D:$L,8,FALSE)</f>
        <v>Academic</v>
      </c>
      <c r="B101" s="31" t="str">
        <f>VLOOKUP(Table1[[#This Row],[Account Code]],'Accoount Code Combination'!$D:$L,9,FALSE)</f>
        <v>No Applicable</v>
      </c>
      <c r="C101" s="4" t="str">
        <f>VLOOKUP(Table1[[#This Row],[Cost Center Code]],'Cost Center Group'!A:B,2,FALSE)</f>
        <v>College of Engineering</v>
      </c>
      <c r="D101" s="4">
        <v>847</v>
      </c>
      <c r="E101" s="79">
        <v>8470310</v>
      </c>
      <c r="F101" s="32" t="s">
        <v>309</v>
      </c>
      <c r="G101" s="4">
        <v>1</v>
      </c>
      <c r="H101" s="95">
        <v>435508</v>
      </c>
      <c r="I101" s="106" t="str">
        <f>IFERROR(VLOOKUP(Table1[[#This Row],[Account Code]],'Accoount Code Combination'!$D:$H,2,FALSE),"")</f>
        <v>Laboratory - Scientific</v>
      </c>
      <c r="J101" s="79">
        <v>8470310</v>
      </c>
      <c r="K101" s="4"/>
      <c r="L101" s="4" t="str">
        <f>IFERROR(VLOOKUP(Table1[[#This Row],[Future-1 Description]],'Other '!E89:$F98,2,FALSE),"")</f>
        <v/>
      </c>
      <c r="M101" s="32"/>
      <c r="N101" s="32"/>
      <c r="O101" s="32"/>
      <c r="P101" s="49">
        <v>119603.75</v>
      </c>
      <c r="Q101" s="49">
        <v>50000</v>
      </c>
      <c r="R101" s="32"/>
      <c r="S101" s="4"/>
      <c r="T101" s="32"/>
      <c r="U101" s="32"/>
      <c r="V101" s="32"/>
      <c r="W101" s="32"/>
      <c r="X101" s="33"/>
      <c r="Y101" s="33"/>
      <c r="Z101" s="31">
        <f>Table1[[#This Row],[Quantity of measruing units]]*Table1[[#This Row],[Rate (expected)]]</f>
        <v>0</v>
      </c>
      <c r="AA101" s="31"/>
      <c r="AB101" s="31"/>
      <c r="AC101" s="34">
        <f>Table1[[#This Row],[Quantity (expected)]]*Table1[[#This Row],[Rate (expected)2]]*0.9</f>
        <v>0</v>
      </c>
      <c r="AD101" s="34">
        <f>Table1[[#This Row],[Quantity (expected)]]*Table1[[#This Row],[Rate (expected)2]]*0.8</f>
        <v>0</v>
      </c>
      <c r="AE101" s="34">
        <f>Table1[[#This Row],[Quantity (expected)]]*Table1[[#This Row],[Rate (expected)2]]*0.7</f>
        <v>0</v>
      </c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1">
        <f>SUM(Table1[[#This Row],[Jan-23]:[Dec-23]])</f>
        <v>0</v>
      </c>
      <c r="AV101" s="105"/>
      <c r="AW101" s="32"/>
      <c r="AX101" s="35"/>
    </row>
    <row r="102" spans="1:50" x14ac:dyDescent="0.3">
      <c r="A102" s="30" t="str">
        <f>VLOOKUP(H102,'Accoount Code Combination'!$D:$L,8,FALSE)</f>
        <v>Other support</v>
      </c>
      <c r="B102" s="31" t="str">
        <f>VLOOKUP(Table1[[#This Row],[Account Code]],'Accoount Code Combination'!$D:$L,9,FALSE)</f>
        <v>No Applicable</v>
      </c>
      <c r="C102" s="4" t="str">
        <f>VLOOKUP(Table1[[#This Row],[Cost Center Code]],'Cost Center Group'!A:B,2,FALSE)</f>
        <v>College of Engineering</v>
      </c>
      <c r="D102" s="4">
        <v>847</v>
      </c>
      <c r="E102" s="79">
        <v>8470310</v>
      </c>
      <c r="F102" s="32" t="s">
        <v>309</v>
      </c>
      <c r="G102" s="4">
        <v>1</v>
      </c>
      <c r="H102" s="95">
        <v>436110</v>
      </c>
      <c r="I102" s="106" t="str">
        <f>IFERROR(VLOOKUP(Table1[[#This Row],[Account Code]],'Accoount Code Combination'!$D:$H,2,FALSE),"")</f>
        <v>Printing supplies</v>
      </c>
      <c r="J102" s="79">
        <v>8470310</v>
      </c>
      <c r="K102" s="4"/>
      <c r="L102" s="4" t="str">
        <f>IFERROR(VLOOKUP(Table1[[#This Row],[Future-1 Description]],'Other '!E90:$F99,2,FALSE),"")</f>
        <v/>
      </c>
      <c r="M102" s="32"/>
      <c r="N102" s="32"/>
      <c r="O102" s="32"/>
      <c r="P102" s="49">
        <v>0</v>
      </c>
      <c r="Q102" s="49">
        <v>0</v>
      </c>
      <c r="R102" s="32"/>
      <c r="S102" s="4"/>
      <c r="T102" s="32"/>
      <c r="U102" s="32"/>
      <c r="V102" s="32"/>
      <c r="W102" s="32"/>
      <c r="X102" s="33"/>
      <c r="Y102" s="33"/>
      <c r="Z102" s="31">
        <f>Table1[[#This Row],[Quantity of measruing units]]*Table1[[#This Row],[Rate (expected)]]</f>
        <v>0</v>
      </c>
      <c r="AA102" s="31"/>
      <c r="AB102" s="31"/>
      <c r="AC102" s="34">
        <f>Table1[[#This Row],[Quantity (expected)]]*Table1[[#This Row],[Rate (expected)2]]*0.9</f>
        <v>0</v>
      </c>
      <c r="AD102" s="34">
        <f>Table1[[#This Row],[Quantity (expected)]]*Table1[[#This Row],[Rate (expected)2]]*0.8</f>
        <v>0</v>
      </c>
      <c r="AE102" s="34">
        <f>Table1[[#This Row],[Quantity (expected)]]*Table1[[#This Row],[Rate (expected)2]]*0.7</f>
        <v>0</v>
      </c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1">
        <f>SUM(Table1[[#This Row],[Jan-23]:[Dec-23]])</f>
        <v>0</v>
      </c>
      <c r="AV102" s="105"/>
      <c r="AW102" s="32"/>
      <c r="AX102" s="35"/>
    </row>
    <row r="103" spans="1:50" ht="26" x14ac:dyDescent="0.3">
      <c r="A103" s="30" t="str">
        <f>VLOOKUP(H103,'Accoount Code Combination'!$D:$L,8,FALSE)</f>
        <v>Academic</v>
      </c>
      <c r="B103" s="31" t="str">
        <f>VLOOKUP(Table1[[#This Row],[Account Code]],'Accoount Code Combination'!$D:$L,9,FALSE)</f>
        <v>No Applicable</v>
      </c>
      <c r="C103" s="4" t="str">
        <f>VLOOKUP(Table1[[#This Row],[Cost Center Code]],'Cost Center Group'!A:B,2,FALSE)</f>
        <v>College of Engineering</v>
      </c>
      <c r="D103" s="4">
        <v>847</v>
      </c>
      <c r="E103" s="79">
        <v>8470310</v>
      </c>
      <c r="F103" s="32" t="s">
        <v>309</v>
      </c>
      <c r="G103" s="4">
        <v>1</v>
      </c>
      <c r="H103" s="95">
        <v>436600</v>
      </c>
      <c r="I103" s="106" t="str">
        <f>IFERROR(VLOOKUP(Table1[[#This Row],[Account Code]],'Accoount Code Combination'!$D:$H,2,FALSE),"")</f>
        <v>Training/Teaching equipment and other educational aid</v>
      </c>
      <c r="J103" s="79">
        <v>8470310</v>
      </c>
      <c r="K103" s="4"/>
      <c r="L103" s="4" t="str">
        <f>IFERROR(VLOOKUP(Table1[[#This Row],[Future-1 Description]],'Other '!E91:$F100,2,FALSE),"")</f>
        <v/>
      </c>
      <c r="M103" s="32"/>
      <c r="N103" s="32"/>
      <c r="O103" s="32"/>
      <c r="P103" s="49">
        <v>0</v>
      </c>
      <c r="Q103" s="49">
        <v>510</v>
      </c>
      <c r="R103" s="32"/>
      <c r="S103" s="4"/>
      <c r="T103" s="32"/>
      <c r="U103" s="32"/>
      <c r="V103" s="32"/>
      <c r="W103" s="32"/>
      <c r="X103" s="33"/>
      <c r="Y103" s="33"/>
      <c r="Z103" s="31">
        <f>Table1[[#This Row],[Quantity of measruing units]]*Table1[[#This Row],[Rate (expected)]]</f>
        <v>0</v>
      </c>
      <c r="AA103" s="31"/>
      <c r="AB103" s="31"/>
      <c r="AC103" s="34">
        <f>Table1[[#This Row],[Quantity (expected)]]*Table1[[#This Row],[Rate (expected)2]]*0.9</f>
        <v>0</v>
      </c>
      <c r="AD103" s="34">
        <f>Table1[[#This Row],[Quantity (expected)]]*Table1[[#This Row],[Rate (expected)2]]*0.8</f>
        <v>0</v>
      </c>
      <c r="AE103" s="34">
        <f>Table1[[#This Row],[Quantity (expected)]]*Table1[[#This Row],[Rate (expected)2]]*0.7</f>
        <v>0</v>
      </c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1">
        <f>SUM(Table1[[#This Row],[Jan-23]:[Dec-23]])</f>
        <v>0</v>
      </c>
      <c r="AV103" s="105"/>
      <c r="AW103" s="32"/>
      <c r="AX103" s="35"/>
    </row>
    <row r="104" spans="1:50" x14ac:dyDescent="0.3">
      <c r="A104" s="30">
        <f>VLOOKUP(H104,'Accoount Code Combination'!$D:$L,8,FALSE)</f>
        <v>0</v>
      </c>
      <c r="B104" s="31" t="str">
        <f>VLOOKUP(Table1[[#This Row],[Account Code]],'Accoount Code Combination'!$D:$L,9,FALSE)</f>
        <v>No Applicable</v>
      </c>
      <c r="C104" s="4" t="str">
        <f>VLOOKUP(Table1[[#This Row],[Cost Center Code]],'Cost Center Group'!A:B,2,FALSE)</f>
        <v>College of Engineering</v>
      </c>
      <c r="D104" s="4">
        <v>847</v>
      </c>
      <c r="E104" s="79">
        <v>8470310</v>
      </c>
      <c r="F104" s="32" t="s">
        <v>309</v>
      </c>
      <c r="G104" s="4">
        <v>1</v>
      </c>
      <c r="H104" s="95">
        <v>492316</v>
      </c>
      <c r="I104" s="106" t="str">
        <f>IFERROR(VLOOKUP(Table1[[#This Row],[Account Code]],'Accoount Code Combination'!$D:$H,2,FALSE),"")</f>
        <v>Laboratory equipment</v>
      </c>
      <c r="J104" s="79">
        <v>8470310</v>
      </c>
      <c r="K104" s="4"/>
      <c r="L104" s="4" t="str">
        <f>IFERROR(VLOOKUP(Table1[[#This Row],[Future-1 Description]],'Other '!E92:$F101,2,FALSE),"")</f>
        <v/>
      </c>
      <c r="M104" s="32"/>
      <c r="N104" s="32"/>
      <c r="O104" s="32"/>
      <c r="P104" s="49">
        <v>433999</v>
      </c>
      <c r="Q104" s="49">
        <v>759151</v>
      </c>
      <c r="R104" s="32"/>
      <c r="S104" s="4"/>
      <c r="T104" s="32"/>
      <c r="U104" s="32"/>
      <c r="V104" s="32"/>
      <c r="W104" s="32"/>
      <c r="X104" s="33"/>
      <c r="Y104" s="33"/>
      <c r="Z104" s="31">
        <f>Table1[[#This Row],[Quantity of measruing units]]*Table1[[#This Row],[Rate (expected)]]</f>
        <v>0</v>
      </c>
      <c r="AA104" s="31"/>
      <c r="AB104" s="31"/>
      <c r="AC104" s="34">
        <f>Table1[[#This Row],[Quantity (expected)]]*Table1[[#This Row],[Rate (expected)2]]*0.9</f>
        <v>0</v>
      </c>
      <c r="AD104" s="34">
        <f>Table1[[#This Row],[Quantity (expected)]]*Table1[[#This Row],[Rate (expected)2]]*0.8</f>
        <v>0</v>
      </c>
      <c r="AE104" s="34">
        <f>Table1[[#This Row],[Quantity (expected)]]*Table1[[#This Row],[Rate (expected)2]]*0.7</f>
        <v>0</v>
      </c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1">
        <f>SUM(Table1[[#This Row],[Jan-23]:[Dec-23]])</f>
        <v>0</v>
      </c>
      <c r="AV104" s="105"/>
      <c r="AW104" s="32"/>
      <c r="AX104" s="35"/>
    </row>
    <row r="105" spans="1:50" x14ac:dyDescent="0.3">
      <c r="A105" s="30" t="str">
        <f>VLOOKUP(H105,'Accoount Code Combination'!$D:$L,8,FALSE)</f>
        <v>Academic</v>
      </c>
      <c r="B105" s="31" t="str">
        <f>VLOOKUP(Table1[[#This Row],[Account Code]],'Accoount Code Combination'!$D:$L,9,FALSE)</f>
        <v>No Applicable</v>
      </c>
      <c r="C105" s="4" t="str">
        <f>VLOOKUP(Table1[[#This Row],[Cost Center Code]],'Cost Center Group'!A:B,2,FALSE)</f>
        <v>College of Engineering</v>
      </c>
      <c r="D105" s="4">
        <v>847</v>
      </c>
      <c r="E105" s="79">
        <v>8470315</v>
      </c>
      <c r="F105" s="32" t="s">
        <v>311</v>
      </c>
      <c r="G105" s="4">
        <v>1</v>
      </c>
      <c r="H105" s="95">
        <v>420550</v>
      </c>
      <c r="I105" s="106" t="str">
        <f>IFERROR(VLOOKUP(Table1[[#This Row],[Account Code]],'Accoount Code Combination'!$D:$H,2,FALSE),"")</f>
        <v>Academic Advisory Service</v>
      </c>
      <c r="J105" s="79">
        <v>8470315</v>
      </c>
      <c r="K105" s="4"/>
      <c r="L105" s="4" t="str">
        <f>IFERROR(VLOOKUP(Table1[[#This Row],[Future-1 Description]],'Other '!E93:$F102,2,FALSE),"")</f>
        <v/>
      </c>
      <c r="M105" s="32"/>
      <c r="N105" s="32"/>
      <c r="O105" s="32"/>
      <c r="P105" s="49">
        <v>0</v>
      </c>
      <c r="Q105" s="49">
        <v>0</v>
      </c>
      <c r="R105" s="32"/>
      <c r="S105" s="4"/>
      <c r="T105" s="32"/>
      <c r="U105" s="32"/>
      <c r="V105" s="32"/>
      <c r="W105" s="32"/>
      <c r="X105" s="33"/>
      <c r="Y105" s="33"/>
      <c r="Z105" s="31">
        <f>Table1[[#This Row],[Quantity of measruing units]]*Table1[[#This Row],[Rate (expected)]]</f>
        <v>0</v>
      </c>
      <c r="AA105" s="31"/>
      <c r="AB105" s="31"/>
      <c r="AC105" s="34">
        <f>Table1[[#This Row],[Quantity (expected)]]*Table1[[#This Row],[Rate (expected)2]]*0.9</f>
        <v>0</v>
      </c>
      <c r="AD105" s="34">
        <f>Table1[[#This Row],[Quantity (expected)]]*Table1[[#This Row],[Rate (expected)2]]*0.8</f>
        <v>0</v>
      </c>
      <c r="AE105" s="34">
        <f>Table1[[#This Row],[Quantity (expected)]]*Table1[[#This Row],[Rate (expected)2]]*0.7</f>
        <v>0</v>
      </c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1">
        <f>SUM(Table1[[#This Row],[Jan-23]:[Dec-23]])</f>
        <v>0</v>
      </c>
      <c r="AV105" s="105"/>
      <c r="AW105" s="32"/>
      <c r="AX105" s="35"/>
    </row>
    <row r="106" spans="1:50" ht="26" x14ac:dyDescent="0.3">
      <c r="A106" s="30" t="str">
        <f>VLOOKUP(H106,'Accoount Code Combination'!$D:$L,8,FALSE)</f>
        <v>Communiction &amp; Marketing</v>
      </c>
      <c r="B106" s="31" t="str">
        <f>VLOOKUP(Table1[[#This Row],[Account Code]],'Accoount Code Combination'!$D:$L,9,FALSE)</f>
        <v>Events</v>
      </c>
      <c r="C106" s="4" t="str">
        <f>VLOOKUP(Table1[[#This Row],[Cost Center Code]],'Cost Center Group'!A:B,2,FALSE)</f>
        <v>College of Engineering</v>
      </c>
      <c r="D106" s="4">
        <v>847</v>
      </c>
      <c r="E106" s="79">
        <v>8470315</v>
      </c>
      <c r="F106" s="32" t="s">
        <v>311</v>
      </c>
      <c r="G106" s="4">
        <v>1</v>
      </c>
      <c r="H106" s="95">
        <v>425510</v>
      </c>
      <c r="I106" s="106" t="str">
        <f>IFERROR(VLOOKUP(Table1[[#This Row],[Account Code]],'Accoount Code Combination'!$D:$H,2,FALSE),"")</f>
        <v>Conferences, seminars and exhibitions and other events: - Local Events</v>
      </c>
      <c r="J106" s="79">
        <v>8470315</v>
      </c>
      <c r="K106" s="4"/>
      <c r="L106" s="4" t="str">
        <f>IFERROR(VLOOKUP(Table1[[#This Row],[Future-1 Description]],'Other '!E94:$F103,2,FALSE),"")</f>
        <v/>
      </c>
      <c r="M106" s="32"/>
      <c r="N106" s="32"/>
      <c r="O106" s="32"/>
      <c r="P106" s="49">
        <v>1502</v>
      </c>
      <c r="Q106" s="49">
        <v>1502</v>
      </c>
      <c r="R106" s="32"/>
      <c r="S106" s="4"/>
      <c r="T106" s="32"/>
      <c r="U106" s="32"/>
      <c r="V106" s="32"/>
      <c r="W106" s="32"/>
      <c r="X106" s="33"/>
      <c r="Y106" s="33"/>
      <c r="Z106" s="31">
        <f>Table1[[#This Row],[Quantity of measruing units]]*Table1[[#This Row],[Rate (expected)]]</f>
        <v>0</v>
      </c>
      <c r="AA106" s="31"/>
      <c r="AB106" s="31"/>
      <c r="AC106" s="34">
        <f>Table1[[#This Row],[Quantity (expected)]]*Table1[[#This Row],[Rate (expected)2]]*0.9</f>
        <v>0</v>
      </c>
      <c r="AD106" s="34">
        <f>Table1[[#This Row],[Quantity (expected)]]*Table1[[#This Row],[Rate (expected)2]]*0.8</f>
        <v>0</v>
      </c>
      <c r="AE106" s="34">
        <f>Table1[[#This Row],[Quantity (expected)]]*Table1[[#This Row],[Rate (expected)2]]*0.7</f>
        <v>0</v>
      </c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1">
        <f>SUM(Table1[[#This Row],[Jan-23]:[Dec-23]])</f>
        <v>0</v>
      </c>
      <c r="AV106" s="105"/>
      <c r="AW106" s="32"/>
      <c r="AX106" s="35"/>
    </row>
    <row r="107" spans="1:50" x14ac:dyDescent="0.3">
      <c r="A107" s="30" t="str">
        <f>VLOOKUP(H107,'Accoount Code Combination'!$D:$L,8,FALSE)</f>
        <v>Student</v>
      </c>
      <c r="B107" s="31" t="str">
        <f>VLOOKUP(Table1[[#This Row],[Account Code]],'Accoount Code Combination'!$D:$L,9,FALSE)</f>
        <v>Activities and Field trips</v>
      </c>
      <c r="C107" s="4" t="str">
        <f>VLOOKUP(Table1[[#This Row],[Cost Center Code]],'Cost Center Group'!A:B,2,FALSE)</f>
        <v>College of Engineering</v>
      </c>
      <c r="D107" s="4">
        <v>847</v>
      </c>
      <c r="E107" s="79">
        <v>8470315</v>
      </c>
      <c r="F107" s="32" t="s">
        <v>311</v>
      </c>
      <c r="G107" s="4">
        <v>1</v>
      </c>
      <c r="H107" s="95">
        <v>425760</v>
      </c>
      <c r="I107" s="106" t="str">
        <f>IFERROR(VLOOKUP(Table1[[#This Row],[Account Code]],'Accoount Code Combination'!$D:$H,2,FALSE),"")</f>
        <v>Student activities &amp; field trip expenses</v>
      </c>
      <c r="J107" s="79">
        <v>8470315</v>
      </c>
      <c r="K107" s="4"/>
      <c r="L107" s="4" t="str">
        <f>IFERROR(VLOOKUP(Table1[[#This Row],[Future-1 Description]],'Other '!E95:$F104,2,FALSE),"")</f>
        <v/>
      </c>
      <c r="M107" s="32"/>
      <c r="N107" s="32"/>
      <c r="O107" s="32"/>
      <c r="P107" s="49">
        <v>875</v>
      </c>
      <c r="Q107" s="49">
        <v>875</v>
      </c>
      <c r="R107" s="32"/>
      <c r="S107" s="4"/>
      <c r="T107" s="32"/>
      <c r="U107" s="32"/>
      <c r="V107" s="32"/>
      <c r="W107" s="32"/>
      <c r="X107" s="33"/>
      <c r="Y107" s="33"/>
      <c r="Z107" s="31">
        <f>Table1[[#This Row],[Quantity of measruing units]]*Table1[[#This Row],[Rate (expected)]]</f>
        <v>0</v>
      </c>
      <c r="AA107" s="31"/>
      <c r="AB107" s="31"/>
      <c r="AC107" s="34">
        <f>Table1[[#This Row],[Quantity (expected)]]*Table1[[#This Row],[Rate (expected)2]]*0.9</f>
        <v>0</v>
      </c>
      <c r="AD107" s="34">
        <f>Table1[[#This Row],[Quantity (expected)]]*Table1[[#This Row],[Rate (expected)2]]*0.8</f>
        <v>0</v>
      </c>
      <c r="AE107" s="34">
        <f>Table1[[#This Row],[Quantity (expected)]]*Table1[[#This Row],[Rate (expected)2]]*0.7</f>
        <v>0</v>
      </c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1">
        <f>SUM(Table1[[#This Row],[Jan-23]:[Dec-23]])</f>
        <v>0</v>
      </c>
      <c r="AV107" s="105"/>
      <c r="AW107" s="32"/>
      <c r="AX107" s="35"/>
    </row>
    <row r="108" spans="1:50" x14ac:dyDescent="0.3">
      <c r="A108" s="30" t="str">
        <f>VLOOKUP(H108,'Accoount Code Combination'!$D:$L,8,FALSE)</f>
        <v>Student</v>
      </c>
      <c r="B108" s="31" t="str">
        <f>VLOOKUP(Table1[[#This Row],[Account Code]],'Accoount Code Combination'!$D:$L,9,FALSE)</f>
        <v>No Applicable</v>
      </c>
      <c r="C108" s="4" t="str">
        <f>VLOOKUP(Table1[[#This Row],[Cost Center Code]],'Cost Center Group'!A:B,2,FALSE)</f>
        <v>College of Engineering</v>
      </c>
      <c r="D108" s="4">
        <v>847</v>
      </c>
      <c r="E108" s="79">
        <v>8470315</v>
      </c>
      <c r="F108" s="32" t="s">
        <v>311</v>
      </c>
      <c r="G108" s="4">
        <v>1</v>
      </c>
      <c r="H108" s="95">
        <v>425763</v>
      </c>
      <c r="I108" s="106" t="str">
        <f>IFERROR(VLOOKUP(Table1[[#This Row],[Account Code]],'Accoount Code Combination'!$D:$H,2,FALSE),"")</f>
        <v>Student Project Expenses</v>
      </c>
      <c r="J108" s="79">
        <v>8470315</v>
      </c>
      <c r="K108" s="4"/>
      <c r="L108" s="4" t="str">
        <f>IFERROR(VLOOKUP(Table1[[#This Row],[Future-1 Description]],'Other '!E96:$F105,2,FALSE),"")</f>
        <v/>
      </c>
      <c r="M108" s="32"/>
      <c r="N108" s="32"/>
      <c r="O108" s="32"/>
      <c r="P108" s="49">
        <v>54242.58</v>
      </c>
      <c r="Q108" s="49">
        <v>59000</v>
      </c>
      <c r="R108" s="32"/>
      <c r="S108" s="4"/>
      <c r="T108" s="32"/>
      <c r="U108" s="32"/>
      <c r="V108" s="32"/>
      <c r="W108" s="32"/>
      <c r="X108" s="33"/>
      <c r="Y108" s="33"/>
      <c r="Z108" s="31">
        <f>Table1[[#This Row],[Quantity of measruing units]]*Table1[[#This Row],[Rate (expected)]]</f>
        <v>0</v>
      </c>
      <c r="AA108" s="31"/>
      <c r="AB108" s="31"/>
      <c r="AC108" s="34">
        <f>Table1[[#This Row],[Quantity (expected)]]*Table1[[#This Row],[Rate (expected)2]]*0.9</f>
        <v>0</v>
      </c>
      <c r="AD108" s="34">
        <f>Table1[[#This Row],[Quantity (expected)]]*Table1[[#This Row],[Rate (expected)2]]*0.8</f>
        <v>0</v>
      </c>
      <c r="AE108" s="34">
        <f>Table1[[#This Row],[Quantity (expected)]]*Table1[[#This Row],[Rate (expected)2]]*0.7</f>
        <v>0</v>
      </c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1">
        <f>SUM(Table1[[#This Row],[Jan-23]:[Dec-23]])</f>
        <v>0</v>
      </c>
      <c r="AV108" s="105"/>
      <c r="AW108" s="32"/>
      <c r="AX108" s="35"/>
    </row>
    <row r="109" spans="1:50" x14ac:dyDescent="0.3">
      <c r="A109" s="30" t="str">
        <f>VLOOKUP(H109,'Accoount Code Combination'!$D:$L,8,FALSE)</f>
        <v>Academic</v>
      </c>
      <c r="B109" s="31" t="str">
        <f>VLOOKUP(Table1[[#This Row],[Account Code]],'Accoount Code Combination'!$D:$L,9,FALSE)</f>
        <v>No Applicable</v>
      </c>
      <c r="C109" s="4" t="str">
        <f>VLOOKUP(Table1[[#This Row],[Cost Center Code]],'Cost Center Group'!A:B,2,FALSE)</f>
        <v>College of Engineering</v>
      </c>
      <c r="D109" s="4">
        <v>847</v>
      </c>
      <c r="E109" s="79">
        <v>8470315</v>
      </c>
      <c r="F109" s="32" t="s">
        <v>311</v>
      </c>
      <c r="G109" s="4">
        <v>1</v>
      </c>
      <c r="H109" s="95">
        <v>425770</v>
      </c>
      <c r="I109" s="106" t="str">
        <f>IFERROR(VLOOKUP(Table1[[#This Row],[Account Code]],'Accoount Code Combination'!$D:$H,2,FALSE),"")</f>
        <v>Academic Missions - Combined expenses</v>
      </c>
      <c r="J109" s="79">
        <v>8470315</v>
      </c>
      <c r="K109" s="4"/>
      <c r="L109" s="4" t="str">
        <f>IFERROR(VLOOKUP(Table1[[#This Row],[Future-1 Description]],'Other '!E97:$F106,2,FALSE),"")</f>
        <v/>
      </c>
      <c r="M109" s="32"/>
      <c r="N109" s="32"/>
      <c r="O109" s="32"/>
      <c r="P109" s="49">
        <v>30570.03</v>
      </c>
      <c r="Q109" s="49">
        <v>47557</v>
      </c>
      <c r="R109" s="32"/>
      <c r="S109" s="4"/>
      <c r="T109" s="32"/>
      <c r="U109" s="32"/>
      <c r="V109" s="32"/>
      <c r="W109" s="32"/>
      <c r="X109" s="33"/>
      <c r="Y109" s="33"/>
      <c r="Z109" s="31">
        <f>Table1[[#This Row],[Quantity of measruing units]]*Table1[[#This Row],[Rate (expected)]]</f>
        <v>0</v>
      </c>
      <c r="AA109" s="31"/>
      <c r="AB109" s="31"/>
      <c r="AC109" s="34">
        <f>Table1[[#This Row],[Quantity (expected)]]*Table1[[#This Row],[Rate (expected)2]]*0.9</f>
        <v>0</v>
      </c>
      <c r="AD109" s="34">
        <f>Table1[[#This Row],[Quantity (expected)]]*Table1[[#This Row],[Rate (expected)2]]*0.8</f>
        <v>0</v>
      </c>
      <c r="AE109" s="34">
        <f>Table1[[#This Row],[Quantity (expected)]]*Table1[[#This Row],[Rate (expected)2]]*0.7</f>
        <v>0</v>
      </c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1">
        <f>SUM(Table1[[#This Row],[Jan-23]:[Dec-23]])</f>
        <v>0</v>
      </c>
      <c r="AV109" s="105"/>
      <c r="AW109" s="32"/>
      <c r="AX109" s="35"/>
    </row>
    <row r="110" spans="1:50" x14ac:dyDescent="0.3">
      <c r="A110" s="30" t="str">
        <f>VLOOKUP(H110,'Accoount Code Combination'!$D:$L,8,FALSE)</f>
        <v>Other support</v>
      </c>
      <c r="B110" s="31" t="str">
        <f>VLOOKUP(Table1[[#This Row],[Account Code]],'Accoount Code Combination'!$D:$L,9,FALSE)</f>
        <v>No Applicable</v>
      </c>
      <c r="C110" s="4" t="str">
        <f>VLOOKUP(Table1[[#This Row],[Cost Center Code]],'Cost Center Group'!A:B,2,FALSE)</f>
        <v>College of Engineering</v>
      </c>
      <c r="D110" s="4">
        <v>847</v>
      </c>
      <c r="E110" s="79">
        <v>8470315</v>
      </c>
      <c r="F110" s="32" t="s">
        <v>311</v>
      </c>
      <c r="G110" s="4">
        <v>1</v>
      </c>
      <c r="H110" s="95">
        <v>425900</v>
      </c>
      <c r="I110" s="106" t="str">
        <f>IFERROR(VLOOKUP(Table1[[#This Row],[Account Code]],'Accoount Code Combination'!$D:$H,2,FALSE),"")</f>
        <v>Entertainment and hospitality</v>
      </c>
      <c r="J110" s="79">
        <v>8470315</v>
      </c>
      <c r="K110" s="4"/>
      <c r="L110" s="4" t="str">
        <f>IFERROR(VLOOKUP(Table1[[#This Row],[Future-1 Description]],'Other '!E98:$F107,2,FALSE),"")</f>
        <v/>
      </c>
      <c r="M110" s="32"/>
      <c r="N110" s="32"/>
      <c r="O110" s="32"/>
      <c r="P110" s="49">
        <v>1023.75</v>
      </c>
      <c r="Q110" s="49">
        <v>1024</v>
      </c>
      <c r="R110" s="32"/>
      <c r="S110" s="4"/>
      <c r="T110" s="32"/>
      <c r="U110" s="32"/>
      <c r="V110" s="32"/>
      <c r="W110" s="32"/>
      <c r="X110" s="33"/>
      <c r="Y110" s="33"/>
      <c r="Z110" s="31">
        <f>Table1[[#This Row],[Quantity of measruing units]]*Table1[[#This Row],[Rate (expected)]]</f>
        <v>0</v>
      </c>
      <c r="AA110" s="31"/>
      <c r="AB110" s="31"/>
      <c r="AC110" s="34">
        <f>Table1[[#This Row],[Quantity (expected)]]*Table1[[#This Row],[Rate (expected)2]]*0.9</f>
        <v>0</v>
      </c>
      <c r="AD110" s="34">
        <f>Table1[[#This Row],[Quantity (expected)]]*Table1[[#This Row],[Rate (expected)2]]*0.8</f>
        <v>0</v>
      </c>
      <c r="AE110" s="34">
        <f>Table1[[#This Row],[Quantity (expected)]]*Table1[[#This Row],[Rate (expected)2]]*0.7</f>
        <v>0</v>
      </c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1">
        <f>SUM(Table1[[#This Row],[Jan-23]:[Dec-23]])</f>
        <v>0</v>
      </c>
      <c r="AV110" s="105"/>
      <c r="AW110" s="32"/>
      <c r="AX110" s="35"/>
    </row>
    <row r="111" spans="1:50" x14ac:dyDescent="0.3">
      <c r="A111" s="30" t="str">
        <f>VLOOKUP(H111,'Accoount Code Combination'!$D:$L,8,FALSE)</f>
        <v>IT</v>
      </c>
      <c r="B111" s="31" t="str">
        <f>VLOOKUP(Table1[[#This Row],[Account Code]],'Accoount Code Combination'!$D:$L,9,FALSE)</f>
        <v>Software Operating</v>
      </c>
      <c r="C111" s="4" t="str">
        <f>VLOOKUP(Table1[[#This Row],[Cost Center Code]],'Cost Center Group'!A:B,2,FALSE)</f>
        <v>College of Engineering</v>
      </c>
      <c r="D111" s="4">
        <v>847</v>
      </c>
      <c r="E111" s="79">
        <v>8470315</v>
      </c>
      <c r="F111" s="32" t="s">
        <v>311</v>
      </c>
      <c r="G111" s="4">
        <v>1</v>
      </c>
      <c r="H111" s="95">
        <v>426610</v>
      </c>
      <c r="I111" s="106" t="str">
        <f>IFERROR(VLOOKUP(Table1[[#This Row],[Account Code]],'Accoount Code Combination'!$D:$H,2,FALSE),"")</f>
        <v>Computer software licenses</v>
      </c>
      <c r="J111" s="79">
        <v>8470315</v>
      </c>
      <c r="K111" s="4"/>
      <c r="L111" s="4" t="str">
        <f>IFERROR(VLOOKUP(Table1[[#This Row],[Future-1 Description]],'Other '!E99:$F108,2,FALSE),"")</f>
        <v/>
      </c>
      <c r="M111" s="32"/>
      <c r="N111" s="32"/>
      <c r="O111" s="32"/>
      <c r="P111" s="49">
        <v>8705.01</v>
      </c>
      <c r="Q111" s="49">
        <v>9738</v>
      </c>
      <c r="R111" s="32"/>
      <c r="S111" s="4"/>
      <c r="T111" s="32"/>
      <c r="U111" s="32"/>
      <c r="V111" s="32"/>
      <c r="W111" s="32"/>
      <c r="X111" s="33"/>
      <c r="Y111" s="33"/>
      <c r="Z111" s="31">
        <f>Table1[[#This Row],[Quantity of measruing units]]*Table1[[#This Row],[Rate (expected)]]</f>
        <v>0</v>
      </c>
      <c r="AA111" s="31"/>
      <c r="AB111" s="31"/>
      <c r="AC111" s="34">
        <f>Table1[[#This Row],[Quantity (expected)]]*Table1[[#This Row],[Rate (expected)2]]*0.9</f>
        <v>0</v>
      </c>
      <c r="AD111" s="34">
        <f>Table1[[#This Row],[Quantity (expected)]]*Table1[[#This Row],[Rate (expected)2]]*0.8</f>
        <v>0</v>
      </c>
      <c r="AE111" s="34">
        <f>Table1[[#This Row],[Quantity (expected)]]*Table1[[#This Row],[Rate (expected)2]]*0.7</f>
        <v>0</v>
      </c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1">
        <f>SUM(Table1[[#This Row],[Jan-23]:[Dec-23]])</f>
        <v>0</v>
      </c>
      <c r="AV111" s="105"/>
      <c r="AW111" s="32"/>
      <c r="AX111" s="35"/>
    </row>
    <row r="112" spans="1:50" x14ac:dyDescent="0.3">
      <c r="A112" s="30" t="str">
        <f>VLOOKUP(H112,'Accoount Code Combination'!$D:$L,8,FALSE)</f>
        <v xml:space="preserve">Academic </v>
      </c>
      <c r="B112" s="31" t="str">
        <f>VLOOKUP(Table1[[#This Row],[Account Code]],'Accoount Code Combination'!$D:$L,9,FALSE)</f>
        <v>No Applicable</v>
      </c>
      <c r="C112" s="4" t="str">
        <f>VLOOKUP(Table1[[#This Row],[Cost Center Code]],'Cost Center Group'!A:B,2,FALSE)</f>
        <v>College of Engineering</v>
      </c>
      <c r="D112" s="4">
        <v>847</v>
      </c>
      <c r="E112" s="79">
        <v>8470315</v>
      </c>
      <c r="F112" s="32" t="s">
        <v>311</v>
      </c>
      <c r="G112" s="4">
        <v>1</v>
      </c>
      <c r="H112" s="95">
        <v>428090</v>
      </c>
      <c r="I112" s="106" t="str">
        <f>IFERROR(VLOOKUP(Table1[[#This Row],[Account Code]],'Accoount Code Combination'!$D:$H,2,FALSE),"")</f>
        <v>Business Travel - Combined expenses</v>
      </c>
      <c r="J112" s="79">
        <v>8470315</v>
      </c>
      <c r="K112" s="4"/>
      <c r="L112" s="4" t="str">
        <f>IFERROR(VLOOKUP(Table1[[#This Row],[Future-1 Description]],'Other '!E100:$F109,2,FALSE),"")</f>
        <v/>
      </c>
      <c r="M112" s="32"/>
      <c r="N112" s="32"/>
      <c r="O112" s="32"/>
      <c r="P112" s="49">
        <v>0</v>
      </c>
      <c r="Q112" s="49">
        <v>0</v>
      </c>
      <c r="R112" s="32"/>
      <c r="S112" s="4"/>
      <c r="T112" s="32"/>
      <c r="U112" s="32"/>
      <c r="V112" s="32"/>
      <c r="W112" s="32"/>
      <c r="X112" s="33"/>
      <c r="Y112" s="33"/>
      <c r="Z112" s="31">
        <f>Table1[[#This Row],[Quantity of measruing units]]*Table1[[#This Row],[Rate (expected)]]</f>
        <v>0</v>
      </c>
      <c r="AA112" s="31"/>
      <c r="AB112" s="31"/>
      <c r="AC112" s="34">
        <f>Table1[[#This Row],[Quantity (expected)]]*Table1[[#This Row],[Rate (expected)2]]*0.9</f>
        <v>0</v>
      </c>
      <c r="AD112" s="34">
        <f>Table1[[#This Row],[Quantity (expected)]]*Table1[[#This Row],[Rate (expected)2]]*0.8</f>
        <v>0</v>
      </c>
      <c r="AE112" s="34">
        <f>Table1[[#This Row],[Quantity (expected)]]*Table1[[#This Row],[Rate (expected)2]]*0.7</f>
        <v>0</v>
      </c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1">
        <f>SUM(Table1[[#This Row],[Jan-23]:[Dec-23]])</f>
        <v>0</v>
      </c>
      <c r="AV112" s="105"/>
      <c r="AW112" s="32"/>
      <c r="AX112" s="35"/>
    </row>
    <row r="113" spans="1:50" x14ac:dyDescent="0.3">
      <c r="A113" s="30" t="str">
        <f>VLOOKUP(H113,'Accoount Code Combination'!$D:$L,8,FALSE)</f>
        <v>Academic</v>
      </c>
      <c r="B113" s="31" t="str">
        <f>VLOOKUP(Table1[[#This Row],[Account Code]],'Accoount Code Combination'!$D:$L,9,FALSE)</f>
        <v>No Applicable</v>
      </c>
      <c r="C113" s="4" t="str">
        <f>VLOOKUP(Table1[[#This Row],[Cost Center Code]],'Cost Center Group'!A:B,2,FALSE)</f>
        <v>College of Engineering</v>
      </c>
      <c r="D113" s="4">
        <v>847</v>
      </c>
      <c r="E113" s="79">
        <v>8470315</v>
      </c>
      <c r="F113" s="32" t="s">
        <v>311</v>
      </c>
      <c r="G113" s="4">
        <v>1</v>
      </c>
      <c r="H113" s="95">
        <v>435350</v>
      </c>
      <c r="I113" s="106" t="str">
        <f>IFERROR(VLOOKUP(Table1[[#This Row],[Account Code]],'Accoount Code Combination'!$D:$H,2,FALSE),"")</f>
        <v>Academic Publications</v>
      </c>
      <c r="J113" s="79">
        <v>8470315</v>
      </c>
      <c r="K113" s="4"/>
      <c r="L113" s="4" t="str">
        <f>IFERROR(VLOOKUP(Table1[[#This Row],[Future-1 Description]],'Other '!E101:$F110,2,FALSE),"")</f>
        <v/>
      </c>
      <c r="M113" s="32"/>
      <c r="N113" s="32"/>
      <c r="O113" s="32"/>
      <c r="P113" s="49">
        <v>0</v>
      </c>
      <c r="Q113" s="49">
        <v>16000</v>
      </c>
      <c r="R113" s="32"/>
      <c r="S113" s="4"/>
      <c r="T113" s="32"/>
      <c r="U113" s="32"/>
      <c r="V113" s="32"/>
      <c r="W113" s="32"/>
      <c r="X113" s="33"/>
      <c r="Y113" s="33"/>
      <c r="Z113" s="31">
        <f>Table1[[#This Row],[Quantity of measruing units]]*Table1[[#This Row],[Rate (expected)]]</f>
        <v>0</v>
      </c>
      <c r="AA113" s="31"/>
      <c r="AB113" s="31"/>
      <c r="AC113" s="34">
        <f>Table1[[#This Row],[Quantity (expected)]]*Table1[[#This Row],[Rate (expected)2]]*0.9</f>
        <v>0</v>
      </c>
      <c r="AD113" s="34">
        <f>Table1[[#This Row],[Quantity (expected)]]*Table1[[#This Row],[Rate (expected)2]]*0.8</f>
        <v>0</v>
      </c>
      <c r="AE113" s="34">
        <f>Table1[[#This Row],[Quantity (expected)]]*Table1[[#This Row],[Rate (expected)2]]*0.7</f>
        <v>0</v>
      </c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1">
        <f>SUM(Table1[[#This Row],[Jan-23]:[Dec-23]])</f>
        <v>0</v>
      </c>
      <c r="AV113" s="105"/>
      <c r="AW113" s="32"/>
      <c r="AX113" s="35"/>
    </row>
    <row r="114" spans="1:50" x14ac:dyDescent="0.3">
      <c r="A114" s="30" t="str">
        <f>VLOOKUP(H114,'Accoount Code Combination'!$D:$L,8,FALSE)</f>
        <v>Academic</v>
      </c>
      <c r="B114" s="31" t="str">
        <f>VLOOKUP(Table1[[#This Row],[Account Code]],'Accoount Code Combination'!$D:$L,9,FALSE)</f>
        <v>No Applicable</v>
      </c>
      <c r="C114" s="4" t="str">
        <f>VLOOKUP(Table1[[#This Row],[Cost Center Code]],'Cost Center Group'!A:B,2,FALSE)</f>
        <v>College of Engineering</v>
      </c>
      <c r="D114" s="4">
        <v>847</v>
      </c>
      <c r="E114" s="79">
        <v>8470315</v>
      </c>
      <c r="F114" s="32" t="s">
        <v>311</v>
      </c>
      <c r="G114" s="4">
        <v>1</v>
      </c>
      <c r="H114" s="95">
        <v>435508</v>
      </c>
      <c r="I114" s="106" t="str">
        <f>IFERROR(VLOOKUP(Table1[[#This Row],[Account Code]],'Accoount Code Combination'!$D:$H,2,FALSE),"")</f>
        <v>Laboratory - Scientific</v>
      </c>
      <c r="J114" s="79">
        <v>8470315</v>
      </c>
      <c r="K114" s="4"/>
      <c r="L114" s="4" t="str">
        <f>IFERROR(VLOOKUP(Table1[[#This Row],[Future-1 Description]],'Other '!E102:$F111,2,FALSE),"")</f>
        <v/>
      </c>
      <c r="M114" s="32"/>
      <c r="N114" s="32"/>
      <c r="O114" s="32"/>
      <c r="P114" s="49">
        <v>186107.21</v>
      </c>
      <c r="Q114" s="49">
        <v>80000</v>
      </c>
      <c r="R114" s="32"/>
      <c r="S114" s="4"/>
      <c r="T114" s="32"/>
      <c r="U114" s="32"/>
      <c r="V114" s="32"/>
      <c r="W114" s="32"/>
      <c r="X114" s="33"/>
      <c r="Y114" s="33"/>
      <c r="Z114" s="31">
        <f>Table1[[#This Row],[Quantity of measruing units]]*Table1[[#This Row],[Rate (expected)]]</f>
        <v>0</v>
      </c>
      <c r="AA114" s="31"/>
      <c r="AB114" s="31"/>
      <c r="AC114" s="34">
        <f>Table1[[#This Row],[Quantity (expected)]]*Table1[[#This Row],[Rate (expected)2]]*0.9</f>
        <v>0</v>
      </c>
      <c r="AD114" s="34">
        <f>Table1[[#This Row],[Quantity (expected)]]*Table1[[#This Row],[Rate (expected)2]]*0.8</f>
        <v>0</v>
      </c>
      <c r="AE114" s="34">
        <f>Table1[[#This Row],[Quantity (expected)]]*Table1[[#This Row],[Rate (expected)2]]*0.7</f>
        <v>0</v>
      </c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1">
        <f>SUM(Table1[[#This Row],[Jan-23]:[Dec-23]])</f>
        <v>0</v>
      </c>
      <c r="AV114" s="105"/>
      <c r="AW114" s="32"/>
      <c r="AX114" s="35"/>
    </row>
    <row r="115" spans="1:50" x14ac:dyDescent="0.3">
      <c r="A115" s="30" t="str">
        <f>VLOOKUP(H115,'Accoount Code Combination'!$D:$L,8,FALSE)</f>
        <v>Other support</v>
      </c>
      <c r="B115" s="31" t="str">
        <f>VLOOKUP(Table1[[#This Row],[Account Code]],'Accoount Code Combination'!$D:$L,9,FALSE)</f>
        <v>No Applicable</v>
      </c>
      <c r="C115" s="4" t="str">
        <f>VLOOKUP(Table1[[#This Row],[Cost Center Code]],'Cost Center Group'!A:B,2,FALSE)</f>
        <v>College of Engineering</v>
      </c>
      <c r="D115" s="4">
        <v>847</v>
      </c>
      <c r="E115" s="79">
        <v>8470315</v>
      </c>
      <c r="F115" s="32" t="s">
        <v>311</v>
      </c>
      <c r="G115" s="4">
        <v>1</v>
      </c>
      <c r="H115" s="95">
        <v>436110</v>
      </c>
      <c r="I115" s="106" t="str">
        <f>IFERROR(VLOOKUP(Table1[[#This Row],[Account Code]],'Accoount Code Combination'!$D:$H,2,FALSE),"")</f>
        <v>Printing supplies</v>
      </c>
      <c r="J115" s="79">
        <v>8470315</v>
      </c>
      <c r="K115" s="4"/>
      <c r="L115" s="4" t="str">
        <f>IFERROR(VLOOKUP(Table1[[#This Row],[Future-1 Description]],'Other '!E103:$F112,2,FALSE),"")</f>
        <v/>
      </c>
      <c r="M115" s="32"/>
      <c r="N115" s="32"/>
      <c r="O115" s="32"/>
      <c r="P115" s="49">
        <v>0</v>
      </c>
      <c r="Q115" s="49">
        <v>500</v>
      </c>
      <c r="R115" s="32"/>
      <c r="S115" s="4"/>
      <c r="T115" s="32"/>
      <c r="U115" s="32"/>
      <c r="V115" s="32"/>
      <c r="W115" s="32"/>
      <c r="X115" s="33"/>
      <c r="Y115" s="33"/>
      <c r="Z115" s="31">
        <f>Table1[[#This Row],[Quantity of measruing units]]*Table1[[#This Row],[Rate (expected)]]</f>
        <v>0</v>
      </c>
      <c r="AA115" s="31"/>
      <c r="AB115" s="31"/>
      <c r="AC115" s="34">
        <f>Table1[[#This Row],[Quantity (expected)]]*Table1[[#This Row],[Rate (expected)2]]*0.9</f>
        <v>0</v>
      </c>
      <c r="AD115" s="34">
        <f>Table1[[#This Row],[Quantity (expected)]]*Table1[[#This Row],[Rate (expected)2]]*0.8</f>
        <v>0</v>
      </c>
      <c r="AE115" s="34">
        <f>Table1[[#This Row],[Quantity (expected)]]*Table1[[#This Row],[Rate (expected)2]]*0.7</f>
        <v>0</v>
      </c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1">
        <f>SUM(Table1[[#This Row],[Jan-23]:[Dec-23]])</f>
        <v>0</v>
      </c>
      <c r="AV115" s="105"/>
      <c r="AW115" s="32"/>
      <c r="AX115" s="35"/>
    </row>
    <row r="116" spans="1:50" ht="26" x14ac:dyDescent="0.3">
      <c r="A116" s="30" t="str">
        <f>VLOOKUP(H116,'Accoount Code Combination'!$D:$L,8,FALSE)</f>
        <v>Academic</v>
      </c>
      <c r="B116" s="31" t="str">
        <f>VLOOKUP(Table1[[#This Row],[Account Code]],'Accoount Code Combination'!$D:$L,9,FALSE)</f>
        <v>No Applicable</v>
      </c>
      <c r="C116" s="4" t="str">
        <f>VLOOKUP(Table1[[#This Row],[Cost Center Code]],'Cost Center Group'!A:B,2,FALSE)</f>
        <v>College of Engineering</v>
      </c>
      <c r="D116" s="4">
        <v>847</v>
      </c>
      <c r="E116" s="79">
        <v>8470315</v>
      </c>
      <c r="F116" s="32" t="s">
        <v>311</v>
      </c>
      <c r="G116" s="4">
        <v>1</v>
      </c>
      <c r="H116" s="95">
        <v>436600</v>
      </c>
      <c r="I116" s="106" t="str">
        <f>IFERROR(VLOOKUP(Table1[[#This Row],[Account Code]],'Accoount Code Combination'!$D:$H,2,FALSE),"")</f>
        <v>Training/Teaching equipment and other educational aid</v>
      </c>
      <c r="J116" s="79">
        <v>8470315</v>
      </c>
      <c r="K116" s="4"/>
      <c r="L116" s="4" t="str">
        <f>IFERROR(VLOOKUP(Table1[[#This Row],[Future-1 Description]],'Other '!E104:$F113,2,FALSE),"")</f>
        <v/>
      </c>
      <c r="M116" s="32"/>
      <c r="N116" s="32"/>
      <c r="O116" s="32"/>
      <c r="P116" s="49">
        <v>0</v>
      </c>
      <c r="Q116" s="49">
        <v>0</v>
      </c>
      <c r="R116" s="32"/>
      <c r="S116" s="4"/>
      <c r="T116" s="32"/>
      <c r="U116" s="32"/>
      <c r="V116" s="32"/>
      <c r="W116" s="32"/>
      <c r="X116" s="33"/>
      <c r="Y116" s="33"/>
      <c r="Z116" s="31">
        <f>Table1[[#This Row],[Quantity of measruing units]]*Table1[[#This Row],[Rate (expected)]]</f>
        <v>0</v>
      </c>
      <c r="AA116" s="31"/>
      <c r="AB116" s="31"/>
      <c r="AC116" s="34">
        <f>Table1[[#This Row],[Quantity (expected)]]*Table1[[#This Row],[Rate (expected)2]]*0.9</f>
        <v>0</v>
      </c>
      <c r="AD116" s="34">
        <f>Table1[[#This Row],[Quantity (expected)]]*Table1[[#This Row],[Rate (expected)2]]*0.8</f>
        <v>0</v>
      </c>
      <c r="AE116" s="34">
        <f>Table1[[#This Row],[Quantity (expected)]]*Table1[[#This Row],[Rate (expected)2]]*0.7</f>
        <v>0</v>
      </c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1">
        <f>SUM(Table1[[#This Row],[Jan-23]:[Dec-23]])</f>
        <v>0</v>
      </c>
      <c r="AV116" s="105"/>
      <c r="AW116" s="32"/>
      <c r="AX116" s="35"/>
    </row>
    <row r="117" spans="1:50" x14ac:dyDescent="0.3">
      <c r="A117" s="30">
        <f>VLOOKUP(H117,'Accoount Code Combination'!$D:$L,8,FALSE)</f>
        <v>0</v>
      </c>
      <c r="B117" s="31" t="str">
        <f>VLOOKUP(Table1[[#This Row],[Account Code]],'Accoount Code Combination'!$D:$L,9,FALSE)</f>
        <v>No Applicable</v>
      </c>
      <c r="C117" s="4" t="str">
        <f>VLOOKUP(Table1[[#This Row],[Cost Center Code]],'Cost Center Group'!A:B,2,FALSE)</f>
        <v>College of Engineering</v>
      </c>
      <c r="D117" s="4">
        <v>847</v>
      </c>
      <c r="E117" s="79">
        <v>8470315</v>
      </c>
      <c r="F117" s="32" t="s">
        <v>311</v>
      </c>
      <c r="G117" s="4">
        <v>1</v>
      </c>
      <c r="H117" s="95">
        <v>492316</v>
      </c>
      <c r="I117" s="106" t="str">
        <f>IFERROR(VLOOKUP(Table1[[#This Row],[Account Code]],'Accoount Code Combination'!$D:$H,2,FALSE),"")</f>
        <v>Laboratory equipment</v>
      </c>
      <c r="J117" s="79">
        <v>8470315</v>
      </c>
      <c r="K117" s="4"/>
      <c r="L117" s="4" t="str">
        <f>IFERROR(VLOOKUP(Table1[[#This Row],[Future-1 Description]],'Other '!E105:$F114,2,FALSE),"")</f>
        <v/>
      </c>
      <c r="M117" s="32"/>
      <c r="N117" s="32"/>
      <c r="O117" s="32"/>
      <c r="P117" s="49">
        <v>187000</v>
      </c>
      <c r="Q117" s="49">
        <v>109201</v>
      </c>
      <c r="R117" s="32"/>
      <c r="S117" s="4"/>
      <c r="T117" s="32"/>
      <c r="U117" s="32"/>
      <c r="V117" s="32"/>
      <c r="W117" s="32"/>
      <c r="X117" s="33"/>
      <c r="Y117" s="33"/>
      <c r="Z117" s="31">
        <f>Table1[[#This Row],[Quantity of measruing units]]*Table1[[#This Row],[Rate (expected)]]</f>
        <v>0</v>
      </c>
      <c r="AA117" s="31"/>
      <c r="AB117" s="31"/>
      <c r="AC117" s="34">
        <f>Table1[[#This Row],[Quantity (expected)]]*Table1[[#This Row],[Rate (expected)2]]*0.9</f>
        <v>0</v>
      </c>
      <c r="AD117" s="34">
        <f>Table1[[#This Row],[Quantity (expected)]]*Table1[[#This Row],[Rate (expected)2]]*0.8</f>
        <v>0</v>
      </c>
      <c r="AE117" s="34">
        <f>Table1[[#This Row],[Quantity (expected)]]*Table1[[#This Row],[Rate (expected)2]]*0.7</f>
        <v>0</v>
      </c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1">
        <f>SUM(Table1[[#This Row],[Jan-23]:[Dec-23]])</f>
        <v>0</v>
      </c>
      <c r="AV117" s="105"/>
      <c r="AW117" s="32"/>
      <c r="AX117" s="35"/>
    </row>
    <row r="118" spans="1:50" x14ac:dyDescent="0.3">
      <c r="A118" s="30" t="str">
        <f>VLOOKUP(H118,'Accoount Code Combination'!$D:$L,8,FALSE)</f>
        <v>Academic</v>
      </c>
      <c r="B118" s="31" t="str">
        <f>VLOOKUP(Table1[[#This Row],[Account Code]],'Accoount Code Combination'!$D:$L,9,FALSE)</f>
        <v>No Applicable</v>
      </c>
      <c r="C118" s="4" t="str">
        <f>VLOOKUP(Table1[[#This Row],[Cost Center Code]],'Cost Center Group'!A:B,2,FALSE)</f>
        <v>College of Engineering</v>
      </c>
      <c r="D118" s="4">
        <v>847</v>
      </c>
      <c r="E118" s="79">
        <v>8470320</v>
      </c>
      <c r="F118" s="32" t="s">
        <v>443</v>
      </c>
      <c r="G118" s="4">
        <v>1</v>
      </c>
      <c r="H118" s="95">
        <v>420550</v>
      </c>
      <c r="I118" s="106" t="str">
        <f>IFERROR(VLOOKUP(Table1[[#This Row],[Account Code]],'Accoount Code Combination'!$D:$H,2,FALSE),"")</f>
        <v>Academic Advisory Service</v>
      </c>
      <c r="J118" s="79">
        <v>8470320</v>
      </c>
      <c r="K118" s="4"/>
      <c r="L118" s="4" t="str">
        <f>IFERROR(VLOOKUP(Table1[[#This Row],[Future-1 Description]],'Other '!E106:$F115,2,FALSE),"")</f>
        <v/>
      </c>
      <c r="M118" s="32"/>
      <c r="N118" s="32"/>
      <c r="O118" s="32"/>
      <c r="P118" s="49">
        <v>0</v>
      </c>
      <c r="Q118" s="49">
        <v>0</v>
      </c>
      <c r="R118" s="32"/>
      <c r="S118" s="4"/>
      <c r="T118" s="32"/>
      <c r="U118" s="32"/>
      <c r="V118" s="32"/>
      <c r="W118" s="32"/>
      <c r="X118" s="33"/>
      <c r="Y118" s="33"/>
      <c r="Z118" s="31">
        <f>Table1[[#This Row],[Quantity of measruing units]]*Table1[[#This Row],[Rate (expected)]]</f>
        <v>0</v>
      </c>
      <c r="AA118" s="31"/>
      <c r="AB118" s="31"/>
      <c r="AC118" s="34">
        <f>Table1[[#This Row],[Quantity (expected)]]*Table1[[#This Row],[Rate (expected)2]]*0.9</f>
        <v>0</v>
      </c>
      <c r="AD118" s="34">
        <f>Table1[[#This Row],[Quantity (expected)]]*Table1[[#This Row],[Rate (expected)2]]*0.8</f>
        <v>0</v>
      </c>
      <c r="AE118" s="34">
        <f>Table1[[#This Row],[Quantity (expected)]]*Table1[[#This Row],[Rate (expected)2]]*0.7</f>
        <v>0</v>
      </c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1">
        <f>SUM(Table1[[#This Row],[Jan-23]:[Dec-23]])</f>
        <v>0</v>
      </c>
      <c r="AV118" s="105"/>
      <c r="AW118" s="32"/>
      <c r="AX118" s="35"/>
    </row>
    <row r="119" spans="1:50" ht="26" x14ac:dyDescent="0.3">
      <c r="A119" s="30" t="str">
        <f>VLOOKUP(H119,'Accoount Code Combination'!$D:$L,8,FALSE)</f>
        <v>Communiction &amp; Marketing</v>
      </c>
      <c r="B119" s="31" t="str">
        <f>VLOOKUP(Table1[[#This Row],[Account Code]],'Accoount Code Combination'!$D:$L,9,FALSE)</f>
        <v>Events</v>
      </c>
      <c r="C119" s="4" t="str">
        <f>VLOOKUP(Table1[[#This Row],[Cost Center Code]],'Cost Center Group'!A:B,2,FALSE)</f>
        <v>College of Engineering</v>
      </c>
      <c r="D119" s="4">
        <v>847</v>
      </c>
      <c r="E119" s="79">
        <v>8470320</v>
      </c>
      <c r="F119" s="32" t="s">
        <v>443</v>
      </c>
      <c r="G119" s="4">
        <v>1</v>
      </c>
      <c r="H119" s="95">
        <v>425510</v>
      </c>
      <c r="I119" s="106" t="str">
        <f>IFERROR(VLOOKUP(Table1[[#This Row],[Account Code]],'Accoount Code Combination'!$D:$H,2,FALSE),"")</f>
        <v>Conferences, seminars and exhibitions and other events: - Local Events</v>
      </c>
      <c r="J119" s="79">
        <v>8470320</v>
      </c>
      <c r="K119" s="4"/>
      <c r="L119" s="4" t="str">
        <f>IFERROR(VLOOKUP(Table1[[#This Row],[Future-1 Description]],'Other '!E107:$F116,2,FALSE),"")</f>
        <v/>
      </c>
      <c r="M119" s="32"/>
      <c r="N119" s="32"/>
      <c r="O119" s="32"/>
      <c r="P119" s="49">
        <v>0</v>
      </c>
      <c r="Q119" s="49">
        <v>0</v>
      </c>
      <c r="R119" s="32"/>
      <c r="S119" s="4"/>
      <c r="T119" s="32"/>
      <c r="U119" s="32"/>
      <c r="V119" s="32"/>
      <c r="W119" s="32"/>
      <c r="X119" s="33"/>
      <c r="Y119" s="33"/>
      <c r="Z119" s="31">
        <f>Table1[[#This Row],[Quantity of measruing units]]*Table1[[#This Row],[Rate (expected)]]</f>
        <v>0</v>
      </c>
      <c r="AA119" s="31"/>
      <c r="AB119" s="31"/>
      <c r="AC119" s="34">
        <f>Table1[[#This Row],[Quantity (expected)]]*Table1[[#This Row],[Rate (expected)2]]*0.9</f>
        <v>0</v>
      </c>
      <c r="AD119" s="34">
        <f>Table1[[#This Row],[Quantity (expected)]]*Table1[[#This Row],[Rate (expected)2]]*0.8</f>
        <v>0</v>
      </c>
      <c r="AE119" s="34">
        <f>Table1[[#This Row],[Quantity (expected)]]*Table1[[#This Row],[Rate (expected)2]]*0.7</f>
        <v>0</v>
      </c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1">
        <f>SUM(Table1[[#This Row],[Jan-23]:[Dec-23]])</f>
        <v>0</v>
      </c>
      <c r="AV119" s="105"/>
      <c r="AW119" s="32"/>
      <c r="AX119" s="35"/>
    </row>
    <row r="120" spans="1:50" x14ac:dyDescent="0.3">
      <c r="A120" s="30" t="str">
        <f>VLOOKUP(H120,'Accoount Code Combination'!$D:$L,8,FALSE)</f>
        <v>Student</v>
      </c>
      <c r="B120" s="31" t="str">
        <f>VLOOKUP(Table1[[#This Row],[Account Code]],'Accoount Code Combination'!$D:$L,9,FALSE)</f>
        <v>Activities and Field trips</v>
      </c>
      <c r="C120" s="4" t="str">
        <f>VLOOKUP(Table1[[#This Row],[Cost Center Code]],'Cost Center Group'!A:B,2,FALSE)</f>
        <v>College of Engineering</v>
      </c>
      <c r="D120" s="4">
        <v>847</v>
      </c>
      <c r="E120" s="79">
        <v>8470320</v>
      </c>
      <c r="F120" s="32" t="s">
        <v>443</v>
      </c>
      <c r="G120" s="4">
        <v>1</v>
      </c>
      <c r="H120" s="95">
        <v>425760</v>
      </c>
      <c r="I120" s="106" t="str">
        <f>IFERROR(VLOOKUP(Table1[[#This Row],[Account Code]],'Accoount Code Combination'!$D:$H,2,FALSE),"")</f>
        <v>Student activities &amp; field trip expenses</v>
      </c>
      <c r="J120" s="79">
        <v>8470320</v>
      </c>
      <c r="K120" s="4"/>
      <c r="L120" s="4" t="str">
        <f>IFERROR(VLOOKUP(Table1[[#This Row],[Future-1 Description]],'Other '!E108:$F117,2,FALSE),"")</f>
        <v/>
      </c>
      <c r="M120" s="32"/>
      <c r="N120" s="32"/>
      <c r="O120" s="32"/>
      <c r="P120" s="49">
        <v>0</v>
      </c>
      <c r="Q120" s="49">
        <v>0</v>
      </c>
      <c r="R120" s="32"/>
      <c r="S120" s="4"/>
      <c r="T120" s="32"/>
      <c r="U120" s="32"/>
      <c r="V120" s="32"/>
      <c r="W120" s="32"/>
      <c r="X120" s="33"/>
      <c r="Y120" s="33"/>
      <c r="Z120" s="31">
        <f>Table1[[#This Row],[Quantity of measruing units]]*Table1[[#This Row],[Rate (expected)]]</f>
        <v>0</v>
      </c>
      <c r="AA120" s="31"/>
      <c r="AB120" s="31"/>
      <c r="AC120" s="34">
        <f>Table1[[#This Row],[Quantity (expected)]]*Table1[[#This Row],[Rate (expected)2]]*0.9</f>
        <v>0</v>
      </c>
      <c r="AD120" s="34">
        <f>Table1[[#This Row],[Quantity (expected)]]*Table1[[#This Row],[Rate (expected)2]]*0.8</f>
        <v>0</v>
      </c>
      <c r="AE120" s="34">
        <f>Table1[[#This Row],[Quantity (expected)]]*Table1[[#This Row],[Rate (expected)2]]*0.7</f>
        <v>0</v>
      </c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1">
        <f>SUM(Table1[[#This Row],[Jan-23]:[Dec-23]])</f>
        <v>0</v>
      </c>
      <c r="AV120" s="105"/>
      <c r="AW120" s="32"/>
      <c r="AX120" s="35"/>
    </row>
    <row r="121" spans="1:50" x14ac:dyDescent="0.3">
      <c r="A121" s="30" t="str">
        <f>VLOOKUP(H121,'Accoount Code Combination'!$D:$L,8,FALSE)</f>
        <v>Student</v>
      </c>
      <c r="B121" s="31" t="str">
        <f>VLOOKUP(Table1[[#This Row],[Account Code]],'Accoount Code Combination'!$D:$L,9,FALSE)</f>
        <v>No Applicable</v>
      </c>
      <c r="C121" s="4" t="str">
        <f>VLOOKUP(Table1[[#This Row],[Cost Center Code]],'Cost Center Group'!A:B,2,FALSE)</f>
        <v>College of Engineering</v>
      </c>
      <c r="D121" s="4">
        <v>847</v>
      </c>
      <c r="E121" s="79">
        <v>8470320</v>
      </c>
      <c r="F121" s="32" t="s">
        <v>443</v>
      </c>
      <c r="G121" s="4">
        <v>1</v>
      </c>
      <c r="H121" s="95">
        <v>425763</v>
      </c>
      <c r="I121" s="106" t="str">
        <f>IFERROR(VLOOKUP(Table1[[#This Row],[Account Code]],'Accoount Code Combination'!$D:$H,2,FALSE),"")</f>
        <v>Student Project Expenses</v>
      </c>
      <c r="J121" s="79">
        <v>8470320</v>
      </c>
      <c r="K121" s="4"/>
      <c r="L121" s="4" t="str">
        <f>IFERROR(VLOOKUP(Table1[[#This Row],[Future-1 Description]],'Other '!E109:$F118,2,FALSE),"")</f>
        <v/>
      </c>
      <c r="M121" s="32"/>
      <c r="N121" s="32"/>
      <c r="O121" s="32"/>
      <c r="P121" s="49">
        <v>95178.15</v>
      </c>
      <c r="Q121" s="49">
        <v>20000</v>
      </c>
      <c r="R121" s="32"/>
      <c r="S121" s="4"/>
      <c r="T121" s="32"/>
      <c r="U121" s="32"/>
      <c r="V121" s="32"/>
      <c r="W121" s="32"/>
      <c r="X121" s="33"/>
      <c r="Y121" s="33"/>
      <c r="Z121" s="31">
        <f>Table1[[#This Row],[Quantity of measruing units]]*Table1[[#This Row],[Rate (expected)]]</f>
        <v>0</v>
      </c>
      <c r="AA121" s="31"/>
      <c r="AB121" s="31"/>
      <c r="AC121" s="34">
        <f>Table1[[#This Row],[Quantity (expected)]]*Table1[[#This Row],[Rate (expected)2]]*0.9</f>
        <v>0</v>
      </c>
      <c r="AD121" s="34">
        <f>Table1[[#This Row],[Quantity (expected)]]*Table1[[#This Row],[Rate (expected)2]]*0.8</f>
        <v>0</v>
      </c>
      <c r="AE121" s="34">
        <f>Table1[[#This Row],[Quantity (expected)]]*Table1[[#This Row],[Rate (expected)2]]*0.7</f>
        <v>0</v>
      </c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1">
        <f>SUM(Table1[[#This Row],[Jan-23]:[Dec-23]])</f>
        <v>0</v>
      </c>
      <c r="AV121" s="105"/>
      <c r="AW121" s="32"/>
      <c r="AX121" s="35"/>
    </row>
    <row r="122" spans="1:50" x14ac:dyDescent="0.3">
      <c r="A122" s="30" t="str">
        <f>VLOOKUP(H122,'Accoount Code Combination'!$D:$L,8,FALSE)</f>
        <v>Academic</v>
      </c>
      <c r="B122" s="31" t="str">
        <f>VLOOKUP(Table1[[#This Row],[Account Code]],'Accoount Code Combination'!$D:$L,9,FALSE)</f>
        <v>No Applicable</v>
      </c>
      <c r="C122" s="4" t="str">
        <f>VLOOKUP(Table1[[#This Row],[Cost Center Code]],'Cost Center Group'!A:B,2,FALSE)</f>
        <v>College of Engineering</v>
      </c>
      <c r="D122" s="4">
        <v>847</v>
      </c>
      <c r="E122" s="79">
        <v>8470320</v>
      </c>
      <c r="F122" s="32" t="s">
        <v>443</v>
      </c>
      <c r="G122" s="4">
        <v>1</v>
      </c>
      <c r="H122" s="95">
        <v>425770</v>
      </c>
      <c r="I122" s="106" t="str">
        <f>IFERROR(VLOOKUP(Table1[[#This Row],[Account Code]],'Accoount Code Combination'!$D:$H,2,FALSE),"")</f>
        <v>Academic Missions - Combined expenses</v>
      </c>
      <c r="J122" s="79">
        <v>8470320</v>
      </c>
      <c r="K122" s="4"/>
      <c r="L122" s="4" t="str">
        <f>IFERROR(VLOOKUP(Table1[[#This Row],[Future-1 Description]],'Other '!E110:$F119,2,FALSE),"")</f>
        <v/>
      </c>
      <c r="M122" s="32"/>
      <c r="N122" s="32"/>
      <c r="O122" s="32"/>
      <c r="P122" s="49">
        <v>1493.55</v>
      </c>
      <c r="Q122" s="49">
        <v>12750</v>
      </c>
      <c r="R122" s="32"/>
      <c r="S122" s="4"/>
      <c r="T122" s="32"/>
      <c r="U122" s="32"/>
      <c r="V122" s="32"/>
      <c r="W122" s="32"/>
      <c r="X122" s="33"/>
      <c r="Y122" s="33"/>
      <c r="Z122" s="31">
        <f>Table1[[#This Row],[Quantity of measruing units]]*Table1[[#This Row],[Rate (expected)]]</f>
        <v>0</v>
      </c>
      <c r="AA122" s="31"/>
      <c r="AB122" s="31"/>
      <c r="AC122" s="34">
        <f>Table1[[#This Row],[Quantity (expected)]]*Table1[[#This Row],[Rate (expected)2]]*0.9</f>
        <v>0</v>
      </c>
      <c r="AD122" s="34">
        <f>Table1[[#This Row],[Quantity (expected)]]*Table1[[#This Row],[Rate (expected)2]]*0.8</f>
        <v>0</v>
      </c>
      <c r="AE122" s="34">
        <f>Table1[[#This Row],[Quantity (expected)]]*Table1[[#This Row],[Rate (expected)2]]*0.7</f>
        <v>0</v>
      </c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1">
        <f>SUM(Table1[[#This Row],[Jan-23]:[Dec-23]])</f>
        <v>0</v>
      </c>
      <c r="AV122" s="105"/>
      <c r="AW122" s="32"/>
      <c r="AX122" s="35"/>
    </row>
    <row r="123" spans="1:50" x14ac:dyDescent="0.3">
      <c r="A123" s="30" t="str">
        <f>VLOOKUP(H123,'Accoount Code Combination'!$D:$L,8,FALSE)</f>
        <v>Other support</v>
      </c>
      <c r="B123" s="31" t="str">
        <f>VLOOKUP(Table1[[#This Row],[Account Code]],'Accoount Code Combination'!$D:$L,9,FALSE)</f>
        <v>No Applicable</v>
      </c>
      <c r="C123" s="4" t="str">
        <f>VLOOKUP(Table1[[#This Row],[Cost Center Code]],'Cost Center Group'!A:B,2,FALSE)</f>
        <v>College of Engineering</v>
      </c>
      <c r="D123" s="4">
        <v>847</v>
      </c>
      <c r="E123" s="79">
        <v>8470320</v>
      </c>
      <c r="F123" s="32" t="s">
        <v>443</v>
      </c>
      <c r="G123" s="4">
        <v>1</v>
      </c>
      <c r="H123" s="95">
        <v>425900</v>
      </c>
      <c r="I123" s="106" t="str">
        <f>IFERROR(VLOOKUP(Table1[[#This Row],[Account Code]],'Accoount Code Combination'!$D:$H,2,FALSE),"")</f>
        <v>Entertainment and hospitality</v>
      </c>
      <c r="J123" s="79">
        <v>8470320</v>
      </c>
      <c r="K123" s="4"/>
      <c r="L123" s="4" t="str">
        <f>IFERROR(VLOOKUP(Table1[[#This Row],[Future-1 Description]],'Other '!E111:$F120,2,FALSE),"")</f>
        <v/>
      </c>
      <c r="M123" s="32"/>
      <c r="N123" s="32"/>
      <c r="O123" s="32"/>
      <c r="P123" s="49">
        <v>1890</v>
      </c>
      <c r="Q123" s="49">
        <v>0</v>
      </c>
      <c r="R123" s="32"/>
      <c r="S123" s="4"/>
      <c r="T123" s="32"/>
      <c r="U123" s="32"/>
      <c r="V123" s="32"/>
      <c r="W123" s="32"/>
      <c r="X123" s="33"/>
      <c r="Y123" s="33"/>
      <c r="Z123" s="31">
        <f>Table1[[#This Row],[Quantity of measruing units]]*Table1[[#This Row],[Rate (expected)]]</f>
        <v>0</v>
      </c>
      <c r="AA123" s="31"/>
      <c r="AB123" s="31"/>
      <c r="AC123" s="34">
        <f>Table1[[#This Row],[Quantity (expected)]]*Table1[[#This Row],[Rate (expected)2]]*0.9</f>
        <v>0</v>
      </c>
      <c r="AD123" s="34">
        <f>Table1[[#This Row],[Quantity (expected)]]*Table1[[#This Row],[Rate (expected)2]]*0.8</f>
        <v>0</v>
      </c>
      <c r="AE123" s="34">
        <f>Table1[[#This Row],[Quantity (expected)]]*Table1[[#This Row],[Rate (expected)2]]*0.7</f>
        <v>0</v>
      </c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1">
        <f>SUM(Table1[[#This Row],[Jan-23]:[Dec-23]])</f>
        <v>0</v>
      </c>
      <c r="AV123" s="105"/>
      <c r="AW123" s="32"/>
      <c r="AX123" s="35"/>
    </row>
    <row r="124" spans="1:50" x14ac:dyDescent="0.3">
      <c r="A124" s="30" t="str">
        <f>VLOOKUP(H124,'Accoount Code Combination'!$D:$L,8,FALSE)</f>
        <v>IT</v>
      </c>
      <c r="B124" s="31" t="str">
        <f>VLOOKUP(Table1[[#This Row],[Account Code]],'Accoount Code Combination'!$D:$L,9,FALSE)</f>
        <v>Software Operating</v>
      </c>
      <c r="C124" s="4" t="str">
        <f>VLOOKUP(Table1[[#This Row],[Cost Center Code]],'Cost Center Group'!A:B,2,FALSE)</f>
        <v>College of Engineering</v>
      </c>
      <c r="D124" s="4">
        <v>847</v>
      </c>
      <c r="E124" s="79">
        <v>8470320</v>
      </c>
      <c r="F124" s="32" t="s">
        <v>443</v>
      </c>
      <c r="G124" s="4">
        <v>1</v>
      </c>
      <c r="H124" s="95">
        <v>426610</v>
      </c>
      <c r="I124" s="106" t="str">
        <f>IFERROR(VLOOKUP(Table1[[#This Row],[Account Code]],'Accoount Code Combination'!$D:$H,2,FALSE),"")</f>
        <v>Computer software licenses</v>
      </c>
      <c r="J124" s="79">
        <v>8470320</v>
      </c>
      <c r="K124" s="4"/>
      <c r="L124" s="4" t="str">
        <f>IFERROR(VLOOKUP(Table1[[#This Row],[Future-1 Description]],'Other '!E112:$F121,2,FALSE),"")</f>
        <v/>
      </c>
      <c r="M124" s="32"/>
      <c r="N124" s="32"/>
      <c r="O124" s="32"/>
      <c r="P124" s="49">
        <v>8098.97</v>
      </c>
      <c r="Q124" s="49">
        <v>51585</v>
      </c>
      <c r="R124" s="32"/>
      <c r="S124" s="4"/>
      <c r="T124" s="32"/>
      <c r="U124" s="32"/>
      <c r="V124" s="32"/>
      <c r="W124" s="32"/>
      <c r="X124" s="33"/>
      <c r="Y124" s="33"/>
      <c r="Z124" s="31">
        <f>Table1[[#This Row],[Quantity of measruing units]]*Table1[[#This Row],[Rate (expected)]]</f>
        <v>0</v>
      </c>
      <c r="AA124" s="31"/>
      <c r="AB124" s="31"/>
      <c r="AC124" s="34">
        <f>Table1[[#This Row],[Quantity (expected)]]*Table1[[#This Row],[Rate (expected)2]]*0.9</f>
        <v>0</v>
      </c>
      <c r="AD124" s="34">
        <f>Table1[[#This Row],[Quantity (expected)]]*Table1[[#This Row],[Rate (expected)2]]*0.8</f>
        <v>0</v>
      </c>
      <c r="AE124" s="34">
        <f>Table1[[#This Row],[Quantity (expected)]]*Table1[[#This Row],[Rate (expected)2]]*0.7</f>
        <v>0</v>
      </c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1">
        <f>SUM(Table1[[#This Row],[Jan-23]:[Dec-23]])</f>
        <v>0</v>
      </c>
      <c r="AV124" s="105"/>
      <c r="AW124" s="32"/>
      <c r="AX124" s="35"/>
    </row>
    <row r="125" spans="1:50" x14ac:dyDescent="0.3">
      <c r="A125" s="30" t="str">
        <f>VLOOKUP(H125,'Accoount Code Combination'!$D:$L,8,FALSE)</f>
        <v xml:space="preserve">Academic </v>
      </c>
      <c r="B125" s="31" t="str">
        <f>VLOOKUP(Table1[[#This Row],[Account Code]],'Accoount Code Combination'!$D:$L,9,FALSE)</f>
        <v>No Applicable</v>
      </c>
      <c r="C125" s="4" t="str">
        <f>VLOOKUP(Table1[[#This Row],[Cost Center Code]],'Cost Center Group'!A:B,2,FALSE)</f>
        <v>College of Engineering</v>
      </c>
      <c r="D125" s="4">
        <v>847</v>
      </c>
      <c r="E125" s="79">
        <v>8470320</v>
      </c>
      <c r="F125" s="32" t="s">
        <v>443</v>
      </c>
      <c r="G125" s="4">
        <v>1</v>
      </c>
      <c r="H125" s="95">
        <v>428090</v>
      </c>
      <c r="I125" s="106" t="str">
        <f>IFERROR(VLOOKUP(Table1[[#This Row],[Account Code]],'Accoount Code Combination'!$D:$H,2,FALSE),"")</f>
        <v>Business Travel - Combined expenses</v>
      </c>
      <c r="J125" s="79">
        <v>8470320</v>
      </c>
      <c r="K125" s="4"/>
      <c r="L125" s="4" t="str">
        <f>IFERROR(VLOOKUP(Table1[[#This Row],[Future-1 Description]],'Other '!E113:$F122,2,FALSE),"")</f>
        <v/>
      </c>
      <c r="M125" s="32"/>
      <c r="N125" s="32"/>
      <c r="O125" s="32"/>
      <c r="P125" s="49">
        <v>0</v>
      </c>
      <c r="Q125" s="49">
        <v>0</v>
      </c>
      <c r="R125" s="32"/>
      <c r="S125" s="4"/>
      <c r="T125" s="32"/>
      <c r="U125" s="32"/>
      <c r="V125" s="32"/>
      <c r="W125" s="32"/>
      <c r="X125" s="33"/>
      <c r="Y125" s="33"/>
      <c r="Z125" s="31">
        <f>Table1[[#This Row],[Quantity of measruing units]]*Table1[[#This Row],[Rate (expected)]]</f>
        <v>0</v>
      </c>
      <c r="AA125" s="31"/>
      <c r="AB125" s="31"/>
      <c r="AC125" s="34">
        <f>Table1[[#This Row],[Quantity (expected)]]*Table1[[#This Row],[Rate (expected)2]]*0.9</f>
        <v>0</v>
      </c>
      <c r="AD125" s="34">
        <f>Table1[[#This Row],[Quantity (expected)]]*Table1[[#This Row],[Rate (expected)2]]*0.8</f>
        <v>0</v>
      </c>
      <c r="AE125" s="34">
        <f>Table1[[#This Row],[Quantity (expected)]]*Table1[[#This Row],[Rate (expected)2]]*0.7</f>
        <v>0</v>
      </c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1">
        <f>SUM(Table1[[#This Row],[Jan-23]:[Dec-23]])</f>
        <v>0</v>
      </c>
      <c r="AV125" s="105"/>
      <c r="AW125" s="32"/>
      <c r="AX125" s="35"/>
    </row>
    <row r="126" spans="1:50" x14ac:dyDescent="0.3">
      <c r="A126" s="30" t="str">
        <f>VLOOKUP(H126,'Accoount Code Combination'!$D:$L,8,FALSE)</f>
        <v>Academic</v>
      </c>
      <c r="B126" s="31" t="str">
        <f>VLOOKUP(Table1[[#This Row],[Account Code]],'Accoount Code Combination'!$D:$L,9,FALSE)</f>
        <v>No Applicable</v>
      </c>
      <c r="C126" s="4" t="str">
        <f>VLOOKUP(Table1[[#This Row],[Cost Center Code]],'Cost Center Group'!A:B,2,FALSE)</f>
        <v>College of Engineering</v>
      </c>
      <c r="D126" s="4">
        <v>847</v>
      </c>
      <c r="E126" s="79">
        <v>8470320</v>
      </c>
      <c r="F126" s="32" t="s">
        <v>443</v>
      </c>
      <c r="G126" s="4">
        <v>1</v>
      </c>
      <c r="H126" s="95">
        <v>435350</v>
      </c>
      <c r="I126" s="106" t="str">
        <f>IFERROR(VLOOKUP(Table1[[#This Row],[Account Code]],'Accoount Code Combination'!$D:$H,2,FALSE),"")</f>
        <v>Academic Publications</v>
      </c>
      <c r="J126" s="79">
        <v>8470320</v>
      </c>
      <c r="K126" s="4"/>
      <c r="L126" s="4" t="str">
        <f>IFERROR(VLOOKUP(Table1[[#This Row],[Future-1 Description]],'Other '!E114:$F123,2,FALSE),"")</f>
        <v/>
      </c>
      <c r="M126" s="32"/>
      <c r="N126" s="32"/>
      <c r="O126" s="32"/>
      <c r="P126" s="49">
        <v>0</v>
      </c>
      <c r="Q126" s="49">
        <v>25000</v>
      </c>
      <c r="R126" s="32"/>
      <c r="S126" s="4"/>
      <c r="T126" s="32"/>
      <c r="U126" s="32"/>
      <c r="V126" s="32"/>
      <c r="W126" s="32"/>
      <c r="X126" s="33"/>
      <c r="Y126" s="33"/>
      <c r="Z126" s="31">
        <f>Table1[[#This Row],[Quantity of measruing units]]*Table1[[#This Row],[Rate (expected)]]</f>
        <v>0</v>
      </c>
      <c r="AA126" s="31"/>
      <c r="AB126" s="31"/>
      <c r="AC126" s="34">
        <f>Table1[[#This Row],[Quantity (expected)]]*Table1[[#This Row],[Rate (expected)2]]*0.9</f>
        <v>0</v>
      </c>
      <c r="AD126" s="34">
        <f>Table1[[#This Row],[Quantity (expected)]]*Table1[[#This Row],[Rate (expected)2]]*0.8</f>
        <v>0</v>
      </c>
      <c r="AE126" s="34">
        <f>Table1[[#This Row],[Quantity (expected)]]*Table1[[#This Row],[Rate (expected)2]]*0.7</f>
        <v>0</v>
      </c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1">
        <f>SUM(Table1[[#This Row],[Jan-23]:[Dec-23]])</f>
        <v>0</v>
      </c>
      <c r="AV126" s="105"/>
      <c r="AW126" s="32"/>
      <c r="AX126" s="35"/>
    </row>
    <row r="127" spans="1:50" x14ac:dyDescent="0.3">
      <c r="A127" s="30" t="str">
        <f>VLOOKUP(H127,'Accoount Code Combination'!$D:$L,8,FALSE)</f>
        <v>Academic</v>
      </c>
      <c r="B127" s="31" t="str">
        <f>VLOOKUP(Table1[[#This Row],[Account Code]],'Accoount Code Combination'!$D:$L,9,FALSE)</f>
        <v>No Applicable</v>
      </c>
      <c r="C127" s="4" t="str">
        <f>VLOOKUP(Table1[[#This Row],[Cost Center Code]],'Cost Center Group'!A:B,2,FALSE)</f>
        <v>College of Engineering</v>
      </c>
      <c r="D127" s="4">
        <v>847</v>
      </c>
      <c r="E127" s="79">
        <v>8470320</v>
      </c>
      <c r="F127" s="32" t="s">
        <v>443</v>
      </c>
      <c r="G127" s="4">
        <v>1</v>
      </c>
      <c r="H127" s="95">
        <v>435508</v>
      </c>
      <c r="I127" s="106" t="str">
        <f>IFERROR(VLOOKUP(Table1[[#This Row],[Account Code]],'Accoount Code Combination'!$D:$H,2,FALSE),"")</f>
        <v>Laboratory - Scientific</v>
      </c>
      <c r="J127" s="79">
        <v>8470320</v>
      </c>
      <c r="K127" s="4"/>
      <c r="L127" s="4" t="str">
        <f>IFERROR(VLOOKUP(Table1[[#This Row],[Future-1 Description]],'Other '!E115:$F124,2,FALSE),"")</f>
        <v/>
      </c>
      <c r="M127" s="32"/>
      <c r="N127" s="32"/>
      <c r="O127" s="32"/>
      <c r="P127" s="49">
        <v>161058.6</v>
      </c>
      <c r="Q127" s="49">
        <v>100000</v>
      </c>
      <c r="R127" s="32"/>
      <c r="S127" s="4"/>
      <c r="T127" s="32"/>
      <c r="U127" s="32"/>
      <c r="V127" s="32"/>
      <c r="W127" s="32"/>
      <c r="X127" s="33"/>
      <c r="Y127" s="33"/>
      <c r="Z127" s="31">
        <f>Table1[[#This Row],[Quantity of measruing units]]*Table1[[#This Row],[Rate (expected)]]</f>
        <v>0</v>
      </c>
      <c r="AA127" s="31"/>
      <c r="AB127" s="31"/>
      <c r="AC127" s="34">
        <f>Table1[[#This Row],[Quantity (expected)]]*Table1[[#This Row],[Rate (expected)2]]*0.9</f>
        <v>0</v>
      </c>
      <c r="AD127" s="34">
        <f>Table1[[#This Row],[Quantity (expected)]]*Table1[[#This Row],[Rate (expected)2]]*0.8</f>
        <v>0</v>
      </c>
      <c r="AE127" s="34">
        <f>Table1[[#This Row],[Quantity (expected)]]*Table1[[#This Row],[Rate (expected)2]]*0.7</f>
        <v>0</v>
      </c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1">
        <f>SUM(Table1[[#This Row],[Jan-23]:[Dec-23]])</f>
        <v>0</v>
      </c>
      <c r="AV127" s="105"/>
      <c r="AW127" s="32"/>
      <c r="AX127" s="35"/>
    </row>
    <row r="128" spans="1:50" x14ac:dyDescent="0.3">
      <c r="A128" s="30" t="str">
        <f>VLOOKUP(H128,'Accoount Code Combination'!$D:$L,8,FALSE)</f>
        <v>Other support</v>
      </c>
      <c r="B128" s="31" t="str">
        <f>VLOOKUP(Table1[[#This Row],[Account Code]],'Accoount Code Combination'!$D:$L,9,FALSE)</f>
        <v>No Applicable</v>
      </c>
      <c r="C128" s="4" t="str">
        <f>VLOOKUP(Table1[[#This Row],[Cost Center Code]],'Cost Center Group'!A:B,2,FALSE)</f>
        <v>College of Engineering</v>
      </c>
      <c r="D128" s="4">
        <v>847</v>
      </c>
      <c r="E128" s="79">
        <v>8470320</v>
      </c>
      <c r="F128" s="32" t="s">
        <v>443</v>
      </c>
      <c r="G128" s="4">
        <v>1</v>
      </c>
      <c r="H128" s="95">
        <v>436110</v>
      </c>
      <c r="I128" s="106" t="str">
        <f>IFERROR(VLOOKUP(Table1[[#This Row],[Account Code]],'Accoount Code Combination'!$D:$H,2,FALSE),"")</f>
        <v>Printing supplies</v>
      </c>
      <c r="J128" s="79">
        <v>8470320</v>
      </c>
      <c r="K128" s="4"/>
      <c r="L128" s="4" t="str">
        <f>IFERROR(VLOOKUP(Table1[[#This Row],[Future-1 Description]],'Other '!E116:$F125,2,FALSE),"")</f>
        <v/>
      </c>
      <c r="M128" s="32"/>
      <c r="N128" s="32"/>
      <c r="O128" s="32"/>
      <c r="P128" s="49">
        <v>0</v>
      </c>
      <c r="Q128" s="49">
        <v>0</v>
      </c>
      <c r="R128" s="32"/>
      <c r="S128" s="4"/>
      <c r="T128" s="32"/>
      <c r="U128" s="32"/>
      <c r="V128" s="32"/>
      <c r="W128" s="32"/>
      <c r="X128" s="33"/>
      <c r="Y128" s="33"/>
      <c r="Z128" s="31">
        <f>Table1[[#This Row],[Quantity of measruing units]]*Table1[[#This Row],[Rate (expected)]]</f>
        <v>0</v>
      </c>
      <c r="AA128" s="31"/>
      <c r="AB128" s="31"/>
      <c r="AC128" s="34">
        <f>Table1[[#This Row],[Quantity (expected)]]*Table1[[#This Row],[Rate (expected)2]]*0.9</f>
        <v>0</v>
      </c>
      <c r="AD128" s="34">
        <f>Table1[[#This Row],[Quantity (expected)]]*Table1[[#This Row],[Rate (expected)2]]*0.8</f>
        <v>0</v>
      </c>
      <c r="AE128" s="34">
        <f>Table1[[#This Row],[Quantity (expected)]]*Table1[[#This Row],[Rate (expected)2]]*0.7</f>
        <v>0</v>
      </c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1">
        <f>SUM(Table1[[#This Row],[Jan-23]:[Dec-23]])</f>
        <v>0</v>
      </c>
      <c r="AV128" s="105"/>
      <c r="AW128" s="32"/>
      <c r="AX128" s="35"/>
    </row>
    <row r="129" spans="1:50" ht="26" x14ac:dyDescent="0.3">
      <c r="A129" s="30" t="str">
        <f>VLOOKUP(H129,'Accoount Code Combination'!$D:$L,8,FALSE)</f>
        <v>Academic</v>
      </c>
      <c r="B129" s="31" t="str">
        <f>VLOOKUP(Table1[[#This Row],[Account Code]],'Accoount Code Combination'!$D:$L,9,FALSE)</f>
        <v>No Applicable</v>
      </c>
      <c r="C129" s="4" t="str">
        <f>VLOOKUP(Table1[[#This Row],[Cost Center Code]],'Cost Center Group'!A:B,2,FALSE)</f>
        <v>College of Engineering</v>
      </c>
      <c r="D129" s="4">
        <v>847</v>
      </c>
      <c r="E129" s="79">
        <v>8470320</v>
      </c>
      <c r="F129" s="32" t="s">
        <v>443</v>
      </c>
      <c r="G129" s="4">
        <v>1</v>
      </c>
      <c r="H129" s="95">
        <v>436600</v>
      </c>
      <c r="I129" s="106" t="str">
        <f>IFERROR(VLOOKUP(Table1[[#This Row],[Account Code]],'Accoount Code Combination'!$D:$H,2,FALSE),"")</f>
        <v>Training/Teaching equipment and other educational aid</v>
      </c>
      <c r="J129" s="79">
        <v>8470320</v>
      </c>
      <c r="K129" s="4"/>
      <c r="L129" s="4" t="str">
        <f>IFERROR(VLOOKUP(Table1[[#This Row],[Future-1 Description]],'Other '!E117:$F126,2,FALSE),"")</f>
        <v/>
      </c>
      <c r="M129" s="32"/>
      <c r="N129" s="32"/>
      <c r="O129" s="32"/>
      <c r="P129" s="49">
        <v>0</v>
      </c>
      <c r="Q129" s="49">
        <v>0</v>
      </c>
      <c r="R129" s="32"/>
      <c r="S129" s="4"/>
      <c r="T129" s="32"/>
      <c r="U129" s="32"/>
      <c r="V129" s="32"/>
      <c r="W129" s="32"/>
      <c r="X129" s="33"/>
      <c r="Y129" s="33"/>
      <c r="Z129" s="31">
        <f>Table1[[#This Row],[Quantity of measruing units]]*Table1[[#This Row],[Rate (expected)]]</f>
        <v>0</v>
      </c>
      <c r="AA129" s="31"/>
      <c r="AB129" s="31"/>
      <c r="AC129" s="34">
        <f>Table1[[#This Row],[Quantity (expected)]]*Table1[[#This Row],[Rate (expected)2]]*0.9</f>
        <v>0</v>
      </c>
      <c r="AD129" s="34">
        <f>Table1[[#This Row],[Quantity (expected)]]*Table1[[#This Row],[Rate (expected)2]]*0.8</f>
        <v>0</v>
      </c>
      <c r="AE129" s="34">
        <f>Table1[[#This Row],[Quantity (expected)]]*Table1[[#This Row],[Rate (expected)2]]*0.7</f>
        <v>0</v>
      </c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1">
        <f>SUM(Table1[[#This Row],[Jan-23]:[Dec-23]])</f>
        <v>0</v>
      </c>
      <c r="AV129" s="105"/>
      <c r="AW129" s="32"/>
      <c r="AX129" s="35"/>
    </row>
    <row r="130" spans="1:50" x14ac:dyDescent="0.3">
      <c r="A130" s="30">
        <f>VLOOKUP(H130,'Accoount Code Combination'!$D:$L,8,FALSE)</f>
        <v>0</v>
      </c>
      <c r="B130" s="31" t="str">
        <f>VLOOKUP(Table1[[#This Row],[Account Code]],'Accoount Code Combination'!$D:$L,9,FALSE)</f>
        <v>No Applicable</v>
      </c>
      <c r="C130" s="4" t="str">
        <f>VLOOKUP(Table1[[#This Row],[Cost Center Code]],'Cost Center Group'!A:B,2,FALSE)</f>
        <v>College of Engineering</v>
      </c>
      <c r="D130" s="4">
        <v>847</v>
      </c>
      <c r="E130" s="79">
        <v>8470320</v>
      </c>
      <c r="F130" s="32" t="s">
        <v>443</v>
      </c>
      <c r="G130" s="4">
        <v>1</v>
      </c>
      <c r="H130" s="95">
        <v>492316</v>
      </c>
      <c r="I130" s="106" t="str">
        <f>IFERROR(VLOOKUP(Table1[[#This Row],[Account Code]],'Accoount Code Combination'!$D:$H,2,FALSE),"")</f>
        <v>Laboratory equipment</v>
      </c>
      <c r="J130" s="79">
        <v>8470320</v>
      </c>
      <c r="K130" s="4"/>
      <c r="L130" s="4" t="str">
        <f>IFERROR(VLOOKUP(Table1[[#This Row],[Future-1 Description]],'Other '!E118:$F127,2,FALSE),"")</f>
        <v/>
      </c>
      <c r="M130" s="32"/>
      <c r="N130" s="32"/>
      <c r="O130" s="32"/>
      <c r="P130" s="49">
        <v>0</v>
      </c>
      <c r="Q130" s="49">
        <v>0</v>
      </c>
      <c r="R130" s="32"/>
      <c r="S130" s="4"/>
      <c r="T130" s="32"/>
      <c r="U130" s="32"/>
      <c r="V130" s="32"/>
      <c r="W130" s="32"/>
      <c r="X130" s="33"/>
      <c r="Y130" s="33"/>
      <c r="Z130" s="31">
        <f>Table1[[#This Row],[Quantity of measruing units]]*Table1[[#This Row],[Rate (expected)]]</f>
        <v>0</v>
      </c>
      <c r="AA130" s="31"/>
      <c r="AB130" s="31"/>
      <c r="AC130" s="34">
        <f>Table1[[#This Row],[Quantity (expected)]]*Table1[[#This Row],[Rate (expected)2]]*0.9</f>
        <v>0</v>
      </c>
      <c r="AD130" s="34">
        <f>Table1[[#This Row],[Quantity (expected)]]*Table1[[#This Row],[Rate (expected)2]]*0.8</f>
        <v>0</v>
      </c>
      <c r="AE130" s="34">
        <f>Table1[[#This Row],[Quantity (expected)]]*Table1[[#This Row],[Rate (expected)2]]*0.7</f>
        <v>0</v>
      </c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1">
        <f>SUM(Table1[[#This Row],[Jan-23]:[Dec-23]])</f>
        <v>0</v>
      </c>
      <c r="AV130" s="105"/>
      <c r="AW130" s="32"/>
      <c r="AX130" s="35"/>
    </row>
    <row r="131" spans="1:50" x14ac:dyDescent="0.3">
      <c r="A131" s="30" t="str">
        <f>VLOOKUP(H131,'Accoount Code Combination'!$D:$L,8,FALSE)</f>
        <v>Academic</v>
      </c>
      <c r="B131" s="31" t="str">
        <f>VLOOKUP(Table1[[#This Row],[Account Code]],'Accoount Code Combination'!$D:$L,9,FALSE)</f>
        <v>No Applicable</v>
      </c>
      <c r="C131" s="4" t="str">
        <f>VLOOKUP(Table1[[#This Row],[Cost Center Code]],'Cost Center Group'!A:B,2,FALSE)</f>
        <v>College of Engineering</v>
      </c>
      <c r="D131" s="4">
        <v>847</v>
      </c>
      <c r="E131" s="79">
        <v>8470325</v>
      </c>
      <c r="F131" s="32" t="s">
        <v>186</v>
      </c>
      <c r="G131" s="4">
        <v>1</v>
      </c>
      <c r="H131" s="95">
        <v>420550</v>
      </c>
      <c r="I131" s="106" t="str">
        <f>IFERROR(VLOOKUP(Table1[[#This Row],[Account Code]],'Accoount Code Combination'!$D:$H,2,FALSE),"")</f>
        <v>Academic Advisory Service</v>
      </c>
      <c r="J131" s="79">
        <v>8470325</v>
      </c>
      <c r="K131" s="4"/>
      <c r="L131" s="4" t="str">
        <f>IFERROR(VLOOKUP(Table1[[#This Row],[Future-1 Description]],'Other '!E119:$F128,2,FALSE),"")</f>
        <v/>
      </c>
      <c r="M131" s="32"/>
      <c r="N131" s="32"/>
      <c r="O131" s="32"/>
      <c r="P131" s="49">
        <v>0</v>
      </c>
      <c r="Q131" s="49">
        <v>0</v>
      </c>
      <c r="R131" s="32"/>
      <c r="S131" s="4"/>
      <c r="T131" s="32"/>
      <c r="U131" s="32"/>
      <c r="V131" s="32"/>
      <c r="W131" s="32"/>
      <c r="X131" s="33"/>
      <c r="Y131" s="33"/>
      <c r="Z131" s="31">
        <f>Table1[[#This Row],[Quantity of measruing units]]*Table1[[#This Row],[Rate (expected)]]</f>
        <v>0</v>
      </c>
      <c r="AA131" s="31"/>
      <c r="AB131" s="31"/>
      <c r="AC131" s="34">
        <f>Table1[[#This Row],[Quantity (expected)]]*Table1[[#This Row],[Rate (expected)2]]*0.9</f>
        <v>0</v>
      </c>
      <c r="AD131" s="34">
        <f>Table1[[#This Row],[Quantity (expected)]]*Table1[[#This Row],[Rate (expected)2]]*0.8</f>
        <v>0</v>
      </c>
      <c r="AE131" s="34">
        <f>Table1[[#This Row],[Quantity (expected)]]*Table1[[#This Row],[Rate (expected)2]]*0.7</f>
        <v>0</v>
      </c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1">
        <f>SUM(Table1[[#This Row],[Jan-23]:[Dec-23]])</f>
        <v>0</v>
      </c>
      <c r="AV131" s="105"/>
      <c r="AW131" s="32"/>
      <c r="AX131" s="35"/>
    </row>
    <row r="132" spans="1:50" ht="26" x14ac:dyDescent="0.3">
      <c r="A132" s="30" t="str">
        <f>VLOOKUP(H132,'Accoount Code Combination'!$D:$L,8,FALSE)</f>
        <v>Communiction &amp; Marketing</v>
      </c>
      <c r="B132" s="31" t="str">
        <f>VLOOKUP(Table1[[#This Row],[Account Code]],'Accoount Code Combination'!$D:$L,9,FALSE)</f>
        <v>Events</v>
      </c>
      <c r="C132" s="4" t="str">
        <f>VLOOKUP(Table1[[#This Row],[Cost Center Code]],'Cost Center Group'!A:B,2,FALSE)</f>
        <v>College of Engineering</v>
      </c>
      <c r="D132" s="4">
        <v>847</v>
      </c>
      <c r="E132" s="79">
        <v>8470325</v>
      </c>
      <c r="F132" s="32" t="s">
        <v>186</v>
      </c>
      <c r="G132" s="4">
        <v>1</v>
      </c>
      <c r="H132" s="95">
        <v>425510</v>
      </c>
      <c r="I132" s="106" t="str">
        <f>IFERROR(VLOOKUP(Table1[[#This Row],[Account Code]],'Accoount Code Combination'!$D:$H,2,FALSE),"")</f>
        <v>Conferences, seminars and exhibitions and other events: - Local Events</v>
      </c>
      <c r="J132" s="79">
        <v>8470325</v>
      </c>
      <c r="K132" s="4"/>
      <c r="L132" s="4" t="str">
        <f>IFERROR(VLOOKUP(Table1[[#This Row],[Future-1 Description]],'Other '!E120:$F129,2,FALSE),"")</f>
        <v/>
      </c>
      <c r="M132" s="32"/>
      <c r="N132" s="32"/>
      <c r="O132" s="32"/>
      <c r="P132" s="49">
        <v>0</v>
      </c>
      <c r="Q132" s="49">
        <v>0</v>
      </c>
      <c r="R132" s="32"/>
      <c r="S132" s="4"/>
      <c r="T132" s="32"/>
      <c r="U132" s="32"/>
      <c r="V132" s="32"/>
      <c r="W132" s="32"/>
      <c r="X132" s="33"/>
      <c r="Y132" s="33"/>
      <c r="Z132" s="31">
        <f>Table1[[#This Row],[Quantity of measruing units]]*Table1[[#This Row],[Rate (expected)]]</f>
        <v>0</v>
      </c>
      <c r="AA132" s="31"/>
      <c r="AB132" s="31"/>
      <c r="AC132" s="34">
        <f>Table1[[#This Row],[Quantity (expected)]]*Table1[[#This Row],[Rate (expected)2]]*0.9</f>
        <v>0</v>
      </c>
      <c r="AD132" s="34">
        <f>Table1[[#This Row],[Quantity (expected)]]*Table1[[#This Row],[Rate (expected)2]]*0.8</f>
        <v>0</v>
      </c>
      <c r="AE132" s="34">
        <f>Table1[[#This Row],[Quantity (expected)]]*Table1[[#This Row],[Rate (expected)2]]*0.7</f>
        <v>0</v>
      </c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1">
        <f>SUM(Table1[[#This Row],[Jan-23]:[Dec-23]])</f>
        <v>0</v>
      </c>
      <c r="AV132" s="105"/>
      <c r="AW132" s="32"/>
      <c r="AX132" s="35"/>
    </row>
    <row r="133" spans="1:50" x14ac:dyDescent="0.3">
      <c r="A133" s="30" t="str">
        <f>VLOOKUP(H133,'Accoount Code Combination'!$D:$L,8,FALSE)</f>
        <v>Student</v>
      </c>
      <c r="B133" s="31" t="str">
        <f>VLOOKUP(Table1[[#This Row],[Account Code]],'Accoount Code Combination'!$D:$L,9,FALSE)</f>
        <v>Activities and Field trips</v>
      </c>
      <c r="C133" s="4" t="str">
        <f>VLOOKUP(Table1[[#This Row],[Cost Center Code]],'Cost Center Group'!A:B,2,FALSE)</f>
        <v>College of Engineering</v>
      </c>
      <c r="D133" s="4">
        <v>847</v>
      </c>
      <c r="E133" s="79">
        <v>8470325</v>
      </c>
      <c r="F133" s="32" t="s">
        <v>186</v>
      </c>
      <c r="G133" s="4">
        <v>1</v>
      </c>
      <c r="H133" s="95">
        <v>425760</v>
      </c>
      <c r="I133" s="106" t="str">
        <f>IFERROR(VLOOKUP(Table1[[#This Row],[Account Code]],'Accoount Code Combination'!$D:$H,2,FALSE),"")</f>
        <v>Student activities &amp; field trip expenses</v>
      </c>
      <c r="J133" s="79">
        <v>8470325</v>
      </c>
      <c r="K133" s="4"/>
      <c r="L133" s="4" t="str">
        <f>IFERROR(VLOOKUP(Table1[[#This Row],[Future-1 Description]],'Other '!E121:$F130,2,FALSE),"")</f>
        <v/>
      </c>
      <c r="M133" s="32"/>
      <c r="N133" s="32"/>
      <c r="O133" s="32"/>
      <c r="P133" s="49">
        <v>0</v>
      </c>
      <c r="Q133" s="49">
        <v>0</v>
      </c>
      <c r="R133" s="32"/>
      <c r="S133" s="4"/>
      <c r="T133" s="32"/>
      <c r="U133" s="32"/>
      <c r="V133" s="32"/>
      <c r="W133" s="32"/>
      <c r="X133" s="33"/>
      <c r="Y133" s="33"/>
      <c r="Z133" s="31">
        <f>Table1[[#This Row],[Quantity of measruing units]]*Table1[[#This Row],[Rate (expected)]]</f>
        <v>0</v>
      </c>
      <c r="AA133" s="31"/>
      <c r="AB133" s="31"/>
      <c r="AC133" s="34">
        <f>Table1[[#This Row],[Quantity (expected)]]*Table1[[#This Row],[Rate (expected)2]]*0.9</f>
        <v>0</v>
      </c>
      <c r="AD133" s="34">
        <f>Table1[[#This Row],[Quantity (expected)]]*Table1[[#This Row],[Rate (expected)2]]*0.8</f>
        <v>0</v>
      </c>
      <c r="AE133" s="34">
        <f>Table1[[#This Row],[Quantity (expected)]]*Table1[[#This Row],[Rate (expected)2]]*0.7</f>
        <v>0</v>
      </c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1">
        <f>SUM(Table1[[#This Row],[Jan-23]:[Dec-23]])</f>
        <v>0</v>
      </c>
      <c r="AV133" s="105"/>
      <c r="AW133" s="32"/>
      <c r="AX133" s="35"/>
    </row>
    <row r="134" spans="1:50" x14ac:dyDescent="0.3">
      <c r="A134" s="30" t="str">
        <f>VLOOKUP(H134,'Accoount Code Combination'!$D:$L,8,FALSE)</f>
        <v>Student</v>
      </c>
      <c r="B134" s="31" t="str">
        <f>VLOOKUP(Table1[[#This Row],[Account Code]],'Accoount Code Combination'!$D:$L,9,FALSE)</f>
        <v>No Applicable</v>
      </c>
      <c r="C134" s="4" t="str">
        <f>VLOOKUP(Table1[[#This Row],[Cost Center Code]],'Cost Center Group'!A:B,2,FALSE)</f>
        <v>College of Engineering</v>
      </c>
      <c r="D134" s="4">
        <v>847</v>
      </c>
      <c r="E134" s="79">
        <v>8470325</v>
      </c>
      <c r="F134" s="32" t="s">
        <v>186</v>
      </c>
      <c r="G134" s="4">
        <v>1</v>
      </c>
      <c r="H134" s="95">
        <v>425763</v>
      </c>
      <c r="I134" s="106" t="str">
        <f>IFERROR(VLOOKUP(Table1[[#This Row],[Account Code]],'Accoount Code Combination'!$D:$H,2,FALSE),"")</f>
        <v>Student Project Expenses</v>
      </c>
      <c r="J134" s="79">
        <v>8470325</v>
      </c>
      <c r="K134" s="4"/>
      <c r="L134" s="4" t="str">
        <f>IFERROR(VLOOKUP(Table1[[#This Row],[Future-1 Description]],'Other '!E122:$F131,2,FALSE),"")</f>
        <v/>
      </c>
      <c r="M134" s="32"/>
      <c r="N134" s="32"/>
      <c r="O134" s="32"/>
      <c r="P134" s="49">
        <v>89791.52</v>
      </c>
      <c r="Q134" s="49">
        <v>35000</v>
      </c>
      <c r="R134" s="32"/>
      <c r="S134" s="4"/>
      <c r="T134" s="32"/>
      <c r="U134" s="32"/>
      <c r="V134" s="32"/>
      <c r="W134" s="32"/>
      <c r="X134" s="33"/>
      <c r="Y134" s="33"/>
      <c r="Z134" s="31">
        <f>Table1[[#This Row],[Quantity of measruing units]]*Table1[[#This Row],[Rate (expected)]]</f>
        <v>0</v>
      </c>
      <c r="AA134" s="31"/>
      <c r="AB134" s="31"/>
      <c r="AC134" s="34">
        <f>Table1[[#This Row],[Quantity (expected)]]*Table1[[#This Row],[Rate (expected)2]]*0.9</f>
        <v>0</v>
      </c>
      <c r="AD134" s="34">
        <f>Table1[[#This Row],[Quantity (expected)]]*Table1[[#This Row],[Rate (expected)2]]*0.8</f>
        <v>0</v>
      </c>
      <c r="AE134" s="34">
        <f>Table1[[#This Row],[Quantity (expected)]]*Table1[[#This Row],[Rate (expected)2]]*0.7</f>
        <v>0</v>
      </c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1">
        <f>SUM(Table1[[#This Row],[Jan-23]:[Dec-23]])</f>
        <v>0</v>
      </c>
      <c r="AV134" s="105"/>
      <c r="AW134" s="32"/>
      <c r="AX134" s="35"/>
    </row>
    <row r="135" spans="1:50" x14ac:dyDescent="0.3">
      <c r="A135" s="30" t="str">
        <f>VLOOKUP(H135,'Accoount Code Combination'!$D:$L,8,FALSE)</f>
        <v>Academic</v>
      </c>
      <c r="B135" s="31" t="str">
        <f>VLOOKUP(Table1[[#This Row],[Account Code]],'Accoount Code Combination'!$D:$L,9,FALSE)</f>
        <v>No Applicable</v>
      </c>
      <c r="C135" s="4" t="str">
        <f>VLOOKUP(Table1[[#This Row],[Cost Center Code]],'Cost Center Group'!A:B,2,FALSE)</f>
        <v>College of Engineering</v>
      </c>
      <c r="D135" s="4">
        <v>847</v>
      </c>
      <c r="E135" s="79">
        <v>8470325</v>
      </c>
      <c r="F135" s="32" t="s">
        <v>186</v>
      </c>
      <c r="G135" s="4">
        <v>1</v>
      </c>
      <c r="H135" s="95">
        <v>425770</v>
      </c>
      <c r="I135" s="106" t="str">
        <f>IFERROR(VLOOKUP(Table1[[#This Row],[Account Code]],'Accoount Code Combination'!$D:$H,2,FALSE),"")</f>
        <v>Academic Missions - Combined expenses</v>
      </c>
      <c r="J135" s="79">
        <v>8470325</v>
      </c>
      <c r="K135" s="4"/>
      <c r="L135" s="4" t="str">
        <f>IFERROR(VLOOKUP(Table1[[#This Row],[Future-1 Description]],'Other '!E123:$F132,2,FALSE),"")</f>
        <v/>
      </c>
      <c r="M135" s="32"/>
      <c r="N135" s="32"/>
      <c r="O135" s="32"/>
      <c r="P135" s="49">
        <v>12268.15</v>
      </c>
      <c r="Q135" s="49">
        <v>0</v>
      </c>
      <c r="R135" s="32"/>
      <c r="S135" s="4"/>
      <c r="T135" s="32"/>
      <c r="U135" s="32"/>
      <c r="V135" s="32"/>
      <c r="W135" s="32"/>
      <c r="X135" s="33"/>
      <c r="Y135" s="33"/>
      <c r="Z135" s="31">
        <f>Table1[[#This Row],[Quantity of measruing units]]*Table1[[#This Row],[Rate (expected)]]</f>
        <v>0</v>
      </c>
      <c r="AA135" s="31"/>
      <c r="AB135" s="31"/>
      <c r="AC135" s="34">
        <f>Table1[[#This Row],[Quantity (expected)]]*Table1[[#This Row],[Rate (expected)2]]*0.9</f>
        <v>0</v>
      </c>
      <c r="AD135" s="34">
        <f>Table1[[#This Row],[Quantity (expected)]]*Table1[[#This Row],[Rate (expected)2]]*0.8</f>
        <v>0</v>
      </c>
      <c r="AE135" s="34">
        <f>Table1[[#This Row],[Quantity (expected)]]*Table1[[#This Row],[Rate (expected)2]]*0.7</f>
        <v>0</v>
      </c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1">
        <f>SUM(Table1[[#This Row],[Jan-23]:[Dec-23]])</f>
        <v>0</v>
      </c>
      <c r="AV135" s="105"/>
      <c r="AW135" s="32"/>
      <c r="AX135" s="35"/>
    </row>
    <row r="136" spans="1:50" x14ac:dyDescent="0.3">
      <c r="A136" s="30" t="str">
        <f>VLOOKUP(H136,'Accoount Code Combination'!$D:$L,8,FALSE)</f>
        <v>Other support</v>
      </c>
      <c r="B136" s="31" t="str">
        <f>VLOOKUP(Table1[[#This Row],[Account Code]],'Accoount Code Combination'!$D:$L,9,FALSE)</f>
        <v>No Applicable</v>
      </c>
      <c r="C136" s="4" t="str">
        <f>VLOOKUP(Table1[[#This Row],[Cost Center Code]],'Cost Center Group'!A:B,2,FALSE)</f>
        <v>College of Engineering</v>
      </c>
      <c r="D136" s="4">
        <v>847</v>
      </c>
      <c r="E136" s="79">
        <v>8470325</v>
      </c>
      <c r="F136" s="32" t="s">
        <v>186</v>
      </c>
      <c r="G136" s="4">
        <v>1</v>
      </c>
      <c r="H136" s="95">
        <v>425900</v>
      </c>
      <c r="I136" s="106" t="str">
        <f>IFERROR(VLOOKUP(Table1[[#This Row],[Account Code]],'Accoount Code Combination'!$D:$H,2,FALSE),"")</f>
        <v>Entertainment and hospitality</v>
      </c>
      <c r="J136" s="79">
        <v>8470325</v>
      </c>
      <c r="K136" s="4"/>
      <c r="L136" s="4" t="str">
        <f>IFERROR(VLOOKUP(Table1[[#This Row],[Future-1 Description]],'Other '!E124:$F133,2,FALSE),"")</f>
        <v/>
      </c>
      <c r="M136" s="32"/>
      <c r="N136" s="32"/>
      <c r="O136" s="32"/>
      <c r="P136" s="49">
        <v>1502.43</v>
      </c>
      <c r="Q136" s="49">
        <v>0</v>
      </c>
      <c r="R136" s="32"/>
      <c r="S136" s="4"/>
      <c r="T136" s="32"/>
      <c r="U136" s="32"/>
      <c r="V136" s="32"/>
      <c r="W136" s="32"/>
      <c r="X136" s="33"/>
      <c r="Y136" s="33"/>
      <c r="Z136" s="31">
        <f>Table1[[#This Row],[Quantity of measruing units]]*Table1[[#This Row],[Rate (expected)]]</f>
        <v>0</v>
      </c>
      <c r="AA136" s="31"/>
      <c r="AB136" s="31"/>
      <c r="AC136" s="34">
        <f>Table1[[#This Row],[Quantity (expected)]]*Table1[[#This Row],[Rate (expected)2]]*0.9</f>
        <v>0</v>
      </c>
      <c r="AD136" s="34">
        <f>Table1[[#This Row],[Quantity (expected)]]*Table1[[#This Row],[Rate (expected)2]]*0.8</f>
        <v>0</v>
      </c>
      <c r="AE136" s="34">
        <f>Table1[[#This Row],[Quantity (expected)]]*Table1[[#This Row],[Rate (expected)2]]*0.7</f>
        <v>0</v>
      </c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1">
        <f>SUM(Table1[[#This Row],[Jan-23]:[Dec-23]])</f>
        <v>0</v>
      </c>
      <c r="AV136" s="105"/>
      <c r="AW136" s="32"/>
      <c r="AX136" s="35"/>
    </row>
    <row r="137" spans="1:50" x14ac:dyDescent="0.3">
      <c r="A137" s="30" t="str">
        <f>VLOOKUP(H137,'Accoount Code Combination'!$D:$L,8,FALSE)</f>
        <v>IT</v>
      </c>
      <c r="B137" s="31" t="str">
        <f>VLOOKUP(Table1[[#This Row],[Account Code]],'Accoount Code Combination'!$D:$L,9,FALSE)</f>
        <v>Software Operating</v>
      </c>
      <c r="C137" s="4" t="str">
        <f>VLOOKUP(Table1[[#This Row],[Cost Center Code]],'Cost Center Group'!A:B,2,FALSE)</f>
        <v>College of Engineering</v>
      </c>
      <c r="D137" s="4">
        <v>847</v>
      </c>
      <c r="E137" s="79">
        <v>8470325</v>
      </c>
      <c r="F137" s="32" t="s">
        <v>186</v>
      </c>
      <c r="G137" s="4">
        <v>1</v>
      </c>
      <c r="H137" s="95">
        <v>426610</v>
      </c>
      <c r="I137" s="106" t="str">
        <f>IFERROR(VLOOKUP(Table1[[#This Row],[Account Code]],'Accoount Code Combination'!$D:$H,2,FALSE),"")</f>
        <v>Computer software licenses</v>
      </c>
      <c r="J137" s="79">
        <v>8470325</v>
      </c>
      <c r="K137" s="4"/>
      <c r="L137" s="4" t="str">
        <f>IFERROR(VLOOKUP(Table1[[#This Row],[Future-1 Description]],'Other '!E125:$F134,2,FALSE),"")</f>
        <v/>
      </c>
      <c r="M137" s="32"/>
      <c r="N137" s="32"/>
      <c r="O137" s="32"/>
      <c r="P137" s="49">
        <v>28271.54</v>
      </c>
      <c r="Q137" s="49">
        <v>0</v>
      </c>
      <c r="R137" s="32"/>
      <c r="S137" s="4"/>
      <c r="T137" s="32"/>
      <c r="U137" s="32"/>
      <c r="V137" s="32"/>
      <c r="W137" s="32"/>
      <c r="X137" s="33"/>
      <c r="Y137" s="33"/>
      <c r="Z137" s="31">
        <f>Table1[[#This Row],[Quantity of measruing units]]*Table1[[#This Row],[Rate (expected)]]</f>
        <v>0</v>
      </c>
      <c r="AA137" s="31"/>
      <c r="AB137" s="31"/>
      <c r="AC137" s="34">
        <f>Table1[[#This Row],[Quantity (expected)]]*Table1[[#This Row],[Rate (expected)2]]*0.9</f>
        <v>0</v>
      </c>
      <c r="AD137" s="34">
        <f>Table1[[#This Row],[Quantity (expected)]]*Table1[[#This Row],[Rate (expected)2]]*0.8</f>
        <v>0</v>
      </c>
      <c r="AE137" s="34">
        <f>Table1[[#This Row],[Quantity (expected)]]*Table1[[#This Row],[Rate (expected)2]]*0.7</f>
        <v>0</v>
      </c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1">
        <f>SUM(Table1[[#This Row],[Jan-23]:[Dec-23]])</f>
        <v>0</v>
      </c>
      <c r="AV137" s="105"/>
      <c r="AW137" s="32"/>
      <c r="AX137" s="35"/>
    </row>
    <row r="138" spans="1:50" x14ac:dyDescent="0.3">
      <c r="A138" s="30" t="str">
        <f>VLOOKUP(H138,'Accoount Code Combination'!$D:$L,8,FALSE)</f>
        <v xml:space="preserve">Academic </v>
      </c>
      <c r="B138" s="31" t="str">
        <f>VLOOKUP(Table1[[#This Row],[Account Code]],'Accoount Code Combination'!$D:$L,9,FALSE)</f>
        <v>No Applicable</v>
      </c>
      <c r="C138" s="4" t="str">
        <f>VLOOKUP(Table1[[#This Row],[Cost Center Code]],'Cost Center Group'!A:B,2,FALSE)</f>
        <v>College of Engineering</v>
      </c>
      <c r="D138" s="4">
        <v>847</v>
      </c>
      <c r="E138" s="79">
        <v>8470325</v>
      </c>
      <c r="F138" s="32" t="s">
        <v>186</v>
      </c>
      <c r="G138" s="4">
        <v>1</v>
      </c>
      <c r="H138" s="95">
        <v>428090</v>
      </c>
      <c r="I138" s="106" t="str">
        <f>IFERROR(VLOOKUP(Table1[[#This Row],[Account Code]],'Accoount Code Combination'!$D:$H,2,FALSE),"")</f>
        <v>Business Travel - Combined expenses</v>
      </c>
      <c r="J138" s="79">
        <v>8470325</v>
      </c>
      <c r="K138" s="4"/>
      <c r="L138" s="4" t="str">
        <f>IFERROR(VLOOKUP(Table1[[#This Row],[Future-1 Description]],'Other '!E126:$F135,2,FALSE),"")</f>
        <v/>
      </c>
      <c r="M138" s="32"/>
      <c r="N138" s="32"/>
      <c r="O138" s="32"/>
      <c r="P138" s="49">
        <v>26476.67</v>
      </c>
      <c r="Q138" s="49">
        <v>0</v>
      </c>
      <c r="R138" s="32"/>
      <c r="S138" s="4"/>
      <c r="T138" s="32"/>
      <c r="U138" s="32"/>
      <c r="V138" s="32"/>
      <c r="W138" s="32"/>
      <c r="X138" s="33"/>
      <c r="Y138" s="33"/>
      <c r="Z138" s="31">
        <f>Table1[[#This Row],[Quantity of measruing units]]*Table1[[#This Row],[Rate (expected)]]</f>
        <v>0</v>
      </c>
      <c r="AA138" s="31"/>
      <c r="AB138" s="31"/>
      <c r="AC138" s="34">
        <f>Table1[[#This Row],[Quantity (expected)]]*Table1[[#This Row],[Rate (expected)2]]*0.9</f>
        <v>0</v>
      </c>
      <c r="AD138" s="34">
        <f>Table1[[#This Row],[Quantity (expected)]]*Table1[[#This Row],[Rate (expected)2]]*0.8</f>
        <v>0</v>
      </c>
      <c r="AE138" s="34">
        <f>Table1[[#This Row],[Quantity (expected)]]*Table1[[#This Row],[Rate (expected)2]]*0.7</f>
        <v>0</v>
      </c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1">
        <f>SUM(Table1[[#This Row],[Jan-23]:[Dec-23]])</f>
        <v>0</v>
      </c>
      <c r="AV138" s="105"/>
      <c r="AW138" s="32"/>
      <c r="AX138" s="35"/>
    </row>
    <row r="139" spans="1:50" x14ac:dyDescent="0.3">
      <c r="A139" s="30" t="str">
        <f>VLOOKUP(H139,'Accoount Code Combination'!$D:$L,8,FALSE)</f>
        <v>Academic</v>
      </c>
      <c r="B139" s="31" t="str">
        <f>VLOOKUP(Table1[[#This Row],[Account Code]],'Accoount Code Combination'!$D:$L,9,FALSE)</f>
        <v>No Applicable</v>
      </c>
      <c r="C139" s="4" t="str">
        <f>VLOOKUP(Table1[[#This Row],[Cost Center Code]],'Cost Center Group'!A:B,2,FALSE)</f>
        <v>College of Engineering</v>
      </c>
      <c r="D139" s="4">
        <v>847</v>
      </c>
      <c r="E139" s="79">
        <v>8470325</v>
      </c>
      <c r="F139" s="32" t="s">
        <v>186</v>
      </c>
      <c r="G139" s="4">
        <v>1</v>
      </c>
      <c r="H139" s="95">
        <v>435350</v>
      </c>
      <c r="I139" s="106" t="str">
        <f>IFERROR(VLOOKUP(Table1[[#This Row],[Account Code]],'Accoount Code Combination'!$D:$H,2,FALSE),"")</f>
        <v>Academic Publications</v>
      </c>
      <c r="J139" s="79">
        <v>8470325</v>
      </c>
      <c r="K139" s="4"/>
      <c r="L139" s="4" t="str">
        <f>IFERROR(VLOOKUP(Table1[[#This Row],[Future-1 Description]],'Other '!E127:$F136,2,FALSE),"")</f>
        <v/>
      </c>
      <c r="M139" s="32"/>
      <c r="N139" s="32"/>
      <c r="O139" s="32"/>
      <c r="P139" s="49">
        <v>0</v>
      </c>
      <c r="Q139" s="49">
        <v>0</v>
      </c>
      <c r="R139" s="32"/>
      <c r="S139" s="4"/>
      <c r="T139" s="32"/>
      <c r="U139" s="32"/>
      <c r="V139" s="32"/>
      <c r="W139" s="32"/>
      <c r="X139" s="33"/>
      <c r="Y139" s="33"/>
      <c r="Z139" s="31">
        <f>Table1[[#This Row],[Quantity of measruing units]]*Table1[[#This Row],[Rate (expected)]]</f>
        <v>0</v>
      </c>
      <c r="AA139" s="31"/>
      <c r="AB139" s="31"/>
      <c r="AC139" s="34">
        <f>Table1[[#This Row],[Quantity (expected)]]*Table1[[#This Row],[Rate (expected)2]]*0.9</f>
        <v>0</v>
      </c>
      <c r="AD139" s="34">
        <f>Table1[[#This Row],[Quantity (expected)]]*Table1[[#This Row],[Rate (expected)2]]*0.8</f>
        <v>0</v>
      </c>
      <c r="AE139" s="34">
        <f>Table1[[#This Row],[Quantity (expected)]]*Table1[[#This Row],[Rate (expected)2]]*0.7</f>
        <v>0</v>
      </c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1">
        <f>SUM(Table1[[#This Row],[Jan-23]:[Dec-23]])</f>
        <v>0</v>
      </c>
      <c r="AV139" s="105"/>
      <c r="AW139" s="32"/>
      <c r="AX139" s="35"/>
    </row>
    <row r="140" spans="1:50" x14ac:dyDescent="0.3">
      <c r="A140" s="30" t="str">
        <f>VLOOKUP(H140,'Accoount Code Combination'!$D:$L,8,FALSE)</f>
        <v>Academic</v>
      </c>
      <c r="B140" s="31" t="str">
        <f>VLOOKUP(Table1[[#This Row],[Account Code]],'Accoount Code Combination'!$D:$L,9,FALSE)</f>
        <v>No Applicable</v>
      </c>
      <c r="C140" s="4" t="str">
        <f>VLOOKUP(Table1[[#This Row],[Cost Center Code]],'Cost Center Group'!A:B,2,FALSE)</f>
        <v>College of Engineering</v>
      </c>
      <c r="D140" s="4">
        <v>847</v>
      </c>
      <c r="E140" s="79">
        <v>8470325</v>
      </c>
      <c r="F140" s="32" t="s">
        <v>186</v>
      </c>
      <c r="G140" s="4">
        <v>1</v>
      </c>
      <c r="H140" s="95">
        <v>435508</v>
      </c>
      <c r="I140" s="106" t="str">
        <f>IFERROR(VLOOKUP(Table1[[#This Row],[Account Code]],'Accoount Code Combination'!$D:$H,2,FALSE),"")</f>
        <v>Laboratory - Scientific</v>
      </c>
      <c r="J140" s="79">
        <v>8470325</v>
      </c>
      <c r="K140" s="4"/>
      <c r="L140" s="4" t="str">
        <f>IFERROR(VLOOKUP(Table1[[#This Row],[Future-1 Description]],'Other '!E128:$F137,2,FALSE),"")</f>
        <v/>
      </c>
      <c r="M140" s="32"/>
      <c r="N140" s="32"/>
      <c r="O140" s="32"/>
      <c r="P140" s="49">
        <v>54573.2</v>
      </c>
      <c r="Q140" s="49">
        <v>34350</v>
      </c>
      <c r="R140" s="32"/>
      <c r="S140" s="4"/>
      <c r="T140" s="32"/>
      <c r="U140" s="32"/>
      <c r="V140" s="32"/>
      <c r="W140" s="32"/>
      <c r="X140" s="33"/>
      <c r="Y140" s="33"/>
      <c r="Z140" s="31">
        <f>Table1[[#This Row],[Quantity of measruing units]]*Table1[[#This Row],[Rate (expected)]]</f>
        <v>0</v>
      </c>
      <c r="AA140" s="31"/>
      <c r="AB140" s="31"/>
      <c r="AC140" s="34">
        <f>Table1[[#This Row],[Quantity (expected)]]*Table1[[#This Row],[Rate (expected)2]]*0.9</f>
        <v>0</v>
      </c>
      <c r="AD140" s="34">
        <f>Table1[[#This Row],[Quantity (expected)]]*Table1[[#This Row],[Rate (expected)2]]*0.8</f>
        <v>0</v>
      </c>
      <c r="AE140" s="34">
        <f>Table1[[#This Row],[Quantity (expected)]]*Table1[[#This Row],[Rate (expected)2]]*0.7</f>
        <v>0</v>
      </c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1">
        <f>SUM(Table1[[#This Row],[Jan-23]:[Dec-23]])</f>
        <v>0</v>
      </c>
      <c r="AV140" s="105"/>
      <c r="AW140" s="32"/>
      <c r="AX140" s="35"/>
    </row>
    <row r="141" spans="1:50" x14ac:dyDescent="0.3">
      <c r="A141" s="30" t="str">
        <f>VLOOKUP(H141,'Accoount Code Combination'!$D:$L,8,FALSE)</f>
        <v>Other support</v>
      </c>
      <c r="B141" s="31" t="str">
        <f>VLOOKUP(Table1[[#This Row],[Account Code]],'Accoount Code Combination'!$D:$L,9,FALSE)</f>
        <v>No Applicable</v>
      </c>
      <c r="C141" s="4" t="str">
        <f>VLOOKUP(Table1[[#This Row],[Cost Center Code]],'Cost Center Group'!A:B,2,FALSE)</f>
        <v>College of Engineering</v>
      </c>
      <c r="D141" s="4">
        <v>847</v>
      </c>
      <c r="E141" s="79">
        <v>8470325</v>
      </c>
      <c r="F141" s="32" t="s">
        <v>186</v>
      </c>
      <c r="G141" s="4">
        <v>1</v>
      </c>
      <c r="H141" s="95">
        <v>436110</v>
      </c>
      <c r="I141" s="106" t="str">
        <f>IFERROR(VLOOKUP(Table1[[#This Row],[Account Code]],'Accoount Code Combination'!$D:$H,2,FALSE),"")</f>
        <v>Printing supplies</v>
      </c>
      <c r="J141" s="79">
        <v>8470325</v>
      </c>
      <c r="K141" s="4"/>
      <c r="L141" s="4" t="str">
        <f>IFERROR(VLOOKUP(Table1[[#This Row],[Future-1 Description]],'Other '!E129:$F138,2,FALSE),"")</f>
        <v/>
      </c>
      <c r="M141" s="32"/>
      <c r="N141" s="32"/>
      <c r="O141" s="32"/>
      <c r="P141" s="49">
        <v>0</v>
      </c>
      <c r="Q141" s="49">
        <v>0</v>
      </c>
      <c r="R141" s="32"/>
      <c r="S141" s="4"/>
      <c r="T141" s="32"/>
      <c r="U141" s="32"/>
      <c r="V141" s="32"/>
      <c r="W141" s="32"/>
      <c r="X141" s="33"/>
      <c r="Y141" s="33"/>
      <c r="Z141" s="31">
        <f>Table1[[#This Row],[Quantity of measruing units]]*Table1[[#This Row],[Rate (expected)]]</f>
        <v>0</v>
      </c>
      <c r="AA141" s="31"/>
      <c r="AB141" s="31"/>
      <c r="AC141" s="34">
        <f>Table1[[#This Row],[Quantity (expected)]]*Table1[[#This Row],[Rate (expected)2]]*0.9</f>
        <v>0</v>
      </c>
      <c r="AD141" s="34">
        <f>Table1[[#This Row],[Quantity (expected)]]*Table1[[#This Row],[Rate (expected)2]]*0.8</f>
        <v>0</v>
      </c>
      <c r="AE141" s="34">
        <f>Table1[[#This Row],[Quantity (expected)]]*Table1[[#This Row],[Rate (expected)2]]*0.7</f>
        <v>0</v>
      </c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1">
        <f>SUM(Table1[[#This Row],[Jan-23]:[Dec-23]])</f>
        <v>0</v>
      </c>
      <c r="AV141" s="105"/>
      <c r="AW141" s="32"/>
      <c r="AX141" s="35"/>
    </row>
    <row r="142" spans="1:50" ht="26" x14ac:dyDescent="0.3">
      <c r="A142" s="30" t="str">
        <f>VLOOKUP(H142,'Accoount Code Combination'!$D:$L,8,FALSE)</f>
        <v>Academic</v>
      </c>
      <c r="B142" s="31" t="str">
        <f>VLOOKUP(Table1[[#This Row],[Account Code]],'Accoount Code Combination'!$D:$L,9,FALSE)</f>
        <v>No Applicable</v>
      </c>
      <c r="C142" s="4" t="str">
        <f>VLOOKUP(Table1[[#This Row],[Cost Center Code]],'Cost Center Group'!A:B,2,FALSE)</f>
        <v>College of Engineering</v>
      </c>
      <c r="D142" s="4">
        <v>847</v>
      </c>
      <c r="E142" s="79">
        <v>8470325</v>
      </c>
      <c r="F142" s="32" t="s">
        <v>186</v>
      </c>
      <c r="G142" s="4">
        <v>1</v>
      </c>
      <c r="H142" s="95">
        <v>436600</v>
      </c>
      <c r="I142" s="106" t="str">
        <f>IFERROR(VLOOKUP(Table1[[#This Row],[Account Code]],'Accoount Code Combination'!$D:$H,2,FALSE),"")</f>
        <v>Training/Teaching equipment and other educational aid</v>
      </c>
      <c r="J142" s="79">
        <v>8470325</v>
      </c>
      <c r="K142" s="4"/>
      <c r="L142" s="4" t="str">
        <f>IFERROR(VLOOKUP(Table1[[#This Row],[Future-1 Description]],'Other '!E130:$F139,2,FALSE),"")</f>
        <v/>
      </c>
      <c r="M142" s="32"/>
      <c r="N142" s="32"/>
      <c r="O142" s="32"/>
      <c r="P142" s="49">
        <v>0</v>
      </c>
      <c r="Q142" s="49">
        <v>0</v>
      </c>
      <c r="R142" s="32"/>
      <c r="S142" s="4"/>
      <c r="T142" s="32"/>
      <c r="U142" s="32"/>
      <c r="V142" s="32"/>
      <c r="W142" s="32"/>
      <c r="X142" s="33"/>
      <c r="Y142" s="33"/>
      <c r="Z142" s="31">
        <f>Table1[[#This Row],[Quantity of measruing units]]*Table1[[#This Row],[Rate (expected)]]</f>
        <v>0</v>
      </c>
      <c r="AA142" s="31"/>
      <c r="AB142" s="31"/>
      <c r="AC142" s="34">
        <f>Table1[[#This Row],[Quantity (expected)]]*Table1[[#This Row],[Rate (expected)2]]*0.9</f>
        <v>0</v>
      </c>
      <c r="AD142" s="34">
        <f>Table1[[#This Row],[Quantity (expected)]]*Table1[[#This Row],[Rate (expected)2]]*0.8</f>
        <v>0</v>
      </c>
      <c r="AE142" s="34">
        <f>Table1[[#This Row],[Quantity (expected)]]*Table1[[#This Row],[Rate (expected)2]]*0.7</f>
        <v>0</v>
      </c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1">
        <f>SUM(Table1[[#This Row],[Jan-23]:[Dec-23]])</f>
        <v>0</v>
      </c>
      <c r="AV142" s="105"/>
      <c r="AW142" s="32"/>
      <c r="AX142" s="35"/>
    </row>
    <row r="143" spans="1:50" x14ac:dyDescent="0.3">
      <c r="A143" s="30">
        <f>VLOOKUP(H143,'Accoount Code Combination'!$D:$L,8,FALSE)</f>
        <v>0</v>
      </c>
      <c r="B143" s="31" t="str">
        <f>VLOOKUP(Table1[[#This Row],[Account Code]],'Accoount Code Combination'!$D:$L,9,FALSE)</f>
        <v>Building Improvements</v>
      </c>
      <c r="C143" s="4" t="str">
        <f>VLOOKUP(Table1[[#This Row],[Cost Center Code]],'Cost Center Group'!A:B,2,FALSE)</f>
        <v>College of Engineering</v>
      </c>
      <c r="D143" s="4">
        <v>847</v>
      </c>
      <c r="E143" s="79">
        <v>8470325</v>
      </c>
      <c r="F143" s="32" t="s">
        <v>186</v>
      </c>
      <c r="G143" s="4">
        <v>1</v>
      </c>
      <c r="H143" s="95">
        <v>492200</v>
      </c>
      <c r="I143" s="106" t="str">
        <f>IFERROR(VLOOKUP(Table1[[#This Row],[Account Code]],'Accoount Code Combination'!$D:$H,2,FALSE),"")</f>
        <v>Capital expense - Buildings</v>
      </c>
      <c r="J143" s="79">
        <v>8470325</v>
      </c>
      <c r="K143" s="4"/>
      <c r="L143" s="4" t="str">
        <f>IFERROR(VLOOKUP(Table1[[#This Row],[Future-1 Description]],'Other '!E131:$F140,2,FALSE),"")</f>
        <v/>
      </c>
      <c r="M143" s="32"/>
      <c r="N143" s="32"/>
      <c r="O143" s="32"/>
      <c r="P143" s="49">
        <v>817887</v>
      </c>
      <c r="Q143" s="49">
        <v>0</v>
      </c>
      <c r="R143" s="32"/>
      <c r="S143" s="4"/>
      <c r="T143" s="32"/>
      <c r="U143" s="32"/>
      <c r="V143" s="32"/>
      <c r="W143" s="32"/>
      <c r="X143" s="33"/>
      <c r="Y143" s="33"/>
      <c r="Z143" s="31">
        <f>Table1[[#This Row],[Quantity of measruing units]]*Table1[[#This Row],[Rate (expected)]]</f>
        <v>0</v>
      </c>
      <c r="AA143" s="31"/>
      <c r="AB143" s="31"/>
      <c r="AC143" s="34">
        <f>Table1[[#This Row],[Quantity (expected)]]*Table1[[#This Row],[Rate (expected)2]]*0.9</f>
        <v>0</v>
      </c>
      <c r="AD143" s="34">
        <f>Table1[[#This Row],[Quantity (expected)]]*Table1[[#This Row],[Rate (expected)2]]*0.8</f>
        <v>0</v>
      </c>
      <c r="AE143" s="34">
        <f>Table1[[#This Row],[Quantity (expected)]]*Table1[[#This Row],[Rate (expected)2]]*0.7</f>
        <v>0</v>
      </c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1">
        <f>SUM(Table1[[#This Row],[Jan-23]:[Dec-23]])</f>
        <v>0</v>
      </c>
      <c r="AV143" s="105"/>
      <c r="AW143" s="32"/>
      <c r="AX143" s="35"/>
    </row>
    <row r="144" spans="1:50" x14ac:dyDescent="0.3">
      <c r="A144" s="30">
        <f>VLOOKUP(H144,'Accoount Code Combination'!$D:$L,8,FALSE)</f>
        <v>0</v>
      </c>
      <c r="B144" s="31" t="str">
        <f>VLOOKUP(Table1[[#This Row],[Account Code]],'Accoount Code Combination'!$D:$L,9,FALSE)</f>
        <v>No Applicable</v>
      </c>
      <c r="C144" s="4" t="str">
        <f>VLOOKUP(Table1[[#This Row],[Cost Center Code]],'Cost Center Group'!A:B,2,FALSE)</f>
        <v>College of Engineering</v>
      </c>
      <c r="D144" s="4">
        <v>847</v>
      </c>
      <c r="E144" s="79">
        <v>8470325</v>
      </c>
      <c r="F144" s="32" t="s">
        <v>186</v>
      </c>
      <c r="G144" s="4">
        <v>1</v>
      </c>
      <c r="H144" s="95">
        <v>492316</v>
      </c>
      <c r="I144" s="106" t="str">
        <f>IFERROR(VLOOKUP(Table1[[#This Row],[Account Code]],'Accoount Code Combination'!$D:$H,2,FALSE),"")</f>
        <v>Laboratory equipment</v>
      </c>
      <c r="J144" s="79">
        <v>8470325</v>
      </c>
      <c r="K144" s="4"/>
      <c r="L144" s="4" t="str">
        <f>IFERROR(VLOOKUP(Table1[[#This Row],[Future-1 Description]],'Other '!E132:$F141,2,FALSE),"")</f>
        <v/>
      </c>
      <c r="M144" s="32"/>
      <c r="N144" s="32"/>
      <c r="O144" s="32"/>
      <c r="P144" s="49">
        <v>707801.04</v>
      </c>
      <c r="Q144" s="49">
        <v>224144</v>
      </c>
      <c r="R144" s="32"/>
      <c r="S144" s="4"/>
      <c r="T144" s="32"/>
      <c r="U144" s="32"/>
      <c r="V144" s="32"/>
      <c r="W144" s="32"/>
      <c r="X144" s="33"/>
      <c r="Y144" s="33"/>
      <c r="Z144" s="31">
        <f>Table1[[#This Row],[Quantity of measruing units]]*Table1[[#This Row],[Rate (expected)]]</f>
        <v>0</v>
      </c>
      <c r="AA144" s="31"/>
      <c r="AB144" s="31"/>
      <c r="AC144" s="34">
        <f>Table1[[#This Row],[Quantity (expected)]]*Table1[[#This Row],[Rate (expected)2]]*0.9</f>
        <v>0</v>
      </c>
      <c r="AD144" s="34">
        <f>Table1[[#This Row],[Quantity (expected)]]*Table1[[#This Row],[Rate (expected)2]]*0.8</f>
        <v>0</v>
      </c>
      <c r="AE144" s="34">
        <f>Table1[[#This Row],[Quantity (expected)]]*Table1[[#This Row],[Rate (expected)2]]*0.7</f>
        <v>0</v>
      </c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1">
        <f>SUM(Table1[[#This Row],[Jan-23]:[Dec-23]])</f>
        <v>0</v>
      </c>
      <c r="AV144" s="105"/>
      <c r="AW144" s="32"/>
      <c r="AX144" s="35"/>
    </row>
    <row r="145" spans="1:50" x14ac:dyDescent="0.3">
      <c r="A145" s="30" t="str">
        <f>VLOOKUP(H145,'Accoount Code Combination'!$D:$L,8,FALSE)</f>
        <v>Academic</v>
      </c>
      <c r="B145" s="31" t="str">
        <f>VLOOKUP(Table1[[#This Row],[Account Code]],'Accoount Code Combination'!$D:$L,9,FALSE)</f>
        <v>No Applicable</v>
      </c>
      <c r="C145" s="4" t="str">
        <f>VLOOKUP(Table1[[#This Row],[Cost Center Code]],'Cost Center Group'!A:B,2,FALSE)</f>
        <v>College of Engineering</v>
      </c>
      <c r="D145" s="4">
        <v>847</v>
      </c>
      <c r="E145" s="79">
        <v>8470330</v>
      </c>
      <c r="F145" s="32" t="s">
        <v>268</v>
      </c>
      <c r="G145" s="4">
        <v>1</v>
      </c>
      <c r="H145" s="95">
        <v>421700</v>
      </c>
      <c r="I145" s="106" t="str">
        <f>IFERROR(VLOOKUP(Table1[[#This Row],[Account Code]],'Accoount Code Combination'!$D:$H,2,FALSE),"")</f>
        <v>Standards certification (e.g. ISO)</v>
      </c>
      <c r="J145" s="79">
        <v>8470330</v>
      </c>
      <c r="K145" s="4"/>
      <c r="L145" s="4" t="str">
        <f>IFERROR(VLOOKUP(Table1[[#This Row],[Future-1 Description]],'Other '!E133:$F142,2,FALSE),"")</f>
        <v/>
      </c>
      <c r="M145" s="32"/>
      <c r="N145" s="32"/>
      <c r="O145" s="32"/>
      <c r="P145" s="49">
        <v>52799.38</v>
      </c>
      <c r="Q145" s="49">
        <v>0</v>
      </c>
      <c r="R145" s="32"/>
      <c r="S145" s="4"/>
      <c r="T145" s="32"/>
      <c r="U145" s="32"/>
      <c r="V145" s="32"/>
      <c r="W145" s="32"/>
      <c r="X145" s="33"/>
      <c r="Y145" s="33"/>
      <c r="Z145" s="31">
        <f>Table1[[#This Row],[Quantity of measruing units]]*Table1[[#This Row],[Rate (expected)]]</f>
        <v>0</v>
      </c>
      <c r="AA145" s="31"/>
      <c r="AB145" s="31"/>
      <c r="AC145" s="34">
        <f>Table1[[#This Row],[Quantity (expected)]]*Table1[[#This Row],[Rate (expected)2]]*0.9</f>
        <v>0</v>
      </c>
      <c r="AD145" s="34">
        <f>Table1[[#This Row],[Quantity (expected)]]*Table1[[#This Row],[Rate (expected)2]]*0.8</f>
        <v>0</v>
      </c>
      <c r="AE145" s="34">
        <f>Table1[[#This Row],[Quantity (expected)]]*Table1[[#This Row],[Rate (expected)2]]*0.7</f>
        <v>0</v>
      </c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1">
        <f>SUM(Table1[[#This Row],[Jan-23]:[Dec-23]])</f>
        <v>0</v>
      </c>
      <c r="AV145" s="105"/>
      <c r="AW145" s="32"/>
      <c r="AX145" s="35"/>
    </row>
    <row r="146" spans="1:50" ht="26" x14ac:dyDescent="0.3">
      <c r="A146" s="30" t="str">
        <f>VLOOKUP(H146,'Accoount Code Combination'!$D:$L,8,FALSE)</f>
        <v>Communiction &amp; Marketing</v>
      </c>
      <c r="B146" s="31" t="str">
        <f>VLOOKUP(Table1[[#This Row],[Account Code]],'Accoount Code Combination'!$D:$L,9,FALSE)</f>
        <v>Events</v>
      </c>
      <c r="C146" s="4" t="str">
        <f>VLOOKUP(Table1[[#This Row],[Cost Center Code]],'Cost Center Group'!A:B,2,FALSE)</f>
        <v>College of Engineering</v>
      </c>
      <c r="D146" s="4">
        <v>847</v>
      </c>
      <c r="E146" s="79">
        <v>8470330</v>
      </c>
      <c r="F146" s="32" t="s">
        <v>268</v>
      </c>
      <c r="G146" s="4">
        <v>1</v>
      </c>
      <c r="H146" s="95">
        <v>425510</v>
      </c>
      <c r="I146" s="106" t="str">
        <f>IFERROR(VLOOKUP(Table1[[#This Row],[Account Code]],'Accoount Code Combination'!$D:$H,2,FALSE),"")</f>
        <v>Conferences, seminars and exhibitions and other events: - Local Events</v>
      </c>
      <c r="J146" s="79">
        <v>8470330</v>
      </c>
      <c r="K146" s="4"/>
      <c r="L146" s="4" t="str">
        <f>IFERROR(VLOOKUP(Table1[[#This Row],[Future-1 Description]],'Other '!E134:$F143,2,FALSE),"")</f>
        <v/>
      </c>
      <c r="M146" s="32"/>
      <c r="N146" s="32"/>
      <c r="O146" s="32"/>
      <c r="P146" s="49">
        <v>2185</v>
      </c>
      <c r="Q146" s="49">
        <v>0</v>
      </c>
      <c r="R146" s="32"/>
      <c r="S146" s="4"/>
      <c r="T146" s="32"/>
      <c r="U146" s="32"/>
      <c r="V146" s="32"/>
      <c r="W146" s="32"/>
      <c r="X146" s="33"/>
      <c r="Y146" s="33"/>
      <c r="Z146" s="31">
        <f>Table1[[#This Row],[Quantity of measruing units]]*Table1[[#This Row],[Rate (expected)]]</f>
        <v>0</v>
      </c>
      <c r="AA146" s="31"/>
      <c r="AB146" s="31"/>
      <c r="AC146" s="34">
        <f>Table1[[#This Row],[Quantity (expected)]]*Table1[[#This Row],[Rate (expected)2]]*0.9</f>
        <v>0</v>
      </c>
      <c r="AD146" s="34">
        <f>Table1[[#This Row],[Quantity (expected)]]*Table1[[#This Row],[Rate (expected)2]]*0.8</f>
        <v>0</v>
      </c>
      <c r="AE146" s="34">
        <f>Table1[[#This Row],[Quantity (expected)]]*Table1[[#This Row],[Rate (expected)2]]*0.7</f>
        <v>0</v>
      </c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1">
        <f>SUM(Table1[[#This Row],[Jan-23]:[Dec-23]])</f>
        <v>0</v>
      </c>
      <c r="AV146" s="105"/>
      <c r="AW146" s="32"/>
      <c r="AX146" s="35"/>
    </row>
    <row r="147" spans="1:50" x14ac:dyDescent="0.3">
      <c r="A147" s="30" t="str">
        <f>VLOOKUP(H147,'Accoount Code Combination'!$D:$L,8,FALSE)</f>
        <v>Student</v>
      </c>
      <c r="B147" s="31" t="str">
        <f>VLOOKUP(Table1[[#This Row],[Account Code]],'Accoount Code Combination'!$D:$L,9,FALSE)</f>
        <v>Activities and Field trips</v>
      </c>
      <c r="C147" s="4" t="str">
        <f>VLOOKUP(Table1[[#This Row],[Cost Center Code]],'Cost Center Group'!A:B,2,FALSE)</f>
        <v>College of Engineering</v>
      </c>
      <c r="D147" s="4">
        <v>847</v>
      </c>
      <c r="E147" s="79">
        <v>8470330</v>
      </c>
      <c r="F147" s="32" t="s">
        <v>268</v>
      </c>
      <c r="G147" s="4">
        <v>1</v>
      </c>
      <c r="H147" s="95">
        <v>425760</v>
      </c>
      <c r="I147" s="106" t="str">
        <f>IFERROR(VLOOKUP(Table1[[#This Row],[Account Code]],'Accoount Code Combination'!$D:$H,2,FALSE),"")</f>
        <v>Student activities &amp; field trip expenses</v>
      </c>
      <c r="J147" s="79">
        <v>8470330</v>
      </c>
      <c r="K147" s="4"/>
      <c r="L147" s="4" t="str">
        <f>IFERROR(VLOOKUP(Table1[[#This Row],[Future-1 Description]],'Other '!E135:$F144,2,FALSE),"")</f>
        <v/>
      </c>
      <c r="M147" s="32"/>
      <c r="N147" s="32"/>
      <c r="O147" s="32"/>
      <c r="P147" s="49">
        <v>0</v>
      </c>
      <c r="Q147" s="49">
        <v>0</v>
      </c>
      <c r="R147" s="32"/>
      <c r="S147" s="4"/>
      <c r="T147" s="32"/>
      <c r="U147" s="32"/>
      <c r="V147" s="32"/>
      <c r="W147" s="32"/>
      <c r="X147" s="33"/>
      <c r="Y147" s="33"/>
      <c r="Z147" s="31">
        <f>Table1[[#This Row],[Quantity of measruing units]]*Table1[[#This Row],[Rate (expected)]]</f>
        <v>0</v>
      </c>
      <c r="AA147" s="31"/>
      <c r="AB147" s="31"/>
      <c r="AC147" s="34">
        <f>Table1[[#This Row],[Quantity (expected)]]*Table1[[#This Row],[Rate (expected)2]]*0.9</f>
        <v>0</v>
      </c>
      <c r="AD147" s="34">
        <f>Table1[[#This Row],[Quantity (expected)]]*Table1[[#This Row],[Rate (expected)2]]*0.8</f>
        <v>0</v>
      </c>
      <c r="AE147" s="34">
        <f>Table1[[#This Row],[Quantity (expected)]]*Table1[[#This Row],[Rate (expected)2]]*0.7</f>
        <v>0</v>
      </c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1">
        <f>SUM(Table1[[#This Row],[Jan-23]:[Dec-23]])</f>
        <v>0</v>
      </c>
      <c r="AV147" s="105"/>
      <c r="AW147" s="32"/>
      <c r="AX147" s="35"/>
    </row>
    <row r="148" spans="1:50" x14ac:dyDescent="0.3">
      <c r="A148" s="30" t="str">
        <f>VLOOKUP(H148,'Accoount Code Combination'!$D:$L,8,FALSE)</f>
        <v>Academic</v>
      </c>
      <c r="B148" s="31" t="str">
        <f>VLOOKUP(Table1[[#This Row],[Account Code]],'Accoount Code Combination'!$D:$L,9,FALSE)</f>
        <v>No Applicable</v>
      </c>
      <c r="C148" s="4" t="str">
        <f>VLOOKUP(Table1[[#This Row],[Cost Center Code]],'Cost Center Group'!A:B,2,FALSE)</f>
        <v>College of Engineering</v>
      </c>
      <c r="D148" s="4">
        <v>847</v>
      </c>
      <c r="E148" s="79">
        <v>8470330</v>
      </c>
      <c r="F148" s="32" t="s">
        <v>268</v>
      </c>
      <c r="G148" s="4">
        <v>1</v>
      </c>
      <c r="H148" s="95">
        <v>425761</v>
      </c>
      <c r="I148" s="106" t="str">
        <f>IFERROR(VLOOKUP(Table1[[#This Row],[Account Code]],'Accoount Code Combination'!$D:$H,2,FALSE),"")</f>
        <v>Student Field trips</v>
      </c>
      <c r="J148" s="79">
        <v>8470330</v>
      </c>
      <c r="K148" s="4"/>
      <c r="L148" s="4" t="str">
        <f>IFERROR(VLOOKUP(Table1[[#This Row],[Future-1 Description]],'Other '!E136:$F145,2,FALSE),"")</f>
        <v/>
      </c>
      <c r="M148" s="32"/>
      <c r="N148" s="32"/>
      <c r="O148" s="32"/>
      <c r="P148" s="49">
        <v>-3000</v>
      </c>
      <c r="Q148" s="49">
        <v>0</v>
      </c>
      <c r="R148" s="32"/>
      <c r="S148" s="4"/>
      <c r="T148" s="32"/>
      <c r="U148" s="32"/>
      <c r="V148" s="32"/>
      <c r="W148" s="32"/>
      <c r="X148" s="33"/>
      <c r="Y148" s="33"/>
      <c r="Z148" s="31">
        <f>Table1[[#This Row],[Quantity of measruing units]]*Table1[[#This Row],[Rate (expected)]]</f>
        <v>0</v>
      </c>
      <c r="AA148" s="31"/>
      <c r="AB148" s="31"/>
      <c r="AC148" s="34">
        <f>Table1[[#This Row],[Quantity (expected)]]*Table1[[#This Row],[Rate (expected)2]]*0.9</f>
        <v>0</v>
      </c>
      <c r="AD148" s="34">
        <f>Table1[[#This Row],[Quantity (expected)]]*Table1[[#This Row],[Rate (expected)2]]*0.8</f>
        <v>0</v>
      </c>
      <c r="AE148" s="34">
        <f>Table1[[#This Row],[Quantity (expected)]]*Table1[[#This Row],[Rate (expected)2]]*0.7</f>
        <v>0</v>
      </c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1">
        <f>SUM(Table1[[#This Row],[Jan-23]:[Dec-23]])</f>
        <v>0</v>
      </c>
      <c r="AV148" s="105"/>
      <c r="AW148" s="32"/>
      <c r="AX148" s="35"/>
    </row>
    <row r="149" spans="1:50" x14ac:dyDescent="0.3">
      <c r="A149" s="30" t="str">
        <f>VLOOKUP(H149,'Accoount Code Combination'!$D:$L,8,FALSE)</f>
        <v>Student</v>
      </c>
      <c r="B149" s="31" t="str">
        <f>VLOOKUP(Table1[[#This Row],[Account Code]],'Accoount Code Combination'!$D:$L,9,FALSE)</f>
        <v>No Applicable</v>
      </c>
      <c r="C149" s="4" t="str">
        <f>VLOOKUP(Table1[[#This Row],[Cost Center Code]],'Cost Center Group'!A:B,2,FALSE)</f>
        <v>College of Engineering</v>
      </c>
      <c r="D149" s="4">
        <v>847</v>
      </c>
      <c r="E149" s="79">
        <v>8470330</v>
      </c>
      <c r="F149" s="32" t="s">
        <v>268</v>
      </c>
      <c r="G149" s="4">
        <v>1</v>
      </c>
      <c r="H149" s="95">
        <v>425763</v>
      </c>
      <c r="I149" s="106" t="str">
        <f>IFERROR(VLOOKUP(Table1[[#This Row],[Account Code]],'Accoount Code Combination'!$D:$H,2,FALSE),"")</f>
        <v>Student Project Expenses</v>
      </c>
      <c r="J149" s="79">
        <v>8470330</v>
      </c>
      <c r="K149" s="4"/>
      <c r="L149" s="4" t="str">
        <f>IFERROR(VLOOKUP(Table1[[#This Row],[Future-1 Description]],'Other '!E137:$F146,2,FALSE),"")</f>
        <v/>
      </c>
      <c r="M149" s="32"/>
      <c r="N149" s="32"/>
      <c r="O149" s="32"/>
      <c r="P149" s="49">
        <v>217038</v>
      </c>
      <c r="Q149" s="49">
        <v>180000</v>
      </c>
      <c r="R149" s="32"/>
      <c r="S149" s="4"/>
      <c r="T149" s="32"/>
      <c r="U149" s="32"/>
      <c r="V149" s="32"/>
      <c r="W149" s="32"/>
      <c r="X149" s="33"/>
      <c r="Y149" s="33"/>
      <c r="Z149" s="31">
        <f>Table1[[#This Row],[Quantity of measruing units]]*Table1[[#This Row],[Rate (expected)]]</f>
        <v>0</v>
      </c>
      <c r="AA149" s="31"/>
      <c r="AB149" s="31"/>
      <c r="AC149" s="34">
        <f>Table1[[#This Row],[Quantity (expected)]]*Table1[[#This Row],[Rate (expected)2]]*0.9</f>
        <v>0</v>
      </c>
      <c r="AD149" s="34">
        <f>Table1[[#This Row],[Quantity (expected)]]*Table1[[#This Row],[Rate (expected)2]]*0.8</f>
        <v>0</v>
      </c>
      <c r="AE149" s="34">
        <f>Table1[[#This Row],[Quantity (expected)]]*Table1[[#This Row],[Rate (expected)2]]*0.7</f>
        <v>0</v>
      </c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1">
        <f>SUM(Table1[[#This Row],[Jan-23]:[Dec-23]])</f>
        <v>0</v>
      </c>
      <c r="AV149" s="105"/>
      <c r="AW149" s="32"/>
      <c r="AX149" s="35"/>
    </row>
    <row r="150" spans="1:50" x14ac:dyDescent="0.3">
      <c r="A150" s="30" t="str">
        <f>VLOOKUP(H150,'Accoount Code Combination'!$D:$L,8,FALSE)</f>
        <v>Academic</v>
      </c>
      <c r="B150" s="31" t="str">
        <f>VLOOKUP(Table1[[#This Row],[Account Code]],'Accoount Code Combination'!$D:$L,9,FALSE)</f>
        <v>No Applicable</v>
      </c>
      <c r="C150" s="4" t="str">
        <f>VLOOKUP(Table1[[#This Row],[Cost Center Code]],'Cost Center Group'!A:B,2,FALSE)</f>
        <v>College of Engineering</v>
      </c>
      <c r="D150" s="4">
        <v>847</v>
      </c>
      <c r="E150" s="79">
        <v>8470330</v>
      </c>
      <c r="F150" s="32" t="s">
        <v>268</v>
      </c>
      <c r="G150" s="4">
        <v>1</v>
      </c>
      <c r="H150" s="95">
        <v>425770</v>
      </c>
      <c r="I150" s="106" t="str">
        <f>IFERROR(VLOOKUP(Table1[[#This Row],[Account Code]],'Accoount Code Combination'!$D:$H,2,FALSE),"")</f>
        <v>Academic Missions - Combined expenses</v>
      </c>
      <c r="J150" s="79">
        <v>8470330</v>
      </c>
      <c r="K150" s="4"/>
      <c r="L150" s="4" t="str">
        <f>IFERROR(VLOOKUP(Table1[[#This Row],[Future-1 Description]],'Other '!E138:$F147,2,FALSE),"")</f>
        <v/>
      </c>
      <c r="M150" s="32"/>
      <c r="N150" s="32"/>
      <c r="O150" s="32"/>
      <c r="P150" s="49">
        <v>89564.479999999996</v>
      </c>
      <c r="Q150" s="49">
        <v>55000</v>
      </c>
      <c r="R150" s="32"/>
      <c r="S150" s="4"/>
      <c r="T150" s="32"/>
      <c r="U150" s="32"/>
      <c r="V150" s="32"/>
      <c r="W150" s="32"/>
      <c r="X150" s="33"/>
      <c r="Y150" s="33"/>
      <c r="Z150" s="31">
        <f>Table1[[#This Row],[Quantity of measruing units]]*Table1[[#This Row],[Rate (expected)]]</f>
        <v>0</v>
      </c>
      <c r="AA150" s="31"/>
      <c r="AB150" s="31"/>
      <c r="AC150" s="34">
        <f>Table1[[#This Row],[Quantity (expected)]]*Table1[[#This Row],[Rate (expected)2]]*0.9</f>
        <v>0</v>
      </c>
      <c r="AD150" s="34">
        <f>Table1[[#This Row],[Quantity (expected)]]*Table1[[#This Row],[Rate (expected)2]]*0.8</f>
        <v>0</v>
      </c>
      <c r="AE150" s="34">
        <f>Table1[[#This Row],[Quantity (expected)]]*Table1[[#This Row],[Rate (expected)2]]*0.7</f>
        <v>0</v>
      </c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1">
        <f>SUM(Table1[[#This Row],[Jan-23]:[Dec-23]])</f>
        <v>0</v>
      </c>
      <c r="AV150" s="105"/>
      <c r="AW150" s="32"/>
      <c r="AX150" s="35"/>
    </row>
    <row r="151" spans="1:50" x14ac:dyDescent="0.3">
      <c r="A151" s="30" t="str">
        <f>VLOOKUP(H151,'Accoount Code Combination'!$D:$L,8,FALSE)</f>
        <v>Other support</v>
      </c>
      <c r="B151" s="31" t="str">
        <f>VLOOKUP(Table1[[#This Row],[Account Code]],'Accoount Code Combination'!$D:$L,9,FALSE)</f>
        <v>No Applicable</v>
      </c>
      <c r="C151" s="4" t="str">
        <f>VLOOKUP(Table1[[#This Row],[Cost Center Code]],'Cost Center Group'!A:B,2,FALSE)</f>
        <v>College of Engineering</v>
      </c>
      <c r="D151" s="4">
        <v>847</v>
      </c>
      <c r="E151" s="79">
        <v>8470330</v>
      </c>
      <c r="F151" s="32" t="s">
        <v>268</v>
      </c>
      <c r="G151" s="4">
        <v>1</v>
      </c>
      <c r="H151" s="95">
        <v>425900</v>
      </c>
      <c r="I151" s="106" t="str">
        <f>IFERROR(VLOOKUP(Table1[[#This Row],[Account Code]],'Accoount Code Combination'!$D:$H,2,FALSE),"")</f>
        <v>Entertainment and hospitality</v>
      </c>
      <c r="J151" s="79">
        <v>8470330</v>
      </c>
      <c r="K151" s="4"/>
      <c r="L151" s="4" t="str">
        <f>IFERROR(VLOOKUP(Table1[[#This Row],[Future-1 Description]],'Other '!E139:$F148,2,FALSE),"")</f>
        <v/>
      </c>
      <c r="M151" s="32"/>
      <c r="N151" s="32"/>
      <c r="O151" s="32"/>
      <c r="P151" s="49">
        <v>6982.5</v>
      </c>
      <c r="Q151" s="49">
        <v>0</v>
      </c>
      <c r="R151" s="32"/>
      <c r="S151" s="4"/>
      <c r="T151" s="32"/>
      <c r="U151" s="32"/>
      <c r="V151" s="32"/>
      <c r="W151" s="32"/>
      <c r="X151" s="33"/>
      <c r="Y151" s="33"/>
      <c r="Z151" s="31">
        <f>Table1[[#This Row],[Quantity of measruing units]]*Table1[[#This Row],[Rate (expected)]]</f>
        <v>0</v>
      </c>
      <c r="AA151" s="31"/>
      <c r="AB151" s="31"/>
      <c r="AC151" s="34">
        <f>Table1[[#This Row],[Quantity (expected)]]*Table1[[#This Row],[Rate (expected)2]]*0.9</f>
        <v>0</v>
      </c>
      <c r="AD151" s="34">
        <f>Table1[[#This Row],[Quantity (expected)]]*Table1[[#This Row],[Rate (expected)2]]*0.8</f>
        <v>0</v>
      </c>
      <c r="AE151" s="34">
        <f>Table1[[#This Row],[Quantity (expected)]]*Table1[[#This Row],[Rate (expected)2]]*0.7</f>
        <v>0</v>
      </c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1">
        <f>SUM(Table1[[#This Row],[Jan-23]:[Dec-23]])</f>
        <v>0</v>
      </c>
      <c r="AV151" s="105"/>
      <c r="AW151" s="32"/>
      <c r="AX151" s="35"/>
    </row>
    <row r="152" spans="1:50" x14ac:dyDescent="0.3">
      <c r="A152" s="30" t="str">
        <f>VLOOKUP(H152,'Accoount Code Combination'!$D:$L,8,FALSE)</f>
        <v>IT</v>
      </c>
      <c r="B152" s="31" t="str">
        <f>VLOOKUP(Table1[[#This Row],[Account Code]],'Accoount Code Combination'!$D:$L,9,FALSE)</f>
        <v>Software Operating</v>
      </c>
      <c r="C152" s="4" t="str">
        <f>VLOOKUP(Table1[[#This Row],[Cost Center Code]],'Cost Center Group'!A:B,2,FALSE)</f>
        <v>College of Engineering</v>
      </c>
      <c r="D152" s="4">
        <v>847</v>
      </c>
      <c r="E152" s="79">
        <v>8470330</v>
      </c>
      <c r="F152" s="32" t="s">
        <v>268</v>
      </c>
      <c r="G152" s="4">
        <v>1</v>
      </c>
      <c r="H152" s="95">
        <v>426610</v>
      </c>
      <c r="I152" s="106" t="str">
        <f>IFERROR(VLOOKUP(Table1[[#This Row],[Account Code]],'Accoount Code Combination'!$D:$H,2,FALSE),"")</f>
        <v>Computer software licenses</v>
      </c>
      <c r="J152" s="79">
        <v>8470330</v>
      </c>
      <c r="K152" s="4"/>
      <c r="L152" s="4" t="str">
        <f>IFERROR(VLOOKUP(Table1[[#This Row],[Future-1 Description]],'Other '!E140:$F149,2,FALSE),"")</f>
        <v/>
      </c>
      <c r="M152" s="32"/>
      <c r="N152" s="32"/>
      <c r="O152" s="32"/>
      <c r="P152" s="49">
        <v>224906.03</v>
      </c>
      <c r="Q152" s="49">
        <v>312530</v>
      </c>
      <c r="R152" s="32"/>
      <c r="S152" s="4"/>
      <c r="T152" s="32"/>
      <c r="U152" s="32"/>
      <c r="V152" s="32"/>
      <c r="W152" s="32"/>
      <c r="X152" s="33"/>
      <c r="Y152" s="33"/>
      <c r="Z152" s="31">
        <f>Table1[[#This Row],[Quantity of measruing units]]*Table1[[#This Row],[Rate (expected)]]</f>
        <v>0</v>
      </c>
      <c r="AA152" s="31"/>
      <c r="AB152" s="31"/>
      <c r="AC152" s="34">
        <f>Table1[[#This Row],[Quantity (expected)]]*Table1[[#This Row],[Rate (expected)2]]*0.9</f>
        <v>0</v>
      </c>
      <c r="AD152" s="34">
        <f>Table1[[#This Row],[Quantity (expected)]]*Table1[[#This Row],[Rate (expected)2]]*0.8</f>
        <v>0</v>
      </c>
      <c r="AE152" s="34">
        <f>Table1[[#This Row],[Quantity (expected)]]*Table1[[#This Row],[Rate (expected)2]]*0.7</f>
        <v>0</v>
      </c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1">
        <f>SUM(Table1[[#This Row],[Jan-23]:[Dec-23]])</f>
        <v>0</v>
      </c>
      <c r="AV152" s="105"/>
      <c r="AW152" s="32"/>
      <c r="AX152" s="35"/>
    </row>
    <row r="153" spans="1:50" x14ac:dyDescent="0.3">
      <c r="A153" s="30" t="str">
        <f>VLOOKUP(H153,'Accoount Code Combination'!$D:$L,8,FALSE)</f>
        <v xml:space="preserve">Academic </v>
      </c>
      <c r="B153" s="31" t="str">
        <f>VLOOKUP(Table1[[#This Row],[Account Code]],'Accoount Code Combination'!$D:$L,9,FALSE)</f>
        <v>No Applicable</v>
      </c>
      <c r="C153" s="4" t="str">
        <f>VLOOKUP(Table1[[#This Row],[Cost Center Code]],'Cost Center Group'!A:B,2,FALSE)</f>
        <v>College of Engineering</v>
      </c>
      <c r="D153" s="4">
        <v>847</v>
      </c>
      <c r="E153" s="79">
        <v>8470330</v>
      </c>
      <c r="F153" s="32" t="s">
        <v>268</v>
      </c>
      <c r="G153" s="4">
        <v>1</v>
      </c>
      <c r="H153" s="95">
        <v>428090</v>
      </c>
      <c r="I153" s="106" t="str">
        <f>IFERROR(VLOOKUP(Table1[[#This Row],[Account Code]],'Accoount Code Combination'!$D:$H,2,FALSE),"")</f>
        <v>Business Travel - Combined expenses</v>
      </c>
      <c r="J153" s="79">
        <v>8470330</v>
      </c>
      <c r="K153" s="4"/>
      <c r="L153" s="4" t="str">
        <f>IFERROR(VLOOKUP(Table1[[#This Row],[Future-1 Description]],'Other '!E141:$F150,2,FALSE),"")</f>
        <v/>
      </c>
      <c r="M153" s="32"/>
      <c r="N153" s="32"/>
      <c r="O153" s="32"/>
      <c r="P153" s="49">
        <v>0</v>
      </c>
      <c r="Q153" s="49">
        <v>0</v>
      </c>
      <c r="R153" s="32"/>
      <c r="S153" s="4"/>
      <c r="T153" s="32"/>
      <c r="U153" s="32"/>
      <c r="V153" s="32"/>
      <c r="W153" s="32"/>
      <c r="X153" s="33"/>
      <c r="Y153" s="33"/>
      <c r="Z153" s="31">
        <f>Table1[[#This Row],[Quantity of measruing units]]*Table1[[#This Row],[Rate (expected)]]</f>
        <v>0</v>
      </c>
      <c r="AA153" s="31"/>
      <c r="AB153" s="31"/>
      <c r="AC153" s="34">
        <f>Table1[[#This Row],[Quantity (expected)]]*Table1[[#This Row],[Rate (expected)2]]*0.9</f>
        <v>0</v>
      </c>
      <c r="AD153" s="34">
        <f>Table1[[#This Row],[Quantity (expected)]]*Table1[[#This Row],[Rate (expected)2]]*0.8</f>
        <v>0</v>
      </c>
      <c r="AE153" s="34">
        <f>Table1[[#This Row],[Quantity (expected)]]*Table1[[#This Row],[Rate (expected)2]]*0.7</f>
        <v>0</v>
      </c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1">
        <f>SUM(Table1[[#This Row],[Jan-23]:[Dec-23]])</f>
        <v>0</v>
      </c>
      <c r="AV153" s="105"/>
      <c r="AW153" s="32"/>
      <c r="AX153" s="35"/>
    </row>
    <row r="154" spans="1:50" x14ac:dyDescent="0.3">
      <c r="A154" s="30" t="str">
        <f>VLOOKUP(H154,'Accoount Code Combination'!$D:$L,8,FALSE)</f>
        <v>Communiction &amp; Marketing</v>
      </c>
      <c r="B154" s="31" t="str">
        <f>VLOOKUP(Table1[[#This Row],[Account Code]],'Accoount Code Combination'!$D:$L,9,FALSE)</f>
        <v>Gifts</v>
      </c>
      <c r="C154" s="4" t="str">
        <f>VLOOKUP(Table1[[#This Row],[Cost Center Code]],'Cost Center Group'!A:B,2,FALSE)</f>
        <v>College of Engineering</v>
      </c>
      <c r="D154" s="4">
        <v>847</v>
      </c>
      <c r="E154" s="79">
        <v>8470330</v>
      </c>
      <c r="F154" s="32" t="s">
        <v>268</v>
      </c>
      <c r="G154" s="4">
        <v>1</v>
      </c>
      <c r="H154" s="95">
        <v>428640</v>
      </c>
      <c r="I154" s="106" t="str">
        <f>IFERROR(VLOOKUP(Table1[[#This Row],[Account Code]],'Accoount Code Combination'!$D:$H,2,FALSE),"")</f>
        <v>Events - Awards, prizes &amp; gifts</v>
      </c>
      <c r="J154" s="79">
        <v>8470330</v>
      </c>
      <c r="K154" s="4"/>
      <c r="L154" s="4" t="str">
        <f>IFERROR(VLOOKUP(Table1[[#This Row],[Future-1 Description]],'Other '!E142:$F151,2,FALSE),"")</f>
        <v/>
      </c>
      <c r="M154" s="32"/>
      <c r="N154" s="32"/>
      <c r="O154" s="32"/>
      <c r="P154" s="49">
        <v>0</v>
      </c>
      <c r="Q154" s="49">
        <v>0</v>
      </c>
      <c r="R154" s="32"/>
      <c r="S154" s="4"/>
      <c r="T154" s="32"/>
      <c r="U154" s="32"/>
      <c r="V154" s="32"/>
      <c r="W154" s="32"/>
      <c r="X154" s="33"/>
      <c r="Y154" s="33"/>
      <c r="Z154" s="31">
        <f>Table1[[#This Row],[Quantity of measruing units]]*Table1[[#This Row],[Rate (expected)]]</f>
        <v>0</v>
      </c>
      <c r="AA154" s="31"/>
      <c r="AB154" s="31"/>
      <c r="AC154" s="34">
        <f>Table1[[#This Row],[Quantity (expected)]]*Table1[[#This Row],[Rate (expected)2]]*0.9</f>
        <v>0</v>
      </c>
      <c r="AD154" s="34">
        <f>Table1[[#This Row],[Quantity (expected)]]*Table1[[#This Row],[Rate (expected)2]]*0.8</f>
        <v>0</v>
      </c>
      <c r="AE154" s="34">
        <f>Table1[[#This Row],[Quantity (expected)]]*Table1[[#This Row],[Rate (expected)2]]*0.7</f>
        <v>0</v>
      </c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1">
        <f>SUM(Table1[[#This Row],[Jan-23]:[Dec-23]])</f>
        <v>0</v>
      </c>
      <c r="AV154" s="105"/>
      <c r="AW154" s="32"/>
      <c r="AX154" s="35"/>
    </row>
    <row r="155" spans="1:50" x14ac:dyDescent="0.3">
      <c r="A155" s="30" t="str">
        <f>VLOOKUP(H155,'Accoount Code Combination'!$D:$L,8,FALSE)</f>
        <v>Academic</v>
      </c>
      <c r="B155" s="31" t="str">
        <f>VLOOKUP(Table1[[#This Row],[Account Code]],'Accoount Code Combination'!$D:$L,9,FALSE)</f>
        <v>No Applicable</v>
      </c>
      <c r="C155" s="4" t="str">
        <f>VLOOKUP(Table1[[#This Row],[Cost Center Code]],'Cost Center Group'!A:B,2,FALSE)</f>
        <v>College of Engineering</v>
      </c>
      <c r="D155" s="4">
        <v>847</v>
      </c>
      <c r="E155" s="79">
        <v>8470330</v>
      </c>
      <c r="F155" s="32" t="s">
        <v>268</v>
      </c>
      <c r="G155" s="4">
        <v>1</v>
      </c>
      <c r="H155" s="95">
        <v>435340</v>
      </c>
      <c r="I155" s="106" t="str">
        <f>IFERROR(VLOOKUP(Table1[[#This Row],[Account Code]],'Accoount Code Combination'!$D:$H,2,FALSE),"")</f>
        <v>Text books and library books</v>
      </c>
      <c r="J155" s="79">
        <v>8470330</v>
      </c>
      <c r="K155" s="4"/>
      <c r="L155" s="4" t="str">
        <f>IFERROR(VLOOKUP(Table1[[#This Row],[Future-1 Description]],'Other '!E143:$F152,2,FALSE),"")</f>
        <v/>
      </c>
      <c r="M155" s="32"/>
      <c r="N155" s="32"/>
      <c r="O155" s="32"/>
      <c r="P155" s="49">
        <v>0</v>
      </c>
      <c r="Q155" s="49">
        <v>0</v>
      </c>
      <c r="R155" s="32"/>
      <c r="S155" s="4"/>
      <c r="T155" s="32"/>
      <c r="U155" s="32"/>
      <c r="V155" s="32"/>
      <c r="W155" s="32"/>
      <c r="X155" s="33"/>
      <c r="Y155" s="33"/>
      <c r="Z155" s="31">
        <f>Table1[[#This Row],[Quantity of measruing units]]*Table1[[#This Row],[Rate (expected)]]</f>
        <v>0</v>
      </c>
      <c r="AA155" s="31"/>
      <c r="AB155" s="31"/>
      <c r="AC155" s="34">
        <f>Table1[[#This Row],[Quantity (expected)]]*Table1[[#This Row],[Rate (expected)2]]*0.9</f>
        <v>0</v>
      </c>
      <c r="AD155" s="34">
        <f>Table1[[#This Row],[Quantity (expected)]]*Table1[[#This Row],[Rate (expected)2]]*0.8</f>
        <v>0</v>
      </c>
      <c r="AE155" s="34">
        <f>Table1[[#This Row],[Quantity (expected)]]*Table1[[#This Row],[Rate (expected)2]]*0.7</f>
        <v>0</v>
      </c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1">
        <f>SUM(Table1[[#This Row],[Jan-23]:[Dec-23]])</f>
        <v>0</v>
      </c>
      <c r="AV155" s="105"/>
      <c r="AW155" s="32"/>
      <c r="AX155" s="35"/>
    </row>
    <row r="156" spans="1:50" x14ac:dyDescent="0.3">
      <c r="A156" s="30" t="str">
        <f>VLOOKUP(H156,'Accoount Code Combination'!$D:$L,8,FALSE)</f>
        <v>Academic</v>
      </c>
      <c r="B156" s="31" t="str">
        <f>VLOOKUP(Table1[[#This Row],[Account Code]],'Accoount Code Combination'!$D:$L,9,FALSE)</f>
        <v>No Applicable</v>
      </c>
      <c r="C156" s="4" t="str">
        <f>VLOOKUP(Table1[[#This Row],[Cost Center Code]],'Cost Center Group'!A:B,2,FALSE)</f>
        <v>College of Engineering</v>
      </c>
      <c r="D156" s="4">
        <v>847</v>
      </c>
      <c r="E156" s="79">
        <v>8470330</v>
      </c>
      <c r="F156" s="32" t="s">
        <v>268</v>
      </c>
      <c r="G156" s="4">
        <v>1</v>
      </c>
      <c r="H156" s="95">
        <v>435350</v>
      </c>
      <c r="I156" s="106" t="str">
        <f>IFERROR(VLOOKUP(Table1[[#This Row],[Account Code]],'Accoount Code Combination'!$D:$H,2,FALSE),"")</f>
        <v>Academic Publications</v>
      </c>
      <c r="J156" s="79">
        <v>8470330</v>
      </c>
      <c r="K156" s="4"/>
      <c r="L156" s="4" t="str">
        <f>IFERROR(VLOOKUP(Table1[[#This Row],[Future-1 Description]],'Other '!E144:$F153,2,FALSE),"")</f>
        <v/>
      </c>
      <c r="M156" s="32"/>
      <c r="N156" s="32"/>
      <c r="O156" s="32"/>
      <c r="P156" s="49">
        <v>269679.27</v>
      </c>
      <c r="Q156" s="49">
        <v>55615</v>
      </c>
      <c r="R156" s="32"/>
      <c r="S156" s="4"/>
      <c r="T156" s="32"/>
      <c r="U156" s="32"/>
      <c r="V156" s="32"/>
      <c r="W156" s="32"/>
      <c r="X156" s="33"/>
      <c r="Y156" s="33"/>
      <c r="Z156" s="31">
        <f>Table1[[#This Row],[Quantity of measruing units]]*Table1[[#This Row],[Rate (expected)]]</f>
        <v>0</v>
      </c>
      <c r="AA156" s="31"/>
      <c r="AB156" s="31"/>
      <c r="AC156" s="34">
        <f>Table1[[#This Row],[Quantity (expected)]]*Table1[[#This Row],[Rate (expected)2]]*0.9</f>
        <v>0</v>
      </c>
      <c r="AD156" s="34">
        <f>Table1[[#This Row],[Quantity (expected)]]*Table1[[#This Row],[Rate (expected)2]]*0.8</f>
        <v>0</v>
      </c>
      <c r="AE156" s="34">
        <f>Table1[[#This Row],[Quantity (expected)]]*Table1[[#This Row],[Rate (expected)2]]*0.7</f>
        <v>0</v>
      </c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1">
        <f>SUM(Table1[[#This Row],[Jan-23]:[Dec-23]])</f>
        <v>0</v>
      </c>
      <c r="AV156" s="105"/>
      <c r="AW156" s="32"/>
      <c r="AX156" s="35"/>
    </row>
    <row r="157" spans="1:50" x14ac:dyDescent="0.3">
      <c r="A157" s="30" t="str">
        <f>VLOOKUP(H157,'Accoount Code Combination'!$D:$L,8,FALSE)</f>
        <v>Academic</v>
      </c>
      <c r="B157" s="31" t="str">
        <f>VLOOKUP(Table1[[#This Row],[Account Code]],'Accoount Code Combination'!$D:$L,9,FALSE)</f>
        <v>No Applicable</v>
      </c>
      <c r="C157" s="4" t="str">
        <f>VLOOKUP(Table1[[#This Row],[Cost Center Code]],'Cost Center Group'!A:B,2,FALSE)</f>
        <v>College of Engineering</v>
      </c>
      <c r="D157" s="4">
        <v>847</v>
      </c>
      <c r="E157" s="79">
        <v>8470330</v>
      </c>
      <c r="F157" s="32" t="s">
        <v>268</v>
      </c>
      <c r="G157" s="4">
        <v>1</v>
      </c>
      <c r="H157" s="95">
        <v>435508</v>
      </c>
      <c r="I157" s="106" t="str">
        <f>IFERROR(VLOOKUP(Table1[[#This Row],[Account Code]],'Accoount Code Combination'!$D:$H,2,FALSE),"")</f>
        <v>Laboratory - Scientific</v>
      </c>
      <c r="J157" s="79">
        <v>8470330</v>
      </c>
      <c r="K157" s="4"/>
      <c r="L157" s="4" t="str">
        <f>IFERROR(VLOOKUP(Table1[[#This Row],[Future-1 Description]],'Other '!E145:$F154,2,FALSE),"")</f>
        <v/>
      </c>
      <c r="M157" s="32"/>
      <c r="N157" s="32"/>
      <c r="O157" s="32"/>
      <c r="P157" s="49">
        <v>19879.82</v>
      </c>
      <c r="Q157" s="49">
        <v>32000</v>
      </c>
      <c r="R157" s="32"/>
      <c r="S157" s="4"/>
      <c r="T157" s="32"/>
      <c r="U157" s="32"/>
      <c r="V157" s="32"/>
      <c r="W157" s="32"/>
      <c r="X157" s="33"/>
      <c r="Y157" s="33"/>
      <c r="Z157" s="31">
        <f>Table1[[#This Row],[Quantity of measruing units]]*Table1[[#This Row],[Rate (expected)]]</f>
        <v>0</v>
      </c>
      <c r="AA157" s="31"/>
      <c r="AB157" s="31"/>
      <c r="AC157" s="34">
        <f>Table1[[#This Row],[Quantity (expected)]]*Table1[[#This Row],[Rate (expected)2]]*0.9</f>
        <v>0</v>
      </c>
      <c r="AD157" s="34">
        <f>Table1[[#This Row],[Quantity (expected)]]*Table1[[#This Row],[Rate (expected)2]]*0.8</f>
        <v>0</v>
      </c>
      <c r="AE157" s="34">
        <f>Table1[[#This Row],[Quantity (expected)]]*Table1[[#This Row],[Rate (expected)2]]*0.7</f>
        <v>0</v>
      </c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1">
        <f>SUM(Table1[[#This Row],[Jan-23]:[Dec-23]])</f>
        <v>0</v>
      </c>
      <c r="AV157" s="105"/>
      <c r="AW157" s="32"/>
      <c r="AX157" s="35"/>
    </row>
    <row r="158" spans="1:50" x14ac:dyDescent="0.3">
      <c r="A158" s="30" t="str">
        <f>VLOOKUP(H158,'Accoount Code Combination'!$D:$L,8,FALSE)</f>
        <v>Other support</v>
      </c>
      <c r="B158" s="31" t="str">
        <f>VLOOKUP(Table1[[#This Row],[Account Code]],'Accoount Code Combination'!$D:$L,9,FALSE)</f>
        <v>No Applicable</v>
      </c>
      <c r="C158" s="4" t="str">
        <f>VLOOKUP(Table1[[#This Row],[Cost Center Code]],'Cost Center Group'!A:B,2,FALSE)</f>
        <v>College of Engineering</v>
      </c>
      <c r="D158" s="4">
        <v>847</v>
      </c>
      <c r="E158" s="79">
        <v>8470330</v>
      </c>
      <c r="F158" s="32" t="s">
        <v>268</v>
      </c>
      <c r="G158" s="4">
        <v>1</v>
      </c>
      <c r="H158" s="95">
        <v>436110</v>
      </c>
      <c r="I158" s="106" t="str">
        <f>IFERROR(VLOOKUP(Table1[[#This Row],[Account Code]],'Accoount Code Combination'!$D:$H,2,FALSE),"")</f>
        <v>Printing supplies</v>
      </c>
      <c r="J158" s="79">
        <v>8470330</v>
      </c>
      <c r="K158" s="4"/>
      <c r="L158" s="4" t="str">
        <f>IFERROR(VLOOKUP(Table1[[#This Row],[Future-1 Description]],'Other '!E146:$F155,2,FALSE),"")</f>
        <v/>
      </c>
      <c r="M158" s="32"/>
      <c r="N158" s="32"/>
      <c r="O158" s="32"/>
      <c r="P158" s="49">
        <v>0</v>
      </c>
      <c r="Q158" s="49">
        <v>0</v>
      </c>
      <c r="R158" s="32"/>
      <c r="S158" s="4"/>
      <c r="T158" s="32"/>
      <c r="U158" s="32"/>
      <c r="V158" s="32"/>
      <c r="W158" s="32"/>
      <c r="X158" s="33"/>
      <c r="Y158" s="33"/>
      <c r="Z158" s="31">
        <f>Table1[[#This Row],[Quantity of measruing units]]*Table1[[#This Row],[Rate (expected)]]</f>
        <v>0</v>
      </c>
      <c r="AA158" s="31"/>
      <c r="AB158" s="31"/>
      <c r="AC158" s="34">
        <f>Table1[[#This Row],[Quantity (expected)]]*Table1[[#This Row],[Rate (expected)2]]*0.9</f>
        <v>0</v>
      </c>
      <c r="AD158" s="34">
        <f>Table1[[#This Row],[Quantity (expected)]]*Table1[[#This Row],[Rate (expected)2]]*0.8</f>
        <v>0</v>
      </c>
      <c r="AE158" s="34">
        <f>Table1[[#This Row],[Quantity (expected)]]*Table1[[#This Row],[Rate (expected)2]]*0.7</f>
        <v>0</v>
      </c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1">
        <f>SUM(Table1[[#This Row],[Jan-23]:[Dec-23]])</f>
        <v>0</v>
      </c>
      <c r="AV158" s="105"/>
      <c r="AW158" s="32"/>
      <c r="AX158" s="35"/>
    </row>
    <row r="159" spans="1:50" ht="26" x14ac:dyDescent="0.3">
      <c r="A159" s="30" t="str">
        <f>VLOOKUP(H159,'Accoount Code Combination'!$D:$L,8,FALSE)</f>
        <v>Academic</v>
      </c>
      <c r="B159" s="31" t="str">
        <f>VLOOKUP(Table1[[#This Row],[Account Code]],'Accoount Code Combination'!$D:$L,9,FALSE)</f>
        <v>No Applicable</v>
      </c>
      <c r="C159" s="4" t="str">
        <f>VLOOKUP(Table1[[#This Row],[Cost Center Code]],'Cost Center Group'!A:B,2,FALSE)</f>
        <v>College of Engineering</v>
      </c>
      <c r="D159" s="4">
        <v>847</v>
      </c>
      <c r="E159" s="79">
        <v>8470330</v>
      </c>
      <c r="F159" s="32" t="s">
        <v>268</v>
      </c>
      <c r="G159" s="4">
        <v>1</v>
      </c>
      <c r="H159" s="95">
        <v>436600</v>
      </c>
      <c r="I159" s="106" t="str">
        <f>IFERROR(VLOOKUP(Table1[[#This Row],[Account Code]],'Accoount Code Combination'!$D:$H,2,FALSE),"")</f>
        <v>Training/Teaching equipment and other educational aid</v>
      </c>
      <c r="J159" s="79">
        <v>8470330</v>
      </c>
      <c r="K159" s="4"/>
      <c r="L159" s="4" t="str">
        <f>IFERROR(VLOOKUP(Table1[[#This Row],[Future-1 Description]],'Other '!E147:$F156,2,FALSE),"")</f>
        <v/>
      </c>
      <c r="M159" s="32"/>
      <c r="N159" s="32"/>
      <c r="O159" s="32"/>
      <c r="P159" s="49">
        <v>0</v>
      </c>
      <c r="Q159" s="49">
        <v>0</v>
      </c>
      <c r="R159" s="32"/>
      <c r="S159" s="4"/>
      <c r="T159" s="32"/>
      <c r="U159" s="32"/>
      <c r="V159" s="32"/>
      <c r="W159" s="32"/>
      <c r="X159" s="33"/>
      <c r="Y159" s="33"/>
      <c r="Z159" s="31">
        <f>Table1[[#This Row],[Quantity of measruing units]]*Table1[[#This Row],[Rate (expected)]]</f>
        <v>0</v>
      </c>
      <c r="AA159" s="31"/>
      <c r="AB159" s="31"/>
      <c r="AC159" s="34">
        <f>Table1[[#This Row],[Quantity (expected)]]*Table1[[#This Row],[Rate (expected)2]]*0.9</f>
        <v>0</v>
      </c>
      <c r="AD159" s="34">
        <f>Table1[[#This Row],[Quantity (expected)]]*Table1[[#This Row],[Rate (expected)2]]*0.8</f>
        <v>0</v>
      </c>
      <c r="AE159" s="34">
        <f>Table1[[#This Row],[Quantity (expected)]]*Table1[[#This Row],[Rate (expected)2]]*0.7</f>
        <v>0</v>
      </c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1">
        <f>SUM(Table1[[#This Row],[Jan-23]:[Dec-23]])</f>
        <v>0</v>
      </c>
      <c r="AV159" s="105"/>
      <c r="AW159" s="32"/>
      <c r="AX159" s="35"/>
    </row>
    <row r="160" spans="1:50" x14ac:dyDescent="0.3">
      <c r="A160" s="30">
        <f>VLOOKUP(H160,'Accoount Code Combination'!$D:$L,8,FALSE)</f>
        <v>0</v>
      </c>
      <c r="B160" s="31" t="str">
        <f>VLOOKUP(Table1[[#This Row],[Account Code]],'Accoount Code Combination'!$D:$L,9,FALSE)</f>
        <v>No Applicable</v>
      </c>
      <c r="C160" s="4" t="str">
        <f>VLOOKUP(Table1[[#This Row],[Cost Center Code]],'Cost Center Group'!A:B,2,FALSE)</f>
        <v>College of Engineering</v>
      </c>
      <c r="D160" s="4">
        <v>847</v>
      </c>
      <c r="E160" s="79">
        <v>8470330</v>
      </c>
      <c r="F160" s="32" t="s">
        <v>268</v>
      </c>
      <c r="G160" s="4">
        <v>1</v>
      </c>
      <c r="H160" s="95">
        <v>492316</v>
      </c>
      <c r="I160" s="106" t="str">
        <f>IFERROR(VLOOKUP(Table1[[#This Row],[Account Code]],'Accoount Code Combination'!$D:$H,2,FALSE),"")</f>
        <v>Laboratory equipment</v>
      </c>
      <c r="J160" s="79">
        <v>8470330</v>
      </c>
      <c r="K160" s="4"/>
      <c r="L160" s="4" t="str">
        <f>IFERROR(VLOOKUP(Table1[[#This Row],[Future-1 Description]],'Other '!E148:$F157,2,FALSE),"")</f>
        <v/>
      </c>
      <c r="M160" s="32"/>
      <c r="N160" s="32"/>
      <c r="O160" s="32"/>
      <c r="P160" s="49">
        <v>585058.63</v>
      </c>
      <c r="Q160" s="49">
        <v>233948</v>
      </c>
      <c r="R160" s="32"/>
      <c r="S160" s="4"/>
      <c r="T160" s="32"/>
      <c r="U160" s="32"/>
      <c r="V160" s="32"/>
      <c r="W160" s="32"/>
      <c r="X160" s="33"/>
      <c r="Y160" s="33"/>
      <c r="Z160" s="31">
        <f>Table1[[#This Row],[Quantity of measruing units]]*Table1[[#This Row],[Rate (expected)]]</f>
        <v>0</v>
      </c>
      <c r="AA160" s="31"/>
      <c r="AB160" s="31"/>
      <c r="AC160" s="34">
        <f>Table1[[#This Row],[Quantity (expected)]]*Table1[[#This Row],[Rate (expected)2]]*0.9</f>
        <v>0</v>
      </c>
      <c r="AD160" s="34">
        <f>Table1[[#This Row],[Quantity (expected)]]*Table1[[#This Row],[Rate (expected)2]]*0.8</f>
        <v>0</v>
      </c>
      <c r="AE160" s="34">
        <f>Table1[[#This Row],[Quantity (expected)]]*Table1[[#This Row],[Rate (expected)2]]*0.7</f>
        <v>0</v>
      </c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1">
        <f>SUM(Table1[[#This Row],[Jan-23]:[Dec-23]])</f>
        <v>0</v>
      </c>
      <c r="AV160" s="105"/>
      <c r="AW160" s="32"/>
      <c r="AX160" s="35"/>
    </row>
    <row r="161" spans="1:50" x14ac:dyDescent="0.3">
      <c r="A161" s="30" t="str">
        <f>VLOOKUP(H161,'Accoount Code Combination'!$D:$L,8,FALSE)</f>
        <v>Academic</v>
      </c>
      <c r="B161" s="31" t="str">
        <f>VLOOKUP(Table1[[#This Row],[Account Code]],'Accoount Code Combination'!$D:$L,9,FALSE)</f>
        <v>No Applicable</v>
      </c>
      <c r="C161" s="4" t="str">
        <f>VLOOKUP(Table1[[#This Row],[Cost Center Code]],'Cost Center Group'!A:B,2,FALSE)</f>
        <v>College of Engineering</v>
      </c>
      <c r="D161" s="4">
        <v>847</v>
      </c>
      <c r="E161" s="79">
        <v>8470335</v>
      </c>
      <c r="F161" s="32" t="s">
        <v>317</v>
      </c>
      <c r="G161" s="4">
        <v>1</v>
      </c>
      <c r="H161" s="95">
        <v>420550</v>
      </c>
      <c r="I161" s="106" t="str">
        <f>IFERROR(VLOOKUP(Table1[[#This Row],[Account Code]],'Accoount Code Combination'!$D:$H,2,FALSE),"")</f>
        <v>Academic Advisory Service</v>
      </c>
      <c r="J161" s="79">
        <v>8470335</v>
      </c>
      <c r="K161" s="4"/>
      <c r="L161" s="4" t="str">
        <f>IFERROR(VLOOKUP(Table1[[#This Row],[Future-1 Description]],'Other '!E149:$F158,2,FALSE),"")</f>
        <v/>
      </c>
      <c r="M161" s="32"/>
      <c r="N161" s="32"/>
      <c r="O161" s="32"/>
      <c r="P161" s="49">
        <v>0</v>
      </c>
      <c r="Q161" s="49">
        <v>0</v>
      </c>
      <c r="R161" s="32"/>
      <c r="S161" s="4"/>
      <c r="T161" s="32"/>
      <c r="U161" s="32"/>
      <c r="V161" s="32"/>
      <c r="W161" s="32"/>
      <c r="X161" s="33"/>
      <c r="Y161" s="33"/>
      <c r="Z161" s="31">
        <f>Table1[[#This Row],[Quantity of measruing units]]*Table1[[#This Row],[Rate (expected)]]</f>
        <v>0</v>
      </c>
      <c r="AA161" s="31"/>
      <c r="AB161" s="31"/>
      <c r="AC161" s="34">
        <f>Table1[[#This Row],[Quantity (expected)]]*Table1[[#This Row],[Rate (expected)2]]*0.9</f>
        <v>0</v>
      </c>
      <c r="AD161" s="34">
        <f>Table1[[#This Row],[Quantity (expected)]]*Table1[[#This Row],[Rate (expected)2]]*0.8</f>
        <v>0</v>
      </c>
      <c r="AE161" s="34">
        <f>Table1[[#This Row],[Quantity (expected)]]*Table1[[#This Row],[Rate (expected)2]]*0.7</f>
        <v>0</v>
      </c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1">
        <f>SUM(Table1[[#This Row],[Jan-23]:[Dec-23]])</f>
        <v>0</v>
      </c>
      <c r="AV161" s="105"/>
      <c r="AW161" s="32"/>
      <c r="AX161" s="35"/>
    </row>
    <row r="162" spans="1:50" ht="26" x14ac:dyDescent="0.3">
      <c r="A162" s="30" t="str">
        <f>VLOOKUP(H162,'Accoount Code Combination'!$D:$L,8,FALSE)</f>
        <v>Communiction &amp; Marketing</v>
      </c>
      <c r="B162" s="31" t="str">
        <f>VLOOKUP(Table1[[#This Row],[Account Code]],'Accoount Code Combination'!$D:$L,9,FALSE)</f>
        <v>Events</v>
      </c>
      <c r="C162" s="4" t="str">
        <f>VLOOKUP(Table1[[#This Row],[Cost Center Code]],'Cost Center Group'!A:B,2,FALSE)</f>
        <v>College of Engineering</v>
      </c>
      <c r="D162" s="4">
        <v>847</v>
      </c>
      <c r="E162" s="79">
        <v>8470335</v>
      </c>
      <c r="F162" s="32" t="s">
        <v>317</v>
      </c>
      <c r="G162" s="4">
        <v>1</v>
      </c>
      <c r="H162" s="95">
        <v>425510</v>
      </c>
      <c r="I162" s="106" t="str">
        <f>IFERROR(VLOOKUP(Table1[[#This Row],[Account Code]],'Accoount Code Combination'!$D:$H,2,FALSE),"")</f>
        <v>Conferences, seminars and exhibitions and other events: - Local Events</v>
      </c>
      <c r="J162" s="79">
        <v>8470335</v>
      </c>
      <c r="K162" s="4"/>
      <c r="L162" s="4" t="str">
        <f>IFERROR(VLOOKUP(Table1[[#This Row],[Future-1 Description]],'Other '!E150:$F159,2,FALSE),"")</f>
        <v/>
      </c>
      <c r="M162" s="32"/>
      <c r="N162" s="32"/>
      <c r="O162" s="32"/>
      <c r="P162" s="49">
        <v>0</v>
      </c>
      <c r="Q162" s="49">
        <v>0</v>
      </c>
      <c r="R162" s="32"/>
      <c r="S162" s="4"/>
      <c r="T162" s="32"/>
      <c r="U162" s="32"/>
      <c r="V162" s="32"/>
      <c r="W162" s="32"/>
      <c r="X162" s="33"/>
      <c r="Y162" s="33"/>
      <c r="Z162" s="31">
        <f>Table1[[#This Row],[Quantity of measruing units]]*Table1[[#This Row],[Rate (expected)]]</f>
        <v>0</v>
      </c>
      <c r="AA162" s="31"/>
      <c r="AB162" s="31"/>
      <c r="AC162" s="34">
        <f>Table1[[#This Row],[Quantity (expected)]]*Table1[[#This Row],[Rate (expected)2]]*0.9</f>
        <v>0</v>
      </c>
      <c r="AD162" s="34">
        <f>Table1[[#This Row],[Quantity (expected)]]*Table1[[#This Row],[Rate (expected)2]]*0.8</f>
        <v>0</v>
      </c>
      <c r="AE162" s="34">
        <f>Table1[[#This Row],[Quantity (expected)]]*Table1[[#This Row],[Rate (expected)2]]*0.7</f>
        <v>0</v>
      </c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1">
        <f>SUM(Table1[[#This Row],[Jan-23]:[Dec-23]])</f>
        <v>0</v>
      </c>
      <c r="AV162" s="105"/>
      <c r="AW162" s="32"/>
      <c r="AX162" s="35"/>
    </row>
    <row r="163" spans="1:50" x14ac:dyDescent="0.3">
      <c r="A163" s="30" t="str">
        <f>VLOOKUP(H163,'Accoount Code Combination'!$D:$L,8,FALSE)</f>
        <v>Student</v>
      </c>
      <c r="B163" s="31" t="str">
        <f>VLOOKUP(Table1[[#This Row],[Account Code]],'Accoount Code Combination'!$D:$L,9,FALSE)</f>
        <v>Activities and Field trips</v>
      </c>
      <c r="C163" s="4" t="str">
        <f>VLOOKUP(Table1[[#This Row],[Cost Center Code]],'Cost Center Group'!A:B,2,FALSE)</f>
        <v>College of Engineering</v>
      </c>
      <c r="D163" s="4">
        <v>847</v>
      </c>
      <c r="E163" s="79">
        <v>8470335</v>
      </c>
      <c r="F163" s="32" t="s">
        <v>317</v>
      </c>
      <c r="G163" s="4">
        <v>1</v>
      </c>
      <c r="H163" s="95">
        <v>425760</v>
      </c>
      <c r="I163" s="106" t="str">
        <f>IFERROR(VLOOKUP(Table1[[#This Row],[Account Code]],'Accoount Code Combination'!$D:$H,2,FALSE),"")</f>
        <v>Student activities &amp; field trip expenses</v>
      </c>
      <c r="J163" s="79">
        <v>8470335</v>
      </c>
      <c r="K163" s="4"/>
      <c r="L163" s="4" t="str">
        <f>IFERROR(VLOOKUP(Table1[[#This Row],[Future-1 Description]],'Other '!E151:$F160,2,FALSE),"")</f>
        <v/>
      </c>
      <c r="M163" s="32"/>
      <c r="N163" s="32"/>
      <c r="O163" s="32"/>
      <c r="P163" s="49">
        <v>2400</v>
      </c>
      <c r="Q163" s="49">
        <v>0</v>
      </c>
      <c r="R163" s="32"/>
      <c r="S163" s="4"/>
      <c r="T163" s="32"/>
      <c r="U163" s="32"/>
      <c r="V163" s="32"/>
      <c r="W163" s="32"/>
      <c r="X163" s="33"/>
      <c r="Y163" s="33"/>
      <c r="Z163" s="31">
        <f>Table1[[#This Row],[Quantity of measruing units]]*Table1[[#This Row],[Rate (expected)]]</f>
        <v>0</v>
      </c>
      <c r="AA163" s="31"/>
      <c r="AB163" s="31"/>
      <c r="AC163" s="34">
        <f>Table1[[#This Row],[Quantity (expected)]]*Table1[[#This Row],[Rate (expected)2]]*0.9</f>
        <v>0</v>
      </c>
      <c r="AD163" s="34">
        <f>Table1[[#This Row],[Quantity (expected)]]*Table1[[#This Row],[Rate (expected)2]]*0.8</f>
        <v>0</v>
      </c>
      <c r="AE163" s="34">
        <f>Table1[[#This Row],[Quantity (expected)]]*Table1[[#This Row],[Rate (expected)2]]*0.7</f>
        <v>0</v>
      </c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1">
        <f>SUM(Table1[[#This Row],[Jan-23]:[Dec-23]])</f>
        <v>0</v>
      </c>
      <c r="AV163" s="105"/>
      <c r="AW163" s="32"/>
      <c r="AX163" s="35"/>
    </row>
    <row r="164" spans="1:50" x14ac:dyDescent="0.3">
      <c r="A164" s="30" t="str">
        <f>VLOOKUP(H164,'Accoount Code Combination'!$D:$L,8,FALSE)</f>
        <v>Student</v>
      </c>
      <c r="B164" s="31" t="str">
        <f>VLOOKUP(Table1[[#This Row],[Account Code]],'Accoount Code Combination'!$D:$L,9,FALSE)</f>
        <v>No Applicable</v>
      </c>
      <c r="C164" s="4" t="str">
        <f>VLOOKUP(Table1[[#This Row],[Cost Center Code]],'Cost Center Group'!A:B,2,FALSE)</f>
        <v>College of Engineering</v>
      </c>
      <c r="D164" s="4">
        <v>847</v>
      </c>
      <c r="E164" s="79">
        <v>8470335</v>
      </c>
      <c r="F164" s="32" t="s">
        <v>317</v>
      </c>
      <c r="G164" s="4">
        <v>1</v>
      </c>
      <c r="H164" s="95">
        <v>425763</v>
      </c>
      <c r="I164" s="106" t="str">
        <f>IFERROR(VLOOKUP(Table1[[#This Row],[Account Code]],'Accoount Code Combination'!$D:$H,2,FALSE),"")</f>
        <v>Student Project Expenses</v>
      </c>
      <c r="J164" s="79">
        <v>8470335</v>
      </c>
      <c r="K164" s="4"/>
      <c r="L164" s="4" t="str">
        <f>IFERROR(VLOOKUP(Table1[[#This Row],[Future-1 Description]],'Other '!E152:$F161,2,FALSE),"")</f>
        <v/>
      </c>
      <c r="M164" s="32"/>
      <c r="N164" s="32"/>
      <c r="O164" s="32"/>
      <c r="P164" s="49">
        <v>40125.89</v>
      </c>
      <c r="Q164" s="49">
        <v>25000</v>
      </c>
      <c r="R164" s="32"/>
      <c r="S164" s="4"/>
      <c r="T164" s="32"/>
      <c r="U164" s="32"/>
      <c r="V164" s="32"/>
      <c r="W164" s="32"/>
      <c r="X164" s="33"/>
      <c r="Y164" s="33"/>
      <c r="Z164" s="31">
        <f>Table1[[#This Row],[Quantity of measruing units]]*Table1[[#This Row],[Rate (expected)]]</f>
        <v>0</v>
      </c>
      <c r="AA164" s="31"/>
      <c r="AB164" s="31"/>
      <c r="AC164" s="34">
        <f>Table1[[#This Row],[Quantity (expected)]]*Table1[[#This Row],[Rate (expected)2]]*0.9</f>
        <v>0</v>
      </c>
      <c r="AD164" s="34">
        <f>Table1[[#This Row],[Quantity (expected)]]*Table1[[#This Row],[Rate (expected)2]]*0.8</f>
        <v>0</v>
      </c>
      <c r="AE164" s="34">
        <f>Table1[[#This Row],[Quantity (expected)]]*Table1[[#This Row],[Rate (expected)2]]*0.7</f>
        <v>0</v>
      </c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1">
        <f>SUM(Table1[[#This Row],[Jan-23]:[Dec-23]])</f>
        <v>0</v>
      </c>
      <c r="AV164" s="105"/>
      <c r="AW164" s="32"/>
      <c r="AX164" s="35"/>
    </row>
    <row r="165" spans="1:50" x14ac:dyDescent="0.3">
      <c r="A165" s="30" t="str">
        <f>VLOOKUP(H165,'Accoount Code Combination'!$D:$L,8,FALSE)</f>
        <v>Academic</v>
      </c>
      <c r="B165" s="31" t="str">
        <f>VLOOKUP(Table1[[#This Row],[Account Code]],'Accoount Code Combination'!$D:$L,9,FALSE)</f>
        <v>No Applicable</v>
      </c>
      <c r="C165" s="4" t="str">
        <f>VLOOKUP(Table1[[#This Row],[Cost Center Code]],'Cost Center Group'!A:B,2,FALSE)</f>
        <v>College of Engineering</v>
      </c>
      <c r="D165" s="4">
        <v>847</v>
      </c>
      <c r="E165" s="79">
        <v>8470335</v>
      </c>
      <c r="F165" s="32" t="s">
        <v>317</v>
      </c>
      <c r="G165" s="4">
        <v>1</v>
      </c>
      <c r="H165" s="95">
        <v>425770</v>
      </c>
      <c r="I165" s="106" t="str">
        <f>IFERROR(VLOOKUP(Table1[[#This Row],[Account Code]],'Accoount Code Combination'!$D:$H,2,FALSE),"")</f>
        <v>Academic Missions - Combined expenses</v>
      </c>
      <c r="J165" s="79">
        <v>8470335</v>
      </c>
      <c r="K165" s="4"/>
      <c r="L165" s="4" t="str">
        <f>IFERROR(VLOOKUP(Table1[[#This Row],[Future-1 Description]],'Other '!E153:$F162,2,FALSE),"")</f>
        <v/>
      </c>
      <c r="M165" s="32"/>
      <c r="N165" s="32"/>
      <c r="O165" s="32"/>
      <c r="P165" s="49">
        <v>54554.559999999998</v>
      </c>
      <c r="Q165" s="49">
        <v>75000</v>
      </c>
      <c r="R165" s="32"/>
      <c r="S165" s="4"/>
      <c r="T165" s="32"/>
      <c r="U165" s="32"/>
      <c r="V165" s="32"/>
      <c r="W165" s="32"/>
      <c r="X165" s="33"/>
      <c r="Y165" s="33"/>
      <c r="Z165" s="31">
        <f>Table1[[#This Row],[Quantity of measruing units]]*Table1[[#This Row],[Rate (expected)]]</f>
        <v>0</v>
      </c>
      <c r="AA165" s="31"/>
      <c r="AB165" s="31"/>
      <c r="AC165" s="34">
        <f>Table1[[#This Row],[Quantity (expected)]]*Table1[[#This Row],[Rate (expected)2]]*0.9</f>
        <v>0</v>
      </c>
      <c r="AD165" s="34">
        <f>Table1[[#This Row],[Quantity (expected)]]*Table1[[#This Row],[Rate (expected)2]]*0.8</f>
        <v>0</v>
      </c>
      <c r="AE165" s="34">
        <f>Table1[[#This Row],[Quantity (expected)]]*Table1[[#This Row],[Rate (expected)2]]*0.7</f>
        <v>0</v>
      </c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1">
        <f>SUM(Table1[[#This Row],[Jan-23]:[Dec-23]])</f>
        <v>0</v>
      </c>
      <c r="AV165" s="105"/>
      <c r="AW165" s="32"/>
      <c r="AX165" s="35"/>
    </row>
    <row r="166" spans="1:50" x14ac:dyDescent="0.3">
      <c r="A166" s="30" t="str">
        <f>VLOOKUP(H166,'Accoount Code Combination'!$D:$L,8,FALSE)</f>
        <v>Other support</v>
      </c>
      <c r="B166" s="31" t="str">
        <f>VLOOKUP(Table1[[#This Row],[Account Code]],'Accoount Code Combination'!$D:$L,9,FALSE)</f>
        <v>No Applicable</v>
      </c>
      <c r="C166" s="4" t="str">
        <f>VLOOKUP(Table1[[#This Row],[Cost Center Code]],'Cost Center Group'!A:B,2,FALSE)</f>
        <v>College of Engineering</v>
      </c>
      <c r="D166" s="4">
        <v>847</v>
      </c>
      <c r="E166" s="79">
        <v>8470335</v>
      </c>
      <c r="F166" s="32" t="s">
        <v>317</v>
      </c>
      <c r="G166" s="4">
        <v>1</v>
      </c>
      <c r="H166" s="95">
        <v>425900</v>
      </c>
      <c r="I166" s="106" t="str">
        <f>IFERROR(VLOOKUP(Table1[[#This Row],[Account Code]],'Accoount Code Combination'!$D:$H,2,FALSE),"")</f>
        <v>Entertainment and hospitality</v>
      </c>
      <c r="J166" s="79">
        <v>8470335</v>
      </c>
      <c r="K166" s="4"/>
      <c r="L166" s="4" t="str">
        <f>IFERROR(VLOOKUP(Table1[[#This Row],[Future-1 Description]],'Other '!E154:$F163,2,FALSE),"")</f>
        <v/>
      </c>
      <c r="M166" s="32"/>
      <c r="N166" s="32"/>
      <c r="O166" s="32"/>
      <c r="P166" s="49">
        <v>4446.75</v>
      </c>
      <c r="Q166" s="49">
        <v>0</v>
      </c>
      <c r="R166" s="32"/>
      <c r="S166" s="4"/>
      <c r="T166" s="32"/>
      <c r="U166" s="32"/>
      <c r="V166" s="32"/>
      <c r="W166" s="32"/>
      <c r="X166" s="33"/>
      <c r="Y166" s="33"/>
      <c r="Z166" s="31">
        <f>Table1[[#This Row],[Quantity of measruing units]]*Table1[[#This Row],[Rate (expected)]]</f>
        <v>0</v>
      </c>
      <c r="AA166" s="31"/>
      <c r="AB166" s="31"/>
      <c r="AC166" s="34">
        <f>Table1[[#This Row],[Quantity (expected)]]*Table1[[#This Row],[Rate (expected)2]]*0.9</f>
        <v>0</v>
      </c>
      <c r="AD166" s="34">
        <f>Table1[[#This Row],[Quantity (expected)]]*Table1[[#This Row],[Rate (expected)2]]*0.8</f>
        <v>0</v>
      </c>
      <c r="AE166" s="34">
        <f>Table1[[#This Row],[Quantity (expected)]]*Table1[[#This Row],[Rate (expected)2]]*0.7</f>
        <v>0</v>
      </c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1">
        <f>SUM(Table1[[#This Row],[Jan-23]:[Dec-23]])</f>
        <v>0</v>
      </c>
      <c r="AV166" s="105"/>
      <c r="AW166" s="32"/>
      <c r="AX166" s="35"/>
    </row>
    <row r="167" spans="1:50" x14ac:dyDescent="0.3">
      <c r="A167" s="30" t="str">
        <f>VLOOKUP(H167,'Accoount Code Combination'!$D:$L,8,FALSE)</f>
        <v>IT</v>
      </c>
      <c r="B167" s="31" t="str">
        <f>VLOOKUP(Table1[[#This Row],[Account Code]],'Accoount Code Combination'!$D:$L,9,FALSE)</f>
        <v>Software Operating</v>
      </c>
      <c r="C167" s="4" t="str">
        <f>VLOOKUP(Table1[[#This Row],[Cost Center Code]],'Cost Center Group'!A:B,2,FALSE)</f>
        <v>College of Engineering</v>
      </c>
      <c r="D167" s="4">
        <v>847</v>
      </c>
      <c r="E167" s="79">
        <v>8470335</v>
      </c>
      <c r="F167" s="32" t="s">
        <v>317</v>
      </c>
      <c r="G167" s="4">
        <v>1</v>
      </c>
      <c r="H167" s="95">
        <v>426610</v>
      </c>
      <c r="I167" s="106" t="str">
        <f>IFERROR(VLOOKUP(Table1[[#This Row],[Account Code]],'Accoount Code Combination'!$D:$H,2,FALSE),"")</f>
        <v>Computer software licenses</v>
      </c>
      <c r="J167" s="79">
        <v>8470335</v>
      </c>
      <c r="K167" s="4"/>
      <c r="L167" s="4" t="str">
        <f>IFERROR(VLOOKUP(Table1[[#This Row],[Future-1 Description]],'Other '!E155:$F164,2,FALSE),"")</f>
        <v/>
      </c>
      <c r="M167" s="32"/>
      <c r="N167" s="32"/>
      <c r="O167" s="32"/>
      <c r="P167" s="49">
        <v>124805.06</v>
      </c>
      <c r="Q167" s="49">
        <v>149370</v>
      </c>
      <c r="R167" s="32"/>
      <c r="S167" s="4"/>
      <c r="T167" s="32"/>
      <c r="U167" s="32"/>
      <c r="V167" s="32"/>
      <c r="W167" s="32"/>
      <c r="X167" s="33"/>
      <c r="Y167" s="33"/>
      <c r="Z167" s="31">
        <f>Table1[[#This Row],[Quantity of measruing units]]*Table1[[#This Row],[Rate (expected)]]</f>
        <v>0</v>
      </c>
      <c r="AA167" s="31"/>
      <c r="AB167" s="31"/>
      <c r="AC167" s="34">
        <f>Table1[[#This Row],[Quantity (expected)]]*Table1[[#This Row],[Rate (expected)2]]*0.9</f>
        <v>0</v>
      </c>
      <c r="AD167" s="34">
        <f>Table1[[#This Row],[Quantity (expected)]]*Table1[[#This Row],[Rate (expected)2]]*0.8</f>
        <v>0</v>
      </c>
      <c r="AE167" s="34">
        <f>Table1[[#This Row],[Quantity (expected)]]*Table1[[#This Row],[Rate (expected)2]]*0.7</f>
        <v>0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1">
        <f>SUM(Table1[[#This Row],[Jan-23]:[Dec-23]])</f>
        <v>0</v>
      </c>
      <c r="AV167" s="105"/>
      <c r="AW167" s="32"/>
      <c r="AX167" s="35"/>
    </row>
    <row r="168" spans="1:50" x14ac:dyDescent="0.3">
      <c r="A168" s="30" t="str">
        <f>VLOOKUP(H168,'Accoount Code Combination'!$D:$L,8,FALSE)</f>
        <v xml:space="preserve">Academic </v>
      </c>
      <c r="B168" s="31" t="str">
        <f>VLOOKUP(Table1[[#This Row],[Account Code]],'Accoount Code Combination'!$D:$L,9,FALSE)</f>
        <v>No Applicable</v>
      </c>
      <c r="C168" s="4" t="str">
        <f>VLOOKUP(Table1[[#This Row],[Cost Center Code]],'Cost Center Group'!A:B,2,FALSE)</f>
        <v>College of Engineering</v>
      </c>
      <c r="D168" s="4">
        <v>847</v>
      </c>
      <c r="E168" s="79">
        <v>8470335</v>
      </c>
      <c r="F168" s="32" t="s">
        <v>317</v>
      </c>
      <c r="G168" s="4">
        <v>1</v>
      </c>
      <c r="H168" s="95">
        <v>428090</v>
      </c>
      <c r="I168" s="106" t="str">
        <f>IFERROR(VLOOKUP(Table1[[#This Row],[Account Code]],'Accoount Code Combination'!$D:$H,2,FALSE),"")</f>
        <v>Business Travel - Combined expenses</v>
      </c>
      <c r="J168" s="79">
        <v>8470335</v>
      </c>
      <c r="K168" s="4"/>
      <c r="L168" s="4" t="str">
        <f>IFERROR(VLOOKUP(Table1[[#This Row],[Future-1 Description]],'Other '!E156:$F165,2,FALSE),"")</f>
        <v/>
      </c>
      <c r="M168" s="32"/>
      <c r="N168" s="32"/>
      <c r="O168" s="32"/>
      <c r="P168" s="49">
        <v>0</v>
      </c>
      <c r="Q168" s="49">
        <v>0</v>
      </c>
      <c r="R168" s="32"/>
      <c r="S168" s="4"/>
      <c r="T168" s="32"/>
      <c r="U168" s="32"/>
      <c r="V168" s="32"/>
      <c r="W168" s="32"/>
      <c r="X168" s="33"/>
      <c r="Y168" s="33"/>
      <c r="Z168" s="31">
        <f>Table1[[#This Row],[Quantity of measruing units]]*Table1[[#This Row],[Rate (expected)]]</f>
        <v>0</v>
      </c>
      <c r="AA168" s="31"/>
      <c r="AB168" s="31"/>
      <c r="AC168" s="34">
        <f>Table1[[#This Row],[Quantity (expected)]]*Table1[[#This Row],[Rate (expected)2]]*0.9</f>
        <v>0</v>
      </c>
      <c r="AD168" s="34">
        <f>Table1[[#This Row],[Quantity (expected)]]*Table1[[#This Row],[Rate (expected)2]]*0.8</f>
        <v>0</v>
      </c>
      <c r="AE168" s="34">
        <f>Table1[[#This Row],[Quantity (expected)]]*Table1[[#This Row],[Rate (expected)2]]*0.7</f>
        <v>0</v>
      </c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1">
        <f>SUM(Table1[[#This Row],[Jan-23]:[Dec-23]])</f>
        <v>0</v>
      </c>
      <c r="AV168" s="105"/>
      <c r="AW168" s="32"/>
      <c r="AX168" s="35"/>
    </row>
    <row r="169" spans="1:50" x14ac:dyDescent="0.3">
      <c r="A169" s="30" t="str">
        <f>VLOOKUP(H169,'Accoount Code Combination'!$D:$L,8,FALSE)</f>
        <v>Academic</v>
      </c>
      <c r="B169" s="31" t="str">
        <f>VLOOKUP(Table1[[#This Row],[Account Code]],'Accoount Code Combination'!$D:$L,9,FALSE)</f>
        <v>No Applicable</v>
      </c>
      <c r="C169" s="4" t="str">
        <f>VLOOKUP(Table1[[#This Row],[Cost Center Code]],'Cost Center Group'!A:B,2,FALSE)</f>
        <v>College of Engineering</v>
      </c>
      <c r="D169" s="4">
        <v>847</v>
      </c>
      <c r="E169" s="79">
        <v>8470335</v>
      </c>
      <c r="F169" s="32" t="s">
        <v>317</v>
      </c>
      <c r="G169" s="4">
        <v>1</v>
      </c>
      <c r="H169" s="95">
        <v>435350</v>
      </c>
      <c r="I169" s="106" t="str">
        <f>IFERROR(VLOOKUP(Table1[[#This Row],[Account Code]],'Accoount Code Combination'!$D:$H,2,FALSE),"")</f>
        <v>Academic Publications</v>
      </c>
      <c r="J169" s="79">
        <v>8470335</v>
      </c>
      <c r="K169" s="4"/>
      <c r="L169" s="4" t="str">
        <f>IFERROR(VLOOKUP(Table1[[#This Row],[Future-1 Description]],'Other '!E157:$F166,2,FALSE),"")</f>
        <v/>
      </c>
      <c r="M169" s="32"/>
      <c r="N169" s="32"/>
      <c r="O169" s="32"/>
      <c r="P169" s="49">
        <v>38004.199999999997</v>
      </c>
      <c r="Q169" s="49">
        <v>51520</v>
      </c>
      <c r="R169" s="32"/>
      <c r="S169" s="4"/>
      <c r="T169" s="32"/>
      <c r="U169" s="32"/>
      <c r="V169" s="32"/>
      <c r="W169" s="32"/>
      <c r="X169" s="33"/>
      <c r="Y169" s="33"/>
      <c r="Z169" s="31">
        <f>Table1[[#This Row],[Quantity of measruing units]]*Table1[[#This Row],[Rate (expected)]]</f>
        <v>0</v>
      </c>
      <c r="AA169" s="31"/>
      <c r="AB169" s="31"/>
      <c r="AC169" s="34">
        <f>Table1[[#This Row],[Quantity (expected)]]*Table1[[#This Row],[Rate (expected)2]]*0.9</f>
        <v>0</v>
      </c>
      <c r="AD169" s="34">
        <f>Table1[[#This Row],[Quantity (expected)]]*Table1[[#This Row],[Rate (expected)2]]*0.8</f>
        <v>0</v>
      </c>
      <c r="AE169" s="34">
        <f>Table1[[#This Row],[Quantity (expected)]]*Table1[[#This Row],[Rate (expected)2]]*0.7</f>
        <v>0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1">
        <f>SUM(Table1[[#This Row],[Jan-23]:[Dec-23]])</f>
        <v>0</v>
      </c>
      <c r="AV169" s="105"/>
      <c r="AW169" s="32"/>
      <c r="AX169" s="35"/>
    </row>
    <row r="170" spans="1:50" x14ac:dyDescent="0.3">
      <c r="A170" s="30" t="str">
        <f>VLOOKUP(H170,'Accoount Code Combination'!$D:$L,8,FALSE)</f>
        <v>Academic</v>
      </c>
      <c r="B170" s="31" t="str">
        <f>VLOOKUP(Table1[[#This Row],[Account Code]],'Accoount Code Combination'!$D:$L,9,FALSE)</f>
        <v>No Applicable</v>
      </c>
      <c r="C170" s="4" t="str">
        <f>VLOOKUP(Table1[[#This Row],[Cost Center Code]],'Cost Center Group'!A:B,2,FALSE)</f>
        <v>College of Engineering</v>
      </c>
      <c r="D170" s="4">
        <v>847</v>
      </c>
      <c r="E170" s="79">
        <v>8470335</v>
      </c>
      <c r="F170" s="32" t="s">
        <v>317</v>
      </c>
      <c r="G170" s="4">
        <v>1</v>
      </c>
      <c r="H170" s="95">
        <v>435508</v>
      </c>
      <c r="I170" s="106" t="str">
        <f>IFERROR(VLOOKUP(Table1[[#This Row],[Account Code]],'Accoount Code Combination'!$D:$H,2,FALSE),"")</f>
        <v>Laboratory - Scientific</v>
      </c>
      <c r="J170" s="79">
        <v>8470335</v>
      </c>
      <c r="K170" s="4"/>
      <c r="L170" s="4" t="str">
        <f>IFERROR(VLOOKUP(Table1[[#This Row],[Future-1 Description]],'Other '!E158:$F167,2,FALSE),"")</f>
        <v/>
      </c>
      <c r="M170" s="32"/>
      <c r="N170" s="32"/>
      <c r="O170" s="32"/>
      <c r="P170" s="49">
        <v>99043.8</v>
      </c>
      <c r="Q170" s="49">
        <v>60000</v>
      </c>
      <c r="R170" s="32"/>
      <c r="S170" s="4"/>
      <c r="T170" s="32"/>
      <c r="U170" s="32"/>
      <c r="V170" s="32"/>
      <c r="W170" s="32"/>
      <c r="X170" s="33"/>
      <c r="Y170" s="33"/>
      <c r="Z170" s="31">
        <f>Table1[[#This Row],[Quantity of measruing units]]*Table1[[#This Row],[Rate (expected)]]</f>
        <v>0</v>
      </c>
      <c r="AA170" s="31"/>
      <c r="AB170" s="31"/>
      <c r="AC170" s="34">
        <f>Table1[[#This Row],[Quantity (expected)]]*Table1[[#This Row],[Rate (expected)2]]*0.9</f>
        <v>0</v>
      </c>
      <c r="AD170" s="34">
        <f>Table1[[#This Row],[Quantity (expected)]]*Table1[[#This Row],[Rate (expected)2]]*0.8</f>
        <v>0</v>
      </c>
      <c r="AE170" s="34">
        <f>Table1[[#This Row],[Quantity (expected)]]*Table1[[#This Row],[Rate (expected)2]]*0.7</f>
        <v>0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1">
        <f>SUM(Table1[[#This Row],[Jan-23]:[Dec-23]])</f>
        <v>0</v>
      </c>
      <c r="AV170" s="105"/>
      <c r="AW170" s="32"/>
      <c r="AX170" s="35"/>
    </row>
    <row r="171" spans="1:50" x14ac:dyDescent="0.3">
      <c r="A171" s="30" t="str">
        <f>VLOOKUP(H171,'Accoount Code Combination'!$D:$L,8,FALSE)</f>
        <v>Other support</v>
      </c>
      <c r="B171" s="31" t="str">
        <f>VLOOKUP(Table1[[#This Row],[Account Code]],'Accoount Code Combination'!$D:$L,9,FALSE)</f>
        <v>No Applicable</v>
      </c>
      <c r="C171" s="4" t="str">
        <f>VLOOKUP(Table1[[#This Row],[Cost Center Code]],'Cost Center Group'!A:B,2,FALSE)</f>
        <v>College of Engineering</v>
      </c>
      <c r="D171" s="4">
        <v>847</v>
      </c>
      <c r="E171" s="79">
        <v>8470335</v>
      </c>
      <c r="F171" s="32" t="s">
        <v>317</v>
      </c>
      <c r="G171" s="4">
        <v>1</v>
      </c>
      <c r="H171" s="95">
        <v>436110</v>
      </c>
      <c r="I171" s="106" t="str">
        <f>IFERROR(VLOOKUP(Table1[[#This Row],[Account Code]],'Accoount Code Combination'!$D:$H,2,FALSE),"")</f>
        <v>Printing supplies</v>
      </c>
      <c r="J171" s="79">
        <v>8470335</v>
      </c>
      <c r="K171" s="4"/>
      <c r="L171" s="4" t="str">
        <f>IFERROR(VLOOKUP(Table1[[#This Row],[Future-1 Description]],'Other '!E159:$F168,2,FALSE),"")</f>
        <v/>
      </c>
      <c r="M171" s="32"/>
      <c r="N171" s="32"/>
      <c r="O171" s="32"/>
      <c r="P171" s="49">
        <v>3777.8</v>
      </c>
      <c r="Q171" s="49">
        <v>0</v>
      </c>
      <c r="R171" s="32"/>
      <c r="S171" s="4"/>
      <c r="T171" s="32"/>
      <c r="U171" s="32"/>
      <c r="V171" s="32"/>
      <c r="W171" s="32"/>
      <c r="X171" s="33"/>
      <c r="Y171" s="33"/>
      <c r="Z171" s="31">
        <f>Table1[[#This Row],[Quantity of measruing units]]*Table1[[#This Row],[Rate (expected)]]</f>
        <v>0</v>
      </c>
      <c r="AA171" s="31"/>
      <c r="AB171" s="31"/>
      <c r="AC171" s="34">
        <f>Table1[[#This Row],[Quantity (expected)]]*Table1[[#This Row],[Rate (expected)2]]*0.9</f>
        <v>0</v>
      </c>
      <c r="AD171" s="34">
        <f>Table1[[#This Row],[Quantity (expected)]]*Table1[[#This Row],[Rate (expected)2]]*0.8</f>
        <v>0</v>
      </c>
      <c r="AE171" s="34">
        <f>Table1[[#This Row],[Quantity (expected)]]*Table1[[#This Row],[Rate (expected)2]]*0.7</f>
        <v>0</v>
      </c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1">
        <f>SUM(Table1[[#This Row],[Jan-23]:[Dec-23]])</f>
        <v>0</v>
      </c>
      <c r="AV171" s="105"/>
      <c r="AW171" s="32"/>
      <c r="AX171" s="35"/>
    </row>
    <row r="172" spans="1:50" ht="26" x14ac:dyDescent="0.3">
      <c r="A172" s="30" t="str">
        <f>VLOOKUP(H172,'Accoount Code Combination'!$D:$L,8,FALSE)</f>
        <v>Academic</v>
      </c>
      <c r="B172" s="31" t="str">
        <f>VLOOKUP(Table1[[#This Row],[Account Code]],'Accoount Code Combination'!$D:$L,9,FALSE)</f>
        <v>No Applicable</v>
      </c>
      <c r="C172" s="4" t="str">
        <f>VLOOKUP(Table1[[#This Row],[Cost Center Code]],'Cost Center Group'!A:B,2,FALSE)</f>
        <v>College of Engineering</v>
      </c>
      <c r="D172" s="4">
        <v>847</v>
      </c>
      <c r="E172" s="79">
        <v>8470335</v>
      </c>
      <c r="F172" s="32" t="s">
        <v>317</v>
      </c>
      <c r="G172" s="4">
        <v>1</v>
      </c>
      <c r="H172" s="95">
        <v>436600</v>
      </c>
      <c r="I172" s="106" t="str">
        <f>IFERROR(VLOOKUP(Table1[[#This Row],[Account Code]],'Accoount Code Combination'!$D:$H,2,FALSE),"")</f>
        <v>Training/Teaching equipment and other educational aid</v>
      </c>
      <c r="J172" s="79">
        <v>8470335</v>
      </c>
      <c r="K172" s="4"/>
      <c r="L172" s="4" t="str">
        <f>IFERROR(VLOOKUP(Table1[[#This Row],[Future-1 Description]],'Other '!E160:$F169,2,FALSE),"")</f>
        <v/>
      </c>
      <c r="M172" s="32"/>
      <c r="N172" s="32"/>
      <c r="O172" s="32"/>
      <c r="P172" s="49">
        <v>12140.5</v>
      </c>
      <c r="Q172" s="49">
        <v>13858</v>
      </c>
      <c r="R172" s="32"/>
      <c r="S172" s="4"/>
      <c r="T172" s="32"/>
      <c r="U172" s="32"/>
      <c r="V172" s="32"/>
      <c r="W172" s="32"/>
      <c r="X172" s="33"/>
      <c r="Y172" s="33"/>
      <c r="Z172" s="31">
        <f>Table1[[#This Row],[Quantity of measruing units]]*Table1[[#This Row],[Rate (expected)]]</f>
        <v>0</v>
      </c>
      <c r="AA172" s="31"/>
      <c r="AB172" s="31"/>
      <c r="AC172" s="34">
        <f>Table1[[#This Row],[Quantity (expected)]]*Table1[[#This Row],[Rate (expected)2]]*0.9</f>
        <v>0</v>
      </c>
      <c r="AD172" s="34">
        <f>Table1[[#This Row],[Quantity (expected)]]*Table1[[#This Row],[Rate (expected)2]]*0.8</f>
        <v>0</v>
      </c>
      <c r="AE172" s="34">
        <f>Table1[[#This Row],[Quantity (expected)]]*Table1[[#This Row],[Rate (expected)2]]*0.7</f>
        <v>0</v>
      </c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1">
        <f>SUM(Table1[[#This Row],[Jan-23]:[Dec-23]])</f>
        <v>0</v>
      </c>
      <c r="AV172" s="105"/>
      <c r="AW172" s="32"/>
      <c r="AX172" s="35"/>
    </row>
    <row r="173" spans="1:50" x14ac:dyDescent="0.3">
      <c r="A173" s="30">
        <f>VLOOKUP(H173,'Accoount Code Combination'!$D:$L,8,FALSE)</f>
        <v>0</v>
      </c>
      <c r="B173" s="31" t="str">
        <f>VLOOKUP(Table1[[#This Row],[Account Code]],'Accoount Code Combination'!$D:$L,9,FALSE)</f>
        <v>No Applicable</v>
      </c>
      <c r="C173" s="4" t="str">
        <f>VLOOKUP(Table1[[#This Row],[Cost Center Code]],'Cost Center Group'!A:B,2,FALSE)</f>
        <v>College of Engineering</v>
      </c>
      <c r="D173" s="4">
        <v>847</v>
      </c>
      <c r="E173" s="79">
        <v>8470335</v>
      </c>
      <c r="F173" s="32" t="s">
        <v>317</v>
      </c>
      <c r="G173" s="4">
        <v>1</v>
      </c>
      <c r="H173" s="95">
        <v>492316</v>
      </c>
      <c r="I173" s="106" t="str">
        <f>IFERROR(VLOOKUP(Table1[[#This Row],[Account Code]],'Accoount Code Combination'!$D:$H,2,FALSE),"")</f>
        <v>Laboratory equipment</v>
      </c>
      <c r="J173" s="79">
        <v>8470335</v>
      </c>
      <c r="K173" s="4"/>
      <c r="L173" s="4" t="str">
        <f>IFERROR(VLOOKUP(Table1[[#This Row],[Future-1 Description]],'Other '!E161:$F170,2,FALSE),"")</f>
        <v/>
      </c>
      <c r="M173" s="32"/>
      <c r="N173" s="32"/>
      <c r="O173" s="32"/>
      <c r="P173" s="49">
        <v>283271</v>
      </c>
      <c r="Q173" s="49">
        <v>80120</v>
      </c>
      <c r="R173" s="32"/>
      <c r="S173" s="4"/>
      <c r="T173" s="32"/>
      <c r="U173" s="32"/>
      <c r="V173" s="32"/>
      <c r="W173" s="32"/>
      <c r="X173" s="33"/>
      <c r="Y173" s="33"/>
      <c r="Z173" s="31">
        <f>Table1[[#This Row],[Quantity of measruing units]]*Table1[[#This Row],[Rate (expected)]]</f>
        <v>0</v>
      </c>
      <c r="AA173" s="31"/>
      <c r="AB173" s="31"/>
      <c r="AC173" s="34">
        <f>Table1[[#This Row],[Quantity (expected)]]*Table1[[#This Row],[Rate (expected)2]]*0.9</f>
        <v>0</v>
      </c>
      <c r="AD173" s="34">
        <f>Table1[[#This Row],[Quantity (expected)]]*Table1[[#This Row],[Rate (expected)2]]*0.8</f>
        <v>0</v>
      </c>
      <c r="AE173" s="34">
        <f>Table1[[#This Row],[Quantity (expected)]]*Table1[[#This Row],[Rate (expected)2]]*0.7</f>
        <v>0</v>
      </c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1">
        <f>SUM(Table1[[#This Row],[Jan-23]:[Dec-23]])</f>
        <v>0</v>
      </c>
      <c r="AV173" s="105"/>
      <c r="AW173" s="32"/>
      <c r="AX173" s="35"/>
    </row>
    <row r="174" spans="1:50" x14ac:dyDescent="0.3">
      <c r="A174" s="30" t="str">
        <f>VLOOKUP(H174,'Accoount Code Combination'!$D:$L,8,FALSE)</f>
        <v>Academic</v>
      </c>
      <c r="B174" s="31" t="str">
        <f>VLOOKUP(Table1[[#This Row],[Account Code]],'Accoount Code Combination'!$D:$L,9,FALSE)</f>
        <v>No Applicable</v>
      </c>
      <c r="C174" s="4" t="str">
        <f>VLOOKUP(Table1[[#This Row],[Cost Center Code]],'Cost Center Group'!A:B,2,FALSE)</f>
        <v>College of Engineering</v>
      </c>
      <c r="D174" s="4">
        <v>847</v>
      </c>
      <c r="E174" s="79">
        <v>8470340</v>
      </c>
      <c r="F174" s="32" t="s">
        <v>234</v>
      </c>
      <c r="G174" s="4">
        <v>1</v>
      </c>
      <c r="H174" s="95">
        <v>420550</v>
      </c>
      <c r="I174" s="106" t="str">
        <f>IFERROR(VLOOKUP(Table1[[#This Row],[Account Code]],'Accoount Code Combination'!$D:$H,2,FALSE),"")</f>
        <v>Academic Advisory Service</v>
      </c>
      <c r="J174" s="79">
        <v>8470340</v>
      </c>
      <c r="K174" s="4"/>
      <c r="L174" s="4" t="str">
        <f>IFERROR(VLOOKUP(Table1[[#This Row],[Future-1 Description]],'Other '!E162:$F171,2,FALSE),"")</f>
        <v/>
      </c>
      <c r="M174" s="32"/>
      <c r="N174" s="32"/>
      <c r="O174" s="32"/>
      <c r="P174" s="49">
        <v>0</v>
      </c>
      <c r="Q174" s="49">
        <v>0</v>
      </c>
      <c r="R174" s="32"/>
      <c r="S174" s="4"/>
      <c r="T174" s="32"/>
      <c r="U174" s="32"/>
      <c r="V174" s="32"/>
      <c r="W174" s="32"/>
      <c r="X174" s="33"/>
      <c r="Y174" s="33"/>
      <c r="Z174" s="31">
        <f>Table1[[#This Row],[Quantity of measruing units]]*Table1[[#This Row],[Rate (expected)]]</f>
        <v>0</v>
      </c>
      <c r="AA174" s="31"/>
      <c r="AB174" s="31"/>
      <c r="AC174" s="34">
        <f>Table1[[#This Row],[Quantity (expected)]]*Table1[[#This Row],[Rate (expected)2]]*0.9</f>
        <v>0</v>
      </c>
      <c r="AD174" s="34">
        <f>Table1[[#This Row],[Quantity (expected)]]*Table1[[#This Row],[Rate (expected)2]]*0.8</f>
        <v>0</v>
      </c>
      <c r="AE174" s="34">
        <f>Table1[[#This Row],[Quantity (expected)]]*Table1[[#This Row],[Rate (expected)2]]*0.7</f>
        <v>0</v>
      </c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1">
        <f>SUM(Table1[[#This Row],[Jan-23]:[Dec-23]])</f>
        <v>0</v>
      </c>
      <c r="AV174" s="105"/>
      <c r="AW174" s="32"/>
      <c r="AX174" s="35"/>
    </row>
    <row r="175" spans="1:50" ht="26" x14ac:dyDescent="0.3">
      <c r="A175" s="30" t="str">
        <f>VLOOKUP(H175,'Accoount Code Combination'!$D:$L,8,FALSE)</f>
        <v>Communiction &amp; Marketing</v>
      </c>
      <c r="B175" s="31" t="str">
        <f>VLOOKUP(Table1[[#This Row],[Account Code]],'Accoount Code Combination'!$D:$L,9,FALSE)</f>
        <v>Events</v>
      </c>
      <c r="C175" s="4" t="str">
        <f>VLOOKUP(Table1[[#This Row],[Cost Center Code]],'Cost Center Group'!A:B,2,FALSE)</f>
        <v>College of Engineering</v>
      </c>
      <c r="D175" s="4">
        <v>847</v>
      </c>
      <c r="E175" s="79">
        <v>8470340</v>
      </c>
      <c r="F175" s="32" t="s">
        <v>234</v>
      </c>
      <c r="G175" s="4">
        <v>1</v>
      </c>
      <c r="H175" s="95">
        <v>425510</v>
      </c>
      <c r="I175" s="106" t="str">
        <f>IFERROR(VLOOKUP(Table1[[#This Row],[Account Code]],'Accoount Code Combination'!$D:$H,2,FALSE),"")</f>
        <v>Conferences, seminars and exhibitions and other events: - Local Events</v>
      </c>
      <c r="J175" s="79">
        <v>8470340</v>
      </c>
      <c r="K175" s="4"/>
      <c r="L175" s="4" t="str">
        <f>IFERROR(VLOOKUP(Table1[[#This Row],[Future-1 Description]],'Other '!E163:$F172,2,FALSE),"")</f>
        <v/>
      </c>
      <c r="M175" s="32"/>
      <c r="N175" s="32"/>
      <c r="O175" s="32"/>
      <c r="P175" s="49">
        <v>2080</v>
      </c>
      <c r="Q175" s="49">
        <v>0</v>
      </c>
      <c r="R175" s="32"/>
      <c r="S175" s="4"/>
      <c r="T175" s="32"/>
      <c r="U175" s="32"/>
      <c r="V175" s="32"/>
      <c r="W175" s="32"/>
      <c r="X175" s="33"/>
      <c r="Y175" s="33"/>
      <c r="Z175" s="31">
        <f>Table1[[#This Row],[Quantity of measruing units]]*Table1[[#This Row],[Rate (expected)]]</f>
        <v>0</v>
      </c>
      <c r="AA175" s="31"/>
      <c r="AB175" s="31"/>
      <c r="AC175" s="34">
        <f>Table1[[#This Row],[Quantity (expected)]]*Table1[[#This Row],[Rate (expected)2]]*0.9</f>
        <v>0</v>
      </c>
      <c r="AD175" s="34">
        <f>Table1[[#This Row],[Quantity (expected)]]*Table1[[#This Row],[Rate (expected)2]]*0.8</f>
        <v>0</v>
      </c>
      <c r="AE175" s="34">
        <f>Table1[[#This Row],[Quantity (expected)]]*Table1[[#This Row],[Rate (expected)2]]*0.7</f>
        <v>0</v>
      </c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1">
        <f>SUM(Table1[[#This Row],[Jan-23]:[Dec-23]])</f>
        <v>0</v>
      </c>
      <c r="AV175" s="105"/>
      <c r="AW175" s="32"/>
      <c r="AX175" s="35"/>
    </row>
    <row r="176" spans="1:50" x14ac:dyDescent="0.3">
      <c r="A176" s="30" t="str">
        <f>VLOOKUP(H176,'Accoount Code Combination'!$D:$L,8,FALSE)</f>
        <v>Student</v>
      </c>
      <c r="B176" s="31" t="str">
        <f>VLOOKUP(Table1[[#This Row],[Account Code]],'Accoount Code Combination'!$D:$L,9,FALSE)</f>
        <v>Activities and Field trips</v>
      </c>
      <c r="C176" s="4" t="str">
        <f>VLOOKUP(Table1[[#This Row],[Cost Center Code]],'Cost Center Group'!A:B,2,FALSE)</f>
        <v>College of Engineering</v>
      </c>
      <c r="D176" s="4">
        <v>847</v>
      </c>
      <c r="E176" s="79">
        <v>8470340</v>
      </c>
      <c r="F176" s="32" t="s">
        <v>234</v>
      </c>
      <c r="G176" s="4">
        <v>1</v>
      </c>
      <c r="H176" s="95">
        <v>425760</v>
      </c>
      <c r="I176" s="106" t="str">
        <f>IFERROR(VLOOKUP(Table1[[#This Row],[Account Code]],'Accoount Code Combination'!$D:$H,2,FALSE),"")</f>
        <v>Student activities &amp; field trip expenses</v>
      </c>
      <c r="J176" s="79">
        <v>8470340</v>
      </c>
      <c r="K176" s="4"/>
      <c r="L176" s="4" t="str">
        <f>IFERROR(VLOOKUP(Table1[[#This Row],[Future-1 Description]],'Other '!E164:$F173,2,FALSE),"")</f>
        <v/>
      </c>
      <c r="M176" s="32"/>
      <c r="N176" s="32"/>
      <c r="O176" s="32"/>
      <c r="P176" s="49">
        <v>2750</v>
      </c>
      <c r="Q176" s="49">
        <v>0</v>
      </c>
      <c r="R176" s="32"/>
      <c r="S176" s="4"/>
      <c r="T176" s="32"/>
      <c r="U176" s="32"/>
      <c r="V176" s="32"/>
      <c r="W176" s="32"/>
      <c r="X176" s="33"/>
      <c r="Y176" s="33"/>
      <c r="Z176" s="31">
        <f>Table1[[#This Row],[Quantity of measruing units]]*Table1[[#This Row],[Rate (expected)]]</f>
        <v>0</v>
      </c>
      <c r="AA176" s="31"/>
      <c r="AB176" s="31"/>
      <c r="AC176" s="34">
        <f>Table1[[#This Row],[Quantity (expected)]]*Table1[[#This Row],[Rate (expected)2]]*0.9</f>
        <v>0</v>
      </c>
      <c r="AD176" s="34">
        <f>Table1[[#This Row],[Quantity (expected)]]*Table1[[#This Row],[Rate (expected)2]]*0.8</f>
        <v>0</v>
      </c>
      <c r="AE176" s="34">
        <f>Table1[[#This Row],[Quantity (expected)]]*Table1[[#This Row],[Rate (expected)2]]*0.7</f>
        <v>0</v>
      </c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1">
        <f>SUM(Table1[[#This Row],[Jan-23]:[Dec-23]])</f>
        <v>0</v>
      </c>
      <c r="AV176" s="105"/>
      <c r="AW176" s="32"/>
      <c r="AX176" s="35"/>
    </row>
    <row r="177" spans="1:50" x14ac:dyDescent="0.3">
      <c r="A177" s="30" t="str">
        <f>VLOOKUP(H177,'Accoount Code Combination'!$D:$L,8,FALSE)</f>
        <v>Student</v>
      </c>
      <c r="B177" s="31" t="str">
        <f>VLOOKUP(Table1[[#This Row],[Account Code]],'Accoount Code Combination'!$D:$L,9,FALSE)</f>
        <v>No Applicable</v>
      </c>
      <c r="C177" s="4" t="str">
        <f>VLOOKUP(Table1[[#This Row],[Cost Center Code]],'Cost Center Group'!A:B,2,FALSE)</f>
        <v>College of Engineering</v>
      </c>
      <c r="D177" s="4">
        <v>847</v>
      </c>
      <c r="E177" s="79">
        <v>8470340</v>
      </c>
      <c r="F177" s="32" t="s">
        <v>234</v>
      </c>
      <c r="G177" s="4">
        <v>1</v>
      </c>
      <c r="H177" s="95">
        <v>425763</v>
      </c>
      <c r="I177" s="106" t="str">
        <f>IFERROR(VLOOKUP(Table1[[#This Row],[Account Code]],'Accoount Code Combination'!$D:$H,2,FALSE),"")</f>
        <v>Student Project Expenses</v>
      </c>
      <c r="J177" s="79">
        <v>8470340</v>
      </c>
      <c r="K177" s="4"/>
      <c r="L177" s="4" t="str">
        <f>IFERROR(VLOOKUP(Table1[[#This Row],[Future-1 Description]],'Other '!E165:$F174,2,FALSE),"")</f>
        <v/>
      </c>
      <c r="M177" s="32"/>
      <c r="N177" s="32"/>
      <c r="O177" s="32"/>
      <c r="P177" s="49">
        <v>225403.24</v>
      </c>
      <c r="Q177" s="49">
        <v>300000</v>
      </c>
      <c r="R177" s="32"/>
      <c r="S177" s="4"/>
      <c r="T177" s="32"/>
      <c r="U177" s="32"/>
      <c r="V177" s="32"/>
      <c r="W177" s="32"/>
      <c r="X177" s="33"/>
      <c r="Y177" s="33"/>
      <c r="Z177" s="31">
        <f>Table1[[#This Row],[Quantity of measruing units]]*Table1[[#This Row],[Rate (expected)]]</f>
        <v>0</v>
      </c>
      <c r="AA177" s="31"/>
      <c r="AB177" s="31"/>
      <c r="AC177" s="34">
        <f>Table1[[#This Row],[Quantity (expected)]]*Table1[[#This Row],[Rate (expected)2]]*0.9</f>
        <v>0</v>
      </c>
      <c r="AD177" s="34">
        <f>Table1[[#This Row],[Quantity (expected)]]*Table1[[#This Row],[Rate (expected)2]]*0.8</f>
        <v>0</v>
      </c>
      <c r="AE177" s="34">
        <f>Table1[[#This Row],[Quantity (expected)]]*Table1[[#This Row],[Rate (expected)2]]*0.7</f>
        <v>0</v>
      </c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1">
        <f>SUM(Table1[[#This Row],[Jan-23]:[Dec-23]])</f>
        <v>0</v>
      </c>
      <c r="AV177" s="105"/>
      <c r="AW177" s="32"/>
      <c r="AX177" s="35"/>
    </row>
    <row r="178" spans="1:50" x14ac:dyDescent="0.3">
      <c r="A178" s="30" t="str">
        <f>VLOOKUP(H178,'Accoount Code Combination'!$D:$L,8,FALSE)</f>
        <v>Academic</v>
      </c>
      <c r="B178" s="31" t="str">
        <f>VLOOKUP(Table1[[#This Row],[Account Code]],'Accoount Code Combination'!$D:$L,9,FALSE)</f>
        <v>No Applicable</v>
      </c>
      <c r="C178" s="4" t="str">
        <f>VLOOKUP(Table1[[#This Row],[Cost Center Code]],'Cost Center Group'!A:B,2,FALSE)</f>
        <v>College of Engineering</v>
      </c>
      <c r="D178" s="4">
        <v>847</v>
      </c>
      <c r="E178" s="79">
        <v>8470340</v>
      </c>
      <c r="F178" s="32" t="s">
        <v>234</v>
      </c>
      <c r="G178" s="4">
        <v>1</v>
      </c>
      <c r="H178" s="95">
        <v>425770</v>
      </c>
      <c r="I178" s="106" t="str">
        <f>IFERROR(VLOOKUP(Table1[[#This Row],[Account Code]],'Accoount Code Combination'!$D:$H,2,FALSE),"")</f>
        <v>Academic Missions - Combined expenses</v>
      </c>
      <c r="J178" s="79">
        <v>8470340</v>
      </c>
      <c r="K178" s="4"/>
      <c r="L178" s="4" t="str">
        <f>IFERROR(VLOOKUP(Table1[[#This Row],[Future-1 Description]],'Other '!E166:$F175,2,FALSE),"")</f>
        <v/>
      </c>
      <c r="M178" s="32"/>
      <c r="N178" s="32"/>
      <c r="O178" s="32"/>
      <c r="P178" s="49">
        <v>54007.37</v>
      </c>
      <c r="Q178" s="49">
        <v>52050</v>
      </c>
      <c r="R178" s="32"/>
      <c r="S178" s="4"/>
      <c r="T178" s="32"/>
      <c r="U178" s="32"/>
      <c r="V178" s="32"/>
      <c r="W178" s="32"/>
      <c r="X178" s="33"/>
      <c r="Y178" s="33"/>
      <c r="Z178" s="31">
        <f>Table1[[#This Row],[Quantity of measruing units]]*Table1[[#This Row],[Rate (expected)]]</f>
        <v>0</v>
      </c>
      <c r="AA178" s="31"/>
      <c r="AB178" s="31"/>
      <c r="AC178" s="34">
        <f>Table1[[#This Row],[Quantity (expected)]]*Table1[[#This Row],[Rate (expected)2]]*0.9</f>
        <v>0</v>
      </c>
      <c r="AD178" s="34">
        <f>Table1[[#This Row],[Quantity (expected)]]*Table1[[#This Row],[Rate (expected)2]]*0.8</f>
        <v>0</v>
      </c>
      <c r="AE178" s="34">
        <f>Table1[[#This Row],[Quantity (expected)]]*Table1[[#This Row],[Rate (expected)2]]*0.7</f>
        <v>0</v>
      </c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1">
        <f>SUM(Table1[[#This Row],[Jan-23]:[Dec-23]])</f>
        <v>0</v>
      </c>
      <c r="AV178" s="105"/>
      <c r="AW178" s="32"/>
      <c r="AX178" s="35"/>
    </row>
    <row r="179" spans="1:50" x14ac:dyDescent="0.3">
      <c r="A179" s="30" t="str">
        <f>VLOOKUP(H179,'Accoount Code Combination'!$D:$L,8,FALSE)</f>
        <v>Other support</v>
      </c>
      <c r="B179" s="31" t="str">
        <f>VLOOKUP(Table1[[#This Row],[Account Code]],'Accoount Code Combination'!$D:$L,9,FALSE)</f>
        <v>No Applicable</v>
      </c>
      <c r="C179" s="4" t="str">
        <f>VLOOKUP(Table1[[#This Row],[Cost Center Code]],'Cost Center Group'!A:B,2,FALSE)</f>
        <v>College of Engineering</v>
      </c>
      <c r="D179" s="4">
        <v>847</v>
      </c>
      <c r="E179" s="79">
        <v>8470340</v>
      </c>
      <c r="F179" s="32" t="s">
        <v>234</v>
      </c>
      <c r="G179" s="4">
        <v>1</v>
      </c>
      <c r="H179" s="95">
        <v>425900</v>
      </c>
      <c r="I179" s="106" t="str">
        <f>IFERROR(VLOOKUP(Table1[[#This Row],[Account Code]],'Accoount Code Combination'!$D:$H,2,FALSE),"")</f>
        <v>Entertainment and hospitality</v>
      </c>
      <c r="J179" s="79">
        <v>8470340</v>
      </c>
      <c r="K179" s="4"/>
      <c r="L179" s="4" t="str">
        <f>IFERROR(VLOOKUP(Table1[[#This Row],[Future-1 Description]],'Other '!E167:$F176,2,FALSE),"")</f>
        <v/>
      </c>
      <c r="M179" s="32"/>
      <c r="N179" s="32"/>
      <c r="O179" s="32"/>
      <c r="P179" s="49">
        <v>7287</v>
      </c>
      <c r="Q179" s="49">
        <v>0</v>
      </c>
      <c r="R179" s="32"/>
      <c r="S179" s="4"/>
      <c r="T179" s="32"/>
      <c r="U179" s="32"/>
      <c r="V179" s="32"/>
      <c r="W179" s="32"/>
      <c r="X179" s="33"/>
      <c r="Y179" s="33"/>
      <c r="Z179" s="31">
        <f>Table1[[#This Row],[Quantity of measruing units]]*Table1[[#This Row],[Rate (expected)]]</f>
        <v>0</v>
      </c>
      <c r="AA179" s="31"/>
      <c r="AB179" s="31"/>
      <c r="AC179" s="34">
        <f>Table1[[#This Row],[Quantity (expected)]]*Table1[[#This Row],[Rate (expected)2]]*0.9</f>
        <v>0</v>
      </c>
      <c r="AD179" s="34">
        <f>Table1[[#This Row],[Quantity (expected)]]*Table1[[#This Row],[Rate (expected)2]]*0.8</f>
        <v>0</v>
      </c>
      <c r="AE179" s="34">
        <f>Table1[[#This Row],[Quantity (expected)]]*Table1[[#This Row],[Rate (expected)2]]*0.7</f>
        <v>0</v>
      </c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1">
        <f>SUM(Table1[[#This Row],[Jan-23]:[Dec-23]])</f>
        <v>0</v>
      </c>
      <c r="AV179" s="105"/>
      <c r="AW179" s="32"/>
      <c r="AX179" s="35"/>
    </row>
    <row r="180" spans="1:50" x14ac:dyDescent="0.3">
      <c r="A180" s="30" t="str">
        <f>VLOOKUP(H180,'Accoount Code Combination'!$D:$L,8,FALSE)</f>
        <v>IT</v>
      </c>
      <c r="B180" s="31" t="str">
        <f>VLOOKUP(Table1[[#This Row],[Account Code]],'Accoount Code Combination'!$D:$L,9,FALSE)</f>
        <v>Software Operating</v>
      </c>
      <c r="C180" s="4" t="str">
        <f>VLOOKUP(Table1[[#This Row],[Cost Center Code]],'Cost Center Group'!A:B,2,FALSE)</f>
        <v>College of Engineering</v>
      </c>
      <c r="D180" s="4">
        <v>847</v>
      </c>
      <c r="E180" s="79">
        <v>8470340</v>
      </c>
      <c r="F180" s="32" t="s">
        <v>234</v>
      </c>
      <c r="G180" s="4">
        <v>1</v>
      </c>
      <c r="H180" s="95">
        <v>426610</v>
      </c>
      <c r="I180" s="106" t="str">
        <f>IFERROR(VLOOKUP(Table1[[#This Row],[Account Code]],'Accoount Code Combination'!$D:$H,2,FALSE),"")</f>
        <v>Computer software licenses</v>
      </c>
      <c r="J180" s="79">
        <v>8470340</v>
      </c>
      <c r="K180" s="4"/>
      <c r="L180" s="4" t="str">
        <f>IFERROR(VLOOKUP(Table1[[#This Row],[Future-1 Description]],'Other '!E168:$F177,2,FALSE),"")</f>
        <v/>
      </c>
      <c r="M180" s="32"/>
      <c r="N180" s="32"/>
      <c r="O180" s="32"/>
      <c r="P180" s="49">
        <v>173961.31</v>
      </c>
      <c r="Q180" s="49">
        <v>209338</v>
      </c>
      <c r="R180" s="32"/>
      <c r="S180" s="4"/>
      <c r="T180" s="32"/>
      <c r="U180" s="32"/>
      <c r="V180" s="32"/>
      <c r="W180" s="32"/>
      <c r="X180" s="33"/>
      <c r="Y180" s="33"/>
      <c r="Z180" s="31">
        <f>Table1[[#This Row],[Quantity of measruing units]]*Table1[[#This Row],[Rate (expected)]]</f>
        <v>0</v>
      </c>
      <c r="AA180" s="31"/>
      <c r="AB180" s="31"/>
      <c r="AC180" s="34">
        <f>Table1[[#This Row],[Quantity (expected)]]*Table1[[#This Row],[Rate (expected)2]]*0.9</f>
        <v>0</v>
      </c>
      <c r="AD180" s="34">
        <f>Table1[[#This Row],[Quantity (expected)]]*Table1[[#This Row],[Rate (expected)2]]*0.8</f>
        <v>0</v>
      </c>
      <c r="AE180" s="34">
        <f>Table1[[#This Row],[Quantity (expected)]]*Table1[[#This Row],[Rate (expected)2]]*0.7</f>
        <v>0</v>
      </c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1">
        <f>SUM(Table1[[#This Row],[Jan-23]:[Dec-23]])</f>
        <v>0</v>
      </c>
      <c r="AV180" s="105"/>
      <c r="AW180" s="32"/>
      <c r="AX180" s="35"/>
    </row>
    <row r="181" spans="1:50" x14ac:dyDescent="0.3">
      <c r="A181" s="30" t="str">
        <f>VLOOKUP(H181,'Accoount Code Combination'!$D:$L,8,FALSE)</f>
        <v xml:space="preserve">Academic </v>
      </c>
      <c r="B181" s="31" t="str">
        <f>VLOOKUP(Table1[[#This Row],[Account Code]],'Accoount Code Combination'!$D:$L,9,FALSE)</f>
        <v>No Applicable</v>
      </c>
      <c r="C181" s="4" t="str">
        <f>VLOOKUP(Table1[[#This Row],[Cost Center Code]],'Cost Center Group'!A:B,2,FALSE)</f>
        <v>College of Engineering</v>
      </c>
      <c r="D181" s="4">
        <v>847</v>
      </c>
      <c r="E181" s="79">
        <v>8470340</v>
      </c>
      <c r="F181" s="32" t="s">
        <v>234</v>
      </c>
      <c r="G181" s="4">
        <v>1</v>
      </c>
      <c r="H181" s="95">
        <v>428090</v>
      </c>
      <c r="I181" s="106" t="str">
        <f>IFERROR(VLOOKUP(Table1[[#This Row],[Account Code]],'Accoount Code Combination'!$D:$H,2,FALSE),"")</f>
        <v>Business Travel - Combined expenses</v>
      </c>
      <c r="J181" s="79">
        <v>8470340</v>
      </c>
      <c r="K181" s="4"/>
      <c r="L181" s="4" t="str">
        <f>IFERROR(VLOOKUP(Table1[[#This Row],[Future-1 Description]],'Other '!E169:$F178,2,FALSE),"")</f>
        <v/>
      </c>
      <c r="M181" s="32"/>
      <c r="N181" s="32"/>
      <c r="O181" s="32"/>
      <c r="P181" s="49">
        <v>9903</v>
      </c>
      <c r="Q181" s="49">
        <v>0</v>
      </c>
      <c r="R181" s="32"/>
      <c r="S181" s="4"/>
      <c r="T181" s="32"/>
      <c r="U181" s="32"/>
      <c r="V181" s="32"/>
      <c r="W181" s="32"/>
      <c r="X181" s="33"/>
      <c r="Y181" s="33"/>
      <c r="Z181" s="31">
        <f>Table1[[#This Row],[Quantity of measruing units]]*Table1[[#This Row],[Rate (expected)]]</f>
        <v>0</v>
      </c>
      <c r="AA181" s="31"/>
      <c r="AB181" s="31"/>
      <c r="AC181" s="34">
        <f>Table1[[#This Row],[Quantity (expected)]]*Table1[[#This Row],[Rate (expected)2]]*0.9</f>
        <v>0</v>
      </c>
      <c r="AD181" s="34">
        <f>Table1[[#This Row],[Quantity (expected)]]*Table1[[#This Row],[Rate (expected)2]]*0.8</f>
        <v>0</v>
      </c>
      <c r="AE181" s="34">
        <f>Table1[[#This Row],[Quantity (expected)]]*Table1[[#This Row],[Rate (expected)2]]*0.7</f>
        <v>0</v>
      </c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1">
        <f>SUM(Table1[[#This Row],[Jan-23]:[Dec-23]])</f>
        <v>0</v>
      </c>
      <c r="AV181" s="105"/>
      <c r="AW181" s="32"/>
      <c r="AX181" s="35"/>
    </row>
    <row r="182" spans="1:50" x14ac:dyDescent="0.3">
      <c r="A182" s="30" t="str">
        <f>VLOOKUP(H182,'Accoount Code Combination'!$D:$L,8,FALSE)</f>
        <v>Academic</v>
      </c>
      <c r="B182" s="31" t="str">
        <f>VLOOKUP(Table1[[#This Row],[Account Code]],'Accoount Code Combination'!$D:$L,9,FALSE)</f>
        <v>No Applicable</v>
      </c>
      <c r="C182" s="4" t="str">
        <f>VLOOKUP(Table1[[#This Row],[Cost Center Code]],'Cost Center Group'!A:B,2,FALSE)</f>
        <v>College of Engineering</v>
      </c>
      <c r="D182" s="4">
        <v>847</v>
      </c>
      <c r="E182" s="79">
        <v>8470340</v>
      </c>
      <c r="F182" s="32" t="s">
        <v>234</v>
      </c>
      <c r="G182" s="4">
        <v>1</v>
      </c>
      <c r="H182" s="95">
        <v>435350</v>
      </c>
      <c r="I182" s="106" t="str">
        <f>IFERROR(VLOOKUP(Table1[[#This Row],[Account Code]],'Accoount Code Combination'!$D:$H,2,FALSE),"")</f>
        <v>Academic Publications</v>
      </c>
      <c r="J182" s="79">
        <v>8470340</v>
      </c>
      <c r="K182" s="4"/>
      <c r="L182" s="4" t="str">
        <f>IFERROR(VLOOKUP(Table1[[#This Row],[Future-1 Description]],'Other '!E170:$F179,2,FALSE),"")</f>
        <v/>
      </c>
      <c r="M182" s="32"/>
      <c r="N182" s="32"/>
      <c r="O182" s="32"/>
      <c r="P182" s="49">
        <v>50303.42</v>
      </c>
      <c r="Q182" s="49">
        <v>47150</v>
      </c>
      <c r="R182" s="32"/>
      <c r="S182" s="4"/>
      <c r="T182" s="32"/>
      <c r="U182" s="32"/>
      <c r="V182" s="32"/>
      <c r="W182" s="32"/>
      <c r="X182" s="33"/>
      <c r="Y182" s="33"/>
      <c r="Z182" s="31">
        <f>Table1[[#This Row],[Quantity of measruing units]]*Table1[[#This Row],[Rate (expected)]]</f>
        <v>0</v>
      </c>
      <c r="AA182" s="31"/>
      <c r="AB182" s="31"/>
      <c r="AC182" s="34">
        <f>Table1[[#This Row],[Quantity (expected)]]*Table1[[#This Row],[Rate (expected)2]]*0.9</f>
        <v>0</v>
      </c>
      <c r="AD182" s="34">
        <f>Table1[[#This Row],[Quantity (expected)]]*Table1[[#This Row],[Rate (expected)2]]*0.8</f>
        <v>0</v>
      </c>
      <c r="AE182" s="34">
        <f>Table1[[#This Row],[Quantity (expected)]]*Table1[[#This Row],[Rate (expected)2]]*0.7</f>
        <v>0</v>
      </c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1">
        <f>SUM(Table1[[#This Row],[Jan-23]:[Dec-23]])</f>
        <v>0</v>
      </c>
      <c r="AV182" s="105"/>
      <c r="AW182" s="32"/>
      <c r="AX182" s="35"/>
    </row>
    <row r="183" spans="1:50" x14ac:dyDescent="0.3">
      <c r="A183" s="30" t="str">
        <f>VLOOKUP(H183,'Accoount Code Combination'!$D:$L,8,FALSE)</f>
        <v>Academic</v>
      </c>
      <c r="B183" s="31" t="str">
        <f>VLOOKUP(Table1[[#This Row],[Account Code]],'Accoount Code Combination'!$D:$L,9,FALSE)</f>
        <v>No Applicable</v>
      </c>
      <c r="C183" s="4" t="str">
        <f>VLOOKUP(Table1[[#This Row],[Cost Center Code]],'Cost Center Group'!A:B,2,FALSE)</f>
        <v>College of Engineering</v>
      </c>
      <c r="D183" s="4">
        <v>847</v>
      </c>
      <c r="E183" s="79">
        <v>8470340</v>
      </c>
      <c r="F183" s="32" t="s">
        <v>234</v>
      </c>
      <c r="G183" s="4">
        <v>1</v>
      </c>
      <c r="H183" s="95">
        <v>435508</v>
      </c>
      <c r="I183" s="106" t="str">
        <f>IFERROR(VLOOKUP(Table1[[#This Row],[Account Code]],'Accoount Code Combination'!$D:$H,2,FALSE),"")</f>
        <v>Laboratory - Scientific</v>
      </c>
      <c r="J183" s="79">
        <v>8470340</v>
      </c>
      <c r="K183" s="4"/>
      <c r="L183" s="4" t="str">
        <f>IFERROR(VLOOKUP(Table1[[#This Row],[Future-1 Description]],'Other '!E171:$F180,2,FALSE),"")</f>
        <v/>
      </c>
      <c r="M183" s="32"/>
      <c r="N183" s="32"/>
      <c r="O183" s="32"/>
      <c r="P183" s="49">
        <v>252646.49</v>
      </c>
      <c r="Q183" s="49">
        <v>160000</v>
      </c>
      <c r="R183" s="32"/>
      <c r="S183" s="4"/>
      <c r="T183" s="32"/>
      <c r="U183" s="32"/>
      <c r="V183" s="32"/>
      <c r="W183" s="32"/>
      <c r="X183" s="33"/>
      <c r="Y183" s="33"/>
      <c r="Z183" s="31">
        <f>Table1[[#This Row],[Quantity of measruing units]]*Table1[[#This Row],[Rate (expected)]]</f>
        <v>0</v>
      </c>
      <c r="AA183" s="31"/>
      <c r="AB183" s="31"/>
      <c r="AC183" s="34">
        <f>Table1[[#This Row],[Quantity (expected)]]*Table1[[#This Row],[Rate (expected)2]]*0.9</f>
        <v>0</v>
      </c>
      <c r="AD183" s="34">
        <f>Table1[[#This Row],[Quantity (expected)]]*Table1[[#This Row],[Rate (expected)2]]*0.8</f>
        <v>0</v>
      </c>
      <c r="AE183" s="34">
        <f>Table1[[#This Row],[Quantity (expected)]]*Table1[[#This Row],[Rate (expected)2]]*0.7</f>
        <v>0</v>
      </c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1">
        <f>SUM(Table1[[#This Row],[Jan-23]:[Dec-23]])</f>
        <v>0</v>
      </c>
      <c r="AV183" s="105"/>
      <c r="AW183" s="32"/>
      <c r="AX183" s="35"/>
    </row>
    <row r="184" spans="1:50" x14ac:dyDescent="0.3">
      <c r="A184" s="30" t="str">
        <f>VLOOKUP(H184,'Accoount Code Combination'!$D:$L,8,FALSE)</f>
        <v>Other support</v>
      </c>
      <c r="B184" s="31" t="str">
        <f>VLOOKUP(Table1[[#This Row],[Account Code]],'Accoount Code Combination'!$D:$L,9,FALSE)</f>
        <v>No Applicable</v>
      </c>
      <c r="C184" s="4" t="str">
        <f>VLOOKUP(Table1[[#This Row],[Cost Center Code]],'Cost Center Group'!A:B,2,FALSE)</f>
        <v>College of Engineering</v>
      </c>
      <c r="D184" s="4">
        <v>847</v>
      </c>
      <c r="E184" s="79">
        <v>8470340</v>
      </c>
      <c r="F184" s="32" t="s">
        <v>234</v>
      </c>
      <c r="G184" s="4">
        <v>1</v>
      </c>
      <c r="H184" s="95">
        <v>436110</v>
      </c>
      <c r="I184" s="106" t="str">
        <f>IFERROR(VLOOKUP(Table1[[#This Row],[Account Code]],'Accoount Code Combination'!$D:$H,2,FALSE),"")</f>
        <v>Printing supplies</v>
      </c>
      <c r="J184" s="79">
        <v>8470340</v>
      </c>
      <c r="K184" s="4"/>
      <c r="L184" s="4" t="str">
        <f>IFERROR(VLOOKUP(Table1[[#This Row],[Future-1 Description]],'Other '!E172:$F181,2,FALSE),"")</f>
        <v/>
      </c>
      <c r="M184" s="32"/>
      <c r="N184" s="32"/>
      <c r="O184" s="32"/>
      <c r="P184" s="49">
        <v>0</v>
      </c>
      <c r="Q184" s="49">
        <v>0</v>
      </c>
      <c r="R184" s="32"/>
      <c r="S184" s="4"/>
      <c r="T184" s="32"/>
      <c r="U184" s="32"/>
      <c r="V184" s="32"/>
      <c r="W184" s="32"/>
      <c r="X184" s="33"/>
      <c r="Y184" s="33"/>
      <c r="Z184" s="31">
        <f>Table1[[#This Row],[Quantity of measruing units]]*Table1[[#This Row],[Rate (expected)]]</f>
        <v>0</v>
      </c>
      <c r="AA184" s="31"/>
      <c r="AB184" s="31"/>
      <c r="AC184" s="34">
        <f>Table1[[#This Row],[Quantity (expected)]]*Table1[[#This Row],[Rate (expected)2]]*0.9</f>
        <v>0</v>
      </c>
      <c r="AD184" s="34">
        <f>Table1[[#This Row],[Quantity (expected)]]*Table1[[#This Row],[Rate (expected)2]]*0.8</f>
        <v>0</v>
      </c>
      <c r="AE184" s="34">
        <f>Table1[[#This Row],[Quantity (expected)]]*Table1[[#This Row],[Rate (expected)2]]*0.7</f>
        <v>0</v>
      </c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1">
        <f>SUM(Table1[[#This Row],[Jan-23]:[Dec-23]])</f>
        <v>0</v>
      </c>
      <c r="AV184" s="105"/>
      <c r="AW184" s="32"/>
      <c r="AX184" s="35"/>
    </row>
    <row r="185" spans="1:50" ht="26" x14ac:dyDescent="0.3">
      <c r="A185" s="30" t="str">
        <f>VLOOKUP(H185,'Accoount Code Combination'!$D:$L,8,FALSE)</f>
        <v>Academic</v>
      </c>
      <c r="B185" s="31" t="str">
        <f>VLOOKUP(Table1[[#This Row],[Account Code]],'Accoount Code Combination'!$D:$L,9,FALSE)</f>
        <v>No Applicable</v>
      </c>
      <c r="C185" s="4" t="str">
        <f>VLOOKUP(Table1[[#This Row],[Cost Center Code]],'Cost Center Group'!A:B,2,FALSE)</f>
        <v>College of Engineering</v>
      </c>
      <c r="D185" s="4">
        <v>847</v>
      </c>
      <c r="E185" s="79">
        <v>8470340</v>
      </c>
      <c r="F185" s="32" t="s">
        <v>234</v>
      </c>
      <c r="G185" s="4">
        <v>1</v>
      </c>
      <c r="H185" s="95">
        <v>436600</v>
      </c>
      <c r="I185" s="106" t="str">
        <f>IFERROR(VLOOKUP(Table1[[#This Row],[Account Code]],'Accoount Code Combination'!$D:$H,2,FALSE),"")</f>
        <v>Training/Teaching equipment and other educational aid</v>
      </c>
      <c r="J185" s="79">
        <v>8470340</v>
      </c>
      <c r="K185" s="4"/>
      <c r="L185" s="4" t="str">
        <f>IFERROR(VLOOKUP(Table1[[#This Row],[Future-1 Description]],'Other '!E173:$F182,2,FALSE),"")</f>
        <v/>
      </c>
      <c r="M185" s="32"/>
      <c r="N185" s="32"/>
      <c r="O185" s="32"/>
      <c r="P185" s="49">
        <v>0</v>
      </c>
      <c r="Q185" s="49">
        <v>0</v>
      </c>
      <c r="R185" s="32"/>
      <c r="S185" s="4"/>
      <c r="T185" s="32"/>
      <c r="U185" s="32"/>
      <c r="V185" s="32"/>
      <c r="W185" s="32"/>
      <c r="X185" s="33"/>
      <c r="Y185" s="33"/>
      <c r="Z185" s="31">
        <f>Table1[[#This Row],[Quantity of measruing units]]*Table1[[#This Row],[Rate (expected)]]</f>
        <v>0</v>
      </c>
      <c r="AA185" s="31"/>
      <c r="AB185" s="31"/>
      <c r="AC185" s="34">
        <f>Table1[[#This Row],[Quantity (expected)]]*Table1[[#This Row],[Rate (expected)2]]*0.9</f>
        <v>0</v>
      </c>
      <c r="AD185" s="34">
        <f>Table1[[#This Row],[Quantity (expected)]]*Table1[[#This Row],[Rate (expected)2]]*0.8</f>
        <v>0</v>
      </c>
      <c r="AE185" s="34">
        <f>Table1[[#This Row],[Quantity (expected)]]*Table1[[#This Row],[Rate (expected)2]]*0.7</f>
        <v>0</v>
      </c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1">
        <f>SUM(Table1[[#This Row],[Jan-23]:[Dec-23]])</f>
        <v>0</v>
      </c>
      <c r="AV185" s="105"/>
      <c r="AW185" s="32"/>
      <c r="AX185" s="35"/>
    </row>
    <row r="186" spans="1:50" x14ac:dyDescent="0.3">
      <c r="A186" s="30">
        <f>VLOOKUP(H186,'Accoount Code Combination'!$D:$L,8,FALSE)</f>
        <v>0</v>
      </c>
      <c r="B186" s="31" t="str">
        <f>VLOOKUP(Table1[[#This Row],[Account Code]],'Accoount Code Combination'!$D:$L,9,FALSE)</f>
        <v>No Applicable</v>
      </c>
      <c r="C186" s="4" t="str">
        <f>VLOOKUP(Table1[[#This Row],[Cost Center Code]],'Cost Center Group'!A:B,2,FALSE)</f>
        <v>College of Engineering</v>
      </c>
      <c r="D186" s="4">
        <v>847</v>
      </c>
      <c r="E186" s="79">
        <v>8470340</v>
      </c>
      <c r="F186" s="32" t="s">
        <v>234</v>
      </c>
      <c r="G186" s="4">
        <v>1</v>
      </c>
      <c r="H186" s="95">
        <v>492316</v>
      </c>
      <c r="I186" s="106" t="str">
        <f>IFERROR(VLOOKUP(Table1[[#This Row],[Account Code]],'Accoount Code Combination'!$D:$H,2,FALSE),"")</f>
        <v>Laboratory equipment</v>
      </c>
      <c r="J186" s="79">
        <v>8470340</v>
      </c>
      <c r="K186" s="4"/>
      <c r="L186" s="4" t="str">
        <f>IFERROR(VLOOKUP(Table1[[#This Row],[Future-1 Description]],'Other '!E174:$F183,2,FALSE),"")</f>
        <v/>
      </c>
      <c r="M186" s="32"/>
      <c r="N186" s="32"/>
      <c r="O186" s="32"/>
      <c r="P186" s="49">
        <v>815545.69</v>
      </c>
      <c r="Q186" s="49">
        <v>269248</v>
      </c>
      <c r="R186" s="32"/>
      <c r="S186" s="4"/>
      <c r="T186" s="32"/>
      <c r="U186" s="32"/>
      <c r="V186" s="32"/>
      <c r="W186" s="32"/>
      <c r="X186" s="33"/>
      <c r="Y186" s="33"/>
      <c r="Z186" s="31">
        <f>Table1[[#This Row],[Quantity of measruing units]]*Table1[[#This Row],[Rate (expected)]]</f>
        <v>0</v>
      </c>
      <c r="AA186" s="31"/>
      <c r="AB186" s="31"/>
      <c r="AC186" s="34">
        <f>Table1[[#This Row],[Quantity (expected)]]*Table1[[#This Row],[Rate (expected)2]]*0.9</f>
        <v>0</v>
      </c>
      <c r="AD186" s="34">
        <f>Table1[[#This Row],[Quantity (expected)]]*Table1[[#This Row],[Rate (expected)2]]*0.8</f>
        <v>0</v>
      </c>
      <c r="AE186" s="34">
        <f>Table1[[#This Row],[Quantity (expected)]]*Table1[[#This Row],[Rate (expected)2]]*0.7</f>
        <v>0</v>
      </c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1">
        <f>SUM(Table1[[#This Row],[Jan-23]:[Dec-23]])</f>
        <v>0</v>
      </c>
      <c r="AV186" s="105"/>
      <c r="AW186" s="32"/>
      <c r="AX186" s="35"/>
    </row>
    <row r="187" spans="1:50" x14ac:dyDescent="0.3">
      <c r="A187" s="30">
        <f>VLOOKUP(H187,'Accoount Code Combination'!$D:$L,8,FALSE)</f>
        <v>0</v>
      </c>
      <c r="B187" s="31" t="str">
        <f>VLOOKUP(Table1[[#This Row],[Account Code]],'Accoount Code Combination'!$D:$L,9,FALSE)</f>
        <v>Software Capital</v>
      </c>
      <c r="C187" s="4" t="str">
        <f>VLOOKUP(Table1[[#This Row],[Cost Center Code]],'Cost Center Group'!A:B,2,FALSE)</f>
        <v>College of Engineering</v>
      </c>
      <c r="D187" s="4">
        <v>847</v>
      </c>
      <c r="E187" s="79">
        <v>8470340</v>
      </c>
      <c r="F187" s="32" t="s">
        <v>234</v>
      </c>
      <c r="G187" s="4">
        <v>1</v>
      </c>
      <c r="H187" s="95">
        <v>495140</v>
      </c>
      <c r="I187" s="106" t="str">
        <f>IFERROR(VLOOKUP(Table1[[#This Row],[Account Code]],'Accoount Code Combination'!$D:$H,2,FALSE),"")</f>
        <v>Copyrights, patents and licenses</v>
      </c>
      <c r="J187" s="79">
        <v>8470340</v>
      </c>
      <c r="K187" s="4"/>
      <c r="L187" s="4" t="str">
        <f>IFERROR(VLOOKUP(Table1[[#This Row],[Future-1 Description]],'Other '!E175:$F184,2,FALSE),"")</f>
        <v/>
      </c>
      <c r="M187" s="32"/>
      <c r="N187" s="32"/>
      <c r="O187" s="32"/>
      <c r="P187" s="49">
        <v>7322.22</v>
      </c>
      <c r="Q187" s="49">
        <v>0</v>
      </c>
      <c r="R187" s="32"/>
      <c r="S187" s="4"/>
      <c r="T187" s="32"/>
      <c r="U187" s="32"/>
      <c r="V187" s="32"/>
      <c r="W187" s="32"/>
      <c r="X187" s="33"/>
      <c r="Y187" s="33"/>
      <c r="Z187" s="31">
        <f>Table1[[#This Row],[Quantity of measruing units]]*Table1[[#This Row],[Rate (expected)]]</f>
        <v>0</v>
      </c>
      <c r="AA187" s="31"/>
      <c r="AB187" s="31"/>
      <c r="AC187" s="34">
        <f>Table1[[#This Row],[Quantity (expected)]]*Table1[[#This Row],[Rate (expected)2]]*0.9</f>
        <v>0</v>
      </c>
      <c r="AD187" s="34">
        <f>Table1[[#This Row],[Quantity (expected)]]*Table1[[#This Row],[Rate (expected)2]]*0.8</f>
        <v>0</v>
      </c>
      <c r="AE187" s="34">
        <f>Table1[[#This Row],[Quantity (expected)]]*Table1[[#This Row],[Rate (expected)2]]*0.7</f>
        <v>0</v>
      </c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1">
        <f>SUM(Table1[[#This Row],[Jan-23]:[Dec-23]])</f>
        <v>0</v>
      </c>
      <c r="AV187" s="105"/>
      <c r="AW187" s="32"/>
      <c r="AX187" s="35"/>
    </row>
    <row r="188" spans="1:50" x14ac:dyDescent="0.3">
      <c r="A188" s="30" t="str">
        <f>VLOOKUP(H188,'Accoount Code Combination'!$D:$L,8,FALSE)</f>
        <v>Academic</v>
      </c>
      <c r="B188" s="31" t="str">
        <f>VLOOKUP(Table1[[#This Row],[Account Code]],'Accoount Code Combination'!$D:$L,9,FALSE)</f>
        <v>No Applicable</v>
      </c>
      <c r="C188" s="4" t="str">
        <f>VLOOKUP(Table1[[#This Row],[Cost Center Code]],'Cost Center Group'!A:B,2,FALSE)</f>
        <v>College of Engineering</v>
      </c>
      <c r="D188" s="4">
        <v>847</v>
      </c>
      <c r="E188" s="79">
        <v>8470345</v>
      </c>
      <c r="F188" s="32" t="s">
        <v>188</v>
      </c>
      <c r="G188" s="4">
        <v>1</v>
      </c>
      <c r="H188" s="95">
        <v>420550</v>
      </c>
      <c r="I188" s="106" t="str">
        <f>IFERROR(VLOOKUP(Table1[[#This Row],[Account Code]],'Accoount Code Combination'!$D:$H,2,FALSE),"")</f>
        <v>Academic Advisory Service</v>
      </c>
      <c r="J188" s="79">
        <v>8470345</v>
      </c>
      <c r="K188" s="4"/>
      <c r="L188" s="4" t="str">
        <f>IFERROR(VLOOKUP(Table1[[#This Row],[Future-1 Description]],'Other '!E176:$F185,2,FALSE),"")</f>
        <v/>
      </c>
      <c r="M188" s="32"/>
      <c r="N188" s="32"/>
      <c r="O188" s="32"/>
      <c r="P188" s="49">
        <v>41000</v>
      </c>
      <c r="Q188" s="49">
        <v>0</v>
      </c>
      <c r="R188" s="32"/>
      <c r="S188" s="4"/>
      <c r="T188" s="32"/>
      <c r="U188" s="32"/>
      <c r="V188" s="32"/>
      <c r="W188" s="32"/>
      <c r="X188" s="33"/>
      <c r="Y188" s="33"/>
      <c r="Z188" s="31">
        <f>Table1[[#This Row],[Quantity of measruing units]]*Table1[[#This Row],[Rate (expected)]]</f>
        <v>0</v>
      </c>
      <c r="AA188" s="31"/>
      <c r="AB188" s="31"/>
      <c r="AC188" s="34">
        <f>Table1[[#This Row],[Quantity (expected)]]*Table1[[#This Row],[Rate (expected)2]]*0.9</f>
        <v>0</v>
      </c>
      <c r="AD188" s="34">
        <f>Table1[[#This Row],[Quantity (expected)]]*Table1[[#This Row],[Rate (expected)2]]*0.8</f>
        <v>0</v>
      </c>
      <c r="AE188" s="34">
        <f>Table1[[#This Row],[Quantity (expected)]]*Table1[[#This Row],[Rate (expected)2]]*0.7</f>
        <v>0</v>
      </c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1">
        <f>SUM(Table1[[#This Row],[Jan-23]:[Dec-23]])</f>
        <v>0</v>
      </c>
      <c r="AV188" s="105"/>
      <c r="AW188" s="32"/>
      <c r="AX188" s="35"/>
    </row>
    <row r="189" spans="1:50" ht="26" x14ac:dyDescent="0.3">
      <c r="A189" s="30" t="str">
        <f>VLOOKUP(H189,'Accoount Code Combination'!$D:$L,8,FALSE)</f>
        <v>Communiction &amp; Marketing</v>
      </c>
      <c r="B189" s="31" t="str">
        <f>VLOOKUP(Table1[[#This Row],[Account Code]],'Accoount Code Combination'!$D:$L,9,FALSE)</f>
        <v>Events</v>
      </c>
      <c r="C189" s="4" t="str">
        <f>VLOOKUP(Table1[[#This Row],[Cost Center Code]],'Cost Center Group'!A:B,2,FALSE)</f>
        <v>College of Engineering</v>
      </c>
      <c r="D189" s="4">
        <v>847</v>
      </c>
      <c r="E189" s="79">
        <v>8470345</v>
      </c>
      <c r="F189" s="32" t="s">
        <v>188</v>
      </c>
      <c r="G189" s="4">
        <v>1</v>
      </c>
      <c r="H189" s="95">
        <v>425510</v>
      </c>
      <c r="I189" s="106" t="str">
        <f>IFERROR(VLOOKUP(Table1[[#This Row],[Account Code]],'Accoount Code Combination'!$D:$H,2,FALSE),"")</f>
        <v>Conferences, seminars and exhibitions and other events: - Local Events</v>
      </c>
      <c r="J189" s="79">
        <v>8470345</v>
      </c>
      <c r="K189" s="4"/>
      <c r="L189" s="4" t="str">
        <f>IFERROR(VLOOKUP(Table1[[#This Row],[Future-1 Description]],'Other '!E177:$F186,2,FALSE),"")</f>
        <v/>
      </c>
      <c r="M189" s="32"/>
      <c r="N189" s="32"/>
      <c r="O189" s="32"/>
      <c r="P189" s="49">
        <v>0</v>
      </c>
      <c r="Q189" s="49">
        <v>0</v>
      </c>
      <c r="R189" s="32"/>
      <c r="S189" s="4"/>
      <c r="T189" s="32"/>
      <c r="U189" s="32"/>
      <c r="V189" s="32"/>
      <c r="W189" s="32"/>
      <c r="X189" s="33"/>
      <c r="Y189" s="33"/>
      <c r="Z189" s="31">
        <f>Table1[[#This Row],[Quantity of measruing units]]*Table1[[#This Row],[Rate (expected)]]</f>
        <v>0</v>
      </c>
      <c r="AA189" s="31"/>
      <c r="AB189" s="31"/>
      <c r="AC189" s="34">
        <f>Table1[[#This Row],[Quantity (expected)]]*Table1[[#This Row],[Rate (expected)2]]*0.9</f>
        <v>0</v>
      </c>
      <c r="AD189" s="34">
        <f>Table1[[#This Row],[Quantity (expected)]]*Table1[[#This Row],[Rate (expected)2]]*0.8</f>
        <v>0</v>
      </c>
      <c r="AE189" s="34">
        <f>Table1[[#This Row],[Quantity (expected)]]*Table1[[#This Row],[Rate (expected)2]]*0.7</f>
        <v>0</v>
      </c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1">
        <f>SUM(Table1[[#This Row],[Jan-23]:[Dec-23]])</f>
        <v>0</v>
      </c>
      <c r="AV189" s="105"/>
      <c r="AW189" s="32"/>
      <c r="AX189" s="35"/>
    </row>
    <row r="190" spans="1:50" x14ac:dyDescent="0.3">
      <c r="A190" s="30" t="str">
        <f>VLOOKUP(H190,'Accoount Code Combination'!$D:$L,8,FALSE)</f>
        <v>Student</v>
      </c>
      <c r="B190" s="31" t="str">
        <f>VLOOKUP(Table1[[#This Row],[Account Code]],'Accoount Code Combination'!$D:$L,9,FALSE)</f>
        <v>Activities and Field trips</v>
      </c>
      <c r="C190" s="4" t="str">
        <f>VLOOKUP(Table1[[#This Row],[Cost Center Code]],'Cost Center Group'!A:B,2,FALSE)</f>
        <v>College of Engineering</v>
      </c>
      <c r="D190" s="4">
        <v>847</v>
      </c>
      <c r="E190" s="79">
        <v>8470345</v>
      </c>
      <c r="F190" s="32" t="s">
        <v>188</v>
      </c>
      <c r="G190" s="4">
        <v>1</v>
      </c>
      <c r="H190" s="95">
        <v>425760</v>
      </c>
      <c r="I190" s="106" t="str">
        <f>IFERROR(VLOOKUP(Table1[[#This Row],[Account Code]],'Accoount Code Combination'!$D:$H,2,FALSE),"")</f>
        <v>Student activities &amp; field trip expenses</v>
      </c>
      <c r="J190" s="79">
        <v>8470345</v>
      </c>
      <c r="K190" s="4"/>
      <c r="L190" s="4" t="str">
        <f>IFERROR(VLOOKUP(Table1[[#This Row],[Future-1 Description]],'Other '!E178:$F187,2,FALSE),"")</f>
        <v/>
      </c>
      <c r="M190" s="32"/>
      <c r="N190" s="32"/>
      <c r="O190" s="32"/>
      <c r="P190" s="49">
        <v>0</v>
      </c>
      <c r="Q190" s="49">
        <v>0</v>
      </c>
      <c r="R190" s="32"/>
      <c r="S190" s="4"/>
      <c r="T190" s="32"/>
      <c r="U190" s="32"/>
      <c r="V190" s="32"/>
      <c r="W190" s="32"/>
      <c r="X190" s="33"/>
      <c r="Y190" s="33"/>
      <c r="Z190" s="31">
        <f>Table1[[#This Row],[Quantity of measruing units]]*Table1[[#This Row],[Rate (expected)]]</f>
        <v>0</v>
      </c>
      <c r="AA190" s="31"/>
      <c r="AB190" s="31"/>
      <c r="AC190" s="34">
        <f>Table1[[#This Row],[Quantity (expected)]]*Table1[[#This Row],[Rate (expected)2]]*0.9</f>
        <v>0</v>
      </c>
      <c r="AD190" s="34">
        <f>Table1[[#This Row],[Quantity (expected)]]*Table1[[#This Row],[Rate (expected)2]]*0.8</f>
        <v>0</v>
      </c>
      <c r="AE190" s="34">
        <f>Table1[[#This Row],[Quantity (expected)]]*Table1[[#This Row],[Rate (expected)2]]*0.7</f>
        <v>0</v>
      </c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1">
        <f>SUM(Table1[[#This Row],[Jan-23]:[Dec-23]])</f>
        <v>0</v>
      </c>
      <c r="AV190" s="105"/>
      <c r="AW190" s="32"/>
      <c r="AX190" s="35"/>
    </row>
    <row r="191" spans="1:50" x14ac:dyDescent="0.3">
      <c r="A191" s="30" t="str">
        <f>VLOOKUP(H191,'Accoount Code Combination'!$D:$L,8,FALSE)</f>
        <v>Academic</v>
      </c>
      <c r="B191" s="31" t="str">
        <f>VLOOKUP(Table1[[#This Row],[Account Code]],'Accoount Code Combination'!$D:$L,9,FALSE)</f>
        <v>No Applicable</v>
      </c>
      <c r="C191" s="4" t="str">
        <f>VLOOKUP(Table1[[#This Row],[Cost Center Code]],'Cost Center Group'!A:B,2,FALSE)</f>
        <v>College of Engineering</v>
      </c>
      <c r="D191" s="4">
        <v>847</v>
      </c>
      <c r="E191" s="79">
        <v>8470345</v>
      </c>
      <c r="F191" s="32" t="s">
        <v>188</v>
      </c>
      <c r="G191" s="4">
        <v>1</v>
      </c>
      <c r="H191" s="95">
        <v>425770</v>
      </c>
      <c r="I191" s="106" t="str">
        <f>IFERROR(VLOOKUP(Table1[[#This Row],[Account Code]],'Accoount Code Combination'!$D:$H,2,FALSE),"")</f>
        <v>Academic Missions - Combined expenses</v>
      </c>
      <c r="J191" s="79">
        <v>8470345</v>
      </c>
      <c r="K191" s="4"/>
      <c r="L191" s="4" t="str">
        <f>IFERROR(VLOOKUP(Table1[[#This Row],[Future-1 Description]],'Other '!E179:$F188,2,FALSE),"")</f>
        <v/>
      </c>
      <c r="M191" s="32"/>
      <c r="N191" s="32"/>
      <c r="O191" s="32"/>
      <c r="P191" s="49">
        <v>-2805.17</v>
      </c>
      <c r="Q191" s="49">
        <v>84399</v>
      </c>
      <c r="R191" s="32"/>
      <c r="S191" s="4"/>
      <c r="T191" s="32"/>
      <c r="U191" s="32"/>
      <c r="V191" s="32"/>
      <c r="W191" s="32"/>
      <c r="X191" s="33"/>
      <c r="Y191" s="33"/>
      <c r="Z191" s="31">
        <f>Table1[[#This Row],[Quantity of measruing units]]*Table1[[#This Row],[Rate (expected)]]</f>
        <v>0</v>
      </c>
      <c r="AA191" s="31"/>
      <c r="AB191" s="31"/>
      <c r="AC191" s="34">
        <f>Table1[[#This Row],[Quantity (expected)]]*Table1[[#This Row],[Rate (expected)2]]*0.9</f>
        <v>0</v>
      </c>
      <c r="AD191" s="34">
        <f>Table1[[#This Row],[Quantity (expected)]]*Table1[[#This Row],[Rate (expected)2]]*0.8</f>
        <v>0</v>
      </c>
      <c r="AE191" s="34">
        <f>Table1[[#This Row],[Quantity (expected)]]*Table1[[#This Row],[Rate (expected)2]]*0.7</f>
        <v>0</v>
      </c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1">
        <f>SUM(Table1[[#This Row],[Jan-23]:[Dec-23]])</f>
        <v>0</v>
      </c>
      <c r="AV191" s="105"/>
      <c r="AW191" s="32"/>
      <c r="AX191" s="35"/>
    </row>
    <row r="192" spans="1:50" x14ac:dyDescent="0.3">
      <c r="A192" s="30" t="str">
        <f>VLOOKUP(H192,'Accoount Code Combination'!$D:$L,8,FALSE)</f>
        <v>Other support</v>
      </c>
      <c r="B192" s="31" t="str">
        <f>VLOOKUP(Table1[[#This Row],[Account Code]],'Accoount Code Combination'!$D:$L,9,FALSE)</f>
        <v>No Applicable</v>
      </c>
      <c r="C192" s="4" t="str">
        <f>VLOOKUP(Table1[[#This Row],[Cost Center Code]],'Cost Center Group'!A:B,2,FALSE)</f>
        <v>College of Engineering</v>
      </c>
      <c r="D192" s="4">
        <v>847</v>
      </c>
      <c r="E192" s="79">
        <v>8470345</v>
      </c>
      <c r="F192" s="32" t="s">
        <v>188</v>
      </c>
      <c r="G192" s="4">
        <v>1</v>
      </c>
      <c r="H192" s="95">
        <v>425900</v>
      </c>
      <c r="I192" s="106" t="str">
        <f>IFERROR(VLOOKUP(Table1[[#This Row],[Account Code]],'Accoount Code Combination'!$D:$H,2,FALSE),"")</f>
        <v>Entertainment and hospitality</v>
      </c>
      <c r="J192" s="79">
        <v>8470345</v>
      </c>
      <c r="K192" s="4"/>
      <c r="L192" s="4" t="str">
        <f>IFERROR(VLOOKUP(Table1[[#This Row],[Future-1 Description]],'Other '!E180:$F189,2,FALSE),"")</f>
        <v/>
      </c>
      <c r="M192" s="32"/>
      <c r="N192" s="32"/>
      <c r="O192" s="32"/>
      <c r="P192" s="49">
        <v>0</v>
      </c>
      <c r="Q192" s="49">
        <v>0</v>
      </c>
      <c r="R192" s="32"/>
      <c r="S192" s="4"/>
      <c r="T192" s="32"/>
      <c r="U192" s="32"/>
      <c r="V192" s="32"/>
      <c r="W192" s="32"/>
      <c r="X192" s="33"/>
      <c r="Y192" s="33"/>
      <c r="Z192" s="31">
        <f>Table1[[#This Row],[Quantity of measruing units]]*Table1[[#This Row],[Rate (expected)]]</f>
        <v>0</v>
      </c>
      <c r="AA192" s="31"/>
      <c r="AB192" s="31"/>
      <c r="AC192" s="34">
        <f>Table1[[#This Row],[Quantity (expected)]]*Table1[[#This Row],[Rate (expected)2]]*0.9</f>
        <v>0</v>
      </c>
      <c r="AD192" s="34">
        <f>Table1[[#This Row],[Quantity (expected)]]*Table1[[#This Row],[Rate (expected)2]]*0.8</f>
        <v>0</v>
      </c>
      <c r="AE192" s="34">
        <f>Table1[[#This Row],[Quantity (expected)]]*Table1[[#This Row],[Rate (expected)2]]*0.7</f>
        <v>0</v>
      </c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1">
        <f>SUM(Table1[[#This Row],[Jan-23]:[Dec-23]])</f>
        <v>0</v>
      </c>
      <c r="AV192" s="105"/>
      <c r="AW192" s="32"/>
      <c r="AX192" s="35"/>
    </row>
    <row r="193" spans="1:50" x14ac:dyDescent="0.3">
      <c r="A193" s="30" t="str">
        <f>VLOOKUP(H193,'Accoount Code Combination'!$D:$L,8,FALSE)</f>
        <v>IT</v>
      </c>
      <c r="B193" s="31" t="str">
        <f>VLOOKUP(Table1[[#This Row],[Account Code]],'Accoount Code Combination'!$D:$L,9,FALSE)</f>
        <v>Software Operating</v>
      </c>
      <c r="C193" s="4" t="str">
        <f>VLOOKUP(Table1[[#This Row],[Cost Center Code]],'Cost Center Group'!A:B,2,FALSE)</f>
        <v>College of Engineering</v>
      </c>
      <c r="D193" s="4">
        <v>847</v>
      </c>
      <c r="E193" s="79">
        <v>8470345</v>
      </c>
      <c r="F193" s="32" t="s">
        <v>188</v>
      </c>
      <c r="G193" s="4">
        <v>1</v>
      </c>
      <c r="H193" s="95">
        <v>426610</v>
      </c>
      <c r="I193" s="106" t="str">
        <f>IFERROR(VLOOKUP(Table1[[#This Row],[Account Code]],'Accoount Code Combination'!$D:$H,2,FALSE),"")</f>
        <v>Computer software licenses</v>
      </c>
      <c r="J193" s="79">
        <v>8470345</v>
      </c>
      <c r="K193" s="4"/>
      <c r="L193" s="4" t="str">
        <f>IFERROR(VLOOKUP(Table1[[#This Row],[Future-1 Description]],'Other '!E181:$F190,2,FALSE),"")</f>
        <v/>
      </c>
      <c r="M193" s="32"/>
      <c r="N193" s="32"/>
      <c r="O193" s="32"/>
      <c r="P193" s="49">
        <v>-7075.56</v>
      </c>
      <c r="Q193" s="49">
        <v>0</v>
      </c>
      <c r="R193" s="32"/>
      <c r="S193" s="4"/>
      <c r="T193" s="32"/>
      <c r="U193" s="32"/>
      <c r="V193" s="32"/>
      <c r="W193" s="32"/>
      <c r="X193" s="33"/>
      <c r="Y193" s="33"/>
      <c r="Z193" s="31">
        <f>Table1[[#This Row],[Quantity of measruing units]]*Table1[[#This Row],[Rate (expected)]]</f>
        <v>0</v>
      </c>
      <c r="AA193" s="31"/>
      <c r="AB193" s="31"/>
      <c r="AC193" s="34">
        <f>Table1[[#This Row],[Quantity (expected)]]*Table1[[#This Row],[Rate (expected)2]]*0.9</f>
        <v>0</v>
      </c>
      <c r="AD193" s="34">
        <f>Table1[[#This Row],[Quantity (expected)]]*Table1[[#This Row],[Rate (expected)2]]*0.8</f>
        <v>0</v>
      </c>
      <c r="AE193" s="34">
        <f>Table1[[#This Row],[Quantity (expected)]]*Table1[[#This Row],[Rate (expected)2]]*0.7</f>
        <v>0</v>
      </c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1">
        <f>SUM(Table1[[#This Row],[Jan-23]:[Dec-23]])</f>
        <v>0</v>
      </c>
      <c r="AV193" s="105"/>
      <c r="AW193" s="32"/>
      <c r="AX193" s="35"/>
    </row>
    <row r="194" spans="1:50" x14ac:dyDescent="0.3">
      <c r="A194" s="30" t="str">
        <f>VLOOKUP(H194,'Accoount Code Combination'!$D:$L,8,FALSE)</f>
        <v xml:space="preserve">Academic </v>
      </c>
      <c r="B194" s="31" t="str">
        <f>VLOOKUP(Table1[[#This Row],[Account Code]],'Accoount Code Combination'!$D:$L,9,FALSE)</f>
        <v>No Applicable</v>
      </c>
      <c r="C194" s="4" t="str">
        <f>VLOOKUP(Table1[[#This Row],[Cost Center Code]],'Cost Center Group'!A:B,2,FALSE)</f>
        <v>College of Engineering</v>
      </c>
      <c r="D194" s="4">
        <v>847</v>
      </c>
      <c r="E194" s="79">
        <v>8470345</v>
      </c>
      <c r="F194" s="32" t="s">
        <v>188</v>
      </c>
      <c r="G194" s="4">
        <v>1</v>
      </c>
      <c r="H194" s="95">
        <v>428090</v>
      </c>
      <c r="I194" s="106" t="str">
        <f>IFERROR(VLOOKUP(Table1[[#This Row],[Account Code]],'Accoount Code Combination'!$D:$H,2,FALSE),"")</f>
        <v>Business Travel - Combined expenses</v>
      </c>
      <c r="J194" s="79">
        <v>8470345</v>
      </c>
      <c r="K194" s="4"/>
      <c r="L194" s="4" t="str">
        <f>IFERROR(VLOOKUP(Table1[[#This Row],[Future-1 Description]],'Other '!E182:$F191,2,FALSE),"")</f>
        <v/>
      </c>
      <c r="M194" s="32"/>
      <c r="N194" s="32"/>
      <c r="O194" s="32"/>
      <c r="P194" s="49">
        <v>5108.55</v>
      </c>
      <c r="Q194" s="49">
        <v>11500</v>
      </c>
      <c r="R194" s="32"/>
      <c r="S194" s="4"/>
      <c r="T194" s="32"/>
      <c r="U194" s="32"/>
      <c r="V194" s="32"/>
      <c r="W194" s="32"/>
      <c r="X194" s="33"/>
      <c r="Y194" s="33"/>
      <c r="Z194" s="31">
        <f>Table1[[#This Row],[Quantity of measruing units]]*Table1[[#This Row],[Rate (expected)]]</f>
        <v>0</v>
      </c>
      <c r="AA194" s="31"/>
      <c r="AB194" s="31"/>
      <c r="AC194" s="34">
        <f>Table1[[#This Row],[Quantity (expected)]]*Table1[[#This Row],[Rate (expected)2]]*0.9</f>
        <v>0</v>
      </c>
      <c r="AD194" s="34">
        <f>Table1[[#This Row],[Quantity (expected)]]*Table1[[#This Row],[Rate (expected)2]]*0.8</f>
        <v>0</v>
      </c>
      <c r="AE194" s="34">
        <f>Table1[[#This Row],[Quantity (expected)]]*Table1[[#This Row],[Rate (expected)2]]*0.7</f>
        <v>0</v>
      </c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1">
        <f>SUM(Table1[[#This Row],[Jan-23]:[Dec-23]])</f>
        <v>0</v>
      </c>
      <c r="AV194" s="105"/>
      <c r="AW194" s="32"/>
      <c r="AX194" s="35"/>
    </row>
    <row r="195" spans="1:50" x14ac:dyDescent="0.3">
      <c r="A195" s="30" t="str">
        <f>VLOOKUP(H195,'Accoount Code Combination'!$D:$L,8,FALSE)</f>
        <v>Academic</v>
      </c>
      <c r="B195" s="31" t="str">
        <f>VLOOKUP(Table1[[#This Row],[Account Code]],'Accoount Code Combination'!$D:$L,9,FALSE)</f>
        <v>No Applicable</v>
      </c>
      <c r="C195" s="4" t="str">
        <f>VLOOKUP(Table1[[#This Row],[Cost Center Code]],'Cost Center Group'!A:B,2,FALSE)</f>
        <v>College of Engineering</v>
      </c>
      <c r="D195" s="4">
        <v>847</v>
      </c>
      <c r="E195" s="79">
        <v>8470345</v>
      </c>
      <c r="F195" s="32" t="s">
        <v>188</v>
      </c>
      <c r="G195" s="4">
        <v>1</v>
      </c>
      <c r="H195" s="95">
        <v>435350</v>
      </c>
      <c r="I195" s="106" t="str">
        <f>IFERROR(VLOOKUP(Table1[[#This Row],[Account Code]],'Accoount Code Combination'!$D:$H,2,FALSE),"")</f>
        <v>Academic Publications</v>
      </c>
      <c r="J195" s="79">
        <v>8470345</v>
      </c>
      <c r="K195" s="4"/>
      <c r="L195" s="4" t="str">
        <f>IFERROR(VLOOKUP(Table1[[#This Row],[Future-1 Description]],'Other '!E183:$F192,2,FALSE),"")</f>
        <v/>
      </c>
      <c r="M195" s="32"/>
      <c r="N195" s="32"/>
      <c r="O195" s="32"/>
      <c r="P195" s="49">
        <v>0</v>
      </c>
      <c r="Q195" s="49">
        <v>894</v>
      </c>
      <c r="R195" s="32"/>
      <c r="S195" s="4"/>
      <c r="T195" s="32"/>
      <c r="U195" s="32"/>
      <c r="V195" s="32"/>
      <c r="W195" s="32"/>
      <c r="X195" s="33"/>
      <c r="Y195" s="33"/>
      <c r="Z195" s="31">
        <f>Table1[[#This Row],[Quantity of measruing units]]*Table1[[#This Row],[Rate (expected)]]</f>
        <v>0</v>
      </c>
      <c r="AA195" s="31"/>
      <c r="AB195" s="31"/>
      <c r="AC195" s="34">
        <f>Table1[[#This Row],[Quantity (expected)]]*Table1[[#This Row],[Rate (expected)2]]*0.9</f>
        <v>0</v>
      </c>
      <c r="AD195" s="34">
        <f>Table1[[#This Row],[Quantity (expected)]]*Table1[[#This Row],[Rate (expected)2]]*0.8</f>
        <v>0</v>
      </c>
      <c r="AE195" s="34">
        <f>Table1[[#This Row],[Quantity (expected)]]*Table1[[#This Row],[Rate (expected)2]]*0.7</f>
        <v>0</v>
      </c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1">
        <f>SUM(Table1[[#This Row],[Jan-23]:[Dec-23]])</f>
        <v>0</v>
      </c>
      <c r="AV195" s="105"/>
      <c r="AW195" s="32"/>
      <c r="AX195" s="35"/>
    </row>
    <row r="196" spans="1:50" x14ac:dyDescent="0.3">
      <c r="A196" s="30" t="str">
        <f>VLOOKUP(H196,'Accoount Code Combination'!$D:$L,8,FALSE)</f>
        <v>Academic</v>
      </c>
      <c r="B196" s="31" t="str">
        <f>VLOOKUP(Table1[[#This Row],[Account Code]],'Accoount Code Combination'!$D:$L,9,FALSE)</f>
        <v>No Applicable</v>
      </c>
      <c r="C196" s="4" t="str">
        <f>VLOOKUP(Table1[[#This Row],[Cost Center Code]],'Cost Center Group'!A:B,2,FALSE)</f>
        <v>College of Engineering</v>
      </c>
      <c r="D196" s="4">
        <v>847</v>
      </c>
      <c r="E196" s="79">
        <v>8470345</v>
      </c>
      <c r="F196" s="32" t="s">
        <v>188</v>
      </c>
      <c r="G196" s="4">
        <v>1</v>
      </c>
      <c r="H196" s="95">
        <v>435508</v>
      </c>
      <c r="I196" s="106" t="str">
        <f>IFERROR(VLOOKUP(Table1[[#This Row],[Account Code]],'Accoount Code Combination'!$D:$H,2,FALSE),"")</f>
        <v>Laboratory - Scientific</v>
      </c>
      <c r="J196" s="79">
        <v>8470345</v>
      </c>
      <c r="K196" s="4"/>
      <c r="L196" s="4" t="str">
        <f>IFERROR(VLOOKUP(Table1[[#This Row],[Future-1 Description]],'Other '!E184:$F193,2,FALSE),"")</f>
        <v/>
      </c>
      <c r="M196" s="32"/>
      <c r="N196" s="32"/>
      <c r="O196" s="32"/>
      <c r="P196" s="49">
        <v>85882.64</v>
      </c>
      <c r="Q196" s="49">
        <v>72968</v>
      </c>
      <c r="R196" s="32"/>
      <c r="S196" s="4"/>
      <c r="T196" s="32"/>
      <c r="U196" s="32"/>
      <c r="V196" s="32"/>
      <c r="W196" s="32"/>
      <c r="X196" s="33"/>
      <c r="Y196" s="33"/>
      <c r="Z196" s="31">
        <f>Table1[[#This Row],[Quantity of measruing units]]*Table1[[#This Row],[Rate (expected)]]</f>
        <v>0</v>
      </c>
      <c r="AA196" s="31"/>
      <c r="AB196" s="31"/>
      <c r="AC196" s="34">
        <f>Table1[[#This Row],[Quantity (expected)]]*Table1[[#This Row],[Rate (expected)2]]*0.9</f>
        <v>0</v>
      </c>
      <c r="AD196" s="34">
        <f>Table1[[#This Row],[Quantity (expected)]]*Table1[[#This Row],[Rate (expected)2]]*0.8</f>
        <v>0</v>
      </c>
      <c r="AE196" s="34">
        <f>Table1[[#This Row],[Quantity (expected)]]*Table1[[#This Row],[Rate (expected)2]]*0.7</f>
        <v>0</v>
      </c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1">
        <f>SUM(Table1[[#This Row],[Jan-23]:[Dec-23]])</f>
        <v>0</v>
      </c>
      <c r="AV196" s="105"/>
      <c r="AW196" s="32"/>
      <c r="AX196" s="35"/>
    </row>
    <row r="197" spans="1:50" x14ac:dyDescent="0.3">
      <c r="A197" s="30" t="str">
        <f>VLOOKUP(H197,'Accoount Code Combination'!$D:$L,8,FALSE)</f>
        <v>Other support</v>
      </c>
      <c r="B197" s="31" t="str">
        <f>VLOOKUP(Table1[[#This Row],[Account Code]],'Accoount Code Combination'!$D:$L,9,FALSE)</f>
        <v>No Applicable</v>
      </c>
      <c r="C197" s="4" t="str">
        <f>VLOOKUP(Table1[[#This Row],[Cost Center Code]],'Cost Center Group'!A:B,2,FALSE)</f>
        <v>College of Engineering</v>
      </c>
      <c r="D197" s="4">
        <v>847</v>
      </c>
      <c r="E197" s="79">
        <v>8470345</v>
      </c>
      <c r="F197" s="32" t="s">
        <v>188</v>
      </c>
      <c r="G197" s="4">
        <v>1</v>
      </c>
      <c r="H197" s="95">
        <v>436110</v>
      </c>
      <c r="I197" s="106" t="str">
        <f>IFERROR(VLOOKUP(Table1[[#This Row],[Account Code]],'Accoount Code Combination'!$D:$H,2,FALSE),"")</f>
        <v>Printing supplies</v>
      </c>
      <c r="J197" s="79">
        <v>8470345</v>
      </c>
      <c r="K197" s="4"/>
      <c r="L197" s="4" t="str">
        <f>IFERROR(VLOOKUP(Table1[[#This Row],[Future-1 Description]],'Other '!E185:$F194,2,FALSE),"")</f>
        <v/>
      </c>
      <c r="M197" s="32"/>
      <c r="N197" s="32"/>
      <c r="O197" s="32"/>
      <c r="P197" s="49">
        <v>0</v>
      </c>
      <c r="Q197" s="49">
        <v>4471</v>
      </c>
      <c r="R197" s="32"/>
      <c r="S197" s="4"/>
      <c r="T197" s="32"/>
      <c r="U197" s="32"/>
      <c r="V197" s="32"/>
      <c r="W197" s="32"/>
      <c r="X197" s="33"/>
      <c r="Y197" s="33"/>
      <c r="Z197" s="31">
        <f>Table1[[#This Row],[Quantity of measruing units]]*Table1[[#This Row],[Rate (expected)]]</f>
        <v>0</v>
      </c>
      <c r="AA197" s="31"/>
      <c r="AB197" s="31"/>
      <c r="AC197" s="34">
        <f>Table1[[#This Row],[Quantity (expected)]]*Table1[[#This Row],[Rate (expected)2]]*0.9</f>
        <v>0</v>
      </c>
      <c r="AD197" s="34">
        <f>Table1[[#This Row],[Quantity (expected)]]*Table1[[#This Row],[Rate (expected)2]]*0.8</f>
        <v>0</v>
      </c>
      <c r="AE197" s="34">
        <f>Table1[[#This Row],[Quantity (expected)]]*Table1[[#This Row],[Rate (expected)2]]*0.7</f>
        <v>0</v>
      </c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1">
        <f>SUM(Table1[[#This Row],[Jan-23]:[Dec-23]])</f>
        <v>0</v>
      </c>
      <c r="AV197" s="105"/>
      <c r="AW197" s="32"/>
      <c r="AX197" s="35"/>
    </row>
    <row r="198" spans="1:50" ht="26" x14ac:dyDescent="0.3">
      <c r="A198" s="30" t="str">
        <f>VLOOKUP(H198,'Accoount Code Combination'!$D:$L,8,FALSE)</f>
        <v>Academic</v>
      </c>
      <c r="B198" s="31" t="str">
        <f>VLOOKUP(Table1[[#This Row],[Account Code]],'Accoount Code Combination'!$D:$L,9,FALSE)</f>
        <v>No Applicable</v>
      </c>
      <c r="C198" s="4" t="str">
        <f>VLOOKUP(Table1[[#This Row],[Cost Center Code]],'Cost Center Group'!A:B,2,FALSE)</f>
        <v>College of Engineering</v>
      </c>
      <c r="D198" s="4">
        <v>847</v>
      </c>
      <c r="E198" s="79">
        <v>8470345</v>
      </c>
      <c r="F198" s="32" t="s">
        <v>188</v>
      </c>
      <c r="G198" s="4">
        <v>1</v>
      </c>
      <c r="H198" s="95">
        <v>436600</v>
      </c>
      <c r="I198" s="106" t="str">
        <f>IFERROR(VLOOKUP(Table1[[#This Row],[Account Code]],'Accoount Code Combination'!$D:$H,2,FALSE),"")</f>
        <v>Training/Teaching equipment and other educational aid</v>
      </c>
      <c r="J198" s="79">
        <v>8470345</v>
      </c>
      <c r="K198" s="4"/>
      <c r="L198" s="4" t="str">
        <f>IFERROR(VLOOKUP(Table1[[#This Row],[Future-1 Description]],'Other '!E186:$F195,2,FALSE),"")</f>
        <v/>
      </c>
      <c r="M198" s="32"/>
      <c r="N198" s="32"/>
      <c r="O198" s="32"/>
      <c r="P198" s="49">
        <v>0</v>
      </c>
      <c r="Q198" s="49">
        <v>0</v>
      </c>
      <c r="R198" s="32"/>
      <c r="S198" s="4"/>
      <c r="T198" s="32"/>
      <c r="U198" s="32"/>
      <c r="V198" s="32"/>
      <c r="W198" s="32"/>
      <c r="X198" s="33"/>
      <c r="Y198" s="33"/>
      <c r="Z198" s="31">
        <f>Table1[[#This Row],[Quantity of measruing units]]*Table1[[#This Row],[Rate (expected)]]</f>
        <v>0</v>
      </c>
      <c r="AA198" s="31"/>
      <c r="AB198" s="31"/>
      <c r="AC198" s="34">
        <f>Table1[[#This Row],[Quantity (expected)]]*Table1[[#This Row],[Rate (expected)2]]*0.9</f>
        <v>0</v>
      </c>
      <c r="AD198" s="34">
        <f>Table1[[#This Row],[Quantity (expected)]]*Table1[[#This Row],[Rate (expected)2]]*0.8</f>
        <v>0</v>
      </c>
      <c r="AE198" s="34">
        <f>Table1[[#This Row],[Quantity (expected)]]*Table1[[#This Row],[Rate (expected)2]]*0.7</f>
        <v>0</v>
      </c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1">
        <f>SUM(Table1[[#This Row],[Jan-23]:[Dec-23]])</f>
        <v>0</v>
      </c>
      <c r="AV198" s="105"/>
      <c r="AW198" s="32"/>
      <c r="AX198" s="35"/>
    </row>
    <row r="199" spans="1:50" x14ac:dyDescent="0.3">
      <c r="A199" s="30">
        <f>VLOOKUP(H199,'Accoount Code Combination'!$D:$L,8,FALSE)</f>
        <v>0</v>
      </c>
      <c r="B199" s="31" t="str">
        <f>VLOOKUP(Table1[[#This Row],[Account Code]],'Accoount Code Combination'!$D:$L,9,FALSE)</f>
        <v>No Applicable</v>
      </c>
      <c r="C199" s="4" t="str">
        <f>VLOOKUP(Table1[[#This Row],[Cost Center Code]],'Cost Center Group'!A:B,2,FALSE)</f>
        <v>College of Engineering</v>
      </c>
      <c r="D199" s="4">
        <v>847</v>
      </c>
      <c r="E199" s="79">
        <v>8470345</v>
      </c>
      <c r="F199" s="32" t="s">
        <v>188</v>
      </c>
      <c r="G199" s="4">
        <v>1</v>
      </c>
      <c r="H199" s="95">
        <v>492316</v>
      </c>
      <c r="I199" s="106" t="str">
        <f>IFERROR(VLOOKUP(Table1[[#This Row],[Account Code]],'Accoount Code Combination'!$D:$H,2,FALSE),"")</f>
        <v>Laboratory equipment</v>
      </c>
      <c r="J199" s="79">
        <v>8470345</v>
      </c>
      <c r="K199" s="4"/>
      <c r="L199" s="4" t="str">
        <f>IFERROR(VLOOKUP(Table1[[#This Row],[Future-1 Description]],'Other '!E187:$F196,2,FALSE),"")</f>
        <v/>
      </c>
      <c r="M199" s="32"/>
      <c r="N199" s="32"/>
      <c r="O199" s="32"/>
      <c r="P199" s="49">
        <v>0</v>
      </c>
      <c r="Q199" s="49">
        <v>139983</v>
      </c>
      <c r="R199" s="32"/>
      <c r="S199" s="4"/>
      <c r="T199" s="32"/>
      <c r="U199" s="32"/>
      <c r="V199" s="32"/>
      <c r="W199" s="32"/>
      <c r="X199" s="33"/>
      <c r="Y199" s="33"/>
      <c r="Z199" s="31">
        <f>Table1[[#This Row],[Quantity of measruing units]]*Table1[[#This Row],[Rate (expected)]]</f>
        <v>0</v>
      </c>
      <c r="AA199" s="31"/>
      <c r="AB199" s="31"/>
      <c r="AC199" s="34">
        <f>Table1[[#This Row],[Quantity (expected)]]*Table1[[#This Row],[Rate (expected)2]]*0.9</f>
        <v>0</v>
      </c>
      <c r="AD199" s="34">
        <f>Table1[[#This Row],[Quantity (expected)]]*Table1[[#This Row],[Rate (expected)2]]*0.8</f>
        <v>0</v>
      </c>
      <c r="AE199" s="34">
        <f>Table1[[#This Row],[Quantity (expected)]]*Table1[[#This Row],[Rate (expected)2]]*0.7</f>
        <v>0</v>
      </c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1">
        <f>SUM(Table1[[#This Row],[Jan-23]:[Dec-23]])</f>
        <v>0</v>
      </c>
      <c r="AV199" s="105"/>
      <c r="AW199" s="32"/>
      <c r="AX199" s="35"/>
    </row>
    <row r="200" spans="1:50" x14ac:dyDescent="0.3">
      <c r="A200" s="30" t="str">
        <f>VLOOKUP(H200,'Accoount Code Combination'!$D:$L,8,FALSE)</f>
        <v>Academic</v>
      </c>
      <c r="B200" s="31" t="str">
        <f>VLOOKUP(Table1[[#This Row],[Account Code]],'Accoount Code Combination'!$D:$L,9,FALSE)</f>
        <v>No Applicable</v>
      </c>
      <c r="C200" s="4" t="str">
        <f>VLOOKUP(Table1[[#This Row],[Cost Center Code]],'Cost Center Group'!A:B,2,FALSE)</f>
        <v>College of Engineering</v>
      </c>
      <c r="D200" s="4">
        <v>847</v>
      </c>
      <c r="E200" s="79">
        <v>8470350</v>
      </c>
      <c r="F200" s="32" t="s">
        <v>191</v>
      </c>
      <c r="G200" s="4">
        <v>1</v>
      </c>
      <c r="H200" s="95">
        <v>420550</v>
      </c>
      <c r="I200" s="106" t="str">
        <f>IFERROR(VLOOKUP(Table1[[#This Row],[Account Code]],'Accoount Code Combination'!$D:$H,2,FALSE),"")</f>
        <v>Academic Advisory Service</v>
      </c>
      <c r="J200" s="79">
        <v>8470350</v>
      </c>
      <c r="K200" s="4"/>
      <c r="L200" s="4" t="str">
        <f>IFERROR(VLOOKUP(Table1[[#This Row],[Future-1 Description]],'Other '!E188:$F197,2,FALSE),"")</f>
        <v/>
      </c>
      <c r="M200" s="32"/>
      <c r="N200" s="32"/>
      <c r="O200" s="32"/>
      <c r="P200" s="49">
        <v>0</v>
      </c>
      <c r="Q200" s="49">
        <v>0</v>
      </c>
      <c r="R200" s="32"/>
      <c r="S200" s="4"/>
      <c r="T200" s="32"/>
      <c r="U200" s="32"/>
      <c r="V200" s="32"/>
      <c r="W200" s="32"/>
      <c r="X200" s="33"/>
      <c r="Y200" s="33"/>
      <c r="Z200" s="31">
        <f>Table1[[#This Row],[Quantity of measruing units]]*Table1[[#This Row],[Rate (expected)]]</f>
        <v>0</v>
      </c>
      <c r="AA200" s="31"/>
      <c r="AB200" s="31"/>
      <c r="AC200" s="34">
        <f>Table1[[#This Row],[Quantity (expected)]]*Table1[[#This Row],[Rate (expected)2]]*0.9</f>
        <v>0</v>
      </c>
      <c r="AD200" s="34">
        <f>Table1[[#This Row],[Quantity (expected)]]*Table1[[#This Row],[Rate (expected)2]]*0.8</f>
        <v>0</v>
      </c>
      <c r="AE200" s="34">
        <f>Table1[[#This Row],[Quantity (expected)]]*Table1[[#This Row],[Rate (expected)2]]*0.7</f>
        <v>0</v>
      </c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1">
        <f>SUM(Table1[[#This Row],[Jan-23]:[Dec-23]])</f>
        <v>0</v>
      </c>
      <c r="AV200" s="105"/>
      <c r="AW200" s="32"/>
      <c r="AX200" s="35"/>
    </row>
    <row r="201" spans="1:50" ht="26" x14ac:dyDescent="0.3">
      <c r="A201" s="30" t="str">
        <f>VLOOKUP(H201,'Accoount Code Combination'!$D:$L,8,FALSE)</f>
        <v>Communiction &amp; Marketing</v>
      </c>
      <c r="B201" s="31" t="str">
        <f>VLOOKUP(Table1[[#This Row],[Account Code]],'Accoount Code Combination'!$D:$L,9,FALSE)</f>
        <v>Events</v>
      </c>
      <c r="C201" s="4" t="str">
        <f>VLOOKUP(Table1[[#This Row],[Cost Center Code]],'Cost Center Group'!A:B,2,FALSE)</f>
        <v>College of Engineering</v>
      </c>
      <c r="D201" s="4">
        <v>847</v>
      </c>
      <c r="E201" s="79">
        <v>8470350</v>
      </c>
      <c r="F201" s="32" t="s">
        <v>191</v>
      </c>
      <c r="G201" s="4">
        <v>1</v>
      </c>
      <c r="H201" s="95">
        <v>425510</v>
      </c>
      <c r="I201" s="106" t="str">
        <f>IFERROR(VLOOKUP(Table1[[#This Row],[Account Code]],'Accoount Code Combination'!$D:$H,2,FALSE),"")</f>
        <v>Conferences, seminars and exhibitions and other events: - Local Events</v>
      </c>
      <c r="J201" s="79">
        <v>8470350</v>
      </c>
      <c r="K201" s="4"/>
      <c r="L201" s="4" t="str">
        <f>IFERROR(VLOOKUP(Table1[[#This Row],[Future-1 Description]],'Other '!E189:$F198,2,FALSE),"")</f>
        <v/>
      </c>
      <c r="M201" s="32"/>
      <c r="N201" s="32"/>
      <c r="O201" s="32"/>
      <c r="P201" s="49">
        <v>8527.7999999999993</v>
      </c>
      <c r="Q201" s="49">
        <v>8528</v>
      </c>
      <c r="R201" s="32"/>
      <c r="S201" s="4"/>
      <c r="T201" s="32"/>
      <c r="U201" s="32"/>
      <c r="V201" s="32"/>
      <c r="W201" s="32"/>
      <c r="X201" s="33"/>
      <c r="Y201" s="33"/>
      <c r="Z201" s="31">
        <f>Table1[[#This Row],[Quantity of measruing units]]*Table1[[#This Row],[Rate (expected)]]</f>
        <v>0</v>
      </c>
      <c r="AA201" s="31"/>
      <c r="AB201" s="31"/>
      <c r="AC201" s="34">
        <f>Table1[[#This Row],[Quantity (expected)]]*Table1[[#This Row],[Rate (expected)2]]*0.9</f>
        <v>0</v>
      </c>
      <c r="AD201" s="34">
        <f>Table1[[#This Row],[Quantity (expected)]]*Table1[[#This Row],[Rate (expected)2]]*0.8</f>
        <v>0</v>
      </c>
      <c r="AE201" s="34">
        <f>Table1[[#This Row],[Quantity (expected)]]*Table1[[#This Row],[Rate (expected)2]]*0.7</f>
        <v>0</v>
      </c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1">
        <f>SUM(Table1[[#This Row],[Jan-23]:[Dec-23]])</f>
        <v>0</v>
      </c>
      <c r="AV201" s="105"/>
      <c r="AW201" s="32"/>
      <c r="AX201" s="35"/>
    </row>
    <row r="202" spans="1:50" x14ac:dyDescent="0.3">
      <c r="A202" s="30" t="str">
        <f>VLOOKUP(H202,'Accoount Code Combination'!$D:$L,8,FALSE)</f>
        <v>Student</v>
      </c>
      <c r="B202" s="31" t="str">
        <f>VLOOKUP(Table1[[#This Row],[Account Code]],'Accoount Code Combination'!$D:$L,9,FALSE)</f>
        <v>Activities and Field trips</v>
      </c>
      <c r="C202" s="4" t="str">
        <f>VLOOKUP(Table1[[#This Row],[Cost Center Code]],'Cost Center Group'!A:B,2,FALSE)</f>
        <v>College of Engineering</v>
      </c>
      <c r="D202" s="4">
        <v>847</v>
      </c>
      <c r="E202" s="79">
        <v>8470350</v>
      </c>
      <c r="F202" s="32" t="s">
        <v>191</v>
      </c>
      <c r="G202" s="4">
        <v>1</v>
      </c>
      <c r="H202" s="95">
        <v>425760</v>
      </c>
      <c r="I202" s="106" t="str">
        <f>IFERROR(VLOOKUP(Table1[[#This Row],[Account Code]],'Accoount Code Combination'!$D:$H,2,FALSE),"")</f>
        <v>Student activities &amp; field trip expenses</v>
      </c>
      <c r="J202" s="79">
        <v>8470350</v>
      </c>
      <c r="K202" s="4"/>
      <c r="L202" s="4" t="str">
        <f>IFERROR(VLOOKUP(Table1[[#This Row],[Future-1 Description]],'Other '!E190:$F199,2,FALSE),"")</f>
        <v/>
      </c>
      <c r="M202" s="32"/>
      <c r="N202" s="32"/>
      <c r="O202" s="32"/>
      <c r="P202" s="49">
        <v>1247.5999999999999</v>
      </c>
      <c r="Q202" s="49">
        <v>0</v>
      </c>
      <c r="R202" s="32"/>
      <c r="S202" s="4"/>
      <c r="T202" s="32"/>
      <c r="U202" s="32"/>
      <c r="V202" s="32"/>
      <c r="W202" s="32"/>
      <c r="X202" s="33"/>
      <c r="Y202" s="33"/>
      <c r="Z202" s="31">
        <f>Table1[[#This Row],[Quantity of measruing units]]*Table1[[#This Row],[Rate (expected)]]</f>
        <v>0</v>
      </c>
      <c r="AA202" s="31"/>
      <c r="AB202" s="31"/>
      <c r="AC202" s="34">
        <f>Table1[[#This Row],[Quantity (expected)]]*Table1[[#This Row],[Rate (expected)2]]*0.9</f>
        <v>0</v>
      </c>
      <c r="AD202" s="34">
        <f>Table1[[#This Row],[Quantity (expected)]]*Table1[[#This Row],[Rate (expected)2]]*0.8</f>
        <v>0</v>
      </c>
      <c r="AE202" s="34">
        <f>Table1[[#This Row],[Quantity (expected)]]*Table1[[#This Row],[Rate (expected)2]]*0.7</f>
        <v>0</v>
      </c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1">
        <f>SUM(Table1[[#This Row],[Jan-23]:[Dec-23]])</f>
        <v>0</v>
      </c>
      <c r="AV202" s="105"/>
      <c r="AW202" s="32"/>
      <c r="AX202" s="35"/>
    </row>
    <row r="203" spans="1:50" x14ac:dyDescent="0.3">
      <c r="A203" s="30" t="str">
        <f>VLOOKUP(H203,'Accoount Code Combination'!$D:$L,8,FALSE)</f>
        <v>Student</v>
      </c>
      <c r="B203" s="31" t="str">
        <f>VLOOKUP(Table1[[#This Row],[Account Code]],'Accoount Code Combination'!$D:$L,9,FALSE)</f>
        <v>No Applicable</v>
      </c>
      <c r="C203" s="4" t="str">
        <f>VLOOKUP(Table1[[#This Row],[Cost Center Code]],'Cost Center Group'!A:B,2,FALSE)</f>
        <v>College of Engineering</v>
      </c>
      <c r="D203" s="4">
        <v>847</v>
      </c>
      <c r="E203" s="79">
        <v>8470350</v>
      </c>
      <c r="F203" s="32" t="s">
        <v>191</v>
      </c>
      <c r="G203" s="4">
        <v>1</v>
      </c>
      <c r="H203" s="95">
        <v>425763</v>
      </c>
      <c r="I203" s="106" t="str">
        <f>IFERROR(VLOOKUP(Table1[[#This Row],[Account Code]],'Accoount Code Combination'!$D:$H,2,FALSE),"")</f>
        <v>Student Project Expenses</v>
      </c>
      <c r="J203" s="79">
        <v>8470350</v>
      </c>
      <c r="K203" s="4"/>
      <c r="L203" s="4" t="str">
        <f>IFERROR(VLOOKUP(Table1[[#This Row],[Future-1 Description]],'Other '!E191:$F200,2,FALSE),"")</f>
        <v/>
      </c>
      <c r="M203" s="32"/>
      <c r="N203" s="32"/>
      <c r="O203" s="32"/>
      <c r="P203" s="49">
        <v>0</v>
      </c>
      <c r="Q203" s="49">
        <v>0</v>
      </c>
      <c r="R203" s="32"/>
      <c r="S203" s="4"/>
      <c r="T203" s="32"/>
      <c r="U203" s="32"/>
      <c r="V203" s="32"/>
      <c r="W203" s="32"/>
      <c r="X203" s="33"/>
      <c r="Y203" s="33"/>
      <c r="Z203" s="31">
        <f>Table1[[#This Row],[Quantity of measruing units]]*Table1[[#This Row],[Rate (expected)]]</f>
        <v>0</v>
      </c>
      <c r="AA203" s="31"/>
      <c r="AB203" s="31"/>
      <c r="AC203" s="34">
        <f>Table1[[#This Row],[Quantity (expected)]]*Table1[[#This Row],[Rate (expected)2]]*0.9</f>
        <v>0</v>
      </c>
      <c r="AD203" s="34">
        <f>Table1[[#This Row],[Quantity (expected)]]*Table1[[#This Row],[Rate (expected)2]]*0.8</f>
        <v>0</v>
      </c>
      <c r="AE203" s="34">
        <f>Table1[[#This Row],[Quantity (expected)]]*Table1[[#This Row],[Rate (expected)2]]*0.7</f>
        <v>0</v>
      </c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1">
        <f>SUM(Table1[[#This Row],[Jan-23]:[Dec-23]])</f>
        <v>0</v>
      </c>
      <c r="AV203" s="105"/>
      <c r="AW203" s="32"/>
      <c r="AX203" s="35"/>
    </row>
    <row r="204" spans="1:50" x14ac:dyDescent="0.3">
      <c r="A204" s="30" t="str">
        <f>VLOOKUP(H204,'Accoount Code Combination'!$D:$L,8,FALSE)</f>
        <v>Academic</v>
      </c>
      <c r="B204" s="31" t="str">
        <f>VLOOKUP(Table1[[#This Row],[Account Code]],'Accoount Code Combination'!$D:$L,9,FALSE)</f>
        <v>No Applicable</v>
      </c>
      <c r="C204" s="4" t="str">
        <f>VLOOKUP(Table1[[#This Row],[Cost Center Code]],'Cost Center Group'!A:B,2,FALSE)</f>
        <v>College of Engineering</v>
      </c>
      <c r="D204" s="4">
        <v>847</v>
      </c>
      <c r="E204" s="79">
        <v>8470350</v>
      </c>
      <c r="F204" s="32" t="s">
        <v>191</v>
      </c>
      <c r="G204" s="4">
        <v>1</v>
      </c>
      <c r="H204" s="95">
        <v>425770</v>
      </c>
      <c r="I204" s="106" t="str">
        <f>IFERROR(VLOOKUP(Table1[[#This Row],[Account Code]],'Accoount Code Combination'!$D:$H,2,FALSE),"")</f>
        <v>Academic Missions - Combined expenses</v>
      </c>
      <c r="J204" s="79">
        <v>8470350</v>
      </c>
      <c r="K204" s="4"/>
      <c r="L204" s="4" t="str">
        <f>IFERROR(VLOOKUP(Table1[[#This Row],[Future-1 Description]],'Other '!E192:$F201,2,FALSE),"")</f>
        <v/>
      </c>
      <c r="M204" s="32"/>
      <c r="N204" s="32"/>
      <c r="O204" s="32"/>
      <c r="P204" s="49">
        <v>48724.67</v>
      </c>
      <c r="Q204" s="49">
        <v>45000</v>
      </c>
      <c r="R204" s="32"/>
      <c r="S204" s="4"/>
      <c r="T204" s="32"/>
      <c r="U204" s="32"/>
      <c r="V204" s="32"/>
      <c r="W204" s="32"/>
      <c r="X204" s="33"/>
      <c r="Y204" s="33"/>
      <c r="Z204" s="31">
        <f>Table1[[#This Row],[Quantity of measruing units]]*Table1[[#This Row],[Rate (expected)]]</f>
        <v>0</v>
      </c>
      <c r="AA204" s="31"/>
      <c r="AB204" s="31"/>
      <c r="AC204" s="34">
        <f>Table1[[#This Row],[Quantity (expected)]]*Table1[[#This Row],[Rate (expected)2]]*0.9</f>
        <v>0</v>
      </c>
      <c r="AD204" s="34">
        <f>Table1[[#This Row],[Quantity (expected)]]*Table1[[#This Row],[Rate (expected)2]]*0.8</f>
        <v>0</v>
      </c>
      <c r="AE204" s="34">
        <f>Table1[[#This Row],[Quantity (expected)]]*Table1[[#This Row],[Rate (expected)2]]*0.7</f>
        <v>0</v>
      </c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1">
        <f>SUM(Table1[[#This Row],[Jan-23]:[Dec-23]])</f>
        <v>0</v>
      </c>
      <c r="AV204" s="105"/>
      <c r="AW204" s="32"/>
      <c r="AX204" s="35"/>
    </row>
    <row r="205" spans="1:50" x14ac:dyDescent="0.3">
      <c r="A205" s="30" t="str">
        <f>VLOOKUP(H205,'Accoount Code Combination'!$D:$L,8,FALSE)</f>
        <v>Other support</v>
      </c>
      <c r="B205" s="31" t="str">
        <f>VLOOKUP(Table1[[#This Row],[Account Code]],'Accoount Code Combination'!$D:$L,9,FALSE)</f>
        <v>No Applicable</v>
      </c>
      <c r="C205" s="4" t="str">
        <f>VLOOKUP(Table1[[#This Row],[Cost Center Code]],'Cost Center Group'!A:B,2,FALSE)</f>
        <v>College of Engineering</v>
      </c>
      <c r="D205" s="4">
        <v>847</v>
      </c>
      <c r="E205" s="79">
        <v>8470350</v>
      </c>
      <c r="F205" s="32" t="s">
        <v>191</v>
      </c>
      <c r="G205" s="4">
        <v>1</v>
      </c>
      <c r="H205" s="95">
        <v>425900</v>
      </c>
      <c r="I205" s="106" t="str">
        <f>IFERROR(VLOOKUP(Table1[[#This Row],[Account Code]],'Accoount Code Combination'!$D:$H,2,FALSE),"")</f>
        <v>Entertainment and hospitality</v>
      </c>
      <c r="J205" s="79">
        <v>8470350</v>
      </c>
      <c r="K205" s="4"/>
      <c r="L205" s="4" t="str">
        <f>IFERROR(VLOOKUP(Table1[[#This Row],[Future-1 Description]],'Other '!E193:$F202,2,FALSE),"")</f>
        <v/>
      </c>
      <c r="M205" s="32"/>
      <c r="N205" s="32"/>
      <c r="O205" s="32"/>
      <c r="P205" s="49">
        <v>9655.5499999999993</v>
      </c>
      <c r="Q205" s="49">
        <v>0</v>
      </c>
      <c r="R205" s="32"/>
      <c r="S205" s="4"/>
      <c r="T205" s="32"/>
      <c r="U205" s="32"/>
      <c r="V205" s="32"/>
      <c r="W205" s="32"/>
      <c r="X205" s="33"/>
      <c r="Y205" s="33"/>
      <c r="Z205" s="31">
        <f>Table1[[#This Row],[Quantity of measruing units]]*Table1[[#This Row],[Rate (expected)]]</f>
        <v>0</v>
      </c>
      <c r="AA205" s="31"/>
      <c r="AB205" s="31"/>
      <c r="AC205" s="34">
        <f>Table1[[#This Row],[Quantity (expected)]]*Table1[[#This Row],[Rate (expected)2]]*0.9</f>
        <v>0</v>
      </c>
      <c r="AD205" s="34">
        <f>Table1[[#This Row],[Quantity (expected)]]*Table1[[#This Row],[Rate (expected)2]]*0.8</f>
        <v>0</v>
      </c>
      <c r="AE205" s="34">
        <f>Table1[[#This Row],[Quantity (expected)]]*Table1[[#This Row],[Rate (expected)2]]*0.7</f>
        <v>0</v>
      </c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1">
        <f>SUM(Table1[[#This Row],[Jan-23]:[Dec-23]])</f>
        <v>0</v>
      </c>
      <c r="AV205" s="105"/>
      <c r="AW205" s="32"/>
      <c r="AX205" s="35"/>
    </row>
    <row r="206" spans="1:50" x14ac:dyDescent="0.3">
      <c r="A206" s="30" t="str">
        <f>VLOOKUP(H206,'Accoount Code Combination'!$D:$L,8,FALSE)</f>
        <v>IT</v>
      </c>
      <c r="B206" s="31" t="str">
        <f>VLOOKUP(Table1[[#This Row],[Account Code]],'Accoount Code Combination'!$D:$L,9,FALSE)</f>
        <v>Software Operating</v>
      </c>
      <c r="C206" s="4" t="str">
        <f>VLOOKUP(Table1[[#This Row],[Cost Center Code]],'Cost Center Group'!A:B,2,FALSE)</f>
        <v>College of Engineering</v>
      </c>
      <c r="D206" s="4">
        <v>847</v>
      </c>
      <c r="E206" s="79">
        <v>8470350</v>
      </c>
      <c r="F206" s="32" t="s">
        <v>191</v>
      </c>
      <c r="G206" s="4">
        <v>1</v>
      </c>
      <c r="H206" s="95">
        <v>426610</v>
      </c>
      <c r="I206" s="106" t="str">
        <f>IFERROR(VLOOKUP(Table1[[#This Row],[Account Code]],'Accoount Code Combination'!$D:$H,2,FALSE),"")</f>
        <v>Computer software licenses</v>
      </c>
      <c r="J206" s="79">
        <v>8470350</v>
      </c>
      <c r="K206" s="4"/>
      <c r="L206" s="4" t="str">
        <f>IFERROR(VLOOKUP(Table1[[#This Row],[Future-1 Description]],'Other '!E194:$F203,2,FALSE),"")</f>
        <v/>
      </c>
      <c r="M206" s="32"/>
      <c r="N206" s="32"/>
      <c r="O206" s="32"/>
      <c r="P206" s="49">
        <v>10054.700000000001</v>
      </c>
      <c r="Q206" s="49">
        <v>84839</v>
      </c>
      <c r="R206" s="32"/>
      <c r="S206" s="4"/>
      <c r="T206" s="32"/>
      <c r="U206" s="32"/>
      <c r="V206" s="32"/>
      <c r="W206" s="32"/>
      <c r="X206" s="33"/>
      <c r="Y206" s="33"/>
      <c r="Z206" s="31">
        <f>Table1[[#This Row],[Quantity of measruing units]]*Table1[[#This Row],[Rate (expected)]]</f>
        <v>0</v>
      </c>
      <c r="AA206" s="31"/>
      <c r="AB206" s="31"/>
      <c r="AC206" s="34">
        <f>Table1[[#This Row],[Quantity (expected)]]*Table1[[#This Row],[Rate (expected)2]]*0.9</f>
        <v>0</v>
      </c>
      <c r="AD206" s="34">
        <f>Table1[[#This Row],[Quantity (expected)]]*Table1[[#This Row],[Rate (expected)2]]*0.8</f>
        <v>0</v>
      </c>
      <c r="AE206" s="34">
        <f>Table1[[#This Row],[Quantity (expected)]]*Table1[[#This Row],[Rate (expected)2]]*0.7</f>
        <v>0</v>
      </c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1">
        <f>SUM(Table1[[#This Row],[Jan-23]:[Dec-23]])</f>
        <v>0</v>
      </c>
      <c r="AV206" s="105"/>
      <c r="AW206" s="32"/>
      <c r="AX206" s="35"/>
    </row>
    <row r="207" spans="1:50" x14ac:dyDescent="0.3">
      <c r="A207" s="30" t="str">
        <f>VLOOKUP(H207,'Accoount Code Combination'!$D:$L,8,FALSE)</f>
        <v>Academic</v>
      </c>
      <c r="B207" s="31" t="str">
        <f>VLOOKUP(Table1[[#This Row],[Account Code]],'Accoount Code Combination'!$D:$L,9,FALSE)</f>
        <v>No Applicable</v>
      </c>
      <c r="C207" s="4" t="str">
        <f>VLOOKUP(Table1[[#This Row],[Cost Center Code]],'Cost Center Group'!A:B,2,FALSE)</f>
        <v>College of Engineering</v>
      </c>
      <c r="D207" s="4">
        <v>847</v>
      </c>
      <c r="E207" s="79">
        <v>8470350</v>
      </c>
      <c r="F207" s="32" t="s">
        <v>191</v>
      </c>
      <c r="G207" s="4">
        <v>1</v>
      </c>
      <c r="H207" s="95">
        <v>432209</v>
      </c>
      <c r="I207" s="106" t="str">
        <f>IFERROR(VLOOKUP(Table1[[#This Row],[Account Code]],'Accoount Code Combination'!$D:$H,2,FALSE),"")</f>
        <v>Laboratory equipment</v>
      </c>
      <c r="J207" s="79">
        <v>8470350</v>
      </c>
      <c r="K207" s="4"/>
      <c r="L207" s="4" t="str">
        <f>IFERROR(VLOOKUP(Table1[[#This Row],[Future-1 Description]],'Other '!E195:$F204,2,FALSE),"")</f>
        <v/>
      </c>
      <c r="M207" s="32"/>
      <c r="N207" s="32"/>
      <c r="O207" s="32"/>
      <c r="P207" s="49">
        <v>413126</v>
      </c>
      <c r="Q207" s="49">
        <v>382035</v>
      </c>
      <c r="R207" s="32"/>
      <c r="S207" s="4"/>
      <c r="T207" s="32"/>
      <c r="U207" s="32"/>
      <c r="V207" s="32"/>
      <c r="W207" s="32"/>
      <c r="X207" s="33"/>
      <c r="Y207" s="33"/>
      <c r="Z207" s="31">
        <f>Table1[[#This Row],[Quantity of measruing units]]*Table1[[#This Row],[Rate (expected)]]</f>
        <v>0</v>
      </c>
      <c r="AA207" s="31"/>
      <c r="AB207" s="31"/>
      <c r="AC207" s="34">
        <f>Table1[[#This Row],[Quantity (expected)]]*Table1[[#This Row],[Rate (expected)2]]*0.9</f>
        <v>0</v>
      </c>
      <c r="AD207" s="34">
        <f>Table1[[#This Row],[Quantity (expected)]]*Table1[[#This Row],[Rate (expected)2]]*0.8</f>
        <v>0</v>
      </c>
      <c r="AE207" s="34">
        <f>Table1[[#This Row],[Quantity (expected)]]*Table1[[#This Row],[Rate (expected)2]]*0.7</f>
        <v>0</v>
      </c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1">
        <f>SUM(Table1[[#This Row],[Jan-23]:[Dec-23]])</f>
        <v>0</v>
      </c>
      <c r="AV207" s="105"/>
      <c r="AW207" s="32"/>
      <c r="AX207" s="35"/>
    </row>
    <row r="208" spans="1:50" x14ac:dyDescent="0.3">
      <c r="A208" s="30" t="str">
        <f>VLOOKUP(H208,'Accoount Code Combination'!$D:$L,8,FALSE)</f>
        <v>Academic</v>
      </c>
      <c r="B208" s="31" t="str">
        <f>VLOOKUP(Table1[[#This Row],[Account Code]],'Accoount Code Combination'!$D:$L,9,FALSE)</f>
        <v>No Applicable</v>
      </c>
      <c r="C208" s="4" t="str">
        <f>VLOOKUP(Table1[[#This Row],[Cost Center Code]],'Cost Center Group'!A:B,2,FALSE)</f>
        <v>College of Engineering</v>
      </c>
      <c r="D208" s="4">
        <v>847</v>
      </c>
      <c r="E208" s="79">
        <v>8470350</v>
      </c>
      <c r="F208" s="32" t="s">
        <v>191</v>
      </c>
      <c r="G208" s="4">
        <v>1</v>
      </c>
      <c r="H208" s="95">
        <v>435340</v>
      </c>
      <c r="I208" s="106" t="str">
        <f>IFERROR(VLOOKUP(Table1[[#This Row],[Account Code]],'Accoount Code Combination'!$D:$H,2,FALSE),"")</f>
        <v>Text books and library books</v>
      </c>
      <c r="J208" s="79">
        <v>8470350</v>
      </c>
      <c r="K208" s="4"/>
      <c r="L208" s="4" t="str">
        <f>IFERROR(VLOOKUP(Table1[[#This Row],[Future-1 Description]],'Other '!E196:$F205,2,FALSE),"")</f>
        <v/>
      </c>
      <c r="M208" s="32"/>
      <c r="N208" s="32"/>
      <c r="O208" s="32"/>
      <c r="P208" s="49">
        <v>0</v>
      </c>
      <c r="Q208" s="49">
        <v>65000</v>
      </c>
      <c r="R208" s="32"/>
      <c r="S208" s="4"/>
      <c r="T208" s="32"/>
      <c r="U208" s="32"/>
      <c r="V208" s="32"/>
      <c r="W208" s="32"/>
      <c r="X208" s="33"/>
      <c r="Y208" s="33"/>
      <c r="Z208" s="31">
        <f>Table1[[#This Row],[Quantity of measruing units]]*Table1[[#This Row],[Rate (expected)]]</f>
        <v>0</v>
      </c>
      <c r="AA208" s="31"/>
      <c r="AB208" s="31"/>
      <c r="AC208" s="34">
        <f>Table1[[#This Row],[Quantity (expected)]]*Table1[[#This Row],[Rate (expected)2]]*0.9</f>
        <v>0</v>
      </c>
      <c r="AD208" s="34">
        <f>Table1[[#This Row],[Quantity (expected)]]*Table1[[#This Row],[Rate (expected)2]]*0.8</f>
        <v>0</v>
      </c>
      <c r="AE208" s="34">
        <f>Table1[[#This Row],[Quantity (expected)]]*Table1[[#This Row],[Rate (expected)2]]*0.7</f>
        <v>0</v>
      </c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1">
        <f>SUM(Table1[[#This Row],[Jan-23]:[Dec-23]])</f>
        <v>0</v>
      </c>
      <c r="AV208" s="105"/>
      <c r="AW208" s="32"/>
      <c r="AX208" s="35"/>
    </row>
    <row r="209" spans="1:50" x14ac:dyDescent="0.3">
      <c r="A209" s="30" t="str">
        <f>VLOOKUP(H209,'Accoount Code Combination'!$D:$L,8,FALSE)</f>
        <v>Academic</v>
      </c>
      <c r="B209" s="31" t="str">
        <f>VLOOKUP(Table1[[#This Row],[Account Code]],'Accoount Code Combination'!$D:$L,9,FALSE)</f>
        <v>No Applicable</v>
      </c>
      <c r="C209" s="4" t="str">
        <f>VLOOKUP(Table1[[#This Row],[Cost Center Code]],'Cost Center Group'!A:B,2,FALSE)</f>
        <v>College of Engineering</v>
      </c>
      <c r="D209" s="4">
        <v>847</v>
      </c>
      <c r="E209" s="79">
        <v>8470350</v>
      </c>
      <c r="F209" s="32" t="s">
        <v>191</v>
      </c>
      <c r="G209" s="4">
        <v>1</v>
      </c>
      <c r="H209" s="95">
        <v>435350</v>
      </c>
      <c r="I209" s="106" t="str">
        <f>IFERROR(VLOOKUP(Table1[[#This Row],[Account Code]],'Accoount Code Combination'!$D:$H,2,FALSE),"")</f>
        <v>Academic Publications</v>
      </c>
      <c r="J209" s="79">
        <v>8470350</v>
      </c>
      <c r="K209" s="4"/>
      <c r="L209" s="4" t="str">
        <f>IFERROR(VLOOKUP(Table1[[#This Row],[Future-1 Description]],'Other '!E197:$F206,2,FALSE),"")</f>
        <v/>
      </c>
      <c r="M209" s="32"/>
      <c r="N209" s="32"/>
      <c r="O209" s="32"/>
      <c r="P209" s="49">
        <v>18571.400000000001</v>
      </c>
      <c r="Q209" s="49">
        <v>5000</v>
      </c>
      <c r="R209" s="32"/>
      <c r="S209" s="4"/>
      <c r="T209" s="32"/>
      <c r="U209" s="32"/>
      <c r="V209" s="32"/>
      <c r="W209" s="32"/>
      <c r="X209" s="33"/>
      <c r="Y209" s="33"/>
      <c r="Z209" s="31">
        <f>Table1[[#This Row],[Quantity of measruing units]]*Table1[[#This Row],[Rate (expected)]]</f>
        <v>0</v>
      </c>
      <c r="AA209" s="31"/>
      <c r="AB209" s="31"/>
      <c r="AC209" s="34">
        <f>Table1[[#This Row],[Quantity (expected)]]*Table1[[#This Row],[Rate (expected)2]]*0.9</f>
        <v>0</v>
      </c>
      <c r="AD209" s="34">
        <f>Table1[[#This Row],[Quantity (expected)]]*Table1[[#This Row],[Rate (expected)2]]*0.8</f>
        <v>0</v>
      </c>
      <c r="AE209" s="34">
        <f>Table1[[#This Row],[Quantity (expected)]]*Table1[[#This Row],[Rate (expected)2]]*0.7</f>
        <v>0</v>
      </c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1">
        <f>SUM(Table1[[#This Row],[Jan-23]:[Dec-23]])</f>
        <v>0</v>
      </c>
      <c r="AV209" s="105"/>
      <c r="AW209" s="32"/>
      <c r="AX209" s="35"/>
    </row>
    <row r="210" spans="1:50" x14ac:dyDescent="0.3">
      <c r="A210" s="30" t="str">
        <f>VLOOKUP(H210,'Accoount Code Combination'!$D:$L,8,FALSE)</f>
        <v>Academic</v>
      </c>
      <c r="B210" s="31" t="str">
        <f>VLOOKUP(Table1[[#This Row],[Account Code]],'Accoount Code Combination'!$D:$L,9,FALSE)</f>
        <v>No Applicable</v>
      </c>
      <c r="C210" s="4" t="str">
        <f>VLOOKUP(Table1[[#This Row],[Cost Center Code]],'Cost Center Group'!A:B,2,FALSE)</f>
        <v>College of Engineering</v>
      </c>
      <c r="D210" s="4">
        <v>847</v>
      </c>
      <c r="E210" s="79">
        <v>8470350</v>
      </c>
      <c r="F210" s="32" t="s">
        <v>191</v>
      </c>
      <c r="G210" s="4">
        <v>1</v>
      </c>
      <c r="H210" s="95">
        <v>435508</v>
      </c>
      <c r="I210" s="106" t="str">
        <f>IFERROR(VLOOKUP(Table1[[#This Row],[Account Code]],'Accoount Code Combination'!$D:$H,2,FALSE),"")</f>
        <v>Laboratory - Scientific</v>
      </c>
      <c r="J210" s="79">
        <v>8470350</v>
      </c>
      <c r="K210" s="4"/>
      <c r="L210" s="4" t="str">
        <f>IFERROR(VLOOKUP(Table1[[#This Row],[Future-1 Description]],'Other '!E198:$F207,2,FALSE),"")</f>
        <v/>
      </c>
      <c r="M210" s="32"/>
      <c r="N210" s="32"/>
      <c r="O210" s="32"/>
      <c r="P210" s="49">
        <v>25049.360000000001</v>
      </c>
      <c r="Q210" s="49">
        <v>20250</v>
      </c>
      <c r="R210" s="32"/>
      <c r="S210" s="4"/>
      <c r="T210" s="32"/>
      <c r="U210" s="32"/>
      <c r="V210" s="32"/>
      <c r="W210" s="32"/>
      <c r="X210" s="33"/>
      <c r="Y210" s="33"/>
      <c r="Z210" s="31">
        <f>Table1[[#This Row],[Quantity of measruing units]]*Table1[[#This Row],[Rate (expected)]]</f>
        <v>0</v>
      </c>
      <c r="AA210" s="31"/>
      <c r="AB210" s="31"/>
      <c r="AC210" s="34">
        <f>Table1[[#This Row],[Quantity (expected)]]*Table1[[#This Row],[Rate (expected)2]]*0.9</f>
        <v>0</v>
      </c>
      <c r="AD210" s="34">
        <f>Table1[[#This Row],[Quantity (expected)]]*Table1[[#This Row],[Rate (expected)2]]*0.8</f>
        <v>0</v>
      </c>
      <c r="AE210" s="34">
        <f>Table1[[#This Row],[Quantity (expected)]]*Table1[[#This Row],[Rate (expected)2]]*0.7</f>
        <v>0</v>
      </c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1">
        <f>SUM(Table1[[#This Row],[Jan-23]:[Dec-23]])</f>
        <v>0</v>
      </c>
      <c r="AV210" s="105"/>
      <c r="AW210" s="32"/>
      <c r="AX210" s="35"/>
    </row>
    <row r="211" spans="1:50" x14ac:dyDescent="0.3">
      <c r="A211" s="30" t="str">
        <f>VLOOKUP(H211,'Accoount Code Combination'!$D:$L,8,FALSE)</f>
        <v>Other support</v>
      </c>
      <c r="B211" s="31" t="str">
        <f>VLOOKUP(Table1[[#This Row],[Account Code]],'Accoount Code Combination'!$D:$L,9,FALSE)</f>
        <v>No Applicable</v>
      </c>
      <c r="C211" s="4" t="str">
        <f>VLOOKUP(Table1[[#This Row],[Cost Center Code]],'Cost Center Group'!A:B,2,FALSE)</f>
        <v>College of Engineering</v>
      </c>
      <c r="D211" s="4">
        <v>847</v>
      </c>
      <c r="E211" s="79">
        <v>8470350</v>
      </c>
      <c r="F211" s="32" t="s">
        <v>191</v>
      </c>
      <c r="G211" s="4">
        <v>1</v>
      </c>
      <c r="H211" s="95">
        <v>436110</v>
      </c>
      <c r="I211" s="106" t="str">
        <f>IFERROR(VLOOKUP(Table1[[#This Row],[Account Code]],'Accoount Code Combination'!$D:$H,2,FALSE),"")</f>
        <v>Printing supplies</v>
      </c>
      <c r="J211" s="79">
        <v>8470350</v>
      </c>
      <c r="K211" s="4"/>
      <c r="L211" s="4" t="str">
        <f>IFERROR(VLOOKUP(Table1[[#This Row],[Future-1 Description]],'Other '!E199:$F208,2,FALSE),"")</f>
        <v/>
      </c>
      <c r="M211" s="32"/>
      <c r="N211" s="32"/>
      <c r="O211" s="32"/>
      <c r="P211" s="49">
        <v>0</v>
      </c>
      <c r="Q211" s="49">
        <v>5000</v>
      </c>
      <c r="R211" s="32"/>
      <c r="S211" s="4"/>
      <c r="T211" s="32"/>
      <c r="U211" s="32"/>
      <c r="V211" s="32"/>
      <c r="W211" s="32"/>
      <c r="X211" s="33"/>
      <c r="Y211" s="33"/>
      <c r="Z211" s="31">
        <f>Table1[[#This Row],[Quantity of measruing units]]*Table1[[#This Row],[Rate (expected)]]</f>
        <v>0</v>
      </c>
      <c r="AA211" s="31"/>
      <c r="AB211" s="31"/>
      <c r="AC211" s="34">
        <f>Table1[[#This Row],[Quantity (expected)]]*Table1[[#This Row],[Rate (expected)2]]*0.9</f>
        <v>0</v>
      </c>
      <c r="AD211" s="34">
        <f>Table1[[#This Row],[Quantity (expected)]]*Table1[[#This Row],[Rate (expected)2]]*0.8</f>
        <v>0</v>
      </c>
      <c r="AE211" s="34">
        <f>Table1[[#This Row],[Quantity (expected)]]*Table1[[#This Row],[Rate (expected)2]]*0.7</f>
        <v>0</v>
      </c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1">
        <f>SUM(Table1[[#This Row],[Jan-23]:[Dec-23]])</f>
        <v>0</v>
      </c>
      <c r="AV211" s="105"/>
      <c r="AW211" s="32"/>
      <c r="AX211" s="35"/>
    </row>
    <row r="212" spans="1:50" ht="26" x14ac:dyDescent="0.3">
      <c r="A212" s="30" t="str">
        <f>VLOOKUP(H212,'Accoount Code Combination'!$D:$L,8,FALSE)</f>
        <v>Academic</v>
      </c>
      <c r="B212" s="31" t="str">
        <f>VLOOKUP(Table1[[#This Row],[Account Code]],'Accoount Code Combination'!$D:$L,9,FALSE)</f>
        <v>No Applicable</v>
      </c>
      <c r="C212" s="4" t="str">
        <f>VLOOKUP(Table1[[#This Row],[Cost Center Code]],'Cost Center Group'!A:B,2,FALSE)</f>
        <v>College of Engineering</v>
      </c>
      <c r="D212" s="4">
        <v>847</v>
      </c>
      <c r="E212" s="79">
        <v>8470350</v>
      </c>
      <c r="F212" s="32" t="s">
        <v>191</v>
      </c>
      <c r="G212" s="4">
        <v>1</v>
      </c>
      <c r="H212" s="95">
        <v>436600</v>
      </c>
      <c r="I212" s="106" t="str">
        <f>IFERROR(VLOOKUP(Table1[[#This Row],[Account Code]],'Accoount Code Combination'!$D:$H,2,FALSE),"")</f>
        <v>Training/Teaching equipment and other educational aid</v>
      </c>
      <c r="J212" s="79">
        <v>8470350</v>
      </c>
      <c r="K212" s="4"/>
      <c r="L212" s="4" t="str">
        <f>IFERROR(VLOOKUP(Table1[[#This Row],[Future-1 Description]],'Other '!E200:$F209,2,FALSE),"")</f>
        <v/>
      </c>
      <c r="M212" s="32"/>
      <c r="N212" s="32"/>
      <c r="O212" s="32"/>
      <c r="P212" s="49">
        <v>0</v>
      </c>
      <c r="Q212" s="49">
        <v>0</v>
      </c>
      <c r="R212" s="32"/>
      <c r="S212" s="4"/>
      <c r="T212" s="32"/>
      <c r="U212" s="32"/>
      <c r="V212" s="32"/>
      <c r="W212" s="32"/>
      <c r="X212" s="33"/>
      <c r="Y212" s="33"/>
      <c r="Z212" s="31">
        <f>Table1[[#This Row],[Quantity of measruing units]]*Table1[[#This Row],[Rate (expected)]]</f>
        <v>0</v>
      </c>
      <c r="AA212" s="31"/>
      <c r="AB212" s="31"/>
      <c r="AC212" s="34">
        <f>Table1[[#This Row],[Quantity (expected)]]*Table1[[#This Row],[Rate (expected)2]]*0.9</f>
        <v>0</v>
      </c>
      <c r="AD212" s="34">
        <f>Table1[[#This Row],[Quantity (expected)]]*Table1[[#This Row],[Rate (expected)2]]*0.8</f>
        <v>0</v>
      </c>
      <c r="AE212" s="34">
        <f>Table1[[#This Row],[Quantity (expected)]]*Table1[[#This Row],[Rate (expected)2]]*0.7</f>
        <v>0</v>
      </c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1">
        <f>SUM(Table1[[#This Row],[Jan-23]:[Dec-23]])</f>
        <v>0</v>
      </c>
      <c r="AV212" s="105"/>
      <c r="AW212" s="32"/>
      <c r="AX212" s="35"/>
    </row>
    <row r="213" spans="1:50" x14ac:dyDescent="0.3">
      <c r="A213" s="30">
        <f>VLOOKUP(H213,'Accoount Code Combination'!$D:$L,8,FALSE)</f>
        <v>0</v>
      </c>
      <c r="B213" s="31" t="str">
        <f>VLOOKUP(Table1[[#This Row],[Account Code]],'Accoount Code Combination'!$D:$L,9,FALSE)</f>
        <v>No Applicable</v>
      </c>
      <c r="C213" s="4" t="str">
        <f>VLOOKUP(Table1[[#This Row],[Cost Center Code]],'Cost Center Group'!A:B,2,FALSE)</f>
        <v>College of Engineering</v>
      </c>
      <c r="D213" s="4">
        <v>847</v>
      </c>
      <c r="E213" s="79">
        <v>8470350</v>
      </c>
      <c r="F213" s="32" t="s">
        <v>191</v>
      </c>
      <c r="G213" s="4">
        <v>1</v>
      </c>
      <c r="H213" s="95">
        <v>492316</v>
      </c>
      <c r="I213" s="106" t="str">
        <f>IFERROR(VLOOKUP(Table1[[#This Row],[Account Code]],'Accoount Code Combination'!$D:$H,2,FALSE),"")</f>
        <v>Laboratory equipment</v>
      </c>
      <c r="J213" s="79">
        <v>8470350</v>
      </c>
      <c r="K213" s="4"/>
      <c r="L213" s="4" t="str">
        <f>IFERROR(VLOOKUP(Table1[[#This Row],[Future-1 Description]],'Other '!E201:$F210,2,FALSE),"")</f>
        <v/>
      </c>
      <c r="M213" s="32"/>
      <c r="N213" s="32"/>
      <c r="O213" s="32"/>
      <c r="P213" s="49">
        <v>584893</v>
      </c>
      <c r="Q213" s="49">
        <v>772173</v>
      </c>
      <c r="R213" s="32"/>
      <c r="S213" s="4"/>
      <c r="T213" s="32"/>
      <c r="U213" s="32"/>
      <c r="V213" s="32"/>
      <c r="W213" s="32"/>
      <c r="X213" s="33"/>
      <c r="Y213" s="33"/>
      <c r="Z213" s="31">
        <f>Table1[[#This Row],[Quantity of measruing units]]*Table1[[#This Row],[Rate (expected)]]</f>
        <v>0</v>
      </c>
      <c r="AA213" s="31"/>
      <c r="AB213" s="31"/>
      <c r="AC213" s="34">
        <f>Table1[[#This Row],[Quantity (expected)]]*Table1[[#This Row],[Rate (expected)2]]*0.9</f>
        <v>0</v>
      </c>
      <c r="AD213" s="34">
        <f>Table1[[#This Row],[Quantity (expected)]]*Table1[[#This Row],[Rate (expected)2]]*0.8</f>
        <v>0</v>
      </c>
      <c r="AE213" s="34">
        <f>Table1[[#This Row],[Quantity (expected)]]*Table1[[#This Row],[Rate (expected)2]]*0.7</f>
        <v>0</v>
      </c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1">
        <f>SUM(Table1[[#This Row],[Jan-23]:[Dec-23]])</f>
        <v>0</v>
      </c>
      <c r="AV213" s="105"/>
      <c r="AW213" s="32"/>
      <c r="AX213" s="35"/>
    </row>
    <row r="214" spans="1:50" x14ac:dyDescent="0.3">
      <c r="A214" s="30" t="str">
        <f>VLOOKUP(H214,'Accoount Code Combination'!$D:$L,8,FALSE)</f>
        <v>Academic</v>
      </c>
      <c r="B214" s="31" t="str">
        <f>VLOOKUP(Table1[[#This Row],[Account Code]],'Accoount Code Combination'!$D:$L,9,FALSE)</f>
        <v>No Applicable</v>
      </c>
      <c r="C214" s="4" t="str">
        <f>VLOOKUP(Table1[[#This Row],[Cost Center Code]],'Cost Center Group'!A:B,2,FALSE)</f>
        <v>College of Arts &amp; Science</v>
      </c>
      <c r="D214" s="4">
        <v>847</v>
      </c>
      <c r="E214" s="79">
        <v>8470405</v>
      </c>
      <c r="F214" s="32" t="s">
        <v>270</v>
      </c>
      <c r="G214" s="4">
        <v>1</v>
      </c>
      <c r="H214" s="95">
        <v>421700</v>
      </c>
      <c r="I214" s="106" t="str">
        <f>IFERROR(VLOOKUP(Table1[[#This Row],[Account Code]],'Accoount Code Combination'!$D:$H,2,FALSE),"")</f>
        <v>Standards certification (e.g. ISO)</v>
      </c>
      <c r="J214" s="79">
        <v>8470405</v>
      </c>
      <c r="K214" s="4"/>
      <c r="L214" s="4" t="str">
        <f>IFERROR(VLOOKUP(Table1[[#This Row],[Future-1 Description]],'Other '!E202:$F211,2,FALSE),"")</f>
        <v/>
      </c>
      <c r="M214" s="32"/>
      <c r="N214" s="32"/>
      <c r="O214" s="32"/>
      <c r="P214" s="49">
        <v>345102.47</v>
      </c>
      <c r="Q214" s="49">
        <v>368363</v>
      </c>
      <c r="R214" s="32"/>
      <c r="S214" s="4"/>
      <c r="T214" s="32"/>
      <c r="U214" s="32"/>
      <c r="V214" s="32"/>
      <c r="W214" s="32"/>
      <c r="X214" s="33"/>
      <c r="Y214" s="33"/>
      <c r="Z214" s="31">
        <f>Table1[[#This Row],[Quantity of measruing units]]*Table1[[#This Row],[Rate (expected)]]</f>
        <v>0</v>
      </c>
      <c r="AA214" s="31"/>
      <c r="AB214" s="31"/>
      <c r="AC214" s="34">
        <f>Table1[[#This Row],[Quantity (expected)]]*Table1[[#This Row],[Rate (expected)2]]*0.9</f>
        <v>0</v>
      </c>
      <c r="AD214" s="34">
        <f>Table1[[#This Row],[Quantity (expected)]]*Table1[[#This Row],[Rate (expected)2]]*0.8</f>
        <v>0</v>
      </c>
      <c r="AE214" s="34">
        <f>Table1[[#This Row],[Quantity (expected)]]*Table1[[#This Row],[Rate (expected)2]]*0.7</f>
        <v>0</v>
      </c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1">
        <f>SUM(Table1[[#This Row],[Jan-23]:[Dec-23]])</f>
        <v>0</v>
      </c>
      <c r="AV214" s="105"/>
      <c r="AW214" s="32"/>
      <c r="AX214" s="35"/>
    </row>
    <row r="215" spans="1:50" x14ac:dyDescent="0.3">
      <c r="A215" s="30" t="str">
        <f>VLOOKUP(H215,'Accoount Code Combination'!$D:$L,8,FALSE)</f>
        <v>Communiction &amp; Marketing</v>
      </c>
      <c r="B215" s="31" t="str">
        <f>VLOOKUP(Table1[[#This Row],[Account Code]],'Accoount Code Combination'!$D:$L,9,FALSE)</f>
        <v>Advertising</v>
      </c>
      <c r="C215" s="4" t="str">
        <f>VLOOKUP(Table1[[#This Row],[Cost Center Code]],'Cost Center Group'!A:B,2,FALSE)</f>
        <v>College of Arts &amp; Science</v>
      </c>
      <c r="D215" s="4">
        <v>847</v>
      </c>
      <c r="E215" s="79">
        <v>8470405</v>
      </c>
      <c r="F215" s="32" t="s">
        <v>270</v>
      </c>
      <c r="G215" s="4">
        <v>1</v>
      </c>
      <c r="H215" s="95">
        <v>425100</v>
      </c>
      <c r="I215" s="106" t="str">
        <f>IFERROR(VLOOKUP(Table1[[#This Row],[Account Code]],'Accoount Code Combination'!$D:$H,2,FALSE),"")</f>
        <v>Advertising</v>
      </c>
      <c r="J215" s="79">
        <v>8470405</v>
      </c>
      <c r="K215" s="4"/>
      <c r="L215" s="4" t="str">
        <f>IFERROR(VLOOKUP(Table1[[#This Row],[Future-1 Description]],'Other '!E203:$F212,2,FALSE),"")</f>
        <v/>
      </c>
      <c r="M215" s="32"/>
      <c r="N215" s="32"/>
      <c r="O215" s="32"/>
      <c r="P215" s="49">
        <v>0</v>
      </c>
      <c r="Q215" s="49">
        <v>1</v>
      </c>
      <c r="R215" s="32"/>
      <c r="S215" s="4"/>
      <c r="T215" s="32"/>
      <c r="U215" s="32"/>
      <c r="V215" s="32"/>
      <c r="W215" s="32"/>
      <c r="X215" s="33"/>
      <c r="Y215" s="33"/>
      <c r="Z215" s="31">
        <f>Table1[[#This Row],[Quantity of measruing units]]*Table1[[#This Row],[Rate (expected)]]</f>
        <v>0</v>
      </c>
      <c r="AA215" s="31"/>
      <c r="AB215" s="31"/>
      <c r="AC215" s="34">
        <f>Table1[[#This Row],[Quantity (expected)]]*Table1[[#This Row],[Rate (expected)2]]*0.9</f>
        <v>0</v>
      </c>
      <c r="AD215" s="34">
        <f>Table1[[#This Row],[Quantity (expected)]]*Table1[[#This Row],[Rate (expected)2]]*0.8</f>
        <v>0</v>
      </c>
      <c r="AE215" s="34">
        <f>Table1[[#This Row],[Quantity (expected)]]*Table1[[#This Row],[Rate (expected)2]]*0.7</f>
        <v>0</v>
      </c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1">
        <f>SUM(Table1[[#This Row],[Jan-23]:[Dec-23]])</f>
        <v>0</v>
      </c>
      <c r="AV215" s="105"/>
      <c r="AW215" s="32"/>
      <c r="AX215" s="35"/>
    </row>
    <row r="216" spans="1:50" ht="26" x14ac:dyDescent="0.3">
      <c r="A216" s="30" t="str">
        <f>VLOOKUP(H216,'Accoount Code Combination'!$D:$L,8,FALSE)</f>
        <v>Communiction &amp; Marketing</v>
      </c>
      <c r="B216" s="31" t="str">
        <f>VLOOKUP(Table1[[#This Row],[Account Code]],'Accoount Code Combination'!$D:$L,9,FALSE)</f>
        <v>Events</v>
      </c>
      <c r="C216" s="4" t="str">
        <f>VLOOKUP(Table1[[#This Row],[Cost Center Code]],'Cost Center Group'!A:B,2,FALSE)</f>
        <v>College of Arts &amp; Science</v>
      </c>
      <c r="D216" s="4">
        <v>847</v>
      </c>
      <c r="E216" s="79">
        <v>8470405</v>
      </c>
      <c r="F216" s="32" t="s">
        <v>270</v>
      </c>
      <c r="G216" s="4">
        <v>1</v>
      </c>
      <c r="H216" s="95">
        <v>425510</v>
      </c>
      <c r="I216" s="106" t="str">
        <f>IFERROR(VLOOKUP(Table1[[#This Row],[Account Code]],'Accoount Code Combination'!$D:$H,2,FALSE),"")</f>
        <v>Conferences, seminars and exhibitions and other events: - Local Events</v>
      </c>
      <c r="J216" s="79">
        <v>8470405</v>
      </c>
      <c r="K216" s="4"/>
      <c r="L216" s="4" t="str">
        <f>IFERROR(VLOOKUP(Table1[[#This Row],[Future-1 Description]],'Other '!E204:$F213,2,FALSE),"")</f>
        <v/>
      </c>
      <c r="M216" s="32"/>
      <c r="N216" s="32"/>
      <c r="O216" s="32"/>
      <c r="P216" s="49">
        <v>5943</v>
      </c>
      <c r="Q216" s="49">
        <v>5000</v>
      </c>
      <c r="R216" s="32"/>
      <c r="S216" s="4"/>
      <c r="T216" s="32"/>
      <c r="U216" s="32"/>
      <c r="V216" s="32"/>
      <c r="W216" s="32"/>
      <c r="X216" s="33"/>
      <c r="Y216" s="33"/>
      <c r="Z216" s="31">
        <f>Table1[[#This Row],[Quantity of measruing units]]*Table1[[#This Row],[Rate (expected)]]</f>
        <v>0</v>
      </c>
      <c r="AA216" s="31"/>
      <c r="AB216" s="31"/>
      <c r="AC216" s="34">
        <f>Table1[[#This Row],[Quantity (expected)]]*Table1[[#This Row],[Rate (expected)2]]*0.9</f>
        <v>0</v>
      </c>
      <c r="AD216" s="34">
        <f>Table1[[#This Row],[Quantity (expected)]]*Table1[[#This Row],[Rate (expected)2]]*0.8</f>
        <v>0</v>
      </c>
      <c r="AE216" s="34">
        <f>Table1[[#This Row],[Quantity (expected)]]*Table1[[#This Row],[Rate (expected)2]]*0.7</f>
        <v>0</v>
      </c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1">
        <f>SUM(Table1[[#This Row],[Jan-23]:[Dec-23]])</f>
        <v>0</v>
      </c>
      <c r="AV216" s="105"/>
      <c r="AW216" s="32"/>
      <c r="AX216" s="35"/>
    </row>
    <row r="217" spans="1:50" ht="26" x14ac:dyDescent="0.3">
      <c r="A217" s="30" t="str">
        <f>VLOOKUP(H217,'Accoount Code Combination'!$D:$L,8,FALSE)</f>
        <v>Communiction &amp; Marketing</v>
      </c>
      <c r="B217" s="31" t="str">
        <f>VLOOKUP(Table1[[#This Row],[Account Code]],'Accoount Code Combination'!$D:$L,9,FALSE)</f>
        <v>No Applicable</v>
      </c>
      <c r="C217" s="4" t="str">
        <f>VLOOKUP(Table1[[#This Row],[Cost Center Code]],'Cost Center Group'!A:B,2,FALSE)</f>
        <v>College of Arts &amp; Science</v>
      </c>
      <c r="D217" s="4">
        <v>847</v>
      </c>
      <c r="E217" s="79">
        <v>8470405</v>
      </c>
      <c r="F217" s="32" t="s">
        <v>270</v>
      </c>
      <c r="G217" s="4">
        <v>1</v>
      </c>
      <c r="H217" s="95">
        <v>425550</v>
      </c>
      <c r="I217" s="106" t="str">
        <f>IFERROR(VLOOKUP(Table1[[#This Row],[Account Code]],'Accoount Code Combination'!$D:$H,2,FALSE),"")</f>
        <v>Conferences, seminars and exhibitions and other events: - Overseas event</v>
      </c>
      <c r="J217" s="79">
        <v>8470405</v>
      </c>
      <c r="K217" s="4"/>
      <c r="L217" s="4" t="str">
        <f>IFERROR(VLOOKUP(Table1[[#This Row],[Future-1 Description]],'Other '!E205:$F214,2,FALSE),"")</f>
        <v/>
      </c>
      <c r="M217" s="32"/>
      <c r="N217" s="32"/>
      <c r="O217" s="32"/>
      <c r="P217" s="49">
        <v>10137</v>
      </c>
      <c r="Q217" s="49">
        <v>0</v>
      </c>
      <c r="R217" s="32"/>
      <c r="S217" s="4"/>
      <c r="T217" s="32"/>
      <c r="U217" s="32"/>
      <c r="V217" s="32"/>
      <c r="W217" s="32"/>
      <c r="X217" s="33"/>
      <c r="Y217" s="33"/>
      <c r="Z217" s="31">
        <f>Table1[[#This Row],[Quantity of measruing units]]*Table1[[#This Row],[Rate (expected)]]</f>
        <v>0</v>
      </c>
      <c r="AA217" s="31"/>
      <c r="AB217" s="31"/>
      <c r="AC217" s="34">
        <f>Table1[[#This Row],[Quantity (expected)]]*Table1[[#This Row],[Rate (expected)2]]*0.9</f>
        <v>0</v>
      </c>
      <c r="AD217" s="34">
        <f>Table1[[#This Row],[Quantity (expected)]]*Table1[[#This Row],[Rate (expected)2]]*0.8</f>
        <v>0</v>
      </c>
      <c r="AE217" s="34">
        <f>Table1[[#This Row],[Quantity (expected)]]*Table1[[#This Row],[Rate (expected)2]]*0.7</f>
        <v>0</v>
      </c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1">
        <f>SUM(Table1[[#This Row],[Jan-23]:[Dec-23]])</f>
        <v>0</v>
      </c>
      <c r="AV217" s="105"/>
      <c r="AW217" s="32"/>
      <c r="AX217" s="35"/>
    </row>
    <row r="218" spans="1:50" x14ac:dyDescent="0.3">
      <c r="A218" s="30" t="str">
        <f>VLOOKUP(H218,'Accoount Code Combination'!$D:$L,8,FALSE)</f>
        <v>Academic</v>
      </c>
      <c r="B218" s="31" t="str">
        <f>VLOOKUP(Table1[[#This Row],[Account Code]],'Accoount Code Combination'!$D:$L,9,FALSE)</f>
        <v>No Applicable</v>
      </c>
      <c r="C218" s="4" t="str">
        <f>VLOOKUP(Table1[[#This Row],[Cost Center Code]],'Cost Center Group'!A:B,2,FALSE)</f>
        <v>College of Arts &amp; Science</v>
      </c>
      <c r="D218" s="4">
        <v>847</v>
      </c>
      <c r="E218" s="79">
        <v>8470405</v>
      </c>
      <c r="F218" s="32" t="s">
        <v>270</v>
      </c>
      <c r="G218" s="4">
        <v>1</v>
      </c>
      <c r="H218" s="95">
        <v>425770</v>
      </c>
      <c r="I218" s="106" t="str">
        <f>IFERROR(VLOOKUP(Table1[[#This Row],[Account Code]],'Accoount Code Combination'!$D:$H,2,FALSE),"")</f>
        <v>Academic Missions - Combined expenses</v>
      </c>
      <c r="J218" s="79">
        <v>8470405</v>
      </c>
      <c r="K218" s="4"/>
      <c r="L218" s="4" t="str">
        <f>IFERROR(VLOOKUP(Table1[[#This Row],[Future-1 Description]],'Other '!E206:$F215,2,FALSE),"")</f>
        <v/>
      </c>
      <c r="M218" s="32"/>
      <c r="N218" s="32"/>
      <c r="O218" s="32"/>
      <c r="P218" s="49">
        <v>13603.26</v>
      </c>
      <c r="Q218" s="49">
        <v>50000</v>
      </c>
      <c r="R218" s="32"/>
      <c r="S218" s="4"/>
      <c r="T218" s="32"/>
      <c r="U218" s="32"/>
      <c r="V218" s="32"/>
      <c r="W218" s="32"/>
      <c r="X218" s="33"/>
      <c r="Y218" s="33"/>
      <c r="Z218" s="31">
        <f>Table1[[#This Row],[Quantity of measruing units]]*Table1[[#This Row],[Rate (expected)]]</f>
        <v>0</v>
      </c>
      <c r="AA218" s="31"/>
      <c r="AB218" s="31"/>
      <c r="AC218" s="34">
        <f>Table1[[#This Row],[Quantity (expected)]]*Table1[[#This Row],[Rate (expected)2]]*0.9</f>
        <v>0</v>
      </c>
      <c r="AD218" s="34">
        <f>Table1[[#This Row],[Quantity (expected)]]*Table1[[#This Row],[Rate (expected)2]]*0.8</f>
        <v>0</v>
      </c>
      <c r="AE218" s="34">
        <f>Table1[[#This Row],[Quantity (expected)]]*Table1[[#This Row],[Rate (expected)2]]*0.7</f>
        <v>0</v>
      </c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1">
        <f>SUM(Table1[[#This Row],[Jan-23]:[Dec-23]])</f>
        <v>0</v>
      </c>
      <c r="AV218" s="105"/>
      <c r="AW218" s="32"/>
      <c r="AX218" s="35"/>
    </row>
    <row r="219" spans="1:50" x14ac:dyDescent="0.3">
      <c r="A219" s="30" t="str">
        <f>VLOOKUP(H219,'Accoount Code Combination'!$D:$L,8,FALSE)</f>
        <v xml:space="preserve">Academic </v>
      </c>
      <c r="B219" s="31" t="str">
        <f>VLOOKUP(Table1[[#This Row],[Account Code]],'Accoount Code Combination'!$D:$L,9,FALSE)</f>
        <v>No Applicable</v>
      </c>
      <c r="C219" s="4" t="str">
        <f>VLOOKUP(Table1[[#This Row],[Cost Center Code]],'Cost Center Group'!A:B,2,FALSE)</f>
        <v>College of Arts &amp; Science</v>
      </c>
      <c r="D219" s="4">
        <v>847</v>
      </c>
      <c r="E219" s="79">
        <v>8470405</v>
      </c>
      <c r="F219" s="32" t="s">
        <v>270</v>
      </c>
      <c r="G219" s="4">
        <v>1</v>
      </c>
      <c r="H219" s="95">
        <v>428090</v>
      </c>
      <c r="I219" s="106" t="str">
        <f>IFERROR(VLOOKUP(Table1[[#This Row],[Account Code]],'Accoount Code Combination'!$D:$H,2,FALSE),"")</f>
        <v>Business Travel - Combined expenses</v>
      </c>
      <c r="J219" s="79">
        <v>8470405</v>
      </c>
      <c r="K219" s="4"/>
      <c r="L219" s="4" t="str">
        <f>IFERROR(VLOOKUP(Table1[[#This Row],[Future-1 Description]],'Other '!E207:$F216,2,FALSE),"")</f>
        <v/>
      </c>
      <c r="M219" s="32"/>
      <c r="N219" s="32"/>
      <c r="O219" s="32"/>
      <c r="P219" s="49">
        <v>0</v>
      </c>
      <c r="Q219" s="49">
        <v>0</v>
      </c>
      <c r="R219" s="32"/>
      <c r="S219" s="4"/>
      <c r="T219" s="32"/>
      <c r="U219" s="32"/>
      <c r="V219" s="32"/>
      <c r="W219" s="32"/>
      <c r="X219" s="33"/>
      <c r="Y219" s="33"/>
      <c r="Z219" s="31">
        <f>Table1[[#This Row],[Quantity of measruing units]]*Table1[[#This Row],[Rate (expected)]]</f>
        <v>0</v>
      </c>
      <c r="AA219" s="31"/>
      <c r="AB219" s="31"/>
      <c r="AC219" s="34">
        <f>Table1[[#This Row],[Quantity (expected)]]*Table1[[#This Row],[Rate (expected)2]]*0.9</f>
        <v>0</v>
      </c>
      <c r="AD219" s="34">
        <f>Table1[[#This Row],[Quantity (expected)]]*Table1[[#This Row],[Rate (expected)2]]*0.8</f>
        <v>0</v>
      </c>
      <c r="AE219" s="34">
        <f>Table1[[#This Row],[Quantity (expected)]]*Table1[[#This Row],[Rate (expected)2]]*0.7</f>
        <v>0</v>
      </c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1">
        <f>SUM(Table1[[#This Row],[Jan-23]:[Dec-23]])</f>
        <v>0</v>
      </c>
      <c r="AV219" s="105"/>
      <c r="AW219" s="32"/>
      <c r="AX219" s="35"/>
    </row>
    <row r="220" spans="1:50" x14ac:dyDescent="0.3">
      <c r="A220" s="30" t="str">
        <f>VLOOKUP(H220,'Accoount Code Combination'!$D:$L,8,FALSE)</f>
        <v>Academic</v>
      </c>
      <c r="B220" s="31" t="str">
        <f>VLOOKUP(Table1[[#This Row],[Account Code]],'Accoount Code Combination'!$D:$L,9,FALSE)</f>
        <v>No Applicable</v>
      </c>
      <c r="C220" s="4" t="str">
        <f>VLOOKUP(Table1[[#This Row],[Cost Center Code]],'Cost Center Group'!A:B,2,FALSE)</f>
        <v>College of Arts &amp; Science</v>
      </c>
      <c r="D220" s="4">
        <v>847</v>
      </c>
      <c r="E220" s="79">
        <v>8470405</v>
      </c>
      <c r="F220" s="32" t="s">
        <v>270</v>
      </c>
      <c r="G220" s="4">
        <v>1</v>
      </c>
      <c r="H220" s="95">
        <v>432209</v>
      </c>
      <c r="I220" s="106" t="str">
        <f>IFERROR(VLOOKUP(Table1[[#This Row],[Account Code]],'Accoount Code Combination'!$D:$H,2,FALSE),"")</f>
        <v>Laboratory equipment</v>
      </c>
      <c r="J220" s="79">
        <v>8470405</v>
      </c>
      <c r="K220" s="4"/>
      <c r="L220" s="4" t="str">
        <f>IFERROR(VLOOKUP(Table1[[#This Row],[Future-1 Description]],'Other '!E208:$F217,2,FALSE),"")</f>
        <v/>
      </c>
      <c r="M220" s="32"/>
      <c r="N220" s="32"/>
      <c r="O220" s="32"/>
      <c r="P220" s="49">
        <v>54285.71</v>
      </c>
      <c r="Q220" s="49">
        <v>190000</v>
      </c>
      <c r="R220" s="32"/>
      <c r="S220" s="4"/>
      <c r="T220" s="32"/>
      <c r="U220" s="32"/>
      <c r="V220" s="32"/>
      <c r="W220" s="32"/>
      <c r="X220" s="33"/>
      <c r="Y220" s="33"/>
      <c r="Z220" s="31">
        <f>Table1[[#This Row],[Quantity of measruing units]]*Table1[[#This Row],[Rate (expected)]]</f>
        <v>0</v>
      </c>
      <c r="AA220" s="31"/>
      <c r="AB220" s="31"/>
      <c r="AC220" s="34">
        <f>Table1[[#This Row],[Quantity (expected)]]*Table1[[#This Row],[Rate (expected)2]]*0.9</f>
        <v>0</v>
      </c>
      <c r="AD220" s="34">
        <f>Table1[[#This Row],[Quantity (expected)]]*Table1[[#This Row],[Rate (expected)2]]*0.8</f>
        <v>0</v>
      </c>
      <c r="AE220" s="34">
        <f>Table1[[#This Row],[Quantity (expected)]]*Table1[[#This Row],[Rate (expected)2]]*0.7</f>
        <v>0</v>
      </c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1">
        <f>SUM(Table1[[#This Row],[Jan-23]:[Dec-23]])</f>
        <v>0</v>
      </c>
      <c r="AV220" s="105"/>
      <c r="AW220" s="32"/>
      <c r="AX220" s="35"/>
    </row>
    <row r="221" spans="1:50" ht="26" x14ac:dyDescent="0.3">
      <c r="A221" s="30" t="str">
        <f>VLOOKUP(H221,'Accoount Code Combination'!$D:$L,8,FALSE)</f>
        <v>Academic</v>
      </c>
      <c r="B221" s="31" t="str">
        <f>VLOOKUP(Table1[[#This Row],[Account Code]],'Accoount Code Combination'!$D:$L,9,FALSE)</f>
        <v>No Applicable</v>
      </c>
      <c r="C221" s="4" t="str">
        <f>VLOOKUP(Table1[[#This Row],[Cost Center Code]],'Cost Center Group'!A:B,2,FALSE)</f>
        <v>College of Arts &amp; Science</v>
      </c>
      <c r="D221" s="4">
        <v>847</v>
      </c>
      <c r="E221" s="79">
        <v>8470410</v>
      </c>
      <c r="F221" s="32" t="s">
        <v>421</v>
      </c>
      <c r="G221" s="4">
        <v>1</v>
      </c>
      <c r="H221" s="95">
        <v>420570</v>
      </c>
      <c r="I221" s="106" t="str">
        <f>IFERROR(VLOOKUP(Table1[[#This Row],[Account Code]],'Accoount Code Combination'!$D:$H,2,FALSE),"")</f>
        <v>Academic Collaborative Partnership Services</v>
      </c>
      <c r="J221" s="79">
        <v>8470410</v>
      </c>
      <c r="K221" s="4"/>
      <c r="L221" s="4" t="str">
        <f>IFERROR(VLOOKUP(Table1[[#This Row],[Future-1 Description]],'Other '!E209:$F218,2,FALSE),"")</f>
        <v/>
      </c>
      <c r="M221" s="32"/>
      <c r="N221" s="32"/>
      <c r="O221" s="32"/>
      <c r="P221" s="49">
        <v>0</v>
      </c>
      <c r="Q221" s="49">
        <v>0</v>
      </c>
      <c r="R221" s="32"/>
      <c r="S221" s="4"/>
      <c r="T221" s="32"/>
      <c r="U221" s="32"/>
      <c r="V221" s="32"/>
      <c r="W221" s="32"/>
      <c r="X221" s="33"/>
      <c r="Y221" s="33"/>
      <c r="Z221" s="31">
        <f>Table1[[#This Row],[Quantity of measruing units]]*Table1[[#This Row],[Rate (expected)]]</f>
        <v>0</v>
      </c>
      <c r="AA221" s="31"/>
      <c r="AB221" s="31"/>
      <c r="AC221" s="34">
        <f>Table1[[#This Row],[Quantity (expected)]]*Table1[[#This Row],[Rate (expected)2]]*0.9</f>
        <v>0</v>
      </c>
      <c r="AD221" s="34">
        <f>Table1[[#This Row],[Quantity (expected)]]*Table1[[#This Row],[Rate (expected)2]]*0.8</f>
        <v>0</v>
      </c>
      <c r="AE221" s="34">
        <f>Table1[[#This Row],[Quantity (expected)]]*Table1[[#This Row],[Rate (expected)2]]*0.7</f>
        <v>0</v>
      </c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1">
        <f>SUM(Table1[[#This Row],[Jan-23]:[Dec-23]])</f>
        <v>0</v>
      </c>
      <c r="AV221" s="105"/>
      <c r="AW221" s="32"/>
      <c r="AX221" s="35"/>
    </row>
    <row r="222" spans="1:50" x14ac:dyDescent="0.3">
      <c r="A222" s="30" t="str">
        <f>VLOOKUP(H222,'Accoount Code Combination'!$D:$L,8,FALSE)</f>
        <v>Communiction &amp; Marketing</v>
      </c>
      <c r="B222" s="31" t="str">
        <f>VLOOKUP(Table1[[#This Row],[Account Code]],'Accoount Code Combination'!$D:$L,9,FALSE)</f>
        <v>Advertising</v>
      </c>
      <c r="C222" s="4" t="str">
        <f>VLOOKUP(Table1[[#This Row],[Cost Center Code]],'Cost Center Group'!A:B,2,FALSE)</f>
        <v>College of Arts &amp; Science</v>
      </c>
      <c r="D222" s="4">
        <v>847</v>
      </c>
      <c r="E222" s="79">
        <v>8470410</v>
      </c>
      <c r="F222" s="32" t="s">
        <v>421</v>
      </c>
      <c r="G222" s="4">
        <v>1</v>
      </c>
      <c r="H222" s="95">
        <v>425100</v>
      </c>
      <c r="I222" s="106" t="str">
        <f>IFERROR(VLOOKUP(Table1[[#This Row],[Account Code]],'Accoount Code Combination'!$D:$H,2,FALSE),"")</f>
        <v>Advertising</v>
      </c>
      <c r="J222" s="79">
        <v>8470410</v>
      </c>
      <c r="K222" s="4"/>
      <c r="L222" s="4" t="str">
        <f>IFERROR(VLOOKUP(Table1[[#This Row],[Future-1 Description]],'Other '!E210:$F219,2,FALSE),"")</f>
        <v/>
      </c>
      <c r="M222" s="32"/>
      <c r="N222" s="32"/>
      <c r="O222" s="32"/>
      <c r="P222" s="49">
        <v>0</v>
      </c>
      <c r="Q222" s="49">
        <v>0</v>
      </c>
      <c r="R222" s="32"/>
      <c r="S222" s="4"/>
      <c r="T222" s="32"/>
      <c r="U222" s="32"/>
      <c r="V222" s="32"/>
      <c r="W222" s="32"/>
      <c r="X222" s="33"/>
      <c r="Y222" s="33"/>
      <c r="Z222" s="31">
        <f>Table1[[#This Row],[Quantity of measruing units]]*Table1[[#This Row],[Rate (expected)]]</f>
        <v>0</v>
      </c>
      <c r="AA222" s="31"/>
      <c r="AB222" s="31"/>
      <c r="AC222" s="34">
        <f>Table1[[#This Row],[Quantity (expected)]]*Table1[[#This Row],[Rate (expected)2]]*0.9</f>
        <v>0</v>
      </c>
      <c r="AD222" s="34">
        <f>Table1[[#This Row],[Quantity (expected)]]*Table1[[#This Row],[Rate (expected)2]]*0.8</f>
        <v>0</v>
      </c>
      <c r="AE222" s="34">
        <f>Table1[[#This Row],[Quantity (expected)]]*Table1[[#This Row],[Rate (expected)2]]*0.7</f>
        <v>0</v>
      </c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1">
        <f>SUM(Table1[[#This Row],[Jan-23]:[Dec-23]])</f>
        <v>0</v>
      </c>
      <c r="AV222" s="105"/>
      <c r="AW222" s="32"/>
      <c r="AX222" s="35"/>
    </row>
    <row r="223" spans="1:50" x14ac:dyDescent="0.3">
      <c r="A223" s="30" t="str">
        <f>VLOOKUP(H223,'Accoount Code Combination'!$D:$L,8,FALSE)</f>
        <v>Academic</v>
      </c>
      <c r="B223" s="31" t="str">
        <f>VLOOKUP(Table1[[#This Row],[Account Code]],'Accoount Code Combination'!$D:$L,9,FALSE)</f>
        <v>No Applicable</v>
      </c>
      <c r="C223" s="4" t="str">
        <f>VLOOKUP(Table1[[#This Row],[Cost Center Code]],'Cost Center Group'!A:B,2,FALSE)</f>
        <v>College of Arts &amp; Science</v>
      </c>
      <c r="D223" s="4">
        <v>847</v>
      </c>
      <c r="E223" s="79">
        <v>8470410</v>
      </c>
      <c r="F223" s="32" t="s">
        <v>421</v>
      </c>
      <c r="G223" s="4">
        <v>1</v>
      </c>
      <c r="H223" s="95">
        <v>425761</v>
      </c>
      <c r="I223" s="106" t="str">
        <f>IFERROR(VLOOKUP(Table1[[#This Row],[Account Code]],'Accoount Code Combination'!$D:$H,2,FALSE),"")</f>
        <v>Student Field trips</v>
      </c>
      <c r="J223" s="79">
        <v>8470410</v>
      </c>
      <c r="K223" s="4"/>
      <c r="L223" s="4" t="str">
        <f>IFERROR(VLOOKUP(Table1[[#This Row],[Future-1 Description]],'Other '!E211:$F220,2,FALSE),"")</f>
        <v/>
      </c>
      <c r="M223" s="32"/>
      <c r="N223" s="32"/>
      <c r="O223" s="32"/>
      <c r="P223" s="49">
        <v>0</v>
      </c>
      <c r="Q223" s="49">
        <v>0</v>
      </c>
      <c r="R223" s="32"/>
      <c r="S223" s="4"/>
      <c r="T223" s="32"/>
      <c r="U223" s="32"/>
      <c r="V223" s="32"/>
      <c r="W223" s="32"/>
      <c r="X223" s="33"/>
      <c r="Y223" s="33"/>
      <c r="Z223" s="31">
        <f>Table1[[#This Row],[Quantity of measruing units]]*Table1[[#This Row],[Rate (expected)]]</f>
        <v>0</v>
      </c>
      <c r="AA223" s="31"/>
      <c r="AB223" s="31"/>
      <c r="AC223" s="34">
        <f>Table1[[#This Row],[Quantity (expected)]]*Table1[[#This Row],[Rate (expected)2]]*0.9</f>
        <v>0</v>
      </c>
      <c r="AD223" s="34">
        <f>Table1[[#This Row],[Quantity (expected)]]*Table1[[#This Row],[Rate (expected)2]]*0.8</f>
        <v>0</v>
      </c>
      <c r="AE223" s="34">
        <f>Table1[[#This Row],[Quantity (expected)]]*Table1[[#This Row],[Rate (expected)2]]*0.7</f>
        <v>0</v>
      </c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1">
        <f>SUM(Table1[[#This Row],[Jan-23]:[Dec-23]])</f>
        <v>0</v>
      </c>
      <c r="AV223" s="105"/>
      <c r="AW223" s="32"/>
      <c r="AX223" s="35"/>
    </row>
    <row r="224" spans="1:50" x14ac:dyDescent="0.3">
      <c r="A224" s="30" t="str">
        <f>VLOOKUP(H224,'Accoount Code Combination'!$D:$L,8,FALSE)</f>
        <v>Academic</v>
      </c>
      <c r="B224" s="31" t="str">
        <f>VLOOKUP(Table1[[#This Row],[Account Code]],'Accoount Code Combination'!$D:$L,9,FALSE)</f>
        <v>No Applicable</v>
      </c>
      <c r="C224" s="4" t="str">
        <f>VLOOKUP(Table1[[#This Row],[Cost Center Code]],'Cost Center Group'!A:B,2,FALSE)</f>
        <v>College of Arts &amp; Science</v>
      </c>
      <c r="D224" s="4">
        <v>847</v>
      </c>
      <c r="E224" s="79">
        <v>8470410</v>
      </c>
      <c r="F224" s="32" t="s">
        <v>421</v>
      </c>
      <c r="G224" s="4">
        <v>1</v>
      </c>
      <c r="H224" s="95">
        <v>425770</v>
      </c>
      <c r="I224" s="106" t="str">
        <f>IFERROR(VLOOKUP(Table1[[#This Row],[Account Code]],'Accoount Code Combination'!$D:$H,2,FALSE),"")</f>
        <v>Academic Missions - Combined expenses</v>
      </c>
      <c r="J224" s="79">
        <v>8470410</v>
      </c>
      <c r="K224" s="4"/>
      <c r="L224" s="4" t="str">
        <f>IFERROR(VLOOKUP(Table1[[#This Row],[Future-1 Description]],'Other '!E212:$F221,2,FALSE),"")</f>
        <v/>
      </c>
      <c r="M224" s="32"/>
      <c r="N224" s="32"/>
      <c r="O224" s="32"/>
      <c r="P224" s="49">
        <v>-1861.34</v>
      </c>
      <c r="Q224" s="49">
        <v>53000</v>
      </c>
      <c r="R224" s="32"/>
      <c r="S224" s="4"/>
      <c r="T224" s="32"/>
      <c r="U224" s="32"/>
      <c r="V224" s="32"/>
      <c r="W224" s="32"/>
      <c r="X224" s="33"/>
      <c r="Y224" s="33"/>
      <c r="Z224" s="31">
        <f>Table1[[#This Row],[Quantity of measruing units]]*Table1[[#This Row],[Rate (expected)]]</f>
        <v>0</v>
      </c>
      <c r="AA224" s="31"/>
      <c r="AB224" s="31"/>
      <c r="AC224" s="34">
        <f>Table1[[#This Row],[Quantity (expected)]]*Table1[[#This Row],[Rate (expected)2]]*0.9</f>
        <v>0</v>
      </c>
      <c r="AD224" s="34">
        <f>Table1[[#This Row],[Quantity (expected)]]*Table1[[#This Row],[Rate (expected)2]]*0.8</f>
        <v>0</v>
      </c>
      <c r="AE224" s="34">
        <f>Table1[[#This Row],[Quantity (expected)]]*Table1[[#This Row],[Rate (expected)2]]*0.7</f>
        <v>0</v>
      </c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1">
        <f>SUM(Table1[[#This Row],[Jan-23]:[Dec-23]])</f>
        <v>0</v>
      </c>
      <c r="AV224" s="105"/>
      <c r="AW224" s="32"/>
      <c r="AX224" s="35"/>
    </row>
    <row r="225" spans="1:50" x14ac:dyDescent="0.3">
      <c r="A225" s="30" t="str">
        <f>VLOOKUP(H225,'Accoount Code Combination'!$D:$L,8,FALSE)</f>
        <v>IT</v>
      </c>
      <c r="B225" s="31" t="str">
        <f>VLOOKUP(Table1[[#This Row],[Account Code]],'Accoount Code Combination'!$D:$L,9,FALSE)</f>
        <v>Software Operating</v>
      </c>
      <c r="C225" s="4" t="str">
        <f>VLOOKUP(Table1[[#This Row],[Cost Center Code]],'Cost Center Group'!A:B,2,FALSE)</f>
        <v>College of Arts &amp; Science</v>
      </c>
      <c r="D225" s="4">
        <v>847</v>
      </c>
      <c r="E225" s="79">
        <v>8470410</v>
      </c>
      <c r="F225" s="32" t="s">
        <v>421</v>
      </c>
      <c r="G225" s="4">
        <v>1</v>
      </c>
      <c r="H225" s="95">
        <v>426610</v>
      </c>
      <c r="I225" s="106" t="str">
        <f>IFERROR(VLOOKUP(Table1[[#This Row],[Account Code]],'Accoount Code Combination'!$D:$H,2,FALSE),"")</f>
        <v>Computer software licenses</v>
      </c>
      <c r="J225" s="79">
        <v>8470410</v>
      </c>
      <c r="K225" s="4"/>
      <c r="L225" s="4" t="str">
        <f>IFERROR(VLOOKUP(Table1[[#This Row],[Future-1 Description]],'Other '!E213:$F222,2,FALSE),"")</f>
        <v/>
      </c>
      <c r="M225" s="32"/>
      <c r="N225" s="32"/>
      <c r="O225" s="32"/>
      <c r="P225" s="49">
        <v>0</v>
      </c>
      <c r="Q225" s="49">
        <v>5357</v>
      </c>
      <c r="R225" s="32"/>
      <c r="S225" s="4"/>
      <c r="T225" s="32"/>
      <c r="U225" s="32"/>
      <c r="V225" s="32"/>
      <c r="W225" s="32"/>
      <c r="X225" s="33"/>
      <c r="Y225" s="33"/>
      <c r="Z225" s="31">
        <f>Table1[[#This Row],[Quantity of measruing units]]*Table1[[#This Row],[Rate (expected)]]</f>
        <v>0</v>
      </c>
      <c r="AA225" s="31"/>
      <c r="AB225" s="31"/>
      <c r="AC225" s="34">
        <f>Table1[[#This Row],[Quantity (expected)]]*Table1[[#This Row],[Rate (expected)2]]*0.9</f>
        <v>0</v>
      </c>
      <c r="AD225" s="34">
        <f>Table1[[#This Row],[Quantity (expected)]]*Table1[[#This Row],[Rate (expected)2]]*0.8</f>
        <v>0</v>
      </c>
      <c r="AE225" s="34">
        <f>Table1[[#This Row],[Quantity (expected)]]*Table1[[#This Row],[Rate (expected)2]]*0.7</f>
        <v>0</v>
      </c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1">
        <f>SUM(Table1[[#This Row],[Jan-23]:[Dec-23]])</f>
        <v>0</v>
      </c>
      <c r="AV225" s="105"/>
      <c r="AW225" s="32"/>
      <c r="AX225" s="35"/>
    </row>
    <row r="226" spans="1:50" x14ac:dyDescent="0.3">
      <c r="A226" s="30" t="str">
        <f>VLOOKUP(H226,'Accoount Code Combination'!$D:$L,8,FALSE)</f>
        <v xml:space="preserve">Academic </v>
      </c>
      <c r="B226" s="31" t="str">
        <f>VLOOKUP(Table1[[#This Row],[Account Code]],'Accoount Code Combination'!$D:$L,9,FALSE)</f>
        <v>No Applicable</v>
      </c>
      <c r="C226" s="4" t="str">
        <f>VLOOKUP(Table1[[#This Row],[Cost Center Code]],'Cost Center Group'!A:B,2,FALSE)</f>
        <v>College of Arts &amp; Science</v>
      </c>
      <c r="D226" s="4">
        <v>847</v>
      </c>
      <c r="E226" s="79">
        <v>8470410</v>
      </c>
      <c r="F226" s="32" t="s">
        <v>421</v>
      </c>
      <c r="G226" s="4">
        <v>1</v>
      </c>
      <c r="H226" s="95">
        <v>428090</v>
      </c>
      <c r="I226" s="106" t="str">
        <f>IFERROR(VLOOKUP(Table1[[#This Row],[Account Code]],'Accoount Code Combination'!$D:$H,2,FALSE),"")</f>
        <v>Business Travel - Combined expenses</v>
      </c>
      <c r="J226" s="79">
        <v>8470410</v>
      </c>
      <c r="K226" s="4"/>
      <c r="L226" s="4" t="str">
        <f>IFERROR(VLOOKUP(Table1[[#This Row],[Future-1 Description]],'Other '!E214:$F223,2,FALSE),"")</f>
        <v/>
      </c>
      <c r="M226" s="32"/>
      <c r="N226" s="32"/>
      <c r="O226" s="32"/>
      <c r="P226" s="49">
        <v>0</v>
      </c>
      <c r="Q226" s="49">
        <v>0</v>
      </c>
      <c r="R226" s="32"/>
      <c r="S226" s="4"/>
      <c r="T226" s="32"/>
      <c r="U226" s="32"/>
      <c r="V226" s="32"/>
      <c r="W226" s="32"/>
      <c r="X226" s="33"/>
      <c r="Y226" s="33"/>
      <c r="Z226" s="31">
        <f>Table1[[#This Row],[Quantity of measruing units]]*Table1[[#This Row],[Rate (expected)]]</f>
        <v>0</v>
      </c>
      <c r="AA226" s="31"/>
      <c r="AB226" s="31"/>
      <c r="AC226" s="34">
        <f>Table1[[#This Row],[Quantity (expected)]]*Table1[[#This Row],[Rate (expected)2]]*0.9</f>
        <v>0</v>
      </c>
      <c r="AD226" s="34">
        <f>Table1[[#This Row],[Quantity (expected)]]*Table1[[#This Row],[Rate (expected)2]]*0.8</f>
        <v>0</v>
      </c>
      <c r="AE226" s="34">
        <f>Table1[[#This Row],[Quantity (expected)]]*Table1[[#This Row],[Rate (expected)2]]*0.7</f>
        <v>0</v>
      </c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1">
        <f>SUM(Table1[[#This Row],[Jan-23]:[Dec-23]])</f>
        <v>0</v>
      </c>
      <c r="AV226" s="105"/>
      <c r="AW226" s="32"/>
      <c r="AX226" s="35"/>
    </row>
    <row r="227" spans="1:50" x14ac:dyDescent="0.3">
      <c r="A227" s="30" t="str">
        <f>VLOOKUP(H227,'Accoount Code Combination'!$D:$L,8,FALSE)</f>
        <v>Communiction &amp; Marketing</v>
      </c>
      <c r="B227" s="31" t="str">
        <f>VLOOKUP(Table1[[#This Row],[Account Code]],'Accoount Code Combination'!$D:$L,9,FALSE)</f>
        <v>Gifts</v>
      </c>
      <c r="C227" s="4" t="str">
        <f>VLOOKUP(Table1[[#This Row],[Cost Center Code]],'Cost Center Group'!A:B,2,FALSE)</f>
        <v>College of Arts &amp; Science</v>
      </c>
      <c r="D227" s="4">
        <v>847</v>
      </c>
      <c r="E227" s="79">
        <v>8470410</v>
      </c>
      <c r="F227" s="32" t="s">
        <v>421</v>
      </c>
      <c r="G227" s="4">
        <v>1</v>
      </c>
      <c r="H227" s="95">
        <v>428640</v>
      </c>
      <c r="I227" s="106" t="str">
        <f>IFERROR(VLOOKUP(Table1[[#This Row],[Account Code]],'Accoount Code Combination'!$D:$H,2,FALSE),"")</f>
        <v>Events - Awards, prizes &amp; gifts</v>
      </c>
      <c r="J227" s="79">
        <v>8470410</v>
      </c>
      <c r="K227" s="4"/>
      <c r="L227" s="4" t="str">
        <f>IFERROR(VLOOKUP(Table1[[#This Row],[Future-1 Description]],'Other '!E215:$F224,2,FALSE),"")</f>
        <v/>
      </c>
      <c r="M227" s="32"/>
      <c r="N227" s="32"/>
      <c r="O227" s="32"/>
      <c r="P227" s="49">
        <v>0</v>
      </c>
      <c r="Q227" s="49">
        <v>0</v>
      </c>
      <c r="R227" s="32"/>
      <c r="S227" s="4"/>
      <c r="T227" s="32"/>
      <c r="U227" s="32"/>
      <c r="V227" s="32"/>
      <c r="W227" s="32"/>
      <c r="X227" s="33"/>
      <c r="Y227" s="33"/>
      <c r="Z227" s="31">
        <f>Table1[[#This Row],[Quantity of measruing units]]*Table1[[#This Row],[Rate (expected)]]</f>
        <v>0</v>
      </c>
      <c r="AA227" s="31"/>
      <c r="AB227" s="31"/>
      <c r="AC227" s="34">
        <f>Table1[[#This Row],[Quantity (expected)]]*Table1[[#This Row],[Rate (expected)2]]*0.9</f>
        <v>0</v>
      </c>
      <c r="AD227" s="34">
        <f>Table1[[#This Row],[Quantity (expected)]]*Table1[[#This Row],[Rate (expected)2]]*0.8</f>
        <v>0</v>
      </c>
      <c r="AE227" s="34">
        <f>Table1[[#This Row],[Quantity (expected)]]*Table1[[#This Row],[Rate (expected)2]]*0.7</f>
        <v>0</v>
      </c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1">
        <f>SUM(Table1[[#This Row],[Jan-23]:[Dec-23]])</f>
        <v>0</v>
      </c>
      <c r="AV227" s="105"/>
      <c r="AW227" s="32"/>
      <c r="AX227" s="35"/>
    </row>
    <row r="228" spans="1:50" ht="26" x14ac:dyDescent="0.3">
      <c r="A228" s="30" t="str">
        <f>VLOOKUP(H228,'Accoount Code Combination'!$D:$L,8,FALSE)</f>
        <v>Communiction &amp; Marketing</v>
      </c>
      <c r="B228" s="31" t="str">
        <f>VLOOKUP(Table1[[#This Row],[Account Code]],'Accoount Code Combination'!$D:$L,9,FALSE)</f>
        <v>Events</v>
      </c>
      <c r="C228" s="4" t="str">
        <f>VLOOKUP(Table1[[#This Row],[Cost Center Code]],'Cost Center Group'!A:B,2,FALSE)</f>
        <v>College of Arts &amp; Science</v>
      </c>
      <c r="D228" s="4">
        <v>847</v>
      </c>
      <c r="E228" s="79">
        <v>8470415</v>
      </c>
      <c r="F228" s="32" t="s">
        <v>362</v>
      </c>
      <c r="G228" s="4">
        <v>1</v>
      </c>
      <c r="H228" s="95">
        <v>425510</v>
      </c>
      <c r="I228" s="106" t="str">
        <f>IFERROR(VLOOKUP(Table1[[#This Row],[Account Code]],'Accoount Code Combination'!$D:$H,2,FALSE),"")</f>
        <v>Conferences, seminars and exhibitions and other events: - Local Events</v>
      </c>
      <c r="J228" s="79">
        <v>8470415</v>
      </c>
      <c r="K228" s="4"/>
      <c r="L228" s="4" t="str">
        <f>IFERROR(VLOOKUP(Table1[[#This Row],[Future-1 Description]],'Other '!E216:$F225,2,FALSE),"")</f>
        <v/>
      </c>
      <c r="M228" s="32"/>
      <c r="N228" s="32"/>
      <c r="O228" s="32"/>
      <c r="P228" s="49">
        <v>0</v>
      </c>
      <c r="Q228" s="49">
        <v>0</v>
      </c>
      <c r="R228" s="32"/>
      <c r="S228" s="4"/>
      <c r="T228" s="32"/>
      <c r="U228" s="32"/>
      <c r="V228" s="32"/>
      <c r="W228" s="32"/>
      <c r="X228" s="33"/>
      <c r="Y228" s="33"/>
      <c r="Z228" s="31">
        <f>Table1[[#This Row],[Quantity of measruing units]]*Table1[[#This Row],[Rate (expected)]]</f>
        <v>0</v>
      </c>
      <c r="AA228" s="31"/>
      <c r="AB228" s="31"/>
      <c r="AC228" s="34">
        <f>Table1[[#This Row],[Quantity (expected)]]*Table1[[#This Row],[Rate (expected)2]]*0.9</f>
        <v>0</v>
      </c>
      <c r="AD228" s="34">
        <f>Table1[[#This Row],[Quantity (expected)]]*Table1[[#This Row],[Rate (expected)2]]*0.8</f>
        <v>0</v>
      </c>
      <c r="AE228" s="34">
        <f>Table1[[#This Row],[Quantity (expected)]]*Table1[[#This Row],[Rate (expected)2]]*0.7</f>
        <v>0</v>
      </c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1">
        <f>SUM(Table1[[#This Row],[Jan-23]:[Dec-23]])</f>
        <v>0</v>
      </c>
      <c r="AV228" s="105"/>
      <c r="AW228" s="32"/>
      <c r="AX228" s="35"/>
    </row>
    <row r="229" spans="1:50" ht="26" x14ac:dyDescent="0.3">
      <c r="A229" s="30" t="str">
        <f>VLOOKUP(H229,'Accoount Code Combination'!$D:$L,8,FALSE)</f>
        <v>Communiction &amp; Marketing</v>
      </c>
      <c r="B229" s="31" t="str">
        <f>VLOOKUP(Table1[[#This Row],[Account Code]],'Accoount Code Combination'!$D:$L,9,FALSE)</f>
        <v>No Applicable</v>
      </c>
      <c r="C229" s="4" t="str">
        <f>VLOOKUP(Table1[[#This Row],[Cost Center Code]],'Cost Center Group'!A:B,2,FALSE)</f>
        <v>College of Arts &amp; Science</v>
      </c>
      <c r="D229" s="4">
        <v>847</v>
      </c>
      <c r="E229" s="79">
        <v>8470415</v>
      </c>
      <c r="F229" s="32" t="s">
        <v>362</v>
      </c>
      <c r="G229" s="4">
        <v>1</v>
      </c>
      <c r="H229" s="95">
        <v>425550</v>
      </c>
      <c r="I229" s="106" t="str">
        <f>IFERROR(VLOOKUP(Table1[[#This Row],[Account Code]],'Accoount Code Combination'!$D:$H,2,FALSE),"")</f>
        <v>Conferences, seminars and exhibitions and other events: - Overseas event</v>
      </c>
      <c r="J229" s="79">
        <v>8470415</v>
      </c>
      <c r="K229" s="4"/>
      <c r="L229" s="4" t="str">
        <f>IFERROR(VLOOKUP(Table1[[#This Row],[Future-1 Description]],'Other '!E217:$F226,2,FALSE),"")</f>
        <v/>
      </c>
      <c r="M229" s="32"/>
      <c r="N229" s="32"/>
      <c r="O229" s="32"/>
      <c r="P229" s="49">
        <v>0</v>
      </c>
      <c r="Q229" s="49">
        <v>0</v>
      </c>
      <c r="R229" s="32"/>
      <c r="S229" s="4"/>
      <c r="T229" s="32"/>
      <c r="U229" s="32"/>
      <c r="V229" s="32"/>
      <c r="W229" s="32"/>
      <c r="X229" s="33"/>
      <c r="Y229" s="33"/>
      <c r="Z229" s="31">
        <f>Table1[[#This Row],[Quantity of measruing units]]*Table1[[#This Row],[Rate (expected)]]</f>
        <v>0</v>
      </c>
      <c r="AA229" s="31"/>
      <c r="AB229" s="31"/>
      <c r="AC229" s="34">
        <f>Table1[[#This Row],[Quantity (expected)]]*Table1[[#This Row],[Rate (expected)2]]*0.9</f>
        <v>0</v>
      </c>
      <c r="AD229" s="34">
        <f>Table1[[#This Row],[Quantity (expected)]]*Table1[[#This Row],[Rate (expected)2]]*0.8</f>
        <v>0</v>
      </c>
      <c r="AE229" s="34">
        <f>Table1[[#This Row],[Quantity (expected)]]*Table1[[#This Row],[Rate (expected)2]]*0.7</f>
        <v>0</v>
      </c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1">
        <f>SUM(Table1[[#This Row],[Jan-23]:[Dec-23]])</f>
        <v>0</v>
      </c>
      <c r="AV229" s="105"/>
      <c r="AW229" s="32"/>
      <c r="AX229" s="35"/>
    </row>
    <row r="230" spans="1:50" x14ac:dyDescent="0.3">
      <c r="A230" s="30" t="str">
        <f>VLOOKUP(H230,'Accoount Code Combination'!$D:$L,8,FALSE)</f>
        <v>Student</v>
      </c>
      <c r="B230" s="31" t="str">
        <f>VLOOKUP(Table1[[#This Row],[Account Code]],'Accoount Code Combination'!$D:$L,9,FALSE)</f>
        <v>Activities and Field trips</v>
      </c>
      <c r="C230" s="4" t="str">
        <f>VLOOKUP(Table1[[#This Row],[Cost Center Code]],'Cost Center Group'!A:B,2,FALSE)</f>
        <v>College of Arts &amp; Science</v>
      </c>
      <c r="D230" s="4">
        <v>847</v>
      </c>
      <c r="E230" s="79">
        <v>8470415</v>
      </c>
      <c r="F230" s="32" t="s">
        <v>362</v>
      </c>
      <c r="G230" s="4">
        <v>1</v>
      </c>
      <c r="H230" s="95">
        <v>425760</v>
      </c>
      <c r="I230" s="106" t="str">
        <f>IFERROR(VLOOKUP(Table1[[#This Row],[Account Code]],'Accoount Code Combination'!$D:$H,2,FALSE),"")</f>
        <v>Student activities &amp; field trip expenses</v>
      </c>
      <c r="J230" s="79">
        <v>8470415</v>
      </c>
      <c r="K230" s="4"/>
      <c r="L230" s="4" t="str">
        <f>IFERROR(VLOOKUP(Table1[[#This Row],[Future-1 Description]],'Other '!E218:$F227,2,FALSE),"")</f>
        <v/>
      </c>
      <c r="M230" s="32"/>
      <c r="N230" s="32"/>
      <c r="O230" s="32"/>
      <c r="P230" s="49">
        <v>0</v>
      </c>
      <c r="Q230" s="49">
        <v>0</v>
      </c>
      <c r="R230" s="32"/>
      <c r="S230" s="4"/>
      <c r="T230" s="32"/>
      <c r="U230" s="32"/>
      <c r="V230" s="32"/>
      <c r="W230" s="32"/>
      <c r="X230" s="33"/>
      <c r="Y230" s="33"/>
      <c r="Z230" s="31">
        <f>Table1[[#This Row],[Quantity of measruing units]]*Table1[[#This Row],[Rate (expected)]]</f>
        <v>0</v>
      </c>
      <c r="AA230" s="31"/>
      <c r="AB230" s="31"/>
      <c r="AC230" s="34">
        <f>Table1[[#This Row],[Quantity (expected)]]*Table1[[#This Row],[Rate (expected)2]]*0.9</f>
        <v>0</v>
      </c>
      <c r="AD230" s="34">
        <f>Table1[[#This Row],[Quantity (expected)]]*Table1[[#This Row],[Rate (expected)2]]*0.8</f>
        <v>0</v>
      </c>
      <c r="AE230" s="34">
        <f>Table1[[#This Row],[Quantity (expected)]]*Table1[[#This Row],[Rate (expected)2]]*0.7</f>
        <v>0</v>
      </c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1">
        <f>SUM(Table1[[#This Row],[Jan-23]:[Dec-23]])</f>
        <v>0</v>
      </c>
      <c r="AV230" s="105"/>
      <c r="AW230" s="32"/>
      <c r="AX230" s="35"/>
    </row>
    <row r="231" spans="1:50" x14ac:dyDescent="0.3">
      <c r="A231" s="30" t="str">
        <f>VLOOKUP(H231,'Accoount Code Combination'!$D:$L,8,FALSE)</f>
        <v>Academic</v>
      </c>
      <c r="B231" s="31" t="str">
        <f>VLOOKUP(Table1[[#This Row],[Account Code]],'Accoount Code Combination'!$D:$L,9,FALSE)</f>
        <v>No Applicable</v>
      </c>
      <c r="C231" s="4" t="str">
        <f>VLOOKUP(Table1[[#This Row],[Cost Center Code]],'Cost Center Group'!A:B,2,FALSE)</f>
        <v>College of Arts &amp; Science</v>
      </c>
      <c r="D231" s="4">
        <v>847</v>
      </c>
      <c r="E231" s="79">
        <v>8470415</v>
      </c>
      <c r="F231" s="32" t="s">
        <v>362</v>
      </c>
      <c r="G231" s="4">
        <v>1</v>
      </c>
      <c r="H231" s="95">
        <v>425770</v>
      </c>
      <c r="I231" s="106" t="str">
        <f>IFERROR(VLOOKUP(Table1[[#This Row],[Account Code]],'Accoount Code Combination'!$D:$H,2,FALSE),"")</f>
        <v>Academic Missions - Combined expenses</v>
      </c>
      <c r="J231" s="79">
        <v>8470415</v>
      </c>
      <c r="K231" s="4"/>
      <c r="L231" s="4" t="str">
        <f>IFERROR(VLOOKUP(Table1[[#This Row],[Future-1 Description]],'Other '!E219:$F228,2,FALSE),"")</f>
        <v/>
      </c>
      <c r="M231" s="32"/>
      <c r="N231" s="32"/>
      <c r="O231" s="32"/>
      <c r="P231" s="49">
        <v>8895</v>
      </c>
      <c r="Q231" s="49">
        <v>145153</v>
      </c>
      <c r="R231" s="32"/>
      <c r="S231" s="4"/>
      <c r="T231" s="32"/>
      <c r="U231" s="32"/>
      <c r="V231" s="32"/>
      <c r="W231" s="32"/>
      <c r="X231" s="33"/>
      <c r="Y231" s="33"/>
      <c r="Z231" s="31">
        <f>Table1[[#This Row],[Quantity of measruing units]]*Table1[[#This Row],[Rate (expected)]]</f>
        <v>0</v>
      </c>
      <c r="AA231" s="31"/>
      <c r="AB231" s="31"/>
      <c r="AC231" s="34">
        <f>Table1[[#This Row],[Quantity (expected)]]*Table1[[#This Row],[Rate (expected)2]]*0.9</f>
        <v>0</v>
      </c>
      <c r="AD231" s="34">
        <f>Table1[[#This Row],[Quantity (expected)]]*Table1[[#This Row],[Rate (expected)2]]*0.8</f>
        <v>0</v>
      </c>
      <c r="AE231" s="34">
        <f>Table1[[#This Row],[Quantity (expected)]]*Table1[[#This Row],[Rate (expected)2]]*0.7</f>
        <v>0</v>
      </c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1">
        <f>SUM(Table1[[#This Row],[Jan-23]:[Dec-23]])</f>
        <v>0</v>
      </c>
      <c r="AV231" s="105"/>
      <c r="AW231" s="32"/>
      <c r="AX231" s="35"/>
    </row>
    <row r="232" spans="1:50" x14ac:dyDescent="0.3">
      <c r="A232" s="30" t="str">
        <f>VLOOKUP(H232,'Accoount Code Combination'!$D:$L,8,FALSE)</f>
        <v>Other support</v>
      </c>
      <c r="B232" s="31" t="str">
        <f>VLOOKUP(Table1[[#This Row],[Account Code]],'Accoount Code Combination'!$D:$L,9,FALSE)</f>
        <v>No Applicable</v>
      </c>
      <c r="C232" s="4" t="str">
        <f>VLOOKUP(Table1[[#This Row],[Cost Center Code]],'Cost Center Group'!A:B,2,FALSE)</f>
        <v>College of Arts &amp; Science</v>
      </c>
      <c r="D232" s="4">
        <v>847</v>
      </c>
      <c r="E232" s="79">
        <v>8470415</v>
      </c>
      <c r="F232" s="32" t="s">
        <v>362</v>
      </c>
      <c r="G232" s="4">
        <v>1</v>
      </c>
      <c r="H232" s="95">
        <v>425900</v>
      </c>
      <c r="I232" s="106" t="str">
        <f>IFERROR(VLOOKUP(Table1[[#This Row],[Account Code]],'Accoount Code Combination'!$D:$H,2,FALSE),"")</f>
        <v>Entertainment and hospitality</v>
      </c>
      <c r="J232" s="79">
        <v>8470415</v>
      </c>
      <c r="K232" s="4"/>
      <c r="L232" s="4" t="str">
        <f>IFERROR(VLOOKUP(Table1[[#This Row],[Future-1 Description]],'Other '!E220:$F229,2,FALSE),"")</f>
        <v/>
      </c>
      <c r="M232" s="32"/>
      <c r="N232" s="32"/>
      <c r="O232" s="32"/>
      <c r="P232" s="49">
        <v>794.17</v>
      </c>
      <c r="Q232" s="49">
        <v>0</v>
      </c>
      <c r="R232" s="32"/>
      <c r="S232" s="4"/>
      <c r="T232" s="32"/>
      <c r="U232" s="32"/>
      <c r="V232" s="32"/>
      <c r="W232" s="32"/>
      <c r="X232" s="33"/>
      <c r="Y232" s="33"/>
      <c r="Z232" s="31">
        <f>Table1[[#This Row],[Quantity of measruing units]]*Table1[[#This Row],[Rate (expected)]]</f>
        <v>0</v>
      </c>
      <c r="AA232" s="31"/>
      <c r="AB232" s="31"/>
      <c r="AC232" s="34">
        <f>Table1[[#This Row],[Quantity (expected)]]*Table1[[#This Row],[Rate (expected)2]]*0.9</f>
        <v>0</v>
      </c>
      <c r="AD232" s="34">
        <f>Table1[[#This Row],[Quantity (expected)]]*Table1[[#This Row],[Rate (expected)2]]*0.8</f>
        <v>0</v>
      </c>
      <c r="AE232" s="34">
        <f>Table1[[#This Row],[Quantity (expected)]]*Table1[[#This Row],[Rate (expected)2]]*0.7</f>
        <v>0</v>
      </c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1">
        <f>SUM(Table1[[#This Row],[Jan-23]:[Dec-23]])</f>
        <v>0</v>
      </c>
      <c r="AV232" s="105"/>
      <c r="AW232" s="32"/>
      <c r="AX232" s="35"/>
    </row>
    <row r="233" spans="1:50" x14ac:dyDescent="0.3">
      <c r="A233" s="30" t="str">
        <f>VLOOKUP(H233,'Accoount Code Combination'!$D:$L,8,FALSE)</f>
        <v>IT</v>
      </c>
      <c r="B233" s="31" t="str">
        <f>VLOOKUP(Table1[[#This Row],[Account Code]],'Accoount Code Combination'!$D:$L,9,FALSE)</f>
        <v>Software Operating</v>
      </c>
      <c r="C233" s="4" t="str">
        <f>VLOOKUP(Table1[[#This Row],[Cost Center Code]],'Cost Center Group'!A:B,2,FALSE)</f>
        <v>College of Arts &amp; Science</v>
      </c>
      <c r="D233" s="4">
        <v>847</v>
      </c>
      <c r="E233" s="79">
        <v>8470415</v>
      </c>
      <c r="F233" s="32" t="s">
        <v>362</v>
      </c>
      <c r="G233" s="4">
        <v>1</v>
      </c>
      <c r="H233" s="95">
        <v>426610</v>
      </c>
      <c r="I233" s="106" t="str">
        <f>IFERROR(VLOOKUP(Table1[[#This Row],[Account Code]],'Accoount Code Combination'!$D:$H,2,FALSE),"")</f>
        <v>Computer software licenses</v>
      </c>
      <c r="J233" s="79">
        <v>8470415</v>
      </c>
      <c r="K233" s="4"/>
      <c r="L233" s="4" t="str">
        <f>IFERROR(VLOOKUP(Table1[[#This Row],[Future-1 Description]],'Other '!E221:$F230,2,FALSE),"")</f>
        <v/>
      </c>
      <c r="M233" s="32"/>
      <c r="N233" s="32"/>
      <c r="O233" s="32"/>
      <c r="P233" s="49">
        <v>42016.45</v>
      </c>
      <c r="Q233" s="49">
        <v>35900</v>
      </c>
      <c r="R233" s="32"/>
      <c r="S233" s="4"/>
      <c r="T233" s="32"/>
      <c r="U233" s="32"/>
      <c r="V233" s="32"/>
      <c r="W233" s="32"/>
      <c r="X233" s="33"/>
      <c r="Y233" s="33"/>
      <c r="Z233" s="31">
        <f>Table1[[#This Row],[Quantity of measruing units]]*Table1[[#This Row],[Rate (expected)]]</f>
        <v>0</v>
      </c>
      <c r="AA233" s="31"/>
      <c r="AB233" s="31"/>
      <c r="AC233" s="34">
        <f>Table1[[#This Row],[Quantity (expected)]]*Table1[[#This Row],[Rate (expected)2]]*0.9</f>
        <v>0</v>
      </c>
      <c r="AD233" s="34">
        <f>Table1[[#This Row],[Quantity (expected)]]*Table1[[#This Row],[Rate (expected)2]]*0.8</f>
        <v>0</v>
      </c>
      <c r="AE233" s="34">
        <f>Table1[[#This Row],[Quantity (expected)]]*Table1[[#This Row],[Rate (expected)2]]*0.7</f>
        <v>0</v>
      </c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1">
        <f>SUM(Table1[[#This Row],[Jan-23]:[Dec-23]])</f>
        <v>0</v>
      </c>
      <c r="AV233" s="105"/>
      <c r="AW233" s="32"/>
      <c r="AX233" s="35"/>
    </row>
    <row r="234" spans="1:50" x14ac:dyDescent="0.3">
      <c r="A234" s="30" t="str">
        <f>VLOOKUP(H234,'Accoount Code Combination'!$D:$L,8,FALSE)</f>
        <v xml:space="preserve">Academic </v>
      </c>
      <c r="B234" s="31" t="str">
        <f>VLOOKUP(Table1[[#This Row],[Account Code]],'Accoount Code Combination'!$D:$L,9,FALSE)</f>
        <v>No Applicable</v>
      </c>
      <c r="C234" s="4" t="str">
        <f>VLOOKUP(Table1[[#This Row],[Cost Center Code]],'Cost Center Group'!A:B,2,FALSE)</f>
        <v>College of Arts &amp; Science</v>
      </c>
      <c r="D234" s="4">
        <v>847</v>
      </c>
      <c r="E234" s="79">
        <v>8470415</v>
      </c>
      <c r="F234" s="32" t="s">
        <v>362</v>
      </c>
      <c r="G234" s="4">
        <v>1</v>
      </c>
      <c r="H234" s="95">
        <v>428090</v>
      </c>
      <c r="I234" s="106" t="str">
        <f>IFERROR(VLOOKUP(Table1[[#This Row],[Account Code]],'Accoount Code Combination'!$D:$H,2,FALSE),"")</f>
        <v>Business Travel - Combined expenses</v>
      </c>
      <c r="J234" s="79">
        <v>8470415</v>
      </c>
      <c r="K234" s="4"/>
      <c r="L234" s="4" t="str">
        <f>IFERROR(VLOOKUP(Table1[[#This Row],[Future-1 Description]],'Other '!E222:$F231,2,FALSE),"")</f>
        <v/>
      </c>
      <c r="M234" s="32"/>
      <c r="N234" s="32"/>
      <c r="O234" s="32"/>
      <c r="P234" s="49">
        <v>0</v>
      </c>
      <c r="Q234" s="49">
        <v>0</v>
      </c>
      <c r="R234" s="32"/>
      <c r="S234" s="4"/>
      <c r="T234" s="32"/>
      <c r="U234" s="32"/>
      <c r="V234" s="32"/>
      <c r="W234" s="32"/>
      <c r="X234" s="33"/>
      <c r="Y234" s="33"/>
      <c r="Z234" s="31">
        <f>Table1[[#This Row],[Quantity of measruing units]]*Table1[[#This Row],[Rate (expected)]]</f>
        <v>0</v>
      </c>
      <c r="AA234" s="31"/>
      <c r="AB234" s="31"/>
      <c r="AC234" s="34">
        <f>Table1[[#This Row],[Quantity (expected)]]*Table1[[#This Row],[Rate (expected)2]]*0.9</f>
        <v>0</v>
      </c>
      <c r="AD234" s="34">
        <f>Table1[[#This Row],[Quantity (expected)]]*Table1[[#This Row],[Rate (expected)2]]*0.8</f>
        <v>0</v>
      </c>
      <c r="AE234" s="34">
        <f>Table1[[#This Row],[Quantity (expected)]]*Table1[[#This Row],[Rate (expected)2]]*0.7</f>
        <v>0</v>
      </c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1">
        <f>SUM(Table1[[#This Row],[Jan-23]:[Dec-23]])</f>
        <v>0</v>
      </c>
      <c r="AV234" s="105"/>
      <c r="AW234" s="32"/>
      <c r="AX234" s="35"/>
    </row>
    <row r="235" spans="1:50" x14ac:dyDescent="0.3">
      <c r="A235" s="30" t="str">
        <f>VLOOKUP(H235,'Accoount Code Combination'!$D:$L,8,FALSE)</f>
        <v>Communiction &amp; Marketing</v>
      </c>
      <c r="B235" s="31" t="str">
        <f>VLOOKUP(Table1[[#This Row],[Account Code]],'Accoount Code Combination'!$D:$L,9,FALSE)</f>
        <v>Gifts</v>
      </c>
      <c r="C235" s="4" t="str">
        <f>VLOOKUP(Table1[[#This Row],[Cost Center Code]],'Cost Center Group'!A:B,2,FALSE)</f>
        <v>College of Arts &amp; Science</v>
      </c>
      <c r="D235" s="4">
        <v>847</v>
      </c>
      <c r="E235" s="79">
        <v>8470415</v>
      </c>
      <c r="F235" s="32" t="s">
        <v>362</v>
      </c>
      <c r="G235" s="4">
        <v>1</v>
      </c>
      <c r="H235" s="95">
        <v>428640</v>
      </c>
      <c r="I235" s="106" t="str">
        <f>IFERROR(VLOOKUP(Table1[[#This Row],[Account Code]],'Accoount Code Combination'!$D:$H,2,FALSE),"")</f>
        <v>Events - Awards, prizes &amp; gifts</v>
      </c>
      <c r="J235" s="79">
        <v>8470415</v>
      </c>
      <c r="K235" s="4"/>
      <c r="L235" s="4" t="str">
        <f>IFERROR(VLOOKUP(Table1[[#This Row],[Future-1 Description]],'Other '!E223:$F232,2,FALSE),"")</f>
        <v/>
      </c>
      <c r="M235" s="32"/>
      <c r="N235" s="32"/>
      <c r="O235" s="32"/>
      <c r="P235" s="49">
        <v>0</v>
      </c>
      <c r="Q235" s="49">
        <v>0</v>
      </c>
      <c r="R235" s="32"/>
      <c r="S235" s="4"/>
      <c r="T235" s="32"/>
      <c r="U235" s="32"/>
      <c r="V235" s="32"/>
      <c r="W235" s="32"/>
      <c r="X235" s="33"/>
      <c r="Y235" s="33"/>
      <c r="Z235" s="31">
        <f>Table1[[#This Row],[Quantity of measruing units]]*Table1[[#This Row],[Rate (expected)]]</f>
        <v>0</v>
      </c>
      <c r="AA235" s="31"/>
      <c r="AB235" s="31"/>
      <c r="AC235" s="34">
        <f>Table1[[#This Row],[Quantity (expected)]]*Table1[[#This Row],[Rate (expected)2]]*0.9</f>
        <v>0</v>
      </c>
      <c r="AD235" s="34">
        <f>Table1[[#This Row],[Quantity (expected)]]*Table1[[#This Row],[Rate (expected)2]]*0.8</f>
        <v>0</v>
      </c>
      <c r="AE235" s="34">
        <f>Table1[[#This Row],[Quantity (expected)]]*Table1[[#This Row],[Rate (expected)2]]*0.7</f>
        <v>0</v>
      </c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1">
        <f>SUM(Table1[[#This Row],[Jan-23]:[Dec-23]])</f>
        <v>0</v>
      </c>
      <c r="AV235" s="105"/>
      <c r="AW235" s="32"/>
      <c r="AX235" s="35"/>
    </row>
    <row r="236" spans="1:50" x14ac:dyDescent="0.3">
      <c r="A236" s="30" t="str">
        <f>VLOOKUP(H236,'Accoount Code Combination'!$D:$L,8,FALSE)</f>
        <v>Academic</v>
      </c>
      <c r="B236" s="31" t="str">
        <f>VLOOKUP(Table1[[#This Row],[Account Code]],'Accoount Code Combination'!$D:$L,9,FALSE)</f>
        <v>No Applicable</v>
      </c>
      <c r="C236" s="4" t="str">
        <f>VLOOKUP(Table1[[#This Row],[Cost Center Code]],'Cost Center Group'!A:B,2,FALSE)</f>
        <v>College of Arts &amp; Science</v>
      </c>
      <c r="D236" s="4">
        <v>847</v>
      </c>
      <c r="E236" s="79">
        <v>8470415</v>
      </c>
      <c r="F236" s="32" t="s">
        <v>362</v>
      </c>
      <c r="G236" s="4">
        <v>1</v>
      </c>
      <c r="H236" s="95">
        <v>432209</v>
      </c>
      <c r="I236" s="106" t="str">
        <f>IFERROR(VLOOKUP(Table1[[#This Row],[Account Code]],'Accoount Code Combination'!$D:$H,2,FALSE),"")</f>
        <v>Laboratory equipment</v>
      </c>
      <c r="J236" s="79">
        <v>8470415</v>
      </c>
      <c r="K236" s="4"/>
      <c r="L236" s="4" t="str">
        <f>IFERROR(VLOOKUP(Table1[[#This Row],[Future-1 Description]],'Other '!E224:$F233,2,FALSE),"")</f>
        <v/>
      </c>
      <c r="M236" s="32"/>
      <c r="N236" s="32"/>
      <c r="O236" s="32"/>
      <c r="P236" s="49">
        <v>71550</v>
      </c>
      <c r="Q236" s="49">
        <v>120000</v>
      </c>
      <c r="R236" s="32"/>
      <c r="S236" s="4"/>
      <c r="T236" s="32"/>
      <c r="U236" s="32"/>
      <c r="V236" s="32"/>
      <c r="W236" s="32"/>
      <c r="X236" s="33"/>
      <c r="Y236" s="33"/>
      <c r="Z236" s="31">
        <f>Table1[[#This Row],[Quantity of measruing units]]*Table1[[#This Row],[Rate (expected)]]</f>
        <v>0</v>
      </c>
      <c r="AA236" s="31"/>
      <c r="AB236" s="31"/>
      <c r="AC236" s="34">
        <f>Table1[[#This Row],[Quantity (expected)]]*Table1[[#This Row],[Rate (expected)2]]*0.9</f>
        <v>0</v>
      </c>
      <c r="AD236" s="34">
        <f>Table1[[#This Row],[Quantity (expected)]]*Table1[[#This Row],[Rate (expected)2]]*0.8</f>
        <v>0</v>
      </c>
      <c r="AE236" s="34">
        <f>Table1[[#This Row],[Quantity (expected)]]*Table1[[#This Row],[Rate (expected)2]]*0.7</f>
        <v>0</v>
      </c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1">
        <f>SUM(Table1[[#This Row],[Jan-23]:[Dec-23]])</f>
        <v>0</v>
      </c>
      <c r="AV236" s="105"/>
      <c r="AW236" s="32"/>
      <c r="AX236" s="35"/>
    </row>
    <row r="237" spans="1:50" x14ac:dyDescent="0.3">
      <c r="A237" s="30" t="str">
        <f>VLOOKUP(H237,'Accoount Code Combination'!$D:$L,8,FALSE)</f>
        <v>Academic</v>
      </c>
      <c r="B237" s="31" t="str">
        <f>VLOOKUP(Table1[[#This Row],[Account Code]],'Accoount Code Combination'!$D:$L,9,FALSE)</f>
        <v>No Applicable</v>
      </c>
      <c r="C237" s="4" t="str">
        <f>VLOOKUP(Table1[[#This Row],[Cost Center Code]],'Cost Center Group'!A:B,2,FALSE)</f>
        <v>College of Arts &amp; Science</v>
      </c>
      <c r="D237" s="4">
        <v>847</v>
      </c>
      <c r="E237" s="79">
        <v>8470415</v>
      </c>
      <c r="F237" s="32" t="s">
        <v>362</v>
      </c>
      <c r="G237" s="4">
        <v>1</v>
      </c>
      <c r="H237" s="95">
        <v>435350</v>
      </c>
      <c r="I237" s="106" t="str">
        <f>IFERROR(VLOOKUP(Table1[[#This Row],[Account Code]],'Accoount Code Combination'!$D:$H,2,FALSE),"")</f>
        <v>Academic Publications</v>
      </c>
      <c r="J237" s="79">
        <v>8470415</v>
      </c>
      <c r="K237" s="4"/>
      <c r="L237" s="4" t="str">
        <f>IFERROR(VLOOKUP(Table1[[#This Row],[Future-1 Description]],'Other '!E225:$F234,2,FALSE),"")</f>
        <v/>
      </c>
      <c r="M237" s="32"/>
      <c r="N237" s="32"/>
      <c r="O237" s="32"/>
      <c r="P237" s="49">
        <v>18074.150000000001</v>
      </c>
      <c r="Q237" s="49">
        <v>37500</v>
      </c>
      <c r="R237" s="32"/>
      <c r="S237" s="4"/>
      <c r="T237" s="32"/>
      <c r="U237" s="32"/>
      <c r="V237" s="32"/>
      <c r="W237" s="32"/>
      <c r="X237" s="33"/>
      <c r="Y237" s="33"/>
      <c r="Z237" s="31">
        <f>Table1[[#This Row],[Quantity of measruing units]]*Table1[[#This Row],[Rate (expected)]]</f>
        <v>0</v>
      </c>
      <c r="AA237" s="31"/>
      <c r="AB237" s="31"/>
      <c r="AC237" s="34">
        <f>Table1[[#This Row],[Quantity (expected)]]*Table1[[#This Row],[Rate (expected)2]]*0.9</f>
        <v>0</v>
      </c>
      <c r="AD237" s="34">
        <f>Table1[[#This Row],[Quantity (expected)]]*Table1[[#This Row],[Rate (expected)2]]*0.8</f>
        <v>0</v>
      </c>
      <c r="AE237" s="34">
        <f>Table1[[#This Row],[Quantity (expected)]]*Table1[[#This Row],[Rate (expected)2]]*0.7</f>
        <v>0</v>
      </c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1">
        <f>SUM(Table1[[#This Row],[Jan-23]:[Dec-23]])</f>
        <v>0</v>
      </c>
      <c r="AV237" s="105"/>
      <c r="AW237" s="32"/>
      <c r="AX237" s="35"/>
    </row>
    <row r="238" spans="1:50" x14ac:dyDescent="0.3">
      <c r="A238" s="30" t="str">
        <f>VLOOKUP(H238,'Accoount Code Combination'!$D:$L,8,FALSE)</f>
        <v>Academic</v>
      </c>
      <c r="B238" s="31" t="str">
        <f>VLOOKUP(Table1[[#This Row],[Account Code]],'Accoount Code Combination'!$D:$L,9,FALSE)</f>
        <v>No Applicable</v>
      </c>
      <c r="C238" s="4" t="str">
        <f>VLOOKUP(Table1[[#This Row],[Cost Center Code]],'Cost Center Group'!A:B,2,FALSE)</f>
        <v>College of Arts &amp; Science</v>
      </c>
      <c r="D238" s="4">
        <v>847</v>
      </c>
      <c r="E238" s="79">
        <v>8470415</v>
      </c>
      <c r="F238" s="32" t="s">
        <v>362</v>
      </c>
      <c r="G238" s="4">
        <v>1</v>
      </c>
      <c r="H238" s="95">
        <v>435508</v>
      </c>
      <c r="I238" s="106" t="str">
        <f>IFERROR(VLOOKUP(Table1[[#This Row],[Account Code]],'Accoount Code Combination'!$D:$H,2,FALSE),"")</f>
        <v>Laboratory - Scientific</v>
      </c>
      <c r="J238" s="79">
        <v>8470415</v>
      </c>
      <c r="K238" s="4"/>
      <c r="L238" s="4" t="str">
        <f>IFERROR(VLOOKUP(Table1[[#This Row],[Future-1 Description]],'Other '!E226:$F235,2,FALSE),"")</f>
        <v/>
      </c>
      <c r="M238" s="32"/>
      <c r="N238" s="32"/>
      <c r="O238" s="32"/>
      <c r="P238" s="49">
        <v>267319.94</v>
      </c>
      <c r="Q238" s="49">
        <v>100000</v>
      </c>
      <c r="R238" s="32"/>
      <c r="S238" s="4"/>
      <c r="T238" s="32"/>
      <c r="U238" s="32"/>
      <c r="V238" s="32"/>
      <c r="W238" s="32"/>
      <c r="X238" s="33"/>
      <c r="Y238" s="33"/>
      <c r="Z238" s="31">
        <f>Table1[[#This Row],[Quantity of measruing units]]*Table1[[#This Row],[Rate (expected)]]</f>
        <v>0</v>
      </c>
      <c r="AA238" s="31"/>
      <c r="AB238" s="31"/>
      <c r="AC238" s="34">
        <f>Table1[[#This Row],[Quantity (expected)]]*Table1[[#This Row],[Rate (expected)2]]*0.9</f>
        <v>0</v>
      </c>
      <c r="AD238" s="34">
        <f>Table1[[#This Row],[Quantity (expected)]]*Table1[[#This Row],[Rate (expected)2]]*0.8</f>
        <v>0</v>
      </c>
      <c r="AE238" s="34">
        <f>Table1[[#This Row],[Quantity (expected)]]*Table1[[#This Row],[Rate (expected)2]]*0.7</f>
        <v>0</v>
      </c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1">
        <f>SUM(Table1[[#This Row],[Jan-23]:[Dec-23]])</f>
        <v>0</v>
      </c>
      <c r="AV238" s="105"/>
      <c r="AW238" s="32"/>
      <c r="AX238" s="35"/>
    </row>
    <row r="239" spans="1:50" ht="26" x14ac:dyDescent="0.3">
      <c r="A239" s="30" t="str">
        <f>VLOOKUP(H239,'Accoount Code Combination'!$D:$L,8,FALSE)</f>
        <v>Communiction &amp; Marketing</v>
      </c>
      <c r="B239" s="31" t="str">
        <f>VLOOKUP(Table1[[#This Row],[Account Code]],'Accoount Code Combination'!$D:$L,9,FALSE)</f>
        <v>Photography</v>
      </c>
      <c r="C239" s="4" t="str">
        <f>VLOOKUP(Table1[[#This Row],[Cost Center Code]],'Cost Center Group'!A:B,2,FALSE)</f>
        <v>College of Arts &amp; Science</v>
      </c>
      <c r="D239" s="4">
        <v>847</v>
      </c>
      <c r="E239" s="79">
        <v>8470415</v>
      </c>
      <c r="F239" s="32" t="s">
        <v>362</v>
      </c>
      <c r="G239" s="4">
        <v>1</v>
      </c>
      <c r="H239" s="95">
        <v>435519</v>
      </c>
      <c r="I239" s="106" t="str">
        <f>IFERROR(VLOOKUP(Table1[[#This Row],[Account Code]],'Accoount Code Combination'!$D:$H,2,FALSE),"")</f>
        <v>Photography - Consumable materials /Tools</v>
      </c>
      <c r="J239" s="79">
        <v>8470415</v>
      </c>
      <c r="K239" s="4"/>
      <c r="L239" s="4" t="str">
        <f>IFERROR(VLOOKUP(Table1[[#This Row],[Future-1 Description]],'Other '!E227:$F236,2,FALSE),"")</f>
        <v/>
      </c>
      <c r="M239" s="32"/>
      <c r="N239" s="32"/>
      <c r="O239" s="32"/>
      <c r="P239" s="49">
        <v>0</v>
      </c>
      <c r="Q239" s="49">
        <v>0</v>
      </c>
      <c r="R239" s="32"/>
      <c r="S239" s="4"/>
      <c r="T239" s="32"/>
      <c r="U239" s="32"/>
      <c r="V239" s="32"/>
      <c r="W239" s="32"/>
      <c r="X239" s="33"/>
      <c r="Y239" s="33"/>
      <c r="Z239" s="31">
        <f>Table1[[#This Row],[Quantity of measruing units]]*Table1[[#This Row],[Rate (expected)]]</f>
        <v>0</v>
      </c>
      <c r="AA239" s="31"/>
      <c r="AB239" s="31"/>
      <c r="AC239" s="34">
        <f>Table1[[#This Row],[Quantity (expected)]]*Table1[[#This Row],[Rate (expected)2]]*0.9</f>
        <v>0</v>
      </c>
      <c r="AD239" s="34">
        <f>Table1[[#This Row],[Quantity (expected)]]*Table1[[#This Row],[Rate (expected)2]]*0.8</f>
        <v>0</v>
      </c>
      <c r="AE239" s="34">
        <f>Table1[[#This Row],[Quantity (expected)]]*Table1[[#This Row],[Rate (expected)2]]*0.7</f>
        <v>0</v>
      </c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1">
        <f>SUM(Table1[[#This Row],[Jan-23]:[Dec-23]])</f>
        <v>0</v>
      </c>
      <c r="AV239" s="105"/>
      <c r="AW239" s="32"/>
      <c r="AX239" s="35"/>
    </row>
    <row r="240" spans="1:50" x14ac:dyDescent="0.3">
      <c r="A240" s="30" t="str">
        <f>VLOOKUP(H240,'Accoount Code Combination'!$D:$L,8,FALSE)</f>
        <v>Other support</v>
      </c>
      <c r="B240" s="31" t="str">
        <f>VLOOKUP(Table1[[#This Row],[Account Code]],'Accoount Code Combination'!$D:$L,9,FALSE)</f>
        <v>No Applicable</v>
      </c>
      <c r="C240" s="4" t="str">
        <f>VLOOKUP(Table1[[#This Row],[Cost Center Code]],'Cost Center Group'!A:B,2,FALSE)</f>
        <v>College of Arts &amp; Science</v>
      </c>
      <c r="D240" s="4">
        <v>847</v>
      </c>
      <c r="E240" s="79">
        <v>8470415</v>
      </c>
      <c r="F240" s="32" t="s">
        <v>362</v>
      </c>
      <c r="G240" s="4">
        <v>1</v>
      </c>
      <c r="H240" s="95">
        <v>436110</v>
      </c>
      <c r="I240" s="106" t="str">
        <f>IFERROR(VLOOKUP(Table1[[#This Row],[Account Code]],'Accoount Code Combination'!$D:$H,2,FALSE),"")</f>
        <v>Printing supplies</v>
      </c>
      <c r="J240" s="79">
        <v>8470415</v>
      </c>
      <c r="K240" s="4"/>
      <c r="L240" s="4" t="str">
        <f>IFERROR(VLOOKUP(Table1[[#This Row],[Future-1 Description]],'Other '!E228:$F237,2,FALSE),"")</f>
        <v/>
      </c>
      <c r="M240" s="32"/>
      <c r="N240" s="32"/>
      <c r="O240" s="32"/>
      <c r="P240" s="49">
        <v>0</v>
      </c>
      <c r="Q240" s="49">
        <v>0</v>
      </c>
      <c r="R240" s="32"/>
      <c r="S240" s="4"/>
      <c r="T240" s="32"/>
      <c r="U240" s="32"/>
      <c r="V240" s="32"/>
      <c r="W240" s="32"/>
      <c r="X240" s="33"/>
      <c r="Y240" s="33"/>
      <c r="Z240" s="31">
        <f>Table1[[#This Row],[Quantity of measruing units]]*Table1[[#This Row],[Rate (expected)]]</f>
        <v>0</v>
      </c>
      <c r="AA240" s="31"/>
      <c r="AB240" s="31"/>
      <c r="AC240" s="34">
        <f>Table1[[#This Row],[Quantity (expected)]]*Table1[[#This Row],[Rate (expected)2]]*0.9</f>
        <v>0</v>
      </c>
      <c r="AD240" s="34">
        <f>Table1[[#This Row],[Quantity (expected)]]*Table1[[#This Row],[Rate (expected)2]]*0.8</f>
        <v>0</v>
      </c>
      <c r="AE240" s="34">
        <f>Table1[[#This Row],[Quantity (expected)]]*Table1[[#This Row],[Rate (expected)2]]*0.7</f>
        <v>0</v>
      </c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1">
        <f>SUM(Table1[[#This Row],[Jan-23]:[Dec-23]])</f>
        <v>0</v>
      </c>
      <c r="AV240" s="105"/>
      <c r="AW240" s="32"/>
      <c r="AX240" s="35"/>
    </row>
    <row r="241" spans="1:50" x14ac:dyDescent="0.3">
      <c r="A241" s="30">
        <f>VLOOKUP(H241,'Accoount Code Combination'!$D:$L,8,FALSE)</f>
        <v>0</v>
      </c>
      <c r="B241" s="31" t="str">
        <f>VLOOKUP(Table1[[#This Row],[Account Code]],'Accoount Code Combination'!$D:$L,9,FALSE)</f>
        <v>No Applicable</v>
      </c>
      <c r="C241" s="4" t="str">
        <f>VLOOKUP(Table1[[#This Row],[Cost Center Code]],'Cost Center Group'!A:B,2,FALSE)</f>
        <v>College of Arts &amp; Science</v>
      </c>
      <c r="D241" s="4">
        <v>847</v>
      </c>
      <c r="E241" s="79">
        <v>8470415</v>
      </c>
      <c r="F241" s="32" t="s">
        <v>362</v>
      </c>
      <c r="G241" s="4">
        <v>1</v>
      </c>
      <c r="H241" s="95">
        <v>492316</v>
      </c>
      <c r="I241" s="106" t="str">
        <f>IFERROR(VLOOKUP(Table1[[#This Row],[Account Code]],'Accoount Code Combination'!$D:$H,2,FALSE),"")</f>
        <v>Laboratory equipment</v>
      </c>
      <c r="J241" s="79">
        <v>8470415</v>
      </c>
      <c r="K241" s="4"/>
      <c r="L241" s="4" t="str">
        <f>IFERROR(VLOOKUP(Table1[[#This Row],[Future-1 Description]],'Other '!E229:$F238,2,FALSE),"")</f>
        <v/>
      </c>
      <c r="M241" s="32"/>
      <c r="N241" s="32"/>
      <c r="O241" s="32"/>
      <c r="P241" s="49">
        <v>0</v>
      </c>
      <c r="Q241" s="49">
        <v>781895</v>
      </c>
      <c r="R241" s="32"/>
      <c r="S241" s="4"/>
      <c r="T241" s="32"/>
      <c r="U241" s="32"/>
      <c r="V241" s="32"/>
      <c r="W241" s="32"/>
      <c r="X241" s="33"/>
      <c r="Y241" s="33"/>
      <c r="Z241" s="31">
        <f>Table1[[#This Row],[Quantity of measruing units]]*Table1[[#This Row],[Rate (expected)]]</f>
        <v>0</v>
      </c>
      <c r="AA241" s="31"/>
      <c r="AB241" s="31"/>
      <c r="AC241" s="34">
        <f>Table1[[#This Row],[Quantity (expected)]]*Table1[[#This Row],[Rate (expected)2]]*0.9</f>
        <v>0</v>
      </c>
      <c r="AD241" s="34">
        <f>Table1[[#This Row],[Quantity (expected)]]*Table1[[#This Row],[Rate (expected)2]]*0.8</f>
        <v>0</v>
      </c>
      <c r="AE241" s="34">
        <f>Table1[[#This Row],[Quantity (expected)]]*Table1[[#This Row],[Rate (expected)2]]*0.7</f>
        <v>0</v>
      </c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1">
        <f>SUM(Table1[[#This Row],[Jan-23]:[Dec-23]])</f>
        <v>0</v>
      </c>
      <c r="AV241" s="105"/>
      <c r="AW241" s="32"/>
      <c r="AX241" s="35"/>
    </row>
    <row r="242" spans="1:50" x14ac:dyDescent="0.3">
      <c r="A242" s="30">
        <f>VLOOKUP(H242,'Accoount Code Combination'!$D:$L,8,FALSE)</f>
        <v>0</v>
      </c>
      <c r="B242" s="31" t="str">
        <f>VLOOKUP(Table1[[#This Row],[Account Code]],'Accoount Code Combination'!$D:$L,9,FALSE)</f>
        <v>Software Capital</v>
      </c>
      <c r="C242" s="4" t="str">
        <f>VLOOKUP(Table1[[#This Row],[Cost Center Code]],'Cost Center Group'!A:B,2,FALSE)</f>
        <v>College of Arts &amp; Science</v>
      </c>
      <c r="D242" s="4">
        <v>847</v>
      </c>
      <c r="E242" s="79">
        <v>8470415</v>
      </c>
      <c r="F242" s="32" t="s">
        <v>362</v>
      </c>
      <c r="G242" s="4">
        <v>1</v>
      </c>
      <c r="H242" s="95">
        <v>495140</v>
      </c>
      <c r="I242" s="106" t="str">
        <f>IFERROR(VLOOKUP(Table1[[#This Row],[Account Code]],'Accoount Code Combination'!$D:$H,2,FALSE),"")</f>
        <v>Copyrights, patents and licenses</v>
      </c>
      <c r="J242" s="79">
        <v>8470415</v>
      </c>
      <c r="K242" s="4"/>
      <c r="L242" s="4" t="str">
        <f>IFERROR(VLOOKUP(Table1[[#This Row],[Future-1 Description]],'Other '!E230:$F239,2,FALSE),"")</f>
        <v/>
      </c>
      <c r="M242" s="32"/>
      <c r="N242" s="32"/>
      <c r="O242" s="32"/>
      <c r="P242" s="49">
        <v>0</v>
      </c>
      <c r="Q242" s="49">
        <v>0</v>
      </c>
      <c r="R242" s="32"/>
      <c r="S242" s="4"/>
      <c r="T242" s="32"/>
      <c r="U242" s="32"/>
      <c r="V242" s="32"/>
      <c r="W242" s="32"/>
      <c r="X242" s="33"/>
      <c r="Y242" s="33"/>
      <c r="Z242" s="31">
        <f>Table1[[#This Row],[Quantity of measruing units]]*Table1[[#This Row],[Rate (expected)]]</f>
        <v>0</v>
      </c>
      <c r="AA242" s="31"/>
      <c r="AB242" s="31"/>
      <c r="AC242" s="34">
        <f>Table1[[#This Row],[Quantity (expected)]]*Table1[[#This Row],[Rate (expected)2]]*0.9</f>
        <v>0</v>
      </c>
      <c r="AD242" s="34">
        <f>Table1[[#This Row],[Quantity (expected)]]*Table1[[#This Row],[Rate (expected)2]]*0.8</f>
        <v>0</v>
      </c>
      <c r="AE242" s="34">
        <f>Table1[[#This Row],[Quantity (expected)]]*Table1[[#This Row],[Rate (expected)2]]*0.7</f>
        <v>0</v>
      </c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1">
        <f>SUM(Table1[[#This Row],[Jan-23]:[Dec-23]])</f>
        <v>0</v>
      </c>
      <c r="AV242" s="105"/>
      <c r="AW242" s="32"/>
      <c r="AX242" s="35"/>
    </row>
    <row r="243" spans="1:50" x14ac:dyDescent="0.3">
      <c r="A243" s="30" t="str">
        <f>VLOOKUP(H243,'Accoount Code Combination'!$D:$L,8,FALSE)</f>
        <v>Academic</v>
      </c>
      <c r="B243" s="31" t="str">
        <f>VLOOKUP(Table1[[#This Row],[Account Code]],'Accoount Code Combination'!$D:$L,9,FALSE)</f>
        <v>No Applicable</v>
      </c>
      <c r="C243" s="4" t="str">
        <f>VLOOKUP(Table1[[#This Row],[Cost Center Code]],'Cost Center Group'!A:B,2,FALSE)</f>
        <v>College of Arts &amp; Science</v>
      </c>
      <c r="D243" s="4">
        <v>847</v>
      </c>
      <c r="E243" s="79">
        <v>8470425</v>
      </c>
      <c r="F243" s="32" t="s">
        <v>272</v>
      </c>
      <c r="G243" s="4">
        <v>1</v>
      </c>
      <c r="H243" s="95">
        <v>420550</v>
      </c>
      <c r="I243" s="106" t="str">
        <f>IFERROR(VLOOKUP(Table1[[#This Row],[Account Code]],'Accoount Code Combination'!$D:$H,2,FALSE),"")</f>
        <v>Academic Advisory Service</v>
      </c>
      <c r="J243" s="79">
        <v>8470425</v>
      </c>
      <c r="K243" s="4"/>
      <c r="L243" s="4" t="str">
        <f>IFERROR(VLOOKUP(Table1[[#This Row],[Future-1 Description]],'Other '!E231:$F240,2,FALSE),"")</f>
        <v/>
      </c>
      <c r="M243" s="32"/>
      <c r="N243" s="32"/>
      <c r="O243" s="32"/>
      <c r="P243" s="49">
        <v>0</v>
      </c>
      <c r="Q243" s="49">
        <v>0</v>
      </c>
      <c r="R243" s="32"/>
      <c r="S243" s="4"/>
      <c r="T243" s="32"/>
      <c r="U243" s="32"/>
      <c r="V243" s="32"/>
      <c r="W243" s="32"/>
      <c r="X243" s="33"/>
      <c r="Y243" s="33"/>
      <c r="Z243" s="31">
        <f>Table1[[#This Row],[Quantity of measruing units]]*Table1[[#This Row],[Rate (expected)]]</f>
        <v>0</v>
      </c>
      <c r="AA243" s="31"/>
      <c r="AB243" s="31"/>
      <c r="AC243" s="34">
        <f>Table1[[#This Row],[Quantity (expected)]]*Table1[[#This Row],[Rate (expected)2]]*0.9</f>
        <v>0</v>
      </c>
      <c r="AD243" s="34">
        <f>Table1[[#This Row],[Quantity (expected)]]*Table1[[#This Row],[Rate (expected)2]]*0.8</f>
        <v>0</v>
      </c>
      <c r="AE243" s="34">
        <f>Table1[[#This Row],[Quantity (expected)]]*Table1[[#This Row],[Rate (expected)2]]*0.7</f>
        <v>0</v>
      </c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1">
        <f>SUM(Table1[[#This Row],[Jan-23]:[Dec-23]])</f>
        <v>0</v>
      </c>
      <c r="AV243" s="105"/>
      <c r="AW243" s="32"/>
      <c r="AX243" s="35"/>
    </row>
    <row r="244" spans="1:50" x14ac:dyDescent="0.3">
      <c r="A244" s="30" t="str">
        <f>VLOOKUP(H244,'Accoount Code Combination'!$D:$L,8,FALSE)</f>
        <v>Academic</v>
      </c>
      <c r="B244" s="31" t="str">
        <f>VLOOKUP(Table1[[#This Row],[Account Code]],'Accoount Code Combination'!$D:$L,9,FALSE)</f>
        <v>No Applicable</v>
      </c>
      <c r="C244" s="4" t="str">
        <f>VLOOKUP(Table1[[#This Row],[Cost Center Code]],'Cost Center Group'!A:B,2,FALSE)</f>
        <v>College of Arts &amp; Science</v>
      </c>
      <c r="D244" s="4">
        <v>847</v>
      </c>
      <c r="E244" s="79">
        <v>8470425</v>
      </c>
      <c r="F244" s="32" t="s">
        <v>272</v>
      </c>
      <c r="G244" s="4">
        <v>1</v>
      </c>
      <c r="H244" s="95">
        <v>421700</v>
      </c>
      <c r="I244" s="106" t="str">
        <f>IFERROR(VLOOKUP(Table1[[#This Row],[Account Code]],'Accoount Code Combination'!$D:$H,2,FALSE),"")</f>
        <v>Standards certification (e.g. ISO)</v>
      </c>
      <c r="J244" s="79">
        <v>8470425</v>
      </c>
      <c r="K244" s="4"/>
      <c r="L244" s="4" t="str">
        <f>IFERROR(VLOOKUP(Table1[[#This Row],[Future-1 Description]],'Other '!E232:$F241,2,FALSE),"")</f>
        <v/>
      </c>
      <c r="M244" s="32"/>
      <c r="N244" s="32"/>
      <c r="O244" s="32"/>
      <c r="P244" s="49">
        <v>0</v>
      </c>
      <c r="Q244" s="49">
        <v>0</v>
      </c>
      <c r="R244" s="32"/>
      <c r="S244" s="4"/>
      <c r="T244" s="32"/>
      <c r="U244" s="32"/>
      <c r="V244" s="32"/>
      <c r="W244" s="32"/>
      <c r="X244" s="33"/>
      <c r="Y244" s="33"/>
      <c r="Z244" s="31">
        <f>Table1[[#This Row],[Quantity of measruing units]]*Table1[[#This Row],[Rate (expected)]]</f>
        <v>0</v>
      </c>
      <c r="AA244" s="31"/>
      <c r="AB244" s="31"/>
      <c r="AC244" s="34">
        <f>Table1[[#This Row],[Quantity (expected)]]*Table1[[#This Row],[Rate (expected)2]]*0.9</f>
        <v>0</v>
      </c>
      <c r="AD244" s="34">
        <f>Table1[[#This Row],[Quantity (expected)]]*Table1[[#This Row],[Rate (expected)2]]*0.8</f>
        <v>0</v>
      </c>
      <c r="AE244" s="34">
        <f>Table1[[#This Row],[Quantity (expected)]]*Table1[[#This Row],[Rate (expected)2]]*0.7</f>
        <v>0</v>
      </c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1">
        <f>SUM(Table1[[#This Row],[Jan-23]:[Dec-23]])</f>
        <v>0</v>
      </c>
      <c r="AV244" s="105"/>
      <c r="AW244" s="32"/>
      <c r="AX244" s="35"/>
    </row>
    <row r="245" spans="1:50" ht="26" x14ac:dyDescent="0.3">
      <c r="A245" s="30" t="str">
        <f>VLOOKUP(H245,'Accoount Code Combination'!$D:$L,8,FALSE)</f>
        <v>Communiction &amp; Marketing</v>
      </c>
      <c r="B245" s="31" t="str">
        <f>VLOOKUP(Table1[[#This Row],[Account Code]],'Accoount Code Combination'!$D:$L,9,FALSE)</f>
        <v>Events</v>
      </c>
      <c r="C245" s="4" t="str">
        <f>VLOOKUP(Table1[[#This Row],[Cost Center Code]],'Cost Center Group'!A:B,2,FALSE)</f>
        <v>College of Arts &amp; Science</v>
      </c>
      <c r="D245" s="4">
        <v>847</v>
      </c>
      <c r="E245" s="79">
        <v>8470425</v>
      </c>
      <c r="F245" s="32" t="s">
        <v>272</v>
      </c>
      <c r="G245" s="4">
        <v>1</v>
      </c>
      <c r="H245" s="95">
        <v>425510</v>
      </c>
      <c r="I245" s="106" t="str">
        <f>IFERROR(VLOOKUP(Table1[[#This Row],[Account Code]],'Accoount Code Combination'!$D:$H,2,FALSE),"")</f>
        <v>Conferences, seminars and exhibitions and other events: - Local Events</v>
      </c>
      <c r="J245" s="79">
        <v>8470425</v>
      </c>
      <c r="K245" s="4"/>
      <c r="L245" s="4" t="str">
        <f>IFERROR(VLOOKUP(Table1[[#This Row],[Future-1 Description]],'Other '!E233:$F242,2,FALSE),"")</f>
        <v/>
      </c>
      <c r="M245" s="32"/>
      <c r="N245" s="32"/>
      <c r="O245" s="32"/>
      <c r="P245" s="49">
        <v>0</v>
      </c>
      <c r="Q245" s="49">
        <v>1</v>
      </c>
      <c r="R245" s="32"/>
      <c r="S245" s="4"/>
      <c r="T245" s="32"/>
      <c r="U245" s="32"/>
      <c r="V245" s="32"/>
      <c r="W245" s="32"/>
      <c r="X245" s="33"/>
      <c r="Y245" s="33"/>
      <c r="Z245" s="31">
        <f>Table1[[#This Row],[Quantity of measruing units]]*Table1[[#This Row],[Rate (expected)]]</f>
        <v>0</v>
      </c>
      <c r="AA245" s="31"/>
      <c r="AB245" s="31"/>
      <c r="AC245" s="34">
        <f>Table1[[#This Row],[Quantity (expected)]]*Table1[[#This Row],[Rate (expected)2]]*0.9</f>
        <v>0</v>
      </c>
      <c r="AD245" s="34">
        <f>Table1[[#This Row],[Quantity (expected)]]*Table1[[#This Row],[Rate (expected)2]]*0.8</f>
        <v>0</v>
      </c>
      <c r="AE245" s="34">
        <f>Table1[[#This Row],[Quantity (expected)]]*Table1[[#This Row],[Rate (expected)2]]*0.7</f>
        <v>0</v>
      </c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1">
        <f>SUM(Table1[[#This Row],[Jan-23]:[Dec-23]])</f>
        <v>0</v>
      </c>
      <c r="AV245" s="105"/>
      <c r="AW245" s="32"/>
      <c r="AX245" s="35"/>
    </row>
    <row r="246" spans="1:50" x14ac:dyDescent="0.3">
      <c r="A246" s="30" t="str">
        <f>VLOOKUP(H246,'Accoount Code Combination'!$D:$L,8,FALSE)</f>
        <v>Academic</v>
      </c>
      <c r="B246" s="31" t="str">
        <f>VLOOKUP(Table1[[#This Row],[Account Code]],'Accoount Code Combination'!$D:$L,9,FALSE)</f>
        <v>No Applicable</v>
      </c>
      <c r="C246" s="4" t="str">
        <f>VLOOKUP(Table1[[#This Row],[Cost Center Code]],'Cost Center Group'!A:B,2,FALSE)</f>
        <v>College of Arts &amp; Science</v>
      </c>
      <c r="D246" s="4">
        <v>847</v>
      </c>
      <c r="E246" s="79">
        <v>8470425</v>
      </c>
      <c r="F246" s="32" t="s">
        <v>272</v>
      </c>
      <c r="G246" s="4">
        <v>1</v>
      </c>
      <c r="H246" s="95">
        <v>425770</v>
      </c>
      <c r="I246" s="106" t="str">
        <f>IFERROR(VLOOKUP(Table1[[#This Row],[Account Code]],'Accoount Code Combination'!$D:$H,2,FALSE),"")</f>
        <v>Academic Missions - Combined expenses</v>
      </c>
      <c r="J246" s="79">
        <v>8470425</v>
      </c>
      <c r="K246" s="4"/>
      <c r="L246" s="4" t="str">
        <f>IFERROR(VLOOKUP(Table1[[#This Row],[Future-1 Description]],'Other '!E234:$F243,2,FALSE),"")</f>
        <v/>
      </c>
      <c r="M246" s="32"/>
      <c r="N246" s="32"/>
      <c r="O246" s="32"/>
      <c r="P246" s="49">
        <v>66413.240000000005</v>
      </c>
      <c r="Q246" s="49">
        <v>720</v>
      </c>
      <c r="R246" s="32"/>
      <c r="S246" s="4"/>
      <c r="T246" s="32"/>
      <c r="U246" s="32"/>
      <c r="V246" s="32"/>
      <c r="W246" s="32"/>
      <c r="X246" s="33"/>
      <c r="Y246" s="33"/>
      <c r="Z246" s="31">
        <f>Table1[[#This Row],[Quantity of measruing units]]*Table1[[#This Row],[Rate (expected)]]</f>
        <v>0</v>
      </c>
      <c r="AA246" s="31"/>
      <c r="AB246" s="31"/>
      <c r="AC246" s="34">
        <f>Table1[[#This Row],[Quantity (expected)]]*Table1[[#This Row],[Rate (expected)2]]*0.9</f>
        <v>0</v>
      </c>
      <c r="AD246" s="34">
        <f>Table1[[#This Row],[Quantity (expected)]]*Table1[[#This Row],[Rate (expected)2]]*0.8</f>
        <v>0</v>
      </c>
      <c r="AE246" s="34">
        <f>Table1[[#This Row],[Quantity (expected)]]*Table1[[#This Row],[Rate (expected)2]]*0.7</f>
        <v>0</v>
      </c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1">
        <f>SUM(Table1[[#This Row],[Jan-23]:[Dec-23]])</f>
        <v>0</v>
      </c>
      <c r="AV246" s="105"/>
      <c r="AW246" s="32"/>
      <c r="AX246" s="35"/>
    </row>
    <row r="247" spans="1:50" x14ac:dyDescent="0.3">
      <c r="A247" s="30" t="str">
        <f>VLOOKUP(H247,'Accoount Code Combination'!$D:$L,8,FALSE)</f>
        <v>Other support</v>
      </c>
      <c r="B247" s="31" t="str">
        <f>VLOOKUP(Table1[[#This Row],[Account Code]],'Accoount Code Combination'!$D:$L,9,FALSE)</f>
        <v>No Applicable</v>
      </c>
      <c r="C247" s="4" t="str">
        <f>VLOOKUP(Table1[[#This Row],[Cost Center Code]],'Cost Center Group'!A:B,2,FALSE)</f>
        <v>College of Arts &amp; Science</v>
      </c>
      <c r="D247" s="4">
        <v>847</v>
      </c>
      <c r="E247" s="79">
        <v>8470425</v>
      </c>
      <c r="F247" s="32" t="s">
        <v>272</v>
      </c>
      <c r="G247" s="4">
        <v>1</v>
      </c>
      <c r="H247" s="95">
        <v>425900</v>
      </c>
      <c r="I247" s="106" t="str">
        <f>IFERROR(VLOOKUP(Table1[[#This Row],[Account Code]],'Accoount Code Combination'!$D:$H,2,FALSE),"")</f>
        <v>Entertainment and hospitality</v>
      </c>
      <c r="J247" s="79">
        <v>8470425</v>
      </c>
      <c r="K247" s="4"/>
      <c r="L247" s="4" t="str">
        <f>IFERROR(VLOOKUP(Table1[[#This Row],[Future-1 Description]],'Other '!E235:$F244,2,FALSE),"")</f>
        <v/>
      </c>
      <c r="M247" s="32"/>
      <c r="N247" s="32"/>
      <c r="O247" s="32"/>
      <c r="P247" s="49">
        <v>5058</v>
      </c>
      <c r="Q247" s="49">
        <v>0</v>
      </c>
      <c r="R247" s="32"/>
      <c r="S247" s="4"/>
      <c r="T247" s="32"/>
      <c r="U247" s="32"/>
      <c r="V247" s="32"/>
      <c r="W247" s="32"/>
      <c r="X247" s="33"/>
      <c r="Y247" s="33"/>
      <c r="Z247" s="31">
        <f>Table1[[#This Row],[Quantity of measruing units]]*Table1[[#This Row],[Rate (expected)]]</f>
        <v>0</v>
      </c>
      <c r="AA247" s="31"/>
      <c r="AB247" s="31"/>
      <c r="AC247" s="34">
        <f>Table1[[#This Row],[Quantity (expected)]]*Table1[[#This Row],[Rate (expected)2]]*0.9</f>
        <v>0</v>
      </c>
      <c r="AD247" s="34">
        <f>Table1[[#This Row],[Quantity (expected)]]*Table1[[#This Row],[Rate (expected)2]]*0.8</f>
        <v>0</v>
      </c>
      <c r="AE247" s="34">
        <f>Table1[[#This Row],[Quantity (expected)]]*Table1[[#This Row],[Rate (expected)2]]*0.7</f>
        <v>0</v>
      </c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1">
        <f>SUM(Table1[[#This Row],[Jan-23]:[Dec-23]])</f>
        <v>0</v>
      </c>
      <c r="AV247" s="105"/>
      <c r="AW247" s="32"/>
      <c r="AX247" s="35"/>
    </row>
    <row r="248" spans="1:50" x14ac:dyDescent="0.3">
      <c r="A248" s="30" t="str">
        <f>VLOOKUP(H248,'Accoount Code Combination'!$D:$L,8,FALSE)</f>
        <v xml:space="preserve">Academic </v>
      </c>
      <c r="B248" s="31" t="str">
        <f>VLOOKUP(Table1[[#This Row],[Account Code]],'Accoount Code Combination'!$D:$L,9,FALSE)</f>
        <v>No Applicable</v>
      </c>
      <c r="C248" s="4" t="str">
        <f>VLOOKUP(Table1[[#This Row],[Cost Center Code]],'Cost Center Group'!A:B,2,FALSE)</f>
        <v>College of Arts &amp; Science</v>
      </c>
      <c r="D248" s="4">
        <v>847</v>
      </c>
      <c r="E248" s="79">
        <v>8470425</v>
      </c>
      <c r="F248" s="32" t="s">
        <v>272</v>
      </c>
      <c r="G248" s="4">
        <v>1</v>
      </c>
      <c r="H248" s="95">
        <v>428090</v>
      </c>
      <c r="I248" s="106" t="str">
        <f>IFERROR(VLOOKUP(Table1[[#This Row],[Account Code]],'Accoount Code Combination'!$D:$H,2,FALSE),"")</f>
        <v>Business Travel - Combined expenses</v>
      </c>
      <c r="J248" s="79">
        <v>8470425</v>
      </c>
      <c r="K248" s="4"/>
      <c r="L248" s="4" t="str">
        <f>IFERROR(VLOOKUP(Table1[[#This Row],[Future-1 Description]],'Other '!E236:$F245,2,FALSE),"")</f>
        <v/>
      </c>
      <c r="M248" s="32"/>
      <c r="N248" s="32"/>
      <c r="O248" s="32"/>
      <c r="P248" s="49">
        <v>0</v>
      </c>
      <c r="Q248" s="49">
        <v>0</v>
      </c>
      <c r="R248" s="32"/>
      <c r="S248" s="4"/>
      <c r="T248" s="32"/>
      <c r="U248" s="32"/>
      <c r="V248" s="32"/>
      <c r="W248" s="32"/>
      <c r="X248" s="33"/>
      <c r="Y248" s="33"/>
      <c r="Z248" s="31">
        <f>Table1[[#This Row],[Quantity of measruing units]]*Table1[[#This Row],[Rate (expected)]]</f>
        <v>0</v>
      </c>
      <c r="AA248" s="31"/>
      <c r="AB248" s="31"/>
      <c r="AC248" s="34">
        <f>Table1[[#This Row],[Quantity (expected)]]*Table1[[#This Row],[Rate (expected)2]]*0.9</f>
        <v>0</v>
      </c>
      <c r="AD248" s="34">
        <f>Table1[[#This Row],[Quantity (expected)]]*Table1[[#This Row],[Rate (expected)2]]*0.8</f>
        <v>0</v>
      </c>
      <c r="AE248" s="34">
        <f>Table1[[#This Row],[Quantity (expected)]]*Table1[[#This Row],[Rate (expected)2]]*0.7</f>
        <v>0</v>
      </c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1">
        <f>SUM(Table1[[#This Row],[Jan-23]:[Dec-23]])</f>
        <v>0</v>
      </c>
      <c r="AV248" s="105"/>
      <c r="AW248" s="32"/>
      <c r="AX248" s="35"/>
    </row>
    <row r="249" spans="1:50" x14ac:dyDescent="0.3">
      <c r="A249" s="30" t="str">
        <f>VLOOKUP(H249,'Accoount Code Combination'!$D:$L,8,FALSE)</f>
        <v>Academic</v>
      </c>
      <c r="B249" s="31" t="str">
        <f>VLOOKUP(Table1[[#This Row],[Account Code]],'Accoount Code Combination'!$D:$L,9,FALSE)</f>
        <v>No Applicable</v>
      </c>
      <c r="C249" s="4" t="str">
        <f>VLOOKUP(Table1[[#This Row],[Cost Center Code]],'Cost Center Group'!A:B,2,FALSE)</f>
        <v>College of Arts &amp; Science</v>
      </c>
      <c r="D249" s="4">
        <v>847</v>
      </c>
      <c r="E249" s="79">
        <v>8470425</v>
      </c>
      <c r="F249" s="32" t="s">
        <v>272</v>
      </c>
      <c r="G249" s="4">
        <v>1</v>
      </c>
      <c r="H249" s="95">
        <v>435350</v>
      </c>
      <c r="I249" s="106" t="str">
        <f>IFERROR(VLOOKUP(Table1[[#This Row],[Account Code]],'Accoount Code Combination'!$D:$H,2,FALSE),"")</f>
        <v>Academic Publications</v>
      </c>
      <c r="J249" s="79">
        <v>8470425</v>
      </c>
      <c r="K249" s="4"/>
      <c r="L249" s="4" t="str">
        <f>IFERROR(VLOOKUP(Table1[[#This Row],[Future-1 Description]],'Other '!E237:$F246,2,FALSE),"")</f>
        <v/>
      </c>
      <c r="M249" s="32"/>
      <c r="N249" s="32"/>
      <c r="O249" s="32"/>
      <c r="P249" s="49">
        <v>39563.17</v>
      </c>
      <c r="Q249" s="49">
        <v>35451</v>
      </c>
      <c r="R249" s="32"/>
      <c r="S249" s="4"/>
      <c r="T249" s="32"/>
      <c r="U249" s="32"/>
      <c r="V249" s="32"/>
      <c r="W249" s="32"/>
      <c r="X249" s="33"/>
      <c r="Y249" s="33"/>
      <c r="Z249" s="31">
        <f>Table1[[#This Row],[Quantity of measruing units]]*Table1[[#This Row],[Rate (expected)]]</f>
        <v>0</v>
      </c>
      <c r="AA249" s="31"/>
      <c r="AB249" s="31"/>
      <c r="AC249" s="34">
        <f>Table1[[#This Row],[Quantity (expected)]]*Table1[[#This Row],[Rate (expected)2]]*0.9</f>
        <v>0</v>
      </c>
      <c r="AD249" s="34">
        <f>Table1[[#This Row],[Quantity (expected)]]*Table1[[#This Row],[Rate (expected)2]]*0.8</f>
        <v>0</v>
      </c>
      <c r="AE249" s="34">
        <f>Table1[[#This Row],[Quantity (expected)]]*Table1[[#This Row],[Rate (expected)2]]*0.7</f>
        <v>0</v>
      </c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1">
        <f>SUM(Table1[[#This Row],[Jan-23]:[Dec-23]])</f>
        <v>0</v>
      </c>
      <c r="AV249" s="105"/>
      <c r="AW249" s="32"/>
      <c r="AX249" s="35"/>
    </row>
    <row r="250" spans="1:50" x14ac:dyDescent="0.3">
      <c r="A250" s="30" t="str">
        <f>VLOOKUP(H250,'Accoount Code Combination'!$D:$L,8,FALSE)</f>
        <v>Academic</v>
      </c>
      <c r="B250" s="31" t="str">
        <f>VLOOKUP(Table1[[#This Row],[Account Code]],'Accoount Code Combination'!$D:$L,9,FALSE)</f>
        <v>No Applicable</v>
      </c>
      <c r="C250" s="4" t="str">
        <f>VLOOKUP(Table1[[#This Row],[Cost Center Code]],'Cost Center Group'!A:B,2,FALSE)</f>
        <v>College of Arts &amp; Science</v>
      </c>
      <c r="D250" s="4">
        <v>847</v>
      </c>
      <c r="E250" s="79">
        <v>8470425</v>
      </c>
      <c r="F250" s="32" t="s">
        <v>272</v>
      </c>
      <c r="G250" s="4">
        <v>1</v>
      </c>
      <c r="H250" s="95">
        <v>435508</v>
      </c>
      <c r="I250" s="106" t="str">
        <f>IFERROR(VLOOKUP(Table1[[#This Row],[Account Code]],'Accoount Code Combination'!$D:$H,2,FALSE),"")</f>
        <v>Laboratory - Scientific</v>
      </c>
      <c r="J250" s="79">
        <v>8470425</v>
      </c>
      <c r="K250" s="4"/>
      <c r="L250" s="4" t="str">
        <f>IFERROR(VLOOKUP(Table1[[#This Row],[Future-1 Description]],'Other '!E238:$F247,2,FALSE),"")</f>
        <v/>
      </c>
      <c r="M250" s="32"/>
      <c r="N250" s="32"/>
      <c r="O250" s="32"/>
      <c r="P250" s="49">
        <v>42606</v>
      </c>
      <c r="Q250" s="49">
        <v>239</v>
      </c>
      <c r="R250" s="32"/>
      <c r="S250" s="4"/>
      <c r="T250" s="32"/>
      <c r="U250" s="32"/>
      <c r="V250" s="32"/>
      <c r="W250" s="32"/>
      <c r="X250" s="33"/>
      <c r="Y250" s="33"/>
      <c r="Z250" s="31">
        <f>Table1[[#This Row],[Quantity of measruing units]]*Table1[[#This Row],[Rate (expected)]]</f>
        <v>0</v>
      </c>
      <c r="AA250" s="31"/>
      <c r="AB250" s="31"/>
      <c r="AC250" s="34">
        <f>Table1[[#This Row],[Quantity (expected)]]*Table1[[#This Row],[Rate (expected)2]]*0.9</f>
        <v>0</v>
      </c>
      <c r="AD250" s="34">
        <f>Table1[[#This Row],[Quantity (expected)]]*Table1[[#This Row],[Rate (expected)2]]*0.8</f>
        <v>0</v>
      </c>
      <c r="AE250" s="34">
        <f>Table1[[#This Row],[Quantity (expected)]]*Table1[[#This Row],[Rate (expected)2]]*0.7</f>
        <v>0</v>
      </c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1">
        <f>SUM(Table1[[#This Row],[Jan-23]:[Dec-23]])</f>
        <v>0</v>
      </c>
      <c r="AV250" s="105"/>
      <c r="AW250" s="32"/>
      <c r="AX250" s="35"/>
    </row>
    <row r="251" spans="1:50" x14ac:dyDescent="0.3">
      <c r="A251" s="30">
        <f>VLOOKUP(H251,'Accoount Code Combination'!$D:$L,8,FALSE)</f>
        <v>0</v>
      </c>
      <c r="B251" s="31" t="str">
        <f>VLOOKUP(Table1[[#This Row],[Account Code]],'Accoount Code Combination'!$D:$L,9,FALSE)</f>
        <v>No Applicable</v>
      </c>
      <c r="C251" s="4" t="str">
        <f>VLOOKUP(Table1[[#This Row],[Cost Center Code]],'Cost Center Group'!A:B,2,FALSE)</f>
        <v>College of Arts &amp; Science</v>
      </c>
      <c r="D251" s="4">
        <v>847</v>
      </c>
      <c r="E251" s="79">
        <v>8470425</v>
      </c>
      <c r="F251" s="32" t="s">
        <v>272</v>
      </c>
      <c r="G251" s="4">
        <v>1</v>
      </c>
      <c r="H251" s="95">
        <v>492316</v>
      </c>
      <c r="I251" s="106" t="str">
        <f>IFERROR(VLOOKUP(Table1[[#This Row],[Account Code]],'Accoount Code Combination'!$D:$H,2,FALSE),"")</f>
        <v>Laboratory equipment</v>
      </c>
      <c r="J251" s="79">
        <v>8470425</v>
      </c>
      <c r="K251" s="4"/>
      <c r="L251" s="4" t="str">
        <f>IFERROR(VLOOKUP(Table1[[#This Row],[Future-1 Description]],'Other '!E239:$F248,2,FALSE),"")</f>
        <v/>
      </c>
      <c r="M251" s="32"/>
      <c r="N251" s="32"/>
      <c r="O251" s="32"/>
      <c r="P251" s="49">
        <v>0</v>
      </c>
      <c r="Q251" s="49">
        <v>2912920</v>
      </c>
      <c r="R251" s="32"/>
      <c r="S251" s="4"/>
      <c r="T251" s="32"/>
      <c r="U251" s="32"/>
      <c r="V251" s="32"/>
      <c r="W251" s="32"/>
      <c r="X251" s="33"/>
      <c r="Y251" s="33"/>
      <c r="Z251" s="31">
        <f>Table1[[#This Row],[Quantity of measruing units]]*Table1[[#This Row],[Rate (expected)]]</f>
        <v>0</v>
      </c>
      <c r="AA251" s="31"/>
      <c r="AB251" s="31"/>
      <c r="AC251" s="34">
        <f>Table1[[#This Row],[Quantity (expected)]]*Table1[[#This Row],[Rate (expected)2]]*0.9</f>
        <v>0</v>
      </c>
      <c r="AD251" s="34">
        <f>Table1[[#This Row],[Quantity (expected)]]*Table1[[#This Row],[Rate (expected)2]]*0.8</f>
        <v>0</v>
      </c>
      <c r="AE251" s="34">
        <f>Table1[[#This Row],[Quantity (expected)]]*Table1[[#This Row],[Rate (expected)2]]*0.7</f>
        <v>0</v>
      </c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1">
        <f>SUM(Table1[[#This Row],[Jan-23]:[Dec-23]])</f>
        <v>0</v>
      </c>
      <c r="AV251" s="105"/>
      <c r="AW251" s="32"/>
      <c r="AX251" s="35"/>
    </row>
    <row r="252" spans="1:50" x14ac:dyDescent="0.3">
      <c r="A252" s="30" t="str">
        <f>VLOOKUP(H252,'Accoount Code Combination'!$D:$L,8,FALSE)</f>
        <v>Student</v>
      </c>
      <c r="B252" s="31" t="str">
        <f>VLOOKUP(Table1[[#This Row],[Account Code]],'Accoount Code Combination'!$D:$L,9,FALSE)</f>
        <v>No Applicable</v>
      </c>
      <c r="C252" s="4" t="str">
        <f>VLOOKUP(Table1[[#This Row],[Cost Center Code]],'Cost Center Group'!A:B,2,FALSE)</f>
        <v>College of Arts &amp; Science</v>
      </c>
      <c r="D252" s="4">
        <v>847</v>
      </c>
      <c r="E252" s="79">
        <v>8470430</v>
      </c>
      <c r="F252" s="32" t="s">
        <v>424</v>
      </c>
      <c r="G252" s="4">
        <v>1</v>
      </c>
      <c r="H252" s="95">
        <v>425746</v>
      </c>
      <c r="I252" s="106" t="str">
        <f>IFERROR(VLOOKUP(Table1[[#This Row],[Account Code]],'Accoount Code Combination'!$D:$H,2,FALSE),"")</f>
        <v>Student Transport</v>
      </c>
      <c r="J252" s="79">
        <v>8470430</v>
      </c>
      <c r="K252" s="4"/>
      <c r="L252" s="4" t="str">
        <f>IFERROR(VLOOKUP(Table1[[#This Row],[Future-1 Description]],'Other '!E240:$F249,2,FALSE),"")</f>
        <v/>
      </c>
      <c r="M252" s="32"/>
      <c r="N252" s="32"/>
      <c r="O252" s="32"/>
      <c r="P252" s="49">
        <v>0</v>
      </c>
      <c r="Q252" s="49">
        <v>0</v>
      </c>
      <c r="R252" s="32"/>
      <c r="S252" s="4"/>
      <c r="T252" s="32"/>
      <c r="U252" s="32"/>
      <c r="V252" s="32"/>
      <c r="W252" s="32"/>
      <c r="X252" s="33"/>
      <c r="Y252" s="33"/>
      <c r="Z252" s="31">
        <f>Table1[[#This Row],[Quantity of measruing units]]*Table1[[#This Row],[Rate (expected)]]</f>
        <v>0</v>
      </c>
      <c r="AA252" s="31"/>
      <c r="AB252" s="31"/>
      <c r="AC252" s="34">
        <f>Table1[[#This Row],[Quantity (expected)]]*Table1[[#This Row],[Rate (expected)2]]*0.9</f>
        <v>0</v>
      </c>
      <c r="AD252" s="34">
        <f>Table1[[#This Row],[Quantity (expected)]]*Table1[[#This Row],[Rate (expected)2]]*0.8</f>
        <v>0</v>
      </c>
      <c r="AE252" s="34">
        <f>Table1[[#This Row],[Quantity (expected)]]*Table1[[#This Row],[Rate (expected)2]]*0.7</f>
        <v>0</v>
      </c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1">
        <f>SUM(Table1[[#This Row],[Jan-23]:[Dec-23]])</f>
        <v>0</v>
      </c>
      <c r="AV252" s="105"/>
      <c r="AW252" s="32"/>
      <c r="AX252" s="35"/>
    </row>
    <row r="253" spans="1:50" x14ac:dyDescent="0.3">
      <c r="A253" s="30" t="str">
        <f>VLOOKUP(H253,'Accoount Code Combination'!$D:$L,8,FALSE)</f>
        <v>Academic</v>
      </c>
      <c r="B253" s="31" t="str">
        <f>VLOOKUP(Table1[[#This Row],[Account Code]],'Accoount Code Combination'!$D:$L,9,FALSE)</f>
        <v>No Applicable</v>
      </c>
      <c r="C253" s="4" t="str">
        <f>VLOOKUP(Table1[[#This Row],[Cost Center Code]],'Cost Center Group'!A:B,2,FALSE)</f>
        <v>College of Arts &amp; Science</v>
      </c>
      <c r="D253" s="4">
        <v>847</v>
      </c>
      <c r="E253" s="79">
        <v>8470430</v>
      </c>
      <c r="F253" s="32" t="s">
        <v>424</v>
      </c>
      <c r="G253" s="4">
        <v>1</v>
      </c>
      <c r="H253" s="95">
        <v>425761</v>
      </c>
      <c r="I253" s="106" t="str">
        <f>IFERROR(VLOOKUP(Table1[[#This Row],[Account Code]],'Accoount Code Combination'!$D:$H,2,FALSE),"")</f>
        <v>Student Field trips</v>
      </c>
      <c r="J253" s="79">
        <v>8470430</v>
      </c>
      <c r="K253" s="4"/>
      <c r="L253" s="4" t="str">
        <f>IFERROR(VLOOKUP(Table1[[#This Row],[Future-1 Description]],'Other '!E241:$F250,2,FALSE),"")</f>
        <v/>
      </c>
      <c r="M253" s="32"/>
      <c r="N253" s="32"/>
      <c r="O253" s="32"/>
      <c r="P253" s="49">
        <v>0</v>
      </c>
      <c r="Q253" s="49">
        <v>0</v>
      </c>
      <c r="R253" s="32"/>
      <c r="S253" s="4"/>
      <c r="T253" s="32"/>
      <c r="U253" s="32"/>
      <c r="V253" s="32"/>
      <c r="W253" s="32"/>
      <c r="X253" s="33"/>
      <c r="Y253" s="33"/>
      <c r="Z253" s="31">
        <f>Table1[[#This Row],[Quantity of measruing units]]*Table1[[#This Row],[Rate (expected)]]</f>
        <v>0</v>
      </c>
      <c r="AA253" s="31"/>
      <c r="AB253" s="31"/>
      <c r="AC253" s="34">
        <f>Table1[[#This Row],[Quantity (expected)]]*Table1[[#This Row],[Rate (expected)2]]*0.9</f>
        <v>0</v>
      </c>
      <c r="AD253" s="34">
        <f>Table1[[#This Row],[Quantity (expected)]]*Table1[[#This Row],[Rate (expected)2]]*0.8</f>
        <v>0</v>
      </c>
      <c r="AE253" s="34">
        <f>Table1[[#This Row],[Quantity (expected)]]*Table1[[#This Row],[Rate (expected)2]]*0.7</f>
        <v>0</v>
      </c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1">
        <f>SUM(Table1[[#This Row],[Jan-23]:[Dec-23]])</f>
        <v>0</v>
      </c>
      <c r="AV253" s="105"/>
      <c r="AW253" s="32"/>
      <c r="AX253" s="35"/>
    </row>
    <row r="254" spans="1:50" x14ac:dyDescent="0.3">
      <c r="A254" s="30" t="str">
        <f>VLOOKUP(H254,'Accoount Code Combination'!$D:$L,8,FALSE)</f>
        <v>Academic</v>
      </c>
      <c r="B254" s="31" t="str">
        <f>VLOOKUP(Table1[[#This Row],[Account Code]],'Accoount Code Combination'!$D:$L,9,FALSE)</f>
        <v>No Applicable</v>
      </c>
      <c r="C254" s="4" t="str">
        <f>VLOOKUP(Table1[[#This Row],[Cost Center Code]],'Cost Center Group'!A:B,2,FALSE)</f>
        <v>College of Arts &amp; Science</v>
      </c>
      <c r="D254" s="4">
        <v>847</v>
      </c>
      <c r="E254" s="79">
        <v>8470430</v>
      </c>
      <c r="F254" s="32" t="s">
        <v>424</v>
      </c>
      <c r="G254" s="4">
        <v>1</v>
      </c>
      <c r="H254" s="95">
        <v>425770</v>
      </c>
      <c r="I254" s="106" t="str">
        <f>IFERROR(VLOOKUP(Table1[[#This Row],[Account Code]],'Accoount Code Combination'!$D:$H,2,FALSE),"")</f>
        <v>Academic Missions - Combined expenses</v>
      </c>
      <c r="J254" s="79">
        <v>8470430</v>
      </c>
      <c r="K254" s="4"/>
      <c r="L254" s="4" t="str">
        <f>IFERROR(VLOOKUP(Table1[[#This Row],[Future-1 Description]],'Other '!E242:$F251,2,FALSE),"")</f>
        <v/>
      </c>
      <c r="M254" s="32"/>
      <c r="N254" s="32"/>
      <c r="O254" s="32"/>
      <c r="P254" s="49">
        <v>23514.52</v>
      </c>
      <c r="Q254" s="49">
        <v>220000</v>
      </c>
      <c r="R254" s="32"/>
      <c r="S254" s="4"/>
      <c r="T254" s="32"/>
      <c r="U254" s="32"/>
      <c r="V254" s="32"/>
      <c r="W254" s="32"/>
      <c r="X254" s="33"/>
      <c r="Y254" s="33"/>
      <c r="Z254" s="31">
        <f>Table1[[#This Row],[Quantity of measruing units]]*Table1[[#This Row],[Rate (expected)]]</f>
        <v>0</v>
      </c>
      <c r="AA254" s="31"/>
      <c r="AB254" s="31"/>
      <c r="AC254" s="34">
        <f>Table1[[#This Row],[Quantity (expected)]]*Table1[[#This Row],[Rate (expected)2]]*0.9</f>
        <v>0</v>
      </c>
      <c r="AD254" s="34">
        <f>Table1[[#This Row],[Quantity (expected)]]*Table1[[#This Row],[Rate (expected)2]]*0.8</f>
        <v>0</v>
      </c>
      <c r="AE254" s="34">
        <f>Table1[[#This Row],[Quantity (expected)]]*Table1[[#This Row],[Rate (expected)2]]*0.7</f>
        <v>0</v>
      </c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1">
        <f>SUM(Table1[[#This Row],[Jan-23]:[Dec-23]])</f>
        <v>0</v>
      </c>
      <c r="AV254" s="105"/>
      <c r="AW254" s="32"/>
      <c r="AX254" s="35"/>
    </row>
    <row r="255" spans="1:50" x14ac:dyDescent="0.3">
      <c r="A255" s="30" t="str">
        <f>VLOOKUP(H255,'Accoount Code Combination'!$D:$L,8,FALSE)</f>
        <v>Other support</v>
      </c>
      <c r="B255" s="31" t="str">
        <f>VLOOKUP(Table1[[#This Row],[Account Code]],'Accoount Code Combination'!$D:$L,9,FALSE)</f>
        <v>No Applicable</v>
      </c>
      <c r="C255" s="4" t="str">
        <f>VLOOKUP(Table1[[#This Row],[Cost Center Code]],'Cost Center Group'!A:B,2,FALSE)</f>
        <v>College of Arts &amp; Science</v>
      </c>
      <c r="D255" s="4">
        <v>847</v>
      </c>
      <c r="E255" s="79">
        <v>8470430</v>
      </c>
      <c r="F255" s="32" t="s">
        <v>424</v>
      </c>
      <c r="G255" s="4">
        <v>1</v>
      </c>
      <c r="H255" s="95">
        <v>425900</v>
      </c>
      <c r="I255" s="106" t="str">
        <f>IFERROR(VLOOKUP(Table1[[#This Row],[Account Code]],'Accoount Code Combination'!$D:$H,2,FALSE),"")</f>
        <v>Entertainment and hospitality</v>
      </c>
      <c r="J255" s="79">
        <v>8470430</v>
      </c>
      <c r="K255" s="4"/>
      <c r="L255" s="4" t="str">
        <f>IFERROR(VLOOKUP(Table1[[#This Row],[Future-1 Description]],'Other '!E243:$F252,2,FALSE),"")</f>
        <v/>
      </c>
      <c r="M255" s="32"/>
      <c r="N255" s="32"/>
      <c r="O255" s="32"/>
      <c r="P255" s="49">
        <v>6195</v>
      </c>
      <c r="Q255" s="49">
        <v>0</v>
      </c>
      <c r="R255" s="32"/>
      <c r="S255" s="4"/>
      <c r="T255" s="32"/>
      <c r="U255" s="32"/>
      <c r="V255" s="32"/>
      <c r="W255" s="32"/>
      <c r="X255" s="33"/>
      <c r="Y255" s="33"/>
      <c r="Z255" s="31">
        <f>Table1[[#This Row],[Quantity of measruing units]]*Table1[[#This Row],[Rate (expected)]]</f>
        <v>0</v>
      </c>
      <c r="AA255" s="31"/>
      <c r="AB255" s="31"/>
      <c r="AC255" s="34">
        <f>Table1[[#This Row],[Quantity (expected)]]*Table1[[#This Row],[Rate (expected)2]]*0.9</f>
        <v>0</v>
      </c>
      <c r="AD255" s="34">
        <f>Table1[[#This Row],[Quantity (expected)]]*Table1[[#This Row],[Rate (expected)2]]*0.8</f>
        <v>0</v>
      </c>
      <c r="AE255" s="34">
        <f>Table1[[#This Row],[Quantity (expected)]]*Table1[[#This Row],[Rate (expected)2]]*0.7</f>
        <v>0</v>
      </c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1">
        <f>SUM(Table1[[#This Row],[Jan-23]:[Dec-23]])</f>
        <v>0</v>
      </c>
      <c r="AV255" s="105"/>
      <c r="AW255" s="32"/>
      <c r="AX255" s="35"/>
    </row>
    <row r="256" spans="1:50" x14ac:dyDescent="0.3">
      <c r="A256" s="30" t="str">
        <f>VLOOKUP(H256,'Accoount Code Combination'!$D:$L,8,FALSE)</f>
        <v>IT</v>
      </c>
      <c r="B256" s="31" t="str">
        <f>VLOOKUP(Table1[[#This Row],[Account Code]],'Accoount Code Combination'!$D:$L,9,FALSE)</f>
        <v>Software Operating</v>
      </c>
      <c r="C256" s="4" t="str">
        <f>VLOOKUP(Table1[[#This Row],[Cost Center Code]],'Cost Center Group'!A:B,2,FALSE)</f>
        <v>College of Arts &amp; Science</v>
      </c>
      <c r="D256" s="4">
        <v>847</v>
      </c>
      <c r="E256" s="79">
        <v>8470430</v>
      </c>
      <c r="F256" s="32" t="s">
        <v>424</v>
      </c>
      <c r="G256" s="4">
        <v>1</v>
      </c>
      <c r="H256" s="95">
        <v>426610</v>
      </c>
      <c r="I256" s="106" t="str">
        <f>IFERROR(VLOOKUP(Table1[[#This Row],[Account Code]],'Accoount Code Combination'!$D:$H,2,FALSE),"")</f>
        <v>Computer software licenses</v>
      </c>
      <c r="J256" s="79">
        <v>8470430</v>
      </c>
      <c r="K256" s="4"/>
      <c r="L256" s="4" t="str">
        <f>IFERROR(VLOOKUP(Table1[[#This Row],[Future-1 Description]],'Other '!E244:$F253,2,FALSE),"")</f>
        <v/>
      </c>
      <c r="M256" s="32"/>
      <c r="N256" s="32"/>
      <c r="O256" s="32"/>
      <c r="P256" s="49">
        <v>7460.85</v>
      </c>
      <c r="Q256" s="49">
        <v>26375</v>
      </c>
      <c r="R256" s="32"/>
      <c r="S256" s="4"/>
      <c r="T256" s="32"/>
      <c r="U256" s="32"/>
      <c r="V256" s="32"/>
      <c r="W256" s="32"/>
      <c r="X256" s="33"/>
      <c r="Y256" s="33"/>
      <c r="Z256" s="31">
        <f>Table1[[#This Row],[Quantity of measruing units]]*Table1[[#This Row],[Rate (expected)]]</f>
        <v>0</v>
      </c>
      <c r="AA256" s="31"/>
      <c r="AB256" s="31"/>
      <c r="AC256" s="34">
        <f>Table1[[#This Row],[Quantity (expected)]]*Table1[[#This Row],[Rate (expected)2]]*0.9</f>
        <v>0</v>
      </c>
      <c r="AD256" s="34">
        <f>Table1[[#This Row],[Quantity (expected)]]*Table1[[#This Row],[Rate (expected)2]]*0.8</f>
        <v>0</v>
      </c>
      <c r="AE256" s="34">
        <f>Table1[[#This Row],[Quantity (expected)]]*Table1[[#This Row],[Rate (expected)2]]*0.7</f>
        <v>0</v>
      </c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1">
        <f>SUM(Table1[[#This Row],[Jan-23]:[Dec-23]])</f>
        <v>0</v>
      </c>
      <c r="AV256" s="105"/>
      <c r="AW256" s="32"/>
      <c r="AX256" s="35"/>
    </row>
    <row r="257" spans="1:50" x14ac:dyDescent="0.3">
      <c r="A257" s="30" t="str">
        <f>VLOOKUP(H257,'Accoount Code Combination'!$D:$L,8,FALSE)</f>
        <v>Communiction &amp; Marketing</v>
      </c>
      <c r="B257" s="31" t="str">
        <f>VLOOKUP(Table1[[#This Row],[Account Code]],'Accoount Code Combination'!$D:$L,9,FALSE)</f>
        <v>Gifts</v>
      </c>
      <c r="C257" s="4" t="str">
        <f>VLOOKUP(Table1[[#This Row],[Cost Center Code]],'Cost Center Group'!A:B,2,FALSE)</f>
        <v>College of Arts &amp; Science</v>
      </c>
      <c r="D257" s="4">
        <v>847</v>
      </c>
      <c r="E257" s="79">
        <v>8470430</v>
      </c>
      <c r="F257" s="32" t="s">
        <v>424</v>
      </c>
      <c r="G257" s="4">
        <v>1</v>
      </c>
      <c r="H257" s="95">
        <v>428640</v>
      </c>
      <c r="I257" s="106" t="str">
        <f>IFERROR(VLOOKUP(Table1[[#This Row],[Account Code]],'Accoount Code Combination'!$D:$H,2,FALSE),"")</f>
        <v>Events - Awards, prizes &amp; gifts</v>
      </c>
      <c r="J257" s="79">
        <v>8470430</v>
      </c>
      <c r="K257" s="4"/>
      <c r="L257" s="4" t="str">
        <f>IFERROR(VLOOKUP(Table1[[#This Row],[Future-1 Description]],'Other '!E245:$F254,2,FALSE),"")</f>
        <v/>
      </c>
      <c r="M257" s="32"/>
      <c r="N257" s="32"/>
      <c r="O257" s="32"/>
      <c r="P257" s="49">
        <v>0</v>
      </c>
      <c r="Q257" s="49">
        <v>0</v>
      </c>
      <c r="R257" s="32"/>
      <c r="S257" s="4"/>
      <c r="T257" s="32"/>
      <c r="U257" s="32"/>
      <c r="V257" s="32"/>
      <c r="W257" s="32"/>
      <c r="X257" s="33"/>
      <c r="Y257" s="33"/>
      <c r="Z257" s="31">
        <f>Table1[[#This Row],[Quantity of measruing units]]*Table1[[#This Row],[Rate (expected)]]</f>
        <v>0</v>
      </c>
      <c r="AA257" s="31"/>
      <c r="AB257" s="31"/>
      <c r="AC257" s="34">
        <f>Table1[[#This Row],[Quantity (expected)]]*Table1[[#This Row],[Rate (expected)2]]*0.9</f>
        <v>0</v>
      </c>
      <c r="AD257" s="34">
        <f>Table1[[#This Row],[Quantity (expected)]]*Table1[[#This Row],[Rate (expected)2]]*0.8</f>
        <v>0</v>
      </c>
      <c r="AE257" s="34">
        <f>Table1[[#This Row],[Quantity (expected)]]*Table1[[#This Row],[Rate (expected)2]]*0.7</f>
        <v>0</v>
      </c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1">
        <f>SUM(Table1[[#This Row],[Jan-23]:[Dec-23]])</f>
        <v>0</v>
      </c>
      <c r="AV257" s="105"/>
      <c r="AW257" s="32"/>
      <c r="AX257" s="35"/>
    </row>
    <row r="258" spans="1:50" x14ac:dyDescent="0.3">
      <c r="A258" s="30" t="str">
        <f>VLOOKUP(H258,'Accoount Code Combination'!$D:$L,8,FALSE)</f>
        <v>Academic</v>
      </c>
      <c r="B258" s="31" t="str">
        <f>VLOOKUP(Table1[[#This Row],[Account Code]],'Accoount Code Combination'!$D:$L,9,FALSE)</f>
        <v>No Applicable</v>
      </c>
      <c r="C258" s="4" t="str">
        <f>VLOOKUP(Table1[[#This Row],[Cost Center Code]],'Cost Center Group'!A:B,2,FALSE)</f>
        <v>College of Arts &amp; Science</v>
      </c>
      <c r="D258" s="4">
        <v>847</v>
      </c>
      <c r="E258" s="79">
        <v>8470430</v>
      </c>
      <c r="F258" s="32" t="s">
        <v>424</v>
      </c>
      <c r="G258" s="4">
        <v>1</v>
      </c>
      <c r="H258" s="95">
        <v>435508</v>
      </c>
      <c r="I258" s="106" t="str">
        <f>IFERROR(VLOOKUP(Table1[[#This Row],[Account Code]],'Accoount Code Combination'!$D:$H,2,FALSE),"")</f>
        <v>Laboratory - Scientific</v>
      </c>
      <c r="J258" s="79">
        <v>8470430</v>
      </c>
      <c r="K258" s="4"/>
      <c r="L258" s="4" t="str">
        <f>IFERROR(VLOOKUP(Table1[[#This Row],[Future-1 Description]],'Other '!E246:$F255,2,FALSE),"")</f>
        <v/>
      </c>
      <c r="M258" s="32"/>
      <c r="N258" s="32"/>
      <c r="O258" s="32"/>
      <c r="P258" s="49">
        <v>-1184</v>
      </c>
      <c r="Q258" s="49">
        <v>20000</v>
      </c>
      <c r="R258" s="32"/>
      <c r="S258" s="4"/>
      <c r="T258" s="32"/>
      <c r="U258" s="32"/>
      <c r="V258" s="32"/>
      <c r="W258" s="32"/>
      <c r="X258" s="33"/>
      <c r="Y258" s="33"/>
      <c r="Z258" s="31">
        <f>Table1[[#This Row],[Quantity of measruing units]]*Table1[[#This Row],[Rate (expected)]]</f>
        <v>0</v>
      </c>
      <c r="AA258" s="31"/>
      <c r="AB258" s="31"/>
      <c r="AC258" s="34">
        <f>Table1[[#This Row],[Quantity (expected)]]*Table1[[#This Row],[Rate (expected)2]]*0.9</f>
        <v>0</v>
      </c>
      <c r="AD258" s="34">
        <f>Table1[[#This Row],[Quantity (expected)]]*Table1[[#This Row],[Rate (expected)2]]*0.8</f>
        <v>0</v>
      </c>
      <c r="AE258" s="34">
        <f>Table1[[#This Row],[Quantity (expected)]]*Table1[[#This Row],[Rate (expected)2]]*0.7</f>
        <v>0</v>
      </c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1">
        <f>SUM(Table1[[#This Row],[Jan-23]:[Dec-23]])</f>
        <v>0</v>
      </c>
      <c r="AV258" s="105"/>
      <c r="AW258" s="32"/>
      <c r="AX258" s="35"/>
    </row>
    <row r="259" spans="1:50" x14ac:dyDescent="0.3">
      <c r="A259" s="30">
        <f>VLOOKUP(H259,'Accoount Code Combination'!$D:$L,8,FALSE)</f>
        <v>0</v>
      </c>
      <c r="B259" s="31" t="str">
        <f>VLOOKUP(Table1[[#This Row],[Account Code]],'Accoount Code Combination'!$D:$L,9,FALSE)</f>
        <v>No Applicable</v>
      </c>
      <c r="C259" s="4" t="str">
        <f>VLOOKUP(Table1[[#This Row],[Cost Center Code]],'Cost Center Group'!A:B,2,FALSE)</f>
        <v>College of Arts &amp; Science</v>
      </c>
      <c r="D259" s="4">
        <v>847</v>
      </c>
      <c r="E259" s="79">
        <v>8470430</v>
      </c>
      <c r="F259" s="32" t="s">
        <v>424</v>
      </c>
      <c r="G259" s="4">
        <v>1</v>
      </c>
      <c r="H259" s="95">
        <v>492316</v>
      </c>
      <c r="I259" s="106" t="str">
        <f>IFERROR(VLOOKUP(Table1[[#This Row],[Account Code]],'Accoount Code Combination'!$D:$H,2,FALSE),"")</f>
        <v>Laboratory equipment</v>
      </c>
      <c r="J259" s="79">
        <v>8470430</v>
      </c>
      <c r="K259" s="4"/>
      <c r="L259" s="4" t="str">
        <f>IFERROR(VLOOKUP(Table1[[#This Row],[Future-1 Description]],'Other '!E247:$F256,2,FALSE),"")</f>
        <v/>
      </c>
      <c r="M259" s="32"/>
      <c r="N259" s="32"/>
      <c r="O259" s="32"/>
      <c r="P259" s="49">
        <v>0</v>
      </c>
      <c r="Q259" s="49">
        <v>0</v>
      </c>
      <c r="R259" s="32"/>
      <c r="S259" s="4"/>
      <c r="T259" s="32"/>
      <c r="U259" s="32"/>
      <c r="V259" s="32"/>
      <c r="W259" s="32"/>
      <c r="X259" s="33"/>
      <c r="Y259" s="33"/>
      <c r="Z259" s="31">
        <f>Table1[[#This Row],[Quantity of measruing units]]*Table1[[#This Row],[Rate (expected)]]</f>
        <v>0</v>
      </c>
      <c r="AA259" s="31"/>
      <c r="AB259" s="31"/>
      <c r="AC259" s="34">
        <f>Table1[[#This Row],[Quantity (expected)]]*Table1[[#This Row],[Rate (expected)2]]*0.9</f>
        <v>0</v>
      </c>
      <c r="AD259" s="34">
        <f>Table1[[#This Row],[Quantity (expected)]]*Table1[[#This Row],[Rate (expected)2]]*0.8</f>
        <v>0</v>
      </c>
      <c r="AE259" s="34">
        <f>Table1[[#This Row],[Quantity (expected)]]*Table1[[#This Row],[Rate (expected)2]]*0.7</f>
        <v>0</v>
      </c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1">
        <f>SUM(Table1[[#This Row],[Jan-23]:[Dec-23]])</f>
        <v>0</v>
      </c>
      <c r="AV259" s="105"/>
      <c r="AW259" s="32"/>
      <c r="AX259" s="35"/>
    </row>
    <row r="260" spans="1:50" ht="26" x14ac:dyDescent="0.3">
      <c r="A260" s="30" t="str">
        <f>VLOOKUP(H260,'Accoount Code Combination'!$D:$L,8,FALSE)</f>
        <v>Communiction &amp; Marketing</v>
      </c>
      <c r="B260" s="31" t="str">
        <f>VLOOKUP(Table1[[#This Row],[Account Code]],'Accoount Code Combination'!$D:$L,9,FALSE)</f>
        <v>Events</v>
      </c>
      <c r="C260" s="4" t="str">
        <f>VLOOKUP(Table1[[#This Row],[Cost Center Code]],'Cost Center Group'!A:B,2,FALSE)</f>
        <v>College of Arts &amp; Science</v>
      </c>
      <c r="D260" s="4">
        <v>847</v>
      </c>
      <c r="E260" s="79">
        <v>8470435</v>
      </c>
      <c r="F260" s="32" t="s">
        <v>364</v>
      </c>
      <c r="G260" s="4">
        <v>1</v>
      </c>
      <c r="H260" s="95">
        <v>425510</v>
      </c>
      <c r="I260" s="106" t="str">
        <f>IFERROR(VLOOKUP(Table1[[#This Row],[Account Code]],'Accoount Code Combination'!$D:$H,2,FALSE),"")</f>
        <v>Conferences, seminars and exhibitions and other events: - Local Events</v>
      </c>
      <c r="J260" s="79">
        <v>8470435</v>
      </c>
      <c r="K260" s="4"/>
      <c r="L260" s="4" t="str">
        <f>IFERROR(VLOOKUP(Table1[[#This Row],[Future-1 Description]],'Other '!E248:$F257,2,FALSE),"")</f>
        <v/>
      </c>
      <c r="M260" s="32"/>
      <c r="N260" s="32"/>
      <c r="O260" s="32"/>
      <c r="P260" s="49">
        <v>0</v>
      </c>
      <c r="Q260" s="49">
        <v>0</v>
      </c>
      <c r="R260" s="32"/>
      <c r="S260" s="4"/>
      <c r="T260" s="32"/>
      <c r="U260" s="32"/>
      <c r="V260" s="32"/>
      <c r="W260" s="32"/>
      <c r="X260" s="33"/>
      <c r="Y260" s="33"/>
      <c r="Z260" s="31">
        <f>Table1[[#This Row],[Quantity of measruing units]]*Table1[[#This Row],[Rate (expected)]]</f>
        <v>0</v>
      </c>
      <c r="AA260" s="31"/>
      <c r="AB260" s="31"/>
      <c r="AC260" s="34">
        <f>Table1[[#This Row],[Quantity (expected)]]*Table1[[#This Row],[Rate (expected)2]]*0.9</f>
        <v>0</v>
      </c>
      <c r="AD260" s="34">
        <f>Table1[[#This Row],[Quantity (expected)]]*Table1[[#This Row],[Rate (expected)2]]*0.8</f>
        <v>0</v>
      </c>
      <c r="AE260" s="34">
        <f>Table1[[#This Row],[Quantity (expected)]]*Table1[[#This Row],[Rate (expected)2]]*0.7</f>
        <v>0</v>
      </c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1">
        <f>SUM(Table1[[#This Row],[Jan-23]:[Dec-23]])</f>
        <v>0</v>
      </c>
      <c r="AV260" s="105"/>
      <c r="AW260" s="32"/>
      <c r="AX260" s="35"/>
    </row>
    <row r="261" spans="1:50" ht="26" x14ac:dyDescent="0.3">
      <c r="A261" s="30" t="str">
        <f>VLOOKUP(H261,'Accoount Code Combination'!$D:$L,8,FALSE)</f>
        <v>Communiction &amp; Marketing</v>
      </c>
      <c r="B261" s="31" t="str">
        <f>VLOOKUP(Table1[[#This Row],[Account Code]],'Accoount Code Combination'!$D:$L,9,FALSE)</f>
        <v>No Applicable</v>
      </c>
      <c r="C261" s="4" t="str">
        <f>VLOOKUP(Table1[[#This Row],[Cost Center Code]],'Cost Center Group'!A:B,2,FALSE)</f>
        <v>College of Arts &amp; Science</v>
      </c>
      <c r="D261" s="4">
        <v>847</v>
      </c>
      <c r="E261" s="79">
        <v>8470435</v>
      </c>
      <c r="F261" s="32" t="s">
        <v>364</v>
      </c>
      <c r="G261" s="4">
        <v>1</v>
      </c>
      <c r="H261" s="95">
        <v>425550</v>
      </c>
      <c r="I261" s="106" t="str">
        <f>IFERROR(VLOOKUP(Table1[[#This Row],[Account Code]],'Accoount Code Combination'!$D:$H,2,FALSE),"")</f>
        <v>Conferences, seminars and exhibitions and other events: - Overseas event</v>
      </c>
      <c r="J261" s="79">
        <v>8470435</v>
      </c>
      <c r="K261" s="4"/>
      <c r="L261" s="4" t="str">
        <f>IFERROR(VLOOKUP(Table1[[#This Row],[Future-1 Description]],'Other '!E249:$F258,2,FALSE),"")</f>
        <v/>
      </c>
      <c r="M261" s="32"/>
      <c r="N261" s="32"/>
      <c r="O261" s="32"/>
      <c r="P261" s="49">
        <v>5500</v>
      </c>
      <c r="Q261" s="49">
        <v>0</v>
      </c>
      <c r="R261" s="32"/>
      <c r="S261" s="4"/>
      <c r="T261" s="32"/>
      <c r="U261" s="32"/>
      <c r="V261" s="32"/>
      <c r="W261" s="32"/>
      <c r="X261" s="33"/>
      <c r="Y261" s="33"/>
      <c r="Z261" s="31">
        <f>Table1[[#This Row],[Quantity of measruing units]]*Table1[[#This Row],[Rate (expected)]]</f>
        <v>0</v>
      </c>
      <c r="AA261" s="31"/>
      <c r="AB261" s="31"/>
      <c r="AC261" s="34">
        <f>Table1[[#This Row],[Quantity (expected)]]*Table1[[#This Row],[Rate (expected)2]]*0.9</f>
        <v>0</v>
      </c>
      <c r="AD261" s="34">
        <f>Table1[[#This Row],[Quantity (expected)]]*Table1[[#This Row],[Rate (expected)2]]*0.8</f>
        <v>0</v>
      </c>
      <c r="AE261" s="34">
        <f>Table1[[#This Row],[Quantity (expected)]]*Table1[[#This Row],[Rate (expected)2]]*0.7</f>
        <v>0</v>
      </c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1">
        <f>SUM(Table1[[#This Row],[Jan-23]:[Dec-23]])</f>
        <v>0</v>
      </c>
      <c r="AV261" s="105"/>
      <c r="AW261" s="32"/>
      <c r="AX261" s="35"/>
    </row>
    <row r="262" spans="1:50" x14ac:dyDescent="0.3">
      <c r="A262" s="30" t="str">
        <f>VLOOKUP(H262,'Accoount Code Combination'!$D:$L,8,FALSE)</f>
        <v>Academic</v>
      </c>
      <c r="B262" s="31" t="str">
        <f>VLOOKUP(Table1[[#This Row],[Account Code]],'Accoount Code Combination'!$D:$L,9,FALSE)</f>
        <v>No Applicable</v>
      </c>
      <c r="C262" s="4" t="str">
        <f>VLOOKUP(Table1[[#This Row],[Cost Center Code]],'Cost Center Group'!A:B,2,FALSE)</f>
        <v>College of Arts &amp; Science</v>
      </c>
      <c r="D262" s="4">
        <v>847</v>
      </c>
      <c r="E262" s="79">
        <v>8470435</v>
      </c>
      <c r="F262" s="32" t="s">
        <v>364</v>
      </c>
      <c r="G262" s="4">
        <v>1</v>
      </c>
      <c r="H262" s="95">
        <v>425761</v>
      </c>
      <c r="I262" s="106" t="str">
        <f>IFERROR(VLOOKUP(Table1[[#This Row],[Account Code]],'Accoount Code Combination'!$D:$H,2,FALSE),"")</f>
        <v>Student Field trips</v>
      </c>
      <c r="J262" s="79">
        <v>8470435</v>
      </c>
      <c r="K262" s="4"/>
      <c r="L262" s="4" t="str">
        <f>IFERROR(VLOOKUP(Table1[[#This Row],[Future-1 Description]],'Other '!E250:$F259,2,FALSE),"")</f>
        <v/>
      </c>
      <c r="M262" s="32"/>
      <c r="N262" s="32"/>
      <c r="O262" s="32"/>
      <c r="P262" s="49">
        <v>0</v>
      </c>
      <c r="Q262" s="49">
        <v>0</v>
      </c>
      <c r="R262" s="32"/>
      <c r="S262" s="4"/>
      <c r="T262" s="32"/>
      <c r="U262" s="32"/>
      <c r="V262" s="32"/>
      <c r="W262" s="32"/>
      <c r="X262" s="33"/>
      <c r="Y262" s="33"/>
      <c r="Z262" s="31">
        <f>Table1[[#This Row],[Quantity of measruing units]]*Table1[[#This Row],[Rate (expected)]]</f>
        <v>0</v>
      </c>
      <c r="AA262" s="31"/>
      <c r="AB262" s="31"/>
      <c r="AC262" s="34">
        <f>Table1[[#This Row],[Quantity (expected)]]*Table1[[#This Row],[Rate (expected)2]]*0.9</f>
        <v>0</v>
      </c>
      <c r="AD262" s="34">
        <f>Table1[[#This Row],[Quantity (expected)]]*Table1[[#This Row],[Rate (expected)2]]*0.8</f>
        <v>0</v>
      </c>
      <c r="AE262" s="34">
        <f>Table1[[#This Row],[Quantity (expected)]]*Table1[[#This Row],[Rate (expected)2]]*0.7</f>
        <v>0</v>
      </c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1">
        <f>SUM(Table1[[#This Row],[Jan-23]:[Dec-23]])</f>
        <v>0</v>
      </c>
      <c r="AV262" s="105"/>
      <c r="AW262" s="32"/>
      <c r="AX262" s="35"/>
    </row>
    <row r="263" spans="1:50" x14ac:dyDescent="0.3">
      <c r="A263" s="30" t="str">
        <f>VLOOKUP(H263,'Accoount Code Combination'!$D:$L,8,FALSE)</f>
        <v>Academic</v>
      </c>
      <c r="B263" s="31" t="str">
        <f>VLOOKUP(Table1[[#This Row],[Account Code]],'Accoount Code Combination'!$D:$L,9,FALSE)</f>
        <v>No Applicable</v>
      </c>
      <c r="C263" s="4" t="str">
        <f>VLOOKUP(Table1[[#This Row],[Cost Center Code]],'Cost Center Group'!A:B,2,FALSE)</f>
        <v>College of Arts &amp; Science</v>
      </c>
      <c r="D263" s="4">
        <v>847</v>
      </c>
      <c r="E263" s="79">
        <v>8470435</v>
      </c>
      <c r="F263" s="32" t="s">
        <v>364</v>
      </c>
      <c r="G263" s="4">
        <v>1</v>
      </c>
      <c r="H263" s="95">
        <v>425770</v>
      </c>
      <c r="I263" s="106" t="str">
        <f>IFERROR(VLOOKUP(Table1[[#This Row],[Account Code]],'Accoount Code Combination'!$D:$H,2,FALSE),"")</f>
        <v>Academic Missions - Combined expenses</v>
      </c>
      <c r="J263" s="79">
        <v>8470435</v>
      </c>
      <c r="K263" s="4"/>
      <c r="L263" s="4" t="str">
        <f>IFERROR(VLOOKUP(Table1[[#This Row],[Future-1 Description]],'Other '!E251:$F260,2,FALSE),"")</f>
        <v/>
      </c>
      <c r="M263" s="32"/>
      <c r="N263" s="32"/>
      <c r="O263" s="32"/>
      <c r="P263" s="49">
        <v>73918.67</v>
      </c>
      <c r="Q263" s="49">
        <v>188207</v>
      </c>
      <c r="R263" s="32"/>
      <c r="S263" s="4"/>
      <c r="T263" s="32"/>
      <c r="U263" s="32"/>
      <c r="V263" s="32"/>
      <c r="W263" s="32"/>
      <c r="X263" s="33"/>
      <c r="Y263" s="33"/>
      <c r="Z263" s="31">
        <f>Table1[[#This Row],[Quantity of measruing units]]*Table1[[#This Row],[Rate (expected)]]</f>
        <v>0</v>
      </c>
      <c r="AA263" s="31"/>
      <c r="AB263" s="31"/>
      <c r="AC263" s="34">
        <f>Table1[[#This Row],[Quantity (expected)]]*Table1[[#This Row],[Rate (expected)2]]*0.9</f>
        <v>0</v>
      </c>
      <c r="AD263" s="34">
        <f>Table1[[#This Row],[Quantity (expected)]]*Table1[[#This Row],[Rate (expected)2]]*0.8</f>
        <v>0</v>
      </c>
      <c r="AE263" s="34">
        <f>Table1[[#This Row],[Quantity (expected)]]*Table1[[#This Row],[Rate (expected)2]]*0.7</f>
        <v>0</v>
      </c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1">
        <f>SUM(Table1[[#This Row],[Jan-23]:[Dec-23]])</f>
        <v>0</v>
      </c>
      <c r="AV263" s="105"/>
      <c r="AW263" s="32"/>
      <c r="AX263" s="35"/>
    </row>
    <row r="264" spans="1:50" x14ac:dyDescent="0.3">
      <c r="A264" s="30" t="str">
        <f>VLOOKUP(H264,'Accoount Code Combination'!$D:$L,8,FALSE)</f>
        <v>Other support</v>
      </c>
      <c r="B264" s="31" t="str">
        <f>VLOOKUP(Table1[[#This Row],[Account Code]],'Accoount Code Combination'!$D:$L,9,FALSE)</f>
        <v>No Applicable</v>
      </c>
      <c r="C264" s="4" t="str">
        <f>VLOOKUP(Table1[[#This Row],[Cost Center Code]],'Cost Center Group'!A:B,2,FALSE)</f>
        <v>College of Arts &amp; Science</v>
      </c>
      <c r="D264" s="4">
        <v>847</v>
      </c>
      <c r="E264" s="79">
        <v>8470435</v>
      </c>
      <c r="F264" s="32" t="s">
        <v>364</v>
      </c>
      <c r="G264" s="4">
        <v>1</v>
      </c>
      <c r="H264" s="95">
        <v>425900</v>
      </c>
      <c r="I264" s="106" t="str">
        <f>IFERROR(VLOOKUP(Table1[[#This Row],[Account Code]],'Accoount Code Combination'!$D:$H,2,FALSE),"")</f>
        <v>Entertainment and hospitality</v>
      </c>
      <c r="J264" s="79">
        <v>8470435</v>
      </c>
      <c r="K264" s="4"/>
      <c r="L264" s="4" t="str">
        <f>IFERROR(VLOOKUP(Table1[[#This Row],[Future-1 Description]],'Other '!E252:$F261,2,FALSE),"")</f>
        <v/>
      </c>
      <c r="M264" s="32"/>
      <c r="N264" s="32"/>
      <c r="O264" s="32"/>
      <c r="P264" s="49">
        <v>0</v>
      </c>
      <c r="Q264" s="49">
        <v>0</v>
      </c>
      <c r="R264" s="32"/>
      <c r="S264" s="4"/>
      <c r="T264" s="32"/>
      <c r="U264" s="32"/>
      <c r="V264" s="32"/>
      <c r="W264" s="32"/>
      <c r="X264" s="33"/>
      <c r="Y264" s="33"/>
      <c r="Z264" s="31">
        <f>Table1[[#This Row],[Quantity of measruing units]]*Table1[[#This Row],[Rate (expected)]]</f>
        <v>0</v>
      </c>
      <c r="AA264" s="31"/>
      <c r="AB264" s="31"/>
      <c r="AC264" s="34">
        <f>Table1[[#This Row],[Quantity (expected)]]*Table1[[#This Row],[Rate (expected)2]]*0.9</f>
        <v>0</v>
      </c>
      <c r="AD264" s="34">
        <f>Table1[[#This Row],[Quantity (expected)]]*Table1[[#This Row],[Rate (expected)2]]*0.8</f>
        <v>0</v>
      </c>
      <c r="AE264" s="34">
        <f>Table1[[#This Row],[Quantity (expected)]]*Table1[[#This Row],[Rate (expected)2]]*0.7</f>
        <v>0</v>
      </c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1">
        <f>SUM(Table1[[#This Row],[Jan-23]:[Dec-23]])</f>
        <v>0</v>
      </c>
      <c r="AV264" s="105"/>
      <c r="AW264" s="32"/>
      <c r="AX264" s="35"/>
    </row>
    <row r="265" spans="1:50" x14ac:dyDescent="0.3">
      <c r="A265" s="30" t="str">
        <f>VLOOKUP(H265,'Accoount Code Combination'!$D:$L,8,FALSE)</f>
        <v>IT</v>
      </c>
      <c r="B265" s="31" t="str">
        <f>VLOOKUP(Table1[[#This Row],[Account Code]],'Accoount Code Combination'!$D:$L,9,FALSE)</f>
        <v>Software Operating</v>
      </c>
      <c r="C265" s="4" t="str">
        <f>VLOOKUP(Table1[[#This Row],[Cost Center Code]],'Cost Center Group'!A:B,2,FALSE)</f>
        <v>College of Arts &amp; Science</v>
      </c>
      <c r="D265" s="4">
        <v>847</v>
      </c>
      <c r="E265" s="79">
        <v>8470435</v>
      </c>
      <c r="F265" s="32" t="s">
        <v>364</v>
      </c>
      <c r="G265" s="4">
        <v>1</v>
      </c>
      <c r="H265" s="95">
        <v>426610</v>
      </c>
      <c r="I265" s="106" t="str">
        <f>IFERROR(VLOOKUP(Table1[[#This Row],[Account Code]],'Accoount Code Combination'!$D:$H,2,FALSE),"")</f>
        <v>Computer software licenses</v>
      </c>
      <c r="J265" s="79">
        <v>8470435</v>
      </c>
      <c r="K265" s="4"/>
      <c r="L265" s="4" t="str">
        <f>IFERROR(VLOOKUP(Table1[[#This Row],[Future-1 Description]],'Other '!E253:$F262,2,FALSE),"")</f>
        <v/>
      </c>
      <c r="M265" s="32"/>
      <c r="N265" s="32"/>
      <c r="O265" s="32"/>
      <c r="P265" s="49">
        <v>0</v>
      </c>
      <c r="Q265" s="49">
        <v>30000</v>
      </c>
      <c r="R265" s="32"/>
      <c r="S265" s="4"/>
      <c r="T265" s="32"/>
      <c r="U265" s="32"/>
      <c r="V265" s="32"/>
      <c r="W265" s="32"/>
      <c r="X265" s="33"/>
      <c r="Y265" s="33"/>
      <c r="Z265" s="31">
        <f>Table1[[#This Row],[Quantity of measruing units]]*Table1[[#This Row],[Rate (expected)]]</f>
        <v>0</v>
      </c>
      <c r="AA265" s="31"/>
      <c r="AB265" s="31"/>
      <c r="AC265" s="34">
        <f>Table1[[#This Row],[Quantity (expected)]]*Table1[[#This Row],[Rate (expected)2]]*0.9</f>
        <v>0</v>
      </c>
      <c r="AD265" s="34">
        <f>Table1[[#This Row],[Quantity (expected)]]*Table1[[#This Row],[Rate (expected)2]]*0.8</f>
        <v>0</v>
      </c>
      <c r="AE265" s="34">
        <f>Table1[[#This Row],[Quantity (expected)]]*Table1[[#This Row],[Rate (expected)2]]*0.7</f>
        <v>0</v>
      </c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1">
        <f>SUM(Table1[[#This Row],[Jan-23]:[Dec-23]])</f>
        <v>0</v>
      </c>
      <c r="AV265" s="105"/>
      <c r="AW265" s="32"/>
      <c r="AX265" s="35"/>
    </row>
    <row r="266" spans="1:50" ht="26" x14ac:dyDescent="0.3">
      <c r="A266" s="30" t="str">
        <f>VLOOKUP(H266,'Accoount Code Combination'!$D:$L,8,FALSE)</f>
        <v>Academic</v>
      </c>
      <c r="B266" s="31" t="str">
        <f>VLOOKUP(Table1[[#This Row],[Account Code]],'Accoount Code Combination'!$D:$L,9,FALSE)</f>
        <v>No Applicable</v>
      </c>
      <c r="C266" s="4" t="str">
        <f>VLOOKUP(Table1[[#This Row],[Cost Center Code]],'Cost Center Group'!A:B,2,FALSE)</f>
        <v>College of Arts &amp; Science</v>
      </c>
      <c r="D266" s="4">
        <v>847</v>
      </c>
      <c r="E266" s="79">
        <v>8470435</v>
      </c>
      <c r="F266" s="32" t="s">
        <v>364</v>
      </c>
      <c r="G266" s="4">
        <v>1</v>
      </c>
      <c r="H266" s="95">
        <v>427710</v>
      </c>
      <c r="I266" s="106" t="str">
        <f>IFERROR(VLOOKUP(Table1[[#This Row],[Account Code]],'Accoount Code Combination'!$D:$H,2,FALSE),"")</f>
        <v>Subscriptions and membership fees: Trade organisations</v>
      </c>
      <c r="J266" s="79">
        <v>8470435</v>
      </c>
      <c r="K266" s="4"/>
      <c r="L266" s="4" t="str">
        <f>IFERROR(VLOOKUP(Table1[[#This Row],[Future-1 Description]],'Other '!E254:$F263,2,FALSE),"")</f>
        <v/>
      </c>
      <c r="M266" s="32"/>
      <c r="N266" s="32"/>
      <c r="O266" s="32"/>
      <c r="P266" s="49">
        <v>0</v>
      </c>
      <c r="Q266" s="49">
        <v>1</v>
      </c>
      <c r="R266" s="32"/>
      <c r="S266" s="4"/>
      <c r="T266" s="32"/>
      <c r="U266" s="32"/>
      <c r="V266" s="32"/>
      <c r="W266" s="32"/>
      <c r="X266" s="33"/>
      <c r="Y266" s="33"/>
      <c r="Z266" s="31">
        <f>Table1[[#This Row],[Quantity of measruing units]]*Table1[[#This Row],[Rate (expected)]]</f>
        <v>0</v>
      </c>
      <c r="AA266" s="31"/>
      <c r="AB266" s="31"/>
      <c r="AC266" s="34">
        <f>Table1[[#This Row],[Quantity (expected)]]*Table1[[#This Row],[Rate (expected)2]]*0.9</f>
        <v>0</v>
      </c>
      <c r="AD266" s="34">
        <f>Table1[[#This Row],[Quantity (expected)]]*Table1[[#This Row],[Rate (expected)2]]*0.8</f>
        <v>0</v>
      </c>
      <c r="AE266" s="34">
        <f>Table1[[#This Row],[Quantity (expected)]]*Table1[[#This Row],[Rate (expected)2]]*0.7</f>
        <v>0</v>
      </c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1">
        <f>SUM(Table1[[#This Row],[Jan-23]:[Dec-23]])</f>
        <v>0</v>
      </c>
      <c r="AV266" s="105"/>
      <c r="AW266" s="32"/>
      <c r="AX266" s="35"/>
    </row>
    <row r="267" spans="1:50" x14ac:dyDescent="0.3">
      <c r="A267" s="30" t="str">
        <f>VLOOKUP(H267,'Accoount Code Combination'!$D:$L,8,FALSE)</f>
        <v xml:space="preserve">Academic </v>
      </c>
      <c r="B267" s="31" t="str">
        <f>VLOOKUP(Table1[[#This Row],[Account Code]],'Accoount Code Combination'!$D:$L,9,FALSE)</f>
        <v>No Applicable</v>
      </c>
      <c r="C267" s="4" t="str">
        <f>VLOOKUP(Table1[[#This Row],[Cost Center Code]],'Cost Center Group'!A:B,2,FALSE)</f>
        <v>College of Arts &amp; Science</v>
      </c>
      <c r="D267" s="4">
        <v>847</v>
      </c>
      <c r="E267" s="79">
        <v>8470435</v>
      </c>
      <c r="F267" s="32" t="s">
        <v>364</v>
      </c>
      <c r="G267" s="4">
        <v>1</v>
      </c>
      <c r="H267" s="95">
        <v>428090</v>
      </c>
      <c r="I267" s="106" t="str">
        <f>IFERROR(VLOOKUP(Table1[[#This Row],[Account Code]],'Accoount Code Combination'!$D:$H,2,FALSE),"")</f>
        <v>Business Travel - Combined expenses</v>
      </c>
      <c r="J267" s="79">
        <v>8470435</v>
      </c>
      <c r="K267" s="4"/>
      <c r="L267" s="4" t="str">
        <f>IFERROR(VLOOKUP(Table1[[#This Row],[Future-1 Description]],'Other '!E255:$F264,2,FALSE),"")</f>
        <v/>
      </c>
      <c r="M267" s="32"/>
      <c r="N267" s="32"/>
      <c r="O267" s="32"/>
      <c r="P267" s="49">
        <v>0</v>
      </c>
      <c r="Q267" s="49">
        <v>0</v>
      </c>
      <c r="R267" s="32"/>
      <c r="S267" s="4"/>
      <c r="T267" s="32"/>
      <c r="U267" s="32"/>
      <c r="V267" s="32"/>
      <c r="W267" s="32"/>
      <c r="X267" s="33"/>
      <c r="Y267" s="33"/>
      <c r="Z267" s="31">
        <f>Table1[[#This Row],[Quantity of measruing units]]*Table1[[#This Row],[Rate (expected)]]</f>
        <v>0</v>
      </c>
      <c r="AA267" s="31"/>
      <c r="AB267" s="31"/>
      <c r="AC267" s="34">
        <f>Table1[[#This Row],[Quantity (expected)]]*Table1[[#This Row],[Rate (expected)2]]*0.9</f>
        <v>0</v>
      </c>
      <c r="AD267" s="34">
        <f>Table1[[#This Row],[Quantity (expected)]]*Table1[[#This Row],[Rate (expected)2]]*0.8</f>
        <v>0</v>
      </c>
      <c r="AE267" s="34">
        <f>Table1[[#This Row],[Quantity (expected)]]*Table1[[#This Row],[Rate (expected)2]]*0.7</f>
        <v>0</v>
      </c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1">
        <f>SUM(Table1[[#This Row],[Jan-23]:[Dec-23]])</f>
        <v>0</v>
      </c>
      <c r="AV267" s="105"/>
      <c r="AW267" s="32"/>
      <c r="AX267" s="35"/>
    </row>
    <row r="268" spans="1:50" x14ac:dyDescent="0.3">
      <c r="A268" s="30" t="str">
        <f>VLOOKUP(H268,'Accoount Code Combination'!$D:$L,8,FALSE)</f>
        <v>Academic</v>
      </c>
      <c r="B268" s="31" t="str">
        <f>VLOOKUP(Table1[[#This Row],[Account Code]],'Accoount Code Combination'!$D:$L,9,FALSE)</f>
        <v>No Applicable</v>
      </c>
      <c r="C268" s="4" t="str">
        <f>VLOOKUP(Table1[[#This Row],[Cost Center Code]],'Cost Center Group'!A:B,2,FALSE)</f>
        <v>College of Arts &amp; Science</v>
      </c>
      <c r="D268" s="4">
        <v>847</v>
      </c>
      <c r="E268" s="79">
        <v>8470435</v>
      </c>
      <c r="F268" s="32" t="s">
        <v>364</v>
      </c>
      <c r="G268" s="4">
        <v>1</v>
      </c>
      <c r="H268" s="95">
        <v>435340</v>
      </c>
      <c r="I268" s="106" t="str">
        <f>IFERROR(VLOOKUP(Table1[[#This Row],[Account Code]],'Accoount Code Combination'!$D:$H,2,FALSE),"")</f>
        <v>Text books and library books</v>
      </c>
      <c r="J268" s="79">
        <v>8470435</v>
      </c>
      <c r="K268" s="4"/>
      <c r="L268" s="4" t="str">
        <f>IFERROR(VLOOKUP(Table1[[#This Row],[Future-1 Description]],'Other '!E256:$F265,2,FALSE),"")</f>
        <v/>
      </c>
      <c r="M268" s="32"/>
      <c r="N268" s="32"/>
      <c r="O268" s="32"/>
      <c r="P268" s="49">
        <v>0</v>
      </c>
      <c r="Q268" s="49">
        <v>35000</v>
      </c>
      <c r="R268" s="32"/>
      <c r="S268" s="4"/>
      <c r="T268" s="32"/>
      <c r="U268" s="32"/>
      <c r="V268" s="32"/>
      <c r="W268" s="32"/>
      <c r="X268" s="33"/>
      <c r="Y268" s="33"/>
      <c r="Z268" s="31">
        <f>Table1[[#This Row],[Quantity of measruing units]]*Table1[[#This Row],[Rate (expected)]]</f>
        <v>0</v>
      </c>
      <c r="AA268" s="31"/>
      <c r="AB268" s="31"/>
      <c r="AC268" s="34">
        <f>Table1[[#This Row],[Quantity (expected)]]*Table1[[#This Row],[Rate (expected)2]]*0.9</f>
        <v>0</v>
      </c>
      <c r="AD268" s="34">
        <f>Table1[[#This Row],[Quantity (expected)]]*Table1[[#This Row],[Rate (expected)2]]*0.8</f>
        <v>0</v>
      </c>
      <c r="AE268" s="34">
        <f>Table1[[#This Row],[Quantity (expected)]]*Table1[[#This Row],[Rate (expected)2]]*0.7</f>
        <v>0</v>
      </c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1">
        <f>SUM(Table1[[#This Row],[Jan-23]:[Dec-23]])</f>
        <v>0</v>
      </c>
      <c r="AV268" s="105"/>
      <c r="AW268" s="32"/>
      <c r="AX268" s="35"/>
    </row>
    <row r="269" spans="1:50" ht="26" x14ac:dyDescent="0.3">
      <c r="A269" s="30" t="str">
        <f>VLOOKUP(H269,'Accoount Code Combination'!$D:$L,8,FALSE)</f>
        <v>Academic</v>
      </c>
      <c r="B269" s="31" t="str">
        <f>VLOOKUP(Table1[[#This Row],[Account Code]],'Accoount Code Combination'!$D:$L,9,FALSE)</f>
        <v>No Applicable</v>
      </c>
      <c r="C269" s="4" t="str">
        <f>VLOOKUP(Table1[[#This Row],[Cost Center Code]],'Cost Center Group'!A:B,2,FALSE)</f>
        <v>College of Arts &amp; Science</v>
      </c>
      <c r="D269" s="4">
        <v>847</v>
      </c>
      <c r="E269" s="79">
        <v>8470435</v>
      </c>
      <c r="F269" s="32" t="s">
        <v>364</v>
      </c>
      <c r="G269" s="4">
        <v>1</v>
      </c>
      <c r="H269" s="95">
        <v>436600</v>
      </c>
      <c r="I269" s="106" t="str">
        <f>IFERROR(VLOOKUP(Table1[[#This Row],[Account Code]],'Accoount Code Combination'!$D:$H,2,FALSE),"")</f>
        <v>Training/Teaching equipment and other educational aid</v>
      </c>
      <c r="J269" s="79">
        <v>8470435</v>
      </c>
      <c r="K269" s="4"/>
      <c r="L269" s="4" t="str">
        <f>IFERROR(VLOOKUP(Table1[[#This Row],[Future-1 Description]],'Other '!E257:$F266,2,FALSE),"")</f>
        <v/>
      </c>
      <c r="M269" s="32"/>
      <c r="N269" s="32"/>
      <c r="O269" s="32"/>
      <c r="P269" s="49">
        <v>0</v>
      </c>
      <c r="Q269" s="49">
        <v>1</v>
      </c>
      <c r="R269" s="32"/>
      <c r="S269" s="4"/>
      <c r="T269" s="32"/>
      <c r="U269" s="32"/>
      <c r="V269" s="32"/>
      <c r="W269" s="32"/>
      <c r="X269" s="33"/>
      <c r="Y269" s="33"/>
      <c r="Z269" s="31">
        <f>Table1[[#This Row],[Quantity of measruing units]]*Table1[[#This Row],[Rate (expected)]]</f>
        <v>0</v>
      </c>
      <c r="AA269" s="31"/>
      <c r="AB269" s="31"/>
      <c r="AC269" s="34">
        <f>Table1[[#This Row],[Quantity (expected)]]*Table1[[#This Row],[Rate (expected)2]]*0.9</f>
        <v>0</v>
      </c>
      <c r="AD269" s="34">
        <f>Table1[[#This Row],[Quantity (expected)]]*Table1[[#This Row],[Rate (expected)2]]*0.8</f>
        <v>0</v>
      </c>
      <c r="AE269" s="34">
        <f>Table1[[#This Row],[Quantity (expected)]]*Table1[[#This Row],[Rate (expected)2]]*0.7</f>
        <v>0</v>
      </c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1">
        <f>SUM(Table1[[#This Row],[Jan-23]:[Dec-23]])</f>
        <v>0</v>
      </c>
      <c r="AV269" s="105"/>
      <c r="AW269" s="32"/>
      <c r="AX269" s="35"/>
    </row>
    <row r="270" spans="1:50" x14ac:dyDescent="0.3">
      <c r="A270" s="30">
        <f>VLOOKUP(H270,'Accoount Code Combination'!$D:$L,8,FALSE)</f>
        <v>0</v>
      </c>
      <c r="B270" s="31" t="str">
        <f>VLOOKUP(Table1[[#This Row],[Account Code]],'Accoount Code Combination'!$D:$L,9,FALSE)</f>
        <v>No Applicable</v>
      </c>
      <c r="C270" s="4" t="str">
        <f>VLOOKUP(Table1[[#This Row],[Cost Center Code]],'Cost Center Group'!A:B,2,FALSE)</f>
        <v>College of Arts &amp; Science</v>
      </c>
      <c r="D270" s="4">
        <v>847</v>
      </c>
      <c r="E270" s="79">
        <v>8470435</v>
      </c>
      <c r="F270" s="32" t="s">
        <v>364</v>
      </c>
      <c r="G270" s="4">
        <v>1</v>
      </c>
      <c r="H270" s="95">
        <v>492316</v>
      </c>
      <c r="I270" s="106" t="str">
        <f>IFERROR(VLOOKUP(Table1[[#This Row],[Account Code]],'Accoount Code Combination'!$D:$H,2,FALSE),"")</f>
        <v>Laboratory equipment</v>
      </c>
      <c r="J270" s="79">
        <v>8470435</v>
      </c>
      <c r="K270" s="4"/>
      <c r="L270" s="4" t="str">
        <f>IFERROR(VLOOKUP(Table1[[#This Row],[Future-1 Description]],'Other '!E258:$F267,2,FALSE),"")</f>
        <v/>
      </c>
      <c r="M270" s="32"/>
      <c r="N270" s="32"/>
      <c r="O270" s="32"/>
      <c r="P270" s="49">
        <v>0</v>
      </c>
      <c r="Q270" s="49">
        <v>0</v>
      </c>
      <c r="R270" s="32"/>
      <c r="S270" s="4"/>
      <c r="T270" s="32"/>
      <c r="U270" s="32"/>
      <c r="V270" s="32"/>
      <c r="W270" s="32"/>
      <c r="X270" s="33"/>
      <c r="Y270" s="33"/>
      <c r="Z270" s="31">
        <f>Table1[[#This Row],[Quantity of measruing units]]*Table1[[#This Row],[Rate (expected)]]</f>
        <v>0</v>
      </c>
      <c r="AA270" s="31"/>
      <c r="AB270" s="31"/>
      <c r="AC270" s="34">
        <f>Table1[[#This Row],[Quantity (expected)]]*Table1[[#This Row],[Rate (expected)2]]*0.9</f>
        <v>0</v>
      </c>
      <c r="AD270" s="34">
        <f>Table1[[#This Row],[Quantity (expected)]]*Table1[[#This Row],[Rate (expected)2]]*0.8</f>
        <v>0</v>
      </c>
      <c r="AE270" s="34">
        <f>Table1[[#This Row],[Quantity (expected)]]*Table1[[#This Row],[Rate (expected)2]]*0.7</f>
        <v>0</v>
      </c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1">
        <f>SUM(Table1[[#This Row],[Jan-23]:[Dec-23]])</f>
        <v>0</v>
      </c>
      <c r="AV270" s="105"/>
      <c r="AW270" s="32"/>
      <c r="AX270" s="35"/>
    </row>
    <row r="271" spans="1:50" ht="26" x14ac:dyDescent="0.3">
      <c r="A271" s="30" t="str">
        <f>VLOOKUP(H271,'Accoount Code Combination'!$D:$L,8,FALSE)</f>
        <v>Academic</v>
      </c>
      <c r="B271" s="31" t="str">
        <f>VLOOKUP(Table1[[#This Row],[Account Code]],'Accoount Code Combination'!$D:$L,9,FALSE)</f>
        <v>No Applicable</v>
      </c>
      <c r="C271" s="4" t="str">
        <f>VLOOKUP(Table1[[#This Row],[Cost Center Code]],'Cost Center Group'!A:B,2,FALSE)</f>
        <v>College of Arts &amp; Science</v>
      </c>
      <c r="D271" s="4">
        <v>847</v>
      </c>
      <c r="E271" s="79">
        <v>8470440</v>
      </c>
      <c r="F271" s="32" t="s">
        <v>426</v>
      </c>
      <c r="G271" s="4">
        <v>1</v>
      </c>
      <c r="H271" s="95">
        <v>420570</v>
      </c>
      <c r="I271" s="106" t="str">
        <f>IFERROR(VLOOKUP(Table1[[#This Row],[Account Code]],'Accoount Code Combination'!$D:$H,2,FALSE),"")</f>
        <v>Academic Collaborative Partnership Services</v>
      </c>
      <c r="J271" s="79">
        <v>8470440</v>
      </c>
      <c r="K271" s="4"/>
      <c r="L271" s="4" t="str">
        <f>IFERROR(VLOOKUP(Table1[[#This Row],[Future-1 Description]],'Other '!E259:$F268,2,FALSE),"")</f>
        <v/>
      </c>
      <c r="M271" s="32"/>
      <c r="N271" s="32"/>
      <c r="O271" s="32"/>
      <c r="P271" s="49">
        <v>0</v>
      </c>
      <c r="Q271" s="49">
        <v>0</v>
      </c>
      <c r="R271" s="32"/>
      <c r="S271" s="4"/>
      <c r="T271" s="32"/>
      <c r="U271" s="32"/>
      <c r="V271" s="32"/>
      <c r="W271" s="32"/>
      <c r="X271" s="33"/>
      <c r="Y271" s="33"/>
      <c r="Z271" s="31">
        <f>Table1[[#This Row],[Quantity of measruing units]]*Table1[[#This Row],[Rate (expected)]]</f>
        <v>0</v>
      </c>
      <c r="AA271" s="31"/>
      <c r="AB271" s="31"/>
      <c r="AC271" s="34">
        <f>Table1[[#This Row],[Quantity (expected)]]*Table1[[#This Row],[Rate (expected)2]]*0.9</f>
        <v>0</v>
      </c>
      <c r="AD271" s="34">
        <f>Table1[[#This Row],[Quantity (expected)]]*Table1[[#This Row],[Rate (expected)2]]*0.8</f>
        <v>0</v>
      </c>
      <c r="AE271" s="34">
        <f>Table1[[#This Row],[Quantity (expected)]]*Table1[[#This Row],[Rate (expected)2]]*0.7</f>
        <v>0</v>
      </c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1">
        <f>SUM(Table1[[#This Row],[Jan-23]:[Dec-23]])</f>
        <v>0</v>
      </c>
      <c r="AV271" s="105"/>
      <c r="AW271" s="32"/>
      <c r="AX271" s="35"/>
    </row>
    <row r="272" spans="1:50" x14ac:dyDescent="0.3">
      <c r="A272" s="30" t="str">
        <f>VLOOKUP(H272,'Accoount Code Combination'!$D:$L,8,FALSE)</f>
        <v>Academic</v>
      </c>
      <c r="B272" s="31" t="str">
        <f>VLOOKUP(Table1[[#This Row],[Account Code]],'Accoount Code Combination'!$D:$L,9,FALSE)</f>
        <v>No Applicable</v>
      </c>
      <c r="C272" s="4" t="str">
        <f>VLOOKUP(Table1[[#This Row],[Cost Center Code]],'Cost Center Group'!A:B,2,FALSE)</f>
        <v>College of Arts &amp; Science</v>
      </c>
      <c r="D272" s="4">
        <v>847</v>
      </c>
      <c r="E272" s="79">
        <v>8470440</v>
      </c>
      <c r="F272" s="32" t="s">
        <v>426</v>
      </c>
      <c r="G272" s="4">
        <v>1</v>
      </c>
      <c r="H272" s="95">
        <v>425761</v>
      </c>
      <c r="I272" s="106" t="str">
        <f>IFERROR(VLOOKUP(Table1[[#This Row],[Account Code]],'Accoount Code Combination'!$D:$H,2,FALSE),"")</f>
        <v>Student Field trips</v>
      </c>
      <c r="J272" s="79">
        <v>8470440</v>
      </c>
      <c r="K272" s="4"/>
      <c r="L272" s="4" t="str">
        <f>IFERROR(VLOOKUP(Table1[[#This Row],[Future-1 Description]],'Other '!E260:$F269,2,FALSE),"")</f>
        <v/>
      </c>
      <c r="M272" s="32"/>
      <c r="N272" s="32"/>
      <c r="O272" s="32"/>
      <c r="P272" s="49">
        <v>4400</v>
      </c>
      <c r="Q272" s="49">
        <v>4400</v>
      </c>
      <c r="R272" s="32"/>
      <c r="S272" s="4"/>
      <c r="T272" s="32"/>
      <c r="U272" s="32"/>
      <c r="V272" s="32"/>
      <c r="W272" s="32"/>
      <c r="X272" s="33"/>
      <c r="Y272" s="33"/>
      <c r="Z272" s="31">
        <f>Table1[[#This Row],[Quantity of measruing units]]*Table1[[#This Row],[Rate (expected)]]</f>
        <v>0</v>
      </c>
      <c r="AA272" s="31"/>
      <c r="AB272" s="31"/>
      <c r="AC272" s="34">
        <f>Table1[[#This Row],[Quantity (expected)]]*Table1[[#This Row],[Rate (expected)2]]*0.9</f>
        <v>0</v>
      </c>
      <c r="AD272" s="34">
        <f>Table1[[#This Row],[Quantity (expected)]]*Table1[[#This Row],[Rate (expected)2]]*0.8</f>
        <v>0</v>
      </c>
      <c r="AE272" s="34">
        <f>Table1[[#This Row],[Quantity (expected)]]*Table1[[#This Row],[Rate (expected)2]]*0.7</f>
        <v>0</v>
      </c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1">
        <f>SUM(Table1[[#This Row],[Jan-23]:[Dec-23]])</f>
        <v>0</v>
      </c>
      <c r="AV272" s="105"/>
      <c r="AW272" s="32"/>
      <c r="AX272" s="35"/>
    </row>
    <row r="273" spans="1:50" x14ac:dyDescent="0.3">
      <c r="A273" s="30" t="str">
        <f>VLOOKUP(H273,'Accoount Code Combination'!$D:$L,8,FALSE)</f>
        <v>Academic</v>
      </c>
      <c r="B273" s="31" t="str">
        <f>VLOOKUP(Table1[[#This Row],[Account Code]],'Accoount Code Combination'!$D:$L,9,FALSE)</f>
        <v>No Applicable</v>
      </c>
      <c r="C273" s="4" t="str">
        <f>VLOOKUP(Table1[[#This Row],[Cost Center Code]],'Cost Center Group'!A:B,2,FALSE)</f>
        <v>College of Arts &amp; Science</v>
      </c>
      <c r="D273" s="4">
        <v>847</v>
      </c>
      <c r="E273" s="79">
        <v>8470440</v>
      </c>
      <c r="F273" s="32" t="s">
        <v>426</v>
      </c>
      <c r="G273" s="4">
        <v>1</v>
      </c>
      <c r="H273" s="95">
        <v>425770</v>
      </c>
      <c r="I273" s="106" t="str">
        <f>IFERROR(VLOOKUP(Table1[[#This Row],[Account Code]],'Accoount Code Combination'!$D:$H,2,FALSE),"")</f>
        <v>Academic Missions - Combined expenses</v>
      </c>
      <c r="J273" s="79">
        <v>8470440</v>
      </c>
      <c r="K273" s="4"/>
      <c r="L273" s="4" t="str">
        <f>IFERROR(VLOOKUP(Table1[[#This Row],[Future-1 Description]],'Other '!E261:$F270,2,FALSE),"")</f>
        <v/>
      </c>
      <c r="M273" s="32"/>
      <c r="N273" s="32"/>
      <c r="O273" s="32"/>
      <c r="P273" s="49">
        <v>173861.51</v>
      </c>
      <c r="Q273" s="49">
        <v>221102</v>
      </c>
      <c r="R273" s="32"/>
      <c r="S273" s="4"/>
      <c r="T273" s="32"/>
      <c r="U273" s="32"/>
      <c r="V273" s="32"/>
      <c r="W273" s="32"/>
      <c r="X273" s="33"/>
      <c r="Y273" s="33"/>
      <c r="Z273" s="31">
        <f>Table1[[#This Row],[Quantity of measruing units]]*Table1[[#This Row],[Rate (expected)]]</f>
        <v>0</v>
      </c>
      <c r="AA273" s="31"/>
      <c r="AB273" s="31"/>
      <c r="AC273" s="34">
        <f>Table1[[#This Row],[Quantity (expected)]]*Table1[[#This Row],[Rate (expected)2]]*0.9</f>
        <v>0</v>
      </c>
      <c r="AD273" s="34">
        <f>Table1[[#This Row],[Quantity (expected)]]*Table1[[#This Row],[Rate (expected)2]]*0.8</f>
        <v>0</v>
      </c>
      <c r="AE273" s="34">
        <f>Table1[[#This Row],[Quantity (expected)]]*Table1[[#This Row],[Rate (expected)2]]*0.7</f>
        <v>0</v>
      </c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1">
        <f>SUM(Table1[[#This Row],[Jan-23]:[Dec-23]])</f>
        <v>0</v>
      </c>
      <c r="AV273" s="105"/>
      <c r="AW273" s="32"/>
      <c r="AX273" s="35"/>
    </row>
    <row r="274" spans="1:50" x14ac:dyDescent="0.3">
      <c r="A274" s="30" t="str">
        <f>VLOOKUP(H274,'Accoount Code Combination'!$D:$L,8,FALSE)</f>
        <v>IT</v>
      </c>
      <c r="B274" s="31" t="str">
        <f>VLOOKUP(Table1[[#This Row],[Account Code]],'Accoount Code Combination'!$D:$L,9,FALSE)</f>
        <v>Software Operating</v>
      </c>
      <c r="C274" s="4" t="str">
        <f>VLOOKUP(Table1[[#This Row],[Cost Center Code]],'Cost Center Group'!A:B,2,FALSE)</f>
        <v>College of Arts &amp; Science</v>
      </c>
      <c r="D274" s="4">
        <v>847</v>
      </c>
      <c r="E274" s="79">
        <v>8470440</v>
      </c>
      <c r="F274" s="32" t="s">
        <v>426</v>
      </c>
      <c r="G274" s="4">
        <v>1</v>
      </c>
      <c r="H274" s="95">
        <v>426610</v>
      </c>
      <c r="I274" s="106" t="str">
        <f>IFERROR(VLOOKUP(Table1[[#This Row],[Account Code]],'Accoount Code Combination'!$D:$H,2,FALSE),"")</f>
        <v>Computer software licenses</v>
      </c>
      <c r="J274" s="79">
        <v>8470440</v>
      </c>
      <c r="K274" s="4"/>
      <c r="L274" s="4" t="str">
        <f>IFERROR(VLOOKUP(Table1[[#This Row],[Future-1 Description]],'Other '!E262:$F271,2,FALSE),"")</f>
        <v/>
      </c>
      <c r="M274" s="32"/>
      <c r="N274" s="32"/>
      <c r="O274" s="32"/>
      <c r="P274" s="49">
        <v>0</v>
      </c>
      <c r="Q274" s="49">
        <v>64373</v>
      </c>
      <c r="R274" s="32"/>
      <c r="S274" s="4"/>
      <c r="T274" s="32"/>
      <c r="U274" s="32"/>
      <c r="V274" s="32"/>
      <c r="W274" s="32"/>
      <c r="X274" s="33"/>
      <c r="Y274" s="33"/>
      <c r="Z274" s="31">
        <f>Table1[[#This Row],[Quantity of measruing units]]*Table1[[#This Row],[Rate (expected)]]</f>
        <v>0</v>
      </c>
      <c r="AA274" s="31"/>
      <c r="AB274" s="31"/>
      <c r="AC274" s="34">
        <f>Table1[[#This Row],[Quantity (expected)]]*Table1[[#This Row],[Rate (expected)2]]*0.9</f>
        <v>0</v>
      </c>
      <c r="AD274" s="34">
        <f>Table1[[#This Row],[Quantity (expected)]]*Table1[[#This Row],[Rate (expected)2]]*0.8</f>
        <v>0</v>
      </c>
      <c r="AE274" s="34">
        <f>Table1[[#This Row],[Quantity (expected)]]*Table1[[#This Row],[Rate (expected)2]]*0.7</f>
        <v>0</v>
      </c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1">
        <f>SUM(Table1[[#This Row],[Jan-23]:[Dec-23]])</f>
        <v>0</v>
      </c>
      <c r="AV274" s="105"/>
      <c r="AW274" s="32"/>
      <c r="AX274" s="35"/>
    </row>
    <row r="275" spans="1:50" x14ac:dyDescent="0.3">
      <c r="A275" s="30" t="str">
        <f>VLOOKUP(H275,'Accoount Code Combination'!$D:$L,8,FALSE)</f>
        <v xml:space="preserve">Academic </v>
      </c>
      <c r="B275" s="31" t="str">
        <f>VLOOKUP(Table1[[#This Row],[Account Code]],'Accoount Code Combination'!$D:$L,9,FALSE)</f>
        <v>No Applicable</v>
      </c>
      <c r="C275" s="4" t="str">
        <f>VLOOKUP(Table1[[#This Row],[Cost Center Code]],'Cost Center Group'!A:B,2,FALSE)</f>
        <v>College of Arts &amp; Science</v>
      </c>
      <c r="D275" s="4">
        <v>847</v>
      </c>
      <c r="E275" s="79">
        <v>8470440</v>
      </c>
      <c r="F275" s="32" t="s">
        <v>426</v>
      </c>
      <c r="G275" s="4">
        <v>1</v>
      </c>
      <c r="H275" s="95">
        <v>428090</v>
      </c>
      <c r="I275" s="106" t="str">
        <f>IFERROR(VLOOKUP(Table1[[#This Row],[Account Code]],'Accoount Code Combination'!$D:$H,2,FALSE),"")</f>
        <v>Business Travel - Combined expenses</v>
      </c>
      <c r="J275" s="79">
        <v>8470440</v>
      </c>
      <c r="K275" s="4"/>
      <c r="L275" s="4" t="str">
        <f>IFERROR(VLOOKUP(Table1[[#This Row],[Future-1 Description]],'Other '!E263:$F272,2,FALSE),"")</f>
        <v/>
      </c>
      <c r="M275" s="32"/>
      <c r="N275" s="32"/>
      <c r="O275" s="32"/>
      <c r="P275" s="49">
        <v>0</v>
      </c>
      <c r="Q275" s="49">
        <v>0</v>
      </c>
      <c r="R275" s="32"/>
      <c r="S275" s="4"/>
      <c r="T275" s="32"/>
      <c r="U275" s="32"/>
      <c r="V275" s="32"/>
      <c r="W275" s="32"/>
      <c r="X275" s="33"/>
      <c r="Y275" s="33"/>
      <c r="Z275" s="31">
        <f>Table1[[#This Row],[Quantity of measruing units]]*Table1[[#This Row],[Rate (expected)]]</f>
        <v>0</v>
      </c>
      <c r="AA275" s="31"/>
      <c r="AB275" s="31"/>
      <c r="AC275" s="34">
        <f>Table1[[#This Row],[Quantity (expected)]]*Table1[[#This Row],[Rate (expected)2]]*0.9</f>
        <v>0</v>
      </c>
      <c r="AD275" s="34">
        <f>Table1[[#This Row],[Quantity (expected)]]*Table1[[#This Row],[Rate (expected)2]]*0.8</f>
        <v>0</v>
      </c>
      <c r="AE275" s="34">
        <f>Table1[[#This Row],[Quantity (expected)]]*Table1[[#This Row],[Rate (expected)2]]*0.7</f>
        <v>0</v>
      </c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1">
        <f>SUM(Table1[[#This Row],[Jan-23]:[Dec-23]])</f>
        <v>0</v>
      </c>
      <c r="AV275" s="105"/>
      <c r="AW275" s="32"/>
      <c r="AX275" s="35"/>
    </row>
    <row r="276" spans="1:50" x14ac:dyDescent="0.3">
      <c r="A276" s="30" t="str">
        <f>VLOOKUP(H276,'Accoount Code Combination'!$D:$L,8,FALSE)</f>
        <v>Communiction &amp; Marketing</v>
      </c>
      <c r="B276" s="31" t="str">
        <f>VLOOKUP(Table1[[#This Row],[Account Code]],'Accoount Code Combination'!$D:$L,9,FALSE)</f>
        <v>Gifts</v>
      </c>
      <c r="C276" s="4" t="str">
        <f>VLOOKUP(Table1[[#This Row],[Cost Center Code]],'Cost Center Group'!A:B,2,FALSE)</f>
        <v>College of Arts &amp; Science</v>
      </c>
      <c r="D276" s="4">
        <v>847</v>
      </c>
      <c r="E276" s="79">
        <v>8470440</v>
      </c>
      <c r="F276" s="32" t="s">
        <v>426</v>
      </c>
      <c r="G276" s="4">
        <v>1</v>
      </c>
      <c r="H276" s="95">
        <v>428640</v>
      </c>
      <c r="I276" s="106" t="str">
        <f>IFERROR(VLOOKUP(Table1[[#This Row],[Account Code]],'Accoount Code Combination'!$D:$H,2,FALSE),"")</f>
        <v>Events - Awards, prizes &amp; gifts</v>
      </c>
      <c r="J276" s="79">
        <v>8470440</v>
      </c>
      <c r="K276" s="4"/>
      <c r="L276" s="4" t="str">
        <f>IFERROR(VLOOKUP(Table1[[#This Row],[Future-1 Description]],'Other '!E264:$F273,2,FALSE),"")</f>
        <v/>
      </c>
      <c r="M276" s="32"/>
      <c r="N276" s="32"/>
      <c r="O276" s="32"/>
      <c r="P276" s="49">
        <v>0</v>
      </c>
      <c r="Q276" s="49">
        <v>0</v>
      </c>
      <c r="R276" s="32"/>
      <c r="S276" s="4"/>
      <c r="T276" s="32"/>
      <c r="U276" s="32"/>
      <c r="V276" s="32"/>
      <c r="W276" s="32"/>
      <c r="X276" s="33"/>
      <c r="Y276" s="33"/>
      <c r="Z276" s="31">
        <f>Table1[[#This Row],[Quantity of measruing units]]*Table1[[#This Row],[Rate (expected)]]</f>
        <v>0</v>
      </c>
      <c r="AA276" s="31"/>
      <c r="AB276" s="31"/>
      <c r="AC276" s="34">
        <f>Table1[[#This Row],[Quantity (expected)]]*Table1[[#This Row],[Rate (expected)2]]*0.9</f>
        <v>0</v>
      </c>
      <c r="AD276" s="34">
        <f>Table1[[#This Row],[Quantity (expected)]]*Table1[[#This Row],[Rate (expected)2]]*0.8</f>
        <v>0</v>
      </c>
      <c r="AE276" s="34">
        <f>Table1[[#This Row],[Quantity (expected)]]*Table1[[#This Row],[Rate (expected)2]]*0.7</f>
        <v>0</v>
      </c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1">
        <f>SUM(Table1[[#This Row],[Jan-23]:[Dec-23]])</f>
        <v>0</v>
      </c>
      <c r="AV276" s="105"/>
      <c r="AW276" s="32"/>
      <c r="AX276" s="35"/>
    </row>
    <row r="277" spans="1:50" x14ac:dyDescent="0.3">
      <c r="A277" s="30" t="str">
        <f>VLOOKUP(H277,'Accoount Code Combination'!$D:$L,8,FALSE)</f>
        <v>Academic</v>
      </c>
      <c r="B277" s="31" t="str">
        <f>VLOOKUP(Table1[[#This Row],[Account Code]],'Accoount Code Combination'!$D:$L,9,FALSE)</f>
        <v>No Applicable</v>
      </c>
      <c r="C277" s="4" t="str">
        <f>VLOOKUP(Table1[[#This Row],[Cost Center Code]],'Cost Center Group'!A:B,2,FALSE)</f>
        <v>College of Arts &amp; Science</v>
      </c>
      <c r="D277" s="4">
        <v>847</v>
      </c>
      <c r="E277" s="79">
        <v>8470440</v>
      </c>
      <c r="F277" s="32" t="s">
        <v>426</v>
      </c>
      <c r="G277" s="4">
        <v>1</v>
      </c>
      <c r="H277" s="95">
        <v>435340</v>
      </c>
      <c r="I277" s="106" t="str">
        <f>IFERROR(VLOOKUP(Table1[[#This Row],[Account Code]],'Accoount Code Combination'!$D:$H,2,FALSE),"")</f>
        <v>Text books and library books</v>
      </c>
      <c r="J277" s="79">
        <v>8470440</v>
      </c>
      <c r="K277" s="4"/>
      <c r="L277" s="4" t="str">
        <f>IFERROR(VLOOKUP(Table1[[#This Row],[Future-1 Description]],'Other '!E265:$F274,2,FALSE),"")</f>
        <v/>
      </c>
      <c r="M277" s="32"/>
      <c r="N277" s="32"/>
      <c r="O277" s="32"/>
      <c r="P277" s="49">
        <v>0</v>
      </c>
      <c r="Q277" s="49">
        <v>60350</v>
      </c>
      <c r="R277" s="32"/>
      <c r="S277" s="4"/>
      <c r="T277" s="32"/>
      <c r="U277" s="32"/>
      <c r="V277" s="32"/>
      <c r="W277" s="32"/>
      <c r="X277" s="33"/>
      <c r="Y277" s="33"/>
      <c r="Z277" s="31">
        <f>Table1[[#This Row],[Quantity of measruing units]]*Table1[[#This Row],[Rate (expected)]]</f>
        <v>0</v>
      </c>
      <c r="AA277" s="31"/>
      <c r="AB277" s="31"/>
      <c r="AC277" s="34">
        <f>Table1[[#This Row],[Quantity (expected)]]*Table1[[#This Row],[Rate (expected)2]]*0.9</f>
        <v>0</v>
      </c>
      <c r="AD277" s="34">
        <f>Table1[[#This Row],[Quantity (expected)]]*Table1[[#This Row],[Rate (expected)2]]*0.8</f>
        <v>0</v>
      </c>
      <c r="AE277" s="34">
        <f>Table1[[#This Row],[Quantity (expected)]]*Table1[[#This Row],[Rate (expected)2]]*0.7</f>
        <v>0</v>
      </c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1">
        <f>SUM(Table1[[#This Row],[Jan-23]:[Dec-23]])</f>
        <v>0</v>
      </c>
      <c r="AV277" s="105"/>
      <c r="AW277" s="32"/>
      <c r="AX277" s="35"/>
    </row>
    <row r="278" spans="1:50" x14ac:dyDescent="0.3">
      <c r="A278" s="30" t="str">
        <f>VLOOKUP(H278,'Accoount Code Combination'!$D:$L,8,FALSE)</f>
        <v>Academic</v>
      </c>
      <c r="B278" s="31" t="str">
        <f>VLOOKUP(Table1[[#This Row],[Account Code]],'Accoount Code Combination'!$D:$L,9,FALSE)</f>
        <v>No Applicable</v>
      </c>
      <c r="C278" s="4" t="str">
        <f>VLOOKUP(Table1[[#This Row],[Cost Center Code]],'Cost Center Group'!A:B,2,FALSE)</f>
        <v>College of Arts &amp; Science</v>
      </c>
      <c r="D278" s="4">
        <v>847</v>
      </c>
      <c r="E278" s="79">
        <v>8470440</v>
      </c>
      <c r="F278" s="32" t="s">
        <v>426</v>
      </c>
      <c r="G278" s="4">
        <v>1</v>
      </c>
      <c r="H278" s="95">
        <v>435350</v>
      </c>
      <c r="I278" s="106" t="str">
        <f>IFERROR(VLOOKUP(Table1[[#This Row],[Account Code]],'Accoount Code Combination'!$D:$H,2,FALSE),"")</f>
        <v>Academic Publications</v>
      </c>
      <c r="J278" s="79">
        <v>8470440</v>
      </c>
      <c r="K278" s="4"/>
      <c r="L278" s="4" t="str">
        <f>IFERROR(VLOOKUP(Table1[[#This Row],[Future-1 Description]],'Other '!E266:$F275,2,FALSE),"")</f>
        <v/>
      </c>
      <c r="M278" s="32"/>
      <c r="N278" s="32"/>
      <c r="O278" s="32"/>
      <c r="P278" s="49">
        <v>0</v>
      </c>
      <c r="Q278" s="49">
        <v>7704</v>
      </c>
      <c r="R278" s="32"/>
      <c r="S278" s="4"/>
      <c r="T278" s="32"/>
      <c r="U278" s="32"/>
      <c r="V278" s="32"/>
      <c r="W278" s="32"/>
      <c r="X278" s="33"/>
      <c r="Y278" s="33"/>
      <c r="Z278" s="31">
        <f>Table1[[#This Row],[Quantity of measruing units]]*Table1[[#This Row],[Rate (expected)]]</f>
        <v>0</v>
      </c>
      <c r="AA278" s="31"/>
      <c r="AB278" s="31"/>
      <c r="AC278" s="34">
        <f>Table1[[#This Row],[Quantity (expected)]]*Table1[[#This Row],[Rate (expected)2]]*0.9</f>
        <v>0</v>
      </c>
      <c r="AD278" s="34">
        <f>Table1[[#This Row],[Quantity (expected)]]*Table1[[#This Row],[Rate (expected)2]]*0.8</f>
        <v>0</v>
      </c>
      <c r="AE278" s="34">
        <f>Table1[[#This Row],[Quantity (expected)]]*Table1[[#This Row],[Rate (expected)2]]*0.7</f>
        <v>0</v>
      </c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1">
        <f>SUM(Table1[[#This Row],[Jan-23]:[Dec-23]])</f>
        <v>0</v>
      </c>
      <c r="AV278" s="105"/>
      <c r="AW278" s="32"/>
      <c r="AX278" s="35"/>
    </row>
    <row r="279" spans="1:50" ht="26" x14ac:dyDescent="0.3">
      <c r="A279" s="30" t="str">
        <f>VLOOKUP(H279,'Accoount Code Combination'!$D:$L,8,FALSE)</f>
        <v>Academic</v>
      </c>
      <c r="B279" s="31" t="str">
        <f>VLOOKUP(Table1[[#This Row],[Account Code]],'Accoount Code Combination'!$D:$L,9,FALSE)</f>
        <v>No Applicable</v>
      </c>
      <c r="C279" s="4" t="str">
        <f>VLOOKUP(Table1[[#This Row],[Cost Center Code]],'Cost Center Group'!A:B,2,FALSE)</f>
        <v>College of Arts &amp; Science</v>
      </c>
      <c r="D279" s="4">
        <v>847</v>
      </c>
      <c r="E279" s="79">
        <v>8470440</v>
      </c>
      <c r="F279" s="32" t="s">
        <v>426</v>
      </c>
      <c r="G279" s="4">
        <v>1</v>
      </c>
      <c r="H279" s="95">
        <v>436600</v>
      </c>
      <c r="I279" s="106" t="str">
        <f>IFERROR(VLOOKUP(Table1[[#This Row],[Account Code]],'Accoount Code Combination'!$D:$H,2,FALSE),"")</f>
        <v>Training/Teaching equipment and other educational aid</v>
      </c>
      <c r="J279" s="79">
        <v>8470440</v>
      </c>
      <c r="K279" s="4"/>
      <c r="L279" s="4" t="str">
        <f>IFERROR(VLOOKUP(Table1[[#This Row],[Future-1 Description]],'Other '!E267:$F276,2,FALSE),"")</f>
        <v/>
      </c>
      <c r="M279" s="32"/>
      <c r="N279" s="32"/>
      <c r="O279" s="32"/>
      <c r="P279" s="49">
        <v>226.53</v>
      </c>
      <c r="Q279" s="49">
        <v>227</v>
      </c>
      <c r="R279" s="32"/>
      <c r="S279" s="4"/>
      <c r="T279" s="32"/>
      <c r="U279" s="32"/>
      <c r="V279" s="32"/>
      <c r="W279" s="32"/>
      <c r="X279" s="33"/>
      <c r="Y279" s="33"/>
      <c r="Z279" s="31">
        <f>Table1[[#This Row],[Quantity of measruing units]]*Table1[[#This Row],[Rate (expected)]]</f>
        <v>0</v>
      </c>
      <c r="AA279" s="31"/>
      <c r="AB279" s="31"/>
      <c r="AC279" s="34">
        <f>Table1[[#This Row],[Quantity (expected)]]*Table1[[#This Row],[Rate (expected)2]]*0.9</f>
        <v>0</v>
      </c>
      <c r="AD279" s="34">
        <f>Table1[[#This Row],[Quantity (expected)]]*Table1[[#This Row],[Rate (expected)2]]*0.8</f>
        <v>0</v>
      </c>
      <c r="AE279" s="34">
        <f>Table1[[#This Row],[Quantity (expected)]]*Table1[[#This Row],[Rate (expected)2]]*0.7</f>
        <v>0</v>
      </c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1">
        <f>SUM(Table1[[#This Row],[Jan-23]:[Dec-23]])</f>
        <v>0</v>
      </c>
      <c r="AV279" s="105"/>
      <c r="AW279" s="32"/>
      <c r="AX279" s="35"/>
    </row>
    <row r="280" spans="1:50" x14ac:dyDescent="0.3">
      <c r="A280" s="30" t="str">
        <f>VLOOKUP(H280,'Accoount Code Combination'!$D:$L,8,FALSE)</f>
        <v>Student</v>
      </c>
      <c r="B280" s="31" t="str">
        <f>VLOOKUP(Table1[[#This Row],[Account Code]],'Accoount Code Combination'!$D:$L,9,FALSE)</f>
        <v>Activities and Field trips</v>
      </c>
      <c r="C280" s="4" t="str">
        <f>VLOOKUP(Table1[[#This Row],[Cost Center Code]],'Cost Center Group'!A:B,2,FALSE)</f>
        <v>College of Arts &amp; Science</v>
      </c>
      <c r="D280" s="4">
        <v>847</v>
      </c>
      <c r="E280" s="79">
        <v>8470445</v>
      </c>
      <c r="F280" s="32" t="s">
        <v>410</v>
      </c>
      <c r="G280" s="4">
        <v>1</v>
      </c>
      <c r="H280" s="95">
        <v>425760</v>
      </c>
      <c r="I280" s="106" t="str">
        <f>IFERROR(VLOOKUP(Table1[[#This Row],[Account Code]],'Accoount Code Combination'!$D:$H,2,FALSE),"")</f>
        <v>Student activities &amp; field trip expenses</v>
      </c>
      <c r="J280" s="79">
        <v>8470445</v>
      </c>
      <c r="K280" s="4"/>
      <c r="L280" s="4" t="str">
        <f>IFERROR(VLOOKUP(Table1[[#This Row],[Future-1 Description]],'Other '!E268:$F277,2,FALSE),"")</f>
        <v/>
      </c>
      <c r="M280" s="32"/>
      <c r="N280" s="32"/>
      <c r="O280" s="32"/>
      <c r="P280" s="49">
        <v>0</v>
      </c>
      <c r="Q280" s="49">
        <v>0</v>
      </c>
      <c r="R280" s="32"/>
      <c r="S280" s="4"/>
      <c r="T280" s="32"/>
      <c r="U280" s="32"/>
      <c r="V280" s="32"/>
      <c r="W280" s="32"/>
      <c r="X280" s="33"/>
      <c r="Y280" s="33"/>
      <c r="Z280" s="31">
        <f>Table1[[#This Row],[Quantity of measruing units]]*Table1[[#This Row],[Rate (expected)]]</f>
        <v>0</v>
      </c>
      <c r="AA280" s="31"/>
      <c r="AB280" s="31"/>
      <c r="AC280" s="34">
        <f>Table1[[#This Row],[Quantity (expected)]]*Table1[[#This Row],[Rate (expected)2]]*0.9</f>
        <v>0</v>
      </c>
      <c r="AD280" s="34">
        <f>Table1[[#This Row],[Quantity (expected)]]*Table1[[#This Row],[Rate (expected)2]]*0.8</f>
        <v>0</v>
      </c>
      <c r="AE280" s="34">
        <f>Table1[[#This Row],[Quantity (expected)]]*Table1[[#This Row],[Rate (expected)2]]*0.7</f>
        <v>0</v>
      </c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1">
        <f>SUM(Table1[[#This Row],[Jan-23]:[Dec-23]])</f>
        <v>0</v>
      </c>
      <c r="AV280" s="105"/>
      <c r="AW280" s="32"/>
      <c r="AX280" s="35"/>
    </row>
    <row r="281" spans="1:50" x14ac:dyDescent="0.3">
      <c r="A281" s="30" t="str">
        <f>VLOOKUP(H281,'Accoount Code Combination'!$D:$L,8,FALSE)</f>
        <v>Academic</v>
      </c>
      <c r="B281" s="31" t="str">
        <f>VLOOKUP(Table1[[#This Row],[Account Code]],'Accoount Code Combination'!$D:$L,9,FALSE)</f>
        <v>No Applicable</v>
      </c>
      <c r="C281" s="4" t="str">
        <f>VLOOKUP(Table1[[#This Row],[Cost Center Code]],'Cost Center Group'!A:B,2,FALSE)</f>
        <v>College of Arts &amp; Science</v>
      </c>
      <c r="D281" s="4">
        <v>847</v>
      </c>
      <c r="E281" s="79">
        <v>8470445</v>
      </c>
      <c r="F281" s="32" t="s">
        <v>410</v>
      </c>
      <c r="G281" s="4">
        <v>1</v>
      </c>
      <c r="H281" s="95">
        <v>425770</v>
      </c>
      <c r="I281" s="106" t="str">
        <f>IFERROR(VLOOKUP(Table1[[#This Row],[Account Code]],'Accoount Code Combination'!$D:$H,2,FALSE),"")</f>
        <v>Academic Missions - Combined expenses</v>
      </c>
      <c r="J281" s="79">
        <v>8470445</v>
      </c>
      <c r="K281" s="4"/>
      <c r="L281" s="4" t="str">
        <f>IFERROR(VLOOKUP(Table1[[#This Row],[Future-1 Description]],'Other '!E269:$F278,2,FALSE),"")</f>
        <v/>
      </c>
      <c r="M281" s="32"/>
      <c r="N281" s="32"/>
      <c r="O281" s="32"/>
      <c r="P281" s="49">
        <v>92813.56</v>
      </c>
      <c r="Q281" s="49">
        <v>142334</v>
      </c>
      <c r="R281" s="32"/>
      <c r="S281" s="4"/>
      <c r="T281" s="32"/>
      <c r="U281" s="32"/>
      <c r="V281" s="32"/>
      <c r="W281" s="32"/>
      <c r="X281" s="33"/>
      <c r="Y281" s="33"/>
      <c r="Z281" s="31">
        <f>Table1[[#This Row],[Quantity of measruing units]]*Table1[[#This Row],[Rate (expected)]]</f>
        <v>0</v>
      </c>
      <c r="AA281" s="31"/>
      <c r="AB281" s="31"/>
      <c r="AC281" s="34">
        <f>Table1[[#This Row],[Quantity (expected)]]*Table1[[#This Row],[Rate (expected)2]]*0.9</f>
        <v>0</v>
      </c>
      <c r="AD281" s="34">
        <f>Table1[[#This Row],[Quantity (expected)]]*Table1[[#This Row],[Rate (expected)2]]*0.8</f>
        <v>0</v>
      </c>
      <c r="AE281" s="34">
        <f>Table1[[#This Row],[Quantity (expected)]]*Table1[[#This Row],[Rate (expected)2]]*0.7</f>
        <v>0</v>
      </c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1">
        <f>SUM(Table1[[#This Row],[Jan-23]:[Dec-23]])</f>
        <v>0</v>
      </c>
      <c r="AV281" s="105"/>
      <c r="AW281" s="32"/>
      <c r="AX281" s="35"/>
    </row>
    <row r="282" spans="1:50" x14ac:dyDescent="0.3">
      <c r="A282" s="30" t="str">
        <f>VLOOKUP(H282,'Accoount Code Combination'!$D:$L,8,FALSE)</f>
        <v>IT</v>
      </c>
      <c r="B282" s="31" t="str">
        <f>VLOOKUP(Table1[[#This Row],[Account Code]],'Accoount Code Combination'!$D:$L,9,FALSE)</f>
        <v>Software Operating</v>
      </c>
      <c r="C282" s="4" t="str">
        <f>VLOOKUP(Table1[[#This Row],[Cost Center Code]],'Cost Center Group'!A:B,2,FALSE)</f>
        <v>College of Arts &amp; Science</v>
      </c>
      <c r="D282" s="4">
        <v>847</v>
      </c>
      <c r="E282" s="79">
        <v>8470445</v>
      </c>
      <c r="F282" s="32" t="s">
        <v>410</v>
      </c>
      <c r="G282" s="4">
        <v>1</v>
      </c>
      <c r="H282" s="95">
        <v>426610</v>
      </c>
      <c r="I282" s="106" t="str">
        <f>IFERROR(VLOOKUP(Table1[[#This Row],[Account Code]],'Accoount Code Combination'!$D:$H,2,FALSE),"")</f>
        <v>Computer software licenses</v>
      </c>
      <c r="J282" s="79">
        <v>8470445</v>
      </c>
      <c r="K282" s="4"/>
      <c r="L282" s="4" t="str">
        <f>IFERROR(VLOOKUP(Table1[[#This Row],[Future-1 Description]],'Other '!E270:$F279,2,FALSE),"")</f>
        <v/>
      </c>
      <c r="M282" s="32"/>
      <c r="N282" s="32"/>
      <c r="O282" s="32"/>
      <c r="P282" s="49">
        <v>0</v>
      </c>
      <c r="Q282" s="49">
        <v>17625</v>
      </c>
      <c r="R282" s="32"/>
      <c r="S282" s="4"/>
      <c r="T282" s="32"/>
      <c r="U282" s="32"/>
      <c r="V282" s="32"/>
      <c r="W282" s="32"/>
      <c r="X282" s="33"/>
      <c r="Y282" s="33"/>
      <c r="Z282" s="31">
        <f>Table1[[#This Row],[Quantity of measruing units]]*Table1[[#This Row],[Rate (expected)]]</f>
        <v>0</v>
      </c>
      <c r="AA282" s="31"/>
      <c r="AB282" s="31"/>
      <c r="AC282" s="34">
        <f>Table1[[#This Row],[Quantity (expected)]]*Table1[[#This Row],[Rate (expected)2]]*0.9</f>
        <v>0</v>
      </c>
      <c r="AD282" s="34">
        <f>Table1[[#This Row],[Quantity (expected)]]*Table1[[#This Row],[Rate (expected)2]]*0.8</f>
        <v>0</v>
      </c>
      <c r="AE282" s="34">
        <f>Table1[[#This Row],[Quantity (expected)]]*Table1[[#This Row],[Rate (expected)2]]*0.7</f>
        <v>0</v>
      </c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1">
        <f>SUM(Table1[[#This Row],[Jan-23]:[Dec-23]])</f>
        <v>0</v>
      </c>
      <c r="AV282" s="105"/>
      <c r="AW282" s="32"/>
      <c r="AX282" s="35"/>
    </row>
    <row r="283" spans="1:50" x14ac:dyDescent="0.3">
      <c r="A283" s="30" t="str">
        <f>VLOOKUP(H283,'Accoount Code Combination'!$D:$L,8,FALSE)</f>
        <v>Academic</v>
      </c>
      <c r="B283" s="31" t="str">
        <f>VLOOKUP(Table1[[#This Row],[Account Code]],'Accoount Code Combination'!$D:$L,9,FALSE)</f>
        <v>No Applicable</v>
      </c>
      <c r="C283" s="4" t="str">
        <f>VLOOKUP(Table1[[#This Row],[Cost Center Code]],'Cost Center Group'!A:B,2,FALSE)</f>
        <v>College of Arts &amp; Science</v>
      </c>
      <c r="D283" s="4">
        <v>847</v>
      </c>
      <c r="E283" s="79">
        <v>8470450</v>
      </c>
      <c r="F283" s="32" t="s">
        <v>275</v>
      </c>
      <c r="G283" s="4">
        <v>1</v>
      </c>
      <c r="H283" s="95">
        <v>425761</v>
      </c>
      <c r="I283" s="106" t="str">
        <f>IFERROR(VLOOKUP(Table1[[#This Row],[Account Code]],'Accoount Code Combination'!$D:$H,2,FALSE),"")</f>
        <v>Student Field trips</v>
      </c>
      <c r="J283" s="79">
        <v>8470450</v>
      </c>
      <c r="K283" s="4"/>
      <c r="L283" s="4" t="str">
        <f>IFERROR(VLOOKUP(Table1[[#This Row],[Future-1 Description]],'Other '!E271:$F280,2,FALSE),"")</f>
        <v/>
      </c>
      <c r="M283" s="32"/>
      <c r="N283" s="32"/>
      <c r="O283" s="32"/>
      <c r="P283" s="49">
        <v>69321.820000000007</v>
      </c>
      <c r="Q283" s="49">
        <v>56922</v>
      </c>
      <c r="R283" s="32"/>
      <c r="S283" s="4"/>
      <c r="T283" s="32"/>
      <c r="U283" s="32"/>
      <c r="V283" s="32"/>
      <c r="W283" s="32"/>
      <c r="X283" s="33"/>
      <c r="Y283" s="33"/>
      <c r="Z283" s="31">
        <f>Table1[[#This Row],[Quantity of measruing units]]*Table1[[#This Row],[Rate (expected)]]</f>
        <v>0</v>
      </c>
      <c r="AA283" s="31"/>
      <c r="AB283" s="31"/>
      <c r="AC283" s="34">
        <f>Table1[[#This Row],[Quantity (expected)]]*Table1[[#This Row],[Rate (expected)2]]*0.9</f>
        <v>0</v>
      </c>
      <c r="AD283" s="34">
        <f>Table1[[#This Row],[Quantity (expected)]]*Table1[[#This Row],[Rate (expected)2]]*0.8</f>
        <v>0</v>
      </c>
      <c r="AE283" s="34">
        <f>Table1[[#This Row],[Quantity (expected)]]*Table1[[#This Row],[Rate (expected)2]]*0.7</f>
        <v>0</v>
      </c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1">
        <f>SUM(Table1[[#This Row],[Jan-23]:[Dec-23]])</f>
        <v>0</v>
      </c>
      <c r="AV283" s="105"/>
      <c r="AW283" s="32"/>
      <c r="AX283" s="35"/>
    </row>
    <row r="284" spans="1:50" x14ac:dyDescent="0.3">
      <c r="A284" s="30" t="str">
        <f>VLOOKUP(H284,'Accoount Code Combination'!$D:$L,8,FALSE)</f>
        <v>Academic</v>
      </c>
      <c r="B284" s="31" t="str">
        <f>VLOOKUP(Table1[[#This Row],[Account Code]],'Accoount Code Combination'!$D:$L,9,FALSE)</f>
        <v>No Applicable</v>
      </c>
      <c r="C284" s="4" t="str">
        <f>VLOOKUP(Table1[[#This Row],[Cost Center Code]],'Cost Center Group'!A:B,2,FALSE)</f>
        <v>College of Arts &amp; Science</v>
      </c>
      <c r="D284" s="4">
        <v>847</v>
      </c>
      <c r="E284" s="79">
        <v>8470450</v>
      </c>
      <c r="F284" s="32" t="s">
        <v>275</v>
      </c>
      <c r="G284" s="4">
        <v>1</v>
      </c>
      <c r="H284" s="95">
        <v>425770</v>
      </c>
      <c r="I284" s="106" t="str">
        <f>IFERROR(VLOOKUP(Table1[[#This Row],[Account Code]],'Accoount Code Combination'!$D:$H,2,FALSE),"")</f>
        <v>Academic Missions - Combined expenses</v>
      </c>
      <c r="J284" s="79">
        <v>8470450</v>
      </c>
      <c r="K284" s="4"/>
      <c r="L284" s="4" t="str">
        <f>IFERROR(VLOOKUP(Table1[[#This Row],[Future-1 Description]],'Other '!E272:$F281,2,FALSE),"")</f>
        <v/>
      </c>
      <c r="M284" s="32"/>
      <c r="N284" s="32"/>
      <c r="O284" s="32"/>
      <c r="P284" s="49">
        <v>-5700</v>
      </c>
      <c r="Q284" s="49">
        <v>45000</v>
      </c>
      <c r="R284" s="32"/>
      <c r="S284" s="4"/>
      <c r="T284" s="32"/>
      <c r="U284" s="32"/>
      <c r="V284" s="32"/>
      <c r="W284" s="32"/>
      <c r="X284" s="33"/>
      <c r="Y284" s="33"/>
      <c r="Z284" s="31">
        <f>Table1[[#This Row],[Quantity of measruing units]]*Table1[[#This Row],[Rate (expected)]]</f>
        <v>0</v>
      </c>
      <c r="AA284" s="31"/>
      <c r="AB284" s="31"/>
      <c r="AC284" s="34">
        <f>Table1[[#This Row],[Quantity (expected)]]*Table1[[#This Row],[Rate (expected)2]]*0.9</f>
        <v>0</v>
      </c>
      <c r="AD284" s="34">
        <f>Table1[[#This Row],[Quantity (expected)]]*Table1[[#This Row],[Rate (expected)2]]*0.8</f>
        <v>0</v>
      </c>
      <c r="AE284" s="34">
        <f>Table1[[#This Row],[Quantity (expected)]]*Table1[[#This Row],[Rate (expected)2]]*0.7</f>
        <v>0</v>
      </c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1">
        <f>SUM(Table1[[#This Row],[Jan-23]:[Dec-23]])</f>
        <v>0</v>
      </c>
      <c r="AV284" s="105"/>
      <c r="AW284" s="32"/>
      <c r="AX284" s="35"/>
    </row>
    <row r="285" spans="1:50" x14ac:dyDescent="0.3">
      <c r="A285" s="30" t="str">
        <f>VLOOKUP(H285,'Accoount Code Combination'!$D:$L,8,FALSE)</f>
        <v>IT</v>
      </c>
      <c r="B285" s="31" t="str">
        <f>VLOOKUP(Table1[[#This Row],[Account Code]],'Accoount Code Combination'!$D:$L,9,FALSE)</f>
        <v>Software Operating</v>
      </c>
      <c r="C285" s="4" t="str">
        <f>VLOOKUP(Table1[[#This Row],[Cost Center Code]],'Cost Center Group'!A:B,2,FALSE)</f>
        <v>College of Arts &amp; Science</v>
      </c>
      <c r="D285" s="4">
        <v>847</v>
      </c>
      <c r="E285" s="79">
        <v>8470450</v>
      </c>
      <c r="F285" s="32" t="s">
        <v>275</v>
      </c>
      <c r="G285" s="4">
        <v>1</v>
      </c>
      <c r="H285" s="95">
        <v>426610</v>
      </c>
      <c r="I285" s="106" t="str">
        <f>IFERROR(VLOOKUP(Table1[[#This Row],[Account Code]],'Accoount Code Combination'!$D:$H,2,FALSE),"")</f>
        <v>Computer software licenses</v>
      </c>
      <c r="J285" s="79">
        <v>8470450</v>
      </c>
      <c r="K285" s="4"/>
      <c r="L285" s="4" t="str">
        <f>IFERROR(VLOOKUP(Table1[[#This Row],[Future-1 Description]],'Other '!E273:$F282,2,FALSE),"")</f>
        <v/>
      </c>
      <c r="M285" s="32"/>
      <c r="N285" s="32"/>
      <c r="O285" s="32"/>
      <c r="P285" s="49">
        <v>-4357.79</v>
      </c>
      <c r="Q285" s="49">
        <v>0</v>
      </c>
      <c r="R285" s="32"/>
      <c r="S285" s="4"/>
      <c r="T285" s="32"/>
      <c r="U285" s="32"/>
      <c r="V285" s="32"/>
      <c r="W285" s="32"/>
      <c r="X285" s="33"/>
      <c r="Y285" s="33"/>
      <c r="Z285" s="31">
        <f>Table1[[#This Row],[Quantity of measruing units]]*Table1[[#This Row],[Rate (expected)]]</f>
        <v>0</v>
      </c>
      <c r="AA285" s="31"/>
      <c r="AB285" s="31"/>
      <c r="AC285" s="34">
        <f>Table1[[#This Row],[Quantity (expected)]]*Table1[[#This Row],[Rate (expected)2]]*0.9</f>
        <v>0</v>
      </c>
      <c r="AD285" s="34">
        <f>Table1[[#This Row],[Quantity (expected)]]*Table1[[#This Row],[Rate (expected)2]]*0.8</f>
        <v>0</v>
      </c>
      <c r="AE285" s="34">
        <f>Table1[[#This Row],[Quantity (expected)]]*Table1[[#This Row],[Rate (expected)2]]*0.7</f>
        <v>0</v>
      </c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1">
        <f>SUM(Table1[[#This Row],[Jan-23]:[Dec-23]])</f>
        <v>0</v>
      </c>
      <c r="AV285" s="105"/>
      <c r="AW285" s="32"/>
      <c r="AX285" s="35"/>
    </row>
    <row r="286" spans="1:50" x14ac:dyDescent="0.3">
      <c r="A286" s="30" t="str">
        <f>VLOOKUP(H286,'Accoount Code Combination'!$D:$L,8,FALSE)</f>
        <v>Academic</v>
      </c>
      <c r="B286" s="31" t="str">
        <f>VLOOKUP(Table1[[#This Row],[Account Code]],'Accoount Code Combination'!$D:$L,9,FALSE)</f>
        <v>No Applicable</v>
      </c>
      <c r="C286" s="4" t="str">
        <f>VLOOKUP(Table1[[#This Row],[Cost Center Code]],'Cost Center Group'!A:B,2,FALSE)</f>
        <v>College of Arts &amp; Science</v>
      </c>
      <c r="D286" s="4">
        <v>847</v>
      </c>
      <c r="E286" s="79">
        <v>8470450</v>
      </c>
      <c r="F286" s="32" t="s">
        <v>275</v>
      </c>
      <c r="G286" s="4">
        <v>1</v>
      </c>
      <c r="H286" s="95">
        <v>432209</v>
      </c>
      <c r="I286" s="106" t="str">
        <f>IFERROR(VLOOKUP(Table1[[#This Row],[Account Code]],'Accoount Code Combination'!$D:$H,2,FALSE),"")</f>
        <v>Laboratory equipment</v>
      </c>
      <c r="J286" s="79">
        <v>8470450</v>
      </c>
      <c r="K286" s="4"/>
      <c r="L286" s="4" t="str">
        <f>IFERROR(VLOOKUP(Table1[[#This Row],[Future-1 Description]],'Other '!E274:$F283,2,FALSE),"")</f>
        <v/>
      </c>
      <c r="M286" s="32"/>
      <c r="N286" s="32"/>
      <c r="O286" s="32"/>
      <c r="P286" s="49">
        <v>228007.62</v>
      </c>
      <c r="Q286" s="49">
        <v>129668</v>
      </c>
      <c r="R286" s="32"/>
      <c r="S286" s="4"/>
      <c r="T286" s="32"/>
      <c r="U286" s="32"/>
      <c r="V286" s="32"/>
      <c r="W286" s="32"/>
      <c r="X286" s="33"/>
      <c r="Y286" s="33"/>
      <c r="Z286" s="31">
        <f>Table1[[#This Row],[Quantity of measruing units]]*Table1[[#This Row],[Rate (expected)]]</f>
        <v>0</v>
      </c>
      <c r="AA286" s="31"/>
      <c r="AB286" s="31"/>
      <c r="AC286" s="34">
        <f>Table1[[#This Row],[Quantity (expected)]]*Table1[[#This Row],[Rate (expected)2]]*0.9</f>
        <v>0</v>
      </c>
      <c r="AD286" s="34">
        <f>Table1[[#This Row],[Quantity (expected)]]*Table1[[#This Row],[Rate (expected)2]]*0.8</f>
        <v>0</v>
      </c>
      <c r="AE286" s="34">
        <f>Table1[[#This Row],[Quantity (expected)]]*Table1[[#This Row],[Rate (expected)2]]*0.7</f>
        <v>0</v>
      </c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1">
        <f>SUM(Table1[[#This Row],[Jan-23]:[Dec-23]])</f>
        <v>0</v>
      </c>
      <c r="AV286" s="105"/>
      <c r="AW286" s="32"/>
      <c r="AX286" s="35"/>
    </row>
    <row r="287" spans="1:50" x14ac:dyDescent="0.3">
      <c r="A287" s="30" t="str">
        <f>VLOOKUP(H287,'Accoount Code Combination'!$D:$L,8,FALSE)</f>
        <v>Academic</v>
      </c>
      <c r="B287" s="31" t="str">
        <f>VLOOKUP(Table1[[#This Row],[Account Code]],'Accoount Code Combination'!$D:$L,9,FALSE)</f>
        <v>No Applicable</v>
      </c>
      <c r="C287" s="4" t="str">
        <f>VLOOKUP(Table1[[#This Row],[Cost Center Code]],'Cost Center Group'!A:B,2,FALSE)</f>
        <v>College of Arts &amp; Science</v>
      </c>
      <c r="D287" s="4">
        <v>847</v>
      </c>
      <c r="E287" s="79">
        <v>8470450</v>
      </c>
      <c r="F287" s="32" t="s">
        <v>275</v>
      </c>
      <c r="G287" s="4">
        <v>1</v>
      </c>
      <c r="H287" s="95">
        <v>435350</v>
      </c>
      <c r="I287" s="106" t="str">
        <f>IFERROR(VLOOKUP(Table1[[#This Row],[Account Code]],'Accoount Code Combination'!$D:$H,2,FALSE),"")</f>
        <v>Academic Publications</v>
      </c>
      <c r="J287" s="79">
        <v>8470450</v>
      </c>
      <c r="K287" s="4"/>
      <c r="L287" s="4" t="str">
        <f>IFERROR(VLOOKUP(Table1[[#This Row],[Future-1 Description]],'Other '!E275:$F284,2,FALSE),"")</f>
        <v/>
      </c>
      <c r="M287" s="32"/>
      <c r="N287" s="32"/>
      <c r="O287" s="32"/>
      <c r="P287" s="49">
        <v>0</v>
      </c>
      <c r="Q287" s="49">
        <v>20000</v>
      </c>
      <c r="R287" s="32"/>
      <c r="S287" s="4"/>
      <c r="T287" s="32"/>
      <c r="U287" s="32"/>
      <c r="V287" s="32"/>
      <c r="W287" s="32"/>
      <c r="X287" s="33"/>
      <c r="Y287" s="33"/>
      <c r="Z287" s="31">
        <f>Table1[[#This Row],[Quantity of measruing units]]*Table1[[#This Row],[Rate (expected)]]</f>
        <v>0</v>
      </c>
      <c r="AA287" s="31"/>
      <c r="AB287" s="31"/>
      <c r="AC287" s="34">
        <f>Table1[[#This Row],[Quantity (expected)]]*Table1[[#This Row],[Rate (expected)2]]*0.9</f>
        <v>0</v>
      </c>
      <c r="AD287" s="34">
        <f>Table1[[#This Row],[Quantity (expected)]]*Table1[[#This Row],[Rate (expected)2]]*0.8</f>
        <v>0</v>
      </c>
      <c r="AE287" s="34">
        <f>Table1[[#This Row],[Quantity (expected)]]*Table1[[#This Row],[Rate (expected)2]]*0.7</f>
        <v>0</v>
      </c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1">
        <f>SUM(Table1[[#This Row],[Jan-23]:[Dec-23]])</f>
        <v>0</v>
      </c>
      <c r="AV287" s="105"/>
      <c r="AW287" s="32"/>
      <c r="AX287" s="35"/>
    </row>
    <row r="288" spans="1:50" x14ac:dyDescent="0.3">
      <c r="A288" s="30" t="str">
        <f>VLOOKUP(H288,'Accoount Code Combination'!$D:$L,8,FALSE)</f>
        <v>Academic</v>
      </c>
      <c r="B288" s="31" t="str">
        <f>VLOOKUP(Table1[[#This Row],[Account Code]],'Accoount Code Combination'!$D:$L,9,FALSE)</f>
        <v>No Applicable</v>
      </c>
      <c r="C288" s="4" t="str">
        <f>VLOOKUP(Table1[[#This Row],[Cost Center Code]],'Cost Center Group'!A:B,2,FALSE)</f>
        <v>College of Arts &amp; Science</v>
      </c>
      <c r="D288" s="4">
        <v>847</v>
      </c>
      <c r="E288" s="79">
        <v>8470450</v>
      </c>
      <c r="F288" s="32" t="s">
        <v>275</v>
      </c>
      <c r="G288" s="4">
        <v>1</v>
      </c>
      <c r="H288" s="95">
        <v>435508</v>
      </c>
      <c r="I288" s="106" t="str">
        <f>IFERROR(VLOOKUP(Table1[[#This Row],[Account Code]],'Accoount Code Combination'!$D:$H,2,FALSE),"")</f>
        <v>Laboratory - Scientific</v>
      </c>
      <c r="J288" s="79">
        <v>8470450</v>
      </c>
      <c r="K288" s="4"/>
      <c r="L288" s="4" t="str">
        <f>IFERROR(VLOOKUP(Table1[[#This Row],[Future-1 Description]],'Other '!E276:$F285,2,FALSE),"")</f>
        <v/>
      </c>
      <c r="M288" s="32"/>
      <c r="N288" s="32"/>
      <c r="O288" s="32"/>
      <c r="P288" s="49">
        <v>-6793</v>
      </c>
      <c r="Q288" s="49">
        <v>6447</v>
      </c>
      <c r="R288" s="32"/>
      <c r="S288" s="4"/>
      <c r="T288" s="32"/>
      <c r="U288" s="32"/>
      <c r="V288" s="32"/>
      <c r="W288" s="32"/>
      <c r="X288" s="33"/>
      <c r="Y288" s="33"/>
      <c r="Z288" s="31">
        <f>Table1[[#This Row],[Quantity of measruing units]]*Table1[[#This Row],[Rate (expected)]]</f>
        <v>0</v>
      </c>
      <c r="AA288" s="31"/>
      <c r="AB288" s="31"/>
      <c r="AC288" s="34">
        <f>Table1[[#This Row],[Quantity (expected)]]*Table1[[#This Row],[Rate (expected)2]]*0.9</f>
        <v>0</v>
      </c>
      <c r="AD288" s="34">
        <f>Table1[[#This Row],[Quantity (expected)]]*Table1[[#This Row],[Rate (expected)2]]*0.8</f>
        <v>0</v>
      </c>
      <c r="AE288" s="34">
        <f>Table1[[#This Row],[Quantity (expected)]]*Table1[[#This Row],[Rate (expected)2]]*0.7</f>
        <v>0</v>
      </c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1">
        <f>SUM(Table1[[#This Row],[Jan-23]:[Dec-23]])</f>
        <v>0</v>
      </c>
      <c r="AV288" s="105"/>
      <c r="AW288" s="32"/>
      <c r="AX288" s="35"/>
    </row>
    <row r="289" spans="1:50" x14ac:dyDescent="0.3">
      <c r="A289" s="30">
        <f>VLOOKUP(H289,'Accoount Code Combination'!$D:$L,8,FALSE)</f>
        <v>0</v>
      </c>
      <c r="B289" s="31" t="str">
        <f>VLOOKUP(Table1[[#This Row],[Account Code]],'Accoount Code Combination'!$D:$L,9,FALSE)</f>
        <v>No Applicable</v>
      </c>
      <c r="C289" s="4" t="str">
        <f>VLOOKUP(Table1[[#This Row],[Cost Center Code]],'Cost Center Group'!A:B,2,FALSE)</f>
        <v>College of Arts &amp; Science</v>
      </c>
      <c r="D289" s="4">
        <v>847</v>
      </c>
      <c r="E289" s="79">
        <v>8470450</v>
      </c>
      <c r="F289" s="32" t="s">
        <v>275</v>
      </c>
      <c r="G289" s="4">
        <v>1</v>
      </c>
      <c r="H289" s="95">
        <v>492316</v>
      </c>
      <c r="I289" s="106" t="str">
        <f>IFERROR(VLOOKUP(Table1[[#This Row],[Account Code]],'Accoount Code Combination'!$D:$H,2,FALSE),"")</f>
        <v>Laboratory equipment</v>
      </c>
      <c r="J289" s="79">
        <v>8470450</v>
      </c>
      <c r="K289" s="4"/>
      <c r="L289" s="4" t="str">
        <f>IFERROR(VLOOKUP(Table1[[#This Row],[Future-1 Description]],'Other '!E277:$F286,2,FALSE),"")</f>
        <v/>
      </c>
      <c r="M289" s="32"/>
      <c r="N289" s="32"/>
      <c r="O289" s="32"/>
      <c r="P289" s="49">
        <v>0</v>
      </c>
      <c r="Q289" s="49">
        <v>0</v>
      </c>
      <c r="R289" s="32"/>
      <c r="S289" s="4"/>
      <c r="T289" s="32"/>
      <c r="U289" s="32"/>
      <c r="V289" s="32"/>
      <c r="W289" s="32"/>
      <c r="X289" s="33"/>
      <c r="Y289" s="33"/>
      <c r="Z289" s="31">
        <f>Table1[[#This Row],[Quantity of measruing units]]*Table1[[#This Row],[Rate (expected)]]</f>
        <v>0</v>
      </c>
      <c r="AA289" s="31"/>
      <c r="AB289" s="31"/>
      <c r="AC289" s="34">
        <f>Table1[[#This Row],[Quantity (expected)]]*Table1[[#This Row],[Rate (expected)2]]*0.9</f>
        <v>0</v>
      </c>
      <c r="AD289" s="34">
        <f>Table1[[#This Row],[Quantity (expected)]]*Table1[[#This Row],[Rate (expected)2]]*0.8</f>
        <v>0</v>
      </c>
      <c r="AE289" s="34">
        <f>Table1[[#This Row],[Quantity (expected)]]*Table1[[#This Row],[Rate (expected)2]]*0.7</f>
        <v>0</v>
      </c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1">
        <f>SUM(Table1[[#This Row],[Jan-23]:[Dec-23]])</f>
        <v>0</v>
      </c>
      <c r="AV289" s="105"/>
      <c r="AW289" s="32"/>
      <c r="AX289" s="35"/>
    </row>
    <row r="290" spans="1:50" x14ac:dyDescent="0.3">
      <c r="A290" s="30" t="str">
        <f>VLOOKUP(H290,'Accoount Code Combination'!$D:$L,8,FALSE)</f>
        <v xml:space="preserve">Facilities </v>
      </c>
      <c r="B290" s="31" t="str">
        <f>VLOOKUP(Table1[[#This Row],[Account Code]],'Accoount Code Combination'!$D:$L,9,FALSE)</f>
        <v>No Applicable</v>
      </c>
      <c r="C290" s="4" t="str">
        <f>VLOOKUP(Table1[[#This Row],[Cost Center Code]],'Cost Center Group'!A:B,2,FALSE)</f>
        <v>Administration, Facilities and EHS Office</v>
      </c>
      <c r="D290" s="4">
        <v>847</v>
      </c>
      <c r="E290" s="79">
        <v>8470520</v>
      </c>
      <c r="F290" s="32" t="s">
        <v>253</v>
      </c>
      <c r="G290" s="4">
        <v>1</v>
      </c>
      <c r="H290" s="95">
        <v>421600</v>
      </c>
      <c r="I290" s="106" t="str">
        <f>IFERROR(VLOOKUP(Table1[[#This Row],[Account Code]],'Accoount Code Combination'!$D:$H,2,FALSE),"")</f>
        <v>Security service</v>
      </c>
      <c r="J290" s="79">
        <v>8470520</v>
      </c>
      <c r="K290" s="4"/>
      <c r="L290" s="4" t="str">
        <f>IFERROR(VLOOKUP(Table1[[#This Row],[Future-1 Description]],'Other '!E278:$F287,2,FALSE),"")</f>
        <v/>
      </c>
      <c r="M290" s="32"/>
      <c r="N290" s="32"/>
      <c r="O290" s="32"/>
      <c r="P290" s="49">
        <v>330003.52</v>
      </c>
      <c r="Q290" s="49">
        <v>0</v>
      </c>
      <c r="R290" s="32"/>
      <c r="S290" s="4"/>
      <c r="T290" s="32"/>
      <c r="U290" s="32"/>
      <c r="V290" s="32"/>
      <c r="W290" s="32"/>
      <c r="X290" s="33"/>
      <c r="Y290" s="33"/>
      <c r="Z290" s="31">
        <f>Table1[[#This Row],[Quantity of measruing units]]*Table1[[#This Row],[Rate (expected)]]</f>
        <v>0</v>
      </c>
      <c r="AA290" s="31"/>
      <c r="AB290" s="31"/>
      <c r="AC290" s="34">
        <f>Table1[[#This Row],[Quantity (expected)]]*Table1[[#This Row],[Rate (expected)2]]*0.9</f>
        <v>0</v>
      </c>
      <c r="AD290" s="34">
        <f>Table1[[#This Row],[Quantity (expected)]]*Table1[[#This Row],[Rate (expected)2]]*0.8</f>
        <v>0</v>
      </c>
      <c r="AE290" s="34">
        <f>Table1[[#This Row],[Quantity (expected)]]*Table1[[#This Row],[Rate (expected)2]]*0.7</f>
        <v>0</v>
      </c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1">
        <f>SUM(Table1[[#This Row],[Jan-23]:[Dec-23]])</f>
        <v>0</v>
      </c>
      <c r="AV290" s="105"/>
      <c r="AW290" s="32"/>
      <c r="AX290" s="35"/>
    </row>
    <row r="291" spans="1:50" x14ac:dyDescent="0.3">
      <c r="A291" s="30" t="str">
        <f>VLOOKUP(H291,'Accoount Code Combination'!$D:$L,8,FALSE)</f>
        <v xml:space="preserve">Facilities </v>
      </c>
      <c r="B291" s="31" t="str">
        <f>VLOOKUP(Table1[[#This Row],[Account Code]],'Accoount Code Combination'!$D:$L,9,FALSE)</f>
        <v>No Applicable</v>
      </c>
      <c r="C291" s="4" t="str">
        <f>VLOOKUP(Table1[[#This Row],[Cost Center Code]],'Cost Center Group'!A:B,2,FALSE)</f>
        <v>Administration, Facilities and EHS Office</v>
      </c>
      <c r="D291" s="4">
        <v>847</v>
      </c>
      <c r="E291" s="79">
        <v>8470520</v>
      </c>
      <c r="F291" s="32" t="s">
        <v>253</v>
      </c>
      <c r="G291" s="4">
        <v>1</v>
      </c>
      <c r="H291" s="95">
        <v>421600</v>
      </c>
      <c r="I291" s="106" t="str">
        <f>IFERROR(VLOOKUP(Table1[[#This Row],[Account Code]],'Accoount Code Combination'!$D:$H,2,FALSE),"")</f>
        <v>Security service</v>
      </c>
      <c r="J291" s="79">
        <v>8470520</v>
      </c>
      <c r="K291" s="4"/>
      <c r="L291" s="4" t="str">
        <f>IFERROR(VLOOKUP(Table1[[#This Row],[Future-1 Description]],'Other '!E279:$F288,2,FALSE),"")</f>
        <v/>
      </c>
      <c r="M291" s="32"/>
      <c r="N291" s="32"/>
      <c r="O291" s="32"/>
      <c r="P291" s="49">
        <v>1796400.86</v>
      </c>
      <c r="Q291" s="49">
        <v>77973</v>
      </c>
      <c r="R291" s="32"/>
      <c r="S291" s="4"/>
      <c r="T291" s="32"/>
      <c r="U291" s="32"/>
      <c r="V291" s="32"/>
      <c r="W291" s="32"/>
      <c r="X291" s="33"/>
      <c r="Y291" s="33"/>
      <c r="Z291" s="31">
        <f>Table1[[#This Row],[Quantity of measruing units]]*Table1[[#This Row],[Rate (expected)]]</f>
        <v>0</v>
      </c>
      <c r="AA291" s="31"/>
      <c r="AB291" s="31"/>
      <c r="AC291" s="34">
        <f>Table1[[#This Row],[Quantity (expected)]]*Table1[[#This Row],[Rate (expected)2]]*0.9</f>
        <v>0</v>
      </c>
      <c r="AD291" s="34">
        <f>Table1[[#This Row],[Quantity (expected)]]*Table1[[#This Row],[Rate (expected)2]]*0.8</f>
        <v>0</v>
      </c>
      <c r="AE291" s="34">
        <f>Table1[[#This Row],[Quantity (expected)]]*Table1[[#This Row],[Rate (expected)2]]*0.7</f>
        <v>0</v>
      </c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1">
        <f>SUM(Table1[[#This Row],[Jan-23]:[Dec-23]])</f>
        <v>0</v>
      </c>
      <c r="AV291" s="105"/>
      <c r="AW291" s="32"/>
      <c r="AX291" s="35"/>
    </row>
    <row r="292" spans="1:50" ht="26" x14ac:dyDescent="0.3">
      <c r="A292" s="30" t="str">
        <f>VLOOKUP(H292,'Accoount Code Combination'!$D:$L,8,FALSE)</f>
        <v>Communiction &amp; Marketing</v>
      </c>
      <c r="B292" s="31" t="str">
        <f>VLOOKUP(Table1[[#This Row],[Account Code]],'Accoount Code Combination'!$D:$L,9,FALSE)</f>
        <v>Events</v>
      </c>
      <c r="C292" s="4" t="str">
        <f>VLOOKUP(Table1[[#This Row],[Cost Center Code]],'Cost Center Group'!A:B,2,FALSE)</f>
        <v>Administration, Facilities and EHS Office</v>
      </c>
      <c r="D292" s="4">
        <v>847</v>
      </c>
      <c r="E292" s="79">
        <v>8470520</v>
      </c>
      <c r="F292" s="32" t="s">
        <v>253</v>
      </c>
      <c r="G292" s="4">
        <v>1</v>
      </c>
      <c r="H292" s="95">
        <v>425510</v>
      </c>
      <c r="I292" s="106" t="str">
        <f>IFERROR(VLOOKUP(Table1[[#This Row],[Account Code]],'Accoount Code Combination'!$D:$H,2,FALSE),"")</f>
        <v>Conferences, seminars and exhibitions and other events: - Local Events</v>
      </c>
      <c r="J292" s="79">
        <v>8470520</v>
      </c>
      <c r="K292" s="4"/>
      <c r="L292" s="4" t="str">
        <f>IFERROR(VLOOKUP(Table1[[#This Row],[Future-1 Description]],'Other '!E280:$F289,2,FALSE),"")</f>
        <v/>
      </c>
      <c r="M292" s="32"/>
      <c r="N292" s="32"/>
      <c r="O292" s="32"/>
      <c r="P292" s="49">
        <v>21495.9</v>
      </c>
      <c r="Q292" s="49">
        <v>24521</v>
      </c>
      <c r="R292" s="32"/>
      <c r="S292" s="4"/>
      <c r="T292" s="32"/>
      <c r="U292" s="32"/>
      <c r="V292" s="32"/>
      <c r="W292" s="32"/>
      <c r="X292" s="33"/>
      <c r="Y292" s="33"/>
      <c r="Z292" s="31">
        <f>Table1[[#This Row],[Quantity of measruing units]]*Table1[[#This Row],[Rate (expected)]]</f>
        <v>0</v>
      </c>
      <c r="AA292" s="31"/>
      <c r="AB292" s="31"/>
      <c r="AC292" s="34">
        <f>Table1[[#This Row],[Quantity (expected)]]*Table1[[#This Row],[Rate (expected)2]]*0.9</f>
        <v>0</v>
      </c>
      <c r="AD292" s="34">
        <f>Table1[[#This Row],[Quantity (expected)]]*Table1[[#This Row],[Rate (expected)2]]*0.8</f>
        <v>0</v>
      </c>
      <c r="AE292" s="34">
        <f>Table1[[#This Row],[Quantity (expected)]]*Table1[[#This Row],[Rate (expected)2]]*0.7</f>
        <v>0</v>
      </c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1">
        <f>SUM(Table1[[#This Row],[Jan-23]:[Dec-23]])</f>
        <v>0</v>
      </c>
      <c r="AV292" s="105"/>
      <c r="AW292" s="32"/>
      <c r="AX292" s="35"/>
    </row>
    <row r="293" spans="1:50" ht="26" x14ac:dyDescent="0.3">
      <c r="A293" s="30" t="str">
        <f>VLOOKUP(H293,'Accoount Code Combination'!$D:$L,8,FALSE)</f>
        <v xml:space="preserve">Facilities </v>
      </c>
      <c r="B293" s="31" t="str">
        <f>VLOOKUP(Table1[[#This Row],[Account Code]],'Accoount Code Combination'!$D:$L,9,FALSE)</f>
        <v>No Applicable</v>
      </c>
      <c r="C293" s="4" t="str">
        <f>VLOOKUP(Table1[[#This Row],[Cost Center Code]],'Cost Center Group'!A:B,2,FALSE)</f>
        <v>Administration, Facilities and EHS Office</v>
      </c>
      <c r="D293" s="4">
        <v>847</v>
      </c>
      <c r="E293" s="79">
        <v>8470520</v>
      </c>
      <c r="F293" s="32" t="s">
        <v>253</v>
      </c>
      <c r="G293" s="4">
        <v>1</v>
      </c>
      <c r="H293" s="95">
        <v>426100</v>
      </c>
      <c r="I293" s="106" t="str">
        <f>IFERROR(VLOOKUP(Table1[[#This Row],[Account Code]],'Accoount Code Combination'!$D:$H,2,FALSE),"")</f>
        <v>Freight and shipping costs, not included elsewhere under purchase costs</v>
      </c>
      <c r="J293" s="79">
        <v>8470520</v>
      </c>
      <c r="K293" s="4"/>
      <c r="L293" s="4" t="str">
        <f>IFERROR(VLOOKUP(Table1[[#This Row],[Future-1 Description]],'Other '!E281:$F290,2,FALSE),"")</f>
        <v/>
      </c>
      <c r="M293" s="32"/>
      <c r="N293" s="32"/>
      <c r="O293" s="32"/>
      <c r="P293" s="49">
        <v>0</v>
      </c>
      <c r="Q293" s="49">
        <v>20000</v>
      </c>
      <c r="R293" s="32"/>
      <c r="S293" s="4"/>
      <c r="T293" s="32"/>
      <c r="U293" s="32"/>
      <c r="V293" s="32"/>
      <c r="W293" s="32"/>
      <c r="X293" s="33"/>
      <c r="Y293" s="33"/>
      <c r="Z293" s="31">
        <f>Table1[[#This Row],[Quantity of measruing units]]*Table1[[#This Row],[Rate (expected)]]</f>
        <v>0</v>
      </c>
      <c r="AA293" s="31"/>
      <c r="AB293" s="31"/>
      <c r="AC293" s="34">
        <f>Table1[[#This Row],[Quantity (expected)]]*Table1[[#This Row],[Rate (expected)2]]*0.9</f>
        <v>0</v>
      </c>
      <c r="AD293" s="34">
        <f>Table1[[#This Row],[Quantity (expected)]]*Table1[[#This Row],[Rate (expected)2]]*0.8</f>
        <v>0</v>
      </c>
      <c r="AE293" s="34">
        <f>Table1[[#This Row],[Quantity (expected)]]*Table1[[#This Row],[Rate (expected)2]]*0.7</f>
        <v>0</v>
      </c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1">
        <f>SUM(Table1[[#This Row],[Jan-23]:[Dec-23]])</f>
        <v>0</v>
      </c>
      <c r="AV293" s="105"/>
      <c r="AW293" s="32"/>
      <c r="AX293" s="35"/>
    </row>
    <row r="294" spans="1:50" x14ac:dyDescent="0.3">
      <c r="A294" s="30" t="str">
        <f>VLOOKUP(H294,'Accoount Code Combination'!$D:$L,8,FALSE)</f>
        <v>IT</v>
      </c>
      <c r="B294" s="31" t="str">
        <f>VLOOKUP(Table1[[#This Row],[Account Code]],'Accoount Code Combination'!$D:$L,9,FALSE)</f>
        <v>Software Operating</v>
      </c>
      <c r="C294" s="4" t="str">
        <f>VLOOKUP(Table1[[#This Row],[Cost Center Code]],'Cost Center Group'!A:B,2,FALSE)</f>
        <v>Administration, Facilities and EHS Office</v>
      </c>
      <c r="D294" s="4">
        <v>847</v>
      </c>
      <c r="E294" s="79">
        <v>8470520</v>
      </c>
      <c r="F294" s="32" t="s">
        <v>253</v>
      </c>
      <c r="G294" s="4">
        <v>1</v>
      </c>
      <c r="H294" s="95">
        <v>426610</v>
      </c>
      <c r="I294" s="106" t="str">
        <f>IFERROR(VLOOKUP(Table1[[#This Row],[Account Code]],'Accoount Code Combination'!$D:$H,2,FALSE),"")</f>
        <v>Computer software licenses</v>
      </c>
      <c r="J294" s="79">
        <v>8470520</v>
      </c>
      <c r="K294" s="4"/>
      <c r="L294" s="4" t="str">
        <f>IFERROR(VLOOKUP(Table1[[#This Row],[Future-1 Description]],'Other '!E282:$F291,2,FALSE),"")</f>
        <v/>
      </c>
      <c r="M294" s="32"/>
      <c r="N294" s="32"/>
      <c r="O294" s="32"/>
      <c r="P294" s="49">
        <v>-918.25</v>
      </c>
      <c r="Q294" s="49">
        <v>212027</v>
      </c>
      <c r="R294" s="32"/>
      <c r="S294" s="4"/>
      <c r="T294" s="32"/>
      <c r="U294" s="32"/>
      <c r="V294" s="32"/>
      <c r="W294" s="32"/>
      <c r="X294" s="33"/>
      <c r="Y294" s="33"/>
      <c r="Z294" s="31">
        <f>Table1[[#This Row],[Quantity of measruing units]]*Table1[[#This Row],[Rate (expected)]]</f>
        <v>0</v>
      </c>
      <c r="AA294" s="31"/>
      <c r="AB294" s="31"/>
      <c r="AC294" s="34">
        <f>Table1[[#This Row],[Quantity (expected)]]*Table1[[#This Row],[Rate (expected)2]]*0.9</f>
        <v>0</v>
      </c>
      <c r="AD294" s="34">
        <f>Table1[[#This Row],[Quantity (expected)]]*Table1[[#This Row],[Rate (expected)2]]*0.8</f>
        <v>0</v>
      </c>
      <c r="AE294" s="34">
        <f>Table1[[#This Row],[Quantity (expected)]]*Table1[[#This Row],[Rate (expected)2]]*0.7</f>
        <v>0</v>
      </c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1">
        <f>SUM(Table1[[#This Row],[Jan-23]:[Dec-23]])</f>
        <v>0</v>
      </c>
      <c r="AV294" s="105"/>
      <c r="AW294" s="32"/>
      <c r="AX294" s="35"/>
    </row>
    <row r="295" spans="1:50" ht="26" x14ac:dyDescent="0.3">
      <c r="A295" s="30" t="str">
        <f>VLOOKUP(H295,'Accoount Code Combination'!$D:$L,8,FALSE)</f>
        <v>Academic</v>
      </c>
      <c r="B295" s="31" t="str">
        <f>VLOOKUP(Table1[[#This Row],[Account Code]],'Accoount Code Combination'!$D:$L,9,FALSE)</f>
        <v>No Applicable</v>
      </c>
      <c r="C295" s="4" t="str">
        <f>VLOOKUP(Table1[[#This Row],[Cost Center Code]],'Cost Center Group'!A:B,2,FALSE)</f>
        <v>Administration, Facilities and EHS Office</v>
      </c>
      <c r="D295" s="4">
        <v>847</v>
      </c>
      <c r="E295" s="79">
        <v>8470520</v>
      </c>
      <c r="F295" s="32" t="s">
        <v>253</v>
      </c>
      <c r="G295" s="4">
        <v>1</v>
      </c>
      <c r="H295" s="95">
        <v>427710</v>
      </c>
      <c r="I295" s="106" t="str">
        <f>IFERROR(VLOOKUP(Table1[[#This Row],[Account Code]],'Accoount Code Combination'!$D:$H,2,FALSE),"")</f>
        <v>Subscriptions and membership fees: Trade organisations</v>
      </c>
      <c r="J295" s="79">
        <v>8470520</v>
      </c>
      <c r="K295" s="4"/>
      <c r="L295" s="4" t="str">
        <f>IFERROR(VLOOKUP(Table1[[#This Row],[Future-1 Description]],'Other '!E283:$F292,2,FALSE),"")</f>
        <v/>
      </c>
      <c r="M295" s="32"/>
      <c r="N295" s="32"/>
      <c r="O295" s="32"/>
      <c r="P295" s="49">
        <v>42000</v>
      </c>
      <c r="Q295" s="49">
        <v>42000</v>
      </c>
      <c r="R295" s="32"/>
      <c r="S295" s="4"/>
      <c r="T295" s="32"/>
      <c r="U295" s="32"/>
      <c r="V295" s="32"/>
      <c r="W295" s="32"/>
      <c r="X295" s="33"/>
      <c r="Y295" s="33"/>
      <c r="Z295" s="31">
        <f>Table1[[#This Row],[Quantity of measruing units]]*Table1[[#This Row],[Rate (expected)]]</f>
        <v>0</v>
      </c>
      <c r="AA295" s="31"/>
      <c r="AB295" s="31"/>
      <c r="AC295" s="34">
        <f>Table1[[#This Row],[Quantity (expected)]]*Table1[[#This Row],[Rate (expected)2]]*0.9</f>
        <v>0</v>
      </c>
      <c r="AD295" s="34">
        <f>Table1[[#This Row],[Quantity (expected)]]*Table1[[#This Row],[Rate (expected)2]]*0.8</f>
        <v>0</v>
      </c>
      <c r="AE295" s="34">
        <f>Table1[[#This Row],[Quantity (expected)]]*Table1[[#This Row],[Rate (expected)2]]*0.7</f>
        <v>0</v>
      </c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1">
        <f>SUM(Table1[[#This Row],[Jan-23]:[Dec-23]])</f>
        <v>0</v>
      </c>
      <c r="AV295" s="105"/>
      <c r="AW295" s="32"/>
      <c r="AX295" s="35"/>
    </row>
    <row r="296" spans="1:50" x14ac:dyDescent="0.3">
      <c r="A296" s="30" t="str">
        <f>VLOOKUP(H296,'Accoount Code Combination'!$D:$L,8,FALSE)</f>
        <v xml:space="preserve">Facilities </v>
      </c>
      <c r="B296" s="31" t="str">
        <f>VLOOKUP(Table1[[#This Row],[Account Code]],'Accoount Code Combination'!$D:$L,9,FALSE)</f>
        <v>No Applicable</v>
      </c>
      <c r="C296" s="4" t="str">
        <f>VLOOKUP(Table1[[#This Row],[Cost Center Code]],'Cost Center Group'!A:B,2,FALSE)</f>
        <v>Administration, Facilities and EHS Office</v>
      </c>
      <c r="D296" s="4">
        <v>847</v>
      </c>
      <c r="E296" s="79">
        <v>8470520</v>
      </c>
      <c r="F296" s="32" t="s">
        <v>253</v>
      </c>
      <c r="G296" s="4">
        <v>1</v>
      </c>
      <c r="H296" s="95">
        <v>428200</v>
      </c>
      <c r="I296" s="106" t="str">
        <f>IFERROR(VLOOKUP(Table1[[#This Row],[Account Code]],'Accoount Code Combination'!$D:$H,2,FALSE),"")</f>
        <v>Health,safety&amp;environment awareness</v>
      </c>
      <c r="J296" s="79">
        <v>8470520</v>
      </c>
      <c r="K296" s="4"/>
      <c r="L296" s="4" t="str">
        <f>IFERROR(VLOOKUP(Table1[[#This Row],[Future-1 Description]],'Other '!E284:$F293,2,FALSE),"")</f>
        <v/>
      </c>
      <c r="M296" s="32"/>
      <c r="N296" s="32"/>
      <c r="O296" s="32"/>
      <c r="P296" s="49">
        <v>509371.8</v>
      </c>
      <c r="Q296" s="49">
        <v>395002</v>
      </c>
      <c r="R296" s="32"/>
      <c r="S296" s="4"/>
      <c r="T296" s="32"/>
      <c r="U296" s="32"/>
      <c r="V296" s="32"/>
      <c r="W296" s="32"/>
      <c r="X296" s="33"/>
      <c r="Y296" s="33"/>
      <c r="Z296" s="31">
        <f>Table1[[#This Row],[Quantity of measruing units]]*Table1[[#This Row],[Rate (expected)]]</f>
        <v>0</v>
      </c>
      <c r="AA296" s="31"/>
      <c r="AB296" s="31"/>
      <c r="AC296" s="34">
        <f>Table1[[#This Row],[Quantity (expected)]]*Table1[[#This Row],[Rate (expected)2]]*0.9</f>
        <v>0</v>
      </c>
      <c r="AD296" s="34">
        <f>Table1[[#This Row],[Quantity (expected)]]*Table1[[#This Row],[Rate (expected)2]]*0.8</f>
        <v>0</v>
      </c>
      <c r="AE296" s="34">
        <f>Table1[[#This Row],[Quantity (expected)]]*Table1[[#This Row],[Rate (expected)2]]*0.7</f>
        <v>0</v>
      </c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1">
        <f>SUM(Table1[[#This Row],[Jan-23]:[Dec-23]])</f>
        <v>0</v>
      </c>
      <c r="AV296" s="105"/>
      <c r="AW296" s="32"/>
      <c r="AX296" s="35"/>
    </row>
    <row r="297" spans="1:50" x14ac:dyDescent="0.3">
      <c r="A297" s="30">
        <f>VLOOKUP(H297,'Accoount Code Combination'!$D:$L,8,FALSE)</f>
        <v>0</v>
      </c>
      <c r="B297" s="31" t="str">
        <f>VLOOKUP(Table1[[#This Row],[Account Code]],'Accoount Code Combination'!$D:$L,9,FALSE)</f>
        <v>No Applicable</v>
      </c>
      <c r="C297" s="4" t="str">
        <f>VLOOKUP(Table1[[#This Row],[Cost Center Code]],'Cost Center Group'!A:B,2,FALSE)</f>
        <v>Administration, Facilities and EHS Office</v>
      </c>
      <c r="D297" s="4">
        <v>847</v>
      </c>
      <c r="E297" s="79">
        <v>8470520</v>
      </c>
      <c r="F297" s="32" t="s">
        <v>253</v>
      </c>
      <c r="G297" s="4">
        <v>1</v>
      </c>
      <c r="H297" s="95">
        <v>492316</v>
      </c>
      <c r="I297" s="106" t="str">
        <f>IFERROR(VLOOKUP(Table1[[#This Row],[Account Code]],'Accoount Code Combination'!$D:$H,2,FALSE),"")</f>
        <v>Laboratory equipment</v>
      </c>
      <c r="J297" s="79">
        <v>8470520</v>
      </c>
      <c r="K297" s="4"/>
      <c r="L297" s="4" t="str">
        <f>IFERROR(VLOOKUP(Table1[[#This Row],[Future-1 Description]],'Other '!E285:$F294,2,FALSE),"")</f>
        <v/>
      </c>
      <c r="M297" s="32"/>
      <c r="N297" s="32"/>
      <c r="O297" s="32"/>
      <c r="P297" s="49">
        <v>501601.43</v>
      </c>
      <c r="Q297" s="49">
        <v>0</v>
      </c>
      <c r="R297" s="32"/>
      <c r="S297" s="4"/>
      <c r="T297" s="32"/>
      <c r="U297" s="32"/>
      <c r="V297" s="32"/>
      <c r="W297" s="32"/>
      <c r="X297" s="33"/>
      <c r="Y297" s="33"/>
      <c r="Z297" s="31">
        <f>Table1[[#This Row],[Quantity of measruing units]]*Table1[[#This Row],[Rate (expected)]]</f>
        <v>0</v>
      </c>
      <c r="AA297" s="31"/>
      <c r="AB297" s="31"/>
      <c r="AC297" s="34">
        <f>Table1[[#This Row],[Quantity (expected)]]*Table1[[#This Row],[Rate (expected)2]]*0.9</f>
        <v>0</v>
      </c>
      <c r="AD297" s="34">
        <f>Table1[[#This Row],[Quantity (expected)]]*Table1[[#This Row],[Rate (expected)2]]*0.8</f>
        <v>0</v>
      </c>
      <c r="AE297" s="34">
        <f>Table1[[#This Row],[Quantity (expected)]]*Table1[[#This Row],[Rate (expected)2]]*0.7</f>
        <v>0</v>
      </c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1">
        <f>SUM(Table1[[#This Row],[Jan-23]:[Dec-23]])</f>
        <v>0</v>
      </c>
      <c r="AV297" s="105"/>
      <c r="AW297" s="32"/>
      <c r="AX297" s="35"/>
    </row>
    <row r="298" spans="1:50" x14ac:dyDescent="0.3">
      <c r="A298" s="30" t="str">
        <f>VLOOKUP(H298,'Accoount Code Combination'!$D:$L,8,FALSE)</f>
        <v xml:space="preserve">Facilities </v>
      </c>
      <c r="B298" s="31" t="str">
        <f>VLOOKUP(Table1[[#This Row],[Account Code]],'Accoount Code Combination'!$D:$L,9,FALSE)</f>
        <v>No Applicable</v>
      </c>
      <c r="C298" s="4" t="str">
        <f>VLOOKUP(Table1[[#This Row],[Cost Center Code]],'Cost Center Group'!A:B,2,FALSE)</f>
        <v>Administration, Facilities and EHS Office</v>
      </c>
      <c r="D298" s="4">
        <v>847</v>
      </c>
      <c r="E298" s="79">
        <v>8470530</v>
      </c>
      <c r="F298" s="32" t="s">
        <v>165</v>
      </c>
      <c r="G298" s="4">
        <v>1</v>
      </c>
      <c r="H298" s="95">
        <v>420310</v>
      </c>
      <c r="I298" s="106" t="str">
        <f>IFERROR(VLOOKUP(Table1[[#This Row],[Account Code]],'Accoount Code Combination'!$D:$H,2,FALSE),"")</f>
        <v>Cleaning: Business premises</v>
      </c>
      <c r="J298" s="79">
        <v>8470530</v>
      </c>
      <c r="K298" s="4"/>
      <c r="L298" s="4" t="str">
        <f>IFERROR(VLOOKUP(Table1[[#This Row],[Future-1 Description]],'Other '!E286:$F295,2,FALSE),"")</f>
        <v/>
      </c>
      <c r="M298" s="32"/>
      <c r="N298" s="32"/>
      <c r="O298" s="32"/>
      <c r="P298" s="49">
        <v>3622169.15</v>
      </c>
      <c r="Q298" s="49">
        <v>3624891</v>
      </c>
      <c r="R298" s="32"/>
      <c r="S298" s="4"/>
      <c r="T298" s="32"/>
      <c r="U298" s="32"/>
      <c r="V298" s="32"/>
      <c r="W298" s="32"/>
      <c r="X298" s="33"/>
      <c r="Y298" s="33"/>
      <c r="Z298" s="31">
        <f>Table1[[#This Row],[Quantity of measruing units]]*Table1[[#This Row],[Rate (expected)]]</f>
        <v>0</v>
      </c>
      <c r="AA298" s="31"/>
      <c r="AB298" s="31"/>
      <c r="AC298" s="34">
        <f>Table1[[#This Row],[Quantity (expected)]]*Table1[[#This Row],[Rate (expected)2]]*0.9</f>
        <v>0</v>
      </c>
      <c r="AD298" s="34">
        <f>Table1[[#This Row],[Quantity (expected)]]*Table1[[#This Row],[Rate (expected)2]]*0.8</f>
        <v>0</v>
      </c>
      <c r="AE298" s="34">
        <f>Table1[[#This Row],[Quantity (expected)]]*Table1[[#This Row],[Rate (expected)2]]*0.7</f>
        <v>0</v>
      </c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1">
        <f>SUM(Table1[[#This Row],[Jan-23]:[Dec-23]])</f>
        <v>0</v>
      </c>
      <c r="AV298" s="105"/>
      <c r="AW298" s="32"/>
      <c r="AX298" s="35"/>
    </row>
    <row r="299" spans="1:50" x14ac:dyDescent="0.3">
      <c r="A299" s="30" t="str">
        <f>VLOOKUP(H299,'Accoount Code Combination'!$D:$L,8,FALSE)</f>
        <v xml:space="preserve">Facilities </v>
      </c>
      <c r="B299" s="31" t="str">
        <f>VLOOKUP(Table1[[#This Row],[Account Code]],'Accoount Code Combination'!$D:$L,9,FALSE)</f>
        <v>No Applicable</v>
      </c>
      <c r="C299" s="4" t="str">
        <f>VLOOKUP(Table1[[#This Row],[Cost Center Code]],'Cost Center Group'!A:B,2,FALSE)</f>
        <v>Administration, Facilities and EHS Office</v>
      </c>
      <c r="D299" s="4">
        <v>847</v>
      </c>
      <c r="E299" s="79">
        <v>8470530</v>
      </c>
      <c r="F299" s="32" t="s">
        <v>165</v>
      </c>
      <c r="G299" s="4">
        <v>1</v>
      </c>
      <c r="H299" s="95">
        <v>420310</v>
      </c>
      <c r="I299" s="106" t="str">
        <f>IFERROR(VLOOKUP(Table1[[#This Row],[Account Code]],'Accoount Code Combination'!$D:$H,2,FALSE),"")</f>
        <v>Cleaning: Business premises</v>
      </c>
      <c r="J299" s="79">
        <v>8470530</v>
      </c>
      <c r="K299" s="4"/>
      <c r="L299" s="4" t="str">
        <f>IFERROR(VLOOKUP(Table1[[#This Row],[Future-1 Description]],'Other '!E287:$F296,2,FALSE),"")</f>
        <v/>
      </c>
      <c r="M299" s="32"/>
      <c r="N299" s="32"/>
      <c r="O299" s="32"/>
      <c r="P299" s="49">
        <v>2915953.25</v>
      </c>
      <c r="Q299" s="49">
        <v>2974196</v>
      </c>
      <c r="R299" s="32"/>
      <c r="S299" s="4"/>
      <c r="T299" s="32"/>
      <c r="U299" s="32"/>
      <c r="V299" s="32"/>
      <c r="W299" s="32"/>
      <c r="X299" s="33"/>
      <c r="Y299" s="33"/>
      <c r="Z299" s="31">
        <f>Table1[[#This Row],[Quantity of measruing units]]*Table1[[#This Row],[Rate (expected)]]</f>
        <v>0</v>
      </c>
      <c r="AA299" s="31"/>
      <c r="AB299" s="31"/>
      <c r="AC299" s="34">
        <f>Table1[[#This Row],[Quantity (expected)]]*Table1[[#This Row],[Rate (expected)2]]*0.9</f>
        <v>0</v>
      </c>
      <c r="AD299" s="34">
        <f>Table1[[#This Row],[Quantity (expected)]]*Table1[[#This Row],[Rate (expected)2]]*0.8</f>
        <v>0</v>
      </c>
      <c r="AE299" s="34">
        <f>Table1[[#This Row],[Quantity (expected)]]*Table1[[#This Row],[Rate (expected)2]]*0.7</f>
        <v>0</v>
      </c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1">
        <f>SUM(Table1[[#This Row],[Jan-23]:[Dec-23]])</f>
        <v>0</v>
      </c>
      <c r="AV299" s="105"/>
      <c r="AW299" s="32"/>
      <c r="AX299" s="35"/>
    </row>
    <row r="300" spans="1:50" x14ac:dyDescent="0.3">
      <c r="A300" s="30" t="str">
        <f>VLOOKUP(H300,'Accoount Code Combination'!$D:$L,8,FALSE)</f>
        <v xml:space="preserve">Facilities </v>
      </c>
      <c r="B300" s="31" t="str">
        <f>VLOOKUP(Table1[[#This Row],[Account Code]],'Accoount Code Combination'!$D:$L,9,FALSE)</f>
        <v>No Applicable</v>
      </c>
      <c r="C300" s="4" t="str">
        <f>VLOOKUP(Table1[[#This Row],[Cost Center Code]],'Cost Center Group'!A:B,2,FALSE)</f>
        <v>Administration, Facilities and EHS Office</v>
      </c>
      <c r="D300" s="4">
        <v>847</v>
      </c>
      <c r="E300" s="79">
        <v>8470530</v>
      </c>
      <c r="F300" s="32" t="s">
        <v>165</v>
      </c>
      <c r="G300" s="4">
        <v>1</v>
      </c>
      <c r="H300" s="95">
        <v>420310</v>
      </c>
      <c r="I300" s="106" t="str">
        <f>IFERROR(VLOOKUP(Table1[[#This Row],[Account Code]],'Accoount Code Combination'!$D:$H,2,FALSE),"")</f>
        <v>Cleaning: Business premises</v>
      </c>
      <c r="J300" s="79">
        <v>8470530</v>
      </c>
      <c r="K300" s="4"/>
      <c r="L300" s="4" t="str">
        <f>IFERROR(VLOOKUP(Table1[[#This Row],[Future-1 Description]],'Other '!E288:$F297,2,FALSE),"")</f>
        <v/>
      </c>
      <c r="M300" s="32"/>
      <c r="N300" s="32"/>
      <c r="O300" s="32"/>
      <c r="P300" s="49">
        <v>2457310.02</v>
      </c>
      <c r="Q300" s="49">
        <v>710000</v>
      </c>
      <c r="R300" s="32"/>
      <c r="S300" s="4"/>
      <c r="T300" s="32"/>
      <c r="U300" s="32"/>
      <c r="V300" s="32"/>
      <c r="W300" s="32"/>
      <c r="X300" s="33"/>
      <c r="Y300" s="33"/>
      <c r="Z300" s="31">
        <f>Table1[[#This Row],[Quantity of measruing units]]*Table1[[#This Row],[Rate (expected)]]</f>
        <v>0</v>
      </c>
      <c r="AA300" s="31"/>
      <c r="AB300" s="31"/>
      <c r="AC300" s="34">
        <f>Table1[[#This Row],[Quantity (expected)]]*Table1[[#This Row],[Rate (expected)2]]*0.9</f>
        <v>0</v>
      </c>
      <c r="AD300" s="34">
        <f>Table1[[#This Row],[Quantity (expected)]]*Table1[[#This Row],[Rate (expected)2]]*0.8</f>
        <v>0</v>
      </c>
      <c r="AE300" s="34">
        <f>Table1[[#This Row],[Quantity (expected)]]*Table1[[#This Row],[Rate (expected)2]]*0.7</f>
        <v>0</v>
      </c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1">
        <f>SUM(Table1[[#This Row],[Jan-23]:[Dec-23]])</f>
        <v>0</v>
      </c>
      <c r="AV300" s="105"/>
      <c r="AW300" s="32"/>
      <c r="AX300" s="35"/>
    </row>
    <row r="301" spans="1:50" x14ac:dyDescent="0.3">
      <c r="A301" s="30" t="str">
        <f>VLOOKUP(H301,'Accoount Code Combination'!$D:$L,8,FALSE)</f>
        <v>HR</v>
      </c>
      <c r="B301" s="31" t="str">
        <f>VLOOKUP(Table1[[#This Row],[Account Code]],'Accoount Code Combination'!$D:$L,9,FALSE)</f>
        <v>Outsourcing</v>
      </c>
      <c r="C301" s="4" t="str">
        <f>VLOOKUP(Table1[[#This Row],[Cost Center Code]],'Cost Center Group'!A:B,2,FALSE)</f>
        <v>Administration, Facilities and EHS Office</v>
      </c>
      <c r="D301" s="4">
        <v>847</v>
      </c>
      <c r="E301" s="79">
        <v>8470530</v>
      </c>
      <c r="F301" s="32" t="s">
        <v>165</v>
      </c>
      <c r="G301" s="4">
        <v>1</v>
      </c>
      <c r="H301" s="95">
        <v>421100</v>
      </c>
      <c r="I301" s="106" t="str">
        <f>IFERROR(VLOOKUP(Table1[[#This Row],[Account Code]],'Accoount Code Combination'!$D:$H,2,FALSE),"")</f>
        <v>Manpower supply</v>
      </c>
      <c r="J301" s="79">
        <v>8470530</v>
      </c>
      <c r="K301" s="4"/>
      <c r="L301" s="4" t="str">
        <f>IFERROR(VLOOKUP(Table1[[#This Row],[Future-1 Description]],'Other '!E289:$F298,2,FALSE),"")</f>
        <v/>
      </c>
      <c r="M301" s="32"/>
      <c r="N301" s="32"/>
      <c r="O301" s="32"/>
      <c r="P301" s="49">
        <v>2941194.9</v>
      </c>
      <c r="Q301" s="49">
        <v>863098</v>
      </c>
      <c r="R301" s="32"/>
      <c r="S301" s="4"/>
      <c r="T301" s="32"/>
      <c r="U301" s="32"/>
      <c r="V301" s="32"/>
      <c r="W301" s="32"/>
      <c r="X301" s="33"/>
      <c r="Y301" s="33"/>
      <c r="Z301" s="31">
        <f>Table1[[#This Row],[Quantity of measruing units]]*Table1[[#This Row],[Rate (expected)]]</f>
        <v>0</v>
      </c>
      <c r="AA301" s="31"/>
      <c r="AB301" s="31"/>
      <c r="AC301" s="34">
        <f>Table1[[#This Row],[Quantity (expected)]]*Table1[[#This Row],[Rate (expected)2]]*0.9</f>
        <v>0</v>
      </c>
      <c r="AD301" s="34">
        <f>Table1[[#This Row],[Quantity (expected)]]*Table1[[#This Row],[Rate (expected)2]]*0.8</f>
        <v>0</v>
      </c>
      <c r="AE301" s="34">
        <f>Table1[[#This Row],[Quantity (expected)]]*Table1[[#This Row],[Rate (expected)2]]*0.7</f>
        <v>0</v>
      </c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1">
        <f>SUM(Table1[[#This Row],[Jan-23]:[Dec-23]])</f>
        <v>0</v>
      </c>
      <c r="AV301" s="105"/>
      <c r="AW301" s="32"/>
      <c r="AX301" s="35"/>
    </row>
    <row r="302" spans="1:50" x14ac:dyDescent="0.3">
      <c r="A302" s="30" t="str">
        <f>VLOOKUP(H302,'Accoount Code Combination'!$D:$L,8,FALSE)</f>
        <v xml:space="preserve">Facilities </v>
      </c>
      <c r="B302" s="31" t="str">
        <f>VLOOKUP(Table1[[#This Row],[Account Code]],'Accoount Code Combination'!$D:$L,9,FALSE)</f>
        <v>No Applicable</v>
      </c>
      <c r="C302" s="4" t="str">
        <f>VLOOKUP(Table1[[#This Row],[Cost Center Code]],'Cost Center Group'!A:B,2,FALSE)</f>
        <v>Administration, Facilities and EHS Office</v>
      </c>
      <c r="D302" s="4">
        <v>847</v>
      </c>
      <c r="E302" s="79">
        <v>8470530</v>
      </c>
      <c r="F302" s="32" t="s">
        <v>165</v>
      </c>
      <c r="G302" s="4">
        <v>1</v>
      </c>
      <c r="H302" s="95">
        <v>421600</v>
      </c>
      <c r="I302" s="106" t="str">
        <f>IFERROR(VLOOKUP(Table1[[#This Row],[Account Code]],'Accoount Code Combination'!$D:$H,2,FALSE),"")</f>
        <v>Security service</v>
      </c>
      <c r="J302" s="79">
        <v>8470530</v>
      </c>
      <c r="K302" s="4"/>
      <c r="L302" s="4" t="str">
        <f>IFERROR(VLOOKUP(Table1[[#This Row],[Future-1 Description]],'Other '!E290:$F299,2,FALSE),"")</f>
        <v/>
      </c>
      <c r="M302" s="32"/>
      <c r="N302" s="32"/>
      <c r="O302" s="32"/>
      <c r="P302" s="49">
        <v>2677273.62</v>
      </c>
      <c r="Q302" s="49">
        <v>2070129</v>
      </c>
      <c r="R302" s="32"/>
      <c r="S302" s="4"/>
      <c r="T302" s="32"/>
      <c r="U302" s="32"/>
      <c r="V302" s="32"/>
      <c r="W302" s="32"/>
      <c r="X302" s="33"/>
      <c r="Y302" s="33"/>
      <c r="Z302" s="31">
        <f>Table1[[#This Row],[Quantity of measruing units]]*Table1[[#This Row],[Rate (expected)]]</f>
        <v>0</v>
      </c>
      <c r="AA302" s="31"/>
      <c r="AB302" s="31"/>
      <c r="AC302" s="34">
        <f>Table1[[#This Row],[Quantity (expected)]]*Table1[[#This Row],[Rate (expected)2]]*0.9</f>
        <v>0</v>
      </c>
      <c r="AD302" s="34">
        <f>Table1[[#This Row],[Quantity (expected)]]*Table1[[#This Row],[Rate (expected)2]]*0.8</f>
        <v>0</v>
      </c>
      <c r="AE302" s="34">
        <f>Table1[[#This Row],[Quantity (expected)]]*Table1[[#This Row],[Rate (expected)2]]*0.7</f>
        <v>0</v>
      </c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1">
        <f>SUM(Table1[[#This Row],[Jan-23]:[Dec-23]])</f>
        <v>0</v>
      </c>
      <c r="AV302" s="105"/>
      <c r="AW302" s="32"/>
      <c r="AX302" s="35"/>
    </row>
    <row r="303" spans="1:50" x14ac:dyDescent="0.3">
      <c r="A303" s="30" t="str">
        <f>VLOOKUP(H303,'Accoount Code Combination'!$D:$L,8,FALSE)</f>
        <v xml:space="preserve">Facilities </v>
      </c>
      <c r="B303" s="31" t="str">
        <f>VLOOKUP(Table1[[#This Row],[Account Code]],'Accoount Code Combination'!$D:$L,9,FALSE)</f>
        <v>No Applicable</v>
      </c>
      <c r="C303" s="4" t="str">
        <f>VLOOKUP(Table1[[#This Row],[Cost Center Code]],'Cost Center Group'!A:B,2,FALSE)</f>
        <v>Administration, Facilities and EHS Office</v>
      </c>
      <c r="D303" s="4">
        <v>847</v>
      </c>
      <c r="E303" s="79">
        <v>8470530</v>
      </c>
      <c r="F303" s="32" t="s">
        <v>165</v>
      </c>
      <c r="G303" s="4">
        <v>1</v>
      </c>
      <c r="H303" s="95">
        <v>421600</v>
      </c>
      <c r="I303" s="106" t="str">
        <f>IFERROR(VLOOKUP(Table1[[#This Row],[Account Code]],'Accoount Code Combination'!$D:$H,2,FALSE),"")</f>
        <v>Security service</v>
      </c>
      <c r="J303" s="79">
        <v>8470530</v>
      </c>
      <c r="K303" s="4"/>
      <c r="L303" s="4" t="str">
        <f>IFERROR(VLOOKUP(Table1[[#This Row],[Future-1 Description]],'Other '!E291:$F300,2,FALSE),"")</f>
        <v/>
      </c>
      <c r="M303" s="32"/>
      <c r="N303" s="32"/>
      <c r="O303" s="32"/>
      <c r="P303" s="49">
        <v>3533661.37</v>
      </c>
      <c r="Q303" s="49">
        <v>2596024</v>
      </c>
      <c r="R303" s="32"/>
      <c r="S303" s="4"/>
      <c r="T303" s="32"/>
      <c r="U303" s="32"/>
      <c r="V303" s="32"/>
      <c r="W303" s="32"/>
      <c r="X303" s="33"/>
      <c r="Y303" s="33"/>
      <c r="Z303" s="31">
        <f>Table1[[#This Row],[Quantity of measruing units]]*Table1[[#This Row],[Rate (expected)]]</f>
        <v>0</v>
      </c>
      <c r="AA303" s="31"/>
      <c r="AB303" s="31"/>
      <c r="AC303" s="34">
        <f>Table1[[#This Row],[Quantity (expected)]]*Table1[[#This Row],[Rate (expected)2]]*0.9</f>
        <v>0</v>
      </c>
      <c r="AD303" s="34">
        <f>Table1[[#This Row],[Quantity (expected)]]*Table1[[#This Row],[Rate (expected)2]]*0.8</f>
        <v>0</v>
      </c>
      <c r="AE303" s="34">
        <f>Table1[[#This Row],[Quantity (expected)]]*Table1[[#This Row],[Rate (expected)2]]*0.7</f>
        <v>0</v>
      </c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1">
        <f>SUM(Table1[[#This Row],[Jan-23]:[Dec-23]])</f>
        <v>0</v>
      </c>
      <c r="AV303" s="105"/>
      <c r="AW303" s="32"/>
      <c r="AX303" s="35"/>
    </row>
    <row r="304" spans="1:50" x14ac:dyDescent="0.3">
      <c r="A304" s="30" t="str">
        <f>VLOOKUP(H304,'Accoount Code Combination'!$D:$L,8,FALSE)</f>
        <v xml:space="preserve">Facilities </v>
      </c>
      <c r="B304" s="31" t="str">
        <f>VLOOKUP(Table1[[#This Row],[Account Code]],'Accoount Code Combination'!$D:$L,9,FALSE)</f>
        <v>No Applicable</v>
      </c>
      <c r="C304" s="4" t="str">
        <f>VLOOKUP(Table1[[#This Row],[Cost Center Code]],'Cost Center Group'!A:B,2,FALSE)</f>
        <v>Administration, Facilities and EHS Office</v>
      </c>
      <c r="D304" s="4">
        <v>847</v>
      </c>
      <c r="E304" s="79">
        <v>8470530</v>
      </c>
      <c r="F304" s="32" t="s">
        <v>165</v>
      </c>
      <c r="G304" s="4">
        <v>1</v>
      </c>
      <c r="H304" s="95">
        <v>421600</v>
      </c>
      <c r="I304" s="106" t="str">
        <f>IFERROR(VLOOKUP(Table1[[#This Row],[Account Code]],'Accoount Code Combination'!$D:$H,2,FALSE),"")</f>
        <v>Security service</v>
      </c>
      <c r="J304" s="79">
        <v>8470530</v>
      </c>
      <c r="K304" s="4"/>
      <c r="L304" s="4" t="str">
        <f>IFERROR(VLOOKUP(Table1[[#This Row],[Future-1 Description]],'Other '!E292:$F301,2,FALSE),"")</f>
        <v/>
      </c>
      <c r="M304" s="32"/>
      <c r="N304" s="32"/>
      <c r="O304" s="32"/>
      <c r="P304" s="49">
        <v>76207.12</v>
      </c>
      <c r="Q304" s="49">
        <v>872780</v>
      </c>
      <c r="R304" s="32"/>
      <c r="S304" s="4"/>
      <c r="T304" s="32"/>
      <c r="U304" s="32"/>
      <c r="V304" s="32"/>
      <c r="W304" s="32"/>
      <c r="X304" s="33"/>
      <c r="Y304" s="33"/>
      <c r="Z304" s="31">
        <f>Table1[[#This Row],[Quantity of measruing units]]*Table1[[#This Row],[Rate (expected)]]</f>
        <v>0</v>
      </c>
      <c r="AA304" s="31"/>
      <c r="AB304" s="31"/>
      <c r="AC304" s="34">
        <f>Table1[[#This Row],[Quantity (expected)]]*Table1[[#This Row],[Rate (expected)2]]*0.9</f>
        <v>0</v>
      </c>
      <c r="AD304" s="34">
        <f>Table1[[#This Row],[Quantity (expected)]]*Table1[[#This Row],[Rate (expected)2]]*0.8</f>
        <v>0</v>
      </c>
      <c r="AE304" s="34">
        <f>Table1[[#This Row],[Quantity (expected)]]*Table1[[#This Row],[Rate (expected)2]]*0.7</f>
        <v>0</v>
      </c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1">
        <f>SUM(Table1[[#This Row],[Jan-23]:[Dec-23]])</f>
        <v>0</v>
      </c>
      <c r="AV304" s="105"/>
      <c r="AW304" s="32"/>
      <c r="AX304" s="35"/>
    </row>
    <row r="305" spans="1:50" ht="26" x14ac:dyDescent="0.3">
      <c r="A305" s="30" t="str">
        <f>VLOOKUP(H305,'Accoount Code Combination'!$D:$L,8,FALSE)</f>
        <v>Communiction &amp; Marketing</v>
      </c>
      <c r="B305" s="31" t="str">
        <f>VLOOKUP(Table1[[#This Row],[Account Code]],'Accoount Code Combination'!$D:$L,9,FALSE)</f>
        <v>Events</v>
      </c>
      <c r="C305" s="4" t="str">
        <f>VLOOKUP(Table1[[#This Row],[Cost Center Code]],'Cost Center Group'!A:B,2,FALSE)</f>
        <v>Administration, Facilities and EHS Office</v>
      </c>
      <c r="D305" s="4">
        <v>847</v>
      </c>
      <c r="E305" s="79">
        <v>8470530</v>
      </c>
      <c r="F305" s="32" t="s">
        <v>165</v>
      </c>
      <c r="G305" s="4">
        <v>1</v>
      </c>
      <c r="H305" s="95">
        <v>425510</v>
      </c>
      <c r="I305" s="106" t="str">
        <f>IFERROR(VLOOKUP(Table1[[#This Row],[Account Code]],'Accoount Code Combination'!$D:$H,2,FALSE),"")</f>
        <v>Conferences, seminars and exhibitions and other events: - Local Events</v>
      </c>
      <c r="J305" s="79">
        <v>8470530</v>
      </c>
      <c r="K305" s="4"/>
      <c r="L305" s="4" t="str">
        <f>IFERROR(VLOOKUP(Table1[[#This Row],[Future-1 Description]],'Other '!E293:$F302,2,FALSE),"")</f>
        <v/>
      </c>
      <c r="M305" s="32"/>
      <c r="N305" s="32"/>
      <c r="O305" s="32"/>
      <c r="P305" s="49">
        <v>78</v>
      </c>
      <c r="Q305" s="49">
        <v>78</v>
      </c>
      <c r="R305" s="32"/>
      <c r="S305" s="4"/>
      <c r="T305" s="32"/>
      <c r="U305" s="32"/>
      <c r="V305" s="32"/>
      <c r="W305" s="32"/>
      <c r="X305" s="33"/>
      <c r="Y305" s="33"/>
      <c r="Z305" s="31">
        <f>Table1[[#This Row],[Quantity of measruing units]]*Table1[[#This Row],[Rate (expected)]]</f>
        <v>0</v>
      </c>
      <c r="AA305" s="31"/>
      <c r="AB305" s="31"/>
      <c r="AC305" s="34">
        <f>Table1[[#This Row],[Quantity (expected)]]*Table1[[#This Row],[Rate (expected)2]]*0.9</f>
        <v>0</v>
      </c>
      <c r="AD305" s="34">
        <f>Table1[[#This Row],[Quantity (expected)]]*Table1[[#This Row],[Rate (expected)2]]*0.8</f>
        <v>0</v>
      </c>
      <c r="AE305" s="34">
        <f>Table1[[#This Row],[Quantity (expected)]]*Table1[[#This Row],[Rate (expected)2]]*0.7</f>
        <v>0</v>
      </c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1">
        <f>SUM(Table1[[#This Row],[Jan-23]:[Dec-23]])</f>
        <v>0</v>
      </c>
      <c r="AV305" s="105"/>
      <c r="AW305" s="32"/>
      <c r="AX305" s="35"/>
    </row>
    <row r="306" spans="1:50" x14ac:dyDescent="0.3">
      <c r="A306" s="30" t="str">
        <f>VLOOKUP(H306,'Accoount Code Combination'!$D:$L,8,FALSE)</f>
        <v>Other support</v>
      </c>
      <c r="B306" s="31" t="str">
        <f>VLOOKUP(Table1[[#This Row],[Account Code]],'Accoount Code Combination'!$D:$L,9,FALSE)</f>
        <v>No Applicable</v>
      </c>
      <c r="C306" s="4" t="str">
        <f>VLOOKUP(Table1[[#This Row],[Cost Center Code]],'Cost Center Group'!A:B,2,FALSE)</f>
        <v>Administration, Facilities and EHS Office</v>
      </c>
      <c r="D306" s="4">
        <v>847</v>
      </c>
      <c r="E306" s="79">
        <v>8470530</v>
      </c>
      <c r="F306" s="32" t="s">
        <v>165</v>
      </c>
      <c r="G306" s="4">
        <v>1</v>
      </c>
      <c r="H306" s="95">
        <v>425900</v>
      </c>
      <c r="I306" s="106" t="str">
        <f>IFERROR(VLOOKUP(Table1[[#This Row],[Account Code]],'Accoount Code Combination'!$D:$H,2,FALSE),"")</f>
        <v>Entertainment and hospitality</v>
      </c>
      <c r="J306" s="79">
        <v>8470530</v>
      </c>
      <c r="K306" s="4"/>
      <c r="L306" s="4" t="str">
        <f>IFERROR(VLOOKUP(Table1[[#This Row],[Future-1 Description]],'Other '!E294:$F303,2,FALSE),"")</f>
        <v/>
      </c>
      <c r="M306" s="32"/>
      <c r="N306" s="32"/>
      <c r="O306" s="32"/>
      <c r="P306" s="49">
        <v>0</v>
      </c>
      <c r="Q306" s="49">
        <v>0</v>
      </c>
      <c r="R306" s="32"/>
      <c r="S306" s="4"/>
      <c r="T306" s="32"/>
      <c r="U306" s="32"/>
      <c r="V306" s="32"/>
      <c r="W306" s="32"/>
      <c r="X306" s="33"/>
      <c r="Y306" s="33"/>
      <c r="Z306" s="31">
        <f>Table1[[#This Row],[Quantity of measruing units]]*Table1[[#This Row],[Rate (expected)]]</f>
        <v>0</v>
      </c>
      <c r="AA306" s="31"/>
      <c r="AB306" s="31"/>
      <c r="AC306" s="34">
        <f>Table1[[#This Row],[Quantity (expected)]]*Table1[[#This Row],[Rate (expected)2]]*0.9</f>
        <v>0</v>
      </c>
      <c r="AD306" s="34">
        <f>Table1[[#This Row],[Quantity (expected)]]*Table1[[#This Row],[Rate (expected)2]]*0.8</f>
        <v>0</v>
      </c>
      <c r="AE306" s="34">
        <f>Table1[[#This Row],[Quantity (expected)]]*Table1[[#This Row],[Rate (expected)2]]*0.7</f>
        <v>0</v>
      </c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1">
        <f>SUM(Table1[[#This Row],[Jan-23]:[Dec-23]])</f>
        <v>0</v>
      </c>
      <c r="AV306" s="105"/>
      <c r="AW306" s="32"/>
      <c r="AX306" s="35"/>
    </row>
    <row r="307" spans="1:50" x14ac:dyDescent="0.3">
      <c r="A307" s="30" t="str">
        <f>VLOOKUP(H307,'Accoount Code Combination'!$D:$L,8,FALSE)</f>
        <v xml:space="preserve">Facilities </v>
      </c>
      <c r="B307" s="31" t="str">
        <f>VLOOKUP(Table1[[#This Row],[Account Code]],'Accoount Code Combination'!$D:$L,9,FALSE)</f>
        <v>No Applicable</v>
      </c>
      <c r="C307" s="4" t="str">
        <f>VLOOKUP(Table1[[#This Row],[Cost Center Code]],'Cost Center Group'!A:B,2,FALSE)</f>
        <v>Administration, Facilities and EHS Office</v>
      </c>
      <c r="D307" s="4">
        <v>847</v>
      </c>
      <c r="E307" s="79">
        <v>8470530</v>
      </c>
      <c r="F307" s="32" t="s">
        <v>165</v>
      </c>
      <c r="G307" s="4">
        <v>1</v>
      </c>
      <c r="H307" s="95">
        <v>426210</v>
      </c>
      <c r="I307" s="106" t="str">
        <f>IFERROR(VLOOKUP(Table1[[#This Row],[Account Code]],'Accoount Code Combination'!$D:$H,2,FALSE),"")</f>
        <v>Insurance - Cash and fidelity</v>
      </c>
      <c r="J307" s="79">
        <v>8470530</v>
      </c>
      <c r="K307" s="4"/>
      <c r="L307" s="4" t="str">
        <f>IFERROR(VLOOKUP(Table1[[#This Row],[Future-1 Description]],'Other '!E295:$F304,2,FALSE),"")</f>
        <v/>
      </c>
      <c r="M307" s="32"/>
      <c r="N307" s="32"/>
      <c r="O307" s="32"/>
      <c r="P307" s="49">
        <v>3156.73</v>
      </c>
      <c r="Q307" s="49">
        <v>6221</v>
      </c>
      <c r="R307" s="32"/>
      <c r="S307" s="4"/>
      <c r="T307" s="32"/>
      <c r="U307" s="32"/>
      <c r="V307" s="32"/>
      <c r="W307" s="32"/>
      <c r="X307" s="33"/>
      <c r="Y307" s="33"/>
      <c r="Z307" s="31">
        <f>Table1[[#This Row],[Quantity of measruing units]]*Table1[[#This Row],[Rate (expected)]]</f>
        <v>0</v>
      </c>
      <c r="AA307" s="31"/>
      <c r="AB307" s="31"/>
      <c r="AC307" s="34">
        <f>Table1[[#This Row],[Quantity (expected)]]*Table1[[#This Row],[Rate (expected)2]]*0.9</f>
        <v>0</v>
      </c>
      <c r="AD307" s="34">
        <f>Table1[[#This Row],[Quantity (expected)]]*Table1[[#This Row],[Rate (expected)2]]*0.8</f>
        <v>0</v>
      </c>
      <c r="AE307" s="34">
        <f>Table1[[#This Row],[Quantity (expected)]]*Table1[[#This Row],[Rate (expected)2]]*0.7</f>
        <v>0</v>
      </c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1">
        <f>SUM(Table1[[#This Row],[Jan-23]:[Dec-23]])</f>
        <v>0</v>
      </c>
      <c r="AV307" s="105"/>
      <c r="AW307" s="32"/>
      <c r="AX307" s="35"/>
    </row>
    <row r="308" spans="1:50" x14ac:dyDescent="0.3">
      <c r="A308" s="30" t="str">
        <f>VLOOKUP(H308,'Accoount Code Combination'!$D:$L,8,FALSE)</f>
        <v xml:space="preserve">Facilities </v>
      </c>
      <c r="B308" s="31" t="str">
        <f>VLOOKUP(Table1[[#This Row],[Account Code]],'Accoount Code Combination'!$D:$L,9,FALSE)</f>
        <v>No Applicable</v>
      </c>
      <c r="C308" s="4" t="str">
        <f>VLOOKUP(Table1[[#This Row],[Cost Center Code]],'Cost Center Group'!A:B,2,FALSE)</f>
        <v>Administration, Facilities and EHS Office</v>
      </c>
      <c r="D308" s="4">
        <v>847</v>
      </c>
      <c r="E308" s="79">
        <v>8470530</v>
      </c>
      <c r="F308" s="32" t="s">
        <v>165</v>
      </c>
      <c r="G308" s="4">
        <v>1</v>
      </c>
      <c r="H308" s="95">
        <v>426220</v>
      </c>
      <c r="I308" s="106" t="str">
        <f>IFERROR(VLOOKUP(Table1[[#This Row],[Account Code]],'Accoount Code Combination'!$D:$H,2,FALSE),"")</f>
        <v>Insurance - Fire and allied perils</v>
      </c>
      <c r="J308" s="79">
        <v>8470530</v>
      </c>
      <c r="K308" s="4"/>
      <c r="L308" s="4" t="str">
        <f>IFERROR(VLOOKUP(Table1[[#This Row],[Future-1 Description]],'Other '!E296:$F305,2,FALSE),"")</f>
        <v/>
      </c>
      <c r="M308" s="32"/>
      <c r="N308" s="32"/>
      <c r="O308" s="32"/>
      <c r="P308" s="49">
        <v>1013669.66</v>
      </c>
      <c r="Q308" s="49">
        <v>1667782</v>
      </c>
      <c r="R308" s="32"/>
      <c r="S308" s="4"/>
      <c r="T308" s="32"/>
      <c r="U308" s="32"/>
      <c r="V308" s="32"/>
      <c r="W308" s="32"/>
      <c r="X308" s="33"/>
      <c r="Y308" s="33"/>
      <c r="Z308" s="31">
        <f>Table1[[#This Row],[Quantity of measruing units]]*Table1[[#This Row],[Rate (expected)]]</f>
        <v>0</v>
      </c>
      <c r="AA308" s="31"/>
      <c r="AB308" s="31"/>
      <c r="AC308" s="34">
        <f>Table1[[#This Row],[Quantity (expected)]]*Table1[[#This Row],[Rate (expected)2]]*0.9</f>
        <v>0</v>
      </c>
      <c r="AD308" s="34">
        <f>Table1[[#This Row],[Quantity (expected)]]*Table1[[#This Row],[Rate (expected)2]]*0.8</f>
        <v>0</v>
      </c>
      <c r="AE308" s="34">
        <f>Table1[[#This Row],[Quantity (expected)]]*Table1[[#This Row],[Rate (expected)2]]*0.7</f>
        <v>0</v>
      </c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1">
        <f>SUM(Table1[[#This Row],[Jan-23]:[Dec-23]])</f>
        <v>0</v>
      </c>
      <c r="AV308" s="105"/>
      <c r="AW308" s="32"/>
      <c r="AX308" s="35"/>
    </row>
    <row r="309" spans="1:50" x14ac:dyDescent="0.3">
      <c r="A309" s="30" t="str">
        <f>VLOOKUP(H309,'Accoount Code Combination'!$D:$L,8,FALSE)</f>
        <v xml:space="preserve">Facilities </v>
      </c>
      <c r="B309" s="31" t="str">
        <f>VLOOKUP(Table1[[#This Row],[Account Code]],'Accoount Code Combination'!$D:$L,9,FALSE)</f>
        <v>No Applicable</v>
      </c>
      <c r="C309" s="4" t="str">
        <f>VLOOKUP(Table1[[#This Row],[Cost Center Code]],'Cost Center Group'!A:B,2,FALSE)</f>
        <v>Administration, Facilities and EHS Office</v>
      </c>
      <c r="D309" s="4">
        <v>847</v>
      </c>
      <c r="E309" s="79">
        <v>8470530</v>
      </c>
      <c r="F309" s="32" t="s">
        <v>165</v>
      </c>
      <c r="G309" s="4">
        <v>1</v>
      </c>
      <c r="H309" s="95">
        <v>426220</v>
      </c>
      <c r="I309" s="106" t="str">
        <f>IFERROR(VLOOKUP(Table1[[#This Row],[Account Code]],'Accoount Code Combination'!$D:$H,2,FALSE),"")</f>
        <v>Insurance - Fire and allied perils</v>
      </c>
      <c r="J309" s="79">
        <v>8470530</v>
      </c>
      <c r="K309" s="4"/>
      <c r="L309" s="4" t="str">
        <f>IFERROR(VLOOKUP(Table1[[#This Row],[Future-1 Description]],'Other '!E297:$F306,2,FALSE),"")</f>
        <v/>
      </c>
      <c r="M309" s="32"/>
      <c r="N309" s="32"/>
      <c r="O309" s="32"/>
      <c r="P309" s="49">
        <v>344130.56</v>
      </c>
      <c r="Q309" s="49">
        <v>48801</v>
      </c>
      <c r="R309" s="32"/>
      <c r="S309" s="4"/>
      <c r="T309" s="32"/>
      <c r="U309" s="32"/>
      <c r="V309" s="32"/>
      <c r="W309" s="32"/>
      <c r="X309" s="33"/>
      <c r="Y309" s="33"/>
      <c r="Z309" s="31">
        <f>Table1[[#This Row],[Quantity of measruing units]]*Table1[[#This Row],[Rate (expected)]]</f>
        <v>0</v>
      </c>
      <c r="AA309" s="31"/>
      <c r="AB309" s="31"/>
      <c r="AC309" s="34">
        <f>Table1[[#This Row],[Quantity (expected)]]*Table1[[#This Row],[Rate (expected)2]]*0.9</f>
        <v>0</v>
      </c>
      <c r="AD309" s="34">
        <f>Table1[[#This Row],[Quantity (expected)]]*Table1[[#This Row],[Rate (expected)2]]*0.8</f>
        <v>0</v>
      </c>
      <c r="AE309" s="34">
        <f>Table1[[#This Row],[Quantity (expected)]]*Table1[[#This Row],[Rate (expected)2]]*0.7</f>
        <v>0</v>
      </c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1">
        <f>SUM(Table1[[#This Row],[Jan-23]:[Dec-23]])</f>
        <v>0</v>
      </c>
      <c r="AV309" s="105"/>
      <c r="AW309" s="32"/>
      <c r="AX309" s="35"/>
    </row>
    <row r="310" spans="1:50" x14ac:dyDescent="0.3">
      <c r="A310" s="30" t="str">
        <f>VLOOKUP(H310,'Accoount Code Combination'!$D:$L,8,FALSE)</f>
        <v xml:space="preserve">Facilities </v>
      </c>
      <c r="B310" s="31" t="str">
        <f>VLOOKUP(Table1[[#This Row],[Account Code]],'Accoount Code Combination'!$D:$L,9,FALSE)</f>
        <v>No Applicable</v>
      </c>
      <c r="C310" s="4" t="str">
        <f>VLOOKUP(Table1[[#This Row],[Cost Center Code]],'Cost Center Group'!A:B,2,FALSE)</f>
        <v>Administration, Facilities and EHS Office</v>
      </c>
      <c r="D310" s="4">
        <v>847</v>
      </c>
      <c r="E310" s="79">
        <v>8470530</v>
      </c>
      <c r="F310" s="32" t="s">
        <v>165</v>
      </c>
      <c r="G310" s="4">
        <v>1</v>
      </c>
      <c r="H310" s="95">
        <v>426250</v>
      </c>
      <c r="I310" s="106" t="str">
        <f>IFERROR(VLOOKUP(Table1[[#This Row],[Account Code]],'Accoount Code Combination'!$D:$H,2,FALSE),"")</f>
        <v>Insurance - Motor vehicles</v>
      </c>
      <c r="J310" s="79">
        <v>8470530</v>
      </c>
      <c r="K310" s="4"/>
      <c r="L310" s="4" t="str">
        <f>IFERROR(VLOOKUP(Table1[[#This Row],[Future-1 Description]],'Other '!E298:$F307,2,FALSE),"")</f>
        <v/>
      </c>
      <c r="M310" s="32"/>
      <c r="N310" s="32"/>
      <c r="O310" s="32"/>
      <c r="P310" s="49">
        <v>17753.169999999998</v>
      </c>
      <c r="Q310" s="49">
        <v>50000</v>
      </c>
      <c r="R310" s="32"/>
      <c r="S310" s="4"/>
      <c r="T310" s="32"/>
      <c r="U310" s="32"/>
      <c r="V310" s="32"/>
      <c r="W310" s="32"/>
      <c r="X310" s="33"/>
      <c r="Y310" s="33"/>
      <c r="Z310" s="31">
        <f>Table1[[#This Row],[Quantity of measruing units]]*Table1[[#This Row],[Rate (expected)]]</f>
        <v>0</v>
      </c>
      <c r="AA310" s="31"/>
      <c r="AB310" s="31"/>
      <c r="AC310" s="34">
        <f>Table1[[#This Row],[Quantity (expected)]]*Table1[[#This Row],[Rate (expected)2]]*0.9</f>
        <v>0</v>
      </c>
      <c r="AD310" s="34">
        <f>Table1[[#This Row],[Quantity (expected)]]*Table1[[#This Row],[Rate (expected)2]]*0.8</f>
        <v>0</v>
      </c>
      <c r="AE310" s="34">
        <f>Table1[[#This Row],[Quantity (expected)]]*Table1[[#This Row],[Rate (expected)2]]*0.7</f>
        <v>0</v>
      </c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1">
        <f>SUM(Table1[[#This Row],[Jan-23]:[Dec-23]])</f>
        <v>0</v>
      </c>
      <c r="AV310" s="105"/>
      <c r="AW310" s="32"/>
      <c r="AX310" s="35"/>
    </row>
    <row r="311" spans="1:50" ht="26" x14ac:dyDescent="0.3">
      <c r="A311" s="30" t="str">
        <f>VLOOKUP(H311,'Accoount Code Combination'!$D:$L,8,FALSE)</f>
        <v xml:space="preserve">Facilities </v>
      </c>
      <c r="B311" s="31" t="str">
        <f>VLOOKUP(Table1[[#This Row],[Account Code]],'Accoount Code Combination'!$D:$L,9,FALSE)</f>
        <v>No Applicable</v>
      </c>
      <c r="C311" s="4" t="str">
        <f>VLOOKUP(Table1[[#This Row],[Cost Center Code]],'Cost Center Group'!A:B,2,FALSE)</f>
        <v>Administration, Facilities and EHS Office</v>
      </c>
      <c r="D311" s="4">
        <v>847</v>
      </c>
      <c r="E311" s="79">
        <v>8470530</v>
      </c>
      <c r="F311" s="32" t="s">
        <v>165</v>
      </c>
      <c r="G311" s="4">
        <v>1</v>
      </c>
      <c r="H311" s="95">
        <v>426800</v>
      </c>
      <c r="I311" s="106" t="str">
        <f>IFERROR(VLOOKUP(Table1[[#This Row],[Account Code]],'Accoount Code Combination'!$D:$H,2,FALSE),"")</f>
        <v>Motor vehicle registration and inspection charges</v>
      </c>
      <c r="J311" s="79">
        <v>8470530</v>
      </c>
      <c r="K311" s="4"/>
      <c r="L311" s="4" t="str">
        <f>IFERROR(VLOOKUP(Table1[[#This Row],[Future-1 Description]],'Other '!E299:$F308,2,FALSE),"")</f>
        <v/>
      </c>
      <c r="M311" s="32"/>
      <c r="N311" s="32"/>
      <c r="O311" s="32"/>
      <c r="P311" s="49">
        <v>6771.21</v>
      </c>
      <c r="Q311" s="49">
        <v>20000</v>
      </c>
      <c r="R311" s="32"/>
      <c r="S311" s="4"/>
      <c r="T311" s="32"/>
      <c r="U311" s="32"/>
      <c r="V311" s="32"/>
      <c r="W311" s="32"/>
      <c r="X311" s="33"/>
      <c r="Y311" s="33"/>
      <c r="Z311" s="31">
        <f>Table1[[#This Row],[Quantity of measruing units]]*Table1[[#This Row],[Rate (expected)]]</f>
        <v>0</v>
      </c>
      <c r="AA311" s="31"/>
      <c r="AB311" s="31"/>
      <c r="AC311" s="34">
        <f>Table1[[#This Row],[Quantity (expected)]]*Table1[[#This Row],[Rate (expected)2]]*0.9</f>
        <v>0</v>
      </c>
      <c r="AD311" s="34">
        <f>Table1[[#This Row],[Quantity (expected)]]*Table1[[#This Row],[Rate (expected)2]]*0.8</f>
        <v>0</v>
      </c>
      <c r="AE311" s="34">
        <f>Table1[[#This Row],[Quantity (expected)]]*Table1[[#This Row],[Rate (expected)2]]*0.7</f>
        <v>0</v>
      </c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1">
        <f>SUM(Table1[[#This Row],[Jan-23]:[Dec-23]])</f>
        <v>0</v>
      </c>
      <c r="AV311" s="105"/>
      <c r="AW311" s="32"/>
      <c r="AX311" s="35"/>
    </row>
    <row r="312" spans="1:50" ht="26" x14ac:dyDescent="0.3">
      <c r="A312" s="30" t="str">
        <f>VLOOKUP(H312,'Accoount Code Combination'!$D:$L,8,FALSE)</f>
        <v>HR</v>
      </c>
      <c r="B312" s="31" t="str">
        <f>VLOOKUP(Table1[[#This Row],[Account Code]],'Accoount Code Combination'!$D:$L,9,FALSE)</f>
        <v>No Applicable</v>
      </c>
      <c r="C312" s="4" t="str">
        <f>VLOOKUP(Table1[[#This Row],[Cost Center Code]],'Cost Center Group'!A:B,2,FALSE)</f>
        <v>Administration, Facilities and EHS Office</v>
      </c>
      <c r="D312" s="4">
        <v>847</v>
      </c>
      <c r="E312" s="79">
        <v>8470530</v>
      </c>
      <c r="F312" s="32" t="s">
        <v>165</v>
      </c>
      <c r="G312" s="4">
        <v>1</v>
      </c>
      <c r="H312" s="95">
        <v>426900</v>
      </c>
      <c r="I312" s="106" t="str">
        <f>IFERROR(VLOOKUP(Table1[[#This Row],[Account Code]],'Accoount Code Combination'!$D:$H,2,FALSE),"")</f>
        <v>Postal, courier and other document delivery expenses</v>
      </c>
      <c r="J312" s="79">
        <v>8470530</v>
      </c>
      <c r="K312" s="4"/>
      <c r="L312" s="4" t="str">
        <f>IFERROR(VLOOKUP(Table1[[#This Row],[Future-1 Description]],'Other '!E300:$F309,2,FALSE),"")</f>
        <v/>
      </c>
      <c r="M312" s="32"/>
      <c r="N312" s="32"/>
      <c r="O312" s="32"/>
      <c r="P312" s="49">
        <v>26537.360000000001</v>
      </c>
      <c r="Q312" s="49">
        <v>30000</v>
      </c>
      <c r="R312" s="32"/>
      <c r="S312" s="4"/>
      <c r="T312" s="32"/>
      <c r="U312" s="32"/>
      <c r="V312" s="32"/>
      <c r="W312" s="32"/>
      <c r="X312" s="33"/>
      <c r="Y312" s="33"/>
      <c r="Z312" s="31">
        <f>Table1[[#This Row],[Quantity of measruing units]]*Table1[[#This Row],[Rate (expected)]]</f>
        <v>0</v>
      </c>
      <c r="AA312" s="31"/>
      <c r="AB312" s="31"/>
      <c r="AC312" s="34">
        <f>Table1[[#This Row],[Quantity (expected)]]*Table1[[#This Row],[Rate (expected)2]]*0.9</f>
        <v>0</v>
      </c>
      <c r="AD312" s="34">
        <f>Table1[[#This Row],[Quantity (expected)]]*Table1[[#This Row],[Rate (expected)2]]*0.8</f>
        <v>0</v>
      </c>
      <c r="AE312" s="34">
        <f>Table1[[#This Row],[Quantity (expected)]]*Table1[[#This Row],[Rate (expected)2]]*0.7</f>
        <v>0</v>
      </c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1">
        <f>SUM(Table1[[#This Row],[Jan-23]:[Dec-23]])</f>
        <v>0</v>
      </c>
      <c r="AV312" s="105"/>
      <c r="AW312" s="32"/>
      <c r="AX312" s="35"/>
    </row>
    <row r="313" spans="1:50" x14ac:dyDescent="0.3">
      <c r="A313" s="30" t="str">
        <f>VLOOKUP(H313,'Accoount Code Combination'!$D:$L,8,FALSE)</f>
        <v xml:space="preserve">Academic </v>
      </c>
      <c r="B313" s="31" t="str">
        <f>VLOOKUP(Table1[[#This Row],[Account Code]],'Accoount Code Combination'!$D:$L,9,FALSE)</f>
        <v>No Applicable</v>
      </c>
      <c r="C313" s="4" t="str">
        <f>VLOOKUP(Table1[[#This Row],[Cost Center Code]],'Cost Center Group'!A:B,2,FALSE)</f>
        <v>Administration, Facilities and EHS Office</v>
      </c>
      <c r="D313" s="4">
        <v>847</v>
      </c>
      <c r="E313" s="79">
        <v>8470530</v>
      </c>
      <c r="F313" s="32" t="s">
        <v>165</v>
      </c>
      <c r="G313" s="4">
        <v>1</v>
      </c>
      <c r="H313" s="95">
        <v>428090</v>
      </c>
      <c r="I313" s="106" t="str">
        <f>IFERROR(VLOOKUP(Table1[[#This Row],[Account Code]],'Accoount Code Combination'!$D:$H,2,FALSE),"")</f>
        <v>Business Travel - Combined expenses</v>
      </c>
      <c r="J313" s="79">
        <v>8470530</v>
      </c>
      <c r="K313" s="4"/>
      <c r="L313" s="4" t="str">
        <f>IFERROR(VLOOKUP(Table1[[#This Row],[Future-1 Description]],'Other '!E301:$F310,2,FALSE),"")</f>
        <v/>
      </c>
      <c r="M313" s="32"/>
      <c r="N313" s="32"/>
      <c r="O313" s="32"/>
      <c r="P313" s="49">
        <v>0</v>
      </c>
      <c r="Q313" s="49">
        <v>0</v>
      </c>
      <c r="R313" s="32"/>
      <c r="S313" s="4"/>
      <c r="T313" s="32"/>
      <c r="U313" s="32"/>
      <c r="V313" s="32"/>
      <c r="W313" s="32"/>
      <c r="X313" s="33"/>
      <c r="Y313" s="33"/>
      <c r="Z313" s="31">
        <f>Table1[[#This Row],[Quantity of measruing units]]*Table1[[#This Row],[Rate (expected)]]</f>
        <v>0</v>
      </c>
      <c r="AA313" s="31"/>
      <c r="AB313" s="31"/>
      <c r="AC313" s="34">
        <f>Table1[[#This Row],[Quantity (expected)]]*Table1[[#This Row],[Rate (expected)2]]*0.9</f>
        <v>0</v>
      </c>
      <c r="AD313" s="34">
        <f>Table1[[#This Row],[Quantity (expected)]]*Table1[[#This Row],[Rate (expected)2]]*0.8</f>
        <v>0</v>
      </c>
      <c r="AE313" s="34">
        <f>Table1[[#This Row],[Quantity (expected)]]*Table1[[#This Row],[Rate (expected)2]]*0.7</f>
        <v>0</v>
      </c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1">
        <f>SUM(Table1[[#This Row],[Jan-23]:[Dec-23]])</f>
        <v>0</v>
      </c>
      <c r="AV313" s="105"/>
      <c r="AW313" s="32"/>
      <c r="AX313" s="35"/>
    </row>
    <row r="314" spans="1:50" x14ac:dyDescent="0.3">
      <c r="A314" s="30" t="str">
        <f>VLOOKUP(H314,'Accoount Code Combination'!$D:$L,8,FALSE)</f>
        <v xml:space="preserve">Facilities </v>
      </c>
      <c r="B314" s="31" t="str">
        <f>VLOOKUP(Table1[[#This Row],[Account Code]],'Accoount Code Combination'!$D:$L,9,FALSE)</f>
        <v>No Applicable</v>
      </c>
      <c r="C314" s="4" t="str">
        <f>VLOOKUP(Table1[[#This Row],[Cost Center Code]],'Cost Center Group'!A:B,2,FALSE)</f>
        <v>Administration, Facilities and EHS Office</v>
      </c>
      <c r="D314" s="4">
        <v>847</v>
      </c>
      <c r="E314" s="79">
        <v>8470530</v>
      </c>
      <c r="F314" s="32" t="s">
        <v>165</v>
      </c>
      <c r="G314" s="4">
        <v>1</v>
      </c>
      <c r="H314" s="95">
        <v>428111</v>
      </c>
      <c r="I314" s="106" t="str">
        <f>IFERROR(VLOOKUP(Table1[[#This Row],[Account Code]],'Accoount Code Combination'!$D:$H,2,FALSE),"")</f>
        <v>Electricity consumption charges</v>
      </c>
      <c r="J314" s="79">
        <v>8470530</v>
      </c>
      <c r="K314" s="4"/>
      <c r="L314" s="4" t="str">
        <f>IFERROR(VLOOKUP(Table1[[#This Row],[Future-1 Description]],'Other '!E302:$F311,2,FALSE),"")</f>
        <v/>
      </c>
      <c r="M314" s="32"/>
      <c r="N314" s="32"/>
      <c r="O314" s="32"/>
      <c r="P314" s="49">
        <v>10580049.42</v>
      </c>
      <c r="Q314" s="49">
        <v>7349560</v>
      </c>
      <c r="R314" s="32"/>
      <c r="S314" s="4"/>
      <c r="T314" s="32"/>
      <c r="U314" s="32"/>
      <c r="V314" s="32"/>
      <c r="W314" s="32"/>
      <c r="X314" s="33"/>
      <c r="Y314" s="33"/>
      <c r="Z314" s="31">
        <f>Table1[[#This Row],[Quantity of measruing units]]*Table1[[#This Row],[Rate (expected)]]</f>
        <v>0</v>
      </c>
      <c r="AA314" s="31"/>
      <c r="AB314" s="31"/>
      <c r="AC314" s="34">
        <f>Table1[[#This Row],[Quantity (expected)]]*Table1[[#This Row],[Rate (expected)2]]*0.9</f>
        <v>0</v>
      </c>
      <c r="AD314" s="34">
        <f>Table1[[#This Row],[Quantity (expected)]]*Table1[[#This Row],[Rate (expected)2]]*0.8</f>
        <v>0</v>
      </c>
      <c r="AE314" s="34">
        <f>Table1[[#This Row],[Quantity (expected)]]*Table1[[#This Row],[Rate (expected)2]]*0.7</f>
        <v>0</v>
      </c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1">
        <f>SUM(Table1[[#This Row],[Jan-23]:[Dec-23]])</f>
        <v>0</v>
      </c>
      <c r="AV314" s="105"/>
      <c r="AW314" s="32"/>
      <c r="AX314" s="35"/>
    </row>
    <row r="315" spans="1:50" x14ac:dyDescent="0.3">
      <c r="A315" s="30" t="str">
        <f>VLOOKUP(H315,'Accoount Code Combination'!$D:$L,8,FALSE)</f>
        <v xml:space="preserve">Facilities </v>
      </c>
      <c r="B315" s="31" t="str">
        <f>VLOOKUP(Table1[[#This Row],[Account Code]],'Accoount Code Combination'!$D:$L,9,FALSE)</f>
        <v>No Applicable</v>
      </c>
      <c r="C315" s="4" t="str">
        <f>VLOOKUP(Table1[[#This Row],[Cost Center Code]],'Cost Center Group'!A:B,2,FALSE)</f>
        <v>Administration, Facilities and EHS Office</v>
      </c>
      <c r="D315" s="4">
        <v>847</v>
      </c>
      <c r="E315" s="79">
        <v>8470530</v>
      </c>
      <c r="F315" s="32" t="s">
        <v>165</v>
      </c>
      <c r="G315" s="4">
        <v>1</v>
      </c>
      <c r="H315" s="95">
        <v>428111</v>
      </c>
      <c r="I315" s="106" t="str">
        <f>IFERROR(VLOOKUP(Table1[[#This Row],[Account Code]],'Accoount Code Combination'!$D:$H,2,FALSE),"")</f>
        <v>Electricity consumption charges</v>
      </c>
      <c r="J315" s="79">
        <v>8470530</v>
      </c>
      <c r="K315" s="4"/>
      <c r="L315" s="4" t="str">
        <f>IFERROR(VLOOKUP(Table1[[#This Row],[Future-1 Description]],'Other '!E303:$F312,2,FALSE),"")</f>
        <v/>
      </c>
      <c r="M315" s="32"/>
      <c r="N315" s="32"/>
      <c r="O315" s="32"/>
      <c r="P315" s="49">
        <v>4217862.25</v>
      </c>
      <c r="Q315" s="49">
        <v>3058446</v>
      </c>
      <c r="R315" s="32"/>
      <c r="S315" s="4"/>
      <c r="T315" s="32"/>
      <c r="U315" s="32"/>
      <c r="V315" s="32"/>
      <c r="W315" s="32"/>
      <c r="X315" s="33"/>
      <c r="Y315" s="33"/>
      <c r="Z315" s="31">
        <f>Table1[[#This Row],[Quantity of measruing units]]*Table1[[#This Row],[Rate (expected)]]</f>
        <v>0</v>
      </c>
      <c r="AA315" s="31"/>
      <c r="AB315" s="31"/>
      <c r="AC315" s="34">
        <f>Table1[[#This Row],[Quantity (expected)]]*Table1[[#This Row],[Rate (expected)2]]*0.9</f>
        <v>0</v>
      </c>
      <c r="AD315" s="34">
        <f>Table1[[#This Row],[Quantity (expected)]]*Table1[[#This Row],[Rate (expected)2]]*0.8</f>
        <v>0</v>
      </c>
      <c r="AE315" s="34">
        <f>Table1[[#This Row],[Quantity (expected)]]*Table1[[#This Row],[Rate (expected)2]]*0.7</f>
        <v>0</v>
      </c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1">
        <f>SUM(Table1[[#This Row],[Jan-23]:[Dec-23]])</f>
        <v>0</v>
      </c>
      <c r="AV315" s="105"/>
      <c r="AW315" s="32"/>
      <c r="AX315" s="35"/>
    </row>
    <row r="316" spans="1:50" x14ac:dyDescent="0.3">
      <c r="A316" s="30" t="str">
        <f>VLOOKUP(H316,'Accoount Code Combination'!$D:$L,8,FALSE)</f>
        <v xml:space="preserve">Facilities </v>
      </c>
      <c r="B316" s="31" t="str">
        <f>VLOOKUP(Table1[[#This Row],[Account Code]],'Accoount Code Combination'!$D:$L,9,FALSE)</f>
        <v>No Applicable</v>
      </c>
      <c r="C316" s="4" t="str">
        <f>VLOOKUP(Table1[[#This Row],[Cost Center Code]],'Cost Center Group'!A:B,2,FALSE)</f>
        <v>Administration, Facilities and EHS Office</v>
      </c>
      <c r="D316" s="4">
        <v>847</v>
      </c>
      <c r="E316" s="79">
        <v>8470530</v>
      </c>
      <c r="F316" s="32" t="s">
        <v>165</v>
      </c>
      <c r="G316" s="4">
        <v>1</v>
      </c>
      <c r="H316" s="95">
        <v>428111</v>
      </c>
      <c r="I316" s="106" t="str">
        <f>IFERROR(VLOOKUP(Table1[[#This Row],[Account Code]],'Accoount Code Combination'!$D:$H,2,FALSE),"")</f>
        <v>Electricity consumption charges</v>
      </c>
      <c r="J316" s="79">
        <v>8470530</v>
      </c>
      <c r="K316" s="4"/>
      <c r="L316" s="4" t="str">
        <f>IFERROR(VLOOKUP(Table1[[#This Row],[Future-1 Description]],'Other '!E304:$F313,2,FALSE),"")</f>
        <v/>
      </c>
      <c r="M316" s="32"/>
      <c r="N316" s="32"/>
      <c r="O316" s="32"/>
      <c r="P316" s="49">
        <v>3121318.11</v>
      </c>
      <c r="Q316" s="49">
        <v>442627</v>
      </c>
      <c r="R316" s="32"/>
      <c r="S316" s="4"/>
      <c r="T316" s="32"/>
      <c r="U316" s="32"/>
      <c r="V316" s="32"/>
      <c r="W316" s="32"/>
      <c r="X316" s="33"/>
      <c r="Y316" s="33"/>
      <c r="Z316" s="31">
        <f>Table1[[#This Row],[Quantity of measruing units]]*Table1[[#This Row],[Rate (expected)]]</f>
        <v>0</v>
      </c>
      <c r="AA316" s="31"/>
      <c r="AB316" s="31"/>
      <c r="AC316" s="34">
        <f>Table1[[#This Row],[Quantity (expected)]]*Table1[[#This Row],[Rate (expected)2]]*0.9</f>
        <v>0</v>
      </c>
      <c r="AD316" s="34">
        <f>Table1[[#This Row],[Quantity (expected)]]*Table1[[#This Row],[Rate (expected)2]]*0.8</f>
        <v>0</v>
      </c>
      <c r="AE316" s="34">
        <f>Table1[[#This Row],[Quantity (expected)]]*Table1[[#This Row],[Rate (expected)2]]*0.7</f>
        <v>0</v>
      </c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1">
        <f>SUM(Table1[[#This Row],[Jan-23]:[Dec-23]])</f>
        <v>0</v>
      </c>
      <c r="AV316" s="105"/>
      <c r="AW316" s="32"/>
      <c r="AX316" s="35"/>
    </row>
    <row r="317" spans="1:50" x14ac:dyDescent="0.3">
      <c r="A317" s="30" t="str">
        <f>VLOOKUP(H317,'Accoount Code Combination'!$D:$L,8,FALSE)</f>
        <v xml:space="preserve">Facilities </v>
      </c>
      <c r="B317" s="31" t="str">
        <f>VLOOKUP(Table1[[#This Row],[Account Code]],'Accoount Code Combination'!$D:$L,9,FALSE)</f>
        <v>No Applicable</v>
      </c>
      <c r="C317" s="4" t="str">
        <f>VLOOKUP(Table1[[#This Row],[Cost Center Code]],'Cost Center Group'!A:B,2,FALSE)</f>
        <v>Administration, Facilities and EHS Office</v>
      </c>
      <c r="D317" s="4">
        <v>847</v>
      </c>
      <c r="E317" s="79">
        <v>8470530</v>
      </c>
      <c r="F317" s="32" t="s">
        <v>165</v>
      </c>
      <c r="G317" s="4">
        <v>1</v>
      </c>
      <c r="H317" s="95">
        <v>428112</v>
      </c>
      <c r="I317" s="106" t="str">
        <f>IFERROR(VLOOKUP(Table1[[#This Row],[Account Code]],'Accoount Code Combination'!$D:$H,2,FALSE),"")</f>
        <v>Water consumption charges</v>
      </c>
      <c r="J317" s="79">
        <v>8470530</v>
      </c>
      <c r="K317" s="4"/>
      <c r="L317" s="4" t="str">
        <f>IFERROR(VLOOKUP(Table1[[#This Row],[Future-1 Description]],'Other '!E305:$F314,2,FALSE),"")</f>
        <v/>
      </c>
      <c r="M317" s="32"/>
      <c r="N317" s="32"/>
      <c r="O317" s="32"/>
      <c r="P317" s="49">
        <v>1416629.75</v>
      </c>
      <c r="Q317" s="49">
        <v>1153128</v>
      </c>
      <c r="R317" s="32"/>
      <c r="S317" s="4"/>
      <c r="T317" s="32"/>
      <c r="U317" s="32"/>
      <c r="V317" s="32"/>
      <c r="W317" s="32"/>
      <c r="X317" s="33"/>
      <c r="Y317" s="33"/>
      <c r="Z317" s="31">
        <f>Table1[[#This Row],[Quantity of measruing units]]*Table1[[#This Row],[Rate (expected)]]</f>
        <v>0</v>
      </c>
      <c r="AA317" s="31"/>
      <c r="AB317" s="31"/>
      <c r="AC317" s="34">
        <f>Table1[[#This Row],[Quantity (expected)]]*Table1[[#This Row],[Rate (expected)2]]*0.9</f>
        <v>0</v>
      </c>
      <c r="AD317" s="34">
        <f>Table1[[#This Row],[Quantity (expected)]]*Table1[[#This Row],[Rate (expected)2]]*0.8</f>
        <v>0</v>
      </c>
      <c r="AE317" s="34">
        <f>Table1[[#This Row],[Quantity (expected)]]*Table1[[#This Row],[Rate (expected)2]]*0.7</f>
        <v>0</v>
      </c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1">
        <f>SUM(Table1[[#This Row],[Jan-23]:[Dec-23]])</f>
        <v>0</v>
      </c>
      <c r="AV317" s="105"/>
      <c r="AW317" s="32"/>
      <c r="AX317" s="35"/>
    </row>
    <row r="318" spans="1:50" x14ac:dyDescent="0.3">
      <c r="A318" s="30" t="str">
        <f>VLOOKUP(H318,'Accoount Code Combination'!$D:$L,8,FALSE)</f>
        <v xml:space="preserve">Facilities </v>
      </c>
      <c r="B318" s="31" t="str">
        <f>VLOOKUP(Table1[[#This Row],[Account Code]],'Accoount Code Combination'!$D:$L,9,FALSE)</f>
        <v>No Applicable</v>
      </c>
      <c r="C318" s="4" t="str">
        <f>VLOOKUP(Table1[[#This Row],[Cost Center Code]],'Cost Center Group'!A:B,2,FALSE)</f>
        <v>Administration, Facilities and EHS Office</v>
      </c>
      <c r="D318" s="4">
        <v>847</v>
      </c>
      <c r="E318" s="79">
        <v>8470530</v>
      </c>
      <c r="F318" s="32" t="s">
        <v>165</v>
      </c>
      <c r="G318" s="4">
        <v>1</v>
      </c>
      <c r="H318" s="95">
        <v>428112</v>
      </c>
      <c r="I318" s="106" t="str">
        <f>IFERROR(VLOOKUP(Table1[[#This Row],[Account Code]],'Accoount Code Combination'!$D:$H,2,FALSE),"")</f>
        <v>Water consumption charges</v>
      </c>
      <c r="J318" s="79">
        <v>8470530</v>
      </c>
      <c r="K318" s="4"/>
      <c r="L318" s="4" t="str">
        <f>IFERROR(VLOOKUP(Table1[[#This Row],[Future-1 Description]],'Other '!E306:$F315,2,FALSE),"")</f>
        <v/>
      </c>
      <c r="M318" s="32"/>
      <c r="N318" s="32"/>
      <c r="O318" s="32"/>
      <c r="P318" s="49">
        <v>2075962.74</v>
      </c>
      <c r="Q318" s="49">
        <v>1703132</v>
      </c>
      <c r="R318" s="32"/>
      <c r="S318" s="4"/>
      <c r="T318" s="32"/>
      <c r="U318" s="32"/>
      <c r="V318" s="32"/>
      <c r="W318" s="32"/>
      <c r="X318" s="33"/>
      <c r="Y318" s="33"/>
      <c r="Z318" s="31">
        <f>Table1[[#This Row],[Quantity of measruing units]]*Table1[[#This Row],[Rate (expected)]]</f>
        <v>0</v>
      </c>
      <c r="AA318" s="31"/>
      <c r="AB318" s="31"/>
      <c r="AC318" s="34">
        <f>Table1[[#This Row],[Quantity (expected)]]*Table1[[#This Row],[Rate (expected)2]]*0.9</f>
        <v>0</v>
      </c>
      <c r="AD318" s="34">
        <f>Table1[[#This Row],[Quantity (expected)]]*Table1[[#This Row],[Rate (expected)2]]*0.8</f>
        <v>0</v>
      </c>
      <c r="AE318" s="34">
        <f>Table1[[#This Row],[Quantity (expected)]]*Table1[[#This Row],[Rate (expected)2]]*0.7</f>
        <v>0</v>
      </c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1">
        <f>SUM(Table1[[#This Row],[Jan-23]:[Dec-23]])</f>
        <v>0</v>
      </c>
      <c r="AV318" s="105"/>
      <c r="AW318" s="32"/>
      <c r="AX318" s="35"/>
    </row>
    <row r="319" spans="1:50" ht="26" x14ac:dyDescent="0.3">
      <c r="A319" s="30" t="str">
        <f>VLOOKUP(H319,'Accoount Code Combination'!$D:$L,8,FALSE)</f>
        <v>Other support</v>
      </c>
      <c r="B319" s="31" t="str">
        <f>VLOOKUP(Table1[[#This Row],[Account Code]],'Accoount Code Combination'!$D:$L,9,FALSE)</f>
        <v>No Applicable</v>
      </c>
      <c r="C319" s="4" t="str">
        <f>VLOOKUP(Table1[[#This Row],[Cost Center Code]],'Cost Center Group'!A:B,2,FALSE)</f>
        <v>Administration, Facilities and EHS Office</v>
      </c>
      <c r="D319" s="4">
        <v>847</v>
      </c>
      <c r="E319" s="79">
        <v>8470530</v>
      </c>
      <c r="F319" s="32" t="s">
        <v>165</v>
      </c>
      <c r="G319" s="4">
        <v>1</v>
      </c>
      <c r="H319" s="95">
        <v>429900</v>
      </c>
      <c r="I319" s="106" t="str">
        <f>IFERROR(VLOOKUP(Table1[[#This Row],[Account Code]],'Accoount Code Combination'!$D:$H,2,FALSE),"")</f>
        <v>Other services, not specifically mentioned elsewhere</v>
      </c>
      <c r="J319" s="79">
        <v>8470530</v>
      </c>
      <c r="K319" s="4"/>
      <c r="L319" s="4" t="str">
        <f>IFERROR(VLOOKUP(Table1[[#This Row],[Future-1 Description]],'Other '!E307:$F316,2,FALSE),"")</f>
        <v/>
      </c>
      <c r="M319" s="32"/>
      <c r="N319" s="32"/>
      <c r="O319" s="32"/>
      <c r="P319" s="49">
        <v>13750</v>
      </c>
      <c r="Q319" s="49">
        <v>138875</v>
      </c>
      <c r="R319" s="32"/>
      <c r="S319" s="4"/>
      <c r="T319" s="32"/>
      <c r="U319" s="32"/>
      <c r="V319" s="32"/>
      <c r="W319" s="32"/>
      <c r="X319" s="33"/>
      <c r="Y319" s="33"/>
      <c r="Z319" s="31">
        <f>Table1[[#This Row],[Quantity of measruing units]]*Table1[[#This Row],[Rate (expected)]]</f>
        <v>0</v>
      </c>
      <c r="AA319" s="31"/>
      <c r="AB319" s="31"/>
      <c r="AC319" s="34">
        <f>Table1[[#This Row],[Quantity (expected)]]*Table1[[#This Row],[Rate (expected)2]]*0.9</f>
        <v>0</v>
      </c>
      <c r="AD319" s="34">
        <f>Table1[[#This Row],[Quantity (expected)]]*Table1[[#This Row],[Rate (expected)2]]*0.8</f>
        <v>0</v>
      </c>
      <c r="AE319" s="34">
        <f>Table1[[#This Row],[Quantity (expected)]]*Table1[[#This Row],[Rate (expected)2]]*0.7</f>
        <v>0</v>
      </c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1">
        <f>SUM(Table1[[#This Row],[Jan-23]:[Dec-23]])</f>
        <v>0</v>
      </c>
      <c r="AV319" s="105"/>
      <c r="AW319" s="32"/>
      <c r="AX319" s="35"/>
    </row>
    <row r="320" spans="1:50" x14ac:dyDescent="0.3">
      <c r="A320" s="30" t="str">
        <f>VLOOKUP(H320,'Accoount Code Combination'!$D:$L,8,FALSE)</f>
        <v xml:space="preserve">Facilities </v>
      </c>
      <c r="B320" s="31" t="str">
        <f>VLOOKUP(Table1[[#This Row],[Account Code]],'Accoount Code Combination'!$D:$L,9,FALSE)</f>
        <v>No Applicable</v>
      </c>
      <c r="C320" s="4" t="str">
        <f>VLOOKUP(Table1[[#This Row],[Cost Center Code]],'Cost Center Group'!A:B,2,FALSE)</f>
        <v>Administration, Facilities and EHS Office</v>
      </c>
      <c r="D320" s="4">
        <v>847</v>
      </c>
      <c r="E320" s="79">
        <v>8470530</v>
      </c>
      <c r="F320" s="32" t="s">
        <v>165</v>
      </c>
      <c r="G320" s="4">
        <v>1</v>
      </c>
      <c r="H320" s="95">
        <v>430330</v>
      </c>
      <c r="I320" s="106" t="str">
        <f>IFERROR(VLOOKUP(Table1[[#This Row],[Account Code]],'Accoount Code Combination'!$D:$H,2,FALSE),"")</f>
        <v>Rental - Motor vehicles</v>
      </c>
      <c r="J320" s="79">
        <v>8470530</v>
      </c>
      <c r="K320" s="4"/>
      <c r="L320" s="4" t="str">
        <f>IFERROR(VLOOKUP(Table1[[#This Row],[Future-1 Description]],'Other '!E308:$F317,2,FALSE),"")</f>
        <v/>
      </c>
      <c r="M320" s="32"/>
      <c r="N320" s="32"/>
      <c r="O320" s="32"/>
      <c r="P320" s="49">
        <v>486391.42</v>
      </c>
      <c r="Q320" s="49">
        <v>0</v>
      </c>
      <c r="R320" s="32"/>
      <c r="S320" s="4"/>
      <c r="T320" s="32"/>
      <c r="U320" s="32"/>
      <c r="V320" s="32"/>
      <c r="W320" s="32"/>
      <c r="X320" s="33"/>
      <c r="Y320" s="33"/>
      <c r="Z320" s="31">
        <f>Table1[[#This Row],[Quantity of measruing units]]*Table1[[#This Row],[Rate (expected)]]</f>
        <v>0</v>
      </c>
      <c r="AA320" s="31"/>
      <c r="AB320" s="31"/>
      <c r="AC320" s="34">
        <f>Table1[[#This Row],[Quantity (expected)]]*Table1[[#This Row],[Rate (expected)2]]*0.9</f>
        <v>0</v>
      </c>
      <c r="AD320" s="34">
        <f>Table1[[#This Row],[Quantity (expected)]]*Table1[[#This Row],[Rate (expected)2]]*0.8</f>
        <v>0</v>
      </c>
      <c r="AE320" s="34">
        <f>Table1[[#This Row],[Quantity (expected)]]*Table1[[#This Row],[Rate (expected)2]]*0.7</f>
        <v>0</v>
      </c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1">
        <f>SUM(Table1[[#This Row],[Jan-23]:[Dec-23]])</f>
        <v>0</v>
      </c>
      <c r="AV320" s="105"/>
      <c r="AW320" s="32"/>
      <c r="AX320" s="35"/>
    </row>
    <row r="321" spans="1:50" x14ac:dyDescent="0.3">
      <c r="A321" s="30" t="str">
        <f>VLOOKUP(H321,'Accoount Code Combination'!$D:$L,8,FALSE)</f>
        <v xml:space="preserve">Facilities </v>
      </c>
      <c r="B321" s="31" t="str">
        <f>VLOOKUP(Table1[[#This Row],[Account Code]],'Accoount Code Combination'!$D:$L,9,FALSE)</f>
        <v>No Applicable</v>
      </c>
      <c r="C321" s="4" t="str">
        <f>VLOOKUP(Table1[[#This Row],[Cost Center Code]],'Cost Center Group'!A:B,2,FALSE)</f>
        <v>Administration, Facilities and EHS Office</v>
      </c>
      <c r="D321" s="4">
        <v>847</v>
      </c>
      <c r="E321" s="79">
        <v>8470530</v>
      </c>
      <c r="F321" s="32" t="s">
        <v>165</v>
      </c>
      <c r="G321" s="4">
        <v>1</v>
      </c>
      <c r="H321" s="95">
        <v>432120</v>
      </c>
      <c r="I321" s="106" t="str">
        <f>IFERROR(VLOOKUP(Table1[[#This Row],[Account Code]],'Accoount Code Combination'!$D:$H,2,FALSE),"")</f>
        <v>Bldg maintenance-Business premises</v>
      </c>
      <c r="J321" s="79">
        <v>8470530</v>
      </c>
      <c r="K321" s="4"/>
      <c r="L321" s="4" t="str">
        <f>IFERROR(VLOOKUP(Table1[[#This Row],[Future-1 Description]],'Other '!E309:$F318,2,FALSE),"")</f>
        <v/>
      </c>
      <c r="M321" s="32"/>
      <c r="N321" s="32"/>
      <c r="O321" s="32"/>
      <c r="P321" s="49">
        <v>9225181.3699999992</v>
      </c>
      <c r="Q321" s="49">
        <v>209866</v>
      </c>
      <c r="R321" s="32"/>
      <c r="S321" s="4"/>
      <c r="T321" s="32"/>
      <c r="U321" s="32"/>
      <c r="V321" s="32"/>
      <c r="W321" s="32"/>
      <c r="X321" s="33"/>
      <c r="Y321" s="33"/>
      <c r="Z321" s="31">
        <f>Table1[[#This Row],[Quantity of measruing units]]*Table1[[#This Row],[Rate (expected)]]</f>
        <v>0</v>
      </c>
      <c r="AA321" s="31"/>
      <c r="AB321" s="31"/>
      <c r="AC321" s="34">
        <f>Table1[[#This Row],[Quantity (expected)]]*Table1[[#This Row],[Rate (expected)2]]*0.9</f>
        <v>0</v>
      </c>
      <c r="AD321" s="34">
        <f>Table1[[#This Row],[Quantity (expected)]]*Table1[[#This Row],[Rate (expected)2]]*0.8</f>
        <v>0</v>
      </c>
      <c r="AE321" s="34">
        <f>Table1[[#This Row],[Quantity (expected)]]*Table1[[#This Row],[Rate (expected)2]]*0.7</f>
        <v>0</v>
      </c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1">
        <f>SUM(Table1[[#This Row],[Jan-23]:[Dec-23]])</f>
        <v>0</v>
      </c>
      <c r="AV321" s="105"/>
      <c r="AW321" s="32"/>
      <c r="AX321" s="35"/>
    </row>
    <row r="322" spans="1:50" x14ac:dyDescent="0.3">
      <c r="A322" s="30" t="str">
        <f>VLOOKUP(H322,'Accoount Code Combination'!$D:$L,8,FALSE)</f>
        <v xml:space="preserve">Facilities </v>
      </c>
      <c r="B322" s="31" t="str">
        <f>VLOOKUP(Table1[[#This Row],[Account Code]],'Accoount Code Combination'!$D:$L,9,FALSE)</f>
        <v>No Applicable</v>
      </c>
      <c r="C322" s="4" t="str">
        <f>VLOOKUP(Table1[[#This Row],[Cost Center Code]],'Cost Center Group'!A:B,2,FALSE)</f>
        <v>Administration, Facilities and EHS Office</v>
      </c>
      <c r="D322" s="4">
        <v>847</v>
      </c>
      <c r="E322" s="79">
        <v>8470530</v>
      </c>
      <c r="F322" s="32" t="s">
        <v>165</v>
      </c>
      <c r="G322" s="4">
        <v>1</v>
      </c>
      <c r="H322" s="95">
        <v>432120</v>
      </c>
      <c r="I322" s="106" t="str">
        <f>IFERROR(VLOOKUP(Table1[[#This Row],[Account Code]],'Accoount Code Combination'!$D:$H,2,FALSE),"")</f>
        <v>Bldg maintenance-Business premises</v>
      </c>
      <c r="J322" s="79">
        <v>8470530</v>
      </c>
      <c r="K322" s="4"/>
      <c r="L322" s="4" t="str">
        <f>IFERROR(VLOOKUP(Table1[[#This Row],[Future-1 Description]],'Other '!E310:$F319,2,FALSE),"")</f>
        <v/>
      </c>
      <c r="M322" s="32"/>
      <c r="N322" s="32"/>
      <c r="O322" s="32"/>
      <c r="P322" s="49">
        <v>4446803.51</v>
      </c>
      <c r="Q322" s="49">
        <v>952708</v>
      </c>
      <c r="R322" s="32"/>
      <c r="S322" s="4"/>
      <c r="T322" s="32"/>
      <c r="U322" s="32"/>
      <c r="V322" s="32"/>
      <c r="W322" s="32"/>
      <c r="X322" s="33"/>
      <c r="Y322" s="33"/>
      <c r="Z322" s="31">
        <f>Table1[[#This Row],[Quantity of measruing units]]*Table1[[#This Row],[Rate (expected)]]</f>
        <v>0</v>
      </c>
      <c r="AA322" s="31"/>
      <c r="AB322" s="31"/>
      <c r="AC322" s="34">
        <f>Table1[[#This Row],[Quantity (expected)]]*Table1[[#This Row],[Rate (expected)2]]*0.9</f>
        <v>0</v>
      </c>
      <c r="AD322" s="34">
        <f>Table1[[#This Row],[Quantity (expected)]]*Table1[[#This Row],[Rate (expected)2]]*0.8</f>
        <v>0</v>
      </c>
      <c r="AE322" s="34">
        <f>Table1[[#This Row],[Quantity (expected)]]*Table1[[#This Row],[Rate (expected)2]]*0.7</f>
        <v>0</v>
      </c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1">
        <f>SUM(Table1[[#This Row],[Jan-23]:[Dec-23]])</f>
        <v>0</v>
      </c>
      <c r="AV322" s="105"/>
      <c r="AW322" s="32"/>
      <c r="AX322" s="35"/>
    </row>
    <row r="323" spans="1:50" x14ac:dyDescent="0.3">
      <c r="A323" s="30" t="str">
        <f>VLOOKUP(H323,'Accoount Code Combination'!$D:$L,8,FALSE)</f>
        <v xml:space="preserve">Facilities </v>
      </c>
      <c r="B323" s="31" t="str">
        <f>VLOOKUP(Table1[[#This Row],[Account Code]],'Accoount Code Combination'!$D:$L,9,FALSE)</f>
        <v>No Applicable</v>
      </c>
      <c r="C323" s="4" t="str">
        <f>VLOOKUP(Table1[[#This Row],[Cost Center Code]],'Cost Center Group'!A:B,2,FALSE)</f>
        <v>Administration, Facilities and EHS Office</v>
      </c>
      <c r="D323" s="4">
        <v>847</v>
      </c>
      <c r="E323" s="79">
        <v>8470530</v>
      </c>
      <c r="F323" s="32" t="s">
        <v>165</v>
      </c>
      <c r="G323" s="4">
        <v>1</v>
      </c>
      <c r="H323" s="95">
        <v>432120</v>
      </c>
      <c r="I323" s="106" t="str">
        <f>IFERROR(VLOOKUP(Table1[[#This Row],[Account Code]],'Accoount Code Combination'!$D:$H,2,FALSE),"")</f>
        <v>Bldg maintenance-Business premises</v>
      </c>
      <c r="J323" s="79">
        <v>8470530</v>
      </c>
      <c r="K323" s="4"/>
      <c r="L323" s="4" t="str">
        <f>IFERROR(VLOOKUP(Table1[[#This Row],[Future-1 Description]],'Other '!E311:$F320,2,FALSE),"")</f>
        <v/>
      </c>
      <c r="M323" s="32"/>
      <c r="N323" s="32"/>
      <c r="O323" s="32"/>
      <c r="P323" s="49">
        <v>8870348.9000000004</v>
      </c>
      <c r="Q323" s="49">
        <v>3574901</v>
      </c>
      <c r="R323" s="32"/>
      <c r="S323" s="4"/>
      <c r="T323" s="32"/>
      <c r="U323" s="32"/>
      <c r="V323" s="32"/>
      <c r="W323" s="32"/>
      <c r="X323" s="33"/>
      <c r="Y323" s="33"/>
      <c r="Z323" s="31">
        <f>Table1[[#This Row],[Quantity of measruing units]]*Table1[[#This Row],[Rate (expected)]]</f>
        <v>0</v>
      </c>
      <c r="AA323" s="31"/>
      <c r="AB323" s="31"/>
      <c r="AC323" s="34">
        <f>Table1[[#This Row],[Quantity (expected)]]*Table1[[#This Row],[Rate (expected)2]]*0.9</f>
        <v>0</v>
      </c>
      <c r="AD323" s="34">
        <f>Table1[[#This Row],[Quantity (expected)]]*Table1[[#This Row],[Rate (expected)2]]*0.8</f>
        <v>0</v>
      </c>
      <c r="AE323" s="34">
        <f>Table1[[#This Row],[Quantity (expected)]]*Table1[[#This Row],[Rate (expected)2]]*0.7</f>
        <v>0</v>
      </c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1">
        <f>SUM(Table1[[#This Row],[Jan-23]:[Dec-23]])</f>
        <v>0</v>
      </c>
      <c r="AV323" s="105"/>
      <c r="AW323" s="32"/>
      <c r="AX323" s="35"/>
    </row>
    <row r="324" spans="1:50" x14ac:dyDescent="0.3">
      <c r="A324" s="30" t="str">
        <f>VLOOKUP(H324,'Accoount Code Combination'!$D:$L,8,FALSE)</f>
        <v>Facilities</v>
      </c>
      <c r="B324" s="31" t="str">
        <f>VLOOKUP(Table1[[#This Row],[Account Code]],'Accoount Code Combination'!$D:$L,9,FALSE)</f>
        <v>No Applicable</v>
      </c>
      <c r="C324" s="4" t="str">
        <f>VLOOKUP(Table1[[#This Row],[Cost Center Code]],'Cost Center Group'!A:B,2,FALSE)</f>
        <v>Administration, Facilities and EHS Office</v>
      </c>
      <c r="D324" s="4">
        <v>847</v>
      </c>
      <c r="E324" s="79">
        <v>8470530</v>
      </c>
      <c r="F324" s="32" t="s">
        <v>165</v>
      </c>
      <c r="G324" s="4">
        <v>1</v>
      </c>
      <c r="H324" s="95">
        <v>432170</v>
      </c>
      <c r="I324" s="106" t="str">
        <f>IFERROR(VLOOKUP(Table1[[#This Row],[Account Code]],'Accoount Code Combination'!$D:$H,2,FALSE),"")</f>
        <v>Bldg decoration &amp; minor improvements</v>
      </c>
      <c r="J324" s="79">
        <v>8470530</v>
      </c>
      <c r="K324" s="4"/>
      <c r="L324" s="4" t="str">
        <f>IFERROR(VLOOKUP(Table1[[#This Row],[Future-1 Description]],'Other '!E312:$F321,2,FALSE),"")</f>
        <v/>
      </c>
      <c r="M324" s="32"/>
      <c r="N324" s="32"/>
      <c r="O324" s="32"/>
      <c r="P324" s="49">
        <v>83624.490000000005</v>
      </c>
      <c r="Q324" s="49">
        <v>28558</v>
      </c>
      <c r="R324" s="32"/>
      <c r="S324" s="4"/>
      <c r="T324" s="32"/>
      <c r="U324" s="32"/>
      <c r="V324" s="32"/>
      <c r="W324" s="32"/>
      <c r="X324" s="33"/>
      <c r="Y324" s="33"/>
      <c r="Z324" s="31">
        <f>Table1[[#This Row],[Quantity of measruing units]]*Table1[[#This Row],[Rate (expected)]]</f>
        <v>0</v>
      </c>
      <c r="AA324" s="31"/>
      <c r="AB324" s="31"/>
      <c r="AC324" s="34">
        <f>Table1[[#This Row],[Quantity (expected)]]*Table1[[#This Row],[Rate (expected)2]]*0.9</f>
        <v>0</v>
      </c>
      <c r="AD324" s="34">
        <f>Table1[[#This Row],[Quantity (expected)]]*Table1[[#This Row],[Rate (expected)2]]*0.8</f>
        <v>0</v>
      </c>
      <c r="AE324" s="34">
        <f>Table1[[#This Row],[Quantity (expected)]]*Table1[[#This Row],[Rate (expected)2]]*0.7</f>
        <v>0</v>
      </c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1">
        <f>SUM(Table1[[#This Row],[Jan-23]:[Dec-23]])</f>
        <v>0</v>
      </c>
      <c r="AV324" s="105"/>
      <c r="AW324" s="32"/>
      <c r="AX324" s="35"/>
    </row>
    <row r="325" spans="1:50" x14ac:dyDescent="0.3">
      <c r="A325" s="30" t="str">
        <f>VLOOKUP(H325,'Accoount Code Combination'!$D:$L,8,FALSE)</f>
        <v xml:space="preserve">Facilities </v>
      </c>
      <c r="B325" s="31" t="str">
        <f>VLOOKUP(Table1[[#This Row],[Account Code]],'Accoount Code Combination'!$D:$L,9,FALSE)</f>
        <v>No Applicable</v>
      </c>
      <c r="C325" s="4" t="str">
        <f>VLOOKUP(Table1[[#This Row],[Cost Center Code]],'Cost Center Group'!A:B,2,FALSE)</f>
        <v>Administration, Facilities and EHS Office</v>
      </c>
      <c r="D325" s="4">
        <v>847</v>
      </c>
      <c r="E325" s="79">
        <v>8470530</v>
      </c>
      <c r="F325" s="32" t="s">
        <v>165</v>
      </c>
      <c r="G325" s="4">
        <v>1</v>
      </c>
      <c r="H325" s="95">
        <v>432320</v>
      </c>
      <c r="I325" s="106" t="str">
        <f>IFERROR(VLOOKUP(Table1[[#This Row],[Account Code]],'Accoount Code Combination'!$D:$H,2,FALSE),"")</f>
        <v>Residential Furniture and fixtures</v>
      </c>
      <c r="J325" s="79">
        <v>8470530</v>
      </c>
      <c r="K325" s="4"/>
      <c r="L325" s="4" t="str">
        <f>IFERROR(VLOOKUP(Table1[[#This Row],[Future-1 Description]],'Other '!E313:$F322,2,FALSE),"")</f>
        <v/>
      </c>
      <c r="M325" s="32"/>
      <c r="N325" s="32"/>
      <c r="O325" s="32"/>
      <c r="P325" s="49">
        <v>19422</v>
      </c>
      <c r="Q325" s="49">
        <v>5000</v>
      </c>
      <c r="R325" s="32"/>
      <c r="S325" s="4"/>
      <c r="T325" s="32"/>
      <c r="U325" s="32"/>
      <c r="V325" s="32"/>
      <c r="W325" s="32"/>
      <c r="X325" s="33"/>
      <c r="Y325" s="33"/>
      <c r="Z325" s="31">
        <f>Table1[[#This Row],[Quantity of measruing units]]*Table1[[#This Row],[Rate (expected)]]</f>
        <v>0</v>
      </c>
      <c r="AA325" s="31"/>
      <c r="AB325" s="31"/>
      <c r="AC325" s="34">
        <f>Table1[[#This Row],[Quantity (expected)]]*Table1[[#This Row],[Rate (expected)2]]*0.9</f>
        <v>0</v>
      </c>
      <c r="AD325" s="34">
        <f>Table1[[#This Row],[Quantity (expected)]]*Table1[[#This Row],[Rate (expected)2]]*0.8</f>
        <v>0</v>
      </c>
      <c r="AE325" s="34">
        <f>Table1[[#This Row],[Quantity (expected)]]*Table1[[#This Row],[Rate (expected)2]]*0.7</f>
        <v>0</v>
      </c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1">
        <f>SUM(Table1[[#This Row],[Jan-23]:[Dec-23]])</f>
        <v>0</v>
      </c>
      <c r="AV325" s="105"/>
      <c r="AW325" s="32"/>
      <c r="AX325" s="35"/>
    </row>
    <row r="326" spans="1:50" x14ac:dyDescent="0.3">
      <c r="A326" s="30" t="str">
        <f>VLOOKUP(H326,'Accoount Code Combination'!$D:$L,8,FALSE)</f>
        <v xml:space="preserve">Facilities </v>
      </c>
      <c r="B326" s="31" t="str">
        <f>VLOOKUP(Table1[[#This Row],[Account Code]],'Accoount Code Combination'!$D:$L,9,FALSE)</f>
        <v>No Applicable</v>
      </c>
      <c r="C326" s="4" t="str">
        <f>VLOOKUP(Table1[[#This Row],[Cost Center Code]],'Cost Center Group'!A:B,2,FALSE)</f>
        <v>Administration, Facilities and EHS Office</v>
      </c>
      <c r="D326" s="4">
        <v>847</v>
      </c>
      <c r="E326" s="79">
        <v>8470530</v>
      </c>
      <c r="F326" s="32" t="s">
        <v>165</v>
      </c>
      <c r="G326" s="4">
        <v>1</v>
      </c>
      <c r="H326" s="95">
        <v>432540</v>
      </c>
      <c r="I326" s="106" t="str">
        <f>IFERROR(VLOOKUP(Table1[[#This Row],[Account Code]],'Accoount Code Combination'!$D:$H,2,FALSE),"")</f>
        <v>Motor vehicles (non-military)</v>
      </c>
      <c r="J326" s="79">
        <v>8470530</v>
      </c>
      <c r="K326" s="4"/>
      <c r="L326" s="4" t="str">
        <f>IFERROR(VLOOKUP(Table1[[#This Row],[Future-1 Description]],'Other '!E314:$F323,2,FALSE),"")</f>
        <v/>
      </c>
      <c r="M326" s="32"/>
      <c r="N326" s="32"/>
      <c r="O326" s="32"/>
      <c r="P326" s="49">
        <v>43876.11</v>
      </c>
      <c r="Q326" s="49">
        <v>10000</v>
      </c>
      <c r="R326" s="32"/>
      <c r="S326" s="4"/>
      <c r="T326" s="32"/>
      <c r="U326" s="32"/>
      <c r="V326" s="32"/>
      <c r="W326" s="32"/>
      <c r="X326" s="33"/>
      <c r="Y326" s="33"/>
      <c r="Z326" s="31">
        <f>Table1[[#This Row],[Quantity of measruing units]]*Table1[[#This Row],[Rate (expected)]]</f>
        <v>0</v>
      </c>
      <c r="AA326" s="31"/>
      <c r="AB326" s="31"/>
      <c r="AC326" s="34">
        <f>Table1[[#This Row],[Quantity (expected)]]*Table1[[#This Row],[Rate (expected)2]]*0.9</f>
        <v>0</v>
      </c>
      <c r="AD326" s="34">
        <f>Table1[[#This Row],[Quantity (expected)]]*Table1[[#This Row],[Rate (expected)2]]*0.8</f>
        <v>0</v>
      </c>
      <c r="AE326" s="34">
        <f>Table1[[#This Row],[Quantity (expected)]]*Table1[[#This Row],[Rate (expected)2]]*0.7</f>
        <v>0</v>
      </c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1">
        <f>SUM(Table1[[#This Row],[Jan-23]:[Dec-23]])</f>
        <v>0</v>
      </c>
      <c r="AV326" s="105"/>
      <c r="AW326" s="32"/>
      <c r="AX326" s="35"/>
    </row>
    <row r="327" spans="1:50" x14ac:dyDescent="0.3">
      <c r="A327" s="30" t="str">
        <f>VLOOKUP(H327,'Accoount Code Combination'!$D:$L,8,FALSE)</f>
        <v>Other support</v>
      </c>
      <c r="B327" s="31" t="str">
        <f>VLOOKUP(Table1[[#This Row],[Account Code]],'Accoount Code Combination'!$D:$L,9,FALSE)</f>
        <v>No Applicable</v>
      </c>
      <c r="C327" s="4" t="str">
        <f>VLOOKUP(Table1[[#This Row],[Cost Center Code]],'Cost Center Group'!A:B,2,FALSE)</f>
        <v>Administration, Facilities and EHS Office</v>
      </c>
      <c r="D327" s="4">
        <v>847</v>
      </c>
      <c r="E327" s="79">
        <v>8470530</v>
      </c>
      <c r="F327" s="32" t="s">
        <v>165</v>
      </c>
      <c r="G327" s="4">
        <v>1</v>
      </c>
      <c r="H327" s="95">
        <v>435410</v>
      </c>
      <c r="I327" s="106" t="str">
        <f>IFERROR(VLOOKUP(Table1[[#This Row],[Account Code]],'Accoount Code Combination'!$D:$H,2,FALSE),"")</f>
        <v>Catering supplies: Offices</v>
      </c>
      <c r="J327" s="79">
        <v>8470530</v>
      </c>
      <c r="K327" s="4"/>
      <c r="L327" s="4" t="str">
        <f>IFERROR(VLOOKUP(Table1[[#This Row],[Future-1 Description]],'Other '!E315:$F324,2,FALSE),"")</f>
        <v/>
      </c>
      <c r="M327" s="32"/>
      <c r="N327" s="32"/>
      <c r="O327" s="32"/>
      <c r="P327" s="49">
        <v>0</v>
      </c>
      <c r="Q327" s="49">
        <v>0</v>
      </c>
      <c r="R327" s="32"/>
      <c r="S327" s="4"/>
      <c r="T327" s="32"/>
      <c r="U327" s="32"/>
      <c r="V327" s="32"/>
      <c r="W327" s="32"/>
      <c r="X327" s="33"/>
      <c r="Y327" s="33"/>
      <c r="Z327" s="31">
        <f>Table1[[#This Row],[Quantity of measruing units]]*Table1[[#This Row],[Rate (expected)]]</f>
        <v>0</v>
      </c>
      <c r="AA327" s="31"/>
      <c r="AB327" s="31"/>
      <c r="AC327" s="34">
        <f>Table1[[#This Row],[Quantity (expected)]]*Table1[[#This Row],[Rate (expected)2]]*0.9</f>
        <v>0</v>
      </c>
      <c r="AD327" s="34">
        <f>Table1[[#This Row],[Quantity (expected)]]*Table1[[#This Row],[Rate (expected)2]]*0.8</f>
        <v>0</v>
      </c>
      <c r="AE327" s="34">
        <f>Table1[[#This Row],[Quantity (expected)]]*Table1[[#This Row],[Rate (expected)2]]*0.7</f>
        <v>0</v>
      </c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1">
        <f>SUM(Table1[[#This Row],[Jan-23]:[Dec-23]])</f>
        <v>0</v>
      </c>
      <c r="AV327" s="105"/>
      <c r="AW327" s="32"/>
      <c r="AX327" s="35"/>
    </row>
    <row r="328" spans="1:50" x14ac:dyDescent="0.3">
      <c r="A328" s="30" t="str">
        <f>VLOOKUP(H328,'Accoount Code Combination'!$D:$L,8,FALSE)</f>
        <v>Academic</v>
      </c>
      <c r="B328" s="31" t="str">
        <f>VLOOKUP(Table1[[#This Row],[Account Code]],'Accoount Code Combination'!$D:$L,9,FALSE)</f>
        <v>No Applicable</v>
      </c>
      <c r="C328" s="4" t="str">
        <f>VLOOKUP(Table1[[#This Row],[Cost Center Code]],'Cost Center Group'!A:B,2,FALSE)</f>
        <v>Administration, Facilities and EHS Office</v>
      </c>
      <c r="D328" s="4">
        <v>847</v>
      </c>
      <c r="E328" s="79">
        <v>8470530</v>
      </c>
      <c r="F328" s="32" t="s">
        <v>165</v>
      </c>
      <c r="G328" s="4">
        <v>1</v>
      </c>
      <c r="H328" s="95">
        <v>435508</v>
      </c>
      <c r="I328" s="106" t="str">
        <f>IFERROR(VLOOKUP(Table1[[#This Row],[Account Code]],'Accoount Code Combination'!$D:$H,2,FALSE),"")</f>
        <v>Laboratory - Scientific</v>
      </c>
      <c r="J328" s="79">
        <v>8470530</v>
      </c>
      <c r="K328" s="4"/>
      <c r="L328" s="4" t="str">
        <f>IFERROR(VLOOKUP(Table1[[#This Row],[Future-1 Description]],'Other '!E316:$F325,2,FALSE),"")</f>
        <v/>
      </c>
      <c r="M328" s="32"/>
      <c r="N328" s="32"/>
      <c r="O328" s="32"/>
      <c r="P328" s="49">
        <v>-114763.75</v>
      </c>
      <c r="Q328" s="49">
        <v>0</v>
      </c>
      <c r="R328" s="32"/>
      <c r="S328" s="4"/>
      <c r="T328" s="32"/>
      <c r="U328" s="32"/>
      <c r="V328" s="32"/>
      <c r="W328" s="32"/>
      <c r="X328" s="33"/>
      <c r="Y328" s="33"/>
      <c r="Z328" s="31">
        <f>Table1[[#This Row],[Quantity of measruing units]]*Table1[[#This Row],[Rate (expected)]]</f>
        <v>0</v>
      </c>
      <c r="AA328" s="31"/>
      <c r="AB328" s="31"/>
      <c r="AC328" s="34">
        <f>Table1[[#This Row],[Quantity (expected)]]*Table1[[#This Row],[Rate (expected)2]]*0.9</f>
        <v>0</v>
      </c>
      <c r="AD328" s="34">
        <f>Table1[[#This Row],[Quantity (expected)]]*Table1[[#This Row],[Rate (expected)2]]*0.8</f>
        <v>0</v>
      </c>
      <c r="AE328" s="34">
        <f>Table1[[#This Row],[Quantity (expected)]]*Table1[[#This Row],[Rate (expected)2]]*0.7</f>
        <v>0</v>
      </c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1">
        <f>SUM(Table1[[#This Row],[Jan-23]:[Dec-23]])</f>
        <v>0</v>
      </c>
      <c r="AV328" s="105"/>
      <c r="AW328" s="32"/>
      <c r="AX328" s="35"/>
    </row>
    <row r="329" spans="1:50" x14ac:dyDescent="0.3">
      <c r="A329" s="30" t="str">
        <f>VLOOKUP(H329,'Accoount Code Combination'!$D:$L,8,FALSE)</f>
        <v xml:space="preserve">Facilities </v>
      </c>
      <c r="B329" s="31" t="str">
        <f>VLOOKUP(Table1[[#This Row],[Account Code]],'Accoount Code Combination'!$D:$L,9,FALSE)</f>
        <v>No Applicable</v>
      </c>
      <c r="C329" s="4" t="str">
        <f>VLOOKUP(Table1[[#This Row],[Cost Center Code]],'Cost Center Group'!A:B,2,FALSE)</f>
        <v>Administration, Facilities and EHS Office</v>
      </c>
      <c r="D329" s="4">
        <v>847</v>
      </c>
      <c r="E329" s="79">
        <v>8470530</v>
      </c>
      <c r="F329" s="32" t="s">
        <v>165</v>
      </c>
      <c r="G329" s="4">
        <v>1</v>
      </c>
      <c r="H329" s="95">
        <v>435740</v>
      </c>
      <c r="I329" s="106" t="str">
        <f>IFERROR(VLOOKUP(Table1[[#This Row],[Account Code]],'Accoount Code Combination'!$D:$H,2,FALSE),"")</f>
        <v>Fuel, oil and lubricants: Motor vehicles</v>
      </c>
      <c r="J329" s="79">
        <v>8470530</v>
      </c>
      <c r="K329" s="4"/>
      <c r="L329" s="4" t="str">
        <f>IFERROR(VLOOKUP(Table1[[#This Row],[Future-1 Description]],'Other '!E317:$F326,2,FALSE),"")</f>
        <v/>
      </c>
      <c r="M329" s="32"/>
      <c r="N329" s="32"/>
      <c r="O329" s="32"/>
      <c r="P329" s="49">
        <v>3162.37</v>
      </c>
      <c r="Q329" s="49">
        <v>3000</v>
      </c>
      <c r="R329" s="32"/>
      <c r="S329" s="4"/>
      <c r="T329" s="32"/>
      <c r="U329" s="32"/>
      <c r="V329" s="32"/>
      <c r="W329" s="32"/>
      <c r="X329" s="33"/>
      <c r="Y329" s="33"/>
      <c r="Z329" s="31">
        <f>Table1[[#This Row],[Quantity of measruing units]]*Table1[[#This Row],[Rate (expected)]]</f>
        <v>0</v>
      </c>
      <c r="AA329" s="31"/>
      <c r="AB329" s="31"/>
      <c r="AC329" s="34">
        <f>Table1[[#This Row],[Quantity (expected)]]*Table1[[#This Row],[Rate (expected)2]]*0.9</f>
        <v>0</v>
      </c>
      <c r="AD329" s="34">
        <f>Table1[[#This Row],[Quantity (expected)]]*Table1[[#This Row],[Rate (expected)2]]*0.8</f>
        <v>0</v>
      </c>
      <c r="AE329" s="34">
        <f>Table1[[#This Row],[Quantity (expected)]]*Table1[[#This Row],[Rate (expected)2]]*0.7</f>
        <v>0</v>
      </c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1">
        <f>SUM(Table1[[#This Row],[Jan-23]:[Dec-23]])</f>
        <v>0</v>
      </c>
      <c r="AV329" s="105"/>
      <c r="AW329" s="32"/>
      <c r="AX329" s="35"/>
    </row>
    <row r="330" spans="1:50" x14ac:dyDescent="0.3">
      <c r="A330" s="30" t="str">
        <f>VLOOKUP(H330,'Accoount Code Combination'!$D:$L,8,FALSE)</f>
        <v xml:space="preserve">Facilities </v>
      </c>
      <c r="B330" s="31" t="str">
        <f>VLOOKUP(Table1[[#This Row],[Account Code]],'Accoount Code Combination'!$D:$L,9,FALSE)</f>
        <v>No Applicable</v>
      </c>
      <c r="C330" s="4" t="str">
        <f>VLOOKUP(Table1[[#This Row],[Cost Center Code]],'Cost Center Group'!A:B,2,FALSE)</f>
        <v>Administration, Facilities and EHS Office</v>
      </c>
      <c r="D330" s="4">
        <v>847</v>
      </c>
      <c r="E330" s="79">
        <v>8470530</v>
      </c>
      <c r="F330" s="32" t="s">
        <v>165</v>
      </c>
      <c r="G330" s="4">
        <v>1</v>
      </c>
      <c r="H330" s="95">
        <v>435740</v>
      </c>
      <c r="I330" s="106" t="str">
        <f>IFERROR(VLOOKUP(Table1[[#This Row],[Account Code]],'Accoount Code Combination'!$D:$H,2,FALSE),"")</f>
        <v>Fuel, oil and lubricants: Motor vehicles</v>
      </c>
      <c r="J330" s="79">
        <v>8470530</v>
      </c>
      <c r="K330" s="4"/>
      <c r="L330" s="4" t="str">
        <f>IFERROR(VLOOKUP(Table1[[#This Row],[Future-1 Description]],'Other '!E318:$F327,2,FALSE),"")</f>
        <v/>
      </c>
      <c r="M330" s="32"/>
      <c r="N330" s="32"/>
      <c r="O330" s="32"/>
      <c r="P330" s="49">
        <v>-14078</v>
      </c>
      <c r="Q330" s="49">
        <v>0</v>
      </c>
      <c r="R330" s="32"/>
      <c r="S330" s="4"/>
      <c r="T330" s="32"/>
      <c r="U330" s="32"/>
      <c r="V330" s="32"/>
      <c r="W330" s="32"/>
      <c r="X330" s="33"/>
      <c r="Y330" s="33"/>
      <c r="Z330" s="31">
        <f>Table1[[#This Row],[Quantity of measruing units]]*Table1[[#This Row],[Rate (expected)]]</f>
        <v>0</v>
      </c>
      <c r="AA330" s="31"/>
      <c r="AB330" s="31"/>
      <c r="AC330" s="34">
        <f>Table1[[#This Row],[Quantity (expected)]]*Table1[[#This Row],[Rate (expected)2]]*0.9</f>
        <v>0</v>
      </c>
      <c r="AD330" s="34">
        <f>Table1[[#This Row],[Quantity (expected)]]*Table1[[#This Row],[Rate (expected)2]]*0.8</f>
        <v>0</v>
      </c>
      <c r="AE330" s="34">
        <f>Table1[[#This Row],[Quantity (expected)]]*Table1[[#This Row],[Rate (expected)2]]*0.7</f>
        <v>0</v>
      </c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1">
        <f>SUM(Table1[[#This Row],[Jan-23]:[Dec-23]])</f>
        <v>0</v>
      </c>
      <c r="AV330" s="105"/>
      <c r="AW330" s="32"/>
      <c r="AX330" s="35"/>
    </row>
    <row r="331" spans="1:50" x14ac:dyDescent="0.3">
      <c r="A331" s="30" t="str">
        <f>VLOOKUP(H331,'Accoount Code Combination'!$D:$L,8,FALSE)</f>
        <v>Other support</v>
      </c>
      <c r="B331" s="31" t="str">
        <f>VLOOKUP(Table1[[#This Row],[Account Code]],'Accoount Code Combination'!$D:$L,9,FALSE)</f>
        <v>No Applicable</v>
      </c>
      <c r="C331" s="4" t="str">
        <f>VLOOKUP(Table1[[#This Row],[Cost Center Code]],'Cost Center Group'!A:B,2,FALSE)</f>
        <v>Administration, Facilities and EHS Office</v>
      </c>
      <c r="D331" s="4">
        <v>847</v>
      </c>
      <c r="E331" s="79">
        <v>8470530</v>
      </c>
      <c r="F331" s="32" t="s">
        <v>165</v>
      </c>
      <c r="G331" s="4">
        <v>1</v>
      </c>
      <c r="H331" s="95">
        <v>436110</v>
      </c>
      <c r="I331" s="106" t="str">
        <f>IFERROR(VLOOKUP(Table1[[#This Row],[Account Code]],'Accoount Code Combination'!$D:$H,2,FALSE),"")</f>
        <v>Printing supplies</v>
      </c>
      <c r="J331" s="79">
        <v>8470530</v>
      </c>
      <c r="K331" s="4"/>
      <c r="L331" s="4" t="str">
        <f>IFERROR(VLOOKUP(Table1[[#This Row],[Future-1 Description]],'Other '!E319:$F328,2,FALSE),"")</f>
        <v/>
      </c>
      <c r="M331" s="32"/>
      <c r="N331" s="32"/>
      <c r="O331" s="32"/>
      <c r="P331" s="49">
        <v>205404.91</v>
      </c>
      <c r="Q331" s="49">
        <v>245780</v>
      </c>
      <c r="R331" s="32"/>
      <c r="S331" s="4"/>
      <c r="T331" s="32"/>
      <c r="U331" s="32"/>
      <c r="V331" s="32"/>
      <c r="W331" s="32"/>
      <c r="X331" s="33"/>
      <c r="Y331" s="33"/>
      <c r="Z331" s="31">
        <f>Table1[[#This Row],[Quantity of measruing units]]*Table1[[#This Row],[Rate (expected)]]</f>
        <v>0</v>
      </c>
      <c r="AA331" s="31"/>
      <c r="AB331" s="31"/>
      <c r="AC331" s="34">
        <f>Table1[[#This Row],[Quantity (expected)]]*Table1[[#This Row],[Rate (expected)2]]*0.9</f>
        <v>0</v>
      </c>
      <c r="AD331" s="34">
        <f>Table1[[#This Row],[Quantity (expected)]]*Table1[[#This Row],[Rate (expected)2]]*0.8</f>
        <v>0</v>
      </c>
      <c r="AE331" s="34">
        <f>Table1[[#This Row],[Quantity (expected)]]*Table1[[#This Row],[Rate (expected)2]]*0.7</f>
        <v>0</v>
      </c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1">
        <f>SUM(Table1[[#This Row],[Jan-23]:[Dec-23]])</f>
        <v>0</v>
      </c>
      <c r="AV331" s="105"/>
      <c r="AW331" s="32"/>
      <c r="AX331" s="35"/>
    </row>
    <row r="332" spans="1:50" x14ac:dyDescent="0.3">
      <c r="A332" s="30" t="str">
        <f>VLOOKUP(H332,'Accoount Code Combination'!$D:$L,8,FALSE)</f>
        <v>Other support</v>
      </c>
      <c r="B332" s="31" t="str">
        <f>VLOOKUP(Table1[[#This Row],[Account Code]],'Accoount Code Combination'!$D:$L,9,FALSE)</f>
        <v>No Applicable</v>
      </c>
      <c r="C332" s="4" t="str">
        <f>VLOOKUP(Table1[[#This Row],[Cost Center Code]],'Cost Center Group'!A:B,2,FALSE)</f>
        <v>Administration, Facilities and EHS Office</v>
      </c>
      <c r="D332" s="4">
        <v>847</v>
      </c>
      <c r="E332" s="79">
        <v>8470530</v>
      </c>
      <c r="F332" s="32" t="s">
        <v>165</v>
      </c>
      <c r="G332" s="4">
        <v>1</v>
      </c>
      <c r="H332" s="95">
        <v>436110</v>
      </c>
      <c r="I332" s="106" t="str">
        <f>IFERROR(VLOOKUP(Table1[[#This Row],[Account Code]],'Accoount Code Combination'!$D:$H,2,FALSE),"")</f>
        <v>Printing supplies</v>
      </c>
      <c r="J332" s="79">
        <v>8470530</v>
      </c>
      <c r="K332" s="4"/>
      <c r="L332" s="4" t="str">
        <f>IFERROR(VLOOKUP(Table1[[#This Row],[Future-1 Description]],'Other '!E320:$F329,2,FALSE),"")</f>
        <v/>
      </c>
      <c r="M332" s="32"/>
      <c r="N332" s="32"/>
      <c r="O332" s="32"/>
      <c r="P332" s="49">
        <v>98062.67</v>
      </c>
      <c r="Q332" s="49">
        <v>73608</v>
      </c>
      <c r="R332" s="32"/>
      <c r="S332" s="4"/>
      <c r="T332" s="32"/>
      <c r="U332" s="32"/>
      <c r="V332" s="32"/>
      <c r="W332" s="32"/>
      <c r="X332" s="33"/>
      <c r="Y332" s="33"/>
      <c r="Z332" s="31">
        <f>Table1[[#This Row],[Quantity of measruing units]]*Table1[[#This Row],[Rate (expected)]]</f>
        <v>0</v>
      </c>
      <c r="AA332" s="31"/>
      <c r="AB332" s="31"/>
      <c r="AC332" s="34">
        <f>Table1[[#This Row],[Quantity (expected)]]*Table1[[#This Row],[Rate (expected)2]]*0.9</f>
        <v>0</v>
      </c>
      <c r="AD332" s="34">
        <f>Table1[[#This Row],[Quantity (expected)]]*Table1[[#This Row],[Rate (expected)2]]*0.8</f>
        <v>0</v>
      </c>
      <c r="AE332" s="34">
        <f>Table1[[#This Row],[Quantity (expected)]]*Table1[[#This Row],[Rate (expected)2]]*0.7</f>
        <v>0</v>
      </c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1">
        <f>SUM(Table1[[#This Row],[Jan-23]:[Dec-23]])</f>
        <v>0</v>
      </c>
      <c r="AV332" s="105"/>
      <c r="AW332" s="32"/>
      <c r="AX332" s="35"/>
    </row>
    <row r="333" spans="1:50" x14ac:dyDescent="0.3">
      <c r="A333" s="30" t="str">
        <f>VLOOKUP(H333,'Accoount Code Combination'!$D:$L,8,FALSE)</f>
        <v>Other support</v>
      </c>
      <c r="B333" s="31" t="str">
        <f>VLOOKUP(Table1[[#This Row],[Account Code]],'Accoount Code Combination'!$D:$L,9,FALSE)</f>
        <v>No Applicable</v>
      </c>
      <c r="C333" s="4" t="str">
        <f>VLOOKUP(Table1[[#This Row],[Cost Center Code]],'Cost Center Group'!A:B,2,FALSE)</f>
        <v>Administration, Facilities and EHS Office</v>
      </c>
      <c r="D333" s="4">
        <v>847</v>
      </c>
      <c r="E333" s="79">
        <v>8470530</v>
      </c>
      <c r="F333" s="32" t="s">
        <v>165</v>
      </c>
      <c r="G333" s="4">
        <v>1</v>
      </c>
      <c r="H333" s="95">
        <v>436120</v>
      </c>
      <c r="I333" s="106" t="str">
        <f>IFERROR(VLOOKUP(Table1[[#This Row],[Account Code]],'Accoount Code Combination'!$D:$H,2,FALSE),"")</f>
        <v>Stationery</v>
      </c>
      <c r="J333" s="79">
        <v>8470530</v>
      </c>
      <c r="K333" s="4"/>
      <c r="L333" s="4" t="str">
        <f>IFERROR(VLOOKUP(Table1[[#This Row],[Future-1 Description]],'Other '!E321:$F330,2,FALSE),"")</f>
        <v/>
      </c>
      <c r="M333" s="32"/>
      <c r="N333" s="32"/>
      <c r="O333" s="32"/>
      <c r="P333" s="49">
        <v>0</v>
      </c>
      <c r="Q333" s="49">
        <v>0</v>
      </c>
      <c r="R333" s="32"/>
      <c r="S333" s="4"/>
      <c r="T333" s="32"/>
      <c r="U333" s="32"/>
      <c r="V333" s="32"/>
      <c r="W333" s="32"/>
      <c r="X333" s="33"/>
      <c r="Y333" s="33"/>
      <c r="Z333" s="31">
        <f>Table1[[#This Row],[Quantity of measruing units]]*Table1[[#This Row],[Rate (expected)]]</f>
        <v>0</v>
      </c>
      <c r="AA333" s="31"/>
      <c r="AB333" s="31"/>
      <c r="AC333" s="34">
        <f>Table1[[#This Row],[Quantity (expected)]]*Table1[[#This Row],[Rate (expected)2]]*0.9</f>
        <v>0</v>
      </c>
      <c r="AD333" s="34">
        <f>Table1[[#This Row],[Quantity (expected)]]*Table1[[#This Row],[Rate (expected)2]]*0.8</f>
        <v>0</v>
      </c>
      <c r="AE333" s="34">
        <f>Table1[[#This Row],[Quantity (expected)]]*Table1[[#This Row],[Rate (expected)2]]*0.7</f>
        <v>0</v>
      </c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1">
        <f>SUM(Table1[[#This Row],[Jan-23]:[Dec-23]])</f>
        <v>0</v>
      </c>
      <c r="AV333" s="105"/>
      <c r="AW333" s="32"/>
      <c r="AX333" s="35"/>
    </row>
    <row r="334" spans="1:50" x14ac:dyDescent="0.3">
      <c r="A334" s="30">
        <f>VLOOKUP(H334,'Accoount Code Combination'!$D:$L,8,FALSE)</f>
        <v>0</v>
      </c>
      <c r="B334" s="31" t="str">
        <f>VLOOKUP(Table1[[#This Row],[Account Code]],'Accoount Code Combination'!$D:$L,9,FALSE)</f>
        <v>Building Improvements</v>
      </c>
      <c r="C334" s="4" t="str">
        <f>VLOOKUP(Table1[[#This Row],[Cost Center Code]],'Cost Center Group'!A:B,2,FALSE)</f>
        <v>Administration, Facilities and EHS Office</v>
      </c>
      <c r="D334" s="4">
        <v>847</v>
      </c>
      <c r="E334" s="79">
        <v>8470530</v>
      </c>
      <c r="F334" s="32" t="s">
        <v>165</v>
      </c>
      <c r="G334" s="4">
        <v>1</v>
      </c>
      <c r="H334" s="95">
        <v>492200</v>
      </c>
      <c r="I334" s="106" t="str">
        <f>IFERROR(VLOOKUP(Table1[[#This Row],[Account Code]],'Accoount Code Combination'!$D:$H,2,FALSE),"")</f>
        <v>Capital expense - Buildings</v>
      </c>
      <c r="J334" s="79">
        <v>8470530</v>
      </c>
      <c r="K334" s="4"/>
      <c r="L334" s="4" t="str">
        <f>IFERROR(VLOOKUP(Table1[[#This Row],[Future-1 Description]],'Other '!E322:$F331,2,FALSE),"")</f>
        <v/>
      </c>
      <c r="M334" s="32"/>
      <c r="N334" s="32"/>
      <c r="O334" s="32"/>
      <c r="P334" s="49">
        <v>25209027.039999999</v>
      </c>
      <c r="Q334" s="49">
        <v>8816900</v>
      </c>
      <c r="R334" s="32"/>
      <c r="S334" s="4"/>
      <c r="T334" s="32"/>
      <c r="U334" s="32"/>
      <c r="V334" s="32"/>
      <c r="W334" s="32"/>
      <c r="X334" s="33"/>
      <c r="Y334" s="33"/>
      <c r="Z334" s="31">
        <f>Table1[[#This Row],[Quantity of measruing units]]*Table1[[#This Row],[Rate (expected)]]</f>
        <v>0</v>
      </c>
      <c r="AA334" s="31"/>
      <c r="AB334" s="31"/>
      <c r="AC334" s="34">
        <f>Table1[[#This Row],[Quantity (expected)]]*Table1[[#This Row],[Rate (expected)2]]*0.9</f>
        <v>0</v>
      </c>
      <c r="AD334" s="34">
        <f>Table1[[#This Row],[Quantity (expected)]]*Table1[[#This Row],[Rate (expected)2]]*0.8</f>
        <v>0</v>
      </c>
      <c r="AE334" s="34">
        <f>Table1[[#This Row],[Quantity (expected)]]*Table1[[#This Row],[Rate (expected)2]]*0.7</f>
        <v>0</v>
      </c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1">
        <f>SUM(Table1[[#This Row],[Jan-23]:[Dec-23]])</f>
        <v>0</v>
      </c>
      <c r="AV334" s="105"/>
      <c r="AW334" s="32"/>
      <c r="AX334" s="35"/>
    </row>
    <row r="335" spans="1:50" x14ac:dyDescent="0.3">
      <c r="A335" s="30">
        <f>VLOOKUP(H335,'Accoount Code Combination'!$D:$L,8,FALSE)</f>
        <v>0</v>
      </c>
      <c r="B335" s="31" t="str">
        <f>VLOOKUP(Table1[[#This Row],[Account Code]],'Accoount Code Combination'!$D:$L,9,FALSE)</f>
        <v>Building Improvements</v>
      </c>
      <c r="C335" s="4" t="str">
        <f>VLOOKUP(Table1[[#This Row],[Cost Center Code]],'Cost Center Group'!A:B,2,FALSE)</f>
        <v>Administration, Facilities and EHS Office</v>
      </c>
      <c r="D335" s="4">
        <v>847</v>
      </c>
      <c r="E335" s="79">
        <v>8470530</v>
      </c>
      <c r="F335" s="32" t="s">
        <v>165</v>
      </c>
      <c r="G335" s="4">
        <v>1</v>
      </c>
      <c r="H335" s="95">
        <v>492200</v>
      </c>
      <c r="I335" s="106" t="str">
        <f>IFERROR(VLOOKUP(Table1[[#This Row],[Account Code]],'Accoount Code Combination'!$D:$H,2,FALSE),"")</f>
        <v>Capital expense - Buildings</v>
      </c>
      <c r="J335" s="79">
        <v>8470530</v>
      </c>
      <c r="K335" s="4"/>
      <c r="L335" s="4" t="str">
        <f>IFERROR(VLOOKUP(Table1[[#This Row],[Future-1 Description]],'Other '!E323:$F332,2,FALSE),"")</f>
        <v/>
      </c>
      <c r="M335" s="32"/>
      <c r="N335" s="32"/>
      <c r="O335" s="32"/>
      <c r="P335" s="49">
        <v>2473826.6</v>
      </c>
      <c r="Q335" s="49">
        <v>6819769</v>
      </c>
      <c r="R335" s="32"/>
      <c r="S335" s="4"/>
      <c r="T335" s="32"/>
      <c r="U335" s="32"/>
      <c r="V335" s="32"/>
      <c r="W335" s="32"/>
      <c r="X335" s="33"/>
      <c r="Y335" s="33"/>
      <c r="Z335" s="31">
        <f>Table1[[#This Row],[Quantity of measruing units]]*Table1[[#This Row],[Rate (expected)]]</f>
        <v>0</v>
      </c>
      <c r="AA335" s="31"/>
      <c r="AB335" s="31"/>
      <c r="AC335" s="34">
        <f>Table1[[#This Row],[Quantity (expected)]]*Table1[[#This Row],[Rate (expected)2]]*0.9</f>
        <v>0</v>
      </c>
      <c r="AD335" s="34">
        <f>Table1[[#This Row],[Quantity (expected)]]*Table1[[#This Row],[Rate (expected)2]]*0.8</f>
        <v>0</v>
      </c>
      <c r="AE335" s="34">
        <f>Table1[[#This Row],[Quantity (expected)]]*Table1[[#This Row],[Rate (expected)2]]*0.7</f>
        <v>0</v>
      </c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1">
        <f>SUM(Table1[[#This Row],[Jan-23]:[Dec-23]])</f>
        <v>0</v>
      </c>
      <c r="AV335" s="105"/>
      <c r="AW335" s="32"/>
      <c r="AX335" s="35"/>
    </row>
    <row r="336" spans="1:50" x14ac:dyDescent="0.3">
      <c r="A336" s="30">
        <f>VLOOKUP(H336,'Accoount Code Combination'!$D:$L,8,FALSE)</f>
        <v>0</v>
      </c>
      <c r="B336" s="31" t="str">
        <f>VLOOKUP(Table1[[#This Row],[Account Code]],'Accoount Code Combination'!$D:$L,9,FALSE)</f>
        <v>Furniture and Fixtures</v>
      </c>
      <c r="C336" s="4" t="str">
        <f>VLOOKUP(Table1[[#This Row],[Cost Center Code]],'Cost Center Group'!A:B,2,FALSE)</f>
        <v>Administration, Facilities and EHS Office</v>
      </c>
      <c r="D336" s="4">
        <v>847</v>
      </c>
      <c r="E336" s="79">
        <v>8470530</v>
      </c>
      <c r="F336" s="32" t="s">
        <v>165</v>
      </c>
      <c r="G336" s="4">
        <v>1</v>
      </c>
      <c r="H336" s="95">
        <v>492610</v>
      </c>
      <c r="I336" s="106" t="str">
        <f>IFERROR(VLOOKUP(Table1[[#This Row],[Account Code]],'Accoount Code Combination'!$D:$H,2,FALSE),"")</f>
        <v>Furniture &amp; Fixtures - Offices</v>
      </c>
      <c r="J336" s="79">
        <v>8470530</v>
      </c>
      <c r="K336" s="4"/>
      <c r="L336" s="4" t="str">
        <f>IFERROR(VLOOKUP(Table1[[#This Row],[Future-1 Description]],'Other '!E324:$F333,2,FALSE),"")</f>
        <v/>
      </c>
      <c r="M336" s="32"/>
      <c r="N336" s="32"/>
      <c r="O336" s="32"/>
      <c r="P336" s="49">
        <v>6216230.0700000003</v>
      </c>
      <c r="Q336" s="49">
        <v>2376175</v>
      </c>
      <c r="R336" s="32"/>
      <c r="S336" s="4"/>
      <c r="T336" s="32"/>
      <c r="U336" s="32"/>
      <c r="V336" s="32"/>
      <c r="W336" s="32"/>
      <c r="X336" s="33"/>
      <c r="Y336" s="33"/>
      <c r="Z336" s="31">
        <f>Table1[[#This Row],[Quantity of measruing units]]*Table1[[#This Row],[Rate (expected)]]</f>
        <v>0</v>
      </c>
      <c r="AA336" s="31"/>
      <c r="AB336" s="31"/>
      <c r="AC336" s="34">
        <f>Table1[[#This Row],[Quantity (expected)]]*Table1[[#This Row],[Rate (expected)2]]*0.9</f>
        <v>0</v>
      </c>
      <c r="AD336" s="34">
        <f>Table1[[#This Row],[Quantity (expected)]]*Table1[[#This Row],[Rate (expected)2]]*0.8</f>
        <v>0</v>
      </c>
      <c r="AE336" s="34">
        <f>Table1[[#This Row],[Quantity (expected)]]*Table1[[#This Row],[Rate (expected)2]]*0.7</f>
        <v>0</v>
      </c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1">
        <f>SUM(Table1[[#This Row],[Jan-23]:[Dec-23]])</f>
        <v>0</v>
      </c>
      <c r="AV336" s="105"/>
      <c r="AW336" s="32"/>
      <c r="AX336" s="35"/>
    </row>
    <row r="337" spans="1:50" x14ac:dyDescent="0.3">
      <c r="A337" s="30">
        <f>VLOOKUP(H337,'Accoount Code Combination'!$D:$L,8,FALSE)</f>
        <v>0</v>
      </c>
      <c r="B337" s="31" t="str">
        <f>VLOOKUP(Table1[[#This Row],[Account Code]],'Accoount Code Combination'!$D:$L,9,FALSE)</f>
        <v>Furniture and Fixtures</v>
      </c>
      <c r="C337" s="4" t="str">
        <f>VLOOKUP(Table1[[#This Row],[Cost Center Code]],'Cost Center Group'!A:B,2,FALSE)</f>
        <v>Administration, Facilities and EHS Office</v>
      </c>
      <c r="D337" s="4">
        <v>847</v>
      </c>
      <c r="E337" s="79">
        <v>8470530</v>
      </c>
      <c r="F337" s="32" t="s">
        <v>165</v>
      </c>
      <c r="G337" s="4">
        <v>1</v>
      </c>
      <c r="H337" s="95">
        <v>492610</v>
      </c>
      <c r="I337" s="106" t="str">
        <f>IFERROR(VLOOKUP(Table1[[#This Row],[Account Code]],'Accoount Code Combination'!$D:$H,2,FALSE),"")</f>
        <v>Furniture &amp; Fixtures - Offices</v>
      </c>
      <c r="J337" s="79">
        <v>8470530</v>
      </c>
      <c r="K337" s="4"/>
      <c r="L337" s="4" t="str">
        <f>IFERROR(VLOOKUP(Table1[[#This Row],[Future-1 Description]],'Other '!E325:$F334,2,FALSE),"")</f>
        <v/>
      </c>
      <c r="M337" s="32"/>
      <c r="N337" s="32"/>
      <c r="O337" s="32"/>
      <c r="P337" s="49">
        <v>0</v>
      </c>
      <c r="Q337" s="49">
        <v>0</v>
      </c>
      <c r="R337" s="32"/>
      <c r="S337" s="4"/>
      <c r="T337" s="32"/>
      <c r="U337" s="32"/>
      <c r="V337" s="32"/>
      <c r="W337" s="32"/>
      <c r="X337" s="33"/>
      <c r="Y337" s="33"/>
      <c r="Z337" s="31">
        <f>Table1[[#This Row],[Quantity of measruing units]]*Table1[[#This Row],[Rate (expected)]]</f>
        <v>0</v>
      </c>
      <c r="AA337" s="31"/>
      <c r="AB337" s="31"/>
      <c r="AC337" s="34">
        <f>Table1[[#This Row],[Quantity (expected)]]*Table1[[#This Row],[Rate (expected)2]]*0.9</f>
        <v>0</v>
      </c>
      <c r="AD337" s="34">
        <f>Table1[[#This Row],[Quantity (expected)]]*Table1[[#This Row],[Rate (expected)2]]*0.8</f>
        <v>0</v>
      </c>
      <c r="AE337" s="34">
        <f>Table1[[#This Row],[Quantity (expected)]]*Table1[[#This Row],[Rate (expected)2]]*0.7</f>
        <v>0</v>
      </c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1">
        <f>SUM(Table1[[#This Row],[Jan-23]:[Dec-23]])</f>
        <v>0</v>
      </c>
      <c r="AV337" s="105"/>
      <c r="AW337" s="32"/>
      <c r="AX337" s="35"/>
    </row>
    <row r="338" spans="1:50" x14ac:dyDescent="0.3">
      <c r="A338" s="30">
        <f>VLOOKUP(H338,'Accoount Code Combination'!$D:$L,8,FALSE)</f>
        <v>0</v>
      </c>
      <c r="B338" s="31" t="str">
        <f>VLOOKUP(Table1[[#This Row],[Account Code]],'Accoount Code Combination'!$D:$L,9,FALSE)</f>
        <v>Furniture and Fixtures</v>
      </c>
      <c r="C338" s="4" t="str">
        <f>VLOOKUP(Table1[[#This Row],[Cost Center Code]],'Cost Center Group'!A:B,2,FALSE)</f>
        <v>Administration, Facilities and EHS Office</v>
      </c>
      <c r="D338" s="4">
        <v>847</v>
      </c>
      <c r="E338" s="79">
        <v>8470530</v>
      </c>
      <c r="F338" s="32" t="s">
        <v>165</v>
      </c>
      <c r="G338" s="4">
        <v>1</v>
      </c>
      <c r="H338" s="95">
        <v>492610</v>
      </c>
      <c r="I338" s="106" t="str">
        <f>IFERROR(VLOOKUP(Table1[[#This Row],[Account Code]],'Accoount Code Combination'!$D:$H,2,FALSE),"")</f>
        <v>Furniture &amp; Fixtures - Offices</v>
      </c>
      <c r="J338" s="79">
        <v>8470530</v>
      </c>
      <c r="K338" s="4"/>
      <c r="L338" s="4" t="str">
        <f>IFERROR(VLOOKUP(Table1[[#This Row],[Future-1 Description]],'Other '!E326:$F335,2,FALSE),"")</f>
        <v/>
      </c>
      <c r="M338" s="32"/>
      <c r="N338" s="32"/>
      <c r="O338" s="32"/>
      <c r="P338" s="49">
        <v>81760</v>
      </c>
      <c r="Q338" s="49">
        <v>0</v>
      </c>
      <c r="R338" s="32"/>
      <c r="S338" s="4"/>
      <c r="T338" s="32"/>
      <c r="U338" s="32"/>
      <c r="V338" s="32"/>
      <c r="W338" s="32"/>
      <c r="X338" s="33"/>
      <c r="Y338" s="33"/>
      <c r="Z338" s="31">
        <f>Table1[[#This Row],[Quantity of measruing units]]*Table1[[#This Row],[Rate (expected)]]</f>
        <v>0</v>
      </c>
      <c r="AA338" s="31"/>
      <c r="AB338" s="31"/>
      <c r="AC338" s="34">
        <f>Table1[[#This Row],[Quantity (expected)]]*Table1[[#This Row],[Rate (expected)2]]*0.9</f>
        <v>0</v>
      </c>
      <c r="AD338" s="34">
        <f>Table1[[#This Row],[Quantity (expected)]]*Table1[[#This Row],[Rate (expected)2]]*0.8</f>
        <v>0</v>
      </c>
      <c r="AE338" s="34">
        <f>Table1[[#This Row],[Quantity (expected)]]*Table1[[#This Row],[Rate (expected)2]]*0.7</f>
        <v>0</v>
      </c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1">
        <f>SUM(Table1[[#This Row],[Jan-23]:[Dec-23]])</f>
        <v>0</v>
      </c>
      <c r="AV338" s="105"/>
      <c r="AW338" s="32"/>
      <c r="AX338" s="35"/>
    </row>
    <row r="339" spans="1:50" x14ac:dyDescent="0.3">
      <c r="A339" s="30">
        <f>VLOOKUP(H339,'Accoount Code Combination'!$D:$L,8,FALSE)</f>
        <v>0</v>
      </c>
      <c r="B339" s="31" t="str">
        <f>VLOOKUP(Table1[[#This Row],[Account Code]],'Accoount Code Combination'!$D:$L,9,FALSE)</f>
        <v>Software Capital</v>
      </c>
      <c r="C339" s="4" t="str">
        <f>VLOOKUP(Table1[[#This Row],[Cost Center Code]],'Cost Center Group'!A:B,2,FALSE)</f>
        <v>Administration, Facilities and EHS Office</v>
      </c>
      <c r="D339" s="4">
        <v>847</v>
      </c>
      <c r="E339" s="79">
        <v>8470530</v>
      </c>
      <c r="F339" s="32" t="s">
        <v>165</v>
      </c>
      <c r="G339" s="4">
        <v>1</v>
      </c>
      <c r="H339" s="95">
        <v>495140</v>
      </c>
      <c r="I339" s="106" t="str">
        <f>IFERROR(VLOOKUP(Table1[[#This Row],[Account Code]],'Accoount Code Combination'!$D:$H,2,FALSE),"")</f>
        <v>Copyrights, patents and licenses</v>
      </c>
      <c r="J339" s="79">
        <v>8470530</v>
      </c>
      <c r="K339" s="4"/>
      <c r="L339" s="4" t="str">
        <f>IFERROR(VLOOKUP(Table1[[#This Row],[Future-1 Description]],'Other '!E327:$F336,2,FALSE),"")</f>
        <v/>
      </c>
      <c r="M339" s="32"/>
      <c r="N339" s="32"/>
      <c r="O339" s="32"/>
      <c r="P339" s="49">
        <v>267131.06</v>
      </c>
      <c r="Q339" s="49">
        <v>51057</v>
      </c>
      <c r="R339" s="32"/>
      <c r="S339" s="4"/>
      <c r="T339" s="32"/>
      <c r="U339" s="32"/>
      <c r="V339" s="32"/>
      <c r="W339" s="32"/>
      <c r="X339" s="33"/>
      <c r="Y339" s="33"/>
      <c r="Z339" s="31">
        <f>Table1[[#This Row],[Quantity of measruing units]]*Table1[[#This Row],[Rate (expected)]]</f>
        <v>0</v>
      </c>
      <c r="AA339" s="31"/>
      <c r="AB339" s="31"/>
      <c r="AC339" s="34">
        <f>Table1[[#This Row],[Quantity (expected)]]*Table1[[#This Row],[Rate (expected)2]]*0.9</f>
        <v>0</v>
      </c>
      <c r="AD339" s="34">
        <f>Table1[[#This Row],[Quantity (expected)]]*Table1[[#This Row],[Rate (expected)2]]*0.8</f>
        <v>0</v>
      </c>
      <c r="AE339" s="34">
        <f>Table1[[#This Row],[Quantity (expected)]]*Table1[[#This Row],[Rate (expected)2]]*0.7</f>
        <v>0</v>
      </c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1">
        <f>SUM(Table1[[#This Row],[Jan-23]:[Dec-23]])</f>
        <v>0</v>
      </c>
      <c r="AV339" s="105"/>
      <c r="AW339" s="32"/>
      <c r="AX339" s="35"/>
    </row>
    <row r="340" spans="1:50" x14ac:dyDescent="0.3">
      <c r="A340" s="30" t="str">
        <f>VLOOKUP(H340,'Accoount Code Combination'!$D:$L,8,FALSE)</f>
        <v>Other support</v>
      </c>
      <c r="B340" s="31" t="str">
        <f>VLOOKUP(Table1[[#This Row],[Account Code]],'Accoount Code Combination'!$D:$L,9,FALSE)</f>
        <v>No Applicable</v>
      </c>
      <c r="C340" s="4" t="str">
        <f>VLOOKUP(Table1[[#This Row],[Cost Center Code]],'Cost Center Group'!A:B,2,FALSE)</f>
        <v>Finance &amp; Business Development Office</v>
      </c>
      <c r="D340" s="4">
        <v>847</v>
      </c>
      <c r="E340" s="79">
        <v>8470620</v>
      </c>
      <c r="F340" s="32" t="s">
        <v>161</v>
      </c>
      <c r="G340" s="4">
        <v>1</v>
      </c>
      <c r="H340" s="95">
        <v>420130</v>
      </c>
      <c r="I340" s="106" t="str">
        <f>IFERROR(VLOOKUP(Table1[[#This Row],[Account Code]],'Accoount Code Combination'!$D:$H,2,FALSE),"")</f>
        <v>External Audit service</v>
      </c>
      <c r="J340" s="79">
        <v>8470620</v>
      </c>
      <c r="K340" s="4"/>
      <c r="L340" s="4" t="str">
        <f>IFERROR(VLOOKUP(Table1[[#This Row],[Future-1 Description]],'Other '!E328:$F337,2,FALSE),"")</f>
        <v/>
      </c>
      <c r="M340" s="32"/>
      <c r="N340" s="32"/>
      <c r="O340" s="32"/>
      <c r="P340" s="49">
        <v>543500</v>
      </c>
      <c r="Q340" s="49">
        <v>319725</v>
      </c>
      <c r="R340" s="32"/>
      <c r="S340" s="4"/>
      <c r="T340" s="32"/>
      <c r="U340" s="32"/>
      <c r="V340" s="32"/>
      <c r="W340" s="32"/>
      <c r="X340" s="33"/>
      <c r="Y340" s="33"/>
      <c r="Z340" s="31">
        <f>Table1[[#This Row],[Quantity of measruing units]]*Table1[[#This Row],[Rate (expected)]]</f>
        <v>0</v>
      </c>
      <c r="AA340" s="31"/>
      <c r="AB340" s="31"/>
      <c r="AC340" s="34">
        <f>Table1[[#This Row],[Quantity (expected)]]*Table1[[#This Row],[Rate (expected)2]]*0.9</f>
        <v>0</v>
      </c>
      <c r="AD340" s="34">
        <f>Table1[[#This Row],[Quantity (expected)]]*Table1[[#This Row],[Rate (expected)2]]*0.8</f>
        <v>0</v>
      </c>
      <c r="AE340" s="34">
        <f>Table1[[#This Row],[Quantity (expected)]]*Table1[[#This Row],[Rate (expected)2]]*0.7</f>
        <v>0</v>
      </c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1">
        <f>SUM(Table1[[#This Row],[Jan-23]:[Dec-23]])</f>
        <v>0</v>
      </c>
      <c r="AV340" s="105"/>
      <c r="AW340" s="32"/>
      <c r="AX340" s="35"/>
    </row>
    <row r="341" spans="1:50" x14ac:dyDescent="0.3">
      <c r="A341" s="30" t="str">
        <f>VLOOKUP(H341,'Accoount Code Combination'!$D:$L,8,FALSE)</f>
        <v>HR</v>
      </c>
      <c r="B341" s="31" t="str">
        <f>VLOOKUP(Table1[[#This Row],[Account Code]],'Accoount Code Combination'!$D:$L,9,FALSE)</f>
        <v>Consultancy</v>
      </c>
      <c r="C341" s="4" t="str">
        <f>VLOOKUP(Table1[[#This Row],[Cost Center Code]],'Cost Center Group'!A:B,2,FALSE)</f>
        <v>Finance &amp; Business Development Office</v>
      </c>
      <c r="D341" s="4">
        <v>847</v>
      </c>
      <c r="E341" s="79">
        <v>8470620</v>
      </c>
      <c r="F341" s="32" t="s">
        <v>161</v>
      </c>
      <c r="G341" s="4">
        <v>1</v>
      </c>
      <c r="H341" s="95">
        <v>421000</v>
      </c>
      <c r="I341" s="106" t="str">
        <f>IFERROR(VLOOKUP(Table1[[#This Row],[Account Code]],'Accoount Code Combination'!$D:$H,2,FALSE),"")</f>
        <v>Management consultancy</v>
      </c>
      <c r="J341" s="79">
        <v>8470620</v>
      </c>
      <c r="K341" s="4"/>
      <c r="L341" s="4" t="str">
        <f>IFERROR(VLOOKUP(Table1[[#This Row],[Future-1 Description]],'Other '!E329:$F338,2,FALSE),"")</f>
        <v/>
      </c>
      <c r="M341" s="32"/>
      <c r="N341" s="32"/>
      <c r="O341" s="32"/>
      <c r="P341" s="49">
        <v>10000</v>
      </c>
      <c r="Q341" s="49">
        <v>0</v>
      </c>
      <c r="R341" s="32"/>
      <c r="S341" s="4"/>
      <c r="T341" s="32"/>
      <c r="U341" s="32"/>
      <c r="V341" s="32"/>
      <c r="W341" s="32"/>
      <c r="X341" s="33"/>
      <c r="Y341" s="33"/>
      <c r="Z341" s="31">
        <f>Table1[[#This Row],[Quantity of measruing units]]*Table1[[#This Row],[Rate (expected)]]</f>
        <v>0</v>
      </c>
      <c r="AA341" s="31"/>
      <c r="AB341" s="31"/>
      <c r="AC341" s="34">
        <f>Table1[[#This Row],[Quantity (expected)]]*Table1[[#This Row],[Rate (expected)2]]*0.9</f>
        <v>0</v>
      </c>
      <c r="AD341" s="34">
        <f>Table1[[#This Row],[Quantity (expected)]]*Table1[[#This Row],[Rate (expected)2]]*0.8</f>
        <v>0</v>
      </c>
      <c r="AE341" s="34">
        <f>Table1[[#This Row],[Quantity (expected)]]*Table1[[#This Row],[Rate (expected)2]]*0.7</f>
        <v>0</v>
      </c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1">
        <f>SUM(Table1[[#This Row],[Jan-23]:[Dec-23]])</f>
        <v>0</v>
      </c>
      <c r="AV341" s="105"/>
      <c r="AW341" s="32"/>
      <c r="AX341" s="35"/>
    </row>
    <row r="342" spans="1:50" x14ac:dyDescent="0.3">
      <c r="A342" s="30" t="str">
        <f>VLOOKUP(H342,'Accoount Code Combination'!$D:$L,8,FALSE)</f>
        <v>HR</v>
      </c>
      <c r="B342" s="31" t="str">
        <f>VLOOKUP(Table1[[#This Row],[Account Code]],'Accoount Code Combination'!$D:$L,9,FALSE)</f>
        <v>Outsourcing</v>
      </c>
      <c r="C342" s="4" t="str">
        <f>VLOOKUP(Table1[[#This Row],[Cost Center Code]],'Cost Center Group'!A:B,2,FALSE)</f>
        <v>Finance &amp; Business Development Office</v>
      </c>
      <c r="D342" s="4">
        <v>847</v>
      </c>
      <c r="E342" s="79">
        <v>8470620</v>
      </c>
      <c r="F342" s="32" t="s">
        <v>161</v>
      </c>
      <c r="G342" s="4">
        <v>1</v>
      </c>
      <c r="H342" s="95">
        <v>421100</v>
      </c>
      <c r="I342" s="106" t="str">
        <f>IFERROR(VLOOKUP(Table1[[#This Row],[Account Code]],'Accoount Code Combination'!$D:$H,2,FALSE),"")</f>
        <v>Manpower supply</v>
      </c>
      <c r="J342" s="79">
        <v>8470620</v>
      </c>
      <c r="K342" s="4"/>
      <c r="L342" s="4" t="str">
        <f>IFERROR(VLOOKUP(Table1[[#This Row],[Future-1 Description]],'Other '!E330:$F339,2,FALSE),"")</f>
        <v/>
      </c>
      <c r="M342" s="32"/>
      <c r="N342" s="32"/>
      <c r="O342" s="32"/>
      <c r="P342" s="49">
        <v>502724.25</v>
      </c>
      <c r="Q342" s="49">
        <v>524160</v>
      </c>
      <c r="R342" s="32"/>
      <c r="S342" s="4"/>
      <c r="T342" s="32"/>
      <c r="U342" s="32"/>
      <c r="V342" s="32"/>
      <c r="W342" s="32"/>
      <c r="X342" s="33"/>
      <c r="Y342" s="33"/>
      <c r="Z342" s="31">
        <f>Table1[[#This Row],[Quantity of measruing units]]*Table1[[#This Row],[Rate (expected)]]</f>
        <v>0</v>
      </c>
      <c r="AA342" s="31"/>
      <c r="AB342" s="31"/>
      <c r="AC342" s="34">
        <f>Table1[[#This Row],[Quantity (expected)]]*Table1[[#This Row],[Rate (expected)2]]*0.9</f>
        <v>0</v>
      </c>
      <c r="AD342" s="34">
        <f>Table1[[#This Row],[Quantity (expected)]]*Table1[[#This Row],[Rate (expected)2]]*0.8</f>
        <v>0</v>
      </c>
      <c r="AE342" s="34">
        <f>Table1[[#This Row],[Quantity (expected)]]*Table1[[#This Row],[Rate (expected)2]]*0.7</f>
        <v>0</v>
      </c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1">
        <f>SUM(Table1[[#This Row],[Jan-23]:[Dec-23]])</f>
        <v>0</v>
      </c>
      <c r="AV342" s="105"/>
      <c r="AW342" s="32"/>
      <c r="AX342" s="35"/>
    </row>
    <row r="343" spans="1:50" x14ac:dyDescent="0.3">
      <c r="A343" s="30" t="str">
        <f>VLOOKUP(H343,'Accoount Code Combination'!$D:$L,8,FALSE)</f>
        <v>Finance</v>
      </c>
      <c r="B343" s="31" t="str">
        <f>VLOOKUP(Table1[[#This Row],[Account Code]],'Accoount Code Combination'!$D:$L,9,FALSE)</f>
        <v>No Applicable</v>
      </c>
      <c r="C343" s="4" t="str">
        <f>VLOOKUP(Table1[[#This Row],[Cost Center Code]],'Cost Center Group'!A:B,2,FALSE)</f>
        <v>Finance &amp; Business Development Office</v>
      </c>
      <c r="D343" s="4">
        <v>847</v>
      </c>
      <c r="E343" s="79">
        <v>8470620</v>
      </c>
      <c r="F343" s="32" t="s">
        <v>161</v>
      </c>
      <c r="G343" s="4">
        <v>1</v>
      </c>
      <c r="H343" s="95">
        <v>425300</v>
      </c>
      <c r="I343" s="106" t="str">
        <f>IFERROR(VLOOKUP(Table1[[#This Row],[Account Code]],'Accoount Code Combination'!$D:$H,2,FALSE),"")</f>
        <v>Banking service charges / Fees</v>
      </c>
      <c r="J343" s="79">
        <v>8470620</v>
      </c>
      <c r="K343" s="4"/>
      <c r="L343" s="4" t="str">
        <f>IFERROR(VLOOKUP(Table1[[#This Row],[Future-1 Description]],'Other '!E331:$F340,2,FALSE),"")</f>
        <v/>
      </c>
      <c r="M343" s="32"/>
      <c r="N343" s="32"/>
      <c r="O343" s="32"/>
      <c r="P343" s="49">
        <v>2000.5</v>
      </c>
      <c r="Q343" s="49">
        <v>3511</v>
      </c>
      <c r="R343" s="32"/>
      <c r="S343" s="4"/>
      <c r="T343" s="32"/>
      <c r="U343" s="32"/>
      <c r="V343" s="32"/>
      <c r="W343" s="32"/>
      <c r="X343" s="33"/>
      <c r="Y343" s="33"/>
      <c r="Z343" s="31">
        <f>Table1[[#This Row],[Quantity of measruing units]]*Table1[[#This Row],[Rate (expected)]]</f>
        <v>0</v>
      </c>
      <c r="AA343" s="31"/>
      <c r="AB343" s="31"/>
      <c r="AC343" s="34">
        <f>Table1[[#This Row],[Quantity (expected)]]*Table1[[#This Row],[Rate (expected)2]]*0.9</f>
        <v>0</v>
      </c>
      <c r="AD343" s="34">
        <f>Table1[[#This Row],[Quantity (expected)]]*Table1[[#This Row],[Rate (expected)2]]*0.8</f>
        <v>0</v>
      </c>
      <c r="AE343" s="34">
        <f>Table1[[#This Row],[Quantity (expected)]]*Table1[[#This Row],[Rate (expected)2]]*0.7</f>
        <v>0</v>
      </c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1">
        <f>SUM(Table1[[#This Row],[Jan-23]:[Dec-23]])</f>
        <v>0</v>
      </c>
      <c r="AV343" s="105"/>
      <c r="AW343" s="32"/>
      <c r="AX343" s="35"/>
    </row>
    <row r="344" spans="1:50" x14ac:dyDescent="0.3">
      <c r="A344" s="30" t="str">
        <f>VLOOKUP(H344,'Accoount Code Combination'!$D:$L,8,FALSE)</f>
        <v>Finance</v>
      </c>
      <c r="B344" s="31" t="str">
        <f>VLOOKUP(Table1[[#This Row],[Account Code]],'Accoount Code Combination'!$D:$L,9,FALSE)</f>
        <v>No Applicable</v>
      </c>
      <c r="C344" s="4" t="str">
        <f>VLOOKUP(Table1[[#This Row],[Cost Center Code]],'Cost Center Group'!A:B,2,FALSE)</f>
        <v>Finance &amp; Business Development Office</v>
      </c>
      <c r="D344" s="4">
        <v>847</v>
      </c>
      <c r="E344" s="79">
        <v>8470620</v>
      </c>
      <c r="F344" s="32" t="s">
        <v>161</v>
      </c>
      <c r="G344" s="4">
        <v>1</v>
      </c>
      <c r="H344" s="95">
        <v>425350</v>
      </c>
      <c r="I344" s="106" t="str">
        <f>IFERROR(VLOOKUP(Table1[[#This Row],[Account Code]],'Accoount Code Combination'!$D:$H,2,FALSE),"")</f>
        <v>Fees for processing e-payments</v>
      </c>
      <c r="J344" s="79">
        <v>8470620</v>
      </c>
      <c r="K344" s="4"/>
      <c r="L344" s="4" t="str">
        <f>IFERROR(VLOOKUP(Table1[[#This Row],[Future-1 Description]],'Other '!E332:$F341,2,FALSE),"")</f>
        <v/>
      </c>
      <c r="M344" s="32"/>
      <c r="N344" s="32"/>
      <c r="O344" s="32"/>
      <c r="P344" s="49">
        <v>71796.92</v>
      </c>
      <c r="Q344" s="49">
        <v>87500</v>
      </c>
      <c r="R344" s="32"/>
      <c r="S344" s="4"/>
      <c r="T344" s="32"/>
      <c r="U344" s="32"/>
      <c r="V344" s="32"/>
      <c r="W344" s="32"/>
      <c r="X344" s="33"/>
      <c r="Y344" s="33"/>
      <c r="Z344" s="31">
        <f>Table1[[#This Row],[Quantity of measruing units]]*Table1[[#This Row],[Rate (expected)]]</f>
        <v>0</v>
      </c>
      <c r="AA344" s="31"/>
      <c r="AB344" s="31"/>
      <c r="AC344" s="34">
        <f>Table1[[#This Row],[Quantity (expected)]]*Table1[[#This Row],[Rate (expected)2]]*0.9</f>
        <v>0</v>
      </c>
      <c r="AD344" s="34">
        <f>Table1[[#This Row],[Quantity (expected)]]*Table1[[#This Row],[Rate (expected)2]]*0.8</f>
        <v>0</v>
      </c>
      <c r="AE344" s="34">
        <f>Table1[[#This Row],[Quantity (expected)]]*Table1[[#This Row],[Rate (expected)2]]*0.7</f>
        <v>0</v>
      </c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1">
        <f>SUM(Table1[[#This Row],[Jan-23]:[Dec-23]])</f>
        <v>0</v>
      </c>
      <c r="AV344" s="105"/>
      <c r="AW344" s="32"/>
      <c r="AX344" s="35"/>
    </row>
    <row r="345" spans="1:50" ht="26" x14ac:dyDescent="0.3">
      <c r="A345" s="30" t="str">
        <f>VLOOKUP(H345,'Accoount Code Combination'!$D:$L,8,FALSE)</f>
        <v>Communiction &amp; Marketing</v>
      </c>
      <c r="B345" s="31" t="str">
        <f>VLOOKUP(Table1[[#This Row],[Account Code]],'Accoount Code Combination'!$D:$L,9,FALSE)</f>
        <v>Events</v>
      </c>
      <c r="C345" s="4" t="str">
        <f>VLOOKUP(Table1[[#This Row],[Cost Center Code]],'Cost Center Group'!A:B,2,FALSE)</f>
        <v>Finance &amp; Business Development Office</v>
      </c>
      <c r="D345" s="4">
        <v>847</v>
      </c>
      <c r="E345" s="79">
        <v>8470620</v>
      </c>
      <c r="F345" s="32" t="s">
        <v>161</v>
      </c>
      <c r="G345" s="4">
        <v>1</v>
      </c>
      <c r="H345" s="95">
        <v>425510</v>
      </c>
      <c r="I345" s="106" t="str">
        <f>IFERROR(VLOOKUP(Table1[[#This Row],[Account Code]],'Accoount Code Combination'!$D:$H,2,FALSE),"")</f>
        <v>Conferences, seminars and exhibitions and other events: - Local Events</v>
      </c>
      <c r="J345" s="79">
        <v>8470620</v>
      </c>
      <c r="K345" s="4"/>
      <c r="L345" s="4" t="str">
        <f>IFERROR(VLOOKUP(Table1[[#This Row],[Future-1 Description]],'Other '!E333:$F342,2,FALSE),"")</f>
        <v/>
      </c>
      <c r="M345" s="32"/>
      <c r="N345" s="32"/>
      <c r="O345" s="32"/>
      <c r="P345" s="49">
        <v>0</v>
      </c>
      <c r="Q345" s="49">
        <v>0</v>
      </c>
      <c r="R345" s="32"/>
      <c r="S345" s="4"/>
      <c r="T345" s="32"/>
      <c r="U345" s="32"/>
      <c r="V345" s="32"/>
      <c r="W345" s="32"/>
      <c r="X345" s="33"/>
      <c r="Y345" s="33"/>
      <c r="Z345" s="31">
        <f>Table1[[#This Row],[Quantity of measruing units]]*Table1[[#This Row],[Rate (expected)]]</f>
        <v>0</v>
      </c>
      <c r="AA345" s="31"/>
      <c r="AB345" s="31"/>
      <c r="AC345" s="34">
        <f>Table1[[#This Row],[Quantity (expected)]]*Table1[[#This Row],[Rate (expected)2]]*0.9</f>
        <v>0</v>
      </c>
      <c r="AD345" s="34">
        <f>Table1[[#This Row],[Quantity (expected)]]*Table1[[#This Row],[Rate (expected)2]]*0.8</f>
        <v>0</v>
      </c>
      <c r="AE345" s="34">
        <f>Table1[[#This Row],[Quantity (expected)]]*Table1[[#This Row],[Rate (expected)2]]*0.7</f>
        <v>0</v>
      </c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1">
        <f>SUM(Table1[[#This Row],[Jan-23]:[Dec-23]])</f>
        <v>0</v>
      </c>
      <c r="AV345" s="105"/>
      <c r="AW345" s="32"/>
      <c r="AX345" s="35"/>
    </row>
    <row r="346" spans="1:50" x14ac:dyDescent="0.3">
      <c r="A346" s="30" t="str">
        <f>VLOOKUP(H346,'Accoount Code Combination'!$D:$L,8,FALSE)</f>
        <v>Other support</v>
      </c>
      <c r="B346" s="31" t="str">
        <f>VLOOKUP(Table1[[#This Row],[Account Code]],'Accoount Code Combination'!$D:$L,9,FALSE)</f>
        <v>No Applicable</v>
      </c>
      <c r="C346" s="4" t="str">
        <f>VLOOKUP(Table1[[#This Row],[Cost Center Code]],'Cost Center Group'!A:B,2,FALSE)</f>
        <v>Finance &amp; Business Development Office</v>
      </c>
      <c r="D346" s="4">
        <v>847</v>
      </c>
      <c r="E346" s="79">
        <v>8470620</v>
      </c>
      <c r="F346" s="32" t="s">
        <v>161</v>
      </c>
      <c r="G346" s="4">
        <v>1</v>
      </c>
      <c r="H346" s="95">
        <v>425900</v>
      </c>
      <c r="I346" s="106" t="str">
        <f>IFERROR(VLOOKUP(Table1[[#This Row],[Account Code]],'Accoount Code Combination'!$D:$H,2,FALSE),"")</f>
        <v>Entertainment and hospitality</v>
      </c>
      <c r="J346" s="79">
        <v>8470620</v>
      </c>
      <c r="K346" s="4"/>
      <c r="L346" s="4" t="str">
        <f>IFERROR(VLOOKUP(Table1[[#This Row],[Future-1 Description]],'Other '!E334:$F343,2,FALSE),"")</f>
        <v/>
      </c>
      <c r="M346" s="32"/>
      <c r="N346" s="32"/>
      <c r="O346" s="32"/>
      <c r="P346" s="49">
        <v>500</v>
      </c>
      <c r="Q346" s="49">
        <v>0</v>
      </c>
      <c r="R346" s="32"/>
      <c r="S346" s="4"/>
      <c r="T346" s="32"/>
      <c r="U346" s="32"/>
      <c r="V346" s="32"/>
      <c r="W346" s="32"/>
      <c r="X346" s="33"/>
      <c r="Y346" s="33"/>
      <c r="Z346" s="31">
        <f>Table1[[#This Row],[Quantity of measruing units]]*Table1[[#This Row],[Rate (expected)]]</f>
        <v>0</v>
      </c>
      <c r="AA346" s="31"/>
      <c r="AB346" s="31"/>
      <c r="AC346" s="34">
        <f>Table1[[#This Row],[Quantity (expected)]]*Table1[[#This Row],[Rate (expected)2]]*0.9</f>
        <v>0</v>
      </c>
      <c r="AD346" s="34">
        <f>Table1[[#This Row],[Quantity (expected)]]*Table1[[#This Row],[Rate (expected)2]]*0.8</f>
        <v>0</v>
      </c>
      <c r="AE346" s="34">
        <f>Table1[[#This Row],[Quantity (expected)]]*Table1[[#This Row],[Rate (expected)2]]*0.7</f>
        <v>0</v>
      </c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1">
        <f>SUM(Table1[[#This Row],[Jan-23]:[Dec-23]])</f>
        <v>0</v>
      </c>
      <c r="AV346" s="105"/>
      <c r="AW346" s="32"/>
      <c r="AX346" s="35"/>
    </row>
    <row r="347" spans="1:50" x14ac:dyDescent="0.3">
      <c r="A347" s="30" t="str">
        <f>VLOOKUP(H347,'Accoount Code Combination'!$D:$L,8,FALSE)</f>
        <v xml:space="preserve">Facilities </v>
      </c>
      <c r="B347" s="31" t="str">
        <f>VLOOKUP(Table1[[#This Row],[Account Code]],'Accoount Code Combination'!$D:$L,9,FALSE)</f>
        <v>No Applicable</v>
      </c>
      <c r="C347" s="4" t="str">
        <f>VLOOKUP(Table1[[#This Row],[Cost Center Code]],'Cost Center Group'!A:B,2,FALSE)</f>
        <v>Finance &amp; Business Development Office</v>
      </c>
      <c r="D347" s="4">
        <v>847</v>
      </c>
      <c r="E347" s="79">
        <v>8470620</v>
      </c>
      <c r="F347" s="32" t="s">
        <v>161</v>
      </c>
      <c r="G347" s="4">
        <v>1</v>
      </c>
      <c r="H347" s="95">
        <v>426210</v>
      </c>
      <c r="I347" s="106" t="str">
        <f>IFERROR(VLOOKUP(Table1[[#This Row],[Account Code]],'Accoount Code Combination'!$D:$H,2,FALSE),"")</f>
        <v>Insurance - Cash and fidelity</v>
      </c>
      <c r="J347" s="79">
        <v>8470620</v>
      </c>
      <c r="K347" s="4"/>
      <c r="L347" s="4" t="str">
        <f>IFERROR(VLOOKUP(Table1[[#This Row],[Future-1 Description]],'Other '!E335:$F344,2,FALSE),"")</f>
        <v/>
      </c>
      <c r="M347" s="32"/>
      <c r="N347" s="32"/>
      <c r="O347" s="32"/>
      <c r="P347" s="49">
        <v>0</v>
      </c>
      <c r="Q347" s="49">
        <v>0</v>
      </c>
      <c r="R347" s="32"/>
      <c r="S347" s="4"/>
      <c r="T347" s="32"/>
      <c r="U347" s="32"/>
      <c r="V347" s="32"/>
      <c r="W347" s="32"/>
      <c r="X347" s="33"/>
      <c r="Y347" s="33"/>
      <c r="Z347" s="31">
        <f>Table1[[#This Row],[Quantity of measruing units]]*Table1[[#This Row],[Rate (expected)]]</f>
        <v>0</v>
      </c>
      <c r="AA347" s="31"/>
      <c r="AB347" s="31"/>
      <c r="AC347" s="34">
        <f>Table1[[#This Row],[Quantity (expected)]]*Table1[[#This Row],[Rate (expected)2]]*0.9</f>
        <v>0</v>
      </c>
      <c r="AD347" s="34">
        <f>Table1[[#This Row],[Quantity (expected)]]*Table1[[#This Row],[Rate (expected)2]]*0.8</f>
        <v>0</v>
      </c>
      <c r="AE347" s="34">
        <f>Table1[[#This Row],[Quantity (expected)]]*Table1[[#This Row],[Rate (expected)2]]*0.7</f>
        <v>0</v>
      </c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1">
        <f>SUM(Table1[[#This Row],[Jan-23]:[Dec-23]])</f>
        <v>0</v>
      </c>
      <c r="AV347" s="105"/>
      <c r="AW347" s="32"/>
      <c r="AX347" s="35"/>
    </row>
    <row r="348" spans="1:50" x14ac:dyDescent="0.3">
      <c r="A348" s="30" t="str">
        <f>VLOOKUP(H348,'Accoount Code Combination'!$D:$L,8,FALSE)</f>
        <v xml:space="preserve">Facilities </v>
      </c>
      <c r="B348" s="31" t="str">
        <f>VLOOKUP(Table1[[#This Row],[Account Code]],'Accoount Code Combination'!$D:$L,9,FALSE)</f>
        <v>No Applicable</v>
      </c>
      <c r="C348" s="4" t="str">
        <f>VLOOKUP(Table1[[#This Row],[Cost Center Code]],'Cost Center Group'!A:B,2,FALSE)</f>
        <v>Finance &amp; Business Development Office</v>
      </c>
      <c r="D348" s="4">
        <v>847</v>
      </c>
      <c r="E348" s="79">
        <v>8470620</v>
      </c>
      <c r="F348" s="32" t="s">
        <v>161</v>
      </c>
      <c r="G348" s="4">
        <v>1</v>
      </c>
      <c r="H348" s="95">
        <v>426220</v>
      </c>
      <c r="I348" s="106" t="str">
        <f>IFERROR(VLOOKUP(Table1[[#This Row],[Account Code]],'Accoount Code Combination'!$D:$H,2,FALSE),"")</f>
        <v>Insurance - Fire and allied perils</v>
      </c>
      <c r="J348" s="79">
        <v>8470620</v>
      </c>
      <c r="K348" s="4"/>
      <c r="L348" s="4" t="str">
        <f>IFERROR(VLOOKUP(Table1[[#This Row],[Future-1 Description]],'Other '!E336:$F345,2,FALSE),"")</f>
        <v/>
      </c>
      <c r="M348" s="32"/>
      <c r="N348" s="32"/>
      <c r="O348" s="32"/>
      <c r="P348" s="49">
        <v>0</v>
      </c>
      <c r="Q348" s="49">
        <v>0</v>
      </c>
      <c r="R348" s="32"/>
      <c r="S348" s="4"/>
      <c r="T348" s="32"/>
      <c r="U348" s="32"/>
      <c r="V348" s="32"/>
      <c r="W348" s="32"/>
      <c r="X348" s="33"/>
      <c r="Y348" s="33"/>
      <c r="Z348" s="31">
        <f>Table1[[#This Row],[Quantity of measruing units]]*Table1[[#This Row],[Rate (expected)]]</f>
        <v>0</v>
      </c>
      <c r="AA348" s="31"/>
      <c r="AB348" s="31"/>
      <c r="AC348" s="34">
        <f>Table1[[#This Row],[Quantity (expected)]]*Table1[[#This Row],[Rate (expected)2]]*0.9</f>
        <v>0</v>
      </c>
      <c r="AD348" s="34">
        <f>Table1[[#This Row],[Quantity (expected)]]*Table1[[#This Row],[Rate (expected)2]]*0.8</f>
        <v>0</v>
      </c>
      <c r="AE348" s="34">
        <f>Table1[[#This Row],[Quantity (expected)]]*Table1[[#This Row],[Rate (expected)2]]*0.7</f>
        <v>0</v>
      </c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1">
        <f>SUM(Table1[[#This Row],[Jan-23]:[Dec-23]])</f>
        <v>0</v>
      </c>
      <c r="AV348" s="105"/>
      <c r="AW348" s="32"/>
      <c r="AX348" s="35"/>
    </row>
    <row r="349" spans="1:50" x14ac:dyDescent="0.3">
      <c r="A349" s="30" t="str">
        <f>VLOOKUP(H349,'Accoount Code Combination'!$D:$L,8,FALSE)</f>
        <v xml:space="preserve">Facilities </v>
      </c>
      <c r="B349" s="31" t="str">
        <f>VLOOKUP(Table1[[#This Row],[Account Code]],'Accoount Code Combination'!$D:$L,9,FALSE)</f>
        <v>No Applicable</v>
      </c>
      <c r="C349" s="4" t="str">
        <f>VLOOKUP(Table1[[#This Row],[Cost Center Code]],'Cost Center Group'!A:B,2,FALSE)</f>
        <v>Finance &amp; Business Development Office</v>
      </c>
      <c r="D349" s="4">
        <v>847</v>
      </c>
      <c r="E349" s="79">
        <v>8470620</v>
      </c>
      <c r="F349" s="32" t="s">
        <v>161</v>
      </c>
      <c r="G349" s="4">
        <v>1</v>
      </c>
      <c r="H349" s="95">
        <v>426250</v>
      </c>
      <c r="I349" s="106" t="str">
        <f>IFERROR(VLOOKUP(Table1[[#This Row],[Account Code]],'Accoount Code Combination'!$D:$H,2,FALSE),"")</f>
        <v>Insurance - Motor vehicles</v>
      </c>
      <c r="J349" s="79">
        <v>8470620</v>
      </c>
      <c r="K349" s="4"/>
      <c r="L349" s="4" t="str">
        <f>IFERROR(VLOOKUP(Table1[[#This Row],[Future-1 Description]],'Other '!E337:$F346,2,FALSE),"")</f>
        <v/>
      </c>
      <c r="M349" s="32"/>
      <c r="N349" s="32"/>
      <c r="O349" s="32"/>
      <c r="P349" s="49">
        <v>0</v>
      </c>
      <c r="Q349" s="49">
        <v>0</v>
      </c>
      <c r="R349" s="32"/>
      <c r="S349" s="4"/>
      <c r="T349" s="32"/>
      <c r="U349" s="32"/>
      <c r="V349" s="32"/>
      <c r="W349" s="32"/>
      <c r="X349" s="33"/>
      <c r="Y349" s="33"/>
      <c r="Z349" s="31">
        <f>Table1[[#This Row],[Quantity of measruing units]]*Table1[[#This Row],[Rate (expected)]]</f>
        <v>0</v>
      </c>
      <c r="AA349" s="31"/>
      <c r="AB349" s="31"/>
      <c r="AC349" s="34">
        <f>Table1[[#This Row],[Quantity (expected)]]*Table1[[#This Row],[Rate (expected)2]]*0.9</f>
        <v>0</v>
      </c>
      <c r="AD349" s="34">
        <f>Table1[[#This Row],[Quantity (expected)]]*Table1[[#This Row],[Rate (expected)2]]*0.8</f>
        <v>0</v>
      </c>
      <c r="AE349" s="34">
        <f>Table1[[#This Row],[Quantity (expected)]]*Table1[[#This Row],[Rate (expected)2]]*0.7</f>
        <v>0</v>
      </c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1">
        <f>SUM(Table1[[#This Row],[Jan-23]:[Dec-23]])</f>
        <v>0</v>
      </c>
      <c r="AV349" s="105"/>
      <c r="AW349" s="32"/>
      <c r="AX349" s="35"/>
    </row>
    <row r="350" spans="1:50" x14ac:dyDescent="0.3">
      <c r="A350" s="30" t="str">
        <f>VLOOKUP(H350,'Accoount Code Combination'!$D:$L,8,FALSE)</f>
        <v>IT</v>
      </c>
      <c r="B350" s="31" t="str">
        <f>VLOOKUP(Table1[[#This Row],[Account Code]],'Accoount Code Combination'!$D:$L,9,FALSE)</f>
        <v>Software Operating</v>
      </c>
      <c r="C350" s="4" t="str">
        <f>VLOOKUP(Table1[[#This Row],[Cost Center Code]],'Cost Center Group'!A:B,2,FALSE)</f>
        <v>Finance &amp; Business Development Office</v>
      </c>
      <c r="D350" s="4">
        <v>847</v>
      </c>
      <c r="E350" s="79">
        <v>8470620</v>
      </c>
      <c r="F350" s="32" t="s">
        <v>161</v>
      </c>
      <c r="G350" s="4">
        <v>1</v>
      </c>
      <c r="H350" s="95">
        <v>426610</v>
      </c>
      <c r="I350" s="106" t="str">
        <f>IFERROR(VLOOKUP(Table1[[#This Row],[Account Code]],'Accoount Code Combination'!$D:$H,2,FALSE),"")</f>
        <v>Computer software licenses</v>
      </c>
      <c r="J350" s="79">
        <v>8470620</v>
      </c>
      <c r="K350" s="4"/>
      <c r="L350" s="4" t="str">
        <f>IFERROR(VLOOKUP(Table1[[#This Row],[Future-1 Description]],'Other '!E338:$F347,2,FALSE),"")</f>
        <v/>
      </c>
      <c r="M350" s="32"/>
      <c r="N350" s="32"/>
      <c r="O350" s="32"/>
      <c r="P350" s="49">
        <v>31680</v>
      </c>
      <c r="Q350" s="49">
        <v>31680</v>
      </c>
      <c r="R350" s="32"/>
      <c r="S350" s="4"/>
      <c r="T350" s="32"/>
      <c r="U350" s="32"/>
      <c r="V350" s="32"/>
      <c r="W350" s="32"/>
      <c r="X350" s="33"/>
      <c r="Y350" s="33"/>
      <c r="Z350" s="31">
        <f>Table1[[#This Row],[Quantity of measruing units]]*Table1[[#This Row],[Rate (expected)]]</f>
        <v>0</v>
      </c>
      <c r="AA350" s="31"/>
      <c r="AB350" s="31"/>
      <c r="AC350" s="34">
        <f>Table1[[#This Row],[Quantity (expected)]]*Table1[[#This Row],[Rate (expected)2]]*0.9</f>
        <v>0</v>
      </c>
      <c r="AD350" s="34">
        <f>Table1[[#This Row],[Quantity (expected)]]*Table1[[#This Row],[Rate (expected)2]]*0.8</f>
        <v>0</v>
      </c>
      <c r="AE350" s="34">
        <f>Table1[[#This Row],[Quantity (expected)]]*Table1[[#This Row],[Rate (expected)2]]*0.7</f>
        <v>0</v>
      </c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1">
        <f>SUM(Table1[[#This Row],[Jan-23]:[Dec-23]])</f>
        <v>0</v>
      </c>
      <c r="AV350" s="105"/>
      <c r="AW350" s="32"/>
      <c r="AX350" s="35"/>
    </row>
    <row r="351" spans="1:50" x14ac:dyDescent="0.3">
      <c r="A351" s="30" t="str">
        <f>VLOOKUP(H351,'Accoount Code Combination'!$D:$L,8,FALSE)</f>
        <v>Other support</v>
      </c>
      <c r="B351" s="31" t="str">
        <f>VLOOKUP(Table1[[#This Row],[Account Code]],'Accoount Code Combination'!$D:$L,9,FALSE)</f>
        <v>No Applicable</v>
      </c>
      <c r="C351" s="4" t="str">
        <f>VLOOKUP(Table1[[#This Row],[Cost Center Code]],'Cost Center Group'!A:B,2,FALSE)</f>
        <v>Finance &amp; Business Development Office</v>
      </c>
      <c r="D351" s="4">
        <v>847</v>
      </c>
      <c r="E351" s="79">
        <v>8470620</v>
      </c>
      <c r="F351" s="32" t="s">
        <v>161</v>
      </c>
      <c r="G351" s="4">
        <v>1</v>
      </c>
      <c r="H351" s="95">
        <v>427900</v>
      </c>
      <c r="I351" s="106" t="str">
        <f>IFERROR(VLOOKUP(Table1[[#This Row],[Account Code]],'Accoount Code Combination'!$D:$H,2,FALSE),"")</f>
        <v>Translation and interpretation service</v>
      </c>
      <c r="J351" s="79">
        <v>8470620</v>
      </c>
      <c r="K351" s="4"/>
      <c r="L351" s="4" t="str">
        <f>IFERROR(VLOOKUP(Table1[[#This Row],[Future-1 Description]],'Other '!E339:$F348,2,FALSE),"")</f>
        <v/>
      </c>
      <c r="M351" s="32"/>
      <c r="N351" s="32"/>
      <c r="O351" s="32"/>
      <c r="P351" s="49">
        <v>0</v>
      </c>
      <c r="Q351" s="49">
        <v>0</v>
      </c>
      <c r="R351" s="32"/>
      <c r="S351" s="4"/>
      <c r="T351" s="32"/>
      <c r="U351" s="32"/>
      <c r="V351" s="32"/>
      <c r="W351" s="32"/>
      <c r="X351" s="33"/>
      <c r="Y351" s="33"/>
      <c r="Z351" s="31">
        <f>Table1[[#This Row],[Quantity of measruing units]]*Table1[[#This Row],[Rate (expected)]]</f>
        <v>0</v>
      </c>
      <c r="AA351" s="31"/>
      <c r="AB351" s="31"/>
      <c r="AC351" s="34">
        <f>Table1[[#This Row],[Quantity (expected)]]*Table1[[#This Row],[Rate (expected)2]]*0.9</f>
        <v>0</v>
      </c>
      <c r="AD351" s="34">
        <f>Table1[[#This Row],[Quantity (expected)]]*Table1[[#This Row],[Rate (expected)2]]*0.8</f>
        <v>0</v>
      </c>
      <c r="AE351" s="34">
        <f>Table1[[#This Row],[Quantity (expected)]]*Table1[[#This Row],[Rate (expected)2]]*0.7</f>
        <v>0</v>
      </c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1">
        <f>SUM(Table1[[#This Row],[Jan-23]:[Dec-23]])</f>
        <v>0</v>
      </c>
      <c r="AV351" s="105"/>
      <c r="AW351" s="32"/>
      <c r="AX351" s="35"/>
    </row>
    <row r="352" spans="1:50" x14ac:dyDescent="0.3">
      <c r="A352" s="30" t="str">
        <f>VLOOKUP(H352,'Accoount Code Combination'!$D:$L,8,FALSE)</f>
        <v xml:space="preserve">Academic </v>
      </c>
      <c r="B352" s="31" t="str">
        <f>VLOOKUP(Table1[[#This Row],[Account Code]],'Accoount Code Combination'!$D:$L,9,FALSE)</f>
        <v>No Applicable</v>
      </c>
      <c r="C352" s="4" t="str">
        <f>VLOOKUP(Table1[[#This Row],[Cost Center Code]],'Cost Center Group'!A:B,2,FALSE)</f>
        <v>Finance &amp; Business Development Office</v>
      </c>
      <c r="D352" s="4">
        <v>847</v>
      </c>
      <c r="E352" s="79">
        <v>8470620</v>
      </c>
      <c r="F352" s="32" t="s">
        <v>161</v>
      </c>
      <c r="G352" s="4">
        <v>1</v>
      </c>
      <c r="H352" s="95">
        <v>428090</v>
      </c>
      <c r="I352" s="106" t="str">
        <f>IFERROR(VLOOKUP(Table1[[#This Row],[Account Code]],'Accoount Code Combination'!$D:$H,2,FALSE),"")</f>
        <v>Business Travel - Combined expenses</v>
      </c>
      <c r="J352" s="79">
        <v>8470620</v>
      </c>
      <c r="K352" s="4"/>
      <c r="L352" s="4" t="str">
        <f>IFERROR(VLOOKUP(Table1[[#This Row],[Future-1 Description]],'Other '!E340:$F349,2,FALSE),"")</f>
        <v/>
      </c>
      <c r="M352" s="32"/>
      <c r="N352" s="32"/>
      <c r="O352" s="32"/>
      <c r="P352" s="49">
        <v>0</v>
      </c>
      <c r="Q352" s="49">
        <v>0</v>
      </c>
      <c r="R352" s="32"/>
      <c r="S352" s="4"/>
      <c r="T352" s="32"/>
      <c r="U352" s="32"/>
      <c r="V352" s="32"/>
      <c r="W352" s="32"/>
      <c r="X352" s="33"/>
      <c r="Y352" s="33"/>
      <c r="Z352" s="31">
        <f>Table1[[#This Row],[Quantity of measruing units]]*Table1[[#This Row],[Rate (expected)]]</f>
        <v>0</v>
      </c>
      <c r="AA352" s="31"/>
      <c r="AB352" s="31"/>
      <c r="AC352" s="34">
        <f>Table1[[#This Row],[Quantity (expected)]]*Table1[[#This Row],[Rate (expected)2]]*0.9</f>
        <v>0</v>
      </c>
      <c r="AD352" s="34">
        <f>Table1[[#This Row],[Quantity (expected)]]*Table1[[#This Row],[Rate (expected)2]]*0.8</f>
        <v>0</v>
      </c>
      <c r="AE352" s="34">
        <f>Table1[[#This Row],[Quantity (expected)]]*Table1[[#This Row],[Rate (expected)2]]*0.7</f>
        <v>0</v>
      </c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1">
        <f>SUM(Table1[[#This Row],[Jan-23]:[Dec-23]])</f>
        <v>0</v>
      </c>
      <c r="AV352" s="105"/>
      <c r="AW352" s="32"/>
      <c r="AX352" s="35"/>
    </row>
    <row r="353" spans="1:50" x14ac:dyDescent="0.3">
      <c r="A353" s="30" t="str">
        <f>VLOOKUP(H353,'Accoount Code Combination'!$D:$L,8,FALSE)</f>
        <v xml:space="preserve">Facilities </v>
      </c>
      <c r="B353" s="31" t="str">
        <f>VLOOKUP(Table1[[#This Row],[Account Code]],'Accoount Code Combination'!$D:$L,9,FALSE)</f>
        <v>No Applicable</v>
      </c>
      <c r="C353" s="4" t="str">
        <f>VLOOKUP(Table1[[#This Row],[Cost Center Code]],'Cost Center Group'!A:B,2,FALSE)</f>
        <v>Finance &amp; Business Development Office</v>
      </c>
      <c r="D353" s="4">
        <v>847</v>
      </c>
      <c r="E353" s="79">
        <v>8470620</v>
      </c>
      <c r="F353" s="32" t="s">
        <v>161</v>
      </c>
      <c r="G353" s="4">
        <v>1</v>
      </c>
      <c r="H353" s="95">
        <v>430330</v>
      </c>
      <c r="I353" s="106" t="str">
        <f>IFERROR(VLOOKUP(Table1[[#This Row],[Account Code]],'Accoount Code Combination'!$D:$H,2,FALSE),"")</f>
        <v>Rental - Motor vehicles</v>
      </c>
      <c r="J353" s="79">
        <v>8470620</v>
      </c>
      <c r="K353" s="4"/>
      <c r="L353" s="4" t="str">
        <f>IFERROR(VLOOKUP(Table1[[#This Row],[Future-1 Description]],'Other '!E341:$F350,2,FALSE),"")</f>
        <v/>
      </c>
      <c r="M353" s="32"/>
      <c r="N353" s="32"/>
      <c r="O353" s="32"/>
      <c r="P353" s="49">
        <v>0</v>
      </c>
      <c r="Q353" s="49">
        <v>0</v>
      </c>
      <c r="R353" s="32"/>
      <c r="S353" s="4"/>
      <c r="T353" s="32"/>
      <c r="U353" s="32"/>
      <c r="V353" s="32"/>
      <c r="W353" s="32"/>
      <c r="X353" s="33"/>
      <c r="Y353" s="33"/>
      <c r="Z353" s="31">
        <f>Table1[[#This Row],[Quantity of measruing units]]*Table1[[#This Row],[Rate (expected)]]</f>
        <v>0</v>
      </c>
      <c r="AA353" s="31"/>
      <c r="AB353" s="31"/>
      <c r="AC353" s="34">
        <f>Table1[[#This Row],[Quantity (expected)]]*Table1[[#This Row],[Rate (expected)2]]*0.9</f>
        <v>0</v>
      </c>
      <c r="AD353" s="34">
        <f>Table1[[#This Row],[Quantity (expected)]]*Table1[[#This Row],[Rate (expected)2]]*0.8</f>
        <v>0</v>
      </c>
      <c r="AE353" s="34">
        <f>Table1[[#This Row],[Quantity (expected)]]*Table1[[#This Row],[Rate (expected)2]]*0.7</f>
        <v>0</v>
      </c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1">
        <f>SUM(Table1[[#This Row],[Jan-23]:[Dec-23]])</f>
        <v>0</v>
      </c>
      <c r="AV353" s="105"/>
      <c r="AW353" s="32"/>
      <c r="AX353" s="35"/>
    </row>
    <row r="354" spans="1:50" x14ac:dyDescent="0.3">
      <c r="A354" s="30" t="str">
        <f>VLOOKUP(H354,'Accoount Code Combination'!$D:$L,8,FALSE)</f>
        <v>Other support</v>
      </c>
      <c r="B354" s="31" t="str">
        <f>VLOOKUP(Table1[[#This Row],[Account Code]],'Accoount Code Combination'!$D:$L,9,FALSE)</f>
        <v>No Applicable</v>
      </c>
      <c r="C354" s="4" t="str">
        <f>VLOOKUP(Table1[[#This Row],[Cost Center Code]],'Cost Center Group'!A:B,2,FALSE)</f>
        <v>Finance &amp; Business Development Office</v>
      </c>
      <c r="D354" s="4">
        <v>847</v>
      </c>
      <c r="E354" s="79">
        <v>8470620</v>
      </c>
      <c r="F354" s="32" t="s">
        <v>161</v>
      </c>
      <c r="G354" s="4">
        <v>1</v>
      </c>
      <c r="H354" s="95">
        <v>436110</v>
      </c>
      <c r="I354" s="106" t="str">
        <f>IFERROR(VLOOKUP(Table1[[#This Row],[Account Code]],'Accoount Code Combination'!$D:$H,2,FALSE),"")</f>
        <v>Printing supplies</v>
      </c>
      <c r="J354" s="79">
        <v>8470620</v>
      </c>
      <c r="K354" s="4"/>
      <c r="L354" s="4" t="str">
        <f>IFERROR(VLOOKUP(Table1[[#This Row],[Future-1 Description]],'Other '!E342:$F351,2,FALSE),"")</f>
        <v/>
      </c>
      <c r="M354" s="32"/>
      <c r="N354" s="32"/>
      <c r="O354" s="32"/>
      <c r="P354" s="49">
        <v>36</v>
      </c>
      <c r="Q354" s="49">
        <v>15000</v>
      </c>
      <c r="R354" s="32"/>
      <c r="S354" s="4"/>
      <c r="T354" s="32"/>
      <c r="U354" s="32"/>
      <c r="V354" s="32"/>
      <c r="W354" s="32"/>
      <c r="X354" s="33"/>
      <c r="Y354" s="33"/>
      <c r="Z354" s="31">
        <f>Table1[[#This Row],[Quantity of measruing units]]*Table1[[#This Row],[Rate (expected)]]</f>
        <v>0</v>
      </c>
      <c r="AA354" s="31"/>
      <c r="AB354" s="31"/>
      <c r="AC354" s="34">
        <f>Table1[[#This Row],[Quantity (expected)]]*Table1[[#This Row],[Rate (expected)2]]*0.9</f>
        <v>0</v>
      </c>
      <c r="AD354" s="34">
        <f>Table1[[#This Row],[Quantity (expected)]]*Table1[[#This Row],[Rate (expected)2]]*0.8</f>
        <v>0</v>
      </c>
      <c r="AE354" s="34">
        <f>Table1[[#This Row],[Quantity (expected)]]*Table1[[#This Row],[Rate (expected)2]]*0.7</f>
        <v>0</v>
      </c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1">
        <f>SUM(Table1[[#This Row],[Jan-23]:[Dec-23]])</f>
        <v>0</v>
      </c>
      <c r="AV354" s="105"/>
      <c r="AW354" s="32"/>
      <c r="AX354" s="35"/>
    </row>
    <row r="355" spans="1:50" x14ac:dyDescent="0.3">
      <c r="A355" s="30" t="str">
        <f>VLOOKUP(H355,'Accoount Code Combination'!$D:$L,8,FALSE)</f>
        <v>Other support</v>
      </c>
      <c r="B355" s="31" t="str">
        <f>VLOOKUP(Table1[[#This Row],[Account Code]],'Accoount Code Combination'!$D:$L,9,FALSE)</f>
        <v>No Applicable</v>
      </c>
      <c r="C355" s="4" t="str">
        <f>VLOOKUP(Table1[[#This Row],[Cost Center Code]],'Cost Center Group'!A:B,2,FALSE)</f>
        <v>Finance &amp; Business Development Office</v>
      </c>
      <c r="D355" s="4">
        <v>847</v>
      </c>
      <c r="E355" s="79">
        <v>8470620</v>
      </c>
      <c r="F355" s="32" t="s">
        <v>161</v>
      </c>
      <c r="G355" s="4">
        <v>1</v>
      </c>
      <c r="H355" s="95">
        <v>436120</v>
      </c>
      <c r="I355" s="106" t="str">
        <f>IFERROR(VLOOKUP(Table1[[#This Row],[Account Code]],'Accoount Code Combination'!$D:$H,2,FALSE),"")</f>
        <v>Stationery</v>
      </c>
      <c r="J355" s="79">
        <v>8470620</v>
      </c>
      <c r="K355" s="4"/>
      <c r="L355" s="4" t="str">
        <f>IFERROR(VLOOKUP(Table1[[#This Row],[Future-1 Description]],'Other '!E343:$F352,2,FALSE),"")</f>
        <v/>
      </c>
      <c r="M355" s="32"/>
      <c r="N355" s="32"/>
      <c r="O355" s="32"/>
      <c r="P355" s="49">
        <v>0</v>
      </c>
      <c r="Q355" s="49">
        <v>2500</v>
      </c>
      <c r="R355" s="32"/>
      <c r="S355" s="4"/>
      <c r="T355" s="32"/>
      <c r="U355" s="32"/>
      <c r="V355" s="32"/>
      <c r="W355" s="32"/>
      <c r="X355" s="33"/>
      <c r="Y355" s="33"/>
      <c r="Z355" s="31">
        <f>Table1[[#This Row],[Quantity of measruing units]]*Table1[[#This Row],[Rate (expected)]]</f>
        <v>0</v>
      </c>
      <c r="AA355" s="31"/>
      <c r="AB355" s="31"/>
      <c r="AC355" s="34">
        <f>Table1[[#This Row],[Quantity (expected)]]*Table1[[#This Row],[Rate (expected)2]]*0.9</f>
        <v>0</v>
      </c>
      <c r="AD355" s="34">
        <f>Table1[[#This Row],[Quantity (expected)]]*Table1[[#This Row],[Rate (expected)2]]*0.8</f>
        <v>0</v>
      </c>
      <c r="AE355" s="34">
        <f>Table1[[#This Row],[Quantity (expected)]]*Table1[[#This Row],[Rate (expected)2]]*0.7</f>
        <v>0</v>
      </c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1">
        <f>SUM(Table1[[#This Row],[Jan-23]:[Dec-23]])</f>
        <v>0</v>
      </c>
      <c r="AV355" s="105"/>
      <c r="AW355" s="32"/>
      <c r="AX355" s="35"/>
    </row>
    <row r="356" spans="1:50" x14ac:dyDescent="0.3">
      <c r="A356" s="30" t="str">
        <f>VLOOKUP(H356,'Accoount Code Combination'!$D:$L,8,FALSE)</f>
        <v xml:space="preserve">Academic </v>
      </c>
      <c r="B356" s="31" t="str">
        <f>VLOOKUP(Table1[[#This Row],[Account Code]],'Accoount Code Combination'!$D:$L,9,FALSE)</f>
        <v>No Applicable</v>
      </c>
      <c r="C356" s="4" t="str">
        <f>VLOOKUP(Table1[[#This Row],[Cost Center Code]],'Cost Center Group'!A:B,2,FALSE)</f>
        <v>Finance &amp; Business Development Office</v>
      </c>
      <c r="D356" s="4">
        <v>847</v>
      </c>
      <c r="E356" s="79">
        <v>8470630</v>
      </c>
      <c r="F356" s="32" t="s">
        <v>700</v>
      </c>
      <c r="G356" s="4">
        <v>1</v>
      </c>
      <c r="H356" s="95">
        <v>428090</v>
      </c>
      <c r="I356" s="106" t="str">
        <f>IFERROR(VLOOKUP(Table1[[#This Row],[Account Code]],'Accoount Code Combination'!$D:$H,2,FALSE),"")</f>
        <v>Business Travel - Combined expenses</v>
      </c>
      <c r="J356" s="79">
        <v>8470630</v>
      </c>
      <c r="K356" s="4"/>
      <c r="L356" s="4" t="str">
        <f>IFERROR(VLOOKUP(Table1[[#This Row],[Future-1 Description]],'Other '!E344:$F353,2,FALSE),"")</f>
        <v/>
      </c>
      <c r="M356" s="32"/>
      <c r="N356" s="32"/>
      <c r="O356" s="32"/>
      <c r="P356" s="49">
        <v>0</v>
      </c>
      <c r="Q356" s="49">
        <v>0</v>
      </c>
      <c r="R356" s="32"/>
      <c r="S356" s="4"/>
      <c r="T356" s="32"/>
      <c r="U356" s="32"/>
      <c r="V356" s="32"/>
      <c r="W356" s="32"/>
      <c r="X356" s="33"/>
      <c r="Y356" s="33"/>
      <c r="Z356" s="31">
        <f>Table1[[#This Row],[Quantity of measruing units]]*Table1[[#This Row],[Rate (expected)]]</f>
        <v>0</v>
      </c>
      <c r="AA356" s="31"/>
      <c r="AB356" s="31"/>
      <c r="AC356" s="34">
        <f>Table1[[#This Row],[Quantity (expected)]]*Table1[[#This Row],[Rate (expected)2]]*0.9</f>
        <v>0</v>
      </c>
      <c r="AD356" s="34">
        <f>Table1[[#This Row],[Quantity (expected)]]*Table1[[#This Row],[Rate (expected)2]]*0.8</f>
        <v>0</v>
      </c>
      <c r="AE356" s="34">
        <f>Table1[[#This Row],[Quantity (expected)]]*Table1[[#This Row],[Rate (expected)2]]*0.7</f>
        <v>0</v>
      </c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1">
        <f>SUM(Table1[[#This Row],[Jan-23]:[Dec-23]])</f>
        <v>0</v>
      </c>
      <c r="AV356" s="105"/>
      <c r="AW356" s="32"/>
      <c r="AX356" s="35"/>
    </row>
    <row r="357" spans="1:50" ht="26" x14ac:dyDescent="0.3">
      <c r="A357" s="30" t="str">
        <f>VLOOKUP(H357,'Accoount Code Combination'!$D:$L,8,FALSE)</f>
        <v>Other support</v>
      </c>
      <c r="B357" s="31" t="str">
        <f>VLOOKUP(Table1[[#This Row],[Account Code]],'Accoount Code Combination'!$D:$L,9,FALSE)</f>
        <v>No Applicable</v>
      </c>
      <c r="C357" s="4" t="str">
        <f>VLOOKUP(Table1[[#This Row],[Cost Center Code]],'Cost Center Group'!A:B,2,FALSE)</f>
        <v>Finance &amp; Business Development Office</v>
      </c>
      <c r="D357" s="4">
        <v>847</v>
      </c>
      <c r="E357" s="79">
        <v>8470630</v>
      </c>
      <c r="F357" s="32" t="s">
        <v>700</v>
      </c>
      <c r="G357" s="4">
        <v>1</v>
      </c>
      <c r="H357" s="95">
        <v>429900</v>
      </c>
      <c r="I357" s="106" t="str">
        <f>IFERROR(VLOOKUP(Table1[[#This Row],[Account Code]],'Accoount Code Combination'!$D:$H,2,FALSE),"")</f>
        <v>Other services, not specifically mentioned elsewhere</v>
      </c>
      <c r="J357" s="79">
        <v>8470630</v>
      </c>
      <c r="K357" s="4"/>
      <c r="L357" s="4" t="str">
        <f>IFERROR(VLOOKUP(Table1[[#This Row],[Future-1 Description]],'Other '!E345:$F354,2,FALSE),"")</f>
        <v/>
      </c>
      <c r="M357" s="32"/>
      <c r="N357" s="32"/>
      <c r="O357" s="32"/>
      <c r="P357" s="49">
        <v>0</v>
      </c>
      <c r="Q357" s="49">
        <v>0</v>
      </c>
      <c r="R357" s="32"/>
      <c r="S357" s="4"/>
      <c r="T357" s="32"/>
      <c r="U357" s="32"/>
      <c r="V357" s="32"/>
      <c r="W357" s="32"/>
      <c r="X357" s="33"/>
      <c r="Y357" s="33"/>
      <c r="Z357" s="31">
        <f>Table1[[#This Row],[Quantity of measruing units]]*Table1[[#This Row],[Rate (expected)]]</f>
        <v>0</v>
      </c>
      <c r="AA357" s="31"/>
      <c r="AB357" s="31"/>
      <c r="AC357" s="34">
        <f>Table1[[#This Row],[Quantity (expected)]]*Table1[[#This Row],[Rate (expected)2]]*0.9</f>
        <v>0</v>
      </c>
      <c r="AD357" s="34">
        <f>Table1[[#This Row],[Quantity (expected)]]*Table1[[#This Row],[Rate (expected)2]]*0.8</f>
        <v>0</v>
      </c>
      <c r="AE357" s="34">
        <f>Table1[[#This Row],[Quantity (expected)]]*Table1[[#This Row],[Rate (expected)2]]*0.7</f>
        <v>0</v>
      </c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1">
        <f>SUM(Table1[[#This Row],[Jan-23]:[Dec-23]])</f>
        <v>0</v>
      </c>
      <c r="AV357" s="105"/>
      <c r="AW357" s="32"/>
      <c r="AX357" s="35"/>
    </row>
    <row r="358" spans="1:50" x14ac:dyDescent="0.3">
      <c r="A358" s="30" t="str">
        <f>VLOOKUP(H358,'Accoount Code Combination'!$D:$L,8,FALSE)</f>
        <v>HR</v>
      </c>
      <c r="B358" s="31" t="str">
        <f>VLOOKUP(Table1[[#This Row],[Account Code]],'Accoount Code Combination'!$D:$L,9,FALSE)</f>
        <v>Consultancy</v>
      </c>
      <c r="C358" s="4" t="str">
        <f>VLOOKUP(Table1[[#This Row],[Cost Center Code]],'Cost Center Group'!A:B,2,FALSE)</f>
        <v>HR &amp; Procurement Office</v>
      </c>
      <c r="D358" s="4">
        <v>847</v>
      </c>
      <c r="E358" s="79">
        <v>8470720</v>
      </c>
      <c r="F358" s="32" t="s">
        <v>221</v>
      </c>
      <c r="G358" s="4">
        <v>1</v>
      </c>
      <c r="H358" s="95">
        <v>421000</v>
      </c>
      <c r="I358" s="106" t="str">
        <f>IFERROR(VLOOKUP(Table1[[#This Row],[Account Code]],'Accoount Code Combination'!$D:$H,2,FALSE),"")</f>
        <v>Management consultancy</v>
      </c>
      <c r="J358" s="79">
        <v>8470720</v>
      </c>
      <c r="K358" s="4"/>
      <c r="L358" s="4" t="str">
        <f>IFERROR(VLOOKUP(Table1[[#This Row],[Future-1 Description]],'Other '!E346:$F355,2,FALSE),"")</f>
        <v/>
      </c>
      <c r="M358" s="32"/>
      <c r="N358" s="32"/>
      <c r="O358" s="32"/>
      <c r="P358" s="49">
        <v>-60832.89</v>
      </c>
      <c r="Q358" s="49">
        <v>0</v>
      </c>
      <c r="R358" s="32"/>
      <c r="S358" s="4"/>
      <c r="T358" s="32"/>
      <c r="U358" s="32"/>
      <c r="V358" s="32"/>
      <c r="W358" s="32"/>
      <c r="X358" s="33"/>
      <c r="Y358" s="33"/>
      <c r="Z358" s="31">
        <f>Table1[[#This Row],[Quantity of measruing units]]*Table1[[#This Row],[Rate (expected)]]</f>
        <v>0</v>
      </c>
      <c r="AA358" s="31"/>
      <c r="AB358" s="31"/>
      <c r="AC358" s="34">
        <f>Table1[[#This Row],[Quantity (expected)]]*Table1[[#This Row],[Rate (expected)2]]*0.9</f>
        <v>0</v>
      </c>
      <c r="AD358" s="34">
        <f>Table1[[#This Row],[Quantity (expected)]]*Table1[[#This Row],[Rate (expected)2]]*0.8</f>
        <v>0</v>
      </c>
      <c r="AE358" s="34">
        <f>Table1[[#This Row],[Quantity (expected)]]*Table1[[#This Row],[Rate (expected)2]]*0.7</f>
        <v>0</v>
      </c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1">
        <f>SUM(Table1[[#This Row],[Jan-23]:[Dec-23]])</f>
        <v>0</v>
      </c>
      <c r="AV358" s="105"/>
      <c r="AW358" s="32"/>
      <c r="AX358" s="35"/>
    </row>
    <row r="359" spans="1:50" ht="26" x14ac:dyDescent="0.3">
      <c r="A359" s="30" t="str">
        <f>VLOOKUP(H359,'Accoount Code Combination'!$D:$L,8,FALSE)</f>
        <v>HR</v>
      </c>
      <c r="B359" s="31" t="str">
        <f>VLOOKUP(Table1[[#This Row],[Account Code]],'Accoount Code Combination'!$D:$L,9,FALSE)</f>
        <v>No Applicable</v>
      </c>
      <c r="C359" s="4" t="str">
        <f>VLOOKUP(Table1[[#This Row],[Cost Center Code]],'Cost Center Group'!A:B,2,FALSE)</f>
        <v>HR &amp; Procurement Office</v>
      </c>
      <c r="D359" s="4">
        <v>847</v>
      </c>
      <c r="E359" s="79">
        <v>8470720</v>
      </c>
      <c r="F359" s="32" t="s">
        <v>221</v>
      </c>
      <c r="G359" s="4">
        <v>1</v>
      </c>
      <c r="H359" s="95">
        <v>426900</v>
      </c>
      <c r="I359" s="106" t="str">
        <f>IFERROR(VLOOKUP(Table1[[#This Row],[Account Code]],'Accoount Code Combination'!$D:$H,2,FALSE),"")</f>
        <v>Postal, courier and other document delivery expenses</v>
      </c>
      <c r="J359" s="79">
        <v>8470720</v>
      </c>
      <c r="K359" s="4"/>
      <c r="L359" s="4" t="str">
        <f>IFERROR(VLOOKUP(Table1[[#This Row],[Future-1 Description]],'Other '!E347:$F356,2,FALSE),"")</f>
        <v/>
      </c>
      <c r="M359" s="32"/>
      <c r="N359" s="32"/>
      <c r="O359" s="32"/>
      <c r="P359" s="49">
        <v>-5803.32</v>
      </c>
      <c r="Q359" s="49">
        <v>8262</v>
      </c>
      <c r="R359" s="32"/>
      <c r="S359" s="4"/>
      <c r="T359" s="32"/>
      <c r="U359" s="32"/>
      <c r="V359" s="32"/>
      <c r="W359" s="32"/>
      <c r="X359" s="33"/>
      <c r="Y359" s="33"/>
      <c r="Z359" s="31">
        <f>Table1[[#This Row],[Quantity of measruing units]]*Table1[[#This Row],[Rate (expected)]]</f>
        <v>0</v>
      </c>
      <c r="AA359" s="31"/>
      <c r="AB359" s="31"/>
      <c r="AC359" s="34">
        <f>Table1[[#This Row],[Quantity (expected)]]*Table1[[#This Row],[Rate (expected)2]]*0.9</f>
        <v>0</v>
      </c>
      <c r="AD359" s="34">
        <f>Table1[[#This Row],[Quantity (expected)]]*Table1[[#This Row],[Rate (expected)2]]*0.8</f>
        <v>0</v>
      </c>
      <c r="AE359" s="34">
        <f>Table1[[#This Row],[Quantity (expected)]]*Table1[[#This Row],[Rate (expected)2]]*0.7</f>
        <v>0</v>
      </c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1">
        <f>SUM(Table1[[#This Row],[Jan-23]:[Dec-23]])</f>
        <v>0</v>
      </c>
      <c r="AV359" s="105"/>
      <c r="AW359" s="32"/>
      <c r="AX359" s="35"/>
    </row>
    <row r="360" spans="1:50" x14ac:dyDescent="0.3">
      <c r="A360" s="30" t="str">
        <f>VLOOKUP(H360,'Accoount Code Combination'!$D:$L,8,FALSE)</f>
        <v xml:space="preserve">Facilities </v>
      </c>
      <c r="B360" s="31" t="str">
        <f>VLOOKUP(Table1[[#This Row],[Account Code]],'Accoount Code Combination'!$D:$L,9,FALSE)</f>
        <v>No Applicable</v>
      </c>
      <c r="C360" s="4" t="str">
        <f>VLOOKUP(Table1[[#This Row],[Cost Center Code]],'Cost Center Group'!A:B,2,FALSE)</f>
        <v>HR &amp; Procurement Office</v>
      </c>
      <c r="D360" s="4">
        <v>847</v>
      </c>
      <c r="E360" s="79">
        <v>8470720</v>
      </c>
      <c r="F360" s="32" t="s">
        <v>221</v>
      </c>
      <c r="G360" s="4">
        <v>1</v>
      </c>
      <c r="H360" s="95">
        <v>428200</v>
      </c>
      <c r="I360" s="106" t="str">
        <f>IFERROR(VLOOKUP(Table1[[#This Row],[Account Code]],'Accoount Code Combination'!$D:$H,2,FALSE),"")</f>
        <v>Health,safety&amp;environment awareness</v>
      </c>
      <c r="J360" s="79">
        <v>8470720</v>
      </c>
      <c r="K360" s="4"/>
      <c r="L360" s="4" t="str">
        <f>IFERROR(VLOOKUP(Table1[[#This Row],[Future-1 Description]],'Other '!E348:$F357,2,FALSE),"")</f>
        <v/>
      </c>
      <c r="M360" s="32"/>
      <c r="N360" s="32"/>
      <c r="O360" s="32"/>
      <c r="P360" s="49">
        <v>166689</v>
      </c>
      <c r="Q360" s="49">
        <v>248127</v>
      </c>
      <c r="R360" s="32"/>
      <c r="S360" s="4"/>
      <c r="T360" s="32"/>
      <c r="U360" s="32"/>
      <c r="V360" s="32"/>
      <c r="W360" s="32"/>
      <c r="X360" s="33"/>
      <c r="Y360" s="33"/>
      <c r="Z360" s="31">
        <f>Table1[[#This Row],[Quantity of measruing units]]*Table1[[#This Row],[Rate (expected)]]</f>
        <v>0</v>
      </c>
      <c r="AA360" s="31"/>
      <c r="AB360" s="31"/>
      <c r="AC360" s="34">
        <f>Table1[[#This Row],[Quantity (expected)]]*Table1[[#This Row],[Rate (expected)2]]*0.9</f>
        <v>0</v>
      </c>
      <c r="AD360" s="34">
        <f>Table1[[#This Row],[Quantity (expected)]]*Table1[[#This Row],[Rate (expected)2]]*0.8</f>
        <v>0</v>
      </c>
      <c r="AE360" s="34">
        <f>Table1[[#This Row],[Quantity (expected)]]*Table1[[#This Row],[Rate (expected)2]]*0.7</f>
        <v>0</v>
      </c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1">
        <f>SUM(Table1[[#This Row],[Jan-23]:[Dec-23]])</f>
        <v>0</v>
      </c>
      <c r="AV360" s="105"/>
      <c r="AW360" s="32"/>
      <c r="AX360" s="35"/>
    </row>
    <row r="361" spans="1:50" x14ac:dyDescent="0.3">
      <c r="A361" s="30" t="str">
        <f>VLOOKUP(H361,'Accoount Code Combination'!$D:$L,8,FALSE)</f>
        <v>Other support</v>
      </c>
      <c r="B361" s="31" t="str">
        <f>VLOOKUP(Table1[[#This Row],[Account Code]],'Accoount Code Combination'!$D:$L,9,FALSE)</f>
        <v>No Applicable</v>
      </c>
      <c r="C361" s="4" t="str">
        <f>VLOOKUP(Table1[[#This Row],[Cost Center Code]],'Cost Center Group'!A:B,2,FALSE)</f>
        <v>HR &amp; Procurement Office</v>
      </c>
      <c r="D361" s="4">
        <v>847</v>
      </c>
      <c r="E361" s="79">
        <v>8470720</v>
      </c>
      <c r="F361" s="32" t="s">
        <v>221</v>
      </c>
      <c r="G361" s="4">
        <v>1</v>
      </c>
      <c r="H361" s="95">
        <v>435410</v>
      </c>
      <c r="I361" s="106" t="str">
        <f>IFERROR(VLOOKUP(Table1[[#This Row],[Account Code]],'Accoount Code Combination'!$D:$H,2,FALSE),"")</f>
        <v>Catering supplies: Offices</v>
      </c>
      <c r="J361" s="79">
        <v>8470720</v>
      </c>
      <c r="K361" s="4"/>
      <c r="L361" s="4" t="str">
        <f>IFERROR(VLOOKUP(Table1[[#This Row],[Future-1 Description]],'Other '!E349:$F358,2,FALSE),"")</f>
        <v/>
      </c>
      <c r="M361" s="32"/>
      <c r="N361" s="32"/>
      <c r="O361" s="32"/>
      <c r="P361" s="49">
        <v>538849.67000000004</v>
      </c>
      <c r="Q361" s="49">
        <v>385799</v>
      </c>
      <c r="R361" s="32"/>
      <c r="S361" s="4"/>
      <c r="T361" s="32"/>
      <c r="U361" s="32"/>
      <c r="V361" s="32"/>
      <c r="W361" s="32"/>
      <c r="X361" s="33"/>
      <c r="Y361" s="33"/>
      <c r="Z361" s="31">
        <f>Table1[[#This Row],[Quantity of measruing units]]*Table1[[#This Row],[Rate (expected)]]</f>
        <v>0</v>
      </c>
      <c r="AA361" s="31"/>
      <c r="AB361" s="31"/>
      <c r="AC361" s="34">
        <f>Table1[[#This Row],[Quantity (expected)]]*Table1[[#This Row],[Rate (expected)2]]*0.9</f>
        <v>0</v>
      </c>
      <c r="AD361" s="34">
        <f>Table1[[#This Row],[Quantity (expected)]]*Table1[[#This Row],[Rate (expected)2]]*0.8</f>
        <v>0</v>
      </c>
      <c r="AE361" s="34">
        <f>Table1[[#This Row],[Quantity (expected)]]*Table1[[#This Row],[Rate (expected)2]]*0.7</f>
        <v>0</v>
      </c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1">
        <f>SUM(Table1[[#This Row],[Jan-23]:[Dec-23]])</f>
        <v>0</v>
      </c>
      <c r="AV361" s="105"/>
      <c r="AW361" s="32"/>
      <c r="AX361" s="35"/>
    </row>
    <row r="362" spans="1:50" x14ac:dyDescent="0.3">
      <c r="A362" s="30" t="str">
        <f>VLOOKUP(H362,'Accoount Code Combination'!$D:$L,8,FALSE)</f>
        <v>Other support</v>
      </c>
      <c r="B362" s="31" t="str">
        <f>VLOOKUP(Table1[[#This Row],[Account Code]],'Accoount Code Combination'!$D:$L,9,FALSE)</f>
        <v>No Applicable</v>
      </c>
      <c r="C362" s="4" t="str">
        <f>VLOOKUP(Table1[[#This Row],[Cost Center Code]],'Cost Center Group'!A:B,2,FALSE)</f>
        <v>HR &amp; Procurement Office</v>
      </c>
      <c r="D362" s="4">
        <v>847</v>
      </c>
      <c r="E362" s="79">
        <v>8470720</v>
      </c>
      <c r="F362" s="32" t="s">
        <v>221</v>
      </c>
      <c r="G362" s="4">
        <v>1</v>
      </c>
      <c r="H362" s="95">
        <v>436110</v>
      </c>
      <c r="I362" s="106" t="str">
        <f>IFERROR(VLOOKUP(Table1[[#This Row],[Account Code]],'Accoount Code Combination'!$D:$H,2,FALSE),"")</f>
        <v>Printing supplies</v>
      </c>
      <c r="J362" s="79">
        <v>8470720</v>
      </c>
      <c r="K362" s="4"/>
      <c r="L362" s="4" t="str">
        <f>IFERROR(VLOOKUP(Table1[[#This Row],[Future-1 Description]],'Other '!E350:$F359,2,FALSE),"")</f>
        <v/>
      </c>
      <c r="M362" s="32"/>
      <c r="N362" s="32"/>
      <c r="O362" s="32"/>
      <c r="P362" s="49">
        <v>65</v>
      </c>
      <c r="Q362" s="49">
        <v>0</v>
      </c>
      <c r="R362" s="32"/>
      <c r="S362" s="4"/>
      <c r="T362" s="32"/>
      <c r="U362" s="32"/>
      <c r="V362" s="32"/>
      <c r="W362" s="32"/>
      <c r="X362" s="33"/>
      <c r="Y362" s="33"/>
      <c r="Z362" s="31">
        <f>Table1[[#This Row],[Quantity of measruing units]]*Table1[[#This Row],[Rate (expected)]]</f>
        <v>0</v>
      </c>
      <c r="AA362" s="31"/>
      <c r="AB362" s="31"/>
      <c r="AC362" s="34">
        <f>Table1[[#This Row],[Quantity (expected)]]*Table1[[#This Row],[Rate (expected)2]]*0.9</f>
        <v>0</v>
      </c>
      <c r="AD362" s="34">
        <f>Table1[[#This Row],[Quantity (expected)]]*Table1[[#This Row],[Rate (expected)2]]*0.8</f>
        <v>0</v>
      </c>
      <c r="AE362" s="34">
        <f>Table1[[#This Row],[Quantity (expected)]]*Table1[[#This Row],[Rate (expected)2]]*0.7</f>
        <v>0</v>
      </c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1">
        <f>SUM(Table1[[#This Row],[Jan-23]:[Dec-23]])</f>
        <v>0</v>
      </c>
      <c r="AV362" s="105"/>
      <c r="AW362" s="32"/>
      <c r="AX362" s="35"/>
    </row>
    <row r="363" spans="1:50" x14ac:dyDescent="0.3">
      <c r="A363" s="30" t="str">
        <f>VLOOKUP(H363,'Accoount Code Combination'!$D:$L,8,FALSE)</f>
        <v>Other support</v>
      </c>
      <c r="B363" s="31" t="str">
        <f>VLOOKUP(Table1[[#This Row],[Account Code]],'Accoount Code Combination'!$D:$L,9,FALSE)</f>
        <v>No Applicable</v>
      </c>
      <c r="C363" s="4" t="str">
        <f>VLOOKUP(Table1[[#This Row],[Cost Center Code]],'Cost Center Group'!A:B,2,FALSE)</f>
        <v>HR &amp; Procurement Office</v>
      </c>
      <c r="D363" s="4">
        <v>847</v>
      </c>
      <c r="E363" s="79">
        <v>8470720</v>
      </c>
      <c r="F363" s="32" t="s">
        <v>221</v>
      </c>
      <c r="G363" s="4">
        <v>1</v>
      </c>
      <c r="H363" s="95">
        <v>436120</v>
      </c>
      <c r="I363" s="106" t="str">
        <f>IFERROR(VLOOKUP(Table1[[#This Row],[Account Code]],'Accoount Code Combination'!$D:$H,2,FALSE),"")</f>
        <v>Stationery</v>
      </c>
      <c r="J363" s="79">
        <v>8470720</v>
      </c>
      <c r="K363" s="4"/>
      <c r="L363" s="4" t="str">
        <f>IFERROR(VLOOKUP(Table1[[#This Row],[Future-1 Description]],'Other '!E351:$F360,2,FALSE),"")</f>
        <v/>
      </c>
      <c r="M363" s="32"/>
      <c r="N363" s="32"/>
      <c r="O363" s="32"/>
      <c r="P363" s="49">
        <v>115059.58</v>
      </c>
      <c r="Q363" s="49">
        <v>45814</v>
      </c>
      <c r="R363" s="32"/>
      <c r="S363" s="4"/>
      <c r="T363" s="32"/>
      <c r="U363" s="32"/>
      <c r="V363" s="32"/>
      <c r="W363" s="32"/>
      <c r="X363" s="33"/>
      <c r="Y363" s="33"/>
      <c r="Z363" s="31">
        <f>Table1[[#This Row],[Quantity of measruing units]]*Table1[[#This Row],[Rate (expected)]]</f>
        <v>0</v>
      </c>
      <c r="AA363" s="31"/>
      <c r="AB363" s="31"/>
      <c r="AC363" s="34">
        <f>Table1[[#This Row],[Quantity (expected)]]*Table1[[#This Row],[Rate (expected)2]]*0.9</f>
        <v>0</v>
      </c>
      <c r="AD363" s="34">
        <f>Table1[[#This Row],[Quantity (expected)]]*Table1[[#This Row],[Rate (expected)2]]*0.8</f>
        <v>0</v>
      </c>
      <c r="AE363" s="34">
        <f>Table1[[#This Row],[Quantity (expected)]]*Table1[[#This Row],[Rate (expected)2]]*0.7</f>
        <v>0</v>
      </c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1">
        <f>SUM(Table1[[#This Row],[Jan-23]:[Dec-23]])</f>
        <v>0</v>
      </c>
      <c r="AV363" s="105"/>
      <c r="AW363" s="32"/>
      <c r="AX363" s="35"/>
    </row>
    <row r="364" spans="1:50" x14ac:dyDescent="0.3">
      <c r="A364" s="30" t="str">
        <f>VLOOKUP(H364,'Accoount Code Combination'!$D:$L,8,FALSE)</f>
        <v>HR</v>
      </c>
      <c r="B364" s="31" t="str">
        <f>VLOOKUP(Table1[[#This Row],[Account Code]],'Accoount Code Combination'!$D:$L,9,FALSE)</f>
        <v>Consultancy</v>
      </c>
      <c r="C364" s="4" t="str">
        <f>VLOOKUP(Table1[[#This Row],[Cost Center Code]],'Cost Center Group'!A:B,2,FALSE)</f>
        <v>HR &amp; Procurement Office</v>
      </c>
      <c r="D364" s="4">
        <v>847</v>
      </c>
      <c r="E364" s="79">
        <v>8470730</v>
      </c>
      <c r="F364" s="32" t="s">
        <v>223</v>
      </c>
      <c r="G364" s="4">
        <v>1</v>
      </c>
      <c r="H364" s="95">
        <v>421000</v>
      </c>
      <c r="I364" s="106" t="str">
        <f>IFERROR(VLOOKUP(Table1[[#This Row],[Account Code]],'Accoount Code Combination'!$D:$H,2,FALSE),"")</f>
        <v>Management consultancy</v>
      </c>
      <c r="J364" s="79">
        <v>8470730</v>
      </c>
      <c r="K364" s="4"/>
      <c r="L364" s="4" t="str">
        <f>IFERROR(VLOOKUP(Table1[[#This Row],[Future-1 Description]],'Other '!E352:$F361,2,FALSE),"")</f>
        <v/>
      </c>
      <c r="M364" s="32"/>
      <c r="N364" s="32"/>
      <c r="O364" s="32"/>
      <c r="P364" s="49">
        <v>-5100</v>
      </c>
      <c r="Q364" s="49">
        <v>0</v>
      </c>
      <c r="R364" s="32"/>
      <c r="S364" s="4"/>
      <c r="T364" s="32"/>
      <c r="U364" s="32"/>
      <c r="V364" s="32"/>
      <c r="W364" s="32"/>
      <c r="X364" s="33"/>
      <c r="Y364" s="33"/>
      <c r="Z364" s="31">
        <f>Table1[[#This Row],[Quantity of measruing units]]*Table1[[#This Row],[Rate (expected)]]</f>
        <v>0</v>
      </c>
      <c r="AA364" s="31"/>
      <c r="AB364" s="31"/>
      <c r="AC364" s="34">
        <f>Table1[[#This Row],[Quantity (expected)]]*Table1[[#This Row],[Rate (expected)2]]*0.9</f>
        <v>0</v>
      </c>
      <c r="AD364" s="34">
        <f>Table1[[#This Row],[Quantity (expected)]]*Table1[[#This Row],[Rate (expected)2]]*0.8</f>
        <v>0</v>
      </c>
      <c r="AE364" s="34">
        <f>Table1[[#This Row],[Quantity (expected)]]*Table1[[#This Row],[Rate (expected)2]]*0.7</f>
        <v>0</v>
      </c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1">
        <f>SUM(Table1[[#This Row],[Jan-23]:[Dec-23]])</f>
        <v>0</v>
      </c>
      <c r="AV364" s="105"/>
      <c r="AW364" s="32"/>
      <c r="AX364" s="35"/>
    </row>
    <row r="365" spans="1:50" x14ac:dyDescent="0.3">
      <c r="A365" s="30" t="str">
        <f>VLOOKUP(H365,'Accoount Code Combination'!$D:$L,8,FALSE)</f>
        <v>HR</v>
      </c>
      <c r="B365" s="31" t="str">
        <f>VLOOKUP(Table1[[#This Row],[Account Code]],'Accoount Code Combination'!$D:$L,9,FALSE)</f>
        <v>Outsourcing</v>
      </c>
      <c r="C365" s="4" t="str">
        <f>VLOOKUP(Table1[[#This Row],[Cost Center Code]],'Cost Center Group'!A:B,2,FALSE)</f>
        <v>HR &amp; Procurement Office</v>
      </c>
      <c r="D365" s="4">
        <v>847</v>
      </c>
      <c r="E365" s="79">
        <v>8470730</v>
      </c>
      <c r="F365" s="32" t="s">
        <v>223</v>
      </c>
      <c r="G365" s="4">
        <v>1</v>
      </c>
      <c r="H365" s="95">
        <v>421100</v>
      </c>
      <c r="I365" s="106" t="str">
        <f>IFERROR(VLOOKUP(Table1[[#This Row],[Account Code]],'Accoount Code Combination'!$D:$H,2,FALSE),"")</f>
        <v>Manpower supply</v>
      </c>
      <c r="J365" s="79">
        <v>8470730</v>
      </c>
      <c r="K365" s="4"/>
      <c r="L365" s="4" t="str">
        <f>IFERROR(VLOOKUP(Table1[[#This Row],[Future-1 Description]],'Other '!E353:$F362,2,FALSE),"")</f>
        <v/>
      </c>
      <c r="M365" s="32"/>
      <c r="N365" s="32"/>
      <c r="O365" s="32"/>
      <c r="P365" s="49">
        <v>0</v>
      </c>
      <c r="Q365" s="49">
        <v>0</v>
      </c>
      <c r="R365" s="32"/>
      <c r="S365" s="4"/>
      <c r="T365" s="32"/>
      <c r="U365" s="32"/>
      <c r="V365" s="32"/>
      <c r="W365" s="32"/>
      <c r="X365" s="33"/>
      <c r="Y365" s="33"/>
      <c r="Z365" s="31">
        <f>Table1[[#This Row],[Quantity of measruing units]]*Table1[[#This Row],[Rate (expected)]]</f>
        <v>0</v>
      </c>
      <c r="AA365" s="31"/>
      <c r="AB365" s="31"/>
      <c r="AC365" s="34">
        <f>Table1[[#This Row],[Quantity (expected)]]*Table1[[#This Row],[Rate (expected)2]]*0.9</f>
        <v>0</v>
      </c>
      <c r="AD365" s="34">
        <f>Table1[[#This Row],[Quantity (expected)]]*Table1[[#This Row],[Rate (expected)2]]*0.8</f>
        <v>0</v>
      </c>
      <c r="AE365" s="34">
        <f>Table1[[#This Row],[Quantity (expected)]]*Table1[[#This Row],[Rate (expected)2]]*0.7</f>
        <v>0</v>
      </c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1">
        <f>SUM(Table1[[#This Row],[Jan-23]:[Dec-23]])</f>
        <v>0</v>
      </c>
      <c r="AV365" s="105"/>
      <c r="AW365" s="32"/>
      <c r="AX365" s="35"/>
    </row>
    <row r="366" spans="1:50" ht="26" x14ac:dyDescent="0.3">
      <c r="A366" s="30" t="str">
        <f>VLOOKUP(H366,'Accoount Code Combination'!$D:$L,8,FALSE)</f>
        <v>Communiction &amp; Marketing</v>
      </c>
      <c r="B366" s="31" t="str">
        <f>VLOOKUP(Table1[[#This Row],[Account Code]],'Accoount Code Combination'!$D:$L,9,FALSE)</f>
        <v>Events</v>
      </c>
      <c r="C366" s="4" t="str">
        <f>VLOOKUP(Table1[[#This Row],[Cost Center Code]],'Cost Center Group'!A:B,2,FALSE)</f>
        <v>HR &amp; Procurement Office</v>
      </c>
      <c r="D366" s="4">
        <v>847</v>
      </c>
      <c r="E366" s="79">
        <v>8470730</v>
      </c>
      <c r="F366" s="32" t="s">
        <v>223</v>
      </c>
      <c r="G366" s="4">
        <v>1</v>
      </c>
      <c r="H366" s="95">
        <v>425510</v>
      </c>
      <c r="I366" s="106" t="str">
        <f>IFERROR(VLOOKUP(Table1[[#This Row],[Account Code]],'Accoount Code Combination'!$D:$H,2,FALSE),"")</f>
        <v>Conferences, seminars and exhibitions and other events: - Local Events</v>
      </c>
      <c r="J366" s="79">
        <v>8470730</v>
      </c>
      <c r="K366" s="4"/>
      <c r="L366" s="4" t="str">
        <f>IFERROR(VLOOKUP(Table1[[#This Row],[Future-1 Description]],'Other '!E354:$F363,2,FALSE),"")</f>
        <v/>
      </c>
      <c r="M366" s="32"/>
      <c r="N366" s="32"/>
      <c r="O366" s="32"/>
      <c r="P366" s="49">
        <v>34863.550000000003</v>
      </c>
      <c r="Q366" s="49">
        <v>15000</v>
      </c>
      <c r="R366" s="32"/>
      <c r="S366" s="4"/>
      <c r="T366" s="32"/>
      <c r="U366" s="32"/>
      <c r="V366" s="32"/>
      <c r="W366" s="32"/>
      <c r="X366" s="33"/>
      <c r="Y366" s="33"/>
      <c r="Z366" s="31">
        <f>Table1[[#This Row],[Quantity of measruing units]]*Table1[[#This Row],[Rate (expected)]]</f>
        <v>0</v>
      </c>
      <c r="AA366" s="31"/>
      <c r="AB366" s="31"/>
      <c r="AC366" s="34">
        <f>Table1[[#This Row],[Quantity (expected)]]*Table1[[#This Row],[Rate (expected)2]]*0.9</f>
        <v>0</v>
      </c>
      <c r="AD366" s="34">
        <f>Table1[[#This Row],[Quantity (expected)]]*Table1[[#This Row],[Rate (expected)2]]*0.8</f>
        <v>0</v>
      </c>
      <c r="AE366" s="34">
        <f>Table1[[#This Row],[Quantity (expected)]]*Table1[[#This Row],[Rate (expected)2]]*0.7</f>
        <v>0</v>
      </c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1">
        <f>SUM(Table1[[#This Row],[Jan-23]:[Dec-23]])</f>
        <v>0</v>
      </c>
      <c r="AV366" s="105"/>
      <c r="AW366" s="32"/>
      <c r="AX366" s="35"/>
    </row>
    <row r="367" spans="1:50" x14ac:dyDescent="0.3">
      <c r="A367" s="30" t="str">
        <f>VLOOKUP(H367,'Accoount Code Combination'!$D:$L,8,FALSE)</f>
        <v>Other support</v>
      </c>
      <c r="B367" s="31" t="str">
        <f>VLOOKUP(Table1[[#This Row],[Account Code]],'Accoount Code Combination'!$D:$L,9,FALSE)</f>
        <v>No Applicable</v>
      </c>
      <c r="C367" s="4" t="str">
        <f>VLOOKUP(Table1[[#This Row],[Cost Center Code]],'Cost Center Group'!A:B,2,FALSE)</f>
        <v>HR &amp; Procurement Office</v>
      </c>
      <c r="D367" s="4">
        <v>847</v>
      </c>
      <c r="E367" s="79">
        <v>8470730</v>
      </c>
      <c r="F367" s="32" t="s">
        <v>223</v>
      </c>
      <c r="G367" s="4">
        <v>1</v>
      </c>
      <c r="H367" s="95">
        <v>425900</v>
      </c>
      <c r="I367" s="106" t="str">
        <f>IFERROR(VLOOKUP(Table1[[#This Row],[Account Code]],'Accoount Code Combination'!$D:$H,2,FALSE),"")</f>
        <v>Entertainment and hospitality</v>
      </c>
      <c r="J367" s="79">
        <v>8470730</v>
      </c>
      <c r="K367" s="4"/>
      <c r="L367" s="4" t="str">
        <f>IFERROR(VLOOKUP(Table1[[#This Row],[Future-1 Description]],'Other '!E355:$F364,2,FALSE),"")</f>
        <v/>
      </c>
      <c r="M367" s="32"/>
      <c r="N367" s="32"/>
      <c r="O367" s="32"/>
      <c r="P367" s="49">
        <v>6363</v>
      </c>
      <c r="Q367" s="49">
        <v>6363</v>
      </c>
      <c r="R367" s="32"/>
      <c r="S367" s="4"/>
      <c r="T367" s="32"/>
      <c r="U367" s="32"/>
      <c r="V367" s="32"/>
      <c r="W367" s="32"/>
      <c r="X367" s="33"/>
      <c r="Y367" s="33"/>
      <c r="Z367" s="31">
        <f>Table1[[#This Row],[Quantity of measruing units]]*Table1[[#This Row],[Rate (expected)]]</f>
        <v>0</v>
      </c>
      <c r="AA367" s="31"/>
      <c r="AB367" s="31"/>
      <c r="AC367" s="34">
        <f>Table1[[#This Row],[Quantity (expected)]]*Table1[[#This Row],[Rate (expected)2]]*0.9</f>
        <v>0</v>
      </c>
      <c r="AD367" s="34">
        <f>Table1[[#This Row],[Quantity (expected)]]*Table1[[#This Row],[Rate (expected)2]]*0.8</f>
        <v>0</v>
      </c>
      <c r="AE367" s="34">
        <f>Table1[[#This Row],[Quantity (expected)]]*Table1[[#This Row],[Rate (expected)2]]*0.7</f>
        <v>0</v>
      </c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1">
        <f>SUM(Table1[[#This Row],[Jan-23]:[Dec-23]])</f>
        <v>0</v>
      </c>
      <c r="AV367" s="105"/>
      <c r="AW367" s="32"/>
      <c r="AX367" s="35"/>
    </row>
    <row r="368" spans="1:50" x14ac:dyDescent="0.3">
      <c r="A368" s="30" t="str">
        <f>VLOOKUP(H368,'Accoount Code Combination'!$D:$L,8,FALSE)</f>
        <v>IT</v>
      </c>
      <c r="B368" s="31" t="str">
        <f>VLOOKUP(Table1[[#This Row],[Account Code]],'Accoount Code Combination'!$D:$L,9,FALSE)</f>
        <v>Software Operating</v>
      </c>
      <c r="C368" s="4" t="str">
        <f>VLOOKUP(Table1[[#This Row],[Cost Center Code]],'Cost Center Group'!A:B,2,FALSE)</f>
        <v>HR &amp; Procurement Office</v>
      </c>
      <c r="D368" s="4">
        <v>847</v>
      </c>
      <c r="E368" s="79">
        <v>8470730</v>
      </c>
      <c r="F368" s="32" t="s">
        <v>223</v>
      </c>
      <c r="G368" s="4">
        <v>1</v>
      </c>
      <c r="H368" s="95">
        <v>426610</v>
      </c>
      <c r="I368" s="106" t="str">
        <f>IFERROR(VLOOKUP(Table1[[#This Row],[Account Code]],'Accoount Code Combination'!$D:$H,2,FALSE),"")</f>
        <v>Computer software licenses</v>
      </c>
      <c r="J368" s="79">
        <v>8470730</v>
      </c>
      <c r="K368" s="4"/>
      <c r="L368" s="4" t="str">
        <f>IFERROR(VLOOKUP(Table1[[#This Row],[Future-1 Description]],'Other '!E356:$F365,2,FALSE),"")</f>
        <v/>
      </c>
      <c r="M368" s="32"/>
      <c r="N368" s="32"/>
      <c r="O368" s="32"/>
      <c r="P368" s="49">
        <v>710394.93</v>
      </c>
      <c r="Q368" s="49">
        <v>365000</v>
      </c>
      <c r="R368" s="32"/>
      <c r="S368" s="4"/>
      <c r="T368" s="32"/>
      <c r="U368" s="32"/>
      <c r="V368" s="32"/>
      <c r="W368" s="32"/>
      <c r="X368" s="33"/>
      <c r="Y368" s="33"/>
      <c r="Z368" s="31">
        <f>Table1[[#This Row],[Quantity of measruing units]]*Table1[[#This Row],[Rate (expected)]]</f>
        <v>0</v>
      </c>
      <c r="AA368" s="31"/>
      <c r="AB368" s="31"/>
      <c r="AC368" s="34">
        <f>Table1[[#This Row],[Quantity (expected)]]*Table1[[#This Row],[Rate (expected)2]]*0.9</f>
        <v>0</v>
      </c>
      <c r="AD368" s="34">
        <f>Table1[[#This Row],[Quantity (expected)]]*Table1[[#This Row],[Rate (expected)2]]*0.8</f>
        <v>0</v>
      </c>
      <c r="AE368" s="34">
        <f>Table1[[#This Row],[Quantity (expected)]]*Table1[[#This Row],[Rate (expected)2]]*0.7</f>
        <v>0</v>
      </c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1">
        <f>SUM(Table1[[#This Row],[Jan-23]:[Dec-23]])</f>
        <v>0</v>
      </c>
      <c r="AV368" s="105"/>
      <c r="AW368" s="32"/>
      <c r="AX368" s="35"/>
    </row>
    <row r="369" spans="1:50" ht="26" x14ac:dyDescent="0.3">
      <c r="A369" s="30" t="str">
        <f>VLOOKUP(H369,'Accoount Code Combination'!$D:$L,8,FALSE)</f>
        <v>Academic</v>
      </c>
      <c r="B369" s="31" t="str">
        <f>VLOOKUP(Table1[[#This Row],[Account Code]],'Accoount Code Combination'!$D:$L,9,FALSE)</f>
        <v>No Applicable</v>
      </c>
      <c r="C369" s="4" t="str">
        <f>VLOOKUP(Table1[[#This Row],[Cost Center Code]],'Cost Center Group'!A:B,2,FALSE)</f>
        <v>HR &amp; Procurement Office</v>
      </c>
      <c r="D369" s="4">
        <v>847</v>
      </c>
      <c r="E369" s="79">
        <v>8470730</v>
      </c>
      <c r="F369" s="32" t="s">
        <v>223</v>
      </c>
      <c r="G369" s="4">
        <v>1</v>
      </c>
      <c r="H369" s="95">
        <v>427710</v>
      </c>
      <c r="I369" s="106" t="str">
        <f>IFERROR(VLOOKUP(Table1[[#This Row],[Account Code]],'Accoount Code Combination'!$D:$H,2,FALSE),"")</f>
        <v>Subscriptions and membership fees: Trade organisations</v>
      </c>
      <c r="J369" s="79">
        <v>8470730</v>
      </c>
      <c r="K369" s="4"/>
      <c r="L369" s="4" t="str">
        <f>IFERROR(VLOOKUP(Table1[[#This Row],[Future-1 Description]],'Other '!E357:$F366,2,FALSE),"")</f>
        <v/>
      </c>
      <c r="M369" s="32"/>
      <c r="N369" s="32"/>
      <c r="O369" s="32"/>
      <c r="P369" s="49">
        <v>32</v>
      </c>
      <c r="Q369" s="49">
        <v>0</v>
      </c>
      <c r="R369" s="32"/>
      <c r="S369" s="4"/>
      <c r="T369" s="32"/>
      <c r="U369" s="32"/>
      <c r="V369" s="32"/>
      <c r="W369" s="32"/>
      <c r="X369" s="33"/>
      <c r="Y369" s="33"/>
      <c r="Z369" s="31">
        <f>Table1[[#This Row],[Quantity of measruing units]]*Table1[[#This Row],[Rate (expected)]]</f>
        <v>0</v>
      </c>
      <c r="AA369" s="31"/>
      <c r="AB369" s="31"/>
      <c r="AC369" s="34">
        <f>Table1[[#This Row],[Quantity (expected)]]*Table1[[#This Row],[Rate (expected)2]]*0.9</f>
        <v>0</v>
      </c>
      <c r="AD369" s="34">
        <f>Table1[[#This Row],[Quantity (expected)]]*Table1[[#This Row],[Rate (expected)2]]*0.8</f>
        <v>0</v>
      </c>
      <c r="AE369" s="34">
        <f>Table1[[#This Row],[Quantity (expected)]]*Table1[[#This Row],[Rate (expected)2]]*0.7</f>
        <v>0</v>
      </c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1">
        <f>SUM(Table1[[#This Row],[Jan-23]:[Dec-23]])</f>
        <v>0</v>
      </c>
      <c r="AV369" s="105"/>
      <c r="AW369" s="32"/>
      <c r="AX369" s="35"/>
    </row>
    <row r="370" spans="1:50" x14ac:dyDescent="0.3">
      <c r="A370" s="30" t="str">
        <f>VLOOKUP(H370,'Accoount Code Combination'!$D:$L,8,FALSE)</f>
        <v xml:space="preserve">Academic </v>
      </c>
      <c r="B370" s="31" t="str">
        <f>VLOOKUP(Table1[[#This Row],[Account Code]],'Accoount Code Combination'!$D:$L,9,FALSE)</f>
        <v>No Applicable</v>
      </c>
      <c r="C370" s="4" t="str">
        <f>VLOOKUP(Table1[[#This Row],[Cost Center Code]],'Cost Center Group'!A:B,2,FALSE)</f>
        <v>HR &amp; Procurement Office</v>
      </c>
      <c r="D370" s="4">
        <v>847</v>
      </c>
      <c r="E370" s="79">
        <v>8470730</v>
      </c>
      <c r="F370" s="32" t="s">
        <v>223</v>
      </c>
      <c r="G370" s="4">
        <v>1</v>
      </c>
      <c r="H370" s="95">
        <v>428090</v>
      </c>
      <c r="I370" s="106" t="str">
        <f>IFERROR(VLOOKUP(Table1[[#This Row],[Account Code]],'Accoount Code Combination'!$D:$H,2,FALSE),"")</f>
        <v>Business Travel - Combined expenses</v>
      </c>
      <c r="J370" s="79">
        <v>8470730</v>
      </c>
      <c r="K370" s="4"/>
      <c r="L370" s="4" t="str">
        <f>IFERROR(VLOOKUP(Table1[[#This Row],[Future-1 Description]],'Other '!E358:$F367,2,FALSE),"")</f>
        <v/>
      </c>
      <c r="M370" s="32"/>
      <c r="N370" s="32"/>
      <c r="O370" s="32"/>
      <c r="P370" s="49">
        <v>0</v>
      </c>
      <c r="Q370" s="49">
        <v>0</v>
      </c>
      <c r="R370" s="32"/>
      <c r="S370" s="4"/>
      <c r="T370" s="32"/>
      <c r="U370" s="32"/>
      <c r="V370" s="32"/>
      <c r="W370" s="32"/>
      <c r="X370" s="33"/>
      <c r="Y370" s="33"/>
      <c r="Z370" s="31">
        <f>Table1[[#This Row],[Quantity of measruing units]]*Table1[[#This Row],[Rate (expected)]]</f>
        <v>0</v>
      </c>
      <c r="AA370" s="31"/>
      <c r="AB370" s="31"/>
      <c r="AC370" s="34">
        <f>Table1[[#This Row],[Quantity (expected)]]*Table1[[#This Row],[Rate (expected)2]]*0.9</f>
        <v>0</v>
      </c>
      <c r="AD370" s="34">
        <f>Table1[[#This Row],[Quantity (expected)]]*Table1[[#This Row],[Rate (expected)2]]*0.8</f>
        <v>0</v>
      </c>
      <c r="AE370" s="34">
        <f>Table1[[#This Row],[Quantity (expected)]]*Table1[[#This Row],[Rate (expected)2]]*0.7</f>
        <v>0</v>
      </c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1">
        <f>SUM(Table1[[#This Row],[Jan-23]:[Dec-23]])</f>
        <v>0</v>
      </c>
      <c r="AV370" s="105"/>
      <c r="AW370" s="32"/>
      <c r="AX370" s="35"/>
    </row>
    <row r="371" spans="1:50" x14ac:dyDescent="0.3">
      <c r="A371" s="30" t="str">
        <f>VLOOKUP(H371,'Accoount Code Combination'!$D:$L,8,FALSE)</f>
        <v>IT</v>
      </c>
      <c r="B371" s="31" t="str">
        <f>VLOOKUP(Table1[[#This Row],[Account Code]],'Accoount Code Combination'!$D:$L,9,FALSE)</f>
        <v>Computer Maintenance</v>
      </c>
      <c r="C371" s="4" t="str">
        <f>VLOOKUP(Table1[[#This Row],[Cost Center Code]],'Cost Center Group'!A:B,2,FALSE)</f>
        <v>HR &amp; Procurement Office</v>
      </c>
      <c r="D371" s="4">
        <v>847</v>
      </c>
      <c r="E371" s="79">
        <v>8470730</v>
      </c>
      <c r="F371" s="32" t="s">
        <v>223</v>
      </c>
      <c r="G371" s="4">
        <v>1</v>
      </c>
      <c r="H371" s="95">
        <v>432205</v>
      </c>
      <c r="I371" s="106" t="str">
        <f>IFERROR(VLOOKUP(Table1[[#This Row],[Account Code]],'Accoount Code Combination'!$D:$H,2,FALSE),"")</f>
        <v>Computers and peripherals</v>
      </c>
      <c r="J371" s="79">
        <v>8470730</v>
      </c>
      <c r="K371" s="4"/>
      <c r="L371" s="4" t="str">
        <f>IFERROR(VLOOKUP(Table1[[#This Row],[Future-1 Description]],'Other '!E359:$F368,2,FALSE),"")</f>
        <v/>
      </c>
      <c r="M371" s="32"/>
      <c r="N371" s="32"/>
      <c r="O371" s="32"/>
      <c r="P371" s="49">
        <v>0</v>
      </c>
      <c r="Q371" s="49">
        <v>0</v>
      </c>
      <c r="R371" s="32"/>
      <c r="S371" s="4"/>
      <c r="T371" s="32"/>
      <c r="U371" s="32"/>
      <c r="V371" s="32"/>
      <c r="W371" s="32"/>
      <c r="X371" s="33"/>
      <c r="Y371" s="33"/>
      <c r="Z371" s="31">
        <f>Table1[[#This Row],[Quantity of measruing units]]*Table1[[#This Row],[Rate (expected)]]</f>
        <v>0</v>
      </c>
      <c r="AA371" s="31"/>
      <c r="AB371" s="31"/>
      <c r="AC371" s="34">
        <f>Table1[[#This Row],[Quantity (expected)]]*Table1[[#This Row],[Rate (expected)2]]*0.9</f>
        <v>0</v>
      </c>
      <c r="AD371" s="34">
        <f>Table1[[#This Row],[Quantity (expected)]]*Table1[[#This Row],[Rate (expected)2]]*0.8</f>
        <v>0</v>
      </c>
      <c r="AE371" s="34">
        <f>Table1[[#This Row],[Quantity (expected)]]*Table1[[#This Row],[Rate (expected)2]]*0.7</f>
        <v>0</v>
      </c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1">
        <f>SUM(Table1[[#This Row],[Jan-23]:[Dec-23]])</f>
        <v>0</v>
      </c>
      <c r="AV371" s="105"/>
      <c r="AW371" s="32"/>
      <c r="AX371" s="35"/>
    </row>
    <row r="372" spans="1:50" x14ac:dyDescent="0.3">
      <c r="A372" s="30" t="str">
        <f>VLOOKUP(H372,'Accoount Code Combination'!$D:$L,8,FALSE)</f>
        <v>Other support</v>
      </c>
      <c r="B372" s="31" t="str">
        <f>VLOOKUP(Table1[[#This Row],[Account Code]],'Accoount Code Combination'!$D:$L,9,FALSE)</f>
        <v>No Applicable</v>
      </c>
      <c r="C372" s="4" t="str">
        <f>VLOOKUP(Table1[[#This Row],[Cost Center Code]],'Cost Center Group'!A:B,2,FALSE)</f>
        <v>HR &amp; Procurement Office</v>
      </c>
      <c r="D372" s="4">
        <v>847</v>
      </c>
      <c r="E372" s="79">
        <v>8470730</v>
      </c>
      <c r="F372" s="32" t="s">
        <v>223</v>
      </c>
      <c r="G372" s="4">
        <v>1</v>
      </c>
      <c r="H372" s="95">
        <v>436110</v>
      </c>
      <c r="I372" s="106" t="str">
        <f>IFERROR(VLOOKUP(Table1[[#This Row],[Account Code]],'Accoount Code Combination'!$D:$H,2,FALSE),"")</f>
        <v>Printing supplies</v>
      </c>
      <c r="J372" s="79">
        <v>8470730</v>
      </c>
      <c r="K372" s="4"/>
      <c r="L372" s="4" t="str">
        <f>IFERROR(VLOOKUP(Table1[[#This Row],[Future-1 Description]],'Other '!E360:$F369,2,FALSE),"")</f>
        <v/>
      </c>
      <c r="M372" s="32"/>
      <c r="N372" s="32"/>
      <c r="O372" s="32"/>
      <c r="P372" s="49">
        <v>29325</v>
      </c>
      <c r="Q372" s="49">
        <v>75479</v>
      </c>
      <c r="R372" s="32"/>
      <c r="S372" s="4"/>
      <c r="T372" s="32"/>
      <c r="U372" s="32"/>
      <c r="V372" s="32"/>
      <c r="W372" s="32"/>
      <c r="X372" s="33"/>
      <c r="Y372" s="33"/>
      <c r="Z372" s="31">
        <f>Table1[[#This Row],[Quantity of measruing units]]*Table1[[#This Row],[Rate (expected)]]</f>
        <v>0</v>
      </c>
      <c r="AA372" s="31"/>
      <c r="AB372" s="31"/>
      <c r="AC372" s="34">
        <f>Table1[[#This Row],[Quantity (expected)]]*Table1[[#This Row],[Rate (expected)2]]*0.9</f>
        <v>0</v>
      </c>
      <c r="AD372" s="34">
        <f>Table1[[#This Row],[Quantity (expected)]]*Table1[[#This Row],[Rate (expected)2]]*0.8</f>
        <v>0</v>
      </c>
      <c r="AE372" s="34">
        <f>Table1[[#This Row],[Quantity (expected)]]*Table1[[#This Row],[Rate (expected)2]]*0.7</f>
        <v>0</v>
      </c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1">
        <f>SUM(Table1[[#This Row],[Jan-23]:[Dec-23]])</f>
        <v>0</v>
      </c>
      <c r="AV372" s="105"/>
      <c r="AW372" s="32"/>
      <c r="AX372" s="35"/>
    </row>
    <row r="373" spans="1:50" x14ac:dyDescent="0.3">
      <c r="A373" s="30">
        <f>VLOOKUP(H373,'Accoount Code Combination'!$D:$L,8,FALSE)</f>
        <v>0</v>
      </c>
      <c r="B373" s="31" t="str">
        <f>VLOOKUP(Table1[[#This Row],[Account Code]],'Accoount Code Combination'!$D:$L,9,FALSE)</f>
        <v>Software Capital</v>
      </c>
      <c r="C373" s="4" t="str">
        <f>VLOOKUP(Table1[[#This Row],[Cost Center Code]],'Cost Center Group'!A:B,2,FALSE)</f>
        <v>HR &amp; Procurement Office</v>
      </c>
      <c r="D373" s="4">
        <v>847</v>
      </c>
      <c r="E373" s="79">
        <v>8470730</v>
      </c>
      <c r="F373" s="32" t="s">
        <v>223</v>
      </c>
      <c r="G373" s="4">
        <v>1</v>
      </c>
      <c r="H373" s="95">
        <v>495140</v>
      </c>
      <c r="I373" s="106" t="str">
        <f>IFERROR(VLOOKUP(Table1[[#This Row],[Account Code]],'Accoount Code Combination'!$D:$H,2,FALSE),"")</f>
        <v>Copyrights, patents and licenses</v>
      </c>
      <c r="J373" s="79">
        <v>8470730</v>
      </c>
      <c r="K373" s="4"/>
      <c r="L373" s="4" t="str">
        <f>IFERROR(VLOOKUP(Table1[[#This Row],[Future-1 Description]],'Other '!E361:$F370,2,FALSE),"")</f>
        <v/>
      </c>
      <c r="M373" s="32"/>
      <c r="N373" s="32"/>
      <c r="O373" s="32"/>
      <c r="P373" s="49">
        <v>29334.5</v>
      </c>
      <c r="Q373" s="49">
        <v>110494</v>
      </c>
      <c r="R373" s="32"/>
      <c r="S373" s="4"/>
      <c r="T373" s="32"/>
      <c r="U373" s="32"/>
      <c r="V373" s="32"/>
      <c r="W373" s="32"/>
      <c r="X373" s="33"/>
      <c r="Y373" s="33"/>
      <c r="Z373" s="31">
        <f>Table1[[#This Row],[Quantity of measruing units]]*Table1[[#This Row],[Rate (expected)]]</f>
        <v>0</v>
      </c>
      <c r="AA373" s="31"/>
      <c r="AB373" s="31"/>
      <c r="AC373" s="34">
        <f>Table1[[#This Row],[Quantity (expected)]]*Table1[[#This Row],[Rate (expected)2]]*0.9</f>
        <v>0</v>
      </c>
      <c r="AD373" s="34">
        <f>Table1[[#This Row],[Quantity (expected)]]*Table1[[#This Row],[Rate (expected)2]]*0.8</f>
        <v>0</v>
      </c>
      <c r="AE373" s="34">
        <f>Table1[[#This Row],[Quantity (expected)]]*Table1[[#This Row],[Rate (expected)2]]*0.7</f>
        <v>0</v>
      </c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1">
        <f>SUM(Table1[[#This Row],[Jan-23]:[Dec-23]])</f>
        <v>0</v>
      </c>
      <c r="AV373" s="105"/>
      <c r="AW373" s="32"/>
      <c r="AX373" s="35"/>
    </row>
    <row r="374" spans="1:50" x14ac:dyDescent="0.3">
      <c r="A374" s="30" t="str">
        <f>VLOOKUP(H374,'Accoount Code Combination'!$D:$L,8,FALSE)</f>
        <v>IT</v>
      </c>
      <c r="B374" s="31" t="str">
        <f>VLOOKUP(Table1[[#This Row],[Account Code]],'Accoount Code Combination'!$D:$L,9,FALSE)</f>
        <v>No Applicable</v>
      </c>
      <c r="C374" s="4" t="str">
        <f>VLOOKUP(Table1[[#This Row],[Cost Center Code]],'Cost Center Group'!A:B,2,FALSE)</f>
        <v>Information Technology/ANKABUT</v>
      </c>
      <c r="D374" s="4">
        <v>847</v>
      </c>
      <c r="E374" s="79">
        <v>8470810</v>
      </c>
      <c r="F374" s="32" t="s">
        <v>200</v>
      </c>
      <c r="G374" s="4">
        <v>1</v>
      </c>
      <c r="H374" s="95">
        <v>420810</v>
      </c>
      <c r="I374" s="106" t="str">
        <f>IFERROR(VLOOKUP(Table1[[#This Row],[Account Code]],'Accoount Code Combination'!$D:$H,2,FALSE),"")</f>
        <v>IT Systems &amp; Support expenses</v>
      </c>
      <c r="J374" s="79">
        <v>8470810</v>
      </c>
      <c r="K374" s="4"/>
      <c r="L374" s="4" t="str">
        <f>IFERROR(VLOOKUP(Table1[[#This Row],[Future-1 Description]],'Other '!E362:$F371,2,FALSE),"")</f>
        <v/>
      </c>
      <c r="M374" s="32"/>
      <c r="N374" s="32"/>
      <c r="O374" s="32"/>
      <c r="P374" s="49">
        <v>424706.5</v>
      </c>
      <c r="Q374" s="49">
        <v>300000</v>
      </c>
      <c r="R374" s="32"/>
      <c r="S374" s="4"/>
      <c r="T374" s="32"/>
      <c r="U374" s="32"/>
      <c r="V374" s="32"/>
      <c r="W374" s="32"/>
      <c r="X374" s="33"/>
      <c r="Y374" s="33"/>
      <c r="Z374" s="31">
        <f>Table1[[#This Row],[Quantity of measruing units]]*Table1[[#This Row],[Rate (expected)]]</f>
        <v>0</v>
      </c>
      <c r="AA374" s="31"/>
      <c r="AB374" s="31"/>
      <c r="AC374" s="34">
        <f>Table1[[#This Row],[Quantity (expected)]]*Table1[[#This Row],[Rate (expected)2]]*0.9</f>
        <v>0</v>
      </c>
      <c r="AD374" s="34">
        <f>Table1[[#This Row],[Quantity (expected)]]*Table1[[#This Row],[Rate (expected)2]]*0.8</f>
        <v>0</v>
      </c>
      <c r="AE374" s="34">
        <f>Table1[[#This Row],[Quantity (expected)]]*Table1[[#This Row],[Rate (expected)2]]*0.7</f>
        <v>0</v>
      </c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1">
        <f>SUM(Table1[[#This Row],[Jan-23]:[Dec-23]])</f>
        <v>0</v>
      </c>
      <c r="AV374" s="105"/>
      <c r="AW374" s="32"/>
      <c r="AX374" s="35"/>
    </row>
    <row r="375" spans="1:50" x14ac:dyDescent="0.3">
      <c r="A375" s="30" t="str">
        <f>VLOOKUP(H375,'Accoount Code Combination'!$D:$L,8,FALSE)</f>
        <v>HR</v>
      </c>
      <c r="B375" s="31" t="str">
        <f>VLOOKUP(Table1[[#This Row],[Account Code]],'Accoount Code Combination'!$D:$L,9,FALSE)</f>
        <v>Consultancy</v>
      </c>
      <c r="C375" s="4" t="str">
        <f>VLOOKUP(Table1[[#This Row],[Cost Center Code]],'Cost Center Group'!A:B,2,FALSE)</f>
        <v>Information Technology/ANKABUT</v>
      </c>
      <c r="D375" s="4">
        <v>847</v>
      </c>
      <c r="E375" s="79">
        <v>8470810</v>
      </c>
      <c r="F375" s="32" t="s">
        <v>200</v>
      </c>
      <c r="G375" s="4">
        <v>1</v>
      </c>
      <c r="H375" s="95">
        <v>421000</v>
      </c>
      <c r="I375" s="106" t="str">
        <f>IFERROR(VLOOKUP(Table1[[#This Row],[Account Code]],'Accoount Code Combination'!$D:$H,2,FALSE),"")</f>
        <v>Management consultancy</v>
      </c>
      <c r="J375" s="79">
        <v>8470810</v>
      </c>
      <c r="K375" s="4"/>
      <c r="L375" s="4" t="str">
        <f>IFERROR(VLOOKUP(Table1[[#This Row],[Future-1 Description]],'Other '!E363:$F372,2,FALSE),"")</f>
        <v/>
      </c>
      <c r="M375" s="32"/>
      <c r="N375" s="32"/>
      <c r="O375" s="32"/>
      <c r="P375" s="49">
        <v>83750.509999999995</v>
      </c>
      <c r="Q375" s="49">
        <v>0</v>
      </c>
      <c r="R375" s="32"/>
      <c r="S375" s="4"/>
      <c r="T375" s="32"/>
      <c r="U375" s="32"/>
      <c r="V375" s="32"/>
      <c r="W375" s="32"/>
      <c r="X375" s="33"/>
      <c r="Y375" s="33"/>
      <c r="Z375" s="31">
        <f>Table1[[#This Row],[Quantity of measruing units]]*Table1[[#This Row],[Rate (expected)]]</f>
        <v>0</v>
      </c>
      <c r="AA375" s="31"/>
      <c r="AB375" s="31"/>
      <c r="AC375" s="34">
        <f>Table1[[#This Row],[Quantity (expected)]]*Table1[[#This Row],[Rate (expected)2]]*0.9</f>
        <v>0</v>
      </c>
      <c r="AD375" s="34">
        <f>Table1[[#This Row],[Quantity (expected)]]*Table1[[#This Row],[Rate (expected)2]]*0.8</f>
        <v>0</v>
      </c>
      <c r="AE375" s="34">
        <f>Table1[[#This Row],[Quantity (expected)]]*Table1[[#This Row],[Rate (expected)2]]*0.7</f>
        <v>0</v>
      </c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1">
        <f>SUM(Table1[[#This Row],[Jan-23]:[Dec-23]])</f>
        <v>0</v>
      </c>
      <c r="AV375" s="105"/>
      <c r="AW375" s="32"/>
      <c r="AX375" s="35"/>
    </row>
    <row r="376" spans="1:50" x14ac:dyDescent="0.3">
      <c r="A376" s="30" t="str">
        <f>VLOOKUP(H376,'Accoount Code Combination'!$D:$L,8,FALSE)</f>
        <v>HR</v>
      </c>
      <c r="B376" s="31" t="str">
        <f>VLOOKUP(Table1[[#This Row],[Account Code]],'Accoount Code Combination'!$D:$L,9,FALSE)</f>
        <v>Outsourcing</v>
      </c>
      <c r="C376" s="4" t="str">
        <f>VLOOKUP(Table1[[#This Row],[Cost Center Code]],'Cost Center Group'!A:B,2,FALSE)</f>
        <v>Information Technology/ANKABUT</v>
      </c>
      <c r="D376" s="4">
        <v>847</v>
      </c>
      <c r="E376" s="79">
        <v>8470810</v>
      </c>
      <c r="F376" s="32" t="s">
        <v>200</v>
      </c>
      <c r="G376" s="4">
        <v>1</v>
      </c>
      <c r="H376" s="95">
        <v>421100</v>
      </c>
      <c r="I376" s="106" t="str">
        <f>IFERROR(VLOOKUP(Table1[[#This Row],[Account Code]],'Accoount Code Combination'!$D:$H,2,FALSE),"")</f>
        <v>Manpower supply</v>
      </c>
      <c r="J376" s="79">
        <v>8470810</v>
      </c>
      <c r="K376" s="4"/>
      <c r="L376" s="4" t="str">
        <f>IFERROR(VLOOKUP(Table1[[#This Row],[Future-1 Description]],'Other '!E364:$F373,2,FALSE),"")</f>
        <v/>
      </c>
      <c r="M376" s="32"/>
      <c r="N376" s="32"/>
      <c r="O376" s="32"/>
      <c r="P376" s="49">
        <v>22649527.91</v>
      </c>
      <c r="Q376" s="49">
        <v>24291785</v>
      </c>
      <c r="R376" s="32"/>
      <c r="S376" s="4"/>
      <c r="T376" s="32"/>
      <c r="U376" s="32"/>
      <c r="V376" s="32"/>
      <c r="W376" s="32"/>
      <c r="X376" s="33"/>
      <c r="Y376" s="33"/>
      <c r="Z376" s="31">
        <f>Table1[[#This Row],[Quantity of measruing units]]*Table1[[#This Row],[Rate (expected)]]</f>
        <v>0</v>
      </c>
      <c r="AA376" s="31"/>
      <c r="AB376" s="31"/>
      <c r="AC376" s="34">
        <f>Table1[[#This Row],[Quantity (expected)]]*Table1[[#This Row],[Rate (expected)2]]*0.9</f>
        <v>0</v>
      </c>
      <c r="AD376" s="34">
        <f>Table1[[#This Row],[Quantity (expected)]]*Table1[[#This Row],[Rate (expected)2]]*0.8</f>
        <v>0</v>
      </c>
      <c r="AE376" s="34">
        <f>Table1[[#This Row],[Quantity (expected)]]*Table1[[#This Row],[Rate (expected)2]]*0.7</f>
        <v>0</v>
      </c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1">
        <f>SUM(Table1[[#This Row],[Jan-23]:[Dec-23]])</f>
        <v>0</v>
      </c>
      <c r="AV376" s="105"/>
      <c r="AW376" s="32"/>
      <c r="AX376" s="35"/>
    </row>
    <row r="377" spans="1:50" x14ac:dyDescent="0.3">
      <c r="A377" s="30" t="str">
        <f>VLOOKUP(H377,'Accoount Code Combination'!$D:$L,8,FALSE)</f>
        <v>Other support</v>
      </c>
      <c r="B377" s="31" t="str">
        <f>VLOOKUP(Table1[[#This Row],[Account Code]],'Accoount Code Combination'!$D:$L,9,FALSE)</f>
        <v>No Applicable</v>
      </c>
      <c r="C377" s="4" t="str">
        <f>VLOOKUP(Table1[[#This Row],[Cost Center Code]],'Cost Center Group'!A:B,2,FALSE)</f>
        <v>Information Technology/ANKABUT</v>
      </c>
      <c r="D377" s="4">
        <v>847</v>
      </c>
      <c r="E377" s="79">
        <v>8470810</v>
      </c>
      <c r="F377" s="32" t="s">
        <v>200</v>
      </c>
      <c r="G377" s="4">
        <v>1</v>
      </c>
      <c r="H377" s="95">
        <v>425900</v>
      </c>
      <c r="I377" s="106" t="str">
        <f>IFERROR(VLOOKUP(Table1[[#This Row],[Account Code]],'Accoount Code Combination'!$D:$H,2,FALSE),"")</f>
        <v>Entertainment and hospitality</v>
      </c>
      <c r="J377" s="79">
        <v>8470810</v>
      </c>
      <c r="K377" s="4"/>
      <c r="L377" s="4" t="str">
        <f>IFERROR(VLOOKUP(Table1[[#This Row],[Future-1 Description]],'Other '!E365:$F374,2,FALSE),"")</f>
        <v/>
      </c>
      <c r="M377" s="32"/>
      <c r="N377" s="32"/>
      <c r="O377" s="32"/>
      <c r="P377" s="49">
        <v>0</v>
      </c>
      <c r="Q377" s="49">
        <v>0</v>
      </c>
      <c r="R377" s="32"/>
      <c r="S377" s="4"/>
      <c r="T377" s="32"/>
      <c r="U377" s="32"/>
      <c r="V377" s="32"/>
      <c r="W377" s="32"/>
      <c r="X377" s="33"/>
      <c r="Y377" s="33"/>
      <c r="Z377" s="31">
        <f>Table1[[#This Row],[Quantity of measruing units]]*Table1[[#This Row],[Rate (expected)]]</f>
        <v>0</v>
      </c>
      <c r="AA377" s="31"/>
      <c r="AB377" s="31"/>
      <c r="AC377" s="34">
        <f>Table1[[#This Row],[Quantity (expected)]]*Table1[[#This Row],[Rate (expected)2]]*0.9</f>
        <v>0</v>
      </c>
      <c r="AD377" s="34">
        <f>Table1[[#This Row],[Quantity (expected)]]*Table1[[#This Row],[Rate (expected)2]]*0.8</f>
        <v>0</v>
      </c>
      <c r="AE377" s="34">
        <f>Table1[[#This Row],[Quantity (expected)]]*Table1[[#This Row],[Rate (expected)2]]*0.7</f>
        <v>0</v>
      </c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1">
        <f>SUM(Table1[[#This Row],[Jan-23]:[Dec-23]])</f>
        <v>0</v>
      </c>
      <c r="AV377" s="105"/>
      <c r="AW377" s="32"/>
      <c r="AX377" s="35"/>
    </row>
    <row r="378" spans="1:50" x14ac:dyDescent="0.3">
      <c r="A378" s="30" t="str">
        <f>VLOOKUP(H378,'Accoount Code Combination'!$D:$L,8,FALSE)</f>
        <v>IT</v>
      </c>
      <c r="B378" s="31" t="str">
        <f>VLOOKUP(Table1[[#This Row],[Account Code]],'Accoount Code Combination'!$D:$L,9,FALSE)</f>
        <v>Software Operating</v>
      </c>
      <c r="C378" s="4" t="str">
        <f>VLOOKUP(Table1[[#This Row],[Cost Center Code]],'Cost Center Group'!A:B,2,FALSE)</f>
        <v>Information Technology/ANKABUT</v>
      </c>
      <c r="D378" s="4">
        <v>847</v>
      </c>
      <c r="E378" s="79">
        <v>8470810</v>
      </c>
      <c r="F378" s="32" t="s">
        <v>200</v>
      </c>
      <c r="G378" s="4">
        <v>1</v>
      </c>
      <c r="H378" s="95">
        <v>426610</v>
      </c>
      <c r="I378" s="106" t="str">
        <f>IFERROR(VLOOKUP(Table1[[#This Row],[Account Code]],'Accoount Code Combination'!$D:$H,2,FALSE),"")</f>
        <v>Computer software licenses</v>
      </c>
      <c r="J378" s="79">
        <v>8470810</v>
      </c>
      <c r="K378" s="4"/>
      <c r="L378" s="4" t="str">
        <f>IFERROR(VLOOKUP(Table1[[#This Row],[Future-1 Description]],'Other '!E366:$F375,2,FALSE),"")</f>
        <v/>
      </c>
      <c r="M378" s="32"/>
      <c r="N378" s="32"/>
      <c r="O378" s="32"/>
      <c r="P378" s="49">
        <v>7385942.2800000003</v>
      </c>
      <c r="Q378" s="49">
        <v>9324328</v>
      </c>
      <c r="R378" s="32"/>
      <c r="S378" s="4"/>
      <c r="T378" s="32"/>
      <c r="U378" s="32"/>
      <c r="V378" s="32"/>
      <c r="W378" s="32"/>
      <c r="X378" s="33"/>
      <c r="Y378" s="33"/>
      <c r="Z378" s="31">
        <f>Table1[[#This Row],[Quantity of measruing units]]*Table1[[#This Row],[Rate (expected)]]</f>
        <v>0</v>
      </c>
      <c r="AA378" s="31"/>
      <c r="AB378" s="31"/>
      <c r="AC378" s="34">
        <f>Table1[[#This Row],[Quantity (expected)]]*Table1[[#This Row],[Rate (expected)2]]*0.9</f>
        <v>0</v>
      </c>
      <c r="AD378" s="34">
        <f>Table1[[#This Row],[Quantity (expected)]]*Table1[[#This Row],[Rate (expected)2]]*0.8</f>
        <v>0</v>
      </c>
      <c r="AE378" s="34">
        <f>Table1[[#This Row],[Quantity (expected)]]*Table1[[#This Row],[Rate (expected)2]]*0.7</f>
        <v>0</v>
      </c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1">
        <f>SUM(Table1[[#This Row],[Jan-23]:[Dec-23]])</f>
        <v>0</v>
      </c>
      <c r="AV378" s="105"/>
      <c r="AW378" s="32"/>
      <c r="AX378" s="35"/>
    </row>
    <row r="379" spans="1:50" x14ac:dyDescent="0.3">
      <c r="A379" s="30" t="str">
        <f>VLOOKUP(H379,'Accoount Code Combination'!$D:$L,8,FALSE)</f>
        <v>IT</v>
      </c>
      <c r="B379" s="31" t="str">
        <f>VLOOKUP(Table1[[#This Row],[Account Code]],'Accoount Code Combination'!$D:$L,9,FALSE)</f>
        <v>No Applicable</v>
      </c>
      <c r="C379" s="4" t="str">
        <f>VLOOKUP(Table1[[#This Row],[Cost Center Code]],'Cost Center Group'!A:B,2,FALSE)</f>
        <v>Information Technology/ANKABUT</v>
      </c>
      <c r="D379" s="4">
        <v>847</v>
      </c>
      <c r="E379" s="79">
        <v>8470810</v>
      </c>
      <c r="F379" s="32" t="s">
        <v>200</v>
      </c>
      <c r="G379" s="4">
        <v>1</v>
      </c>
      <c r="H379" s="95">
        <v>427810</v>
      </c>
      <c r="I379" s="106" t="str">
        <f>IFERROR(VLOOKUP(Table1[[#This Row],[Account Code]],'Accoount Code Combination'!$D:$H,2,FALSE),"")</f>
        <v>Telephone and telefax charges</v>
      </c>
      <c r="J379" s="79">
        <v>8470810</v>
      </c>
      <c r="K379" s="4"/>
      <c r="L379" s="4" t="str">
        <f>IFERROR(VLOOKUP(Table1[[#This Row],[Future-1 Description]],'Other '!E367:$F376,2,FALSE),"")</f>
        <v/>
      </c>
      <c r="M379" s="32"/>
      <c r="N379" s="32"/>
      <c r="O379" s="32"/>
      <c r="P379" s="49">
        <v>2582184.9500000002</v>
      </c>
      <c r="Q379" s="49">
        <v>1068281</v>
      </c>
      <c r="R379" s="32"/>
      <c r="S379" s="4"/>
      <c r="T379" s="32"/>
      <c r="U379" s="32"/>
      <c r="V379" s="32"/>
      <c r="W379" s="32"/>
      <c r="X379" s="33"/>
      <c r="Y379" s="33"/>
      <c r="Z379" s="31">
        <f>Table1[[#This Row],[Quantity of measruing units]]*Table1[[#This Row],[Rate (expected)]]</f>
        <v>0</v>
      </c>
      <c r="AA379" s="31"/>
      <c r="AB379" s="31"/>
      <c r="AC379" s="34">
        <f>Table1[[#This Row],[Quantity (expected)]]*Table1[[#This Row],[Rate (expected)2]]*0.9</f>
        <v>0</v>
      </c>
      <c r="AD379" s="34">
        <f>Table1[[#This Row],[Quantity (expected)]]*Table1[[#This Row],[Rate (expected)2]]*0.8</f>
        <v>0</v>
      </c>
      <c r="AE379" s="34">
        <f>Table1[[#This Row],[Quantity (expected)]]*Table1[[#This Row],[Rate (expected)2]]*0.7</f>
        <v>0</v>
      </c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1">
        <f>SUM(Table1[[#This Row],[Jan-23]:[Dec-23]])</f>
        <v>0</v>
      </c>
      <c r="AV379" s="105"/>
      <c r="AW379" s="32"/>
      <c r="AX379" s="35"/>
    </row>
    <row r="380" spans="1:50" x14ac:dyDescent="0.3">
      <c r="A380" s="30" t="str">
        <f>VLOOKUP(H380,'Accoount Code Combination'!$D:$L,8,FALSE)</f>
        <v>IT</v>
      </c>
      <c r="B380" s="31" t="str">
        <f>VLOOKUP(Table1[[#This Row],[Account Code]],'Accoount Code Combination'!$D:$L,9,FALSE)</f>
        <v>No Applicable</v>
      </c>
      <c r="C380" s="4" t="str">
        <f>VLOOKUP(Table1[[#This Row],[Cost Center Code]],'Cost Center Group'!A:B,2,FALSE)</f>
        <v>Information Technology/ANKABUT</v>
      </c>
      <c r="D380" s="4">
        <v>847</v>
      </c>
      <c r="E380" s="79">
        <v>8470810</v>
      </c>
      <c r="F380" s="32" t="s">
        <v>200</v>
      </c>
      <c r="G380" s="4">
        <v>1</v>
      </c>
      <c r="H380" s="95">
        <v>427850</v>
      </c>
      <c r="I380" s="106" t="str">
        <f>IFERROR(VLOOKUP(Table1[[#This Row],[Account Code]],'Accoount Code Combination'!$D:$H,2,FALSE),"")</f>
        <v>Data Transmission charges</v>
      </c>
      <c r="J380" s="79">
        <v>8470810</v>
      </c>
      <c r="K380" s="4"/>
      <c r="L380" s="4" t="str">
        <f>IFERROR(VLOOKUP(Table1[[#This Row],[Future-1 Description]],'Other '!E368:$F377,2,FALSE),"")</f>
        <v/>
      </c>
      <c r="M380" s="32"/>
      <c r="N380" s="32"/>
      <c r="O380" s="32"/>
      <c r="P380" s="49">
        <v>6146326.8899999997</v>
      </c>
      <c r="Q380" s="49">
        <v>2112872</v>
      </c>
      <c r="R380" s="32"/>
      <c r="S380" s="4"/>
      <c r="T380" s="32"/>
      <c r="U380" s="32"/>
      <c r="V380" s="32"/>
      <c r="W380" s="32"/>
      <c r="X380" s="33"/>
      <c r="Y380" s="33"/>
      <c r="Z380" s="31">
        <f>Table1[[#This Row],[Quantity of measruing units]]*Table1[[#This Row],[Rate (expected)]]</f>
        <v>0</v>
      </c>
      <c r="AA380" s="31"/>
      <c r="AB380" s="31"/>
      <c r="AC380" s="34">
        <f>Table1[[#This Row],[Quantity (expected)]]*Table1[[#This Row],[Rate (expected)2]]*0.9</f>
        <v>0</v>
      </c>
      <c r="AD380" s="34">
        <f>Table1[[#This Row],[Quantity (expected)]]*Table1[[#This Row],[Rate (expected)2]]*0.8</f>
        <v>0</v>
      </c>
      <c r="AE380" s="34">
        <f>Table1[[#This Row],[Quantity (expected)]]*Table1[[#This Row],[Rate (expected)2]]*0.7</f>
        <v>0</v>
      </c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1">
        <f>SUM(Table1[[#This Row],[Jan-23]:[Dec-23]])</f>
        <v>0</v>
      </c>
      <c r="AV380" s="105"/>
      <c r="AW380" s="32"/>
      <c r="AX380" s="35"/>
    </row>
    <row r="381" spans="1:50" x14ac:dyDescent="0.3">
      <c r="A381" s="30" t="str">
        <f>VLOOKUP(H381,'Accoount Code Combination'!$D:$L,8,FALSE)</f>
        <v xml:space="preserve">Academic </v>
      </c>
      <c r="B381" s="31" t="str">
        <f>VLOOKUP(Table1[[#This Row],[Account Code]],'Accoount Code Combination'!$D:$L,9,FALSE)</f>
        <v>No Applicable</v>
      </c>
      <c r="C381" s="4" t="str">
        <f>VLOOKUP(Table1[[#This Row],[Cost Center Code]],'Cost Center Group'!A:B,2,FALSE)</f>
        <v>Information Technology/ANKABUT</v>
      </c>
      <c r="D381" s="4">
        <v>847</v>
      </c>
      <c r="E381" s="79">
        <v>8470810</v>
      </c>
      <c r="F381" s="32" t="s">
        <v>200</v>
      </c>
      <c r="G381" s="4">
        <v>1</v>
      </c>
      <c r="H381" s="95">
        <v>428090</v>
      </c>
      <c r="I381" s="106" t="str">
        <f>IFERROR(VLOOKUP(Table1[[#This Row],[Account Code]],'Accoount Code Combination'!$D:$H,2,FALSE),"")</f>
        <v>Business Travel - Combined expenses</v>
      </c>
      <c r="J381" s="79">
        <v>8470810</v>
      </c>
      <c r="K381" s="4"/>
      <c r="L381" s="4" t="str">
        <f>IFERROR(VLOOKUP(Table1[[#This Row],[Future-1 Description]],'Other '!E369:$F378,2,FALSE),"")</f>
        <v/>
      </c>
      <c r="M381" s="32"/>
      <c r="N381" s="32"/>
      <c r="O381" s="32"/>
      <c r="P381" s="49">
        <v>11500</v>
      </c>
      <c r="Q381" s="49">
        <v>11500</v>
      </c>
      <c r="R381" s="32"/>
      <c r="S381" s="4"/>
      <c r="T381" s="32"/>
      <c r="U381" s="32"/>
      <c r="V381" s="32"/>
      <c r="W381" s="32"/>
      <c r="X381" s="33"/>
      <c r="Y381" s="33"/>
      <c r="Z381" s="31">
        <f>Table1[[#This Row],[Quantity of measruing units]]*Table1[[#This Row],[Rate (expected)]]</f>
        <v>0</v>
      </c>
      <c r="AA381" s="31"/>
      <c r="AB381" s="31"/>
      <c r="AC381" s="34">
        <f>Table1[[#This Row],[Quantity (expected)]]*Table1[[#This Row],[Rate (expected)2]]*0.9</f>
        <v>0</v>
      </c>
      <c r="AD381" s="34">
        <f>Table1[[#This Row],[Quantity (expected)]]*Table1[[#This Row],[Rate (expected)2]]*0.8</f>
        <v>0</v>
      </c>
      <c r="AE381" s="34">
        <f>Table1[[#This Row],[Quantity (expected)]]*Table1[[#This Row],[Rate (expected)2]]*0.7</f>
        <v>0</v>
      </c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1">
        <f>SUM(Table1[[#This Row],[Jan-23]:[Dec-23]])</f>
        <v>0</v>
      </c>
      <c r="AV381" s="105"/>
      <c r="AW381" s="32"/>
      <c r="AX381" s="35"/>
    </row>
    <row r="382" spans="1:50" x14ac:dyDescent="0.3">
      <c r="A382" s="30" t="str">
        <f>VLOOKUP(H382,'Accoount Code Combination'!$D:$L,8,FALSE)</f>
        <v>IT</v>
      </c>
      <c r="B382" s="31" t="str">
        <f>VLOOKUP(Table1[[#This Row],[Account Code]],'Accoount Code Combination'!$D:$L,9,FALSE)</f>
        <v>Coper lease</v>
      </c>
      <c r="C382" s="4" t="str">
        <f>VLOOKUP(Table1[[#This Row],[Cost Center Code]],'Cost Center Group'!A:B,2,FALSE)</f>
        <v>Information Technology/ANKABUT</v>
      </c>
      <c r="D382" s="4">
        <v>847</v>
      </c>
      <c r="E382" s="79">
        <v>8470810</v>
      </c>
      <c r="F382" s="32" t="s">
        <v>200</v>
      </c>
      <c r="G382" s="4">
        <v>1</v>
      </c>
      <c r="H382" s="95">
        <v>430230</v>
      </c>
      <c r="I382" s="106" t="str">
        <f>IFERROR(VLOOKUP(Table1[[#This Row],[Account Code]],'Accoount Code Combination'!$D:$H,2,FALSE),"")</f>
        <v>Rental - Equipment</v>
      </c>
      <c r="J382" s="79">
        <v>8470810</v>
      </c>
      <c r="K382" s="4"/>
      <c r="L382" s="4" t="str">
        <f>IFERROR(VLOOKUP(Table1[[#This Row],[Future-1 Description]],'Other '!E370:$F379,2,FALSE),"")</f>
        <v/>
      </c>
      <c r="M382" s="32"/>
      <c r="N382" s="32"/>
      <c r="O382" s="32"/>
      <c r="P382" s="49">
        <v>1425417.5</v>
      </c>
      <c r="Q382" s="49">
        <v>2044000</v>
      </c>
      <c r="R382" s="32"/>
      <c r="S382" s="4"/>
      <c r="T382" s="32"/>
      <c r="U382" s="32"/>
      <c r="V382" s="32"/>
      <c r="W382" s="32"/>
      <c r="X382" s="33"/>
      <c r="Y382" s="33"/>
      <c r="Z382" s="31">
        <f>Table1[[#This Row],[Quantity of measruing units]]*Table1[[#This Row],[Rate (expected)]]</f>
        <v>0</v>
      </c>
      <c r="AA382" s="31"/>
      <c r="AB382" s="31"/>
      <c r="AC382" s="34">
        <f>Table1[[#This Row],[Quantity (expected)]]*Table1[[#This Row],[Rate (expected)2]]*0.9</f>
        <v>0</v>
      </c>
      <c r="AD382" s="34">
        <f>Table1[[#This Row],[Quantity (expected)]]*Table1[[#This Row],[Rate (expected)2]]*0.8</f>
        <v>0</v>
      </c>
      <c r="AE382" s="34">
        <f>Table1[[#This Row],[Quantity (expected)]]*Table1[[#This Row],[Rate (expected)2]]*0.7</f>
        <v>0</v>
      </c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1">
        <f>SUM(Table1[[#This Row],[Jan-23]:[Dec-23]])</f>
        <v>0</v>
      </c>
      <c r="AV382" s="105"/>
      <c r="AW382" s="32"/>
      <c r="AX382" s="35"/>
    </row>
    <row r="383" spans="1:50" x14ac:dyDescent="0.3">
      <c r="A383" s="30" t="str">
        <f>VLOOKUP(H383,'Accoount Code Combination'!$D:$L,8,FALSE)</f>
        <v>IT</v>
      </c>
      <c r="B383" s="31" t="str">
        <f>VLOOKUP(Table1[[#This Row],[Account Code]],'Accoount Code Combination'!$D:$L,9,FALSE)</f>
        <v>Computer Maintenance</v>
      </c>
      <c r="C383" s="4" t="str">
        <f>VLOOKUP(Table1[[#This Row],[Cost Center Code]],'Cost Center Group'!A:B,2,FALSE)</f>
        <v>Information Technology/ANKABUT</v>
      </c>
      <c r="D383" s="4">
        <v>847</v>
      </c>
      <c r="E383" s="79">
        <v>8470810</v>
      </c>
      <c r="F383" s="32" t="s">
        <v>200</v>
      </c>
      <c r="G383" s="4">
        <v>1</v>
      </c>
      <c r="H383" s="95">
        <v>432205</v>
      </c>
      <c r="I383" s="106" t="str">
        <f>IFERROR(VLOOKUP(Table1[[#This Row],[Account Code]],'Accoount Code Combination'!$D:$H,2,FALSE),"")</f>
        <v>Computers and peripherals</v>
      </c>
      <c r="J383" s="79">
        <v>8470810</v>
      </c>
      <c r="K383" s="4"/>
      <c r="L383" s="4" t="str">
        <f>IFERROR(VLOOKUP(Table1[[#This Row],[Future-1 Description]],'Other '!E371:$F380,2,FALSE),"")</f>
        <v/>
      </c>
      <c r="M383" s="32"/>
      <c r="N383" s="32"/>
      <c r="O383" s="32"/>
      <c r="P383" s="49">
        <v>16771028.85</v>
      </c>
      <c r="Q383" s="49">
        <v>14436370</v>
      </c>
      <c r="R383" s="32"/>
      <c r="S383" s="4"/>
      <c r="T383" s="32"/>
      <c r="U383" s="32"/>
      <c r="V383" s="32"/>
      <c r="W383" s="32"/>
      <c r="X383" s="33"/>
      <c r="Y383" s="33"/>
      <c r="Z383" s="31">
        <f>Table1[[#This Row],[Quantity of measruing units]]*Table1[[#This Row],[Rate (expected)]]</f>
        <v>0</v>
      </c>
      <c r="AA383" s="31"/>
      <c r="AB383" s="31"/>
      <c r="AC383" s="34">
        <f>Table1[[#This Row],[Quantity (expected)]]*Table1[[#This Row],[Rate (expected)2]]*0.9</f>
        <v>0</v>
      </c>
      <c r="AD383" s="34">
        <f>Table1[[#This Row],[Quantity (expected)]]*Table1[[#This Row],[Rate (expected)2]]*0.8</f>
        <v>0</v>
      </c>
      <c r="AE383" s="34">
        <f>Table1[[#This Row],[Quantity (expected)]]*Table1[[#This Row],[Rate (expected)2]]*0.7</f>
        <v>0</v>
      </c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1">
        <f>SUM(Table1[[#This Row],[Jan-23]:[Dec-23]])</f>
        <v>0</v>
      </c>
      <c r="AV383" s="105"/>
      <c r="AW383" s="32"/>
      <c r="AX383" s="35"/>
    </row>
    <row r="384" spans="1:50" x14ac:dyDescent="0.3">
      <c r="A384" s="30" t="str">
        <f>VLOOKUP(H384,'Accoount Code Combination'!$D:$L,8,FALSE)</f>
        <v>Other support</v>
      </c>
      <c r="B384" s="31" t="str">
        <f>VLOOKUP(Table1[[#This Row],[Account Code]],'Accoount Code Combination'!$D:$L,9,FALSE)</f>
        <v>No Applicable</v>
      </c>
      <c r="C384" s="4" t="str">
        <f>VLOOKUP(Table1[[#This Row],[Cost Center Code]],'Cost Center Group'!A:B,2,FALSE)</f>
        <v>Information Technology/ANKABUT</v>
      </c>
      <c r="D384" s="4">
        <v>847</v>
      </c>
      <c r="E384" s="79">
        <v>8470810</v>
      </c>
      <c r="F384" s="32" t="s">
        <v>200</v>
      </c>
      <c r="G384" s="4">
        <v>1</v>
      </c>
      <c r="H384" s="95">
        <v>436120</v>
      </c>
      <c r="I384" s="106" t="str">
        <f>IFERROR(VLOOKUP(Table1[[#This Row],[Account Code]],'Accoount Code Combination'!$D:$H,2,FALSE),"")</f>
        <v>Stationery</v>
      </c>
      <c r="J384" s="79">
        <v>8470810</v>
      </c>
      <c r="K384" s="4"/>
      <c r="L384" s="4" t="str">
        <f>IFERROR(VLOOKUP(Table1[[#This Row],[Future-1 Description]],'Other '!E372:$F381,2,FALSE),"")</f>
        <v/>
      </c>
      <c r="M384" s="32"/>
      <c r="N384" s="32"/>
      <c r="O384" s="32"/>
      <c r="P384" s="49">
        <v>0</v>
      </c>
      <c r="Q384" s="49">
        <v>0</v>
      </c>
      <c r="R384" s="32"/>
      <c r="S384" s="4"/>
      <c r="T384" s="32"/>
      <c r="U384" s="32"/>
      <c r="V384" s="32"/>
      <c r="W384" s="32"/>
      <c r="X384" s="33"/>
      <c r="Y384" s="33"/>
      <c r="Z384" s="31">
        <f>Table1[[#This Row],[Quantity of measruing units]]*Table1[[#This Row],[Rate (expected)]]</f>
        <v>0</v>
      </c>
      <c r="AA384" s="31"/>
      <c r="AB384" s="31"/>
      <c r="AC384" s="34">
        <f>Table1[[#This Row],[Quantity (expected)]]*Table1[[#This Row],[Rate (expected)2]]*0.9</f>
        <v>0</v>
      </c>
      <c r="AD384" s="34">
        <f>Table1[[#This Row],[Quantity (expected)]]*Table1[[#This Row],[Rate (expected)2]]*0.8</f>
        <v>0</v>
      </c>
      <c r="AE384" s="34">
        <f>Table1[[#This Row],[Quantity (expected)]]*Table1[[#This Row],[Rate (expected)2]]*0.7</f>
        <v>0</v>
      </c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1">
        <f>SUM(Table1[[#This Row],[Jan-23]:[Dec-23]])</f>
        <v>0</v>
      </c>
      <c r="AV384" s="105"/>
      <c r="AW384" s="32"/>
      <c r="AX384" s="35"/>
    </row>
    <row r="385" spans="1:50" x14ac:dyDescent="0.3">
      <c r="A385" s="30">
        <f>VLOOKUP(H385,'Accoount Code Combination'!$D:$L,8,FALSE)</f>
        <v>0</v>
      </c>
      <c r="B385" s="31" t="str">
        <f>VLOOKUP(Table1[[#This Row],[Account Code]],'Accoount Code Combination'!$D:$L,9,FALSE)</f>
        <v>No Applicable</v>
      </c>
      <c r="C385" s="4" t="str">
        <f>VLOOKUP(Table1[[#This Row],[Cost Center Code]],'Cost Center Group'!A:B,2,FALSE)</f>
        <v>Information Technology/ANKABUT</v>
      </c>
      <c r="D385" s="4">
        <v>847</v>
      </c>
      <c r="E385" s="79">
        <v>8470810</v>
      </c>
      <c r="F385" s="32" t="s">
        <v>200</v>
      </c>
      <c r="G385" s="4">
        <v>1</v>
      </c>
      <c r="H385" s="95">
        <v>492310</v>
      </c>
      <c r="I385" s="106" t="str">
        <f>IFERROR(VLOOKUP(Table1[[#This Row],[Account Code]],'Accoount Code Combination'!$D:$H,2,FALSE),"")</f>
        <v>Hardware &amp; peripherals</v>
      </c>
      <c r="J385" s="79">
        <v>8470810</v>
      </c>
      <c r="K385" s="4"/>
      <c r="L385" s="4" t="str">
        <f>IFERROR(VLOOKUP(Table1[[#This Row],[Future-1 Description]],'Other '!E373:$F382,2,FALSE),"")</f>
        <v/>
      </c>
      <c r="M385" s="32"/>
      <c r="N385" s="32"/>
      <c r="O385" s="32"/>
      <c r="P385" s="49">
        <v>6308293.3799999999</v>
      </c>
      <c r="Q385" s="49">
        <v>3472296</v>
      </c>
      <c r="R385" s="32"/>
      <c r="S385" s="4"/>
      <c r="T385" s="32"/>
      <c r="U385" s="32"/>
      <c r="V385" s="32"/>
      <c r="W385" s="32"/>
      <c r="X385" s="33"/>
      <c r="Y385" s="33"/>
      <c r="Z385" s="31">
        <f>Table1[[#This Row],[Quantity of measruing units]]*Table1[[#This Row],[Rate (expected)]]</f>
        <v>0</v>
      </c>
      <c r="AA385" s="31"/>
      <c r="AB385" s="31"/>
      <c r="AC385" s="34">
        <f>Table1[[#This Row],[Quantity (expected)]]*Table1[[#This Row],[Rate (expected)2]]*0.9</f>
        <v>0</v>
      </c>
      <c r="AD385" s="34">
        <f>Table1[[#This Row],[Quantity (expected)]]*Table1[[#This Row],[Rate (expected)2]]*0.8</f>
        <v>0</v>
      </c>
      <c r="AE385" s="34">
        <f>Table1[[#This Row],[Quantity (expected)]]*Table1[[#This Row],[Rate (expected)2]]*0.7</f>
        <v>0</v>
      </c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1">
        <f>SUM(Table1[[#This Row],[Jan-23]:[Dec-23]])</f>
        <v>0</v>
      </c>
      <c r="AV385" s="105"/>
      <c r="AW385" s="32"/>
      <c r="AX385" s="35"/>
    </row>
    <row r="386" spans="1:50" x14ac:dyDescent="0.3">
      <c r="A386" s="30">
        <f>VLOOKUP(H386,'Accoount Code Combination'!$D:$L,8,FALSE)</f>
        <v>0</v>
      </c>
      <c r="B386" s="31" t="str">
        <f>VLOOKUP(Table1[[#This Row],[Account Code]],'Accoount Code Combination'!$D:$L,9,FALSE)</f>
        <v>No Applicable</v>
      </c>
      <c r="C386" s="4" t="str">
        <f>VLOOKUP(Table1[[#This Row],[Cost Center Code]],'Cost Center Group'!A:B,2,FALSE)</f>
        <v>Information Technology/ANKABUT</v>
      </c>
      <c r="D386" s="4">
        <v>847</v>
      </c>
      <c r="E386" s="79">
        <v>8470810</v>
      </c>
      <c r="F386" s="32" t="s">
        <v>200</v>
      </c>
      <c r="G386" s="4">
        <v>1</v>
      </c>
      <c r="H386" s="95">
        <v>492316</v>
      </c>
      <c r="I386" s="106" t="str">
        <f>IFERROR(VLOOKUP(Table1[[#This Row],[Account Code]],'Accoount Code Combination'!$D:$H,2,FALSE),"")</f>
        <v>Laboratory equipment</v>
      </c>
      <c r="J386" s="79">
        <v>8470810</v>
      </c>
      <c r="K386" s="4"/>
      <c r="L386" s="4" t="str">
        <f>IFERROR(VLOOKUP(Table1[[#This Row],[Future-1 Description]],'Other '!E374:$F383,2,FALSE),"")</f>
        <v/>
      </c>
      <c r="M386" s="32"/>
      <c r="N386" s="32"/>
      <c r="O386" s="32"/>
      <c r="P386" s="49">
        <v>-380451</v>
      </c>
      <c r="Q386" s="49">
        <v>0</v>
      </c>
      <c r="R386" s="32"/>
      <c r="S386" s="4"/>
      <c r="T386" s="32"/>
      <c r="U386" s="32"/>
      <c r="V386" s="32"/>
      <c r="W386" s="32"/>
      <c r="X386" s="33"/>
      <c r="Y386" s="33"/>
      <c r="Z386" s="31">
        <f>Table1[[#This Row],[Quantity of measruing units]]*Table1[[#This Row],[Rate (expected)]]</f>
        <v>0</v>
      </c>
      <c r="AA386" s="31"/>
      <c r="AB386" s="31"/>
      <c r="AC386" s="34">
        <f>Table1[[#This Row],[Quantity (expected)]]*Table1[[#This Row],[Rate (expected)2]]*0.9</f>
        <v>0</v>
      </c>
      <c r="AD386" s="34">
        <f>Table1[[#This Row],[Quantity (expected)]]*Table1[[#This Row],[Rate (expected)2]]*0.8</f>
        <v>0</v>
      </c>
      <c r="AE386" s="34">
        <f>Table1[[#This Row],[Quantity (expected)]]*Table1[[#This Row],[Rate (expected)2]]*0.7</f>
        <v>0</v>
      </c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1">
        <f>SUM(Table1[[#This Row],[Jan-23]:[Dec-23]])</f>
        <v>0</v>
      </c>
      <c r="AV386" s="105"/>
      <c r="AW386" s="32"/>
      <c r="AX386" s="35"/>
    </row>
    <row r="387" spans="1:50" x14ac:dyDescent="0.3">
      <c r="A387" s="30">
        <f>VLOOKUP(H387,'Accoount Code Combination'!$D:$L,8,FALSE)</f>
        <v>0</v>
      </c>
      <c r="B387" s="31" t="str">
        <f>VLOOKUP(Table1[[#This Row],[Account Code]],'Accoount Code Combination'!$D:$L,9,FALSE)</f>
        <v>No Applicable</v>
      </c>
      <c r="C387" s="4" t="str">
        <f>VLOOKUP(Table1[[#This Row],[Cost Center Code]],'Cost Center Group'!A:B,2,FALSE)</f>
        <v>Information Technology/ANKABUT</v>
      </c>
      <c r="D387" s="4">
        <v>847</v>
      </c>
      <c r="E387" s="79">
        <v>8470810</v>
      </c>
      <c r="F387" s="32" t="s">
        <v>200</v>
      </c>
      <c r="G387" s="4">
        <v>1</v>
      </c>
      <c r="H387" s="95">
        <v>495110</v>
      </c>
      <c r="I387" s="106" t="str">
        <f>IFERROR(VLOOKUP(Table1[[#This Row],[Account Code]],'Accoount Code Combination'!$D:$H,2,FALSE),"")</f>
        <v>Computer software</v>
      </c>
      <c r="J387" s="79">
        <v>8470810</v>
      </c>
      <c r="K387" s="4"/>
      <c r="L387" s="4" t="str">
        <f>IFERROR(VLOOKUP(Table1[[#This Row],[Future-1 Description]],'Other '!E375:$F384,2,FALSE),"")</f>
        <v/>
      </c>
      <c r="M387" s="32"/>
      <c r="N387" s="32"/>
      <c r="O387" s="32"/>
      <c r="P387" s="49">
        <v>0</v>
      </c>
      <c r="Q387" s="49">
        <v>800000</v>
      </c>
      <c r="R387" s="32"/>
      <c r="S387" s="4"/>
      <c r="T387" s="32"/>
      <c r="U387" s="32"/>
      <c r="V387" s="32"/>
      <c r="W387" s="32"/>
      <c r="X387" s="33"/>
      <c r="Y387" s="33"/>
      <c r="Z387" s="31">
        <f>Table1[[#This Row],[Quantity of measruing units]]*Table1[[#This Row],[Rate (expected)]]</f>
        <v>0</v>
      </c>
      <c r="AA387" s="31"/>
      <c r="AB387" s="31"/>
      <c r="AC387" s="34">
        <f>Table1[[#This Row],[Quantity (expected)]]*Table1[[#This Row],[Rate (expected)2]]*0.9</f>
        <v>0</v>
      </c>
      <c r="AD387" s="34">
        <f>Table1[[#This Row],[Quantity (expected)]]*Table1[[#This Row],[Rate (expected)2]]*0.8</f>
        <v>0</v>
      </c>
      <c r="AE387" s="34">
        <f>Table1[[#This Row],[Quantity (expected)]]*Table1[[#This Row],[Rate (expected)2]]*0.7</f>
        <v>0</v>
      </c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1">
        <f>SUM(Table1[[#This Row],[Jan-23]:[Dec-23]])</f>
        <v>0</v>
      </c>
      <c r="AV387" s="105"/>
      <c r="AW387" s="32"/>
      <c r="AX387" s="35"/>
    </row>
    <row r="388" spans="1:50" x14ac:dyDescent="0.3">
      <c r="A388" s="30" t="str">
        <f>VLOOKUP(H388,'Accoount Code Combination'!$D:$L,8,FALSE)</f>
        <v>IT</v>
      </c>
      <c r="B388" s="31" t="str">
        <f>VLOOKUP(Table1[[#This Row],[Account Code]],'Accoount Code Combination'!$D:$L,9,FALSE)</f>
        <v>Computer Maintenance</v>
      </c>
      <c r="C388" s="4" t="str">
        <f>VLOOKUP(Table1[[#This Row],[Cost Center Code]],'Cost Center Group'!A:B,2,FALSE)</f>
        <v>Executive Vice President Office</v>
      </c>
      <c r="D388" s="4">
        <v>847</v>
      </c>
      <c r="E388" s="79">
        <v>8470910</v>
      </c>
      <c r="F388" s="32" t="s">
        <v>210</v>
      </c>
      <c r="G388" s="4">
        <v>1</v>
      </c>
      <c r="H388" s="95">
        <v>432205</v>
      </c>
      <c r="I388" s="106" t="str">
        <f>IFERROR(VLOOKUP(Table1[[#This Row],[Account Code]],'Accoount Code Combination'!$D:$H,2,FALSE),"")</f>
        <v>Computers and peripherals</v>
      </c>
      <c r="J388" s="79">
        <v>8470910</v>
      </c>
      <c r="K388" s="4"/>
      <c r="L388" s="4" t="str">
        <f>IFERROR(VLOOKUP(Table1[[#This Row],[Future-1 Description]],'Other '!E376:$F385,2,FALSE),"")</f>
        <v/>
      </c>
      <c r="M388" s="32"/>
      <c r="N388" s="32"/>
      <c r="O388" s="32"/>
      <c r="P388" s="49">
        <v>0</v>
      </c>
      <c r="Q388" s="49">
        <v>0</v>
      </c>
      <c r="R388" s="32"/>
      <c r="S388" s="4"/>
      <c r="T388" s="32"/>
      <c r="U388" s="32"/>
      <c r="V388" s="32"/>
      <c r="W388" s="32"/>
      <c r="X388" s="33"/>
      <c r="Y388" s="33"/>
      <c r="Z388" s="31">
        <f>Table1[[#This Row],[Quantity of measruing units]]*Table1[[#This Row],[Rate (expected)]]</f>
        <v>0</v>
      </c>
      <c r="AA388" s="31"/>
      <c r="AB388" s="31"/>
      <c r="AC388" s="34">
        <f>Table1[[#This Row],[Quantity (expected)]]*Table1[[#This Row],[Rate (expected)2]]*0.9</f>
        <v>0</v>
      </c>
      <c r="AD388" s="34">
        <f>Table1[[#This Row],[Quantity (expected)]]*Table1[[#This Row],[Rate (expected)2]]*0.8</f>
        <v>0</v>
      </c>
      <c r="AE388" s="34">
        <f>Table1[[#This Row],[Quantity (expected)]]*Table1[[#This Row],[Rate (expected)2]]*0.7</f>
        <v>0</v>
      </c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1">
        <f>SUM(Table1[[#This Row],[Jan-23]:[Dec-23]])</f>
        <v>0</v>
      </c>
      <c r="AV388" s="105"/>
      <c r="AW388" s="32"/>
      <c r="AX388" s="35"/>
    </row>
    <row r="389" spans="1:50" x14ac:dyDescent="0.3">
      <c r="A389" s="30">
        <f>VLOOKUP(H389,'Accoount Code Combination'!$D:$L,8,FALSE)</f>
        <v>0</v>
      </c>
      <c r="B389" s="31" t="str">
        <f>VLOOKUP(Table1[[#This Row],[Account Code]],'Accoount Code Combination'!$D:$L,9,FALSE)</f>
        <v>No Applicable</v>
      </c>
      <c r="C389" s="4" t="str">
        <f>VLOOKUP(Table1[[#This Row],[Cost Center Code]],'Cost Center Group'!A:B,2,FALSE)</f>
        <v>Executive Vice President Office</v>
      </c>
      <c r="D389" s="4">
        <v>847</v>
      </c>
      <c r="E389" s="79">
        <v>8470910</v>
      </c>
      <c r="F389" s="32" t="s">
        <v>210</v>
      </c>
      <c r="G389" s="4">
        <v>1</v>
      </c>
      <c r="H389" s="95">
        <v>492316</v>
      </c>
      <c r="I389" s="106" t="str">
        <f>IFERROR(VLOOKUP(Table1[[#This Row],[Account Code]],'Accoount Code Combination'!$D:$H,2,FALSE),"")</f>
        <v>Laboratory equipment</v>
      </c>
      <c r="J389" s="79">
        <v>8470910</v>
      </c>
      <c r="K389" s="4"/>
      <c r="L389" s="4" t="str">
        <f>IFERROR(VLOOKUP(Table1[[#This Row],[Future-1 Description]],'Other '!E377:$F386,2,FALSE),"")</f>
        <v/>
      </c>
      <c r="M389" s="32"/>
      <c r="N389" s="32"/>
      <c r="O389" s="32"/>
      <c r="P389" s="49">
        <v>0</v>
      </c>
      <c r="Q389" s="49">
        <v>0</v>
      </c>
      <c r="R389" s="32"/>
      <c r="S389" s="4"/>
      <c r="T389" s="32"/>
      <c r="U389" s="32"/>
      <c r="V389" s="32"/>
      <c r="W389" s="32"/>
      <c r="X389" s="33"/>
      <c r="Y389" s="33"/>
      <c r="Z389" s="31">
        <f>Table1[[#This Row],[Quantity of measruing units]]*Table1[[#This Row],[Rate (expected)]]</f>
        <v>0</v>
      </c>
      <c r="AA389" s="31"/>
      <c r="AB389" s="31"/>
      <c r="AC389" s="34">
        <f>Table1[[#This Row],[Quantity (expected)]]*Table1[[#This Row],[Rate (expected)2]]*0.9</f>
        <v>0</v>
      </c>
      <c r="AD389" s="34">
        <f>Table1[[#This Row],[Quantity (expected)]]*Table1[[#This Row],[Rate (expected)2]]*0.8</f>
        <v>0</v>
      </c>
      <c r="AE389" s="34">
        <f>Table1[[#This Row],[Quantity (expected)]]*Table1[[#This Row],[Rate (expected)2]]*0.7</f>
        <v>0</v>
      </c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1">
        <f>SUM(Table1[[#This Row],[Jan-23]:[Dec-23]])</f>
        <v>0</v>
      </c>
      <c r="AV389" s="105"/>
      <c r="AW389" s="32"/>
      <c r="AX389" s="35"/>
    </row>
    <row r="390" spans="1:50" x14ac:dyDescent="0.3">
      <c r="A390" s="30" t="str">
        <f>VLOOKUP(H390,'Accoount Code Combination'!$D:$L,8,FALSE)</f>
        <v>Other support</v>
      </c>
      <c r="B390" s="31" t="str">
        <f>VLOOKUP(Table1[[#This Row],[Account Code]],'Accoount Code Combination'!$D:$L,9,FALSE)</f>
        <v>No Applicable</v>
      </c>
      <c r="C390" s="4" t="str">
        <f>VLOOKUP(Table1[[#This Row],[Cost Center Code]],'Cost Center Group'!A:B,2,FALSE)</f>
        <v>Senior Vice President, Research Office</v>
      </c>
      <c r="D390" s="4">
        <v>847</v>
      </c>
      <c r="E390" s="79">
        <v>8471110</v>
      </c>
      <c r="F390" s="32" t="s">
        <v>227</v>
      </c>
      <c r="G390" s="4">
        <v>1</v>
      </c>
      <c r="H390" s="95">
        <v>425900</v>
      </c>
      <c r="I390" s="106" t="str">
        <f>IFERROR(VLOOKUP(Table1[[#This Row],[Account Code]],'Accoount Code Combination'!$D:$H,2,FALSE),"")</f>
        <v>Entertainment and hospitality</v>
      </c>
      <c r="J390" s="79">
        <v>8471110</v>
      </c>
      <c r="K390" s="4"/>
      <c r="L390" s="4" t="str">
        <f>IFERROR(VLOOKUP(Table1[[#This Row],[Future-1 Description]],'Other '!E378:$F387,2,FALSE),"")</f>
        <v/>
      </c>
      <c r="M390" s="32"/>
      <c r="N390" s="32"/>
      <c r="O390" s="32"/>
      <c r="P390" s="49">
        <v>12495</v>
      </c>
      <c r="Q390" s="49">
        <v>0</v>
      </c>
      <c r="R390" s="32"/>
      <c r="S390" s="4"/>
      <c r="T390" s="32"/>
      <c r="U390" s="32"/>
      <c r="V390" s="32"/>
      <c r="W390" s="32"/>
      <c r="X390" s="33"/>
      <c r="Y390" s="33"/>
      <c r="Z390" s="31">
        <f>Table1[[#This Row],[Quantity of measruing units]]*Table1[[#This Row],[Rate (expected)]]</f>
        <v>0</v>
      </c>
      <c r="AA390" s="31"/>
      <c r="AB390" s="31"/>
      <c r="AC390" s="34">
        <f>Table1[[#This Row],[Quantity (expected)]]*Table1[[#This Row],[Rate (expected)2]]*0.9</f>
        <v>0</v>
      </c>
      <c r="AD390" s="34">
        <f>Table1[[#This Row],[Quantity (expected)]]*Table1[[#This Row],[Rate (expected)2]]*0.8</f>
        <v>0</v>
      </c>
      <c r="AE390" s="34">
        <f>Table1[[#This Row],[Quantity (expected)]]*Table1[[#This Row],[Rate (expected)2]]*0.7</f>
        <v>0</v>
      </c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1">
        <f>SUM(Table1[[#This Row],[Jan-23]:[Dec-23]])</f>
        <v>0</v>
      </c>
      <c r="AV390" s="105"/>
      <c r="AW390" s="32"/>
      <c r="AX390" s="35"/>
    </row>
    <row r="391" spans="1:50" ht="26" x14ac:dyDescent="0.3">
      <c r="A391" s="30" t="str">
        <f>VLOOKUP(H391,'Accoount Code Combination'!$D:$L,8,FALSE)</f>
        <v>Academic</v>
      </c>
      <c r="B391" s="31" t="str">
        <f>VLOOKUP(Table1[[#This Row],[Account Code]],'Accoount Code Combination'!$D:$L,9,FALSE)</f>
        <v>No Applicable</v>
      </c>
      <c r="C391" s="4" t="str">
        <f>VLOOKUP(Table1[[#This Row],[Cost Center Code]],'Cost Center Group'!A:B,2,FALSE)</f>
        <v>Senior Vice President, Research Office</v>
      </c>
      <c r="D391" s="4">
        <v>847</v>
      </c>
      <c r="E391" s="79">
        <v>8471110</v>
      </c>
      <c r="F391" s="32" t="s">
        <v>227</v>
      </c>
      <c r="G391" s="4">
        <v>1</v>
      </c>
      <c r="H391" s="95">
        <v>427710</v>
      </c>
      <c r="I391" s="106" t="str">
        <f>IFERROR(VLOOKUP(Table1[[#This Row],[Account Code]],'Accoount Code Combination'!$D:$H,2,FALSE),"")</f>
        <v>Subscriptions and membership fees: Trade organisations</v>
      </c>
      <c r="J391" s="79">
        <v>8471110</v>
      </c>
      <c r="K391" s="4"/>
      <c r="L391" s="4" t="str">
        <f>IFERROR(VLOOKUP(Table1[[#This Row],[Future-1 Description]],'Other '!E379:$F388,2,FALSE),"")</f>
        <v/>
      </c>
      <c r="M391" s="32"/>
      <c r="N391" s="32"/>
      <c r="O391" s="32"/>
      <c r="P391" s="49">
        <v>52891.199999999997</v>
      </c>
      <c r="Q391" s="49">
        <v>0</v>
      </c>
      <c r="R391" s="32"/>
      <c r="S391" s="4"/>
      <c r="T391" s="32"/>
      <c r="U391" s="32"/>
      <c r="V391" s="32"/>
      <c r="W391" s="32"/>
      <c r="X391" s="33"/>
      <c r="Y391" s="33"/>
      <c r="Z391" s="31">
        <f>Table1[[#This Row],[Quantity of measruing units]]*Table1[[#This Row],[Rate (expected)]]</f>
        <v>0</v>
      </c>
      <c r="AA391" s="31"/>
      <c r="AB391" s="31"/>
      <c r="AC391" s="34">
        <f>Table1[[#This Row],[Quantity (expected)]]*Table1[[#This Row],[Rate (expected)2]]*0.9</f>
        <v>0</v>
      </c>
      <c r="AD391" s="34">
        <f>Table1[[#This Row],[Quantity (expected)]]*Table1[[#This Row],[Rate (expected)2]]*0.8</f>
        <v>0</v>
      </c>
      <c r="AE391" s="34">
        <f>Table1[[#This Row],[Quantity (expected)]]*Table1[[#This Row],[Rate (expected)2]]*0.7</f>
        <v>0</v>
      </c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1">
        <f>SUM(Table1[[#This Row],[Jan-23]:[Dec-23]])</f>
        <v>0</v>
      </c>
      <c r="AV391" s="105"/>
      <c r="AW391" s="32"/>
      <c r="AX391" s="35"/>
    </row>
    <row r="392" spans="1:50" x14ac:dyDescent="0.3">
      <c r="A392" s="30" t="str">
        <f>VLOOKUP(H392,'Accoount Code Combination'!$D:$L,8,FALSE)</f>
        <v xml:space="preserve">Academic </v>
      </c>
      <c r="B392" s="31" t="str">
        <f>VLOOKUP(Table1[[#This Row],[Account Code]],'Accoount Code Combination'!$D:$L,9,FALSE)</f>
        <v>No Applicable</v>
      </c>
      <c r="C392" s="4" t="str">
        <f>VLOOKUP(Table1[[#This Row],[Cost Center Code]],'Cost Center Group'!A:B,2,FALSE)</f>
        <v>Senior Vice President, Research Office</v>
      </c>
      <c r="D392" s="4">
        <v>847</v>
      </c>
      <c r="E392" s="79">
        <v>8471110</v>
      </c>
      <c r="F392" s="32" t="s">
        <v>227</v>
      </c>
      <c r="G392" s="4">
        <v>1</v>
      </c>
      <c r="H392" s="95">
        <v>428090</v>
      </c>
      <c r="I392" s="106" t="str">
        <f>IFERROR(VLOOKUP(Table1[[#This Row],[Account Code]],'Accoount Code Combination'!$D:$H,2,FALSE),"")</f>
        <v>Business Travel - Combined expenses</v>
      </c>
      <c r="J392" s="79">
        <v>8471110</v>
      </c>
      <c r="K392" s="4"/>
      <c r="L392" s="4" t="str">
        <f>IFERROR(VLOOKUP(Table1[[#This Row],[Future-1 Description]],'Other '!E380:$F389,2,FALSE),"")</f>
        <v/>
      </c>
      <c r="M392" s="32"/>
      <c r="N392" s="32"/>
      <c r="O392" s="32"/>
      <c r="P392" s="49">
        <v>30378.55</v>
      </c>
      <c r="Q392" s="49">
        <v>0</v>
      </c>
      <c r="R392" s="32"/>
      <c r="S392" s="4"/>
      <c r="T392" s="32"/>
      <c r="U392" s="32"/>
      <c r="V392" s="32"/>
      <c r="W392" s="32"/>
      <c r="X392" s="33"/>
      <c r="Y392" s="33"/>
      <c r="Z392" s="31">
        <f>Table1[[#This Row],[Quantity of measruing units]]*Table1[[#This Row],[Rate (expected)]]</f>
        <v>0</v>
      </c>
      <c r="AA392" s="31"/>
      <c r="AB392" s="31"/>
      <c r="AC392" s="34">
        <f>Table1[[#This Row],[Quantity (expected)]]*Table1[[#This Row],[Rate (expected)2]]*0.9</f>
        <v>0</v>
      </c>
      <c r="AD392" s="34">
        <f>Table1[[#This Row],[Quantity (expected)]]*Table1[[#This Row],[Rate (expected)2]]*0.8</f>
        <v>0</v>
      </c>
      <c r="AE392" s="34">
        <f>Table1[[#This Row],[Quantity (expected)]]*Table1[[#This Row],[Rate (expected)2]]*0.7</f>
        <v>0</v>
      </c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1">
        <f>SUM(Table1[[#This Row],[Jan-23]:[Dec-23]])</f>
        <v>0</v>
      </c>
      <c r="AV392" s="105"/>
      <c r="AW392" s="32"/>
      <c r="AX392" s="35"/>
    </row>
    <row r="393" spans="1:50" x14ac:dyDescent="0.3">
      <c r="A393" s="30">
        <f>VLOOKUP(H393,'Accoount Code Combination'!$D:$L,8,FALSE)</f>
        <v>0</v>
      </c>
      <c r="B393" s="31" t="str">
        <f>VLOOKUP(Table1[[#This Row],[Account Code]],'Accoount Code Combination'!$D:$L,9,FALSE)</f>
        <v>No Applicable</v>
      </c>
      <c r="C393" s="4" t="str">
        <f>VLOOKUP(Table1[[#This Row],[Cost Center Code]],'Cost Center Group'!A:B,2,FALSE)</f>
        <v>Senior Vice President, Research Office</v>
      </c>
      <c r="D393" s="4">
        <v>847</v>
      </c>
      <c r="E393" s="79">
        <v>8471110</v>
      </c>
      <c r="F393" s="32" t="s">
        <v>227</v>
      </c>
      <c r="G393" s="4">
        <v>1</v>
      </c>
      <c r="H393" s="95">
        <v>492316</v>
      </c>
      <c r="I393" s="106" t="str">
        <f>IFERROR(VLOOKUP(Table1[[#This Row],[Account Code]],'Accoount Code Combination'!$D:$H,2,FALSE),"")</f>
        <v>Laboratory equipment</v>
      </c>
      <c r="J393" s="79">
        <v>8471110</v>
      </c>
      <c r="K393" s="4"/>
      <c r="L393" s="4" t="str">
        <f>IFERROR(VLOOKUP(Table1[[#This Row],[Future-1 Description]],'Other '!E381:$F390,2,FALSE),"")</f>
        <v/>
      </c>
      <c r="M393" s="32"/>
      <c r="N393" s="32"/>
      <c r="O393" s="32"/>
      <c r="P393" s="49">
        <v>0</v>
      </c>
      <c r="Q393" s="49">
        <v>0</v>
      </c>
      <c r="R393" s="32"/>
      <c r="S393" s="4"/>
      <c r="T393" s="32"/>
      <c r="U393" s="32"/>
      <c r="V393" s="32"/>
      <c r="W393" s="32"/>
      <c r="X393" s="33"/>
      <c r="Y393" s="33"/>
      <c r="Z393" s="31">
        <f>Table1[[#This Row],[Quantity of measruing units]]*Table1[[#This Row],[Rate (expected)]]</f>
        <v>0</v>
      </c>
      <c r="AA393" s="31"/>
      <c r="AB393" s="31"/>
      <c r="AC393" s="34">
        <f>Table1[[#This Row],[Quantity (expected)]]*Table1[[#This Row],[Rate (expected)2]]*0.9</f>
        <v>0</v>
      </c>
      <c r="AD393" s="34">
        <f>Table1[[#This Row],[Quantity (expected)]]*Table1[[#This Row],[Rate (expected)2]]*0.8</f>
        <v>0</v>
      </c>
      <c r="AE393" s="34">
        <f>Table1[[#This Row],[Quantity (expected)]]*Table1[[#This Row],[Rate (expected)2]]*0.7</f>
        <v>0</v>
      </c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1">
        <f>SUM(Table1[[#This Row],[Jan-23]:[Dec-23]])</f>
        <v>0</v>
      </c>
      <c r="AV393" s="105"/>
      <c r="AW393" s="32"/>
      <c r="AX393" s="35"/>
    </row>
    <row r="394" spans="1:50" x14ac:dyDescent="0.3">
      <c r="A394" s="30" t="str">
        <f>VLOOKUP(H394,'Accoount Code Combination'!$D:$L,8,FALSE)</f>
        <v>Other support</v>
      </c>
      <c r="B394" s="31" t="str">
        <f>VLOOKUP(Table1[[#This Row],[Account Code]],'Accoount Code Combination'!$D:$L,9,FALSE)</f>
        <v>No Applicable</v>
      </c>
      <c r="C394" s="4" t="str">
        <f>VLOOKUP(Table1[[#This Row],[Cost Center Code]],'Cost Center Group'!A:B,2,FALSE)</f>
        <v>Senior Vice President, Research Office</v>
      </c>
      <c r="D394" s="4">
        <v>847</v>
      </c>
      <c r="E394" s="79">
        <v>8471120</v>
      </c>
      <c r="F394" s="32" t="s">
        <v>539</v>
      </c>
      <c r="G394" s="4">
        <v>1</v>
      </c>
      <c r="H394" s="95">
        <v>425900</v>
      </c>
      <c r="I394" s="106" t="str">
        <f>IFERROR(VLOOKUP(Table1[[#This Row],[Account Code]],'Accoount Code Combination'!$D:$H,2,FALSE),"")</f>
        <v>Entertainment and hospitality</v>
      </c>
      <c r="J394" s="79">
        <v>8471120</v>
      </c>
      <c r="K394" s="4"/>
      <c r="L394" s="4" t="str">
        <f>IFERROR(VLOOKUP(Table1[[#This Row],[Future-1 Description]],'Other '!E382:$F391,2,FALSE),"")</f>
        <v/>
      </c>
      <c r="M394" s="32"/>
      <c r="N394" s="32"/>
      <c r="O394" s="32"/>
      <c r="P394" s="49">
        <v>0</v>
      </c>
      <c r="Q394" s="49">
        <v>0</v>
      </c>
      <c r="R394" s="32"/>
      <c r="S394" s="4"/>
      <c r="T394" s="32"/>
      <c r="U394" s="32"/>
      <c r="V394" s="32"/>
      <c r="W394" s="32"/>
      <c r="X394" s="33"/>
      <c r="Y394" s="33"/>
      <c r="Z394" s="31">
        <f>Table1[[#This Row],[Quantity of measruing units]]*Table1[[#This Row],[Rate (expected)]]</f>
        <v>0</v>
      </c>
      <c r="AA394" s="31"/>
      <c r="AB394" s="31"/>
      <c r="AC394" s="34">
        <f>Table1[[#This Row],[Quantity (expected)]]*Table1[[#This Row],[Rate (expected)2]]*0.9</f>
        <v>0</v>
      </c>
      <c r="AD394" s="34">
        <f>Table1[[#This Row],[Quantity (expected)]]*Table1[[#This Row],[Rate (expected)2]]*0.8</f>
        <v>0</v>
      </c>
      <c r="AE394" s="34">
        <f>Table1[[#This Row],[Quantity (expected)]]*Table1[[#This Row],[Rate (expected)2]]*0.7</f>
        <v>0</v>
      </c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1">
        <f>SUM(Table1[[#This Row],[Jan-23]:[Dec-23]])</f>
        <v>0</v>
      </c>
      <c r="AV394" s="105"/>
      <c r="AW394" s="32"/>
      <c r="AX394" s="35"/>
    </row>
    <row r="395" spans="1:50" x14ac:dyDescent="0.3">
      <c r="A395" s="30" t="str">
        <f>VLOOKUP(H395,'Accoount Code Combination'!$D:$L,8,FALSE)</f>
        <v xml:space="preserve">Academic </v>
      </c>
      <c r="B395" s="31" t="str">
        <f>VLOOKUP(Table1[[#This Row],[Account Code]],'Accoount Code Combination'!$D:$L,9,FALSE)</f>
        <v>No Applicable</v>
      </c>
      <c r="C395" s="4" t="str">
        <f>VLOOKUP(Table1[[#This Row],[Cost Center Code]],'Cost Center Group'!A:B,2,FALSE)</f>
        <v>Senior Vice President, Research Office</v>
      </c>
      <c r="D395" s="4">
        <v>847</v>
      </c>
      <c r="E395" s="79">
        <v>8471120</v>
      </c>
      <c r="F395" s="32" t="s">
        <v>539</v>
      </c>
      <c r="G395" s="4">
        <v>1</v>
      </c>
      <c r="H395" s="95">
        <v>428090</v>
      </c>
      <c r="I395" s="106" t="str">
        <f>IFERROR(VLOOKUP(Table1[[#This Row],[Account Code]],'Accoount Code Combination'!$D:$H,2,FALSE),"")</f>
        <v>Business Travel - Combined expenses</v>
      </c>
      <c r="J395" s="79">
        <v>8471120</v>
      </c>
      <c r="K395" s="4"/>
      <c r="L395" s="4" t="str">
        <f>IFERROR(VLOOKUP(Table1[[#This Row],[Future-1 Description]],'Other '!E383:$F392,2,FALSE),"")</f>
        <v/>
      </c>
      <c r="M395" s="32"/>
      <c r="N395" s="32"/>
      <c r="O395" s="32"/>
      <c r="P395" s="49">
        <v>3300</v>
      </c>
      <c r="Q395" s="49">
        <v>0</v>
      </c>
      <c r="R395" s="32"/>
      <c r="S395" s="4"/>
      <c r="T395" s="32"/>
      <c r="U395" s="32"/>
      <c r="V395" s="32"/>
      <c r="W395" s="32"/>
      <c r="X395" s="33"/>
      <c r="Y395" s="33"/>
      <c r="Z395" s="31">
        <f>Table1[[#This Row],[Quantity of measruing units]]*Table1[[#This Row],[Rate (expected)]]</f>
        <v>0</v>
      </c>
      <c r="AA395" s="31"/>
      <c r="AB395" s="31"/>
      <c r="AC395" s="34">
        <f>Table1[[#This Row],[Quantity (expected)]]*Table1[[#This Row],[Rate (expected)2]]*0.9</f>
        <v>0</v>
      </c>
      <c r="AD395" s="34">
        <f>Table1[[#This Row],[Quantity (expected)]]*Table1[[#This Row],[Rate (expected)2]]*0.8</f>
        <v>0</v>
      </c>
      <c r="AE395" s="34">
        <f>Table1[[#This Row],[Quantity (expected)]]*Table1[[#This Row],[Rate (expected)2]]*0.7</f>
        <v>0</v>
      </c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1">
        <f>SUM(Table1[[#This Row],[Jan-23]:[Dec-23]])</f>
        <v>0</v>
      </c>
      <c r="AV395" s="105"/>
      <c r="AW395" s="32"/>
      <c r="AX395" s="35"/>
    </row>
    <row r="396" spans="1:50" ht="26" x14ac:dyDescent="0.3">
      <c r="A396" s="30" t="str">
        <f>VLOOKUP(H396,'Accoount Code Combination'!$D:$L,8,FALSE)</f>
        <v>Other support</v>
      </c>
      <c r="B396" s="31" t="str">
        <f>VLOOKUP(Table1[[#This Row],[Account Code]],'Accoount Code Combination'!$D:$L,9,FALSE)</f>
        <v>No Applicable</v>
      </c>
      <c r="C396" s="4" t="str">
        <f>VLOOKUP(Table1[[#This Row],[Cost Center Code]],'Cost Center Group'!A:B,2,FALSE)</f>
        <v>Senior Vice President, Research Office</v>
      </c>
      <c r="D396" s="4">
        <v>847</v>
      </c>
      <c r="E396" s="79">
        <v>8471120</v>
      </c>
      <c r="F396" s="32" t="s">
        <v>539</v>
      </c>
      <c r="G396" s="4">
        <v>1</v>
      </c>
      <c r="H396" s="95">
        <v>429900</v>
      </c>
      <c r="I396" s="106" t="str">
        <f>IFERROR(VLOOKUP(Table1[[#This Row],[Account Code]],'Accoount Code Combination'!$D:$H,2,FALSE),"")</f>
        <v>Other services, not specifically mentioned elsewhere</v>
      </c>
      <c r="J396" s="79">
        <v>8471120</v>
      </c>
      <c r="K396" s="4"/>
      <c r="L396" s="4" t="str">
        <f>IFERROR(VLOOKUP(Table1[[#This Row],[Future-1 Description]],'Other '!E384:$F393,2,FALSE),"")</f>
        <v/>
      </c>
      <c r="M396" s="32"/>
      <c r="N396" s="32"/>
      <c r="O396" s="32"/>
      <c r="P396" s="49">
        <v>0</v>
      </c>
      <c r="Q396" s="49">
        <v>0</v>
      </c>
      <c r="R396" s="32"/>
      <c r="S396" s="4"/>
      <c r="T396" s="32"/>
      <c r="U396" s="32"/>
      <c r="V396" s="32"/>
      <c r="W396" s="32"/>
      <c r="X396" s="33"/>
      <c r="Y396" s="33"/>
      <c r="Z396" s="31">
        <f>Table1[[#This Row],[Quantity of measruing units]]*Table1[[#This Row],[Rate (expected)]]</f>
        <v>0</v>
      </c>
      <c r="AA396" s="31"/>
      <c r="AB396" s="31"/>
      <c r="AC396" s="34">
        <f>Table1[[#This Row],[Quantity (expected)]]*Table1[[#This Row],[Rate (expected)2]]*0.9</f>
        <v>0</v>
      </c>
      <c r="AD396" s="34">
        <f>Table1[[#This Row],[Quantity (expected)]]*Table1[[#This Row],[Rate (expected)2]]*0.8</f>
        <v>0</v>
      </c>
      <c r="AE396" s="34">
        <f>Table1[[#This Row],[Quantity (expected)]]*Table1[[#This Row],[Rate (expected)2]]*0.7</f>
        <v>0</v>
      </c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1">
        <f>SUM(Table1[[#This Row],[Jan-23]:[Dec-23]])</f>
        <v>0</v>
      </c>
      <c r="AV396" s="105"/>
      <c r="AW396" s="32"/>
      <c r="AX396" s="35"/>
    </row>
    <row r="397" spans="1:50" x14ac:dyDescent="0.3">
      <c r="A397" s="30" t="str">
        <f>VLOOKUP(H397,'Accoount Code Combination'!$D:$L,8,FALSE)</f>
        <v>Other support</v>
      </c>
      <c r="B397" s="31" t="str">
        <f>VLOOKUP(Table1[[#This Row],[Account Code]],'Accoount Code Combination'!$D:$L,9,FALSE)</f>
        <v>No Applicable</v>
      </c>
      <c r="C397" s="4" t="str">
        <f>VLOOKUP(Table1[[#This Row],[Cost Center Code]],'Cost Center Group'!A:B,2,FALSE)</f>
        <v>Senior Vice President, Research Office</v>
      </c>
      <c r="D397" s="4">
        <v>847</v>
      </c>
      <c r="E397" s="79">
        <v>8471121</v>
      </c>
      <c r="F397" s="44" t="s">
        <v>1370</v>
      </c>
      <c r="G397" s="4">
        <v>1</v>
      </c>
      <c r="H397" s="95">
        <v>425900</v>
      </c>
      <c r="I397" s="106" t="str">
        <f>IFERROR(VLOOKUP(Table1[[#This Row],[Account Code]],'Accoount Code Combination'!$D:$H,2,FALSE),"")</f>
        <v>Entertainment and hospitality</v>
      </c>
      <c r="J397" s="79">
        <v>8471121</v>
      </c>
      <c r="K397" s="4"/>
      <c r="L397" s="4" t="str">
        <f>IFERROR(VLOOKUP(Table1[[#This Row],[Future-1 Description]],'Other '!E385:$F394,2,FALSE),"")</f>
        <v/>
      </c>
      <c r="M397" s="32"/>
      <c r="N397" s="32"/>
      <c r="O397" s="32"/>
      <c r="P397" s="49">
        <v>0</v>
      </c>
      <c r="Q397" s="49">
        <v>0</v>
      </c>
      <c r="R397" s="32"/>
      <c r="S397" s="4"/>
      <c r="T397" s="32"/>
      <c r="U397" s="32"/>
      <c r="V397" s="32"/>
      <c r="W397" s="32"/>
      <c r="X397" s="33"/>
      <c r="Y397" s="33"/>
      <c r="Z397" s="31">
        <f>Table1[[#This Row],[Quantity of measruing units]]*Table1[[#This Row],[Rate (expected)]]</f>
        <v>0</v>
      </c>
      <c r="AA397" s="31"/>
      <c r="AB397" s="31"/>
      <c r="AC397" s="34">
        <f>Table1[[#This Row],[Quantity (expected)]]*Table1[[#This Row],[Rate (expected)2]]*0.9</f>
        <v>0</v>
      </c>
      <c r="AD397" s="34">
        <f>Table1[[#This Row],[Quantity (expected)]]*Table1[[#This Row],[Rate (expected)2]]*0.8</f>
        <v>0</v>
      </c>
      <c r="AE397" s="34">
        <f>Table1[[#This Row],[Quantity (expected)]]*Table1[[#This Row],[Rate (expected)2]]*0.7</f>
        <v>0</v>
      </c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1">
        <f>SUM(Table1[[#This Row],[Jan-23]:[Dec-23]])</f>
        <v>0</v>
      </c>
      <c r="AV397" s="105"/>
      <c r="AW397" s="32"/>
      <c r="AX397" s="35"/>
    </row>
    <row r="398" spans="1:50" x14ac:dyDescent="0.3">
      <c r="A398" s="30" t="str">
        <f>VLOOKUP(H398,'Accoount Code Combination'!$D:$L,8,FALSE)</f>
        <v xml:space="preserve">Academic </v>
      </c>
      <c r="B398" s="31" t="str">
        <f>VLOOKUP(Table1[[#This Row],[Account Code]],'Accoount Code Combination'!$D:$L,9,FALSE)</f>
        <v>No Applicable</v>
      </c>
      <c r="C398" s="4" t="str">
        <f>VLOOKUP(Table1[[#This Row],[Cost Center Code]],'Cost Center Group'!A:B,2,FALSE)</f>
        <v>Senior Vice President, Research Office</v>
      </c>
      <c r="D398" s="4">
        <v>847</v>
      </c>
      <c r="E398" s="79">
        <v>8471121</v>
      </c>
      <c r="F398" s="32" t="s">
        <v>1370</v>
      </c>
      <c r="G398" s="4">
        <v>1</v>
      </c>
      <c r="H398" s="95">
        <v>428090</v>
      </c>
      <c r="I398" s="106" t="str">
        <f>IFERROR(VLOOKUP(Table1[[#This Row],[Account Code]],'Accoount Code Combination'!$D:$H,2,FALSE),"")</f>
        <v>Business Travel - Combined expenses</v>
      </c>
      <c r="J398" s="79">
        <v>8471121</v>
      </c>
      <c r="K398" s="4"/>
      <c r="L398" s="4" t="str">
        <f>IFERROR(VLOOKUP(Table1[[#This Row],[Future-1 Description]],'Other '!E386:$F395,2,FALSE),"")</f>
        <v/>
      </c>
      <c r="M398" s="32"/>
      <c r="N398" s="32"/>
      <c r="O398" s="32"/>
      <c r="P398" s="49">
        <v>0</v>
      </c>
      <c r="Q398" s="49">
        <v>0</v>
      </c>
      <c r="R398" s="32"/>
      <c r="S398" s="4"/>
      <c r="T398" s="32"/>
      <c r="U398" s="32"/>
      <c r="V398" s="32"/>
      <c r="W398" s="32"/>
      <c r="X398" s="33"/>
      <c r="Y398" s="33"/>
      <c r="Z398" s="31">
        <f>Table1[[#This Row],[Quantity of measruing units]]*Table1[[#This Row],[Rate (expected)]]</f>
        <v>0</v>
      </c>
      <c r="AA398" s="31"/>
      <c r="AB398" s="31"/>
      <c r="AC398" s="34">
        <f>Table1[[#This Row],[Quantity (expected)]]*Table1[[#This Row],[Rate (expected)2]]*0.9</f>
        <v>0</v>
      </c>
      <c r="AD398" s="34">
        <f>Table1[[#This Row],[Quantity (expected)]]*Table1[[#This Row],[Rate (expected)2]]*0.8</f>
        <v>0</v>
      </c>
      <c r="AE398" s="34">
        <f>Table1[[#This Row],[Quantity (expected)]]*Table1[[#This Row],[Rate (expected)2]]*0.7</f>
        <v>0</v>
      </c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1">
        <f>SUM(Table1[[#This Row],[Jan-23]:[Dec-23]])</f>
        <v>0</v>
      </c>
      <c r="AV398" s="105"/>
      <c r="AW398" s="32"/>
      <c r="AX398" s="35"/>
    </row>
    <row r="399" spans="1:50" ht="26" x14ac:dyDescent="0.3">
      <c r="A399" s="30" t="str">
        <f>VLOOKUP(H399,'Accoount Code Combination'!$D:$L,8,FALSE)</f>
        <v>Other support</v>
      </c>
      <c r="B399" s="31" t="str">
        <f>VLOOKUP(Table1[[#This Row],[Account Code]],'Accoount Code Combination'!$D:$L,9,FALSE)</f>
        <v>No Applicable</v>
      </c>
      <c r="C399" s="4" t="str">
        <f>VLOOKUP(Table1[[#This Row],[Cost Center Code]],'Cost Center Group'!A:B,2,FALSE)</f>
        <v>Senior Vice President, Research Office</v>
      </c>
      <c r="D399" s="4">
        <v>847</v>
      </c>
      <c r="E399" s="79">
        <v>8471121</v>
      </c>
      <c r="F399" s="32" t="s">
        <v>1370</v>
      </c>
      <c r="G399" s="4">
        <v>1</v>
      </c>
      <c r="H399" s="95">
        <v>429900</v>
      </c>
      <c r="I399" s="106" t="str">
        <f>IFERROR(VLOOKUP(Table1[[#This Row],[Account Code]],'Accoount Code Combination'!$D:$H,2,FALSE),"")</f>
        <v>Other services, not specifically mentioned elsewhere</v>
      </c>
      <c r="J399" s="79">
        <v>8471121</v>
      </c>
      <c r="K399" s="4"/>
      <c r="L399" s="4" t="str">
        <f>IFERROR(VLOOKUP(Table1[[#This Row],[Future-1 Description]],'Other '!E387:$F396,2,FALSE),"")</f>
        <v/>
      </c>
      <c r="M399" s="32"/>
      <c r="N399" s="32"/>
      <c r="O399" s="32"/>
      <c r="P399" s="49">
        <v>0</v>
      </c>
      <c r="Q399" s="49">
        <v>7932</v>
      </c>
      <c r="R399" s="32"/>
      <c r="S399" s="4"/>
      <c r="T399" s="32"/>
      <c r="U399" s="32"/>
      <c r="V399" s="32"/>
      <c r="W399" s="32"/>
      <c r="X399" s="33"/>
      <c r="Y399" s="33"/>
      <c r="Z399" s="31">
        <f>Table1[[#This Row],[Quantity of measruing units]]*Table1[[#This Row],[Rate (expected)]]</f>
        <v>0</v>
      </c>
      <c r="AA399" s="31"/>
      <c r="AB399" s="31"/>
      <c r="AC399" s="34">
        <f>Table1[[#This Row],[Quantity (expected)]]*Table1[[#This Row],[Rate (expected)2]]*0.9</f>
        <v>0</v>
      </c>
      <c r="AD399" s="34">
        <f>Table1[[#This Row],[Quantity (expected)]]*Table1[[#This Row],[Rate (expected)2]]*0.8</f>
        <v>0</v>
      </c>
      <c r="AE399" s="34">
        <f>Table1[[#This Row],[Quantity (expected)]]*Table1[[#This Row],[Rate (expected)2]]*0.7</f>
        <v>0</v>
      </c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1">
        <f>SUM(Table1[[#This Row],[Jan-23]:[Dec-23]])</f>
        <v>0</v>
      </c>
      <c r="AV399" s="105"/>
      <c r="AW399" s="32"/>
      <c r="AX399" s="35"/>
    </row>
    <row r="400" spans="1:50" x14ac:dyDescent="0.3">
      <c r="A400" s="30" t="str">
        <f>VLOOKUP(H400,'Accoount Code Combination'!$D:$L,8,FALSE)</f>
        <v>Other support</v>
      </c>
      <c r="B400" s="31" t="str">
        <f>VLOOKUP(Table1[[#This Row],[Account Code]],'Accoount Code Combination'!$D:$L,9,FALSE)</f>
        <v>No Applicable</v>
      </c>
      <c r="C400" s="4" t="str">
        <f>VLOOKUP(Table1[[#This Row],[Cost Center Code]],'Cost Center Group'!A:B,2,FALSE)</f>
        <v>Senior Vice President, Research Office</v>
      </c>
      <c r="D400" s="4">
        <v>847</v>
      </c>
      <c r="E400" s="79">
        <v>8471122</v>
      </c>
      <c r="F400" s="32" t="s">
        <v>1356</v>
      </c>
      <c r="G400" s="4">
        <v>1</v>
      </c>
      <c r="H400" s="95">
        <v>425900</v>
      </c>
      <c r="I400" s="106" t="str">
        <f>IFERROR(VLOOKUP(Table1[[#This Row],[Account Code]],'Accoount Code Combination'!$D:$H,2,FALSE),"")</f>
        <v>Entertainment and hospitality</v>
      </c>
      <c r="J400" s="79">
        <v>8471122</v>
      </c>
      <c r="K400" s="4"/>
      <c r="L400" s="4" t="str">
        <f>IFERROR(VLOOKUP(Table1[[#This Row],[Future-1 Description]],'Other '!E388:$F397,2,FALSE),"")</f>
        <v/>
      </c>
      <c r="M400" s="32"/>
      <c r="N400" s="32"/>
      <c r="O400" s="32"/>
      <c r="P400" s="49">
        <v>0</v>
      </c>
      <c r="Q400" s="49">
        <v>0</v>
      </c>
      <c r="R400" s="32"/>
      <c r="S400" s="4"/>
      <c r="T400" s="32"/>
      <c r="U400" s="32"/>
      <c r="V400" s="32"/>
      <c r="W400" s="32"/>
      <c r="X400" s="33"/>
      <c r="Y400" s="33"/>
      <c r="Z400" s="31">
        <f>Table1[[#This Row],[Quantity of measruing units]]*Table1[[#This Row],[Rate (expected)]]</f>
        <v>0</v>
      </c>
      <c r="AA400" s="31"/>
      <c r="AB400" s="31"/>
      <c r="AC400" s="34">
        <f>Table1[[#This Row],[Quantity (expected)]]*Table1[[#This Row],[Rate (expected)2]]*0.9</f>
        <v>0</v>
      </c>
      <c r="AD400" s="34">
        <f>Table1[[#This Row],[Quantity (expected)]]*Table1[[#This Row],[Rate (expected)2]]*0.8</f>
        <v>0</v>
      </c>
      <c r="AE400" s="34">
        <f>Table1[[#This Row],[Quantity (expected)]]*Table1[[#This Row],[Rate (expected)2]]*0.7</f>
        <v>0</v>
      </c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1">
        <f>SUM(Table1[[#This Row],[Jan-23]:[Dec-23]])</f>
        <v>0</v>
      </c>
      <c r="AV400" s="105"/>
      <c r="AW400" s="32"/>
      <c r="AX400" s="35"/>
    </row>
    <row r="401" spans="1:50" x14ac:dyDescent="0.3">
      <c r="A401" s="30" t="str">
        <f>VLOOKUP(H401,'Accoount Code Combination'!$D:$L,8,FALSE)</f>
        <v xml:space="preserve">Academic </v>
      </c>
      <c r="B401" s="31" t="str">
        <f>VLOOKUP(Table1[[#This Row],[Account Code]],'Accoount Code Combination'!$D:$L,9,FALSE)</f>
        <v>No Applicable</v>
      </c>
      <c r="C401" s="4" t="str">
        <f>VLOOKUP(Table1[[#This Row],[Cost Center Code]],'Cost Center Group'!A:B,2,FALSE)</f>
        <v>Senior Vice President, Research Office</v>
      </c>
      <c r="D401" s="4">
        <v>847</v>
      </c>
      <c r="E401" s="79">
        <v>8471122</v>
      </c>
      <c r="F401" s="32" t="s">
        <v>1356</v>
      </c>
      <c r="G401" s="4">
        <v>1</v>
      </c>
      <c r="H401" s="95">
        <v>428090</v>
      </c>
      <c r="I401" s="106" t="str">
        <f>IFERROR(VLOOKUP(Table1[[#This Row],[Account Code]],'Accoount Code Combination'!$D:$H,2,FALSE),"")</f>
        <v>Business Travel - Combined expenses</v>
      </c>
      <c r="J401" s="79">
        <v>8471122</v>
      </c>
      <c r="K401" s="4"/>
      <c r="L401" s="4" t="str">
        <f>IFERROR(VLOOKUP(Table1[[#This Row],[Future-1 Description]],'Other '!E389:$F398,2,FALSE),"")</f>
        <v/>
      </c>
      <c r="M401" s="32"/>
      <c r="N401" s="32"/>
      <c r="O401" s="32"/>
      <c r="P401" s="49">
        <v>0</v>
      </c>
      <c r="Q401" s="49">
        <v>0</v>
      </c>
      <c r="R401" s="32"/>
      <c r="S401" s="4"/>
      <c r="T401" s="32"/>
      <c r="U401" s="32"/>
      <c r="V401" s="32"/>
      <c r="W401" s="32"/>
      <c r="X401" s="33"/>
      <c r="Y401" s="33"/>
      <c r="Z401" s="31">
        <f>Table1[[#This Row],[Quantity of measruing units]]*Table1[[#This Row],[Rate (expected)]]</f>
        <v>0</v>
      </c>
      <c r="AA401" s="31"/>
      <c r="AB401" s="31"/>
      <c r="AC401" s="34">
        <f>Table1[[#This Row],[Quantity (expected)]]*Table1[[#This Row],[Rate (expected)2]]*0.9</f>
        <v>0</v>
      </c>
      <c r="AD401" s="34">
        <f>Table1[[#This Row],[Quantity (expected)]]*Table1[[#This Row],[Rate (expected)2]]*0.8</f>
        <v>0</v>
      </c>
      <c r="AE401" s="34">
        <f>Table1[[#This Row],[Quantity (expected)]]*Table1[[#This Row],[Rate (expected)2]]*0.7</f>
        <v>0</v>
      </c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1">
        <f>SUM(Table1[[#This Row],[Jan-23]:[Dec-23]])</f>
        <v>0</v>
      </c>
      <c r="AV401" s="105"/>
      <c r="AW401" s="32"/>
      <c r="AX401" s="35"/>
    </row>
    <row r="402" spans="1:50" ht="26" x14ac:dyDescent="0.3">
      <c r="A402" s="30" t="str">
        <f>VLOOKUP(H402,'Accoount Code Combination'!$D:$L,8,FALSE)</f>
        <v>Other support</v>
      </c>
      <c r="B402" s="31" t="str">
        <f>VLOOKUP(Table1[[#This Row],[Account Code]],'Accoount Code Combination'!$D:$L,9,FALSE)</f>
        <v>No Applicable</v>
      </c>
      <c r="C402" s="4" t="str">
        <f>VLOOKUP(Table1[[#This Row],[Cost Center Code]],'Cost Center Group'!A:B,2,FALSE)</f>
        <v>Senior Vice President, Research Office</v>
      </c>
      <c r="D402" s="4">
        <v>847</v>
      </c>
      <c r="E402" s="79">
        <v>8471122</v>
      </c>
      <c r="F402" s="32" t="s">
        <v>1356</v>
      </c>
      <c r="G402" s="4">
        <v>1</v>
      </c>
      <c r="H402" s="95">
        <v>429900</v>
      </c>
      <c r="I402" s="106" t="str">
        <f>IFERROR(VLOOKUP(Table1[[#This Row],[Account Code]],'Accoount Code Combination'!$D:$H,2,FALSE),"")</f>
        <v>Other services, not specifically mentioned elsewhere</v>
      </c>
      <c r="J402" s="79">
        <v>8471122</v>
      </c>
      <c r="K402" s="4"/>
      <c r="L402" s="4" t="str">
        <f>IFERROR(VLOOKUP(Table1[[#This Row],[Future-1 Description]],'Other '!E390:$F399,2,FALSE),"")</f>
        <v/>
      </c>
      <c r="M402" s="32"/>
      <c r="N402" s="32"/>
      <c r="O402" s="32"/>
      <c r="P402" s="49">
        <v>0</v>
      </c>
      <c r="Q402" s="49">
        <v>0</v>
      </c>
      <c r="R402" s="32"/>
      <c r="S402" s="4"/>
      <c r="T402" s="32"/>
      <c r="U402" s="32"/>
      <c r="V402" s="32"/>
      <c r="W402" s="32"/>
      <c r="X402" s="33"/>
      <c r="Y402" s="33"/>
      <c r="Z402" s="31">
        <f>Table1[[#This Row],[Quantity of measruing units]]*Table1[[#This Row],[Rate (expected)]]</f>
        <v>0</v>
      </c>
      <c r="AA402" s="31"/>
      <c r="AB402" s="31"/>
      <c r="AC402" s="34">
        <f>Table1[[#This Row],[Quantity (expected)]]*Table1[[#This Row],[Rate (expected)2]]*0.9</f>
        <v>0</v>
      </c>
      <c r="AD402" s="34">
        <f>Table1[[#This Row],[Quantity (expected)]]*Table1[[#This Row],[Rate (expected)2]]*0.8</f>
        <v>0</v>
      </c>
      <c r="AE402" s="34">
        <f>Table1[[#This Row],[Quantity (expected)]]*Table1[[#This Row],[Rate (expected)2]]*0.7</f>
        <v>0</v>
      </c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1">
        <f>SUM(Table1[[#This Row],[Jan-23]:[Dec-23]])</f>
        <v>0</v>
      </c>
      <c r="AV402" s="105"/>
      <c r="AW402" s="32"/>
      <c r="AX402" s="35"/>
    </row>
    <row r="403" spans="1:50" ht="26" x14ac:dyDescent="0.3">
      <c r="A403" s="30" t="str">
        <f>VLOOKUP(H403,'Accoount Code Combination'!$D:$L,8,FALSE)</f>
        <v>Academic</v>
      </c>
      <c r="B403" s="31" t="str">
        <f>VLOOKUP(Table1[[#This Row],[Account Code]],'Accoount Code Combination'!$D:$L,9,FALSE)</f>
        <v>No Applicable</v>
      </c>
      <c r="C403" s="4" t="str">
        <f>VLOOKUP(Table1[[#This Row],[Cost Center Code]],'Cost Center Group'!A:B,2,FALSE)</f>
        <v>Senior Vice President, Research Office</v>
      </c>
      <c r="D403" s="4">
        <v>847</v>
      </c>
      <c r="E403" s="79">
        <v>8471130</v>
      </c>
      <c r="F403" s="32" t="s">
        <v>197</v>
      </c>
      <c r="G403" s="4">
        <v>1</v>
      </c>
      <c r="H403" s="95">
        <v>420570</v>
      </c>
      <c r="I403" s="106" t="str">
        <f>IFERROR(VLOOKUP(Table1[[#This Row],[Account Code]],'Accoount Code Combination'!$D:$H,2,FALSE),"")</f>
        <v>Academic Collaborative Partnership Services</v>
      </c>
      <c r="J403" s="79">
        <v>8471130</v>
      </c>
      <c r="K403" s="4"/>
      <c r="L403" s="4" t="str">
        <f>IFERROR(VLOOKUP(Table1[[#This Row],[Future-1 Description]],'Other '!E391:$F400,2,FALSE),"")</f>
        <v/>
      </c>
      <c r="M403" s="32"/>
      <c r="N403" s="32"/>
      <c r="O403" s="32"/>
      <c r="P403" s="49">
        <v>100823.89</v>
      </c>
      <c r="Q403" s="49">
        <v>0</v>
      </c>
      <c r="R403" s="32"/>
      <c r="S403" s="4"/>
      <c r="T403" s="32"/>
      <c r="U403" s="32"/>
      <c r="V403" s="32"/>
      <c r="W403" s="32"/>
      <c r="X403" s="33"/>
      <c r="Y403" s="33"/>
      <c r="Z403" s="31">
        <f>Table1[[#This Row],[Quantity of measruing units]]*Table1[[#This Row],[Rate (expected)]]</f>
        <v>0</v>
      </c>
      <c r="AA403" s="31"/>
      <c r="AB403" s="31"/>
      <c r="AC403" s="34">
        <f>Table1[[#This Row],[Quantity (expected)]]*Table1[[#This Row],[Rate (expected)2]]*0.9</f>
        <v>0</v>
      </c>
      <c r="AD403" s="34">
        <f>Table1[[#This Row],[Quantity (expected)]]*Table1[[#This Row],[Rate (expected)2]]*0.8</f>
        <v>0</v>
      </c>
      <c r="AE403" s="34">
        <f>Table1[[#This Row],[Quantity (expected)]]*Table1[[#This Row],[Rate (expected)2]]*0.7</f>
        <v>0</v>
      </c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1">
        <f>SUM(Table1[[#This Row],[Jan-23]:[Dec-23]])</f>
        <v>0</v>
      </c>
      <c r="AV403" s="105"/>
      <c r="AW403" s="32"/>
      <c r="AX403" s="35"/>
    </row>
    <row r="404" spans="1:50" x14ac:dyDescent="0.3">
      <c r="A404" s="30" t="str">
        <f>VLOOKUP(H404,'Accoount Code Combination'!$D:$L,8,FALSE)</f>
        <v>IT</v>
      </c>
      <c r="B404" s="31" t="str">
        <f>VLOOKUP(Table1[[#This Row],[Account Code]],'Accoount Code Combination'!$D:$L,9,FALSE)</f>
        <v>Software Operating</v>
      </c>
      <c r="C404" s="4" t="str">
        <f>VLOOKUP(Table1[[#This Row],[Cost Center Code]],'Cost Center Group'!A:B,2,FALSE)</f>
        <v>Senior Vice President, Research Office</v>
      </c>
      <c r="D404" s="4">
        <v>847</v>
      </c>
      <c r="E404" s="79">
        <v>8471130</v>
      </c>
      <c r="F404" s="32" t="s">
        <v>197</v>
      </c>
      <c r="G404" s="4">
        <v>1</v>
      </c>
      <c r="H404" s="95">
        <v>426610</v>
      </c>
      <c r="I404" s="106" t="str">
        <f>IFERROR(VLOOKUP(Table1[[#This Row],[Account Code]],'Accoount Code Combination'!$D:$H,2,FALSE),"")</f>
        <v>Computer software licenses</v>
      </c>
      <c r="J404" s="79">
        <v>8471130</v>
      </c>
      <c r="K404" s="4"/>
      <c r="L404" s="4" t="str">
        <f>IFERROR(VLOOKUP(Table1[[#This Row],[Future-1 Description]],'Other '!E392:$F401,2,FALSE),"")</f>
        <v/>
      </c>
      <c r="M404" s="32"/>
      <c r="N404" s="32"/>
      <c r="O404" s="32"/>
      <c r="P404" s="49">
        <v>-2889.93</v>
      </c>
      <c r="Q404" s="49">
        <v>352600</v>
      </c>
      <c r="R404" s="32"/>
      <c r="S404" s="4"/>
      <c r="T404" s="32"/>
      <c r="U404" s="32"/>
      <c r="V404" s="32"/>
      <c r="W404" s="32"/>
      <c r="X404" s="33"/>
      <c r="Y404" s="33"/>
      <c r="Z404" s="31">
        <f>Table1[[#This Row],[Quantity of measruing units]]*Table1[[#This Row],[Rate (expected)]]</f>
        <v>0</v>
      </c>
      <c r="AA404" s="31"/>
      <c r="AB404" s="31"/>
      <c r="AC404" s="34">
        <f>Table1[[#This Row],[Quantity (expected)]]*Table1[[#This Row],[Rate (expected)2]]*0.9</f>
        <v>0</v>
      </c>
      <c r="AD404" s="34">
        <f>Table1[[#This Row],[Quantity (expected)]]*Table1[[#This Row],[Rate (expected)2]]*0.8</f>
        <v>0</v>
      </c>
      <c r="AE404" s="34">
        <f>Table1[[#This Row],[Quantity (expected)]]*Table1[[#This Row],[Rate (expected)2]]*0.7</f>
        <v>0</v>
      </c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1">
        <f>SUM(Table1[[#This Row],[Jan-23]:[Dec-23]])</f>
        <v>0</v>
      </c>
      <c r="AV404" s="105"/>
      <c r="AW404" s="32"/>
      <c r="AX404" s="35"/>
    </row>
    <row r="405" spans="1:50" ht="26" x14ac:dyDescent="0.3">
      <c r="A405" s="30" t="str">
        <f>VLOOKUP(H405,'Accoount Code Combination'!$D:$L,8,FALSE)</f>
        <v>HR</v>
      </c>
      <c r="B405" s="31" t="str">
        <f>VLOOKUP(Table1[[#This Row],[Account Code]],'Accoount Code Combination'!$D:$L,9,FALSE)</f>
        <v>No Applicable</v>
      </c>
      <c r="C405" s="4" t="str">
        <f>VLOOKUP(Table1[[#This Row],[Cost Center Code]],'Cost Center Group'!A:B,2,FALSE)</f>
        <v>Senior Vice President, Research Office</v>
      </c>
      <c r="D405" s="4">
        <v>847</v>
      </c>
      <c r="E405" s="79">
        <v>8471130</v>
      </c>
      <c r="F405" s="32" t="s">
        <v>197</v>
      </c>
      <c r="G405" s="4">
        <v>1</v>
      </c>
      <c r="H405" s="95">
        <v>426900</v>
      </c>
      <c r="I405" s="106" t="str">
        <f>IFERROR(VLOOKUP(Table1[[#This Row],[Account Code]],'Accoount Code Combination'!$D:$H,2,FALSE),"")</f>
        <v>Postal, courier and other document delivery expenses</v>
      </c>
      <c r="J405" s="79">
        <v>8471130</v>
      </c>
      <c r="K405" s="4"/>
      <c r="L405" s="4" t="str">
        <f>IFERROR(VLOOKUP(Table1[[#This Row],[Future-1 Description]],'Other '!E393:$F402,2,FALSE),"")</f>
        <v/>
      </c>
      <c r="M405" s="32"/>
      <c r="N405" s="32"/>
      <c r="O405" s="32"/>
      <c r="P405" s="49">
        <v>0</v>
      </c>
      <c r="Q405" s="49">
        <v>10000</v>
      </c>
      <c r="R405" s="32"/>
      <c r="S405" s="4"/>
      <c r="T405" s="32"/>
      <c r="U405" s="32"/>
      <c r="V405" s="32"/>
      <c r="W405" s="32"/>
      <c r="X405" s="33"/>
      <c r="Y405" s="33"/>
      <c r="Z405" s="31">
        <f>Table1[[#This Row],[Quantity of measruing units]]*Table1[[#This Row],[Rate (expected)]]</f>
        <v>0</v>
      </c>
      <c r="AA405" s="31"/>
      <c r="AB405" s="31"/>
      <c r="AC405" s="34">
        <f>Table1[[#This Row],[Quantity (expected)]]*Table1[[#This Row],[Rate (expected)2]]*0.9</f>
        <v>0</v>
      </c>
      <c r="AD405" s="34">
        <f>Table1[[#This Row],[Quantity (expected)]]*Table1[[#This Row],[Rate (expected)2]]*0.8</f>
        <v>0</v>
      </c>
      <c r="AE405" s="34">
        <f>Table1[[#This Row],[Quantity (expected)]]*Table1[[#This Row],[Rate (expected)2]]*0.7</f>
        <v>0</v>
      </c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1">
        <f>SUM(Table1[[#This Row],[Jan-23]:[Dec-23]])</f>
        <v>0</v>
      </c>
      <c r="AV405" s="105"/>
      <c r="AW405" s="32"/>
      <c r="AX405" s="35"/>
    </row>
    <row r="406" spans="1:50" ht="26" x14ac:dyDescent="0.3">
      <c r="A406" s="30" t="str">
        <f>VLOOKUP(H406,'Accoount Code Combination'!$D:$L,8,FALSE)</f>
        <v>Academic</v>
      </c>
      <c r="B406" s="31" t="str">
        <f>VLOOKUP(Table1[[#This Row],[Account Code]],'Accoount Code Combination'!$D:$L,9,FALSE)</f>
        <v>No Applicable</v>
      </c>
      <c r="C406" s="4" t="str">
        <f>VLOOKUP(Table1[[#This Row],[Cost Center Code]],'Cost Center Group'!A:B,2,FALSE)</f>
        <v>Senior Vice President, Research Office</v>
      </c>
      <c r="D406" s="4">
        <v>847</v>
      </c>
      <c r="E406" s="79">
        <v>8471130</v>
      </c>
      <c r="F406" s="32" t="s">
        <v>197</v>
      </c>
      <c r="G406" s="4">
        <v>1</v>
      </c>
      <c r="H406" s="95">
        <v>427710</v>
      </c>
      <c r="I406" s="106" t="str">
        <f>IFERROR(VLOOKUP(Table1[[#This Row],[Account Code]],'Accoount Code Combination'!$D:$H,2,FALSE),"")</f>
        <v>Subscriptions and membership fees: Trade organisations</v>
      </c>
      <c r="J406" s="79">
        <v>8471130</v>
      </c>
      <c r="K406" s="4"/>
      <c r="L406" s="4" t="str">
        <f>IFERROR(VLOOKUP(Table1[[#This Row],[Future-1 Description]],'Other '!E394:$F403,2,FALSE),"")</f>
        <v/>
      </c>
      <c r="M406" s="32"/>
      <c r="N406" s="32"/>
      <c r="O406" s="32"/>
      <c r="P406" s="49">
        <v>0</v>
      </c>
      <c r="Q406" s="49">
        <v>0</v>
      </c>
      <c r="R406" s="32"/>
      <c r="S406" s="4"/>
      <c r="T406" s="32"/>
      <c r="U406" s="32"/>
      <c r="V406" s="32"/>
      <c r="W406" s="32"/>
      <c r="X406" s="33"/>
      <c r="Y406" s="33"/>
      <c r="Z406" s="31">
        <f>Table1[[#This Row],[Quantity of measruing units]]*Table1[[#This Row],[Rate (expected)]]</f>
        <v>0</v>
      </c>
      <c r="AA406" s="31"/>
      <c r="AB406" s="31"/>
      <c r="AC406" s="34">
        <f>Table1[[#This Row],[Quantity (expected)]]*Table1[[#This Row],[Rate (expected)2]]*0.9</f>
        <v>0</v>
      </c>
      <c r="AD406" s="34">
        <f>Table1[[#This Row],[Quantity (expected)]]*Table1[[#This Row],[Rate (expected)2]]*0.8</f>
        <v>0</v>
      </c>
      <c r="AE406" s="34">
        <f>Table1[[#This Row],[Quantity (expected)]]*Table1[[#This Row],[Rate (expected)2]]*0.7</f>
        <v>0</v>
      </c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1">
        <f>SUM(Table1[[#This Row],[Jan-23]:[Dec-23]])</f>
        <v>0</v>
      </c>
      <c r="AV406" s="105"/>
      <c r="AW406" s="32"/>
      <c r="AX406" s="35"/>
    </row>
    <row r="407" spans="1:50" x14ac:dyDescent="0.3">
      <c r="A407" s="30" t="str">
        <f>VLOOKUP(H407,'Accoount Code Combination'!$D:$L,8,FALSE)</f>
        <v>Other support</v>
      </c>
      <c r="B407" s="31" t="str">
        <f>VLOOKUP(Table1[[#This Row],[Account Code]],'Accoount Code Combination'!$D:$L,9,FALSE)</f>
        <v>No Applicable</v>
      </c>
      <c r="C407" s="4" t="str">
        <f>VLOOKUP(Table1[[#This Row],[Cost Center Code]],'Cost Center Group'!A:B,2,FALSE)</f>
        <v>Senior Vice President, Research Office</v>
      </c>
      <c r="D407" s="4">
        <v>847</v>
      </c>
      <c r="E407" s="79">
        <v>8471130</v>
      </c>
      <c r="F407" s="32" t="s">
        <v>197</v>
      </c>
      <c r="G407" s="4">
        <v>1</v>
      </c>
      <c r="H407" s="95">
        <v>427900</v>
      </c>
      <c r="I407" s="106" t="str">
        <f>IFERROR(VLOOKUP(Table1[[#This Row],[Account Code]],'Accoount Code Combination'!$D:$H,2,FALSE),"")</f>
        <v>Translation and interpretation service</v>
      </c>
      <c r="J407" s="79">
        <v>8471130</v>
      </c>
      <c r="K407" s="4"/>
      <c r="L407" s="4" t="str">
        <f>IFERROR(VLOOKUP(Table1[[#This Row],[Future-1 Description]],'Other '!E395:$F404,2,FALSE),"")</f>
        <v/>
      </c>
      <c r="M407" s="32"/>
      <c r="N407" s="32"/>
      <c r="O407" s="32"/>
      <c r="P407" s="49">
        <v>0</v>
      </c>
      <c r="Q407" s="49">
        <v>5000</v>
      </c>
      <c r="R407" s="32"/>
      <c r="S407" s="4"/>
      <c r="T407" s="32"/>
      <c r="U407" s="32"/>
      <c r="V407" s="32"/>
      <c r="W407" s="32"/>
      <c r="X407" s="33"/>
      <c r="Y407" s="33"/>
      <c r="Z407" s="31">
        <f>Table1[[#This Row],[Quantity of measruing units]]*Table1[[#This Row],[Rate (expected)]]</f>
        <v>0</v>
      </c>
      <c r="AA407" s="31"/>
      <c r="AB407" s="31"/>
      <c r="AC407" s="34">
        <f>Table1[[#This Row],[Quantity (expected)]]*Table1[[#This Row],[Rate (expected)2]]*0.9</f>
        <v>0</v>
      </c>
      <c r="AD407" s="34">
        <f>Table1[[#This Row],[Quantity (expected)]]*Table1[[#This Row],[Rate (expected)2]]*0.8</f>
        <v>0</v>
      </c>
      <c r="AE407" s="34">
        <f>Table1[[#This Row],[Quantity (expected)]]*Table1[[#This Row],[Rate (expected)2]]*0.7</f>
        <v>0</v>
      </c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1">
        <f>SUM(Table1[[#This Row],[Jan-23]:[Dec-23]])</f>
        <v>0</v>
      </c>
      <c r="AV407" s="105"/>
      <c r="AW407" s="32"/>
      <c r="AX407" s="35"/>
    </row>
    <row r="408" spans="1:50" x14ac:dyDescent="0.3">
      <c r="A408" s="30" t="str">
        <f>VLOOKUP(H408,'Accoount Code Combination'!$D:$L,8,FALSE)</f>
        <v xml:space="preserve">Academic </v>
      </c>
      <c r="B408" s="31" t="str">
        <f>VLOOKUP(Table1[[#This Row],[Account Code]],'Accoount Code Combination'!$D:$L,9,FALSE)</f>
        <v>No Applicable</v>
      </c>
      <c r="C408" s="4" t="str">
        <f>VLOOKUP(Table1[[#This Row],[Cost Center Code]],'Cost Center Group'!A:B,2,FALSE)</f>
        <v>Senior Vice President, Research Office</v>
      </c>
      <c r="D408" s="4">
        <v>847</v>
      </c>
      <c r="E408" s="79">
        <v>8471130</v>
      </c>
      <c r="F408" s="32" t="s">
        <v>197</v>
      </c>
      <c r="G408" s="4">
        <v>1</v>
      </c>
      <c r="H408" s="95">
        <v>428090</v>
      </c>
      <c r="I408" s="106" t="str">
        <f>IFERROR(VLOOKUP(Table1[[#This Row],[Account Code]],'Accoount Code Combination'!$D:$H,2,FALSE),"")</f>
        <v>Business Travel - Combined expenses</v>
      </c>
      <c r="J408" s="79">
        <v>8471130</v>
      </c>
      <c r="K408" s="4"/>
      <c r="L408" s="4" t="str">
        <f>IFERROR(VLOOKUP(Table1[[#This Row],[Future-1 Description]],'Other '!E396:$F405,2,FALSE),"")</f>
        <v/>
      </c>
      <c r="M408" s="32"/>
      <c r="N408" s="32"/>
      <c r="O408" s="32"/>
      <c r="P408" s="49">
        <v>14447.5</v>
      </c>
      <c r="Q408" s="49">
        <v>0</v>
      </c>
      <c r="R408" s="32"/>
      <c r="S408" s="4"/>
      <c r="T408" s="32"/>
      <c r="U408" s="32"/>
      <c r="V408" s="32"/>
      <c r="W408" s="32"/>
      <c r="X408" s="33"/>
      <c r="Y408" s="33"/>
      <c r="Z408" s="31">
        <f>Table1[[#This Row],[Quantity of measruing units]]*Table1[[#This Row],[Rate (expected)]]</f>
        <v>0</v>
      </c>
      <c r="AA408" s="31"/>
      <c r="AB408" s="31"/>
      <c r="AC408" s="34">
        <f>Table1[[#This Row],[Quantity (expected)]]*Table1[[#This Row],[Rate (expected)2]]*0.9</f>
        <v>0</v>
      </c>
      <c r="AD408" s="34">
        <f>Table1[[#This Row],[Quantity (expected)]]*Table1[[#This Row],[Rate (expected)2]]*0.8</f>
        <v>0</v>
      </c>
      <c r="AE408" s="34">
        <f>Table1[[#This Row],[Quantity (expected)]]*Table1[[#This Row],[Rate (expected)2]]*0.7</f>
        <v>0</v>
      </c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1">
        <f>SUM(Table1[[#This Row],[Jan-23]:[Dec-23]])</f>
        <v>0</v>
      </c>
      <c r="AV408" s="105"/>
      <c r="AW408" s="32"/>
      <c r="AX408" s="35"/>
    </row>
    <row r="409" spans="1:50" x14ac:dyDescent="0.3">
      <c r="A409" s="30" t="str">
        <f>VLOOKUP(H409,'Accoount Code Combination'!$D:$L,8,FALSE)</f>
        <v xml:space="preserve">Facilities </v>
      </c>
      <c r="B409" s="31" t="str">
        <f>VLOOKUP(Table1[[#This Row],[Account Code]],'Accoount Code Combination'!$D:$L,9,FALSE)</f>
        <v>No Applicable</v>
      </c>
      <c r="C409" s="4" t="str">
        <f>VLOOKUP(Table1[[#This Row],[Cost Center Code]],'Cost Center Group'!A:B,2,FALSE)</f>
        <v>Senior Vice President, Research Office</v>
      </c>
      <c r="D409" s="4">
        <v>847</v>
      </c>
      <c r="E409" s="79">
        <v>8471130</v>
      </c>
      <c r="F409" s="32" t="s">
        <v>197</v>
      </c>
      <c r="G409" s="4">
        <v>1</v>
      </c>
      <c r="H409" s="95">
        <v>428111</v>
      </c>
      <c r="I409" s="106" t="str">
        <f>IFERROR(VLOOKUP(Table1[[#This Row],[Account Code]],'Accoount Code Combination'!$D:$H,2,FALSE),"")</f>
        <v>Electricity consumption charges</v>
      </c>
      <c r="J409" s="79">
        <v>8471130</v>
      </c>
      <c r="K409" s="4"/>
      <c r="L409" s="4" t="str">
        <f>IFERROR(VLOOKUP(Table1[[#This Row],[Future-1 Description]],'Other '!E397:$F406,2,FALSE),"")</f>
        <v/>
      </c>
      <c r="M409" s="32"/>
      <c r="N409" s="32"/>
      <c r="O409" s="32"/>
      <c r="P409" s="49">
        <v>0</v>
      </c>
      <c r="Q409" s="49">
        <v>0</v>
      </c>
      <c r="R409" s="32"/>
      <c r="S409" s="4"/>
      <c r="T409" s="32"/>
      <c r="U409" s="32"/>
      <c r="V409" s="32"/>
      <c r="W409" s="32"/>
      <c r="X409" s="33"/>
      <c r="Y409" s="33"/>
      <c r="Z409" s="31">
        <f>Table1[[#This Row],[Quantity of measruing units]]*Table1[[#This Row],[Rate (expected)]]</f>
        <v>0</v>
      </c>
      <c r="AA409" s="31"/>
      <c r="AB409" s="31"/>
      <c r="AC409" s="34">
        <f>Table1[[#This Row],[Quantity (expected)]]*Table1[[#This Row],[Rate (expected)2]]*0.9</f>
        <v>0</v>
      </c>
      <c r="AD409" s="34">
        <f>Table1[[#This Row],[Quantity (expected)]]*Table1[[#This Row],[Rate (expected)2]]*0.8</f>
        <v>0</v>
      </c>
      <c r="AE409" s="34">
        <f>Table1[[#This Row],[Quantity (expected)]]*Table1[[#This Row],[Rate (expected)2]]*0.7</f>
        <v>0</v>
      </c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1">
        <f>SUM(Table1[[#This Row],[Jan-23]:[Dec-23]])</f>
        <v>0</v>
      </c>
      <c r="AV409" s="105"/>
      <c r="AW409" s="32"/>
      <c r="AX409" s="35"/>
    </row>
    <row r="410" spans="1:50" x14ac:dyDescent="0.3">
      <c r="A410" s="30" t="str">
        <f>VLOOKUP(H410,'Accoount Code Combination'!$D:$L,8,FALSE)</f>
        <v>Research</v>
      </c>
      <c r="B410" s="31" t="str">
        <f>VLOOKUP(Table1[[#This Row],[Account Code]],'Accoount Code Combination'!$D:$L,9,FALSE)</f>
        <v>No Applicable</v>
      </c>
      <c r="C410" s="4" t="str">
        <f>VLOOKUP(Table1[[#This Row],[Cost Center Code]],'Cost Center Group'!A:B,2,FALSE)</f>
        <v>Senior Vice President, Research Office</v>
      </c>
      <c r="D410" s="4">
        <v>847</v>
      </c>
      <c r="E410" s="79">
        <v>8471130</v>
      </c>
      <c r="F410" s="32" t="s">
        <v>197</v>
      </c>
      <c r="G410" s="4">
        <v>1</v>
      </c>
      <c r="H410" s="95">
        <v>428400</v>
      </c>
      <c r="I410" s="106" t="str">
        <f>IFERROR(VLOOKUP(Table1[[#This Row],[Account Code]],'Accoount Code Combination'!$D:$H,2,FALSE),"")</f>
        <v>Sponsorship expenses/contributions</v>
      </c>
      <c r="J410" s="79">
        <v>8471130</v>
      </c>
      <c r="K410" s="4"/>
      <c r="L410" s="4" t="str">
        <f>IFERROR(VLOOKUP(Table1[[#This Row],[Future-1 Description]],'Other '!E398:$F407,2,FALSE),"")</f>
        <v/>
      </c>
      <c r="M410" s="32"/>
      <c r="N410" s="32"/>
      <c r="O410" s="32"/>
      <c r="P410" s="49">
        <v>2400000</v>
      </c>
      <c r="Q410" s="49">
        <v>0</v>
      </c>
      <c r="R410" s="32"/>
      <c r="S410" s="4"/>
      <c r="T410" s="32"/>
      <c r="U410" s="32"/>
      <c r="V410" s="32"/>
      <c r="W410" s="32"/>
      <c r="X410" s="33"/>
      <c r="Y410" s="33"/>
      <c r="Z410" s="31">
        <f>Table1[[#This Row],[Quantity of measruing units]]*Table1[[#This Row],[Rate (expected)]]</f>
        <v>0</v>
      </c>
      <c r="AA410" s="31"/>
      <c r="AB410" s="31"/>
      <c r="AC410" s="34">
        <f>Table1[[#This Row],[Quantity (expected)]]*Table1[[#This Row],[Rate (expected)2]]*0.9</f>
        <v>0</v>
      </c>
      <c r="AD410" s="34">
        <f>Table1[[#This Row],[Quantity (expected)]]*Table1[[#This Row],[Rate (expected)2]]*0.8</f>
        <v>0</v>
      </c>
      <c r="AE410" s="34">
        <f>Table1[[#This Row],[Quantity (expected)]]*Table1[[#This Row],[Rate (expected)2]]*0.7</f>
        <v>0</v>
      </c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1">
        <f>SUM(Table1[[#This Row],[Jan-23]:[Dec-23]])</f>
        <v>0</v>
      </c>
      <c r="AV410" s="105"/>
      <c r="AW410" s="32"/>
      <c r="AX410" s="35"/>
    </row>
    <row r="411" spans="1:50" x14ac:dyDescent="0.3">
      <c r="A411" s="30" t="str">
        <f>VLOOKUP(H411,'Accoount Code Combination'!$D:$L,8,FALSE)</f>
        <v>Research</v>
      </c>
      <c r="B411" s="31" t="str">
        <f>VLOOKUP(Table1[[#This Row],[Account Code]],'Accoount Code Combination'!$D:$L,9,FALSE)</f>
        <v>No Applicable</v>
      </c>
      <c r="C411" s="4" t="str">
        <f>VLOOKUP(Table1[[#This Row],[Cost Center Code]],'Cost Center Group'!A:B,2,FALSE)</f>
        <v>Senior Vice President, Research Office</v>
      </c>
      <c r="D411" s="4">
        <v>847</v>
      </c>
      <c r="E411" s="79">
        <v>8471130</v>
      </c>
      <c r="F411" s="32" t="s">
        <v>197</v>
      </c>
      <c r="G411" s="4">
        <v>1</v>
      </c>
      <c r="H411" s="95">
        <v>435523</v>
      </c>
      <c r="I411" s="106" t="str">
        <f>IFERROR(VLOOKUP(Table1[[#This Row],[Account Code]],'Accoount Code Combination'!$D:$H,2,FALSE),"")</f>
        <v>Scientific</v>
      </c>
      <c r="J411" s="79">
        <v>8471130</v>
      </c>
      <c r="K411" s="4"/>
      <c r="L411" s="4" t="str">
        <f>IFERROR(VLOOKUP(Table1[[#This Row],[Future-1 Description]],'Other '!E399:$F408,2,FALSE),"")</f>
        <v/>
      </c>
      <c r="M411" s="32"/>
      <c r="N411" s="32"/>
      <c r="O411" s="32"/>
      <c r="P411" s="49">
        <v>93594271.429999903</v>
      </c>
      <c r="Q411" s="49">
        <v>500000</v>
      </c>
      <c r="R411" s="32"/>
      <c r="S411" s="4"/>
      <c r="T411" s="32"/>
      <c r="U411" s="32"/>
      <c r="V411" s="32"/>
      <c r="W411" s="32"/>
      <c r="X411" s="33"/>
      <c r="Y411" s="33"/>
      <c r="Z411" s="31">
        <f>Table1[[#This Row],[Quantity of measruing units]]*Table1[[#This Row],[Rate (expected)]]</f>
        <v>0</v>
      </c>
      <c r="AA411" s="31"/>
      <c r="AB411" s="31"/>
      <c r="AC411" s="34">
        <f>Table1[[#This Row],[Quantity (expected)]]*Table1[[#This Row],[Rate (expected)2]]*0.9</f>
        <v>0</v>
      </c>
      <c r="AD411" s="34">
        <f>Table1[[#This Row],[Quantity (expected)]]*Table1[[#This Row],[Rate (expected)2]]*0.8</f>
        <v>0</v>
      </c>
      <c r="AE411" s="34">
        <f>Table1[[#This Row],[Quantity (expected)]]*Table1[[#This Row],[Rate (expected)2]]*0.7</f>
        <v>0</v>
      </c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1">
        <f>SUM(Table1[[#This Row],[Jan-23]:[Dec-23]])</f>
        <v>0</v>
      </c>
      <c r="AV411" s="105"/>
      <c r="AW411" s="32"/>
      <c r="AX411" s="35"/>
    </row>
    <row r="412" spans="1:50" x14ac:dyDescent="0.3">
      <c r="A412" s="30" t="str">
        <f>VLOOKUP(H412,'Accoount Code Combination'!$D:$L,8,FALSE)</f>
        <v>Other support</v>
      </c>
      <c r="B412" s="31" t="str">
        <f>VLOOKUP(Table1[[#This Row],[Account Code]],'Accoount Code Combination'!$D:$L,9,FALSE)</f>
        <v>No Applicable</v>
      </c>
      <c r="C412" s="4" t="str">
        <f>VLOOKUP(Table1[[#This Row],[Cost Center Code]],'Cost Center Group'!A:B,2,FALSE)</f>
        <v>Senior Vice President, Research Office</v>
      </c>
      <c r="D412" s="4">
        <v>847</v>
      </c>
      <c r="E412" s="79">
        <v>8471130</v>
      </c>
      <c r="F412" s="32" t="s">
        <v>197</v>
      </c>
      <c r="G412" s="4">
        <v>1</v>
      </c>
      <c r="H412" s="95">
        <v>436120</v>
      </c>
      <c r="I412" s="106" t="str">
        <f>IFERROR(VLOOKUP(Table1[[#This Row],[Account Code]],'Accoount Code Combination'!$D:$H,2,FALSE),"")</f>
        <v>Stationery</v>
      </c>
      <c r="J412" s="79">
        <v>8471130</v>
      </c>
      <c r="K412" s="4"/>
      <c r="L412" s="4" t="str">
        <f>IFERROR(VLOOKUP(Table1[[#This Row],[Future-1 Description]],'Other '!E400:$F409,2,FALSE),"")</f>
        <v/>
      </c>
      <c r="M412" s="32"/>
      <c r="N412" s="32"/>
      <c r="O412" s="32"/>
      <c r="P412" s="49">
        <v>0</v>
      </c>
      <c r="Q412" s="49">
        <v>10000</v>
      </c>
      <c r="R412" s="32"/>
      <c r="S412" s="4"/>
      <c r="T412" s="32"/>
      <c r="U412" s="32"/>
      <c r="V412" s="32"/>
      <c r="W412" s="32"/>
      <c r="X412" s="33"/>
      <c r="Y412" s="33"/>
      <c r="Z412" s="31">
        <f>Table1[[#This Row],[Quantity of measruing units]]*Table1[[#This Row],[Rate (expected)]]</f>
        <v>0</v>
      </c>
      <c r="AA412" s="31"/>
      <c r="AB412" s="31"/>
      <c r="AC412" s="34">
        <f>Table1[[#This Row],[Quantity (expected)]]*Table1[[#This Row],[Rate (expected)2]]*0.9</f>
        <v>0</v>
      </c>
      <c r="AD412" s="34">
        <f>Table1[[#This Row],[Quantity (expected)]]*Table1[[#This Row],[Rate (expected)2]]*0.8</f>
        <v>0</v>
      </c>
      <c r="AE412" s="34">
        <f>Table1[[#This Row],[Quantity (expected)]]*Table1[[#This Row],[Rate (expected)2]]*0.7</f>
        <v>0</v>
      </c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1">
        <f>SUM(Table1[[#This Row],[Jan-23]:[Dec-23]])</f>
        <v>0</v>
      </c>
      <c r="AV412" s="105"/>
      <c r="AW412" s="32"/>
      <c r="AX412" s="35"/>
    </row>
    <row r="413" spans="1:50" x14ac:dyDescent="0.3">
      <c r="A413" s="30">
        <f>VLOOKUP(H413,'Accoount Code Combination'!$D:$L,8,FALSE)</f>
        <v>0</v>
      </c>
      <c r="B413" s="31" t="str">
        <f>VLOOKUP(Table1[[#This Row],[Account Code]],'Accoount Code Combination'!$D:$L,9,FALSE)</f>
        <v>Building Improvements</v>
      </c>
      <c r="C413" s="4" t="str">
        <f>VLOOKUP(Table1[[#This Row],[Cost Center Code]],'Cost Center Group'!A:B,2,FALSE)</f>
        <v>Senior Vice President, Research Office</v>
      </c>
      <c r="D413" s="4">
        <v>847</v>
      </c>
      <c r="E413" s="79">
        <v>8471130</v>
      </c>
      <c r="F413" s="32" t="s">
        <v>197</v>
      </c>
      <c r="G413" s="4">
        <v>1</v>
      </c>
      <c r="H413" s="95">
        <v>492200</v>
      </c>
      <c r="I413" s="106" t="str">
        <f>IFERROR(VLOOKUP(Table1[[#This Row],[Account Code]],'Accoount Code Combination'!$D:$H,2,FALSE),"")</f>
        <v>Capital expense - Buildings</v>
      </c>
      <c r="J413" s="79">
        <v>8471130</v>
      </c>
      <c r="K413" s="4"/>
      <c r="L413" s="4" t="str">
        <f>IFERROR(VLOOKUP(Table1[[#This Row],[Future-1 Description]],'Other '!E401:$F410,2,FALSE),"")</f>
        <v/>
      </c>
      <c r="M413" s="32"/>
      <c r="N413" s="32"/>
      <c r="O413" s="32"/>
      <c r="P413" s="49">
        <v>0</v>
      </c>
      <c r="Q413" s="49">
        <v>0</v>
      </c>
      <c r="R413" s="32"/>
      <c r="S413" s="4"/>
      <c r="T413" s="32"/>
      <c r="U413" s="32"/>
      <c r="V413" s="32"/>
      <c r="W413" s="32"/>
      <c r="X413" s="33"/>
      <c r="Y413" s="33"/>
      <c r="Z413" s="31">
        <f>Table1[[#This Row],[Quantity of measruing units]]*Table1[[#This Row],[Rate (expected)]]</f>
        <v>0</v>
      </c>
      <c r="AA413" s="31"/>
      <c r="AB413" s="31"/>
      <c r="AC413" s="34">
        <f>Table1[[#This Row],[Quantity (expected)]]*Table1[[#This Row],[Rate (expected)2]]*0.9</f>
        <v>0</v>
      </c>
      <c r="AD413" s="34">
        <f>Table1[[#This Row],[Quantity (expected)]]*Table1[[#This Row],[Rate (expected)2]]*0.8</f>
        <v>0</v>
      </c>
      <c r="AE413" s="34">
        <f>Table1[[#This Row],[Quantity (expected)]]*Table1[[#This Row],[Rate (expected)2]]*0.7</f>
        <v>0</v>
      </c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1">
        <f>SUM(Table1[[#This Row],[Jan-23]:[Dec-23]])</f>
        <v>0</v>
      </c>
      <c r="AV413" s="105"/>
      <c r="AW413" s="32"/>
      <c r="AX413" s="35"/>
    </row>
    <row r="414" spans="1:50" x14ac:dyDescent="0.3">
      <c r="A414" s="30">
        <f>VLOOKUP(H414,'Accoount Code Combination'!$D:$L,8,FALSE)</f>
        <v>0</v>
      </c>
      <c r="B414" s="31" t="str">
        <f>VLOOKUP(Table1[[#This Row],[Account Code]],'Accoount Code Combination'!$D:$L,9,FALSE)</f>
        <v>No Applicable</v>
      </c>
      <c r="C414" s="4" t="str">
        <f>VLOOKUP(Table1[[#This Row],[Cost Center Code]],'Cost Center Group'!A:B,2,FALSE)</f>
        <v>Senior Vice President, Research Office</v>
      </c>
      <c r="D414" s="4">
        <v>847</v>
      </c>
      <c r="E414" s="79">
        <v>8471130</v>
      </c>
      <c r="F414" s="32" t="s">
        <v>197</v>
      </c>
      <c r="G414" s="4">
        <v>1</v>
      </c>
      <c r="H414" s="95">
        <v>492316</v>
      </c>
      <c r="I414" s="106" t="str">
        <f>IFERROR(VLOOKUP(Table1[[#This Row],[Account Code]],'Accoount Code Combination'!$D:$H,2,FALSE),"")</f>
        <v>Laboratory equipment</v>
      </c>
      <c r="J414" s="79">
        <v>8471130</v>
      </c>
      <c r="K414" s="4"/>
      <c r="L414" s="4" t="str">
        <f>IFERROR(VLOOKUP(Table1[[#This Row],[Future-1 Description]],'Other '!E402:$F411,2,FALSE),"")</f>
        <v/>
      </c>
      <c r="M414" s="32"/>
      <c r="N414" s="32"/>
      <c r="O414" s="32"/>
      <c r="P414" s="49">
        <v>3032178.84</v>
      </c>
      <c r="Q414" s="49">
        <v>0</v>
      </c>
      <c r="R414" s="32"/>
      <c r="S414" s="4"/>
      <c r="T414" s="32"/>
      <c r="U414" s="32"/>
      <c r="V414" s="32"/>
      <c r="W414" s="32"/>
      <c r="X414" s="33"/>
      <c r="Y414" s="33"/>
      <c r="Z414" s="31">
        <f>Table1[[#This Row],[Quantity of measruing units]]*Table1[[#This Row],[Rate (expected)]]</f>
        <v>0</v>
      </c>
      <c r="AA414" s="31"/>
      <c r="AB414" s="31"/>
      <c r="AC414" s="34">
        <f>Table1[[#This Row],[Quantity (expected)]]*Table1[[#This Row],[Rate (expected)2]]*0.9</f>
        <v>0</v>
      </c>
      <c r="AD414" s="34">
        <f>Table1[[#This Row],[Quantity (expected)]]*Table1[[#This Row],[Rate (expected)2]]*0.8</f>
        <v>0</v>
      </c>
      <c r="AE414" s="34">
        <f>Table1[[#This Row],[Quantity (expected)]]*Table1[[#This Row],[Rate (expected)2]]*0.7</f>
        <v>0</v>
      </c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1">
        <f>SUM(Table1[[#This Row],[Jan-23]:[Dec-23]])</f>
        <v>0</v>
      </c>
      <c r="AV414" s="105"/>
      <c r="AW414" s="32"/>
      <c r="AX414" s="35"/>
    </row>
    <row r="415" spans="1:50" x14ac:dyDescent="0.3">
      <c r="A415" s="30">
        <f>VLOOKUP(H415,'Accoount Code Combination'!$D:$L,8,FALSE)</f>
        <v>0</v>
      </c>
      <c r="B415" s="31" t="str">
        <f>VLOOKUP(Table1[[#This Row],[Account Code]],'Accoount Code Combination'!$D:$L,9,FALSE)</f>
        <v>Software Capital</v>
      </c>
      <c r="C415" s="4" t="str">
        <f>VLOOKUP(Table1[[#This Row],[Cost Center Code]],'Cost Center Group'!A:B,2,FALSE)</f>
        <v>Senior Vice President, Research Office</v>
      </c>
      <c r="D415" s="4">
        <v>847</v>
      </c>
      <c r="E415" s="79">
        <v>8471130</v>
      </c>
      <c r="F415" s="32" t="s">
        <v>197</v>
      </c>
      <c r="G415" s="4">
        <v>1</v>
      </c>
      <c r="H415" s="95">
        <v>495140</v>
      </c>
      <c r="I415" s="106" t="str">
        <f>IFERROR(VLOOKUP(Table1[[#This Row],[Account Code]],'Accoount Code Combination'!$D:$H,2,FALSE),"")</f>
        <v>Copyrights, patents and licenses</v>
      </c>
      <c r="J415" s="79">
        <v>8471130</v>
      </c>
      <c r="K415" s="4"/>
      <c r="L415" s="4" t="str">
        <f>IFERROR(VLOOKUP(Table1[[#This Row],[Future-1 Description]],'Other '!E403:$F412,2,FALSE),"")</f>
        <v/>
      </c>
      <c r="M415" s="32"/>
      <c r="N415" s="32"/>
      <c r="O415" s="32"/>
      <c r="P415" s="49">
        <v>280484.96999999997</v>
      </c>
      <c r="Q415" s="49">
        <v>0</v>
      </c>
      <c r="R415" s="32"/>
      <c r="S415" s="4"/>
      <c r="T415" s="32"/>
      <c r="U415" s="32"/>
      <c r="V415" s="32"/>
      <c r="W415" s="32"/>
      <c r="X415" s="33"/>
      <c r="Y415" s="33"/>
      <c r="Z415" s="31">
        <f>Table1[[#This Row],[Quantity of measruing units]]*Table1[[#This Row],[Rate (expected)]]</f>
        <v>0</v>
      </c>
      <c r="AA415" s="31"/>
      <c r="AB415" s="31"/>
      <c r="AC415" s="34">
        <f>Table1[[#This Row],[Quantity (expected)]]*Table1[[#This Row],[Rate (expected)2]]*0.9</f>
        <v>0</v>
      </c>
      <c r="AD415" s="34">
        <f>Table1[[#This Row],[Quantity (expected)]]*Table1[[#This Row],[Rate (expected)2]]*0.8</f>
        <v>0</v>
      </c>
      <c r="AE415" s="34">
        <f>Table1[[#This Row],[Quantity (expected)]]*Table1[[#This Row],[Rate (expected)2]]*0.7</f>
        <v>0</v>
      </c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1">
        <f>SUM(Table1[[#This Row],[Jan-23]:[Dec-23]])</f>
        <v>0</v>
      </c>
      <c r="AV415" s="105"/>
      <c r="AW415" s="32"/>
      <c r="AX415" s="35"/>
    </row>
    <row r="416" spans="1:50" ht="26" x14ac:dyDescent="0.3">
      <c r="A416" s="30" t="str">
        <f>VLOOKUP(H416,'Accoount Code Combination'!$D:$L,8,FALSE)</f>
        <v>Communiction &amp; Marketing</v>
      </c>
      <c r="B416" s="31" t="str">
        <f>VLOOKUP(Table1[[#This Row],[Account Code]],'Accoount Code Combination'!$D:$L,9,FALSE)</f>
        <v>Events</v>
      </c>
      <c r="C416" s="4" t="str">
        <f>VLOOKUP(Table1[[#This Row],[Cost Center Code]],'Cost Center Group'!A:B,2,FALSE)</f>
        <v>Senior Vice President, Research Office</v>
      </c>
      <c r="D416" s="4">
        <v>847</v>
      </c>
      <c r="E416" s="79">
        <v>8471140</v>
      </c>
      <c r="F416" s="32" t="s">
        <v>339</v>
      </c>
      <c r="G416" s="4">
        <v>1</v>
      </c>
      <c r="H416" s="95">
        <v>425510</v>
      </c>
      <c r="I416" s="106" t="str">
        <f>IFERROR(VLOOKUP(Table1[[#This Row],[Account Code]],'Accoount Code Combination'!$D:$H,2,FALSE),"")</f>
        <v>Conferences, seminars and exhibitions and other events: - Local Events</v>
      </c>
      <c r="J416" s="79">
        <v>8471140</v>
      </c>
      <c r="K416" s="4"/>
      <c r="L416" s="4" t="str">
        <f>IFERROR(VLOOKUP(Table1[[#This Row],[Future-1 Description]],'Other '!E404:$F413,2,FALSE),"")</f>
        <v/>
      </c>
      <c r="M416" s="32"/>
      <c r="N416" s="32"/>
      <c r="O416" s="32"/>
      <c r="P416" s="49">
        <v>468159.19</v>
      </c>
      <c r="Q416" s="49">
        <v>0</v>
      </c>
      <c r="R416" s="32"/>
      <c r="S416" s="4"/>
      <c r="T416" s="32"/>
      <c r="U416" s="32"/>
      <c r="V416" s="32"/>
      <c r="W416" s="32"/>
      <c r="X416" s="33"/>
      <c r="Y416" s="33"/>
      <c r="Z416" s="31">
        <f>Table1[[#This Row],[Quantity of measruing units]]*Table1[[#This Row],[Rate (expected)]]</f>
        <v>0</v>
      </c>
      <c r="AA416" s="31"/>
      <c r="AB416" s="31"/>
      <c r="AC416" s="34">
        <f>Table1[[#This Row],[Quantity (expected)]]*Table1[[#This Row],[Rate (expected)2]]*0.9</f>
        <v>0</v>
      </c>
      <c r="AD416" s="34">
        <f>Table1[[#This Row],[Quantity (expected)]]*Table1[[#This Row],[Rate (expected)2]]*0.8</f>
        <v>0</v>
      </c>
      <c r="AE416" s="34">
        <f>Table1[[#This Row],[Quantity (expected)]]*Table1[[#This Row],[Rate (expected)2]]*0.7</f>
        <v>0</v>
      </c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1">
        <f>SUM(Table1[[#This Row],[Jan-23]:[Dec-23]])</f>
        <v>0</v>
      </c>
      <c r="AV416" s="105"/>
      <c r="AW416" s="32"/>
      <c r="AX416" s="35"/>
    </row>
    <row r="417" spans="1:50" ht="26" x14ac:dyDescent="0.3">
      <c r="A417" s="30" t="str">
        <f>VLOOKUP(H417,'Accoount Code Combination'!$D:$L,8,FALSE)</f>
        <v>HR</v>
      </c>
      <c r="B417" s="31" t="str">
        <f>VLOOKUP(Table1[[#This Row],[Account Code]],'Accoount Code Combination'!$D:$L,9,FALSE)</f>
        <v>No Applicable</v>
      </c>
      <c r="C417" s="4" t="str">
        <f>VLOOKUP(Table1[[#This Row],[Cost Center Code]],'Cost Center Group'!A:B,2,FALSE)</f>
        <v>Senior Vice President, Research Office</v>
      </c>
      <c r="D417" s="4">
        <v>847</v>
      </c>
      <c r="E417" s="79">
        <v>8471140</v>
      </c>
      <c r="F417" s="32" t="s">
        <v>339</v>
      </c>
      <c r="G417" s="4">
        <v>1</v>
      </c>
      <c r="H417" s="95">
        <v>426900</v>
      </c>
      <c r="I417" s="106" t="str">
        <f>IFERROR(VLOOKUP(Table1[[#This Row],[Account Code]],'Accoount Code Combination'!$D:$H,2,FALSE),"")</f>
        <v>Postal, courier and other document delivery expenses</v>
      </c>
      <c r="J417" s="79">
        <v>8471140</v>
      </c>
      <c r="K417" s="4"/>
      <c r="L417" s="4" t="str">
        <f>IFERROR(VLOOKUP(Table1[[#This Row],[Future-1 Description]],'Other '!E405:$F414,2,FALSE),"")</f>
        <v/>
      </c>
      <c r="M417" s="32"/>
      <c r="N417" s="32"/>
      <c r="O417" s="32"/>
      <c r="P417" s="49">
        <v>0</v>
      </c>
      <c r="Q417" s="49">
        <v>10000</v>
      </c>
      <c r="R417" s="32"/>
      <c r="S417" s="4"/>
      <c r="T417" s="32"/>
      <c r="U417" s="32"/>
      <c r="V417" s="32"/>
      <c r="W417" s="32"/>
      <c r="X417" s="33"/>
      <c r="Y417" s="33"/>
      <c r="Z417" s="31">
        <f>Table1[[#This Row],[Quantity of measruing units]]*Table1[[#This Row],[Rate (expected)]]</f>
        <v>0</v>
      </c>
      <c r="AA417" s="31"/>
      <c r="AB417" s="31"/>
      <c r="AC417" s="34">
        <f>Table1[[#This Row],[Quantity (expected)]]*Table1[[#This Row],[Rate (expected)2]]*0.9</f>
        <v>0</v>
      </c>
      <c r="AD417" s="34">
        <f>Table1[[#This Row],[Quantity (expected)]]*Table1[[#This Row],[Rate (expected)2]]*0.8</f>
        <v>0</v>
      </c>
      <c r="AE417" s="34">
        <f>Table1[[#This Row],[Quantity (expected)]]*Table1[[#This Row],[Rate (expected)2]]*0.7</f>
        <v>0</v>
      </c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1">
        <f>SUM(Table1[[#This Row],[Jan-23]:[Dec-23]])</f>
        <v>0</v>
      </c>
      <c r="AV417" s="105"/>
      <c r="AW417" s="32"/>
      <c r="AX417" s="35"/>
    </row>
    <row r="418" spans="1:50" x14ac:dyDescent="0.3">
      <c r="A418" s="30" t="str">
        <f>VLOOKUP(H418,'Accoount Code Combination'!$D:$L,8,FALSE)</f>
        <v>Communiction &amp; Marketing</v>
      </c>
      <c r="B418" s="31" t="str">
        <f>VLOOKUP(Table1[[#This Row],[Account Code]],'Accoount Code Combination'!$D:$L,9,FALSE)</f>
        <v>No Applicable</v>
      </c>
      <c r="C418" s="4" t="str">
        <f>VLOOKUP(Table1[[#This Row],[Cost Center Code]],'Cost Center Group'!A:B,2,FALSE)</f>
        <v>Senior Vice President, Research Office</v>
      </c>
      <c r="D418" s="4">
        <v>847</v>
      </c>
      <c r="E418" s="79">
        <v>8471140</v>
      </c>
      <c r="F418" s="32" t="s">
        <v>339</v>
      </c>
      <c r="G418" s="4">
        <v>1</v>
      </c>
      <c r="H418" s="95">
        <v>427200</v>
      </c>
      <c r="I418" s="106" t="str">
        <f>IFERROR(VLOOKUP(Table1[[#This Row],[Account Code]],'Accoount Code Combination'!$D:$H,2,FALSE),"")</f>
        <v>Printing and publishing</v>
      </c>
      <c r="J418" s="79">
        <v>8471140</v>
      </c>
      <c r="K418" s="4"/>
      <c r="L418" s="4" t="str">
        <f>IFERROR(VLOOKUP(Table1[[#This Row],[Future-1 Description]],'Other '!E406:$F415,2,FALSE),"")</f>
        <v/>
      </c>
      <c r="M418" s="32"/>
      <c r="N418" s="32"/>
      <c r="O418" s="32"/>
      <c r="P418" s="49">
        <v>13773.75</v>
      </c>
      <c r="Q418" s="49">
        <v>0</v>
      </c>
      <c r="R418" s="32"/>
      <c r="S418" s="4"/>
      <c r="T418" s="32"/>
      <c r="U418" s="32"/>
      <c r="V418" s="32"/>
      <c r="W418" s="32"/>
      <c r="X418" s="33"/>
      <c r="Y418" s="33"/>
      <c r="Z418" s="31">
        <f>Table1[[#This Row],[Quantity of measruing units]]*Table1[[#This Row],[Rate (expected)]]</f>
        <v>0</v>
      </c>
      <c r="AA418" s="31"/>
      <c r="AB418" s="31"/>
      <c r="AC418" s="34">
        <f>Table1[[#This Row],[Quantity (expected)]]*Table1[[#This Row],[Rate (expected)2]]*0.9</f>
        <v>0</v>
      </c>
      <c r="AD418" s="34">
        <f>Table1[[#This Row],[Quantity (expected)]]*Table1[[#This Row],[Rate (expected)2]]*0.8</f>
        <v>0</v>
      </c>
      <c r="AE418" s="34">
        <f>Table1[[#This Row],[Quantity (expected)]]*Table1[[#This Row],[Rate (expected)2]]*0.7</f>
        <v>0</v>
      </c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1">
        <f>SUM(Table1[[#This Row],[Jan-23]:[Dec-23]])</f>
        <v>0</v>
      </c>
      <c r="AV418" s="105"/>
      <c r="AW418" s="32"/>
      <c r="AX418" s="35"/>
    </row>
    <row r="419" spans="1:50" x14ac:dyDescent="0.3">
      <c r="A419" s="30" t="str">
        <f>VLOOKUP(H419,'Accoount Code Combination'!$D:$L,8,FALSE)</f>
        <v xml:space="preserve">Academic </v>
      </c>
      <c r="B419" s="31" t="str">
        <f>VLOOKUP(Table1[[#This Row],[Account Code]],'Accoount Code Combination'!$D:$L,9,FALSE)</f>
        <v>No Applicable</v>
      </c>
      <c r="C419" s="4" t="str">
        <f>VLOOKUP(Table1[[#This Row],[Cost Center Code]],'Cost Center Group'!A:B,2,FALSE)</f>
        <v>Senior Vice President, Research Office</v>
      </c>
      <c r="D419" s="4">
        <v>847</v>
      </c>
      <c r="E419" s="79">
        <v>8471140</v>
      </c>
      <c r="F419" s="32" t="s">
        <v>339</v>
      </c>
      <c r="G419" s="4">
        <v>1</v>
      </c>
      <c r="H419" s="95">
        <v>428090</v>
      </c>
      <c r="I419" s="106" t="str">
        <f>IFERROR(VLOOKUP(Table1[[#This Row],[Account Code]],'Accoount Code Combination'!$D:$H,2,FALSE),"")</f>
        <v>Business Travel - Combined expenses</v>
      </c>
      <c r="J419" s="79">
        <v>8471140</v>
      </c>
      <c r="K419" s="4"/>
      <c r="L419" s="4" t="str">
        <f>IFERROR(VLOOKUP(Table1[[#This Row],[Future-1 Description]],'Other '!E407:$F416,2,FALSE),"")</f>
        <v/>
      </c>
      <c r="M419" s="32"/>
      <c r="N419" s="32"/>
      <c r="O419" s="32"/>
      <c r="P419" s="49">
        <v>0</v>
      </c>
      <c r="Q419" s="49">
        <v>0</v>
      </c>
      <c r="R419" s="32"/>
      <c r="S419" s="4"/>
      <c r="T419" s="32"/>
      <c r="U419" s="32"/>
      <c r="V419" s="32"/>
      <c r="W419" s="32"/>
      <c r="X419" s="33"/>
      <c r="Y419" s="33"/>
      <c r="Z419" s="31">
        <f>Table1[[#This Row],[Quantity of measruing units]]*Table1[[#This Row],[Rate (expected)]]</f>
        <v>0</v>
      </c>
      <c r="AA419" s="31"/>
      <c r="AB419" s="31"/>
      <c r="AC419" s="34">
        <f>Table1[[#This Row],[Quantity (expected)]]*Table1[[#This Row],[Rate (expected)2]]*0.9</f>
        <v>0</v>
      </c>
      <c r="AD419" s="34">
        <f>Table1[[#This Row],[Quantity (expected)]]*Table1[[#This Row],[Rate (expected)2]]*0.8</f>
        <v>0</v>
      </c>
      <c r="AE419" s="34">
        <f>Table1[[#This Row],[Quantity (expected)]]*Table1[[#This Row],[Rate (expected)2]]*0.7</f>
        <v>0</v>
      </c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1">
        <f>SUM(Table1[[#This Row],[Jan-23]:[Dec-23]])</f>
        <v>0</v>
      </c>
      <c r="AV419" s="105"/>
      <c r="AW419" s="32"/>
      <c r="AX419" s="35"/>
    </row>
    <row r="420" spans="1:50" x14ac:dyDescent="0.3">
      <c r="A420" s="30" t="str">
        <f>VLOOKUP(H420,'Accoount Code Combination'!$D:$L,8,FALSE)</f>
        <v>Communiction &amp; Marketing</v>
      </c>
      <c r="B420" s="31" t="str">
        <f>VLOOKUP(Table1[[#This Row],[Account Code]],'Accoount Code Combination'!$D:$L,9,FALSE)</f>
        <v>Gifts</v>
      </c>
      <c r="C420" s="4" t="str">
        <f>VLOOKUP(Table1[[#This Row],[Cost Center Code]],'Cost Center Group'!A:B,2,FALSE)</f>
        <v>Senior Vice President, Research Office</v>
      </c>
      <c r="D420" s="4">
        <v>847</v>
      </c>
      <c r="E420" s="79">
        <v>8471140</v>
      </c>
      <c r="F420" s="32" t="s">
        <v>339</v>
      </c>
      <c r="G420" s="4">
        <v>1</v>
      </c>
      <c r="H420" s="95">
        <v>428640</v>
      </c>
      <c r="I420" s="106" t="str">
        <f>IFERROR(VLOOKUP(Table1[[#This Row],[Account Code]],'Accoount Code Combination'!$D:$H,2,FALSE),"")</f>
        <v>Events - Awards, prizes &amp; gifts</v>
      </c>
      <c r="J420" s="79">
        <v>8471140</v>
      </c>
      <c r="K420" s="4"/>
      <c r="L420" s="4" t="str">
        <f>IFERROR(VLOOKUP(Table1[[#This Row],[Future-1 Description]],'Other '!E408:$F417,2,FALSE),"")</f>
        <v/>
      </c>
      <c r="M420" s="32"/>
      <c r="N420" s="32"/>
      <c r="O420" s="32"/>
      <c r="P420" s="49">
        <v>0</v>
      </c>
      <c r="Q420" s="49">
        <v>0</v>
      </c>
      <c r="R420" s="32"/>
      <c r="S420" s="4"/>
      <c r="T420" s="32"/>
      <c r="U420" s="32"/>
      <c r="V420" s="32"/>
      <c r="W420" s="32"/>
      <c r="X420" s="33"/>
      <c r="Y420" s="33"/>
      <c r="Z420" s="31">
        <f>Table1[[#This Row],[Quantity of measruing units]]*Table1[[#This Row],[Rate (expected)]]</f>
        <v>0</v>
      </c>
      <c r="AA420" s="31"/>
      <c r="AB420" s="31"/>
      <c r="AC420" s="34">
        <f>Table1[[#This Row],[Quantity (expected)]]*Table1[[#This Row],[Rate (expected)2]]*0.9</f>
        <v>0</v>
      </c>
      <c r="AD420" s="34">
        <f>Table1[[#This Row],[Quantity (expected)]]*Table1[[#This Row],[Rate (expected)2]]*0.8</f>
        <v>0</v>
      </c>
      <c r="AE420" s="34">
        <f>Table1[[#This Row],[Quantity (expected)]]*Table1[[#This Row],[Rate (expected)2]]*0.7</f>
        <v>0</v>
      </c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1">
        <f>SUM(Table1[[#This Row],[Jan-23]:[Dec-23]])</f>
        <v>0</v>
      </c>
      <c r="AV420" s="105"/>
      <c r="AW420" s="32"/>
      <c r="AX420" s="35"/>
    </row>
    <row r="421" spans="1:50" x14ac:dyDescent="0.3">
      <c r="A421" s="30" t="str">
        <f>VLOOKUP(H421,'Accoount Code Combination'!$D:$L,8,FALSE)</f>
        <v>Other support</v>
      </c>
      <c r="B421" s="31" t="str">
        <f>VLOOKUP(Table1[[#This Row],[Account Code]],'Accoount Code Combination'!$D:$L,9,FALSE)</f>
        <v>Legal and professional fees</v>
      </c>
      <c r="C421" s="4" t="str">
        <f>VLOOKUP(Table1[[#This Row],[Cost Center Code]],'Cost Center Group'!A:B,2,FALSE)</f>
        <v>Senior Vice President, Research Office</v>
      </c>
      <c r="D421" s="4">
        <v>847</v>
      </c>
      <c r="E421" s="79">
        <v>8471150</v>
      </c>
      <c r="F421" s="32" t="s">
        <v>212</v>
      </c>
      <c r="G421" s="4">
        <v>1</v>
      </c>
      <c r="H421" s="95">
        <v>420900</v>
      </c>
      <c r="I421" s="106" t="str">
        <f>IFERROR(VLOOKUP(Table1[[#This Row],[Account Code]],'Accoount Code Combination'!$D:$H,2,FALSE),"")</f>
        <v>Legal services</v>
      </c>
      <c r="J421" s="79">
        <v>8471150</v>
      </c>
      <c r="K421" s="4"/>
      <c r="L421" s="4" t="str">
        <f>IFERROR(VLOOKUP(Table1[[#This Row],[Future-1 Description]],'Other '!E409:$F418,2,FALSE),"")</f>
        <v/>
      </c>
      <c r="M421" s="32"/>
      <c r="N421" s="32"/>
      <c r="O421" s="32"/>
      <c r="P421" s="49">
        <v>2676268.31</v>
      </c>
      <c r="Q421" s="49">
        <v>3199193</v>
      </c>
      <c r="R421" s="32"/>
      <c r="S421" s="4"/>
      <c r="T421" s="32"/>
      <c r="U421" s="32"/>
      <c r="V421" s="32"/>
      <c r="W421" s="32"/>
      <c r="X421" s="33"/>
      <c r="Y421" s="33"/>
      <c r="Z421" s="31">
        <f>Table1[[#This Row],[Quantity of measruing units]]*Table1[[#This Row],[Rate (expected)]]</f>
        <v>0</v>
      </c>
      <c r="AA421" s="31"/>
      <c r="AB421" s="31"/>
      <c r="AC421" s="34">
        <f>Table1[[#This Row],[Quantity (expected)]]*Table1[[#This Row],[Rate (expected)2]]*0.9</f>
        <v>0</v>
      </c>
      <c r="AD421" s="34">
        <f>Table1[[#This Row],[Quantity (expected)]]*Table1[[#This Row],[Rate (expected)2]]*0.8</f>
        <v>0</v>
      </c>
      <c r="AE421" s="34">
        <f>Table1[[#This Row],[Quantity (expected)]]*Table1[[#This Row],[Rate (expected)2]]*0.7</f>
        <v>0</v>
      </c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1">
        <f>SUM(Table1[[#This Row],[Jan-23]:[Dec-23]])</f>
        <v>0</v>
      </c>
      <c r="AV421" s="105"/>
      <c r="AW421" s="32"/>
      <c r="AX421" s="35"/>
    </row>
    <row r="422" spans="1:50" x14ac:dyDescent="0.3">
      <c r="A422" s="30" t="str">
        <f>VLOOKUP(H422,'Accoount Code Combination'!$D:$L,8,FALSE)</f>
        <v>HR</v>
      </c>
      <c r="B422" s="31" t="str">
        <f>VLOOKUP(Table1[[#This Row],[Account Code]],'Accoount Code Combination'!$D:$L,9,FALSE)</f>
        <v>Consultancy</v>
      </c>
      <c r="C422" s="4" t="str">
        <f>VLOOKUP(Table1[[#This Row],[Cost Center Code]],'Cost Center Group'!A:B,2,FALSE)</f>
        <v>Senior Vice President, Research Office</v>
      </c>
      <c r="D422" s="4">
        <v>847</v>
      </c>
      <c r="E422" s="79">
        <v>8471150</v>
      </c>
      <c r="F422" s="32" t="s">
        <v>212</v>
      </c>
      <c r="G422" s="4">
        <v>1</v>
      </c>
      <c r="H422" s="95">
        <v>421000</v>
      </c>
      <c r="I422" s="106" t="str">
        <f>IFERROR(VLOOKUP(Table1[[#This Row],[Account Code]],'Accoount Code Combination'!$D:$H,2,FALSE),"")</f>
        <v>Management consultancy</v>
      </c>
      <c r="J422" s="79">
        <v>8471150</v>
      </c>
      <c r="K422" s="4"/>
      <c r="L422" s="4" t="str">
        <f>IFERROR(VLOOKUP(Table1[[#This Row],[Future-1 Description]],'Other '!E410:$F419,2,FALSE),"")</f>
        <v/>
      </c>
      <c r="M422" s="32"/>
      <c r="N422" s="32"/>
      <c r="O422" s="32"/>
      <c r="P422" s="49">
        <v>71623.5</v>
      </c>
      <c r="Q422" s="49">
        <v>0</v>
      </c>
      <c r="R422" s="32"/>
      <c r="S422" s="4"/>
      <c r="T422" s="32"/>
      <c r="U422" s="32"/>
      <c r="V422" s="32"/>
      <c r="W422" s="32"/>
      <c r="X422" s="33"/>
      <c r="Y422" s="33"/>
      <c r="Z422" s="31">
        <f>Table1[[#This Row],[Quantity of measruing units]]*Table1[[#This Row],[Rate (expected)]]</f>
        <v>0</v>
      </c>
      <c r="AA422" s="31"/>
      <c r="AB422" s="31"/>
      <c r="AC422" s="34">
        <f>Table1[[#This Row],[Quantity (expected)]]*Table1[[#This Row],[Rate (expected)2]]*0.9</f>
        <v>0</v>
      </c>
      <c r="AD422" s="34">
        <f>Table1[[#This Row],[Quantity (expected)]]*Table1[[#This Row],[Rate (expected)2]]*0.8</f>
        <v>0</v>
      </c>
      <c r="AE422" s="34">
        <f>Table1[[#This Row],[Quantity (expected)]]*Table1[[#This Row],[Rate (expected)2]]*0.7</f>
        <v>0</v>
      </c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1">
        <f>SUM(Table1[[#This Row],[Jan-23]:[Dec-23]])</f>
        <v>0</v>
      </c>
      <c r="AV422" s="105"/>
      <c r="AW422" s="32"/>
      <c r="AX422" s="35"/>
    </row>
    <row r="423" spans="1:50" ht="26" x14ac:dyDescent="0.3">
      <c r="A423" s="30" t="str">
        <f>VLOOKUP(H423,'Accoount Code Combination'!$D:$L,8,FALSE)</f>
        <v>Communiction &amp; Marketing</v>
      </c>
      <c r="B423" s="31" t="str">
        <f>VLOOKUP(Table1[[#This Row],[Account Code]],'Accoount Code Combination'!$D:$L,9,FALSE)</f>
        <v>Events</v>
      </c>
      <c r="C423" s="4" t="str">
        <f>VLOOKUP(Table1[[#This Row],[Cost Center Code]],'Cost Center Group'!A:B,2,FALSE)</f>
        <v>Senior Vice President, Research Office</v>
      </c>
      <c r="D423" s="4">
        <v>847</v>
      </c>
      <c r="E423" s="79">
        <v>8471150</v>
      </c>
      <c r="F423" s="32" t="s">
        <v>212</v>
      </c>
      <c r="G423" s="4">
        <v>1</v>
      </c>
      <c r="H423" s="95">
        <v>425510</v>
      </c>
      <c r="I423" s="106" t="str">
        <f>IFERROR(VLOOKUP(Table1[[#This Row],[Account Code]],'Accoount Code Combination'!$D:$H,2,FALSE),"")</f>
        <v>Conferences, seminars and exhibitions and other events: - Local Events</v>
      </c>
      <c r="J423" s="79">
        <v>8471150</v>
      </c>
      <c r="K423" s="4"/>
      <c r="L423" s="4" t="str">
        <f>IFERROR(VLOOKUP(Table1[[#This Row],[Future-1 Description]],'Other '!E411:$F420,2,FALSE),"")</f>
        <v/>
      </c>
      <c r="M423" s="32"/>
      <c r="N423" s="32"/>
      <c r="O423" s="32"/>
      <c r="P423" s="49">
        <v>0</v>
      </c>
      <c r="Q423" s="49">
        <v>0</v>
      </c>
      <c r="R423" s="32"/>
      <c r="S423" s="4"/>
      <c r="T423" s="32"/>
      <c r="U423" s="32"/>
      <c r="V423" s="32"/>
      <c r="W423" s="32"/>
      <c r="X423" s="33"/>
      <c r="Y423" s="33"/>
      <c r="Z423" s="31">
        <f>Table1[[#This Row],[Quantity of measruing units]]*Table1[[#This Row],[Rate (expected)]]</f>
        <v>0</v>
      </c>
      <c r="AA423" s="31"/>
      <c r="AB423" s="31"/>
      <c r="AC423" s="34">
        <f>Table1[[#This Row],[Quantity (expected)]]*Table1[[#This Row],[Rate (expected)2]]*0.9</f>
        <v>0</v>
      </c>
      <c r="AD423" s="34">
        <f>Table1[[#This Row],[Quantity (expected)]]*Table1[[#This Row],[Rate (expected)2]]*0.8</f>
        <v>0</v>
      </c>
      <c r="AE423" s="34">
        <f>Table1[[#This Row],[Quantity (expected)]]*Table1[[#This Row],[Rate (expected)2]]*0.7</f>
        <v>0</v>
      </c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1">
        <f>SUM(Table1[[#This Row],[Jan-23]:[Dec-23]])</f>
        <v>0</v>
      </c>
      <c r="AV423" s="105"/>
      <c r="AW423" s="32"/>
      <c r="AX423" s="35"/>
    </row>
    <row r="424" spans="1:50" ht="26" x14ac:dyDescent="0.3">
      <c r="A424" s="30" t="str">
        <f>VLOOKUP(H424,'Accoount Code Combination'!$D:$L,8,FALSE)</f>
        <v>Communiction &amp; Marketing</v>
      </c>
      <c r="B424" s="31" t="str">
        <f>VLOOKUP(Table1[[#This Row],[Account Code]],'Accoount Code Combination'!$D:$L,9,FALSE)</f>
        <v>No Applicable</v>
      </c>
      <c r="C424" s="4" t="str">
        <f>VLOOKUP(Table1[[#This Row],[Cost Center Code]],'Cost Center Group'!A:B,2,FALSE)</f>
        <v>Senior Vice President, Research Office</v>
      </c>
      <c r="D424" s="4">
        <v>847</v>
      </c>
      <c r="E424" s="79">
        <v>8471150</v>
      </c>
      <c r="F424" s="32" t="s">
        <v>212</v>
      </c>
      <c r="G424" s="4">
        <v>1</v>
      </c>
      <c r="H424" s="95">
        <v>425550</v>
      </c>
      <c r="I424" s="106" t="str">
        <f>IFERROR(VLOOKUP(Table1[[#This Row],[Account Code]],'Accoount Code Combination'!$D:$H,2,FALSE),"")</f>
        <v>Conferences, seminars and exhibitions and other events: - Overseas event</v>
      </c>
      <c r="J424" s="79">
        <v>8471150</v>
      </c>
      <c r="K424" s="4"/>
      <c r="L424" s="4" t="str">
        <f>IFERROR(VLOOKUP(Table1[[#This Row],[Future-1 Description]],'Other '!E412:$F421,2,FALSE),"")</f>
        <v/>
      </c>
      <c r="M424" s="32"/>
      <c r="N424" s="32"/>
      <c r="O424" s="32"/>
      <c r="P424" s="49">
        <v>0</v>
      </c>
      <c r="Q424" s="49">
        <v>0</v>
      </c>
      <c r="R424" s="32"/>
      <c r="S424" s="4"/>
      <c r="T424" s="32"/>
      <c r="U424" s="32"/>
      <c r="V424" s="32"/>
      <c r="W424" s="32"/>
      <c r="X424" s="33"/>
      <c r="Y424" s="33"/>
      <c r="Z424" s="31">
        <f>Table1[[#This Row],[Quantity of measruing units]]*Table1[[#This Row],[Rate (expected)]]</f>
        <v>0</v>
      </c>
      <c r="AA424" s="31"/>
      <c r="AB424" s="31"/>
      <c r="AC424" s="34">
        <f>Table1[[#This Row],[Quantity (expected)]]*Table1[[#This Row],[Rate (expected)2]]*0.9</f>
        <v>0</v>
      </c>
      <c r="AD424" s="34">
        <f>Table1[[#This Row],[Quantity (expected)]]*Table1[[#This Row],[Rate (expected)2]]*0.8</f>
        <v>0</v>
      </c>
      <c r="AE424" s="34">
        <f>Table1[[#This Row],[Quantity (expected)]]*Table1[[#This Row],[Rate (expected)2]]*0.7</f>
        <v>0</v>
      </c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1">
        <f>SUM(Table1[[#This Row],[Jan-23]:[Dec-23]])</f>
        <v>0</v>
      </c>
      <c r="AV424" s="105"/>
      <c r="AW424" s="32"/>
      <c r="AX424" s="35"/>
    </row>
    <row r="425" spans="1:50" x14ac:dyDescent="0.3">
      <c r="A425" s="30" t="str">
        <f>VLOOKUP(H425,'Accoount Code Combination'!$D:$L,8,FALSE)</f>
        <v>IT</v>
      </c>
      <c r="B425" s="31" t="str">
        <f>VLOOKUP(Table1[[#This Row],[Account Code]],'Accoount Code Combination'!$D:$L,9,FALSE)</f>
        <v>Software Operating</v>
      </c>
      <c r="C425" s="4" t="str">
        <f>VLOOKUP(Table1[[#This Row],[Cost Center Code]],'Cost Center Group'!A:B,2,FALSE)</f>
        <v>Senior Vice President, Research Office</v>
      </c>
      <c r="D425" s="4">
        <v>847</v>
      </c>
      <c r="E425" s="79">
        <v>8471150</v>
      </c>
      <c r="F425" s="32" t="s">
        <v>212</v>
      </c>
      <c r="G425" s="4">
        <v>1</v>
      </c>
      <c r="H425" s="95">
        <v>426610</v>
      </c>
      <c r="I425" s="106" t="str">
        <f>IFERROR(VLOOKUP(Table1[[#This Row],[Account Code]],'Accoount Code Combination'!$D:$H,2,FALSE),"")</f>
        <v>Computer software licenses</v>
      </c>
      <c r="J425" s="79">
        <v>8471150</v>
      </c>
      <c r="K425" s="4"/>
      <c r="L425" s="4" t="str">
        <f>IFERROR(VLOOKUP(Table1[[#This Row],[Future-1 Description]],'Other '!E413:$F422,2,FALSE),"")</f>
        <v/>
      </c>
      <c r="M425" s="32"/>
      <c r="N425" s="32"/>
      <c r="O425" s="32"/>
      <c r="P425" s="49">
        <v>26783.52</v>
      </c>
      <c r="Q425" s="49">
        <v>98576</v>
      </c>
      <c r="R425" s="32"/>
      <c r="S425" s="4"/>
      <c r="T425" s="32"/>
      <c r="U425" s="32"/>
      <c r="V425" s="32"/>
      <c r="W425" s="32"/>
      <c r="X425" s="33"/>
      <c r="Y425" s="33"/>
      <c r="Z425" s="31">
        <f>Table1[[#This Row],[Quantity of measruing units]]*Table1[[#This Row],[Rate (expected)]]</f>
        <v>0</v>
      </c>
      <c r="AA425" s="31"/>
      <c r="AB425" s="31"/>
      <c r="AC425" s="34">
        <f>Table1[[#This Row],[Quantity (expected)]]*Table1[[#This Row],[Rate (expected)2]]*0.9</f>
        <v>0</v>
      </c>
      <c r="AD425" s="34">
        <f>Table1[[#This Row],[Quantity (expected)]]*Table1[[#This Row],[Rate (expected)2]]*0.8</f>
        <v>0</v>
      </c>
      <c r="AE425" s="34">
        <f>Table1[[#This Row],[Quantity (expected)]]*Table1[[#This Row],[Rate (expected)2]]*0.7</f>
        <v>0</v>
      </c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1">
        <f>SUM(Table1[[#This Row],[Jan-23]:[Dec-23]])</f>
        <v>0</v>
      </c>
      <c r="AV425" s="105"/>
      <c r="AW425" s="32"/>
      <c r="AX425" s="35"/>
    </row>
    <row r="426" spans="1:50" x14ac:dyDescent="0.3">
      <c r="A426" s="30" t="str">
        <f>VLOOKUP(H426,'Accoount Code Combination'!$D:$L,8,FALSE)</f>
        <v xml:space="preserve">Academic </v>
      </c>
      <c r="B426" s="31" t="str">
        <f>VLOOKUP(Table1[[#This Row],[Account Code]],'Accoount Code Combination'!$D:$L,9,FALSE)</f>
        <v>No Applicable</v>
      </c>
      <c r="C426" s="4" t="str">
        <f>VLOOKUP(Table1[[#This Row],[Cost Center Code]],'Cost Center Group'!A:B,2,FALSE)</f>
        <v>Senior Vice President, Research Office</v>
      </c>
      <c r="D426" s="4">
        <v>847</v>
      </c>
      <c r="E426" s="79">
        <v>8471150</v>
      </c>
      <c r="F426" s="32" t="s">
        <v>212</v>
      </c>
      <c r="G426" s="4">
        <v>1</v>
      </c>
      <c r="H426" s="95">
        <v>428090</v>
      </c>
      <c r="I426" s="106" t="str">
        <f>IFERROR(VLOOKUP(Table1[[#This Row],[Account Code]],'Accoount Code Combination'!$D:$H,2,FALSE),"")</f>
        <v>Business Travel - Combined expenses</v>
      </c>
      <c r="J426" s="79">
        <v>8471150</v>
      </c>
      <c r="K426" s="4"/>
      <c r="L426" s="4" t="str">
        <f>IFERROR(VLOOKUP(Table1[[#This Row],[Future-1 Description]],'Other '!E414:$F423,2,FALSE),"")</f>
        <v/>
      </c>
      <c r="M426" s="32"/>
      <c r="N426" s="32"/>
      <c r="O426" s="32"/>
      <c r="P426" s="49">
        <v>0</v>
      </c>
      <c r="Q426" s="49">
        <v>0</v>
      </c>
      <c r="R426" s="32"/>
      <c r="S426" s="4"/>
      <c r="T426" s="32"/>
      <c r="U426" s="32"/>
      <c r="V426" s="32"/>
      <c r="W426" s="32"/>
      <c r="X426" s="33"/>
      <c r="Y426" s="33"/>
      <c r="Z426" s="31">
        <f>Table1[[#This Row],[Quantity of measruing units]]*Table1[[#This Row],[Rate (expected)]]</f>
        <v>0</v>
      </c>
      <c r="AA426" s="31"/>
      <c r="AB426" s="31"/>
      <c r="AC426" s="34">
        <f>Table1[[#This Row],[Quantity (expected)]]*Table1[[#This Row],[Rate (expected)2]]*0.9</f>
        <v>0</v>
      </c>
      <c r="AD426" s="34">
        <f>Table1[[#This Row],[Quantity (expected)]]*Table1[[#This Row],[Rate (expected)2]]*0.8</f>
        <v>0</v>
      </c>
      <c r="AE426" s="34">
        <f>Table1[[#This Row],[Quantity (expected)]]*Table1[[#This Row],[Rate (expected)2]]*0.7</f>
        <v>0</v>
      </c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1">
        <f>SUM(Table1[[#This Row],[Jan-23]:[Dec-23]])</f>
        <v>0</v>
      </c>
      <c r="AV426" s="105"/>
      <c r="AW426" s="32"/>
      <c r="AX426" s="35"/>
    </row>
    <row r="427" spans="1:50" x14ac:dyDescent="0.3">
      <c r="A427" s="30" t="str">
        <f>VLOOKUP(H427,'Accoount Code Combination'!$D:$L,8,FALSE)</f>
        <v>Other support</v>
      </c>
      <c r="B427" s="31" t="str">
        <f>VLOOKUP(Table1[[#This Row],[Account Code]],'Accoount Code Combination'!$D:$L,9,FALSE)</f>
        <v>Subscriptions</v>
      </c>
      <c r="C427" s="4" t="str">
        <f>VLOOKUP(Table1[[#This Row],[Cost Center Code]],'Cost Center Group'!A:B,2,FALSE)</f>
        <v>Senior Vice President, Research Office</v>
      </c>
      <c r="D427" s="4">
        <v>847</v>
      </c>
      <c r="E427" s="79">
        <v>8471150</v>
      </c>
      <c r="F427" s="32" t="s">
        <v>212</v>
      </c>
      <c r="G427" s="4">
        <v>1</v>
      </c>
      <c r="H427" s="95">
        <v>435310</v>
      </c>
      <c r="I427" s="106" t="str">
        <f>IFERROR(VLOOKUP(Table1[[#This Row],[Account Code]],'Accoount Code Combination'!$D:$H,2,FALSE),"")</f>
        <v>Newspapers, magazines, journals, etc</v>
      </c>
      <c r="J427" s="79">
        <v>8471150</v>
      </c>
      <c r="K427" s="4"/>
      <c r="L427" s="4" t="str">
        <f>IFERROR(VLOOKUP(Table1[[#This Row],[Future-1 Description]],'Other '!E415:$F424,2,FALSE),"")</f>
        <v/>
      </c>
      <c r="M427" s="32"/>
      <c r="N427" s="32"/>
      <c r="O427" s="32"/>
      <c r="P427" s="49">
        <v>0</v>
      </c>
      <c r="Q427" s="49">
        <v>0</v>
      </c>
      <c r="R427" s="32"/>
      <c r="S427" s="4"/>
      <c r="T427" s="32"/>
      <c r="U427" s="32"/>
      <c r="V427" s="32"/>
      <c r="W427" s="32"/>
      <c r="X427" s="33"/>
      <c r="Y427" s="33"/>
      <c r="Z427" s="31">
        <f>Table1[[#This Row],[Quantity of measruing units]]*Table1[[#This Row],[Rate (expected)]]</f>
        <v>0</v>
      </c>
      <c r="AA427" s="31"/>
      <c r="AB427" s="31"/>
      <c r="AC427" s="34">
        <f>Table1[[#This Row],[Quantity (expected)]]*Table1[[#This Row],[Rate (expected)2]]*0.9</f>
        <v>0</v>
      </c>
      <c r="AD427" s="34">
        <f>Table1[[#This Row],[Quantity (expected)]]*Table1[[#This Row],[Rate (expected)2]]*0.8</f>
        <v>0</v>
      </c>
      <c r="AE427" s="34">
        <f>Table1[[#This Row],[Quantity (expected)]]*Table1[[#This Row],[Rate (expected)2]]*0.7</f>
        <v>0</v>
      </c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1">
        <f>SUM(Table1[[#This Row],[Jan-23]:[Dec-23]])</f>
        <v>0</v>
      </c>
      <c r="AV427" s="105"/>
      <c r="AW427" s="32"/>
      <c r="AX427" s="35"/>
    </row>
    <row r="428" spans="1:50" x14ac:dyDescent="0.3">
      <c r="A428" s="30" t="str">
        <f>VLOOKUP(H428,'Accoount Code Combination'!$D:$L,8,FALSE)</f>
        <v>Academic</v>
      </c>
      <c r="B428" s="31" t="str">
        <f>VLOOKUP(Table1[[#This Row],[Account Code]],'Accoount Code Combination'!$D:$L,9,FALSE)</f>
        <v>No Applicable</v>
      </c>
      <c r="C428" s="4" t="str">
        <f>VLOOKUP(Table1[[#This Row],[Cost Center Code]],'Cost Center Group'!A:B,2,FALSE)</f>
        <v>Senior Vice President, Research Office</v>
      </c>
      <c r="D428" s="4">
        <v>847</v>
      </c>
      <c r="E428" s="79">
        <v>8471160</v>
      </c>
      <c r="F428" s="32" t="s">
        <v>281</v>
      </c>
      <c r="G428" s="4">
        <v>1</v>
      </c>
      <c r="H428" s="95">
        <v>421700</v>
      </c>
      <c r="I428" s="106" t="str">
        <f>IFERROR(VLOOKUP(Table1[[#This Row],[Account Code]],'Accoount Code Combination'!$D:$H,2,FALSE),"")</f>
        <v>Standards certification (e.g. ISO)</v>
      </c>
      <c r="J428" s="79">
        <v>8471160</v>
      </c>
      <c r="K428" s="4"/>
      <c r="L428" s="4" t="str">
        <f>IFERROR(VLOOKUP(Table1[[#This Row],[Future-1 Description]],'Other '!E416:$F425,2,FALSE),"")</f>
        <v/>
      </c>
      <c r="M428" s="32"/>
      <c r="N428" s="32"/>
      <c r="O428" s="32"/>
      <c r="P428" s="49">
        <v>6300.22</v>
      </c>
      <c r="Q428" s="49">
        <v>0</v>
      </c>
      <c r="R428" s="32"/>
      <c r="S428" s="4"/>
      <c r="T428" s="32"/>
      <c r="U428" s="32"/>
      <c r="V428" s="32"/>
      <c r="W428" s="32"/>
      <c r="X428" s="33"/>
      <c r="Y428" s="33"/>
      <c r="Z428" s="31">
        <f>Table1[[#This Row],[Quantity of measruing units]]*Table1[[#This Row],[Rate (expected)]]</f>
        <v>0</v>
      </c>
      <c r="AA428" s="31"/>
      <c r="AB428" s="31"/>
      <c r="AC428" s="34">
        <f>Table1[[#This Row],[Quantity (expected)]]*Table1[[#This Row],[Rate (expected)2]]*0.9</f>
        <v>0</v>
      </c>
      <c r="AD428" s="34">
        <f>Table1[[#This Row],[Quantity (expected)]]*Table1[[#This Row],[Rate (expected)2]]*0.8</f>
        <v>0</v>
      </c>
      <c r="AE428" s="34">
        <f>Table1[[#This Row],[Quantity (expected)]]*Table1[[#This Row],[Rate (expected)2]]*0.7</f>
        <v>0</v>
      </c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1">
        <f>SUM(Table1[[#This Row],[Jan-23]:[Dec-23]])</f>
        <v>0</v>
      </c>
      <c r="AV428" s="105"/>
      <c r="AW428" s="32"/>
      <c r="AX428" s="35"/>
    </row>
    <row r="429" spans="1:50" x14ac:dyDescent="0.3">
      <c r="A429" s="30" t="str">
        <f>VLOOKUP(H429,'Accoount Code Combination'!$D:$L,8,FALSE)</f>
        <v xml:space="preserve">Facilities </v>
      </c>
      <c r="B429" s="31" t="str">
        <f>VLOOKUP(Table1[[#This Row],[Account Code]],'Accoount Code Combination'!$D:$L,9,FALSE)</f>
        <v>No Applicable</v>
      </c>
      <c r="C429" s="4" t="str">
        <f>VLOOKUP(Table1[[#This Row],[Cost Center Code]],'Cost Center Group'!A:B,2,FALSE)</f>
        <v>Senior Vice President, Research Office</v>
      </c>
      <c r="D429" s="4">
        <v>847</v>
      </c>
      <c r="E429" s="79">
        <v>8471160</v>
      </c>
      <c r="F429" s="32" t="s">
        <v>281</v>
      </c>
      <c r="G429" s="4">
        <v>1</v>
      </c>
      <c r="H429" s="95">
        <v>422100</v>
      </c>
      <c r="I429" s="106" t="str">
        <f>IFERROR(VLOOKUP(Table1[[#This Row],[Account Code]],'Accoount Code Combination'!$D:$H,2,FALSE),"")</f>
        <v>Waste management service</v>
      </c>
      <c r="J429" s="79">
        <v>8471160</v>
      </c>
      <c r="K429" s="4"/>
      <c r="L429" s="4" t="str">
        <f>IFERROR(VLOOKUP(Table1[[#This Row],[Future-1 Description]],'Other '!E417:$F426,2,FALSE),"")</f>
        <v/>
      </c>
      <c r="M429" s="32"/>
      <c r="N429" s="32"/>
      <c r="O429" s="32"/>
      <c r="P429" s="49">
        <v>3122.05</v>
      </c>
      <c r="Q429" s="49">
        <v>150000</v>
      </c>
      <c r="R429" s="32"/>
      <c r="S429" s="4"/>
      <c r="T429" s="32"/>
      <c r="U429" s="32"/>
      <c r="V429" s="32"/>
      <c r="W429" s="32"/>
      <c r="X429" s="33"/>
      <c r="Y429" s="33"/>
      <c r="Z429" s="31">
        <f>Table1[[#This Row],[Quantity of measruing units]]*Table1[[#This Row],[Rate (expected)]]</f>
        <v>0</v>
      </c>
      <c r="AA429" s="31"/>
      <c r="AB429" s="31"/>
      <c r="AC429" s="34">
        <f>Table1[[#This Row],[Quantity (expected)]]*Table1[[#This Row],[Rate (expected)2]]*0.9</f>
        <v>0</v>
      </c>
      <c r="AD429" s="34">
        <f>Table1[[#This Row],[Quantity (expected)]]*Table1[[#This Row],[Rate (expected)2]]*0.8</f>
        <v>0</v>
      </c>
      <c r="AE429" s="34">
        <f>Table1[[#This Row],[Quantity (expected)]]*Table1[[#This Row],[Rate (expected)2]]*0.7</f>
        <v>0</v>
      </c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1">
        <f>SUM(Table1[[#This Row],[Jan-23]:[Dec-23]])</f>
        <v>0</v>
      </c>
      <c r="AV429" s="105"/>
      <c r="AW429" s="32"/>
      <c r="AX429" s="35"/>
    </row>
    <row r="430" spans="1:50" x14ac:dyDescent="0.3">
      <c r="A430" s="30" t="str">
        <f>VLOOKUP(H430,'Accoount Code Combination'!$D:$L,8,FALSE)</f>
        <v>IT</v>
      </c>
      <c r="B430" s="31" t="str">
        <f>VLOOKUP(Table1[[#This Row],[Account Code]],'Accoount Code Combination'!$D:$L,9,FALSE)</f>
        <v>Software Operating</v>
      </c>
      <c r="C430" s="4" t="str">
        <f>VLOOKUP(Table1[[#This Row],[Cost Center Code]],'Cost Center Group'!A:B,2,FALSE)</f>
        <v>Senior Vice President, Research Office</v>
      </c>
      <c r="D430" s="4">
        <v>847</v>
      </c>
      <c r="E430" s="79">
        <v>8471160</v>
      </c>
      <c r="F430" s="32" t="s">
        <v>281</v>
      </c>
      <c r="G430" s="4">
        <v>1</v>
      </c>
      <c r="H430" s="95">
        <v>426610</v>
      </c>
      <c r="I430" s="106" t="str">
        <f>IFERROR(VLOOKUP(Table1[[#This Row],[Account Code]],'Accoount Code Combination'!$D:$H,2,FALSE),"")</f>
        <v>Computer software licenses</v>
      </c>
      <c r="J430" s="79">
        <v>8471160</v>
      </c>
      <c r="K430" s="4"/>
      <c r="L430" s="4" t="str">
        <f>IFERROR(VLOOKUP(Table1[[#This Row],[Future-1 Description]],'Other '!E418:$F427,2,FALSE),"")</f>
        <v/>
      </c>
      <c r="M430" s="32"/>
      <c r="N430" s="32"/>
      <c r="O430" s="32"/>
      <c r="P430" s="49">
        <v>0</v>
      </c>
      <c r="Q430" s="49">
        <v>100000</v>
      </c>
      <c r="R430" s="32"/>
      <c r="S430" s="4"/>
      <c r="T430" s="32"/>
      <c r="U430" s="32"/>
      <c r="V430" s="32"/>
      <c r="W430" s="32"/>
      <c r="X430" s="33"/>
      <c r="Y430" s="33"/>
      <c r="Z430" s="31">
        <f>Table1[[#This Row],[Quantity of measruing units]]*Table1[[#This Row],[Rate (expected)]]</f>
        <v>0</v>
      </c>
      <c r="AA430" s="31"/>
      <c r="AB430" s="31"/>
      <c r="AC430" s="34">
        <f>Table1[[#This Row],[Quantity (expected)]]*Table1[[#This Row],[Rate (expected)2]]*0.9</f>
        <v>0</v>
      </c>
      <c r="AD430" s="34">
        <f>Table1[[#This Row],[Quantity (expected)]]*Table1[[#This Row],[Rate (expected)2]]*0.8</f>
        <v>0</v>
      </c>
      <c r="AE430" s="34">
        <f>Table1[[#This Row],[Quantity (expected)]]*Table1[[#This Row],[Rate (expected)2]]*0.7</f>
        <v>0</v>
      </c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1">
        <f>SUM(Table1[[#This Row],[Jan-23]:[Dec-23]])</f>
        <v>0</v>
      </c>
      <c r="AV430" s="105"/>
      <c r="AW430" s="32"/>
      <c r="AX430" s="35"/>
    </row>
    <row r="431" spans="1:50" x14ac:dyDescent="0.3">
      <c r="A431" s="30" t="str">
        <f>VLOOKUP(H431,'Accoount Code Combination'!$D:$L,8,FALSE)</f>
        <v xml:space="preserve">Facilities </v>
      </c>
      <c r="B431" s="31" t="str">
        <f>VLOOKUP(Table1[[#This Row],[Account Code]],'Accoount Code Combination'!$D:$L,9,FALSE)</f>
        <v>No Applicable</v>
      </c>
      <c r="C431" s="4" t="str">
        <f>VLOOKUP(Table1[[#This Row],[Cost Center Code]],'Cost Center Group'!A:B,2,FALSE)</f>
        <v>Senior Vice President, Research Office</v>
      </c>
      <c r="D431" s="4">
        <v>847</v>
      </c>
      <c r="E431" s="79">
        <v>8471160</v>
      </c>
      <c r="F431" s="32" t="s">
        <v>281</v>
      </c>
      <c r="G431" s="4">
        <v>1</v>
      </c>
      <c r="H431" s="95">
        <v>430330</v>
      </c>
      <c r="I431" s="106" t="str">
        <f>IFERROR(VLOOKUP(Table1[[#This Row],[Account Code]],'Accoount Code Combination'!$D:$H,2,FALSE),"")</f>
        <v>Rental - Motor vehicles</v>
      </c>
      <c r="J431" s="79">
        <v>8471160</v>
      </c>
      <c r="K431" s="4"/>
      <c r="L431" s="4" t="str">
        <f>IFERROR(VLOOKUP(Table1[[#This Row],[Future-1 Description]],'Other '!E419:$F428,2,FALSE),"")</f>
        <v/>
      </c>
      <c r="M431" s="32"/>
      <c r="N431" s="32"/>
      <c r="O431" s="32"/>
      <c r="P431" s="49">
        <v>-86771.67</v>
      </c>
      <c r="Q431" s="49">
        <v>0</v>
      </c>
      <c r="R431" s="32"/>
      <c r="S431" s="4"/>
      <c r="T431" s="32"/>
      <c r="U431" s="32"/>
      <c r="V431" s="32"/>
      <c r="W431" s="32"/>
      <c r="X431" s="33"/>
      <c r="Y431" s="33"/>
      <c r="Z431" s="31">
        <f>Table1[[#This Row],[Quantity of measruing units]]*Table1[[#This Row],[Rate (expected)]]</f>
        <v>0</v>
      </c>
      <c r="AA431" s="31"/>
      <c r="AB431" s="31"/>
      <c r="AC431" s="34">
        <f>Table1[[#This Row],[Quantity (expected)]]*Table1[[#This Row],[Rate (expected)2]]*0.9</f>
        <v>0</v>
      </c>
      <c r="AD431" s="34">
        <f>Table1[[#This Row],[Quantity (expected)]]*Table1[[#This Row],[Rate (expected)2]]*0.8</f>
        <v>0</v>
      </c>
      <c r="AE431" s="34">
        <f>Table1[[#This Row],[Quantity (expected)]]*Table1[[#This Row],[Rate (expected)2]]*0.7</f>
        <v>0</v>
      </c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1">
        <f>SUM(Table1[[#This Row],[Jan-23]:[Dec-23]])</f>
        <v>0</v>
      </c>
      <c r="AV431" s="105"/>
      <c r="AW431" s="32"/>
      <c r="AX431" s="35"/>
    </row>
    <row r="432" spans="1:50" x14ac:dyDescent="0.3">
      <c r="A432" s="30" t="str">
        <f>VLOOKUP(H432,'Accoount Code Combination'!$D:$L,8,FALSE)</f>
        <v xml:space="preserve">Facilities </v>
      </c>
      <c r="B432" s="31" t="str">
        <f>VLOOKUP(Table1[[#This Row],[Account Code]],'Accoount Code Combination'!$D:$L,9,FALSE)</f>
        <v>No Applicable</v>
      </c>
      <c r="C432" s="4" t="str">
        <f>VLOOKUP(Table1[[#This Row],[Cost Center Code]],'Cost Center Group'!A:B,2,FALSE)</f>
        <v>Senior Vice President, Research Office</v>
      </c>
      <c r="D432" s="4">
        <v>847</v>
      </c>
      <c r="E432" s="79">
        <v>8471160</v>
      </c>
      <c r="F432" s="32" t="s">
        <v>281</v>
      </c>
      <c r="G432" s="4">
        <v>1</v>
      </c>
      <c r="H432" s="95">
        <v>432120</v>
      </c>
      <c r="I432" s="106" t="str">
        <f>IFERROR(VLOOKUP(Table1[[#This Row],[Account Code]],'Accoount Code Combination'!$D:$H,2,FALSE),"")</f>
        <v>Bldg maintenance-Business premises</v>
      </c>
      <c r="J432" s="79">
        <v>8471160</v>
      </c>
      <c r="K432" s="4"/>
      <c r="L432" s="4" t="str">
        <f>IFERROR(VLOOKUP(Table1[[#This Row],[Future-1 Description]],'Other '!E420:$F429,2,FALSE),"")</f>
        <v/>
      </c>
      <c r="M432" s="32"/>
      <c r="N432" s="32"/>
      <c r="O432" s="32"/>
      <c r="P432" s="49">
        <v>0</v>
      </c>
      <c r="Q432" s="49">
        <v>0</v>
      </c>
      <c r="R432" s="32"/>
      <c r="S432" s="4"/>
      <c r="T432" s="32"/>
      <c r="U432" s="32"/>
      <c r="V432" s="32"/>
      <c r="W432" s="32"/>
      <c r="X432" s="33"/>
      <c r="Y432" s="33"/>
      <c r="Z432" s="31">
        <f>Table1[[#This Row],[Quantity of measruing units]]*Table1[[#This Row],[Rate (expected)]]</f>
        <v>0</v>
      </c>
      <c r="AA432" s="31"/>
      <c r="AB432" s="31"/>
      <c r="AC432" s="34">
        <f>Table1[[#This Row],[Quantity (expected)]]*Table1[[#This Row],[Rate (expected)2]]*0.9</f>
        <v>0</v>
      </c>
      <c r="AD432" s="34">
        <f>Table1[[#This Row],[Quantity (expected)]]*Table1[[#This Row],[Rate (expected)2]]*0.8</f>
        <v>0</v>
      </c>
      <c r="AE432" s="34">
        <f>Table1[[#This Row],[Quantity (expected)]]*Table1[[#This Row],[Rate (expected)2]]*0.7</f>
        <v>0</v>
      </c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1">
        <f>SUM(Table1[[#This Row],[Jan-23]:[Dec-23]])</f>
        <v>0</v>
      </c>
      <c r="AV432" s="105"/>
      <c r="AW432" s="32"/>
      <c r="AX432" s="35"/>
    </row>
    <row r="433" spans="1:50" x14ac:dyDescent="0.3">
      <c r="A433" s="30" t="str">
        <f>VLOOKUP(H433,'Accoount Code Combination'!$D:$L,8,FALSE)</f>
        <v>Academic</v>
      </c>
      <c r="B433" s="31" t="str">
        <f>VLOOKUP(Table1[[#This Row],[Account Code]],'Accoount Code Combination'!$D:$L,9,FALSE)</f>
        <v>No Applicable</v>
      </c>
      <c r="C433" s="4" t="str">
        <f>VLOOKUP(Table1[[#This Row],[Cost Center Code]],'Cost Center Group'!A:B,2,FALSE)</f>
        <v>Senior Vice President, Research Office</v>
      </c>
      <c r="D433" s="4">
        <v>847</v>
      </c>
      <c r="E433" s="79">
        <v>8471160</v>
      </c>
      <c r="F433" s="32" t="s">
        <v>281</v>
      </c>
      <c r="G433" s="4">
        <v>1</v>
      </c>
      <c r="H433" s="95">
        <v>432209</v>
      </c>
      <c r="I433" s="106" t="str">
        <f>IFERROR(VLOOKUP(Table1[[#This Row],[Account Code]],'Accoount Code Combination'!$D:$H,2,FALSE),"")</f>
        <v>Laboratory equipment</v>
      </c>
      <c r="J433" s="79">
        <v>8471160</v>
      </c>
      <c r="K433" s="4"/>
      <c r="L433" s="4" t="str">
        <f>IFERROR(VLOOKUP(Table1[[#This Row],[Future-1 Description]],'Other '!E421:$F430,2,FALSE),"")</f>
        <v/>
      </c>
      <c r="M433" s="32"/>
      <c r="N433" s="32"/>
      <c r="O433" s="32"/>
      <c r="P433" s="49">
        <v>12105813.25</v>
      </c>
      <c r="Q433" s="49">
        <v>14279758</v>
      </c>
      <c r="R433" s="32"/>
      <c r="S433" s="4"/>
      <c r="T433" s="32"/>
      <c r="U433" s="32"/>
      <c r="V433" s="32"/>
      <c r="W433" s="32"/>
      <c r="X433" s="33"/>
      <c r="Y433" s="33"/>
      <c r="Z433" s="31">
        <f>Table1[[#This Row],[Quantity of measruing units]]*Table1[[#This Row],[Rate (expected)]]</f>
        <v>0</v>
      </c>
      <c r="AA433" s="31"/>
      <c r="AB433" s="31"/>
      <c r="AC433" s="34">
        <f>Table1[[#This Row],[Quantity (expected)]]*Table1[[#This Row],[Rate (expected)2]]*0.9</f>
        <v>0</v>
      </c>
      <c r="AD433" s="34">
        <f>Table1[[#This Row],[Quantity (expected)]]*Table1[[#This Row],[Rate (expected)2]]*0.8</f>
        <v>0</v>
      </c>
      <c r="AE433" s="34">
        <f>Table1[[#This Row],[Quantity (expected)]]*Table1[[#This Row],[Rate (expected)2]]*0.7</f>
        <v>0</v>
      </c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1">
        <f>SUM(Table1[[#This Row],[Jan-23]:[Dec-23]])</f>
        <v>0</v>
      </c>
      <c r="AV433" s="105"/>
      <c r="AW433" s="32"/>
      <c r="AX433" s="35"/>
    </row>
    <row r="434" spans="1:50" x14ac:dyDescent="0.3">
      <c r="A434" s="30" t="str">
        <f>VLOOKUP(H434,'Accoount Code Combination'!$D:$L,8,FALSE)</f>
        <v>Academic</v>
      </c>
      <c r="B434" s="31" t="str">
        <f>VLOOKUP(Table1[[#This Row],[Account Code]],'Accoount Code Combination'!$D:$L,9,FALSE)</f>
        <v>No Applicable</v>
      </c>
      <c r="C434" s="4" t="str">
        <f>VLOOKUP(Table1[[#This Row],[Cost Center Code]],'Cost Center Group'!A:B,2,FALSE)</f>
        <v>Senior Vice President, Research Office</v>
      </c>
      <c r="D434" s="4">
        <v>847</v>
      </c>
      <c r="E434" s="79">
        <v>8471160</v>
      </c>
      <c r="F434" s="32" t="s">
        <v>281</v>
      </c>
      <c r="G434" s="4">
        <v>1</v>
      </c>
      <c r="H434" s="95">
        <v>435508</v>
      </c>
      <c r="I434" s="106" t="str">
        <f>IFERROR(VLOOKUP(Table1[[#This Row],[Account Code]],'Accoount Code Combination'!$D:$H,2,FALSE),"")</f>
        <v>Laboratory - Scientific</v>
      </c>
      <c r="J434" s="79">
        <v>8471160</v>
      </c>
      <c r="K434" s="4"/>
      <c r="L434" s="4" t="str">
        <f>IFERROR(VLOOKUP(Table1[[#This Row],[Future-1 Description]],'Other '!E422:$F431,2,FALSE),"")</f>
        <v/>
      </c>
      <c r="M434" s="32"/>
      <c r="N434" s="32"/>
      <c r="O434" s="32"/>
      <c r="P434" s="49">
        <v>361649.55000000098</v>
      </c>
      <c r="Q434" s="49">
        <v>1523166</v>
      </c>
      <c r="R434" s="32"/>
      <c r="S434" s="4"/>
      <c r="T434" s="32"/>
      <c r="U434" s="32"/>
      <c r="V434" s="32"/>
      <c r="W434" s="32"/>
      <c r="X434" s="33"/>
      <c r="Y434" s="33"/>
      <c r="Z434" s="31">
        <f>Table1[[#This Row],[Quantity of measruing units]]*Table1[[#This Row],[Rate (expected)]]</f>
        <v>0</v>
      </c>
      <c r="AA434" s="31"/>
      <c r="AB434" s="31"/>
      <c r="AC434" s="34">
        <f>Table1[[#This Row],[Quantity (expected)]]*Table1[[#This Row],[Rate (expected)2]]*0.9</f>
        <v>0</v>
      </c>
      <c r="AD434" s="34">
        <f>Table1[[#This Row],[Quantity (expected)]]*Table1[[#This Row],[Rate (expected)2]]*0.8</f>
        <v>0</v>
      </c>
      <c r="AE434" s="34">
        <f>Table1[[#This Row],[Quantity (expected)]]*Table1[[#This Row],[Rate (expected)2]]*0.7</f>
        <v>0</v>
      </c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1">
        <f>SUM(Table1[[#This Row],[Jan-23]:[Dec-23]])</f>
        <v>0</v>
      </c>
      <c r="AV434" s="105"/>
      <c r="AW434" s="32"/>
      <c r="AX434" s="35"/>
    </row>
    <row r="435" spans="1:50" x14ac:dyDescent="0.3">
      <c r="A435" s="30">
        <f>VLOOKUP(H435,'Accoount Code Combination'!$D:$L,8,FALSE)</f>
        <v>0</v>
      </c>
      <c r="B435" s="31" t="str">
        <f>VLOOKUP(Table1[[#This Row],[Account Code]],'Accoount Code Combination'!$D:$L,9,FALSE)</f>
        <v>No Applicable</v>
      </c>
      <c r="C435" s="4" t="str">
        <f>VLOOKUP(Table1[[#This Row],[Cost Center Code]],'Cost Center Group'!A:B,2,FALSE)</f>
        <v>Senior Vice President, Research Office</v>
      </c>
      <c r="D435" s="4">
        <v>847</v>
      </c>
      <c r="E435" s="79">
        <v>8471160</v>
      </c>
      <c r="F435" s="32" t="s">
        <v>281</v>
      </c>
      <c r="G435" s="4">
        <v>1</v>
      </c>
      <c r="H435" s="95">
        <v>492316</v>
      </c>
      <c r="I435" s="106" t="str">
        <f>IFERROR(VLOOKUP(Table1[[#This Row],[Account Code]],'Accoount Code Combination'!$D:$H,2,FALSE),"")</f>
        <v>Laboratory equipment</v>
      </c>
      <c r="J435" s="79">
        <v>8471160</v>
      </c>
      <c r="K435" s="4"/>
      <c r="L435" s="4" t="str">
        <f>IFERROR(VLOOKUP(Table1[[#This Row],[Future-1 Description]],'Other '!E423:$F432,2,FALSE),"")</f>
        <v/>
      </c>
      <c r="M435" s="32"/>
      <c r="N435" s="32"/>
      <c r="O435" s="32"/>
      <c r="P435" s="49">
        <v>9475691.3800000008</v>
      </c>
      <c r="Q435" s="49">
        <v>10282373</v>
      </c>
      <c r="R435" s="32"/>
      <c r="S435" s="4"/>
      <c r="T435" s="32"/>
      <c r="U435" s="32"/>
      <c r="V435" s="32"/>
      <c r="W435" s="32"/>
      <c r="X435" s="33"/>
      <c r="Y435" s="33"/>
      <c r="Z435" s="31">
        <f>Table1[[#This Row],[Quantity of measruing units]]*Table1[[#This Row],[Rate (expected)]]</f>
        <v>0</v>
      </c>
      <c r="AA435" s="31"/>
      <c r="AB435" s="31"/>
      <c r="AC435" s="34">
        <f>Table1[[#This Row],[Quantity (expected)]]*Table1[[#This Row],[Rate (expected)2]]*0.9</f>
        <v>0</v>
      </c>
      <c r="AD435" s="34">
        <f>Table1[[#This Row],[Quantity (expected)]]*Table1[[#This Row],[Rate (expected)2]]*0.8</f>
        <v>0</v>
      </c>
      <c r="AE435" s="34">
        <f>Table1[[#This Row],[Quantity (expected)]]*Table1[[#This Row],[Rate (expected)2]]*0.7</f>
        <v>0</v>
      </c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1">
        <f>SUM(Table1[[#This Row],[Jan-23]:[Dec-23]])</f>
        <v>0</v>
      </c>
      <c r="AV435" s="105"/>
      <c r="AW435" s="32"/>
      <c r="AX435" s="35"/>
    </row>
    <row r="436" spans="1:50" x14ac:dyDescent="0.3">
      <c r="A436" s="30" t="str">
        <f>VLOOKUP(H436,'Accoount Code Combination'!$D:$L,8,FALSE)</f>
        <v>IT</v>
      </c>
      <c r="B436" s="31" t="str">
        <f>VLOOKUP(Table1[[#This Row],[Account Code]],'Accoount Code Combination'!$D:$L,9,FALSE)</f>
        <v>No Applicable</v>
      </c>
      <c r="C436" s="4" t="str">
        <f>VLOOKUP(Table1[[#This Row],[Cost Center Code]],'Cost Center Group'!A:B,2,FALSE)</f>
        <v>Senior Vice President, Research Office</v>
      </c>
      <c r="D436" s="4">
        <v>847</v>
      </c>
      <c r="E436" s="79">
        <v>8471170</v>
      </c>
      <c r="F436" s="32" t="s">
        <v>203</v>
      </c>
      <c r="G436" s="4">
        <v>1</v>
      </c>
      <c r="H436" s="95">
        <v>420810</v>
      </c>
      <c r="I436" s="106" t="str">
        <f>IFERROR(VLOOKUP(Table1[[#This Row],[Account Code]],'Accoount Code Combination'!$D:$H,2,FALSE),"")</f>
        <v>IT Systems &amp; Support expenses</v>
      </c>
      <c r="J436" s="79">
        <v>8471170</v>
      </c>
      <c r="K436" s="4"/>
      <c r="L436" s="4" t="str">
        <f>IFERROR(VLOOKUP(Table1[[#This Row],[Future-1 Description]],'Other '!E424:$F433,2,FALSE),"")</f>
        <v/>
      </c>
      <c r="M436" s="32"/>
      <c r="N436" s="32"/>
      <c r="O436" s="32"/>
      <c r="P436" s="49">
        <v>1018910</v>
      </c>
      <c r="Q436" s="49">
        <v>800000</v>
      </c>
      <c r="R436" s="32"/>
      <c r="S436" s="4"/>
      <c r="T436" s="32"/>
      <c r="U436" s="32"/>
      <c r="V436" s="32"/>
      <c r="W436" s="32"/>
      <c r="X436" s="33"/>
      <c r="Y436" s="33"/>
      <c r="Z436" s="31">
        <f>Table1[[#This Row],[Quantity of measruing units]]*Table1[[#This Row],[Rate (expected)]]</f>
        <v>0</v>
      </c>
      <c r="AA436" s="31"/>
      <c r="AB436" s="31"/>
      <c r="AC436" s="34">
        <f>Table1[[#This Row],[Quantity (expected)]]*Table1[[#This Row],[Rate (expected)2]]*0.9</f>
        <v>0</v>
      </c>
      <c r="AD436" s="34">
        <f>Table1[[#This Row],[Quantity (expected)]]*Table1[[#This Row],[Rate (expected)2]]*0.8</f>
        <v>0</v>
      </c>
      <c r="AE436" s="34">
        <f>Table1[[#This Row],[Quantity (expected)]]*Table1[[#This Row],[Rate (expected)2]]*0.7</f>
        <v>0</v>
      </c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1">
        <f>SUM(Table1[[#This Row],[Jan-23]:[Dec-23]])</f>
        <v>0</v>
      </c>
      <c r="AV436" s="105"/>
      <c r="AW436" s="32"/>
      <c r="AX436" s="35"/>
    </row>
    <row r="437" spans="1:50" x14ac:dyDescent="0.3">
      <c r="A437" s="30" t="str">
        <f>VLOOKUP(H437,'Accoount Code Combination'!$D:$L,8,FALSE)</f>
        <v>HR</v>
      </c>
      <c r="B437" s="31" t="str">
        <f>VLOOKUP(Table1[[#This Row],[Account Code]],'Accoount Code Combination'!$D:$L,9,FALSE)</f>
        <v>Outsourcing</v>
      </c>
      <c r="C437" s="4" t="str">
        <f>VLOOKUP(Table1[[#This Row],[Cost Center Code]],'Cost Center Group'!A:B,2,FALSE)</f>
        <v>Senior Vice President, Research Office</v>
      </c>
      <c r="D437" s="4">
        <v>847</v>
      </c>
      <c r="E437" s="79">
        <v>8471170</v>
      </c>
      <c r="F437" s="32" t="s">
        <v>203</v>
      </c>
      <c r="G437" s="4">
        <v>1</v>
      </c>
      <c r="H437" s="95">
        <v>421100</v>
      </c>
      <c r="I437" s="106" t="str">
        <f>IFERROR(VLOOKUP(Table1[[#This Row],[Account Code]],'Accoount Code Combination'!$D:$H,2,FALSE),"")</f>
        <v>Manpower supply</v>
      </c>
      <c r="J437" s="79">
        <v>8471170</v>
      </c>
      <c r="K437" s="4"/>
      <c r="L437" s="4" t="str">
        <f>IFERROR(VLOOKUP(Table1[[#This Row],[Future-1 Description]],'Other '!E425:$F434,2,FALSE),"")</f>
        <v/>
      </c>
      <c r="M437" s="32"/>
      <c r="N437" s="32"/>
      <c r="O437" s="32"/>
      <c r="P437" s="49">
        <v>-866</v>
      </c>
      <c r="Q437" s="49">
        <v>0</v>
      </c>
      <c r="R437" s="32"/>
      <c r="S437" s="4"/>
      <c r="T437" s="32"/>
      <c r="U437" s="32"/>
      <c r="V437" s="32"/>
      <c r="W437" s="32"/>
      <c r="X437" s="33"/>
      <c r="Y437" s="33"/>
      <c r="Z437" s="31">
        <f>Table1[[#This Row],[Quantity of measruing units]]*Table1[[#This Row],[Rate (expected)]]</f>
        <v>0</v>
      </c>
      <c r="AA437" s="31"/>
      <c r="AB437" s="31"/>
      <c r="AC437" s="34">
        <f>Table1[[#This Row],[Quantity (expected)]]*Table1[[#This Row],[Rate (expected)2]]*0.9</f>
        <v>0</v>
      </c>
      <c r="AD437" s="34">
        <f>Table1[[#This Row],[Quantity (expected)]]*Table1[[#This Row],[Rate (expected)2]]*0.8</f>
        <v>0</v>
      </c>
      <c r="AE437" s="34">
        <f>Table1[[#This Row],[Quantity (expected)]]*Table1[[#This Row],[Rate (expected)2]]*0.7</f>
        <v>0</v>
      </c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1">
        <f>SUM(Table1[[#This Row],[Jan-23]:[Dec-23]])</f>
        <v>0</v>
      </c>
      <c r="AV437" s="105"/>
      <c r="AW437" s="32"/>
      <c r="AX437" s="35"/>
    </row>
    <row r="438" spans="1:50" x14ac:dyDescent="0.3">
      <c r="A438" s="30" t="str">
        <f>VLOOKUP(H438,'Accoount Code Combination'!$D:$L,8,FALSE)</f>
        <v>Other support</v>
      </c>
      <c r="B438" s="31" t="str">
        <f>VLOOKUP(Table1[[#This Row],[Account Code]],'Accoount Code Combination'!$D:$L,9,FALSE)</f>
        <v>No Applicable</v>
      </c>
      <c r="C438" s="4" t="str">
        <f>VLOOKUP(Table1[[#This Row],[Cost Center Code]],'Cost Center Group'!A:B,2,FALSE)</f>
        <v>Senior Vice President, Research Office</v>
      </c>
      <c r="D438" s="4">
        <v>847</v>
      </c>
      <c r="E438" s="79">
        <v>8471170</v>
      </c>
      <c r="F438" s="32" t="s">
        <v>203</v>
      </c>
      <c r="G438" s="4">
        <v>1</v>
      </c>
      <c r="H438" s="95">
        <v>425900</v>
      </c>
      <c r="I438" s="106" t="str">
        <f>IFERROR(VLOOKUP(Table1[[#This Row],[Account Code]],'Accoount Code Combination'!$D:$H,2,FALSE),"")</f>
        <v>Entertainment and hospitality</v>
      </c>
      <c r="J438" s="79">
        <v>8471170</v>
      </c>
      <c r="K438" s="4"/>
      <c r="L438" s="4" t="str">
        <f>IFERROR(VLOOKUP(Table1[[#This Row],[Future-1 Description]],'Other '!E426:$F435,2,FALSE),"")</f>
        <v/>
      </c>
      <c r="M438" s="32"/>
      <c r="N438" s="32"/>
      <c r="O438" s="32"/>
      <c r="P438" s="49">
        <v>0</v>
      </c>
      <c r="Q438" s="49">
        <v>0</v>
      </c>
      <c r="R438" s="32"/>
      <c r="S438" s="4"/>
      <c r="T438" s="32"/>
      <c r="U438" s="32"/>
      <c r="V438" s="32"/>
      <c r="W438" s="32"/>
      <c r="X438" s="33"/>
      <c r="Y438" s="33"/>
      <c r="Z438" s="31">
        <f>Table1[[#This Row],[Quantity of measruing units]]*Table1[[#This Row],[Rate (expected)]]</f>
        <v>0</v>
      </c>
      <c r="AA438" s="31"/>
      <c r="AB438" s="31"/>
      <c r="AC438" s="34">
        <f>Table1[[#This Row],[Quantity (expected)]]*Table1[[#This Row],[Rate (expected)2]]*0.9</f>
        <v>0</v>
      </c>
      <c r="AD438" s="34">
        <f>Table1[[#This Row],[Quantity (expected)]]*Table1[[#This Row],[Rate (expected)2]]*0.8</f>
        <v>0</v>
      </c>
      <c r="AE438" s="34">
        <f>Table1[[#This Row],[Quantity (expected)]]*Table1[[#This Row],[Rate (expected)2]]*0.7</f>
        <v>0</v>
      </c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1">
        <f>SUM(Table1[[#This Row],[Jan-23]:[Dec-23]])</f>
        <v>0</v>
      </c>
      <c r="AV438" s="105"/>
      <c r="AW438" s="32"/>
      <c r="AX438" s="35"/>
    </row>
    <row r="439" spans="1:50" x14ac:dyDescent="0.3">
      <c r="A439" s="30" t="str">
        <f>VLOOKUP(H439,'Accoount Code Combination'!$D:$L,8,FALSE)</f>
        <v>IT</v>
      </c>
      <c r="B439" s="31" t="str">
        <f>VLOOKUP(Table1[[#This Row],[Account Code]],'Accoount Code Combination'!$D:$L,9,FALSE)</f>
        <v>Software Operating</v>
      </c>
      <c r="C439" s="4" t="str">
        <f>VLOOKUP(Table1[[#This Row],[Cost Center Code]],'Cost Center Group'!A:B,2,FALSE)</f>
        <v>Senior Vice President, Research Office</v>
      </c>
      <c r="D439" s="4">
        <v>847</v>
      </c>
      <c r="E439" s="79">
        <v>8471170</v>
      </c>
      <c r="F439" s="32" t="s">
        <v>203</v>
      </c>
      <c r="G439" s="4">
        <v>1</v>
      </c>
      <c r="H439" s="95">
        <v>426610</v>
      </c>
      <c r="I439" s="106" t="str">
        <f>IFERROR(VLOOKUP(Table1[[#This Row],[Account Code]],'Accoount Code Combination'!$D:$H,2,FALSE),"")</f>
        <v>Computer software licenses</v>
      </c>
      <c r="J439" s="79">
        <v>8471170</v>
      </c>
      <c r="K439" s="4"/>
      <c r="L439" s="4" t="str">
        <f>IFERROR(VLOOKUP(Table1[[#This Row],[Future-1 Description]],'Other '!E427:$F436,2,FALSE),"")</f>
        <v/>
      </c>
      <c r="M439" s="32"/>
      <c r="N439" s="32"/>
      <c r="O439" s="32"/>
      <c r="P439" s="49">
        <v>866023.55</v>
      </c>
      <c r="Q439" s="49">
        <v>1315642</v>
      </c>
      <c r="R439" s="32"/>
      <c r="S439" s="4"/>
      <c r="T439" s="32"/>
      <c r="U439" s="32"/>
      <c r="V439" s="32"/>
      <c r="W439" s="32"/>
      <c r="X439" s="33"/>
      <c r="Y439" s="33"/>
      <c r="Z439" s="31">
        <f>Table1[[#This Row],[Quantity of measruing units]]*Table1[[#This Row],[Rate (expected)]]</f>
        <v>0</v>
      </c>
      <c r="AA439" s="31"/>
      <c r="AB439" s="31"/>
      <c r="AC439" s="34">
        <f>Table1[[#This Row],[Quantity (expected)]]*Table1[[#This Row],[Rate (expected)2]]*0.9</f>
        <v>0</v>
      </c>
      <c r="AD439" s="34">
        <f>Table1[[#This Row],[Quantity (expected)]]*Table1[[#This Row],[Rate (expected)2]]*0.8</f>
        <v>0</v>
      </c>
      <c r="AE439" s="34">
        <f>Table1[[#This Row],[Quantity (expected)]]*Table1[[#This Row],[Rate (expected)2]]*0.7</f>
        <v>0</v>
      </c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1">
        <f>SUM(Table1[[#This Row],[Jan-23]:[Dec-23]])</f>
        <v>0</v>
      </c>
      <c r="AV439" s="105"/>
      <c r="AW439" s="32"/>
      <c r="AX439" s="35"/>
    </row>
    <row r="440" spans="1:50" x14ac:dyDescent="0.3">
      <c r="A440" s="30" t="str">
        <f>VLOOKUP(H440,'Accoount Code Combination'!$D:$L,8,FALSE)</f>
        <v xml:space="preserve">Academic </v>
      </c>
      <c r="B440" s="31" t="str">
        <f>VLOOKUP(Table1[[#This Row],[Account Code]],'Accoount Code Combination'!$D:$L,9,FALSE)</f>
        <v>No Applicable</v>
      </c>
      <c r="C440" s="4" t="str">
        <f>VLOOKUP(Table1[[#This Row],[Cost Center Code]],'Cost Center Group'!A:B,2,FALSE)</f>
        <v>Senior Vice President, Research Office</v>
      </c>
      <c r="D440" s="4">
        <v>847</v>
      </c>
      <c r="E440" s="79">
        <v>8471170</v>
      </c>
      <c r="F440" s="32" t="s">
        <v>203</v>
      </c>
      <c r="G440" s="4">
        <v>1</v>
      </c>
      <c r="H440" s="95">
        <v>428090</v>
      </c>
      <c r="I440" s="106" t="str">
        <f>IFERROR(VLOOKUP(Table1[[#This Row],[Account Code]],'Accoount Code Combination'!$D:$H,2,FALSE),"")</f>
        <v>Business Travel - Combined expenses</v>
      </c>
      <c r="J440" s="79">
        <v>8471170</v>
      </c>
      <c r="K440" s="4"/>
      <c r="L440" s="4" t="str">
        <f>IFERROR(VLOOKUP(Table1[[#This Row],[Future-1 Description]],'Other '!E428:$F437,2,FALSE),"")</f>
        <v/>
      </c>
      <c r="M440" s="32"/>
      <c r="N440" s="32"/>
      <c r="O440" s="32"/>
      <c r="P440" s="49">
        <v>0</v>
      </c>
      <c r="Q440" s="49">
        <v>0</v>
      </c>
      <c r="R440" s="32"/>
      <c r="S440" s="4"/>
      <c r="T440" s="32"/>
      <c r="U440" s="32"/>
      <c r="V440" s="32"/>
      <c r="W440" s="32"/>
      <c r="X440" s="33"/>
      <c r="Y440" s="33"/>
      <c r="Z440" s="31">
        <f>Table1[[#This Row],[Quantity of measruing units]]*Table1[[#This Row],[Rate (expected)]]</f>
        <v>0</v>
      </c>
      <c r="AA440" s="31"/>
      <c r="AB440" s="31"/>
      <c r="AC440" s="34">
        <f>Table1[[#This Row],[Quantity (expected)]]*Table1[[#This Row],[Rate (expected)2]]*0.9</f>
        <v>0</v>
      </c>
      <c r="AD440" s="34">
        <f>Table1[[#This Row],[Quantity (expected)]]*Table1[[#This Row],[Rate (expected)2]]*0.8</f>
        <v>0</v>
      </c>
      <c r="AE440" s="34">
        <f>Table1[[#This Row],[Quantity (expected)]]*Table1[[#This Row],[Rate (expected)2]]*0.7</f>
        <v>0</v>
      </c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1">
        <f>SUM(Table1[[#This Row],[Jan-23]:[Dec-23]])</f>
        <v>0</v>
      </c>
      <c r="AV440" s="105"/>
      <c r="AW440" s="32"/>
      <c r="AX440" s="35"/>
    </row>
    <row r="441" spans="1:50" x14ac:dyDescent="0.3">
      <c r="A441" s="30">
        <f>VLOOKUP(H441,'Accoount Code Combination'!$D:$L,8,FALSE)</f>
        <v>0</v>
      </c>
      <c r="B441" s="31" t="str">
        <f>VLOOKUP(Table1[[#This Row],[Account Code]],'Accoount Code Combination'!$D:$L,9,FALSE)</f>
        <v>No Applicable</v>
      </c>
      <c r="C441" s="4" t="str">
        <f>VLOOKUP(Table1[[#This Row],[Cost Center Code]],'Cost Center Group'!A:B,2,FALSE)</f>
        <v>Senior Vice President, Research Office</v>
      </c>
      <c r="D441" s="4">
        <v>847</v>
      </c>
      <c r="E441" s="79">
        <v>8471170</v>
      </c>
      <c r="F441" s="32" t="s">
        <v>203</v>
      </c>
      <c r="G441" s="4">
        <v>1</v>
      </c>
      <c r="H441" s="95">
        <v>492316</v>
      </c>
      <c r="I441" s="106" t="str">
        <f>IFERROR(VLOOKUP(Table1[[#This Row],[Account Code]],'Accoount Code Combination'!$D:$H,2,FALSE),"")</f>
        <v>Laboratory equipment</v>
      </c>
      <c r="J441" s="79">
        <v>8471170</v>
      </c>
      <c r="K441" s="4"/>
      <c r="L441" s="4" t="str">
        <f>IFERROR(VLOOKUP(Table1[[#This Row],[Future-1 Description]],'Other '!E429:$F438,2,FALSE),"")</f>
        <v/>
      </c>
      <c r="M441" s="32"/>
      <c r="N441" s="32"/>
      <c r="O441" s="32"/>
      <c r="P441" s="49">
        <v>5545455</v>
      </c>
      <c r="Q441" s="49">
        <v>6595858</v>
      </c>
      <c r="R441" s="32"/>
      <c r="S441" s="4"/>
      <c r="T441" s="32"/>
      <c r="U441" s="32"/>
      <c r="V441" s="32"/>
      <c r="W441" s="32"/>
      <c r="X441" s="33"/>
      <c r="Y441" s="33"/>
      <c r="Z441" s="31">
        <f>Table1[[#This Row],[Quantity of measruing units]]*Table1[[#This Row],[Rate (expected)]]</f>
        <v>0</v>
      </c>
      <c r="AA441" s="31"/>
      <c r="AB441" s="31"/>
      <c r="AC441" s="34">
        <f>Table1[[#This Row],[Quantity (expected)]]*Table1[[#This Row],[Rate (expected)2]]*0.9</f>
        <v>0</v>
      </c>
      <c r="AD441" s="34">
        <f>Table1[[#This Row],[Quantity (expected)]]*Table1[[#This Row],[Rate (expected)2]]*0.8</f>
        <v>0</v>
      </c>
      <c r="AE441" s="34">
        <f>Table1[[#This Row],[Quantity (expected)]]*Table1[[#This Row],[Rate (expected)2]]*0.7</f>
        <v>0</v>
      </c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1">
        <f>SUM(Table1[[#This Row],[Jan-23]:[Dec-23]])</f>
        <v>0</v>
      </c>
      <c r="AV441" s="105"/>
      <c r="AW441" s="32"/>
      <c r="AX441" s="35"/>
    </row>
    <row r="442" spans="1:50" x14ac:dyDescent="0.3">
      <c r="A442" s="30" t="str">
        <f>VLOOKUP(H442,'Accoount Code Combination'!$D:$L,8,FALSE)</f>
        <v>Communiction &amp; Marketing</v>
      </c>
      <c r="B442" s="31" t="str">
        <f>VLOOKUP(Table1[[#This Row],[Account Code]],'Accoount Code Combination'!$D:$L,9,FALSE)</f>
        <v>Advertising</v>
      </c>
      <c r="C442" s="4" t="str">
        <f>VLOOKUP(Table1[[#This Row],[Cost Center Code]],'Cost Center Group'!A:B,2,FALSE)</f>
        <v>Academic and Student Services Office</v>
      </c>
      <c r="D442" s="4">
        <v>847</v>
      </c>
      <c r="E442" s="79">
        <v>8471210</v>
      </c>
      <c r="F442" s="32" t="s">
        <v>176</v>
      </c>
      <c r="G442" s="4">
        <v>1</v>
      </c>
      <c r="H442" s="95">
        <v>425100</v>
      </c>
      <c r="I442" s="106" t="str">
        <f>IFERROR(VLOOKUP(Table1[[#This Row],[Account Code]],'Accoount Code Combination'!$D:$H,2,FALSE),"")</f>
        <v>Advertising</v>
      </c>
      <c r="J442" s="79">
        <v>8471210</v>
      </c>
      <c r="K442" s="4"/>
      <c r="L442" s="4" t="str">
        <f>IFERROR(VLOOKUP(Table1[[#This Row],[Future-1 Description]],'Other '!E430:$F439,2,FALSE),"")</f>
        <v/>
      </c>
      <c r="M442" s="32"/>
      <c r="N442" s="32"/>
      <c r="O442" s="32"/>
      <c r="P442" s="49">
        <v>0</v>
      </c>
      <c r="Q442" s="49">
        <v>0</v>
      </c>
      <c r="R442" s="32"/>
      <c r="S442" s="4"/>
      <c r="T442" s="32"/>
      <c r="U442" s="32"/>
      <c r="V442" s="32"/>
      <c r="W442" s="32"/>
      <c r="X442" s="33"/>
      <c r="Y442" s="33"/>
      <c r="Z442" s="31">
        <f>Table1[[#This Row],[Quantity of measruing units]]*Table1[[#This Row],[Rate (expected)]]</f>
        <v>0</v>
      </c>
      <c r="AA442" s="31"/>
      <c r="AB442" s="31"/>
      <c r="AC442" s="34">
        <f>Table1[[#This Row],[Quantity (expected)]]*Table1[[#This Row],[Rate (expected)2]]*0.9</f>
        <v>0</v>
      </c>
      <c r="AD442" s="34">
        <f>Table1[[#This Row],[Quantity (expected)]]*Table1[[#This Row],[Rate (expected)2]]*0.8</f>
        <v>0</v>
      </c>
      <c r="AE442" s="34">
        <f>Table1[[#This Row],[Quantity (expected)]]*Table1[[#This Row],[Rate (expected)2]]*0.7</f>
        <v>0</v>
      </c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1">
        <f>SUM(Table1[[#This Row],[Jan-23]:[Dec-23]])</f>
        <v>0</v>
      </c>
      <c r="AV442" s="105"/>
      <c r="AW442" s="32"/>
      <c r="AX442" s="35"/>
    </row>
    <row r="443" spans="1:50" x14ac:dyDescent="0.3">
      <c r="A443" s="30" t="str">
        <f>VLOOKUP(H443,'Accoount Code Combination'!$D:$L,8,FALSE)</f>
        <v>Student</v>
      </c>
      <c r="B443" s="31" t="str">
        <f>VLOOKUP(Table1[[#This Row],[Account Code]],'Accoount Code Combination'!$D:$L,9,FALSE)</f>
        <v>No Applicable</v>
      </c>
      <c r="C443" s="4" t="str">
        <f>VLOOKUP(Table1[[#This Row],[Cost Center Code]],'Cost Center Group'!A:B,2,FALSE)</f>
        <v>Academic and Student Services Office</v>
      </c>
      <c r="D443" s="4">
        <v>847</v>
      </c>
      <c r="E443" s="79">
        <v>8471210</v>
      </c>
      <c r="F443" s="32" t="s">
        <v>176</v>
      </c>
      <c r="G443" s="4">
        <v>1</v>
      </c>
      <c r="H443" s="95">
        <v>425741</v>
      </c>
      <c r="I443" s="106" t="str">
        <f>IFERROR(VLOOKUP(Table1[[#This Row],[Account Code]],'Accoount Code Combination'!$D:$H,2,FALSE),"")</f>
        <v>Student stipend</v>
      </c>
      <c r="J443" s="79">
        <v>8471210</v>
      </c>
      <c r="K443" s="4"/>
      <c r="L443" s="4" t="str">
        <f>IFERROR(VLOOKUP(Table1[[#This Row],[Future-1 Description]],'Other '!E431:$F440,2,FALSE),"")</f>
        <v/>
      </c>
      <c r="M443" s="32"/>
      <c r="N443" s="32"/>
      <c r="O443" s="32"/>
      <c r="P443" s="49">
        <v>0</v>
      </c>
      <c r="Q443" s="49">
        <v>0</v>
      </c>
      <c r="R443" s="32"/>
      <c r="S443" s="4"/>
      <c r="T443" s="32"/>
      <c r="U443" s="32"/>
      <c r="V443" s="32"/>
      <c r="W443" s="32"/>
      <c r="X443" s="33"/>
      <c r="Y443" s="33"/>
      <c r="Z443" s="31">
        <f>Table1[[#This Row],[Quantity of measruing units]]*Table1[[#This Row],[Rate (expected)]]</f>
        <v>0</v>
      </c>
      <c r="AA443" s="31"/>
      <c r="AB443" s="31"/>
      <c r="AC443" s="34">
        <f>Table1[[#This Row],[Quantity (expected)]]*Table1[[#This Row],[Rate (expected)2]]*0.9</f>
        <v>0</v>
      </c>
      <c r="AD443" s="34">
        <f>Table1[[#This Row],[Quantity (expected)]]*Table1[[#This Row],[Rate (expected)2]]*0.8</f>
        <v>0</v>
      </c>
      <c r="AE443" s="34">
        <f>Table1[[#This Row],[Quantity (expected)]]*Table1[[#This Row],[Rate (expected)2]]*0.7</f>
        <v>0</v>
      </c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1">
        <f>SUM(Table1[[#This Row],[Jan-23]:[Dec-23]])</f>
        <v>0</v>
      </c>
      <c r="AV443" s="105"/>
      <c r="AW443" s="32"/>
      <c r="AX443" s="35"/>
    </row>
    <row r="444" spans="1:50" x14ac:dyDescent="0.3">
      <c r="A444" s="30" t="str">
        <f>VLOOKUP(H444,'Accoount Code Combination'!$D:$L,8,FALSE)</f>
        <v>Other support</v>
      </c>
      <c r="B444" s="31" t="str">
        <f>VLOOKUP(Table1[[#This Row],[Account Code]],'Accoount Code Combination'!$D:$L,9,FALSE)</f>
        <v>No Applicable</v>
      </c>
      <c r="C444" s="4" t="str">
        <f>VLOOKUP(Table1[[#This Row],[Cost Center Code]],'Cost Center Group'!A:B,2,FALSE)</f>
        <v>Academic and Student Services Office</v>
      </c>
      <c r="D444" s="4">
        <v>847</v>
      </c>
      <c r="E444" s="79">
        <v>8471210</v>
      </c>
      <c r="F444" s="32" t="s">
        <v>176</v>
      </c>
      <c r="G444" s="4">
        <v>1</v>
      </c>
      <c r="H444" s="95">
        <v>425900</v>
      </c>
      <c r="I444" s="106" t="str">
        <f>IFERROR(VLOOKUP(Table1[[#This Row],[Account Code]],'Accoount Code Combination'!$D:$H,2,FALSE),"")</f>
        <v>Entertainment and hospitality</v>
      </c>
      <c r="J444" s="79">
        <v>8471210</v>
      </c>
      <c r="K444" s="4"/>
      <c r="L444" s="4" t="str">
        <f>IFERROR(VLOOKUP(Table1[[#This Row],[Future-1 Description]],'Other '!E432:$F441,2,FALSE),"")</f>
        <v/>
      </c>
      <c r="M444" s="32"/>
      <c r="N444" s="32"/>
      <c r="O444" s="32"/>
      <c r="P444" s="49">
        <v>0</v>
      </c>
      <c r="Q444" s="49">
        <v>0</v>
      </c>
      <c r="R444" s="32"/>
      <c r="S444" s="4"/>
      <c r="T444" s="32"/>
      <c r="U444" s="32"/>
      <c r="V444" s="32"/>
      <c r="W444" s="32"/>
      <c r="X444" s="33"/>
      <c r="Y444" s="33"/>
      <c r="Z444" s="31">
        <f>Table1[[#This Row],[Quantity of measruing units]]*Table1[[#This Row],[Rate (expected)]]</f>
        <v>0</v>
      </c>
      <c r="AA444" s="31"/>
      <c r="AB444" s="31"/>
      <c r="AC444" s="34">
        <f>Table1[[#This Row],[Quantity (expected)]]*Table1[[#This Row],[Rate (expected)2]]*0.9</f>
        <v>0</v>
      </c>
      <c r="AD444" s="34">
        <f>Table1[[#This Row],[Quantity (expected)]]*Table1[[#This Row],[Rate (expected)2]]*0.8</f>
        <v>0</v>
      </c>
      <c r="AE444" s="34">
        <f>Table1[[#This Row],[Quantity (expected)]]*Table1[[#This Row],[Rate (expected)2]]*0.7</f>
        <v>0</v>
      </c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1">
        <f>SUM(Table1[[#This Row],[Jan-23]:[Dec-23]])</f>
        <v>0</v>
      </c>
      <c r="AV444" s="105"/>
      <c r="AW444" s="32"/>
      <c r="AX444" s="35"/>
    </row>
    <row r="445" spans="1:50" x14ac:dyDescent="0.3">
      <c r="A445" s="30" t="str">
        <f>VLOOKUP(H445,'Accoount Code Combination'!$D:$L,8,FALSE)</f>
        <v>Communiction &amp; Marketing</v>
      </c>
      <c r="B445" s="31" t="str">
        <f>VLOOKUP(Table1[[#This Row],[Account Code]],'Accoount Code Combination'!$D:$L,9,FALSE)</f>
        <v>Communications</v>
      </c>
      <c r="C445" s="4" t="str">
        <f>VLOOKUP(Table1[[#This Row],[Cost Center Code]],'Cost Center Group'!A:B,2,FALSE)</f>
        <v>Academic and Student Services Office</v>
      </c>
      <c r="D445" s="4">
        <v>847</v>
      </c>
      <c r="E445" s="79">
        <v>8471210</v>
      </c>
      <c r="F445" s="32" t="s">
        <v>176</v>
      </c>
      <c r="G445" s="4">
        <v>1</v>
      </c>
      <c r="H445" s="95">
        <v>427100</v>
      </c>
      <c r="I445" s="106" t="str">
        <f>IFERROR(VLOOKUP(Table1[[#This Row],[Account Code]],'Accoount Code Combination'!$D:$H,2,FALSE),"")</f>
        <v>Public relations</v>
      </c>
      <c r="J445" s="79">
        <v>8471210</v>
      </c>
      <c r="K445" s="4"/>
      <c r="L445" s="4" t="str">
        <f>IFERROR(VLOOKUP(Table1[[#This Row],[Future-1 Description]],'Other '!E433:$F442,2,FALSE),"")</f>
        <v/>
      </c>
      <c r="M445" s="32"/>
      <c r="N445" s="32"/>
      <c r="O445" s="32"/>
      <c r="P445" s="49">
        <v>0</v>
      </c>
      <c r="Q445" s="49">
        <v>0</v>
      </c>
      <c r="R445" s="32"/>
      <c r="S445" s="4"/>
      <c r="T445" s="32"/>
      <c r="U445" s="32"/>
      <c r="V445" s="32"/>
      <c r="W445" s="32"/>
      <c r="X445" s="33"/>
      <c r="Y445" s="33"/>
      <c r="Z445" s="31">
        <f>Table1[[#This Row],[Quantity of measruing units]]*Table1[[#This Row],[Rate (expected)]]</f>
        <v>0</v>
      </c>
      <c r="AA445" s="31"/>
      <c r="AB445" s="31"/>
      <c r="AC445" s="34">
        <f>Table1[[#This Row],[Quantity (expected)]]*Table1[[#This Row],[Rate (expected)2]]*0.9</f>
        <v>0</v>
      </c>
      <c r="AD445" s="34">
        <f>Table1[[#This Row],[Quantity (expected)]]*Table1[[#This Row],[Rate (expected)2]]*0.8</f>
        <v>0</v>
      </c>
      <c r="AE445" s="34">
        <f>Table1[[#This Row],[Quantity (expected)]]*Table1[[#This Row],[Rate (expected)2]]*0.7</f>
        <v>0</v>
      </c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1">
        <f>SUM(Table1[[#This Row],[Jan-23]:[Dec-23]])</f>
        <v>0</v>
      </c>
      <c r="AV445" s="105"/>
      <c r="AW445" s="32"/>
      <c r="AX445" s="35"/>
    </row>
    <row r="446" spans="1:50" x14ac:dyDescent="0.3">
      <c r="A446" s="30" t="str">
        <f>VLOOKUP(H446,'Accoount Code Combination'!$D:$L,8,FALSE)</f>
        <v xml:space="preserve">Academic </v>
      </c>
      <c r="B446" s="31" t="str">
        <f>VLOOKUP(Table1[[#This Row],[Account Code]],'Accoount Code Combination'!$D:$L,9,FALSE)</f>
        <v>No Applicable</v>
      </c>
      <c r="C446" s="4" t="str">
        <f>VLOOKUP(Table1[[#This Row],[Cost Center Code]],'Cost Center Group'!A:B,2,FALSE)</f>
        <v>Academic and Student Services Office</v>
      </c>
      <c r="D446" s="4">
        <v>847</v>
      </c>
      <c r="E446" s="79">
        <v>8471210</v>
      </c>
      <c r="F446" s="32" t="s">
        <v>176</v>
      </c>
      <c r="G446" s="4">
        <v>1</v>
      </c>
      <c r="H446" s="95">
        <v>428090</v>
      </c>
      <c r="I446" s="106" t="str">
        <f>IFERROR(VLOOKUP(Table1[[#This Row],[Account Code]],'Accoount Code Combination'!$D:$H,2,FALSE),"")</f>
        <v>Business Travel - Combined expenses</v>
      </c>
      <c r="J446" s="79">
        <v>8471210</v>
      </c>
      <c r="K446" s="4"/>
      <c r="L446" s="4" t="str">
        <f>IFERROR(VLOOKUP(Table1[[#This Row],[Future-1 Description]],'Other '!E434:$F443,2,FALSE),"")</f>
        <v/>
      </c>
      <c r="M446" s="32"/>
      <c r="N446" s="32"/>
      <c r="O446" s="32"/>
      <c r="P446" s="49">
        <v>9000</v>
      </c>
      <c r="Q446" s="49">
        <v>0</v>
      </c>
      <c r="R446" s="32"/>
      <c r="S446" s="4"/>
      <c r="T446" s="32"/>
      <c r="U446" s="32"/>
      <c r="V446" s="32"/>
      <c r="W446" s="32"/>
      <c r="X446" s="33"/>
      <c r="Y446" s="33"/>
      <c r="Z446" s="31">
        <f>Table1[[#This Row],[Quantity of measruing units]]*Table1[[#This Row],[Rate (expected)]]</f>
        <v>0</v>
      </c>
      <c r="AA446" s="31"/>
      <c r="AB446" s="31"/>
      <c r="AC446" s="34">
        <f>Table1[[#This Row],[Quantity (expected)]]*Table1[[#This Row],[Rate (expected)2]]*0.9</f>
        <v>0</v>
      </c>
      <c r="AD446" s="34">
        <f>Table1[[#This Row],[Quantity (expected)]]*Table1[[#This Row],[Rate (expected)2]]*0.8</f>
        <v>0</v>
      </c>
      <c r="AE446" s="34">
        <f>Table1[[#This Row],[Quantity (expected)]]*Table1[[#This Row],[Rate (expected)2]]*0.7</f>
        <v>0</v>
      </c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1">
        <f>SUM(Table1[[#This Row],[Jan-23]:[Dec-23]])</f>
        <v>0</v>
      </c>
      <c r="AV446" s="105"/>
      <c r="AW446" s="32"/>
      <c r="AX446" s="35"/>
    </row>
    <row r="447" spans="1:50" x14ac:dyDescent="0.3">
      <c r="A447" s="30" t="str">
        <f>VLOOKUP(H447,'Accoount Code Combination'!$D:$L,8,FALSE)</f>
        <v>Communiction &amp; Marketing</v>
      </c>
      <c r="B447" s="31" t="str">
        <f>VLOOKUP(Table1[[#This Row],[Account Code]],'Accoount Code Combination'!$D:$L,9,FALSE)</f>
        <v>Gifts</v>
      </c>
      <c r="C447" s="4" t="str">
        <f>VLOOKUP(Table1[[#This Row],[Cost Center Code]],'Cost Center Group'!A:B,2,FALSE)</f>
        <v>Academic and Student Services Office</v>
      </c>
      <c r="D447" s="4">
        <v>847</v>
      </c>
      <c r="E447" s="79">
        <v>8471210</v>
      </c>
      <c r="F447" s="32" t="s">
        <v>176</v>
      </c>
      <c r="G447" s="4">
        <v>1</v>
      </c>
      <c r="H447" s="95">
        <v>428640</v>
      </c>
      <c r="I447" s="106" t="str">
        <f>IFERROR(VLOOKUP(Table1[[#This Row],[Account Code]],'Accoount Code Combination'!$D:$H,2,FALSE),"")</f>
        <v>Events - Awards, prizes &amp; gifts</v>
      </c>
      <c r="J447" s="79">
        <v>8471210</v>
      </c>
      <c r="K447" s="4"/>
      <c r="L447" s="4" t="str">
        <f>IFERROR(VLOOKUP(Table1[[#This Row],[Future-1 Description]],'Other '!E435:$F444,2,FALSE),"")</f>
        <v/>
      </c>
      <c r="M447" s="32"/>
      <c r="N447" s="32"/>
      <c r="O447" s="32"/>
      <c r="P447" s="49">
        <v>0</v>
      </c>
      <c r="Q447" s="49">
        <v>0</v>
      </c>
      <c r="R447" s="32"/>
      <c r="S447" s="4"/>
      <c r="T447" s="32"/>
      <c r="U447" s="32"/>
      <c r="V447" s="32"/>
      <c r="W447" s="32"/>
      <c r="X447" s="33"/>
      <c r="Y447" s="33"/>
      <c r="Z447" s="31">
        <f>Table1[[#This Row],[Quantity of measruing units]]*Table1[[#This Row],[Rate (expected)]]</f>
        <v>0</v>
      </c>
      <c r="AA447" s="31"/>
      <c r="AB447" s="31"/>
      <c r="AC447" s="34">
        <f>Table1[[#This Row],[Quantity (expected)]]*Table1[[#This Row],[Rate (expected)2]]*0.9</f>
        <v>0</v>
      </c>
      <c r="AD447" s="34">
        <f>Table1[[#This Row],[Quantity (expected)]]*Table1[[#This Row],[Rate (expected)2]]*0.8</f>
        <v>0</v>
      </c>
      <c r="AE447" s="34">
        <f>Table1[[#This Row],[Quantity (expected)]]*Table1[[#This Row],[Rate (expected)2]]*0.7</f>
        <v>0</v>
      </c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1">
        <f>SUM(Table1[[#This Row],[Jan-23]:[Dec-23]])</f>
        <v>0</v>
      </c>
      <c r="AV447" s="105"/>
      <c r="AW447" s="32"/>
      <c r="AX447" s="35"/>
    </row>
    <row r="448" spans="1:50" ht="26" x14ac:dyDescent="0.3">
      <c r="A448" s="30" t="str">
        <f>VLOOKUP(H448,'Accoount Code Combination'!$D:$L,8,FALSE)</f>
        <v>Academic</v>
      </c>
      <c r="B448" s="31" t="str">
        <f>VLOOKUP(Table1[[#This Row],[Account Code]],'Accoount Code Combination'!$D:$L,9,FALSE)</f>
        <v>No Applicable</v>
      </c>
      <c r="C448" s="4" t="str">
        <f>VLOOKUP(Table1[[#This Row],[Cost Center Code]],'Cost Center Group'!A:B,2,FALSE)</f>
        <v>Academic and Student Services Office</v>
      </c>
      <c r="D448" s="4">
        <v>847</v>
      </c>
      <c r="E448" s="79">
        <v>8471210</v>
      </c>
      <c r="F448" s="32" t="s">
        <v>176</v>
      </c>
      <c r="G448" s="4">
        <v>1</v>
      </c>
      <c r="H448" s="95">
        <v>435530</v>
      </c>
      <c r="I448" s="106" t="str">
        <f>IFERROR(VLOOKUP(Table1[[#This Row],[Account Code]],'Accoount Code Combination'!$D:$H,2,FALSE),"")</f>
        <v>School consumables, not specifically mentioned elsewhere</v>
      </c>
      <c r="J448" s="79">
        <v>8471210</v>
      </c>
      <c r="K448" s="4"/>
      <c r="L448" s="4" t="str">
        <f>IFERROR(VLOOKUP(Table1[[#This Row],[Future-1 Description]],'Other '!E436:$F445,2,FALSE),"")</f>
        <v/>
      </c>
      <c r="M448" s="32"/>
      <c r="N448" s="32"/>
      <c r="O448" s="32"/>
      <c r="P448" s="49">
        <v>0</v>
      </c>
      <c r="Q448" s="49">
        <v>0</v>
      </c>
      <c r="R448" s="32"/>
      <c r="S448" s="4"/>
      <c r="T448" s="32"/>
      <c r="U448" s="32"/>
      <c r="V448" s="32"/>
      <c r="W448" s="32"/>
      <c r="X448" s="33"/>
      <c r="Y448" s="33"/>
      <c r="Z448" s="31">
        <f>Table1[[#This Row],[Quantity of measruing units]]*Table1[[#This Row],[Rate (expected)]]</f>
        <v>0</v>
      </c>
      <c r="AA448" s="31"/>
      <c r="AB448" s="31"/>
      <c r="AC448" s="34">
        <f>Table1[[#This Row],[Quantity (expected)]]*Table1[[#This Row],[Rate (expected)2]]*0.9</f>
        <v>0</v>
      </c>
      <c r="AD448" s="34">
        <f>Table1[[#This Row],[Quantity (expected)]]*Table1[[#This Row],[Rate (expected)2]]*0.8</f>
        <v>0</v>
      </c>
      <c r="AE448" s="34">
        <f>Table1[[#This Row],[Quantity (expected)]]*Table1[[#This Row],[Rate (expected)2]]*0.7</f>
        <v>0</v>
      </c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1">
        <f>SUM(Table1[[#This Row],[Jan-23]:[Dec-23]])</f>
        <v>0</v>
      </c>
      <c r="AV448" s="105"/>
      <c r="AW448" s="32"/>
      <c r="AX448" s="35"/>
    </row>
    <row r="449" spans="1:50" ht="26" x14ac:dyDescent="0.3">
      <c r="A449" s="30" t="str">
        <f>VLOOKUP(H449,'Accoount Code Combination'!$D:$L,8,FALSE)</f>
        <v>Communiction &amp; Marketing</v>
      </c>
      <c r="B449" s="31" t="str">
        <f>VLOOKUP(Table1[[#This Row],[Account Code]],'Accoount Code Combination'!$D:$L,9,FALSE)</f>
        <v>Events</v>
      </c>
      <c r="C449" s="4" t="str">
        <f>VLOOKUP(Table1[[#This Row],[Cost Center Code]],'Cost Center Group'!A:B,2,FALSE)</f>
        <v>Academic and Student Services Office</v>
      </c>
      <c r="D449" s="4">
        <v>847</v>
      </c>
      <c r="E449" s="79">
        <v>8471220</v>
      </c>
      <c r="F449" s="32" t="s">
        <v>344</v>
      </c>
      <c r="G449" s="4">
        <v>1</v>
      </c>
      <c r="H449" s="95">
        <v>425510</v>
      </c>
      <c r="I449" s="106" t="str">
        <f>IFERROR(VLOOKUP(Table1[[#This Row],[Account Code]],'Accoount Code Combination'!$D:$H,2,FALSE),"")</f>
        <v>Conferences, seminars and exhibitions and other events: - Local Events</v>
      </c>
      <c r="J449" s="79">
        <v>8471220</v>
      </c>
      <c r="K449" s="4"/>
      <c r="L449" s="4" t="str">
        <f>IFERROR(VLOOKUP(Table1[[#This Row],[Future-1 Description]],'Other '!E437:$F446,2,FALSE),"")</f>
        <v/>
      </c>
      <c r="M449" s="32"/>
      <c r="N449" s="32"/>
      <c r="O449" s="32"/>
      <c r="P449" s="49">
        <v>2200</v>
      </c>
      <c r="Q449" s="49">
        <v>2000</v>
      </c>
      <c r="R449" s="32"/>
      <c r="S449" s="4"/>
      <c r="T449" s="32"/>
      <c r="U449" s="32"/>
      <c r="V449" s="32"/>
      <c r="W449" s="32"/>
      <c r="X449" s="33"/>
      <c r="Y449" s="33"/>
      <c r="Z449" s="31">
        <f>Table1[[#This Row],[Quantity of measruing units]]*Table1[[#This Row],[Rate (expected)]]</f>
        <v>0</v>
      </c>
      <c r="AA449" s="31"/>
      <c r="AB449" s="31"/>
      <c r="AC449" s="34">
        <f>Table1[[#This Row],[Quantity (expected)]]*Table1[[#This Row],[Rate (expected)2]]*0.9</f>
        <v>0</v>
      </c>
      <c r="AD449" s="34">
        <f>Table1[[#This Row],[Quantity (expected)]]*Table1[[#This Row],[Rate (expected)2]]*0.8</f>
        <v>0</v>
      </c>
      <c r="AE449" s="34">
        <f>Table1[[#This Row],[Quantity (expected)]]*Table1[[#This Row],[Rate (expected)2]]*0.7</f>
        <v>0</v>
      </c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1">
        <f>SUM(Table1[[#This Row],[Jan-23]:[Dec-23]])</f>
        <v>0</v>
      </c>
      <c r="AV449" s="105"/>
      <c r="AW449" s="32"/>
      <c r="AX449" s="35"/>
    </row>
    <row r="450" spans="1:50" ht="26" x14ac:dyDescent="0.3">
      <c r="A450" s="30" t="str">
        <f>VLOOKUP(H450,'Accoount Code Combination'!$D:$L,8,FALSE)</f>
        <v>Communiction &amp; Marketing</v>
      </c>
      <c r="B450" s="31" t="str">
        <f>VLOOKUP(Table1[[#This Row],[Account Code]],'Accoount Code Combination'!$D:$L,9,FALSE)</f>
        <v>No Applicable</v>
      </c>
      <c r="C450" s="4" t="str">
        <f>VLOOKUP(Table1[[#This Row],[Cost Center Code]],'Cost Center Group'!A:B,2,FALSE)</f>
        <v>Academic and Student Services Office</v>
      </c>
      <c r="D450" s="4">
        <v>847</v>
      </c>
      <c r="E450" s="79">
        <v>8471220</v>
      </c>
      <c r="F450" s="32" t="s">
        <v>344</v>
      </c>
      <c r="G450" s="4">
        <v>1</v>
      </c>
      <c r="H450" s="95">
        <v>425550</v>
      </c>
      <c r="I450" s="106" t="str">
        <f>IFERROR(VLOOKUP(Table1[[#This Row],[Account Code]],'Accoount Code Combination'!$D:$H,2,FALSE),"")</f>
        <v>Conferences, seminars and exhibitions and other events: - Overseas event</v>
      </c>
      <c r="J450" s="79">
        <v>8471220</v>
      </c>
      <c r="K450" s="4"/>
      <c r="L450" s="4" t="str">
        <f>IFERROR(VLOOKUP(Table1[[#This Row],[Future-1 Description]],'Other '!E438:$F447,2,FALSE),"")</f>
        <v/>
      </c>
      <c r="M450" s="32"/>
      <c r="N450" s="32"/>
      <c r="O450" s="32"/>
      <c r="P450" s="49">
        <v>0</v>
      </c>
      <c r="Q450" s="49">
        <v>1</v>
      </c>
      <c r="R450" s="32"/>
      <c r="S450" s="4"/>
      <c r="T450" s="32"/>
      <c r="U450" s="32"/>
      <c r="V450" s="32"/>
      <c r="W450" s="32"/>
      <c r="X450" s="33"/>
      <c r="Y450" s="33"/>
      <c r="Z450" s="31">
        <f>Table1[[#This Row],[Quantity of measruing units]]*Table1[[#This Row],[Rate (expected)]]</f>
        <v>0</v>
      </c>
      <c r="AA450" s="31"/>
      <c r="AB450" s="31"/>
      <c r="AC450" s="34">
        <f>Table1[[#This Row],[Quantity (expected)]]*Table1[[#This Row],[Rate (expected)2]]*0.9</f>
        <v>0</v>
      </c>
      <c r="AD450" s="34">
        <f>Table1[[#This Row],[Quantity (expected)]]*Table1[[#This Row],[Rate (expected)2]]*0.8</f>
        <v>0</v>
      </c>
      <c r="AE450" s="34">
        <f>Table1[[#This Row],[Quantity (expected)]]*Table1[[#This Row],[Rate (expected)2]]*0.7</f>
        <v>0</v>
      </c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1">
        <f>SUM(Table1[[#This Row],[Jan-23]:[Dec-23]])</f>
        <v>0</v>
      </c>
      <c r="AV450" s="105"/>
      <c r="AW450" s="32"/>
      <c r="AX450" s="35"/>
    </row>
    <row r="451" spans="1:50" x14ac:dyDescent="0.3">
      <c r="A451" s="30" t="str">
        <f>VLOOKUP(H451,'Accoount Code Combination'!$D:$L,8,FALSE)</f>
        <v>Student</v>
      </c>
      <c r="B451" s="31" t="str">
        <f>VLOOKUP(Table1[[#This Row],[Account Code]],'Accoount Code Combination'!$D:$L,9,FALSE)</f>
        <v>No Applicable</v>
      </c>
      <c r="C451" s="4" t="str">
        <f>VLOOKUP(Table1[[#This Row],[Cost Center Code]],'Cost Center Group'!A:B,2,FALSE)</f>
        <v>Academic and Student Services Office</v>
      </c>
      <c r="D451" s="4">
        <v>847</v>
      </c>
      <c r="E451" s="79">
        <v>8471220</v>
      </c>
      <c r="F451" s="32" t="s">
        <v>344</v>
      </c>
      <c r="G451" s="4">
        <v>1</v>
      </c>
      <c r="H451" s="95">
        <v>425741</v>
      </c>
      <c r="I451" s="106" t="str">
        <f>IFERROR(VLOOKUP(Table1[[#This Row],[Account Code]],'Accoount Code Combination'!$D:$H,2,FALSE),"")</f>
        <v>Student stipend</v>
      </c>
      <c r="J451" s="79">
        <v>8471220</v>
      </c>
      <c r="K451" s="4"/>
      <c r="L451" s="4" t="str">
        <f>IFERROR(VLOOKUP(Table1[[#This Row],[Future-1 Description]],'Other '!E439:$F448,2,FALSE),"")</f>
        <v/>
      </c>
      <c r="M451" s="32"/>
      <c r="N451" s="32"/>
      <c r="O451" s="32"/>
      <c r="P451" s="49">
        <v>27445103.300000001</v>
      </c>
      <c r="Q451" s="49">
        <v>0</v>
      </c>
      <c r="R451" s="32"/>
      <c r="S451" s="4"/>
      <c r="T451" s="32"/>
      <c r="U451" s="32"/>
      <c r="V451" s="32"/>
      <c r="W451" s="32"/>
      <c r="X451" s="33"/>
      <c r="Y451" s="33"/>
      <c r="Z451" s="31">
        <f>Table1[[#This Row],[Quantity of measruing units]]*Table1[[#This Row],[Rate (expected)]]</f>
        <v>0</v>
      </c>
      <c r="AA451" s="31"/>
      <c r="AB451" s="31"/>
      <c r="AC451" s="34">
        <f>Table1[[#This Row],[Quantity (expected)]]*Table1[[#This Row],[Rate (expected)2]]*0.9</f>
        <v>0</v>
      </c>
      <c r="AD451" s="34">
        <f>Table1[[#This Row],[Quantity (expected)]]*Table1[[#This Row],[Rate (expected)2]]*0.8</f>
        <v>0</v>
      </c>
      <c r="AE451" s="34">
        <f>Table1[[#This Row],[Quantity (expected)]]*Table1[[#This Row],[Rate (expected)2]]*0.7</f>
        <v>0</v>
      </c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1">
        <f>SUM(Table1[[#This Row],[Jan-23]:[Dec-23]])</f>
        <v>0</v>
      </c>
      <c r="AV451" s="105"/>
      <c r="AW451" s="32"/>
      <c r="AX451" s="35"/>
    </row>
    <row r="452" spans="1:50" x14ac:dyDescent="0.3">
      <c r="A452" s="30" t="str">
        <f>VLOOKUP(H452,'Accoount Code Combination'!$D:$L,8,FALSE)</f>
        <v>Other support</v>
      </c>
      <c r="B452" s="31" t="str">
        <f>VLOOKUP(Table1[[#This Row],[Account Code]],'Accoount Code Combination'!$D:$L,9,FALSE)</f>
        <v>No Applicable</v>
      </c>
      <c r="C452" s="4" t="str">
        <f>VLOOKUP(Table1[[#This Row],[Cost Center Code]],'Cost Center Group'!A:B,2,FALSE)</f>
        <v>Academic and Student Services Office</v>
      </c>
      <c r="D452" s="4">
        <v>847</v>
      </c>
      <c r="E452" s="79">
        <v>8471220</v>
      </c>
      <c r="F452" s="32" t="s">
        <v>344</v>
      </c>
      <c r="G452" s="4">
        <v>1</v>
      </c>
      <c r="H452" s="95">
        <v>425900</v>
      </c>
      <c r="I452" s="106" t="str">
        <f>IFERROR(VLOOKUP(Table1[[#This Row],[Account Code]],'Accoount Code Combination'!$D:$H,2,FALSE),"")</f>
        <v>Entertainment and hospitality</v>
      </c>
      <c r="J452" s="79">
        <v>8471220</v>
      </c>
      <c r="K452" s="4"/>
      <c r="L452" s="4" t="str">
        <f>IFERROR(VLOOKUP(Table1[[#This Row],[Future-1 Description]],'Other '!E440:$F449,2,FALSE),"")</f>
        <v/>
      </c>
      <c r="M452" s="32"/>
      <c r="N452" s="32"/>
      <c r="O452" s="32"/>
      <c r="P452" s="49">
        <v>0</v>
      </c>
      <c r="Q452" s="49">
        <v>0</v>
      </c>
      <c r="R452" s="32"/>
      <c r="S452" s="4"/>
      <c r="T452" s="32"/>
      <c r="U452" s="32"/>
      <c r="V452" s="32"/>
      <c r="W452" s="32"/>
      <c r="X452" s="33"/>
      <c r="Y452" s="33"/>
      <c r="Z452" s="31">
        <f>Table1[[#This Row],[Quantity of measruing units]]*Table1[[#This Row],[Rate (expected)]]</f>
        <v>0</v>
      </c>
      <c r="AA452" s="31"/>
      <c r="AB452" s="31"/>
      <c r="AC452" s="34">
        <f>Table1[[#This Row],[Quantity (expected)]]*Table1[[#This Row],[Rate (expected)2]]*0.9</f>
        <v>0</v>
      </c>
      <c r="AD452" s="34">
        <f>Table1[[#This Row],[Quantity (expected)]]*Table1[[#This Row],[Rate (expected)2]]*0.8</f>
        <v>0</v>
      </c>
      <c r="AE452" s="34">
        <f>Table1[[#This Row],[Quantity (expected)]]*Table1[[#This Row],[Rate (expected)2]]*0.7</f>
        <v>0</v>
      </c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1">
        <f>SUM(Table1[[#This Row],[Jan-23]:[Dec-23]])</f>
        <v>0</v>
      </c>
      <c r="AV452" s="105"/>
      <c r="AW452" s="32"/>
      <c r="AX452" s="35"/>
    </row>
    <row r="453" spans="1:50" ht="26" x14ac:dyDescent="0.3">
      <c r="A453" s="30" t="str">
        <f>VLOOKUP(H453,'Accoount Code Combination'!$D:$L,8,FALSE)</f>
        <v>HR</v>
      </c>
      <c r="B453" s="31" t="str">
        <f>VLOOKUP(Table1[[#This Row],[Account Code]],'Accoount Code Combination'!$D:$L,9,FALSE)</f>
        <v>No Applicable</v>
      </c>
      <c r="C453" s="4" t="str">
        <f>VLOOKUP(Table1[[#This Row],[Cost Center Code]],'Cost Center Group'!A:B,2,FALSE)</f>
        <v>Academic and Student Services Office</v>
      </c>
      <c r="D453" s="4">
        <v>847</v>
      </c>
      <c r="E453" s="79">
        <v>8471220</v>
      </c>
      <c r="F453" s="32" t="s">
        <v>344</v>
      </c>
      <c r="G453" s="4">
        <v>1</v>
      </c>
      <c r="H453" s="95">
        <v>426900</v>
      </c>
      <c r="I453" s="106" t="str">
        <f>IFERROR(VLOOKUP(Table1[[#This Row],[Account Code]],'Accoount Code Combination'!$D:$H,2,FALSE),"")</f>
        <v>Postal, courier and other document delivery expenses</v>
      </c>
      <c r="J453" s="79">
        <v>8471220</v>
      </c>
      <c r="K453" s="4"/>
      <c r="L453" s="4" t="str">
        <f>IFERROR(VLOOKUP(Table1[[#This Row],[Future-1 Description]],'Other '!E441:$F450,2,FALSE),"")</f>
        <v/>
      </c>
      <c r="M453" s="32"/>
      <c r="N453" s="32"/>
      <c r="O453" s="32"/>
      <c r="P453" s="49">
        <v>10806.93</v>
      </c>
      <c r="Q453" s="49">
        <v>10000</v>
      </c>
      <c r="R453" s="32"/>
      <c r="S453" s="4"/>
      <c r="T453" s="32"/>
      <c r="U453" s="32"/>
      <c r="V453" s="32"/>
      <c r="W453" s="32"/>
      <c r="X453" s="33"/>
      <c r="Y453" s="33"/>
      <c r="Z453" s="31">
        <f>Table1[[#This Row],[Quantity of measruing units]]*Table1[[#This Row],[Rate (expected)]]</f>
        <v>0</v>
      </c>
      <c r="AA453" s="31"/>
      <c r="AB453" s="31"/>
      <c r="AC453" s="34">
        <f>Table1[[#This Row],[Quantity (expected)]]*Table1[[#This Row],[Rate (expected)2]]*0.9</f>
        <v>0</v>
      </c>
      <c r="AD453" s="34">
        <f>Table1[[#This Row],[Quantity (expected)]]*Table1[[#This Row],[Rate (expected)2]]*0.8</f>
        <v>0</v>
      </c>
      <c r="AE453" s="34">
        <f>Table1[[#This Row],[Quantity (expected)]]*Table1[[#This Row],[Rate (expected)2]]*0.7</f>
        <v>0</v>
      </c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1">
        <f>SUM(Table1[[#This Row],[Jan-23]:[Dec-23]])</f>
        <v>0</v>
      </c>
      <c r="AV453" s="105"/>
      <c r="AW453" s="32"/>
      <c r="AX453" s="35"/>
    </row>
    <row r="454" spans="1:50" x14ac:dyDescent="0.3">
      <c r="A454" s="30" t="str">
        <f>VLOOKUP(H454,'Accoount Code Combination'!$D:$L,8,FALSE)</f>
        <v>Academic</v>
      </c>
      <c r="B454" s="31" t="str">
        <f>VLOOKUP(Table1[[#This Row],[Account Code]],'Accoount Code Combination'!$D:$L,9,FALSE)</f>
        <v>No Applicable</v>
      </c>
      <c r="C454" s="4" t="str">
        <f>VLOOKUP(Table1[[#This Row],[Cost Center Code]],'Cost Center Group'!A:B,2,FALSE)</f>
        <v>Academic and Student Services Office</v>
      </c>
      <c r="D454" s="4">
        <v>847</v>
      </c>
      <c r="E454" s="79">
        <v>8471220</v>
      </c>
      <c r="F454" s="32" t="s">
        <v>344</v>
      </c>
      <c r="G454" s="4">
        <v>1</v>
      </c>
      <c r="H454" s="95">
        <v>435340</v>
      </c>
      <c r="I454" s="106" t="str">
        <f>IFERROR(VLOOKUP(Table1[[#This Row],[Account Code]],'Accoount Code Combination'!$D:$H,2,FALSE),"")</f>
        <v>Text books and library books</v>
      </c>
      <c r="J454" s="79">
        <v>8471220</v>
      </c>
      <c r="K454" s="4"/>
      <c r="L454" s="4" t="str">
        <f>IFERROR(VLOOKUP(Table1[[#This Row],[Future-1 Description]],'Other '!E442:$F451,2,FALSE),"")</f>
        <v/>
      </c>
      <c r="M454" s="32"/>
      <c r="N454" s="32"/>
      <c r="O454" s="32"/>
      <c r="P454" s="49">
        <v>11132826.970000001</v>
      </c>
      <c r="Q454" s="49">
        <v>11133825</v>
      </c>
      <c r="R454" s="32"/>
      <c r="S454" s="4"/>
      <c r="T454" s="32"/>
      <c r="U454" s="32"/>
      <c r="V454" s="32"/>
      <c r="W454" s="32"/>
      <c r="X454" s="33"/>
      <c r="Y454" s="33"/>
      <c r="Z454" s="31">
        <f>Table1[[#This Row],[Quantity of measruing units]]*Table1[[#This Row],[Rate (expected)]]</f>
        <v>0</v>
      </c>
      <c r="AA454" s="31"/>
      <c r="AB454" s="31"/>
      <c r="AC454" s="34">
        <f>Table1[[#This Row],[Quantity (expected)]]*Table1[[#This Row],[Rate (expected)2]]*0.9</f>
        <v>0</v>
      </c>
      <c r="AD454" s="34">
        <f>Table1[[#This Row],[Quantity (expected)]]*Table1[[#This Row],[Rate (expected)2]]*0.8</f>
        <v>0</v>
      </c>
      <c r="AE454" s="34">
        <f>Table1[[#This Row],[Quantity (expected)]]*Table1[[#This Row],[Rate (expected)2]]*0.7</f>
        <v>0</v>
      </c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1">
        <f>SUM(Table1[[#This Row],[Jan-23]:[Dec-23]])</f>
        <v>0</v>
      </c>
      <c r="AV454" s="105"/>
      <c r="AW454" s="32"/>
      <c r="AX454" s="35"/>
    </row>
    <row r="455" spans="1:50" x14ac:dyDescent="0.3">
      <c r="A455" s="30" t="str">
        <f>VLOOKUP(H455,'Accoount Code Combination'!$D:$L,8,FALSE)</f>
        <v>Other support</v>
      </c>
      <c r="B455" s="31" t="str">
        <f>VLOOKUP(Table1[[#This Row],[Account Code]],'Accoount Code Combination'!$D:$L,9,FALSE)</f>
        <v>No Applicable</v>
      </c>
      <c r="C455" s="4" t="str">
        <f>VLOOKUP(Table1[[#This Row],[Cost Center Code]],'Cost Center Group'!A:B,2,FALSE)</f>
        <v>Academic and Student Services Office</v>
      </c>
      <c r="D455" s="4">
        <v>847</v>
      </c>
      <c r="E455" s="79">
        <v>8471220</v>
      </c>
      <c r="F455" s="32" t="s">
        <v>344</v>
      </c>
      <c r="G455" s="4">
        <v>1</v>
      </c>
      <c r="H455" s="95">
        <v>436110</v>
      </c>
      <c r="I455" s="106" t="str">
        <f>IFERROR(VLOOKUP(Table1[[#This Row],[Account Code]],'Accoount Code Combination'!$D:$H,2,FALSE),"")</f>
        <v>Printing supplies</v>
      </c>
      <c r="J455" s="79">
        <v>8471220</v>
      </c>
      <c r="K455" s="4"/>
      <c r="L455" s="4" t="str">
        <f>IFERROR(VLOOKUP(Table1[[#This Row],[Future-1 Description]],'Other '!E443:$F452,2,FALSE),"")</f>
        <v/>
      </c>
      <c r="M455" s="32"/>
      <c r="N455" s="32"/>
      <c r="O455" s="32"/>
      <c r="P455" s="49">
        <v>0</v>
      </c>
      <c r="Q455" s="49">
        <v>250000</v>
      </c>
      <c r="R455" s="32"/>
      <c r="S455" s="4"/>
      <c r="T455" s="32"/>
      <c r="U455" s="32"/>
      <c r="V455" s="32"/>
      <c r="W455" s="32"/>
      <c r="X455" s="33"/>
      <c r="Y455" s="33"/>
      <c r="Z455" s="31">
        <f>Table1[[#This Row],[Quantity of measruing units]]*Table1[[#This Row],[Rate (expected)]]</f>
        <v>0</v>
      </c>
      <c r="AA455" s="31"/>
      <c r="AB455" s="31"/>
      <c r="AC455" s="34">
        <f>Table1[[#This Row],[Quantity (expected)]]*Table1[[#This Row],[Rate (expected)2]]*0.9</f>
        <v>0</v>
      </c>
      <c r="AD455" s="34">
        <f>Table1[[#This Row],[Quantity (expected)]]*Table1[[#This Row],[Rate (expected)2]]*0.8</f>
        <v>0</v>
      </c>
      <c r="AE455" s="34">
        <f>Table1[[#This Row],[Quantity (expected)]]*Table1[[#This Row],[Rate (expected)2]]*0.7</f>
        <v>0</v>
      </c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1">
        <f>SUM(Table1[[#This Row],[Jan-23]:[Dec-23]])</f>
        <v>0</v>
      </c>
      <c r="AV455" s="105"/>
      <c r="AW455" s="32"/>
      <c r="AX455" s="35"/>
    </row>
    <row r="456" spans="1:50" x14ac:dyDescent="0.3">
      <c r="A456" s="30" t="str">
        <f>VLOOKUP(H456,'Accoount Code Combination'!$D:$L,8,FALSE)</f>
        <v>Other support</v>
      </c>
      <c r="B456" s="31" t="str">
        <f>VLOOKUP(Table1[[#This Row],[Account Code]],'Accoount Code Combination'!$D:$L,9,FALSE)</f>
        <v>No Applicable</v>
      </c>
      <c r="C456" s="4" t="str">
        <f>VLOOKUP(Table1[[#This Row],[Cost Center Code]],'Cost Center Group'!A:B,2,FALSE)</f>
        <v>Academic and Student Services Office</v>
      </c>
      <c r="D456" s="4">
        <v>847</v>
      </c>
      <c r="E456" s="79">
        <v>8471220</v>
      </c>
      <c r="F456" s="32" t="s">
        <v>344</v>
      </c>
      <c r="G456" s="4">
        <v>1</v>
      </c>
      <c r="H456" s="95">
        <v>436120</v>
      </c>
      <c r="I456" s="106" t="str">
        <f>IFERROR(VLOOKUP(Table1[[#This Row],[Account Code]],'Accoount Code Combination'!$D:$H,2,FALSE),"")</f>
        <v>Stationery</v>
      </c>
      <c r="J456" s="79">
        <v>8471220</v>
      </c>
      <c r="K456" s="4"/>
      <c r="L456" s="4" t="str">
        <f>IFERROR(VLOOKUP(Table1[[#This Row],[Future-1 Description]],'Other '!E444:$F453,2,FALSE),"")</f>
        <v/>
      </c>
      <c r="M456" s="32"/>
      <c r="N456" s="32"/>
      <c r="O456" s="32"/>
      <c r="P456" s="49">
        <v>0</v>
      </c>
      <c r="Q456" s="49">
        <v>5686</v>
      </c>
      <c r="R456" s="32"/>
      <c r="S456" s="4"/>
      <c r="T456" s="32"/>
      <c r="U456" s="32"/>
      <c r="V456" s="32"/>
      <c r="W456" s="32"/>
      <c r="X456" s="33"/>
      <c r="Y456" s="33"/>
      <c r="Z456" s="31">
        <f>Table1[[#This Row],[Quantity of measruing units]]*Table1[[#This Row],[Rate (expected)]]</f>
        <v>0</v>
      </c>
      <c r="AA456" s="31"/>
      <c r="AB456" s="31"/>
      <c r="AC456" s="34">
        <f>Table1[[#This Row],[Quantity (expected)]]*Table1[[#This Row],[Rate (expected)2]]*0.9</f>
        <v>0</v>
      </c>
      <c r="AD456" s="34">
        <f>Table1[[#This Row],[Quantity (expected)]]*Table1[[#This Row],[Rate (expected)2]]*0.8</f>
        <v>0</v>
      </c>
      <c r="AE456" s="34">
        <f>Table1[[#This Row],[Quantity (expected)]]*Table1[[#This Row],[Rate (expected)2]]*0.7</f>
        <v>0</v>
      </c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1">
        <f>SUM(Table1[[#This Row],[Jan-23]:[Dec-23]])</f>
        <v>0</v>
      </c>
      <c r="AV456" s="105"/>
      <c r="AW456" s="32"/>
      <c r="AX456" s="35"/>
    </row>
    <row r="457" spans="1:50" x14ac:dyDescent="0.3">
      <c r="A457" s="30" t="str">
        <f>VLOOKUP(H457,'Accoount Code Combination'!$D:$L,8,FALSE)</f>
        <v>Academic</v>
      </c>
      <c r="B457" s="31" t="str">
        <f>VLOOKUP(Table1[[#This Row],[Account Code]],'Accoount Code Combination'!$D:$L,9,FALSE)</f>
        <v>No Applicable</v>
      </c>
      <c r="C457" s="4" t="str">
        <f>VLOOKUP(Table1[[#This Row],[Cost Center Code]],'Cost Center Group'!A:B,2,FALSE)</f>
        <v>Academic and Student Services Office</v>
      </c>
      <c r="D457" s="4">
        <v>847</v>
      </c>
      <c r="E457" s="79">
        <v>8471230</v>
      </c>
      <c r="F457" s="32" t="s">
        <v>382</v>
      </c>
      <c r="G457" s="4">
        <v>1</v>
      </c>
      <c r="H457" s="95">
        <v>425742</v>
      </c>
      <c r="I457" s="106" t="str">
        <f>IFERROR(VLOOKUP(Table1[[#This Row],[Account Code]],'Accoount Code Combination'!$D:$H,2,FALSE),"")</f>
        <v>Enrollment expenses</v>
      </c>
      <c r="J457" s="79">
        <v>8471230</v>
      </c>
      <c r="K457" s="4"/>
      <c r="L457" s="4" t="str">
        <f>IFERROR(VLOOKUP(Table1[[#This Row],[Future-1 Description]],'Other '!E445:$F454,2,FALSE),"")</f>
        <v/>
      </c>
      <c r="M457" s="32"/>
      <c r="N457" s="32"/>
      <c r="O457" s="32"/>
      <c r="P457" s="49">
        <v>1691072.24</v>
      </c>
      <c r="Q457" s="49">
        <v>1912196</v>
      </c>
      <c r="R457" s="32"/>
      <c r="S457" s="4"/>
      <c r="T457" s="32"/>
      <c r="U457" s="32"/>
      <c r="V457" s="32"/>
      <c r="W457" s="32"/>
      <c r="X457" s="33"/>
      <c r="Y457" s="33"/>
      <c r="Z457" s="31">
        <f>Table1[[#This Row],[Quantity of measruing units]]*Table1[[#This Row],[Rate (expected)]]</f>
        <v>0</v>
      </c>
      <c r="AA457" s="31"/>
      <c r="AB457" s="31"/>
      <c r="AC457" s="34">
        <f>Table1[[#This Row],[Quantity (expected)]]*Table1[[#This Row],[Rate (expected)2]]*0.9</f>
        <v>0</v>
      </c>
      <c r="AD457" s="34">
        <f>Table1[[#This Row],[Quantity (expected)]]*Table1[[#This Row],[Rate (expected)2]]*0.8</f>
        <v>0</v>
      </c>
      <c r="AE457" s="34">
        <f>Table1[[#This Row],[Quantity (expected)]]*Table1[[#This Row],[Rate (expected)2]]*0.7</f>
        <v>0</v>
      </c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1">
        <f>SUM(Table1[[#This Row],[Jan-23]:[Dec-23]])</f>
        <v>0</v>
      </c>
      <c r="AV457" s="105"/>
      <c r="AW457" s="32"/>
      <c r="AX457" s="35"/>
    </row>
    <row r="458" spans="1:50" x14ac:dyDescent="0.3">
      <c r="A458" s="30" t="str">
        <f>VLOOKUP(H458,'Accoount Code Combination'!$D:$L,8,FALSE)</f>
        <v>IT</v>
      </c>
      <c r="B458" s="31" t="str">
        <f>VLOOKUP(Table1[[#This Row],[Account Code]],'Accoount Code Combination'!$D:$L,9,FALSE)</f>
        <v>Software Operating</v>
      </c>
      <c r="C458" s="4" t="str">
        <f>VLOOKUP(Table1[[#This Row],[Cost Center Code]],'Cost Center Group'!A:B,2,FALSE)</f>
        <v>Academic and Student Services Office</v>
      </c>
      <c r="D458" s="4">
        <v>847</v>
      </c>
      <c r="E458" s="79">
        <v>8471230</v>
      </c>
      <c r="F458" s="32" t="s">
        <v>382</v>
      </c>
      <c r="G458" s="4">
        <v>1</v>
      </c>
      <c r="H458" s="95">
        <v>426610</v>
      </c>
      <c r="I458" s="106" t="str">
        <f>IFERROR(VLOOKUP(Table1[[#This Row],[Account Code]],'Accoount Code Combination'!$D:$H,2,FALSE),"")</f>
        <v>Computer software licenses</v>
      </c>
      <c r="J458" s="79">
        <v>8471230</v>
      </c>
      <c r="K458" s="4"/>
      <c r="L458" s="4" t="str">
        <f>IFERROR(VLOOKUP(Table1[[#This Row],[Future-1 Description]],'Other '!E446:$F455,2,FALSE),"")</f>
        <v/>
      </c>
      <c r="M458" s="32"/>
      <c r="N458" s="32"/>
      <c r="O458" s="32"/>
      <c r="P458" s="49">
        <v>0</v>
      </c>
      <c r="Q458" s="49">
        <v>105019</v>
      </c>
      <c r="R458" s="32"/>
      <c r="S458" s="4"/>
      <c r="T458" s="32"/>
      <c r="U458" s="32"/>
      <c r="V458" s="32"/>
      <c r="W458" s="32"/>
      <c r="X458" s="33"/>
      <c r="Y458" s="33"/>
      <c r="Z458" s="31">
        <f>Table1[[#This Row],[Quantity of measruing units]]*Table1[[#This Row],[Rate (expected)]]</f>
        <v>0</v>
      </c>
      <c r="AA458" s="31"/>
      <c r="AB458" s="31"/>
      <c r="AC458" s="34">
        <f>Table1[[#This Row],[Quantity (expected)]]*Table1[[#This Row],[Rate (expected)2]]*0.9</f>
        <v>0</v>
      </c>
      <c r="AD458" s="34">
        <f>Table1[[#This Row],[Quantity (expected)]]*Table1[[#This Row],[Rate (expected)2]]*0.8</f>
        <v>0</v>
      </c>
      <c r="AE458" s="34">
        <f>Table1[[#This Row],[Quantity (expected)]]*Table1[[#This Row],[Rate (expected)2]]*0.7</f>
        <v>0</v>
      </c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1">
        <f>SUM(Table1[[#This Row],[Jan-23]:[Dec-23]])</f>
        <v>0</v>
      </c>
      <c r="AV458" s="105"/>
      <c r="AW458" s="32"/>
      <c r="AX458" s="35"/>
    </row>
    <row r="459" spans="1:50" ht="26" x14ac:dyDescent="0.3">
      <c r="A459" s="30" t="str">
        <f>VLOOKUP(H459,'Accoount Code Combination'!$D:$L,8,FALSE)</f>
        <v>Communiction &amp; Marketing</v>
      </c>
      <c r="B459" s="31" t="str">
        <f>VLOOKUP(Table1[[#This Row],[Account Code]],'Accoount Code Combination'!$D:$L,9,FALSE)</f>
        <v>Events</v>
      </c>
      <c r="C459" s="4" t="str">
        <f>VLOOKUP(Table1[[#This Row],[Cost Center Code]],'Cost Center Group'!A:B,2,FALSE)</f>
        <v>Academic and Student Services Office</v>
      </c>
      <c r="D459" s="4">
        <v>847</v>
      </c>
      <c r="E459" s="79">
        <v>8471240</v>
      </c>
      <c r="F459" s="32" t="s">
        <v>346</v>
      </c>
      <c r="G459" s="4">
        <v>1</v>
      </c>
      <c r="H459" s="95">
        <v>425510</v>
      </c>
      <c r="I459" s="106" t="str">
        <f>IFERROR(VLOOKUP(Table1[[#This Row],[Account Code]],'Accoount Code Combination'!$D:$H,2,FALSE),"")</f>
        <v>Conferences, seminars and exhibitions and other events: - Local Events</v>
      </c>
      <c r="J459" s="79">
        <v>8471240</v>
      </c>
      <c r="K459" s="4"/>
      <c r="L459" s="4" t="str">
        <f>IFERROR(VLOOKUP(Table1[[#This Row],[Future-1 Description]],'Other '!E447:$F456,2,FALSE),"")</f>
        <v/>
      </c>
      <c r="M459" s="32"/>
      <c r="N459" s="32"/>
      <c r="O459" s="32"/>
      <c r="P459" s="49">
        <v>42053.5</v>
      </c>
      <c r="Q459" s="49">
        <v>0</v>
      </c>
      <c r="R459" s="32"/>
      <c r="S459" s="4"/>
      <c r="T459" s="32"/>
      <c r="U459" s="32"/>
      <c r="V459" s="32"/>
      <c r="W459" s="32"/>
      <c r="X459" s="33"/>
      <c r="Y459" s="33"/>
      <c r="Z459" s="31">
        <f>Table1[[#This Row],[Quantity of measruing units]]*Table1[[#This Row],[Rate (expected)]]</f>
        <v>0</v>
      </c>
      <c r="AA459" s="31"/>
      <c r="AB459" s="31"/>
      <c r="AC459" s="34">
        <f>Table1[[#This Row],[Quantity (expected)]]*Table1[[#This Row],[Rate (expected)2]]*0.9</f>
        <v>0</v>
      </c>
      <c r="AD459" s="34">
        <f>Table1[[#This Row],[Quantity (expected)]]*Table1[[#This Row],[Rate (expected)2]]*0.8</f>
        <v>0</v>
      </c>
      <c r="AE459" s="34">
        <f>Table1[[#This Row],[Quantity (expected)]]*Table1[[#This Row],[Rate (expected)2]]*0.7</f>
        <v>0</v>
      </c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1">
        <f>SUM(Table1[[#This Row],[Jan-23]:[Dec-23]])</f>
        <v>0</v>
      </c>
      <c r="AV459" s="105"/>
      <c r="AW459" s="32"/>
      <c r="AX459" s="35"/>
    </row>
    <row r="460" spans="1:50" x14ac:dyDescent="0.3">
      <c r="A460" s="30" t="str">
        <f>VLOOKUP(H460,'Accoount Code Combination'!$D:$L,8,FALSE)</f>
        <v>Student</v>
      </c>
      <c r="B460" s="31" t="str">
        <f>VLOOKUP(Table1[[#This Row],[Account Code]],'Accoount Code Combination'!$D:$L,9,FALSE)</f>
        <v>No Applicable</v>
      </c>
      <c r="C460" s="4" t="str">
        <f>VLOOKUP(Table1[[#This Row],[Cost Center Code]],'Cost Center Group'!A:B,2,FALSE)</f>
        <v>Academic and Student Services Office</v>
      </c>
      <c r="D460" s="4">
        <v>847</v>
      </c>
      <c r="E460" s="79">
        <v>8471240</v>
      </c>
      <c r="F460" s="32" t="s">
        <v>346</v>
      </c>
      <c r="G460" s="4">
        <v>1</v>
      </c>
      <c r="H460" s="95">
        <v>425720</v>
      </c>
      <c r="I460" s="106" t="str">
        <f>IFERROR(VLOOKUP(Table1[[#This Row],[Account Code]],'Accoount Code Combination'!$D:$H,2,FALSE),"")</f>
        <v>Education-Outsourced training service</v>
      </c>
      <c r="J460" s="79">
        <v>8471240</v>
      </c>
      <c r="K460" s="4"/>
      <c r="L460" s="4" t="str">
        <f>IFERROR(VLOOKUP(Table1[[#This Row],[Future-1 Description]],'Other '!E448:$F457,2,FALSE),"")</f>
        <v/>
      </c>
      <c r="M460" s="32"/>
      <c r="N460" s="32"/>
      <c r="O460" s="32"/>
      <c r="P460" s="49">
        <v>107864.58</v>
      </c>
      <c r="Q460" s="49">
        <v>0</v>
      </c>
      <c r="R460" s="32"/>
      <c r="S460" s="4"/>
      <c r="T460" s="32"/>
      <c r="U460" s="32"/>
      <c r="V460" s="32"/>
      <c r="W460" s="32"/>
      <c r="X460" s="33"/>
      <c r="Y460" s="33"/>
      <c r="Z460" s="31">
        <f>Table1[[#This Row],[Quantity of measruing units]]*Table1[[#This Row],[Rate (expected)]]</f>
        <v>0</v>
      </c>
      <c r="AA460" s="31"/>
      <c r="AB460" s="31"/>
      <c r="AC460" s="34">
        <f>Table1[[#This Row],[Quantity (expected)]]*Table1[[#This Row],[Rate (expected)2]]*0.9</f>
        <v>0</v>
      </c>
      <c r="AD460" s="34">
        <f>Table1[[#This Row],[Quantity (expected)]]*Table1[[#This Row],[Rate (expected)2]]*0.8</f>
        <v>0</v>
      </c>
      <c r="AE460" s="34">
        <f>Table1[[#This Row],[Quantity (expected)]]*Table1[[#This Row],[Rate (expected)2]]*0.7</f>
        <v>0</v>
      </c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1">
        <f>SUM(Table1[[#This Row],[Jan-23]:[Dec-23]])</f>
        <v>0</v>
      </c>
      <c r="AV460" s="105"/>
      <c r="AW460" s="32"/>
      <c r="AX460" s="35"/>
    </row>
    <row r="461" spans="1:50" x14ac:dyDescent="0.3">
      <c r="A461" s="30" t="str">
        <f>VLOOKUP(H461,'Accoount Code Combination'!$D:$L,8,FALSE)</f>
        <v>Student</v>
      </c>
      <c r="B461" s="31" t="str">
        <f>VLOOKUP(Table1[[#This Row],[Account Code]],'Accoount Code Combination'!$D:$L,9,FALSE)</f>
        <v>No Applicable</v>
      </c>
      <c r="C461" s="4" t="str">
        <f>VLOOKUP(Table1[[#This Row],[Cost Center Code]],'Cost Center Group'!A:B,2,FALSE)</f>
        <v>Academic and Student Services Office</v>
      </c>
      <c r="D461" s="4">
        <v>847</v>
      </c>
      <c r="E461" s="79">
        <v>8471240</v>
      </c>
      <c r="F461" s="32" t="s">
        <v>346</v>
      </c>
      <c r="G461" s="4">
        <v>1</v>
      </c>
      <c r="H461" s="95">
        <v>425750</v>
      </c>
      <c r="I461" s="106" t="str">
        <f>IFERROR(VLOOKUP(Table1[[#This Row],[Account Code]],'Accoount Code Combination'!$D:$H,2,FALSE),"")</f>
        <v>Skill assessment service</v>
      </c>
      <c r="J461" s="79">
        <v>8471240</v>
      </c>
      <c r="K461" s="4"/>
      <c r="L461" s="4" t="str">
        <f>IFERROR(VLOOKUP(Table1[[#This Row],[Future-1 Description]],'Other '!E449:$F458,2,FALSE),"")</f>
        <v/>
      </c>
      <c r="M461" s="32"/>
      <c r="N461" s="32"/>
      <c r="O461" s="32"/>
      <c r="P461" s="49">
        <v>-16200</v>
      </c>
      <c r="Q461" s="49">
        <v>0</v>
      </c>
      <c r="R461" s="32"/>
      <c r="S461" s="4"/>
      <c r="T461" s="32"/>
      <c r="U461" s="32"/>
      <c r="V461" s="32"/>
      <c r="W461" s="32"/>
      <c r="X461" s="33"/>
      <c r="Y461" s="33"/>
      <c r="Z461" s="31">
        <f>Table1[[#This Row],[Quantity of measruing units]]*Table1[[#This Row],[Rate (expected)]]</f>
        <v>0</v>
      </c>
      <c r="AA461" s="31"/>
      <c r="AB461" s="31"/>
      <c r="AC461" s="34">
        <f>Table1[[#This Row],[Quantity (expected)]]*Table1[[#This Row],[Rate (expected)2]]*0.9</f>
        <v>0</v>
      </c>
      <c r="AD461" s="34">
        <f>Table1[[#This Row],[Quantity (expected)]]*Table1[[#This Row],[Rate (expected)2]]*0.8</f>
        <v>0</v>
      </c>
      <c r="AE461" s="34">
        <f>Table1[[#This Row],[Quantity (expected)]]*Table1[[#This Row],[Rate (expected)2]]*0.7</f>
        <v>0</v>
      </c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1">
        <f>SUM(Table1[[#This Row],[Jan-23]:[Dec-23]])</f>
        <v>0</v>
      </c>
      <c r="AV461" s="105"/>
      <c r="AW461" s="32"/>
      <c r="AX461" s="35"/>
    </row>
    <row r="462" spans="1:50" x14ac:dyDescent="0.3">
      <c r="A462" s="30" t="str">
        <f>VLOOKUP(H462,'Accoount Code Combination'!$D:$L,8,FALSE)</f>
        <v>Academic</v>
      </c>
      <c r="B462" s="31" t="str">
        <f>VLOOKUP(Table1[[#This Row],[Account Code]],'Accoount Code Combination'!$D:$L,9,FALSE)</f>
        <v>No Applicable</v>
      </c>
      <c r="C462" s="4" t="str">
        <f>VLOOKUP(Table1[[#This Row],[Cost Center Code]],'Cost Center Group'!A:B,2,FALSE)</f>
        <v>Academic and Student Services Office</v>
      </c>
      <c r="D462" s="4">
        <v>847</v>
      </c>
      <c r="E462" s="79">
        <v>8471240</v>
      </c>
      <c r="F462" s="32" t="s">
        <v>346</v>
      </c>
      <c r="G462" s="4">
        <v>1</v>
      </c>
      <c r="H462" s="95">
        <v>425761</v>
      </c>
      <c r="I462" s="106" t="str">
        <f>IFERROR(VLOOKUP(Table1[[#This Row],[Account Code]],'Accoount Code Combination'!$D:$H,2,FALSE),"")</f>
        <v>Student Field trips</v>
      </c>
      <c r="J462" s="79">
        <v>8471240</v>
      </c>
      <c r="K462" s="4"/>
      <c r="L462" s="4" t="str">
        <f>IFERROR(VLOOKUP(Table1[[#This Row],[Future-1 Description]],'Other '!E450:$F459,2,FALSE),"")</f>
        <v/>
      </c>
      <c r="M462" s="32"/>
      <c r="N462" s="32"/>
      <c r="O462" s="32"/>
      <c r="P462" s="49">
        <v>466665.07</v>
      </c>
      <c r="Q462" s="49">
        <v>399675</v>
      </c>
      <c r="R462" s="32"/>
      <c r="S462" s="4"/>
      <c r="T462" s="32"/>
      <c r="U462" s="32"/>
      <c r="V462" s="32"/>
      <c r="W462" s="32"/>
      <c r="X462" s="33"/>
      <c r="Y462" s="33"/>
      <c r="Z462" s="31">
        <f>Table1[[#This Row],[Quantity of measruing units]]*Table1[[#This Row],[Rate (expected)]]</f>
        <v>0</v>
      </c>
      <c r="AA462" s="31"/>
      <c r="AB462" s="31"/>
      <c r="AC462" s="34">
        <f>Table1[[#This Row],[Quantity (expected)]]*Table1[[#This Row],[Rate (expected)2]]*0.9</f>
        <v>0</v>
      </c>
      <c r="AD462" s="34">
        <f>Table1[[#This Row],[Quantity (expected)]]*Table1[[#This Row],[Rate (expected)2]]*0.8</f>
        <v>0</v>
      </c>
      <c r="AE462" s="34">
        <f>Table1[[#This Row],[Quantity (expected)]]*Table1[[#This Row],[Rate (expected)2]]*0.7</f>
        <v>0</v>
      </c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1">
        <f>SUM(Table1[[#This Row],[Jan-23]:[Dec-23]])</f>
        <v>0</v>
      </c>
      <c r="AV462" s="105"/>
      <c r="AW462" s="32"/>
      <c r="AX462" s="35"/>
    </row>
    <row r="463" spans="1:50" x14ac:dyDescent="0.3">
      <c r="A463" s="30" t="str">
        <f>VLOOKUP(H463,'Accoount Code Combination'!$D:$L,8,FALSE)</f>
        <v>Other support</v>
      </c>
      <c r="B463" s="31" t="str">
        <f>VLOOKUP(Table1[[#This Row],[Account Code]],'Accoount Code Combination'!$D:$L,9,FALSE)</f>
        <v>No Applicable</v>
      </c>
      <c r="C463" s="4" t="str">
        <f>VLOOKUP(Table1[[#This Row],[Cost Center Code]],'Cost Center Group'!A:B,2,FALSE)</f>
        <v>Academic and Student Services Office</v>
      </c>
      <c r="D463" s="4">
        <v>847</v>
      </c>
      <c r="E463" s="79">
        <v>8471240</v>
      </c>
      <c r="F463" s="32" t="s">
        <v>346</v>
      </c>
      <c r="G463" s="4">
        <v>1</v>
      </c>
      <c r="H463" s="95">
        <v>425900</v>
      </c>
      <c r="I463" s="106" t="str">
        <f>IFERROR(VLOOKUP(Table1[[#This Row],[Account Code]],'Accoount Code Combination'!$D:$H,2,FALSE),"")</f>
        <v>Entertainment and hospitality</v>
      </c>
      <c r="J463" s="79">
        <v>8471240</v>
      </c>
      <c r="K463" s="4"/>
      <c r="L463" s="4" t="str">
        <f>IFERROR(VLOOKUP(Table1[[#This Row],[Future-1 Description]],'Other '!E451:$F460,2,FALSE),"")</f>
        <v/>
      </c>
      <c r="M463" s="32"/>
      <c r="N463" s="32"/>
      <c r="O463" s="32"/>
      <c r="P463" s="49">
        <v>0</v>
      </c>
      <c r="Q463" s="49">
        <v>0</v>
      </c>
      <c r="R463" s="32"/>
      <c r="S463" s="4"/>
      <c r="T463" s="32"/>
      <c r="U463" s="32"/>
      <c r="V463" s="32"/>
      <c r="W463" s="32"/>
      <c r="X463" s="33"/>
      <c r="Y463" s="33"/>
      <c r="Z463" s="31">
        <f>Table1[[#This Row],[Quantity of measruing units]]*Table1[[#This Row],[Rate (expected)]]</f>
        <v>0</v>
      </c>
      <c r="AA463" s="31"/>
      <c r="AB463" s="31"/>
      <c r="AC463" s="34">
        <f>Table1[[#This Row],[Quantity (expected)]]*Table1[[#This Row],[Rate (expected)2]]*0.9</f>
        <v>0</v>
      </c>
      <c r="AD463" s="34">
        <f>Table1[[#This Row],[Quantity (expected)]]*Table1[[#This Row],[Rate (expected)2]]*0.8</f>
        <v>0</v>
      </c>
      <c r="AE463" s="34">
        <f>Table1[[#This Row],[Quantity (expected)]]*Table1[[#This Row],[Rate (expected)2]]*0.7</f>
        <v>0</v>
      </c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1">
        <f>SUM(Table1[[#This Row],[Jan-23]:[Dec-23]])</f>
        <v>0</v>
      </c>
      <c r="AV463" s="105"/>
      <c r="AW463" s="32"/>
      <c r="AX463" s="35"/>
    </row>
    <row r="464" spans="1:50" x14ac:dyDescent="0.3">
      <c r="A464" s="30" t="str">
        <f>VLOOKUP(H464,'Accoount Code Combination'!$D:$L,8,FALSE)</f>
        <v>IT</v>
      </c>
      <c r="B464" s="31" t="str">
        <f>VLOOKUP(Table1[[#This Row],[Account Code]],'Accoount Code Combination'!$D:$L,9,FALSE)</f>
        <v>Software Operating</v>
      </c>
      <c r="C464" s="4" t="str">
        <f>VLOOKUP(Table1[[#This Row],[Cost Center Code]],'Cost Center Group'!A:B,2,FALSE)</f>
        <v>Academic and Student Services Office</v>
      </c>
      <c r="D464" s="4">
        <v>847</v>
      </c>
      <c r="E464" s="79">
        <v>8471240</v>
      </c>
      <c r="F464" s="32" t="s">
        <v>346</v>
      </c>
      <c r="G464" s="4">
        <v>1</v>
      </c>
      <c r="H464" s="95">
        <v>426610</v>
      </c>
      <c r="I464" s="106" t="str">
        <f>IFERROR(VLOOKUP(Table1[[#This Row],[Account Code]],'Accoount Code Combination'!$D:$H,2,FALSE),"")</f>
        <v>Computer software licenses</v>
      </c>
      <c r="J464" s="79">
        <v>8471240</v>
      </c>
      <c r="K464" s="4"/>
      <c r="L464" s="4" t="str">
        <f>IFERROR(VLOOKUP(Table1[[#This Row],[Future-1 Description]],'Other '!E452:$F461,2,FALSE),"")</f>
        <v/>
      </c>
      <c r="M464" s="32"/>
      <c r="N464" s="32"/>
      <c r="O464" s="32"/>
      <c r="P464" s="49">
        <v>0</v>
      </c>
      <c r="Q464" s="49">
        <v>495462</v>
      </c>
      <c r="R464" s="32"/>
      <c r="S464" s="4"/>
      <c r="T464" s="32"/>
      <c r="U464" s="32"/>
      <c r="V464" s="32"/>
      <c r="W464" s="32"/>
      <c r="X464" s="33"/>
      <c r="Y464" s="33"/>
      <c r="Z464" s="31">
        <f>Table1[[#This Row],[Quantity of measruing units]]*Table1[[#This Row],[Rate (expected)]]</f>
        <v>0</v>
      </c>
      <c r="AA464" s="31"/>
      <c r="AB464" s="31"/>
      <c r="AC464" s="34">
        <f>Table1[[#This Row],[Quantity (expected)]]*Table1[[#This Row],[Rate (expected)2]]*0.9</f>
        <v>0</v>
      </c>
      <c r="AD464" s="34">
        <f>Table1[[#This Row],[Quantity (expected)]]*Table1[[#This Row],[Rate (expected)2]]*0.8</f>
        <v>0</v>
      </c>
      <c r="AE464" s="34">
        <f>Table1[[#This Row],[Quantity (expected)]]*Table1[[#This Row],[Rate (expected)2]]*0.7</f>
        <v>0</v>
      </c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1">
        <f>SUM(Table1[[#This Row],[Jan-23]:[Dec-23]])</f>
        <v>0</v>
      </c>
      <c r="AV464" s="105"/>
      <c r="AW464" s="32"/>
      <c r="AX464" s="35"/>
    </row>
    <row r="465" spans="1:50" x14ac:dyDescent="0.3">
      <c r="A465" s="30" t="str">
        <f>VLOOKUP(H465,'Accoount Code Combination'!$D:$L,8,FALSE)</f>
        <v xml:space="preserve">Academic </v>
      </c>
      <c r="B465" s="31" t="str">
        <f>VLOOKUP(Table1[[#This Row],[Account Code]],'Accoount Code Combination'!$D:$L,9,FALSE)</f>
        <v>No Applicable</v>
      </c>
      <c r="C465" s="4" t="str">
        <f>VLOOKUP(Table1[[#This Row],[Cost Center Code]],'Cost Center Group'!A:B,2,FALSE)</f>
        <v>Academic and Student Services Office</v>
      </c>
      <c r="D465" s="4">
        <v>847</v>
      </c>
      <c r="E465" s="79">
        <v>8471240</v>
      </c>
      <c r="F465" s="32" t="s">
        <v>346</v>
      </c>
      <c r="G465" s="4">
        <v>1</v>
      </c>
      <c r="H465" s="95">
        <v>428090</v>
      </c>
      <c r="I465" s="106" t="str">
        <f>IFERROR(VLOOKUP(Table1[[#This Row],[Account Code]],'Accoount Code Combination'!$D:$H,2,FALSE),"")</f>
        <v>Business Travel - Combined expenses</v>
      </c>
      <c r="J465" s="79">
        <v>8471240</v>
      </c>
      <c r="K465" s="4"/>
      <c r="L465" s="4" t="str">
        <f>IFERROR(VLOOKUP(Table1[[#This Row],[Future-1 Description]],'Other '!E453:$F462,2,FALSE),"")</f>
        <v/>
      </c>
      <c r="M465" s="32"/>
      <c r="N465" s="32"/>
      <c r="O465" s="32"/>
      <c r="P465" s="49">
        <v>0</v>
      </c>
      <c r="Q465" s="49">
        <v>0</v>
      </c>
      <c r="R465" s="32"/>
      <c r="S465" s="4"/>
      <c r="T465" s="32"/>
      <c r="U465" s="32"/>
      <c r="V465" s="32"/>
      <c r="W465" s="32"/>
      <c r="X465" s="33"/>
      <c r="Y465" s="33"/>
      <c r="Z465" s="31">
        <f>Table1[[#This Row],[Quantity of measruing units]]*Table1[[#This Row],[Rate (expected)]]</f>
        <v>0</v>
      </c>
      <c r="AA465" s="31"/>
      <c r="AB465" s="31"/>
      <c r="AC465" s="34">
        <f>Table1[[#This Row],[Quantity (expected)]]*Table1[[#This Row],[Rate (expected)2]]*0.9</f>
        <v>0</v>
      </c>
      <c r="AD465" s="34">
        <f>Table1[[#This Row],[Quantity (expected)]]*Table1[[#This Row],[Rate (expected)2]]*0.8</f>
        <v>0</v>
      </c>
      <c r="AE465" s="34">
        <f>Table1[[#This Row],[Quantity (expected)]]*Table1[[#This Row],[Rate (expected)2]]*0.7</f>
        <v>0</v>
      </c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1">
        <f>SUM(Table1[[#This Row],[Jan-23]:[Dec-23]])</f>
        <v>0</v>
      </c>
      <c r="AV465" s="105"/>
      <c r="AW465" s="32"/>
      <c r="AX465" s="35"/>
    </row>
    <row r="466" spans="1:50" x14ac:dyDescent="0.3">
      <c r="A466" s="30" t="str">
        <f>VLOOKUP(H466,'Accoount Code Combination'!$D:$L,8,FALSE)</f>
        <v>Communiction &amp; Marketing</v>
      </c>
      <c r="B466" s="31" t="str">
        <f>VLOOKUP(Table1[[#This Row],[Account Code]],'Accoount Code Combination'!$D:$L,9,FALSE)</f>
        <v>Gifts</v>
      </c>
      <c r="C466" s="4" t="str">
        <f>VLOOKUP(Table1[[#This Row],[Cost Center Code]],'Cost Center Group'!A:B,2,FALSE)</f>
        <v>Academic and Student Services Office</v>
      </c>
      <c r="D466" s="4">
        <v>847</v>
      </c>
      <c r="E466" s="79">
        <v>8471240</v>
      </c>
      <c r="F466" s="32" t="s">
        <v>346</v>
      </c>
      <c r="G466" s="4">
        <v>1</v>
      </c>
      <c r="H466" s="95">
        <v>428640</v>
      </c>
      <c r="I466" s="106" t="str">
        <f>IFERROR(VLOOKUP(Table1[[#This Row],[Account Code]],'Accoount Code Combination'!$D:$H,2,FALSE),"")</f>
        <v>Events - Awards, prizes &amp; gifts</v>
      </c>
      <c r="J466" s="79">
        <v>8471240</v>
      </c>
      <c r="K466" s="4"/>
      <c r="L466" s="4" t="str">
        <f>IFERROR(VLOOKUP(Table1[[#This Row],[Future-1 Description]],'Other '!E454:$F463,2,FALSE),"")</f>
        <v/>
      </c>
      <c r="M466" s="32"/>
      <c r="N466" s="32"/>
      <c r="O466" s="32"/>
      <c r="P466" s="49">
        <v>4191.6000000000004</v>
      </c>
      <c r="Q466" s="49">
        <v>0</v>
      </c>
      <c r="R466" s="32"/>
      <c r="S466" s="4"/>
      <c r="T466" s="32"/>
      <c r="U466" s="32"/>
      <c r="V466" s="32"/>
      <c r="W466" s="32"/>
      <c r="X466" s="33"/>
      <c r="Y466" s="33"/>
      <c r="Z466" s="31">
        <f>Table1[[#This Row],[Quantity of measruing units]]*Table1[[#This Row],[Rate (expected)]]</f>
        <v>0</v>
      </c>
      <c r="AA466" s="31"/>
      <c r="AB466" s="31"/>
      <c r="AC466" s="34">
        <f>Table1[[#This Row],[Quantity (expected)]]*Table1[[#This Row],[Rate (expected)2]]*0.9</f>
        <v>0</v>
      </c>
      <c r="AD466" s="34">
        <f>Table1[[#This Row],[Quantity (expected)]]*Table1[[#This Row],[Rate (expected)2]]*0.8</f>
        <v>0</v>
      </c>
      <c r="AE466" s="34">
        <f>Table1[[#This Row],[Quantity (expected)]]*Table1[[#This Row],[Rate (expected)2]]*0.7</f>
        <v>0</v>
      </c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1">
        <f>SUM(Table1[[#This Row],[Jan-23]:[Dec-23]])</f>
        <v>0</v>
      </c>
      <c r="AV466" s="105"/>
      <c r="AW466" s="32"/>
      <c r="AX466" s="35"/>
    </row>
    <row r="467" spans="1:50" x14ac:dyDescent="0.3">
      <c r="A467" s="30" t="str">
        <f>VLOOKUP(H467,'Accoount Code Combination'!$D:$L,8,FALSE)</f>
        <v>Academic</v>
      </c>
      <c r="B467" s="31" t="str">
        <f>VLOOKUP(Table1[[#This Row],[Account Code]],'Accoount Code Combination'!$D:$L,9,FALSE)</f>
        <v>No Applicable</v>
      </c>
      <c r="C467" s="4" t="str">
        <f>VLOOKUP(Table1[[#This Row],[Cost Center Code]],'Cost Center Group'!A:B,2,FALSE)</f>
        <v>Academic and Student Services Office</v>
      </c>
      <c r="D467" s="4">
        <v>847</v>
      </c>
      <c r="E467" s="79">
        <v>8471240</v>
      </c>
      <c r="F467" s="32" t="s">
        <v>346</v>
      </c>
      <c r="G467" s="4">
        <v>1</v>
      </c>
      <c r="H467" s="95">
        <v>435330</v>
      </c>
      <c r="I467" s="106" t="str">
        <f>IFERROR(VLOOKUP(Table1[[#This Row],[Account Code]],'Accoount Code Combination'!$D:$H,2,FALSE),"")</f>
        <v>Library books</v>
      </c>
      <c r="J467" s="79">
        <v>8471240</v>
      </c>
      <c r="K467" s="4"/>
      <c r="L467" s="4" t="str">
        <f>IFERROR(VLOOKUP(Table1[[#This Row],[Future-1 Description]],'Other '!E455:$F464,2,FALSE),"")</f>
        <v/>
      </c>
      <c r="M467" s="32"/>
      <c r="N467" s="32"/>
      <c r="O467" s="32"/>
      <c r="P467" s="49">
        <v>0</v>
      </c>
      <c r="Q467" s="49">
        <v>0</v>
      </c>
      <c r="R467" s="32"/>
      <c r="S467" s="4"/>
      <c r="T467" s="32"/>
      <c r="U467" s="32"/>
      <c r="V467" s="32"/>
      <c r="W467" s="32"/>
      <c r="X467" s="33"/>
      <c r="Y467" s="33"/>
      <c r="Z467" s="31">
        <f>Table1[[#This Row],[Quantity of measruing units]]*Table1[[#This Row],[Rate (expected)]]</f>
        <v>0</v>
      </c>
      <c r="AA467" s="31"/>
      <c r="AB467" s="31"/>
      <c r="AC467" s="34">
        <f>Table1[[#This Row],[Quantity (expected)]]*Table1[[#This Row],[Rate (expected)2]]*0.9</f>
        <v>0</v>
      </c>
      <c r="AD467" s="34">
        <f>Table1[[#This Row],[Quantity (expected)]]*Table1[[#This Row],[Rate (expected)2]]*0.8</f>
        <v>0</v>
      </c>
      <c r="AE467" s="34">
        <f>Table1[[#This Row],[Quantity (expected)]]*Table1[[#This Row],[Rate (expected)2]]*0.7</f>
        <v>0</v>
      </c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1">
        <f>SUM(Table1[[#This Row],[Jan-23]:[Dec-23]])</f>
        <v>0</v>
      </c>
      <c r="AV467" s="105"/>
      <c r="AW467" s="32"/>
      <c r="AX467" s="35"/>
    </row>
    <row r="468" spans="1:50" x14ac:dyDescent="0.3">
      <c r="A468" s="30" t="str">
        <f>VLOOKUP(H468,'Accoount Code Combination'!$D:$L,8,FALSE)</f>
        <v>Other support</v>
      </c>
      <c r="B468" s="31" t="str">
        <f>VLOOKUP(Table1[[#This Row],[Account Code]],'Accoount Code Combination'!$D:$L,9,FALSE)</f>
        <v>No Applicable</v>
      </c>
      <c r="C468" s="4" t="str">
        <f>VLOOKUP(Table1[[#This Row],[Cost Center Code]],'Cost Center Group'!A:B,2,FALSE)</f>
        <v>Academic and Student Services Office</v>
      </c>
      <c r="D468" s="4">
        <v>847</v>
      </c>
      <c r="E468" s="79">
        <v>8471240</v>
      </c>
      <c r="F468" s="32" t="s">
        <v>346</v>
      </c>
      <c r="G468" s="4">
        <v>1</v>
      </c>
      <c r="H468" s="95">
        <v>436110</v>
      </c>
      <c r="I468" s="106" t="str">
        <f>IFERROR(VLOOKUP(Table1[[#This Row],[Account Code]],'Accoount Code Combination'!$D:$H,2,FALSE),"")</f>
        <v>Printing supplies</v>
      </c>
      <c r="J468" s="79">
        <v>8471240</v>
      </c>
      <c r="K468" s="4"/>
      <c r="L468" s="4" t="str">
        <f>IFERROR(VLOOKUP(Table1[[#This Row],[Future-1 Description]],'Other '!E456:$F465,2,FALSE),"")</f>
        <v/>
      </c>
      <c r="M468" s="32"/>
      <c r="N468" s="32"/>
      <c r="O468" s="32"/>
      <c r="P468" s="49">
        <v>0</v>
      </c>
      <c r="Q468" s="49">
        <v>0</v>
      </c>
      <c r="R468" s="32"/>
      <c r="S468" s="4"/>
      <c r="T468" s="32"/>
      <c r="U468" s="32"/>
      <c r="V468" s="32"/>
      <c r="W468" s="32"/>
      <c r="X468" s="33"/>
      <c r="Y468" s="33"/>
      <c r="Z468" s="31">
        <f>Table1[[#This Row],[Quantity of measruing units]]*Table1[[#This Row],[Rate (expected)]]</f>
        <v>0</v>
      </c>
      <c r="AA468" s="31"/>
      <c r="AB468" s="31"/>
      <c r="AC468" s="34">
        <f>Table1[[#This Row],[Quantity (expected)]]*Table1[[#This Row],[Rate (expected)2]]*0.9</f>
        <v>0</v>
      </c>
      <c r="AD468" s="34">
        <f>Table1[[#This Row],[Quantity (expected)]]*Table1[[#This Row],[Rate (expected)2]]*0.8</f>
        <v>0</v>
      </c>
      <c r="AE468" s="34">
        <f>Table1[[#This Row],[Quantity (expected)]]*Table1[[#This Row],[Rate (expected)2]]*0.7</f>
        <v>0</v>
      </c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1">
        <f>SUM(Table1[[#This Row],[Jan-23]:[Dec-23]])</f>
        <v>0</v>
      </c>
      <c r="AV468" s="105"/>
      <c r="AW468" s="32"/>
      <c r="AX468" s="35"/>
    </row>
    <row r="469" spans="1:50" x14ac:dyDescent="0.3">
      <c r="A469" s="30" t="str">
        <f>VLOOKUP(H469,'Accoount Code Combination'!$D:$L,8,FALSE)</f>
        <v>Other support</v>
      </c>
      <c r="B469" s="31" t="str">
        <f>VLOOKUP(Table1[[#This Row],[Account Code]],'Accoount Code Combination'!$D:$L,9,FALSE)</f>
        <v>No Applicable</v>
      </c>
      <c r="C469" s="4" t="str">
        <f>VLOOKUP(Table1[[#This Row],[Cost Center Code]],'Cost Center Group'!A:B,2,FALSE)</f>
        <v>Academic and Student Services Office</v>
      </c>
      <c r="D469" s="4">
        <v>847</v>
      </c>
      <c r="E469" s="79">
        <v>8471240</v>
      </c>
      <c r="F469" s="32" t="s">
        <v>346</v>
      </c>
      <c r="G469" s="4">
        <v>1</v>
      </c>
      <c r="H469" s="95">
        <v>436120</v>
      </c>
      <c r="I469" s="106" t="str">
        <f>IFERROR(VLOOKUP(Table1[[#This Row],[Account Code]],'Accoount Code Combination'!$D:$H,2,FALSE),"")</f>
        <v>Stationery</v>
      </c>
      <c r="J469" s="79">
        <v>8471240</v>
      </c>
      <c r="K469" s="4"/>
      <c r="L469" s="4" t="str">
        <f>IFERROR(VLOOKUP(Table1[[#This Row],[Future-1 Description]],'Other '!E457:$F466,2,FALSE),"")</f>
        <v/>
      </c>
      <c r="M469" s="32"/>
      <c r="N469" s="32"/>
      <c r="O469" s="32"/>
      <c r="P469" s="49">
        <v>0</v>
      </c>
      <c r="Q469" s="49">
        <v>0</v>
      </c>
      <c r="R469" s="32"/>
      <c r="S469" s="4"/>
      <c r="T469" s="32"/>
      <c r="U469" s="32"/>
      <c r="V469" s="32"/>
      <c r="W469" s="32"/>
      <c r="X469" s="33"/>
      <c r="Y469" s="33"/>
      <c r="Z469" s="31">
        <f>Table1[[#This Row],[Quantity of measruing units]]*Table1[[#This Row],[Rate (expected)]]</f>
        <v>0</v>
      </c>
      <c r="AA469" s="31"/>
      <c r="AB469" s="31"/>
      <c r="AC469" s="34">
        <f>Table1[[#This Row],[Quantity (expected)]]*Table1[[#This Row],[Rate (expected)2]]*0.9</f>
        <v>0</v>
      </c>
      <c r="AD469" s="34">
        <f>Table1[[#This Row],[Quantity (expected)]]*Table1[[#This Row],[Rate (expected)2]]*0.8</f>
        <v>0</v>
      </c>
      <c r="AE469" s="34">
        <f>Table1[[#This Row],[Quantity (expected)]]*Table1[[#This Row],[Rate (expected)2]]*0.7</f>
        <v>0</v>
      </c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1">
        <f>SUM(Table1[[#This Row],[Jan-23]:[Dec-23]])</f>
        <v>0</v>
      </c>
      <c r="AV469" s="105"/>
      <c r="AW469" s="32"/>
      <c r="AX469" s="35"/>
    </row>
    <row r="470" spans="1:50" ht="26" x14ac:dyDescent="0.3">
      <c r="A470" s="30" t="str">
        <f>VLOOKUP(H470,'Accoount Code Combination'!$D:$L,8,FALSE)</f>
        <v>Communiction &amp; Marketing</v>
      </c>
      <c r="B470" s="31" t="str">
        <f>VLOOKUP(Table1[[#This Row],[Account Code]],'Accoount Code Combination'!$D:$L,9,FALSE)</f>
        <v>Events</v>
      </c>
      <c r="C470" s="4" t="str">
        <f>VLOOKUP(Table1[[#This Row],[Cost Center Code]],'Cost Center Group'!A:B,2,FALSE)</f>
        <v>Academic and Student Services Office</v>
      </c>
      <c r="D470" s="4">
        <v>847</v>
      </c>
      <c r="E470" s="79">
        <v>8471250</v>
      </c>
      <c r="F470" s="32" t="s">
        <v>349</v>
      </c>
      <c r="G470" s="4">
        <v>1</v>
      </c>
      <c r="H470" s="95">
        <v>425510</v>
      </c>
      <c r="I470" s="106" t="str">
        <f>IFERROR(VLOOKUP(Table1[[#This Row],[Account Code]],'Accoount Code Combination'!$D:$H,2,FALSE),"")</f>
        <v>Conferences, seminars and exhibitions and other events: - Local Events</v>
      </c>
      <c r="J470" s="79">
        <v>8471250</v>
      </c>
      <c r="K470" s="4"/>
      <c r="L470" s="4" t="str">
        <f>IFERROR(VLOOKUP(Table1[[#This Row],[Future-1 Description]],'Other '!E458:$F467,2,FALSE),"")</f>
        <v/>
      </c>
      <c r="M470" s="32"/>
      <c r="N470" s="32"/>
      <c r="O470" s="32"/>
      <c r="P470" s="49">
        <v>391731</v>
      </c>
      <c r="Q470" s="49">
        <v>350000</v>
      </c>
      <c r="R470" s="32"/>
      <c r="S470" s="4"/>
      <c r="T470" s="32"/>
      <c r="U470" s="32"/>
      <c r="V470" s="32"/>
      <c r="W470" s="32"/>
      <c r="X470" s="33"/>
      <c r="Y470" s="33"/>
      <c r="Z470" s="31">
        <f>Table1[[#This Row],[Quantity of measruing units]]*Table1[[#This Row],[Rate (expected)]]</f>
        <v>0</v>
      </c>
      <c r="AA470" s="31"/>
      <c r="AB470" s="31"/>
      <c r="AC470" s="34">
        <f>Table1[[#This Row],[Quantity (expected)]]*Table1[[#This Row],[Rate (expected)2]]*0.9</f>
        <v>0</v>
      </c>
      <c r="AD470" s="34">
        <f>Table1[[#This Row],[Quantity (expected)]]*Table1[[#This Row],[Rate (expected)2]]*0.8</f>
        <v>0</v>
      </c>
      <c r="AE470" s="34">
        <f>Table1[[#This Row],[Quantity (expected)]]*Table1[[#This Row],[Rate (expected)2]]*0.7</f>
        <v>0</v>
      </c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1">
        <f>SUM(Table1[[#This Row],[Jan-23]:[Dec-23]])</f>
        <v>0</v>
      </c>
      <c r="AV470" s="105"/>
      <c r="AW470" s="32"/>
      <c r="AX470" s="35"/>
    </row>
    <row r="471" spans="1:50" x14ac:dyDescent="0.3">
      <c r="A471" s="30" t="str">
        <f>VLOOKUP(H471,'Accoount Code Combination'!$D:$L,8,FALSE)</f>
        <v>Student</v>
      </c>
      <c r="B471" s="31" t="str">
        <f>VLOOKUP(Table1[[#This Row],[Account Code]],'Accoount Code Combination'!$D:$L,9,FALSE)</f>
        <v>No Applicable</v>
      </c>
      <c r="C471" s="4" t="str">
        <f>VLOOKUP(Table1[[#This Row],[Cost Center Code]],'Cost Center Group'!A:B,2,FALSE)</f>
        <v>Academic and Student Services Office</v>
      </c>
      <c r="D471" s="4">
        <v>847</v>
      </c>
      <c r="E471" s="79">
        <v>8471250</v>
      </c>
      <c r="F471" s="32" t="s">
        <v>349</v>
      </c>
      <c r="G471" s="4">
        <v>1</v>
      </c>
      <c r="H471" s="95">
        <v>425720</v>
      </c>
      <c r="I471" s="106" t="str">
        <f>IFERROR(VLOOKUP(Table1[[#This Row],[Account Code]],'Accoount Code Combination'!$D:$H,2,FALSE),"")</f>
        <v>Education-Outsourced training service</v>
      </c>
      <c r="J471" s="79">
        <v>8471250</v>
      </c>
      <c r="K471" s="4"/>
      <c r="L471" s="4" t="str">
        <f>IFERROR(VLOOKUP(Table1[[#This Row],[Future-1 Description]],'Other '!E459:$F468,2,FALSE),"")</f>
        <v/>
      </c>
      <c r="M471" s="32"/>
      <c r="N471" s="32"/>
      <c r="O471" s="32"/>
      <c r="P471" s="49">
        <v>207900</v>
      </c>
      <c r="Q471" s="49">
        <v>392000</v>
      </c>
      <c r="R471" s="32"/>
      <c r="S471" s="4"/>
      <c r="T471" s="32"/>
      <c r="U471" s="32"/>
      <c r="V471" s="32"/>
      <c r="W471" s="32"/>
      <c r="X471" s="33"/>
      <c r="Y471" s="33"/>
      <c r="Z471" s="31">
        <f>Table1[[#This Row],[Quantity of measruing units]]*Table1[[#This Row],[Rate (expected)]]</f>
        <v>0</v>
      </c>
      <c r="AA471" s="31"/>
      <c r="AB471" s="31"/>
      <c r="AC471" s="34">
        <f>Table1[[#This Row],[Quantity (expected)]]*Table1[[#This Row],[Rate (expected)2]]*0.9</f>
        <v>0</v>
      </c>
      <c r="AD471" s="34">
        <f>Table1[[#This Row],[Quantity (expected)]]*Table1[[#This Row],[Rate (expected)2]]*0.8</f>
        <v>0</v>
      </c>
      <c r="AE471" s="34">
        <f>Table1[[#This Row],[Quantity (expected)]]*Table1[[#This Row],[Rate (expected)2]]*0.7</f>
        <v>0</v>
      </c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1">
        <f>SUM(Table1[[#This Row],[Jan-23]:[Dec-23]])</f>
        <v>0</v>
      </c>
      <c r="AV471" s="105"/>
      <c r="AW471" s="32"/>
      <c r="AX471" s="35"/>
    </row>
    <row r="472" spans="1:50" x14ac:dyDescent="0.3">
      <c r="A472" s="30" t="str">
        <f>VLOOKUP(H472,'Accoount Code Combination'!$D:$L,8,FALSE)</f>
        <v>Student</v>
      </c>
      <c r="B472" s="31" t="str">
        <f>VLOOKUP(Table1[[#This Row],[Account Code]],'Accoount Code Combination'!$D:$L,9,FALSE)</f>
        <v>No Applicable</v>
      </c>
      <c r="C472" s="4" t="str">
        <f>VLOOKUP(Table1[[#This Row],[Cost Center Code]],'Cost Center Group'!A:B,2,FALSE)</f>
        <v>Academic and Student Services Office</v>
      </c>
      <c r="D472" s="4">
        <v>847</v>
      </c>
      <c r="E472" s="79">
        <v>8471250</v>
      </c>
      <c r="F472" s="32" t="s">
        <v>349</v>
      </c>
      <c r="G472" s="4">
        <v>1</v>
      </c>
      <c r="H472" s="95">
        <v>425741</v>
      </c>
      <c r="I472" s="106" t="str">
        <f>IFERROR(VLOOKUP(Table1[[#This Row],[Account Code]],'Accoount Code Combination'!$D:$H,2,FALSE),"")</f>
        <v>Student stipend</v>
      </c>
      <c r="J472" s="79">
        <v>8471250</v>
      </c>
      <c r="K472" s="4"/>
      <c r="L472" s="4" t="str">
        <f>IFERROR(VLOOKUP(Table1[[#This Row],[Future-1 Description]],'Other '!E460:$F469,2,FALSE),"")</f>
        <v/>
      </c>
      <c r="M472" s="32"/>
      <c r="N472" s="32"/>
      <c r="O472" s="32"/>
      <c r="P472" s="49">
        <v>0</v>
      </c>
      <c r="Q472" s="49">
        <v>0</v>
      </c>
      <c r="R472" s="32"/>
      <c r="S472" s="4"/>
      <c r="T472" s="32"/>
      <c r="U472" s="32"/>
      <c r="V472" s="32"/>
      <c r="W472" s="32"/>
      <c r="X472" s="33"/>
      <c r="Y472" s="33"/>
      <c r="Z472" s="31">
        <f>Table1[[#This Row],[Quantity of measruing units]]*Table1[[#This Row],[Rate (expected)]]</f>
        <v>0</v>
      </c>
      <c r="AA472" s="31"/>
      <c r="AB472" s="31"/>
      <c r="AC472" s="34">
        <f>Table1[[#This Row],[Quantity (expected)]]*Table1[[#This Row],[Rate (expected)2]]*0.9</f>
        <v>0</v>
      </c>
      <c r="AD472" s="34">
        <f>Table1[[#This Row],[Quantity (expected)]]*Table1[[#This Row],[Rate (expected)2]]*0.8</f>
        <v>0</v>
      </c>
      <c r="AE472" s="34">
        <f>Table1[[#This Row],[Quantity (expected)]]*Table1[[#This Row],[Rate (expected)2]]*0.7</f>
        <v>0</v>
      </c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1">
        <f>SUM(Table1[[#This Row],[Jan-23]:[Dec-23]])</f>
        <v>0</v>
      </c>
      <c r="AV472" s="105"/>
      <c r="AW472" s="32"/>
      <c r="AX472" s="35"/>
    </row>
    <row r="473" spans="1:50" x14ac:dyDescent="0.3">
      <c r="A473" s="30" t="str">
        <f>VLOOKUP(H473,'Accoount Code Combination'!$D:$L,8,FALSE)</f>
        <v>Student</v>
      </c>
      <c r="B473" s="31" t="str">
        <f>VLOOKUP(Table1[[#This Row],[Account Code]],'Accoount Code Combination'!$D:$L,9,FALSE)</f>
        <v>No Applicable</v>
      </c>
      <c r="C473" s="4" t="str">
        <f>VLOOKUP(Table1[[#This Row],[Cost Center Code]],'Cost Center Group'!A:B,2,FALSE)</f>
        <v>Academic and Student Services Office</v>
      </c>
      <c r="D473" s="4">
        <v>847</v>
      </c>
      <c r="E473" s="79">
        <v>8471250</v>
      </c>
      <c r="F473" s="32" t="s">
        <v>349</v>
      </c>
      <c r="G473" s="4">
        <v>1</v>
      </c>
      <c r="H473" s="95">
        <v>425750</v>
      </c>
      <c r="I473" s="106" t="str">
        <f>IFERROR(VLOOKUP(Table1[[#This Row],[Account Code]],'Accoount Code Combination'!$D:$H,2,FALSE),"")</f>
        <v>Skill assessment service</v>
      </c>
      <c r="J473" s="79">
        <v>8471250</v>
      </c>
      <c r="K473" s="4"/>
      <c r="L473" s="4" t="str">
        <f>IFERROR(VLOOKUP(Table1[[#This Row],[Future-1 Description]],'Other '!E461:$F470,2,FALSE),"")</f>
        <v/>
      </c>
      <c r="M473" s="32"/>
      <c r="N473" s="32"/>
      <c r="O473" s="32"/>
      <c r="P473" s="49">
        <v>0</v>
      </c>
      <c r="Q473" s="49">
        <v>0</v>
      </c>
      <c r="R473" s="32"/>
      <c r="S473" s="4"/>
      <c r="T473" s="32"/>
      <c r="U473" s="32"/>
      <c r="V473" s="32"/>
      <c r="W473" s="32"/>
      <c r="X473" s="33"/>
      <c r="Y473" s="33"/>
      <c r="Z473" s="31">
        <f>Table1[[#This Row],[Quantity of measruing units]]*Table1[[#This Row],[Rate (expected)]]</f>
        <v>0</v>
      </c>
      <c r="AA473" s="31"/>
      <c r="AB473" s="31"/>
      <c r="AC473" s="34">
        <f>Table1[[#This Row],[Quantity (expected)]]*Table1[[#This Row],[Rate (expected)2]]*0.9</f>
        <v>0</v>
      </c>
      <c r="AD473" s="34">
        <f>Table1[[#This Row],[Quantity (expected)]]*Table1[[#This Row],[Rate (expected)2]]*0.8</f>
        <v>0</v>
      </c>
      <c r="AE473" s="34">
        <f>Table1[[#This Row],[Quantity (expected)]]*Table1[[#This Row],[Rate (expected)2]]*0.7</f>
        <v>0</v>
      </c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1">
        <f>SUM(Table1[[#This Row],[Jan-23]:[Dec-23]])</f>
        <v>0</v>
      </c>
      <c r="AV473" s="105"/>
      <c r="AW473" s="32"/>
      <c r="AX473" s="35"/>
    </row>
    <row r="474" spans="1:50" x14ac:dyDescent="0.3">
      <c r="A474" s="30" t="str">
        <f>VLOOKUP(H474,'Accoount Code Combination'!$D:$L,8,FALSE)</f>
        <v>Academic</v>
      </c>
      <c r="B474" s="31" t="str">
        <f>VLOOKUP(Table1[[#This Row],[Account Code]],'Accoount Code Combination'!$D:$L,9,FALSE)</f>
        <v>No Applicable</v>
      </c>
      <c r="C474" s="4" t="str">
        <f>VLOOKUP(Table1[[#This Row],[Cost Center Code]],'Cost Center Group'!A:B,2,FALSE)</f>
        <v>Academic and Student Services Office</v>
      </c>
      <c r="D474" s="4">
        <v>847</v>
      </c>
      <c r="E474" s="79">
        <v>8471250</v>
      </c>
      <c r="F474" s="32" t="s">
        <v>349</v>
      </c>
      <c r="G474" s="4">
        <v>1</v>
      </c>
      <c r="H474" s="95">
        <v>425761</v>
      </c>
      <c r="I474" s="106" t="str">
        <f>IFERROR(VLOOKUP(Table1[[#This Row],[Account Code]],'Accoount Code Combination'!$D:$H,2,FALSE),"")</f>
        <v>Student Field trips</v>
      </c>
      <c r="J474" s="79">
        <v>8471250</v>
      </c>
      <c r="K474" s="4"/>
      <c r="L474" s="4" t="str">
        <f>IFERROR(VLOOKUP(Table1[[#This Row],[Future-1 Description]],'Other '!E462:$F471,2,FALSE),"")</f>
        <v/>
      </c>
      <c r="M474" s="32"/>
      <c r="N474" s="32"/>
      <c r="O474" s="32"/>
      <c r="P474" s="49">
        <v>0</v>
      </c>
      <c r="Q474" s="49">
        <v>0</v>
      </c>
      <c r="R474" s="32"/>
      <c r="S474" s="4"/>
      <c r="T474" s="32"/>
      <c r="U474" s="32"/>
      <c r="V474" s="32"/>
      <c r="W474" s="32"/>
      <c r="X474" s="33"/>
      <c r="Y474" s="33"/>
      <c r="Z474" s="31">
        <f>Table1[[#This Row],[Quantity of measruing units]]*Table1[[#This Row],[Rate (expected)]]</f>
        <v>0</v>
      </c>
      <c r="AA474" s="31"/>
      <c r="AB474" s="31"/>
      <c r="AC474" s="34">
        <f>Table1[[#This Row],[Quantity (expected)]]*Table1[[#This Row],[Rate (expected)2]]*0.9</f>
        <v>0</v>
      </c>
      <c r="AD474" s="34">
        <f>Table1[[#This Row],[Quantity (expected)]]*Table1[[#This Row],[Rate (expected)2]]*0.8</f>
        <v>0</v>
      </c>
      <c r="AE474" s="34">
        <f>Table1[[#This Row],[Quantity (expected)]]*Table1[[#This Row],[Rate (expected)2]]*0.7</f>
        <v>0</v>
      </c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1">
        <f>SUM(Table1[[#This Row],[Jan-23]:[Dec-23]])</f>
        <v>0</v>
      </c>
      <c r="AV474" s="105"/>
      <c r="AW474" s="32"/>
      <c r="AX474" s="35"/>
    </row>
    <row r="475" spans="1:50" x14ac:dyDescent="0.3">
      <c r="A475" s="30" t="str">
        <f>VLOOKUP(H475,'Accoount Code Combination'!$D:$L,8,FALSE)</f>
        <v>Student</v>
      </c>
      <c r="B475" s="31" t="str">
        <f>VLOOKUP(Table1[[#This Row],[Account Code]],'Accoount Code Combination'!$D:$L,9,FALSE)</f>
        <v>No Applicable</v>
      </c>
      <c r="C475" s="4" t="str">
        <f>VLOOKUP(Table1[[#This Row],[Cost Center Code]],'Cost Center Group'!A:B,2,FALSE)</f>
        <v>Academic and Student Services Office</v>
      </c>
      <c r="D475" s="4">
        <v>847</v>
      </c>
      <c r="E475" s="79">
        <v>8471250</v>
      </c>
      <c r="F475" s="32" t="s">
        <v>349</v>
      </c>
      <c r="G475" s="4">
        <v>1</v>
      </c>
      <c r="H475" s="95">
        <v>425762</v>
      </c>
      <c r="I475" s="106" t="str">
        <f>IFERROR(VLOOKUP(Table1[[#This Row],[Account Code]],'Accoount Code Combination'!$D:$H,2,FALSE),"")</f>
        <v>Student Internship</v>
      </c>
      <c r="J475" s="79">
        <v>8471250</v>
      </c>
      <c r="K475" s="4"/>
      <c r="L475" s="4" t="str">
        <f>IFERROR(VLOOKUP(Table1[[#This Row],[Future-1 Description]],'Other '!E463:$F472,2,FALSE),"")</f>
        <v/>
      </c>
      <c r="M475" s="32"/>
      <c r="N475" s="32"/>
      <c r="O475" s="32"/>
      <c r="P475" s="49">
        <v>243697.54</v>
      </c>
      <c r="Q475" s="49">
        <v>0</v>
      </c>
      <c r="R475" s="32"/>
      <c r="S475" s="4"/>
      <c r="T475" s="32"/>
      <c r="U475" s="32"/>
      <c r="V475" s="32"/>
      <c r="W475" s="32"/>
      <c r="X475" s="33"/>
      <c r="Y475" s="33"/>
      <c r="Z475" s="31">
        <f>Table1[[#This Row],[Quantity of measruing units]]*Table1[[#This Row],[Rate (expected)]]</f>
        <v>0</v>
      </c>
      <c r="AA475" s="31"/>
      <c r="AB475" s="31"/>
      <c r="AC475" s="34">
        <f>Table1[[#This Row],[Quantity (expected)]]*Table1[[#This Row],[Rate (expected)2]]*0.9</f>
        <v>0</v>
      </c>
      <c r="AD475" s="34">
        <f>Table1[[#This Row],[Quantity (expected)]]*Table1[[#This Row],[Rate (expected)2]]*0.8</f>
        <v>0</v>
      </c>
      <c r="AE475" s="34">
        <f>Table1[[#This Row],[Quantity (expected)]]*Table1[[#This Row],[Rate (expected)2]]*0.7</f>
        <v>0</v>
      </c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1">
        <f>SUM(Table1[[#This Row],[Jan-23]:[Dec-23]])</f>
        <v>0</v>
      </c>
      <c r="AV475" s="105"/>
      <c r="AW475" s="32"/>
      <c r="AX475" s="35"/>
    </row>
    <row r="476" spans="1:50" x14ac:dyDescent="0.3">
      <c r="A476" s="30" t="str">
        <f>VLOOKUP(H476,'Accoount Code Combination'!$D:$L,8,FALSE)</f>
        <v>Other support</v>
      </c>
      <c r="B476" s="31" t="str">
        <f>VLOOKUP(Table1[[#This Row],[Account Code]],'Accoount Code Combination'!$D:$L,9,FALSE)</f>
        <v>No Applicable</v>
      </c>
      <c r="C476" s="4" t="str">
        <f>VLOOKUP(Table1[[#This Row],[Cost Center Code]],'Cost Center Group'!A:B,2,FALSE)</f>
        <v>Academic and Student Services Office</v>
      </c>
      <c r="D476" s="4">
        <v>847</v>
      </c>
      <c r="E476" s="79">
        <v>8471250</v>
      </c>
      <c r="F476" s="32" t="s">
        <v>349</v>
      </c>
      <c r="G476" s="4">
        <v>1</v>
      </c>
      <c r="H476" s="95">
        <v>425900</v>
      </c>
      <c r="I476" s="106" t="str">
        <f>IFERROR(VLOOKUP(Table1[[#This Row],[Account Code]],'Accoount Code Combination'!$D:$H,2,FALSE),"")</f>
        <v>Entertainment and hospitality</v>
      </c>
      <c r="J476" s="79">
        <v>8471250</v>
      </c>
      <c r="K476" s="4"/>
      <c r="L476" s="4" t="str">
        <f>IFERROR(VLOOKUP(Table1[[#This Row],[Future-1 Description]],'Other '!E464:$F473,2,FALSE),"")</f>
        <v/>
      </c>
      <c r="M476" s="32"/>
      <c r="N476" s="32"/>
      <c r="O476" s="32"/>
      <c r="P476" s="49">
        <v>18560</v>
      </c>
      <c r="Q476" s="49">
        <v>0</v>
      </c>
      <c r="R476" s="32"/>
      <c r="S476" s="4"/>
      <c r="T476" s="32"/>
      <c r="U476" s="32"/>
      <c r="V476" s="32"/>
      <c r="W476" s="32"/>
      <c r="X476" s="33"/>
      <c r="Y476" s="33"/>
      <c r="Z476" s="31">
        <f>Table1[[#This Row],[Quantity of measruing units]]*Table1[[#This Row],[Rate (expected)]]</f>
        <v>0</v>
      </c>
      <c r="AA476" s="31"/>
      <c r="AB476" s="31"/>
      <c r="AC476" s="34">
        <f>Table1[[#This Row],[Quantity (expected)]]*Table1[[#This Row],[Rate (expected)2]]*0.9</f>
        <v>0</v>
      </c>
      <c r="AD476" s="34">
        <f>Table1[[#This Row],[Quantity (expected)]]*Table1[[#This Row],[Rate (expected)2]]*0.8</f>
        <v>0</v>
      </c>
      <c r="AE476" s="34">
        <f>Table1[[#This Row],[Quantity (expected)]]*Table1[[#This Row],[Rate (expected)2]]*0.7</f>
        <v>0</v>
      </c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1">
        <f>SUM(Table1[[#This Row],[Jan-23]:[Dec-23]])</f>
        <v>0</v>
      </c>
      <c r="AV476" s="105"/>
      <c r="AW476" s="32"/>
      <c r="AX476" s="35"/>
    </row>
    <row r="477" spans="1:50" x14ac:dyDescent="0.3">
      <c r="A477" s="30" t="str">
        <f>VLOOKUP(H477,'Accoount Code Combination'!$D:$L,8,FALSE)</f>
        <v>IT</v>
      </c>
      <c r="B477" s="31" t="str">
        <f>VLOOKUP(Table1[[#This Row],[Account Code]],'Accoount Code Combination'!$D:$L,9,FALSE)</f>
        <v>Software Operating</v>
      </c>
      <c r="C477" s="4" t="str">
        <f>VLOOKUP(Table1[[#This Row],[Cost Center Code]],'Cost Center Group'!A:B,2,FALSE)</f>
        <v>Academic and Student Services Office</v>
      </c>
      <c r="D477" s="4">
        <v>847</v>
      </c>
      <c r="E477" s="79">
        <v>8471250</v>
      </c>
      <c r="F477" s="32" t="s">
        <v>349</v>
      </c>
      <c r="G477" s="4">
        <v>1</v>
      </c>
      <c r="H477" s="95">
        <v>426610</v>
      </c>
      <c r="I477" s="106" t="str">
        <f>IFERROR(VLOOKUP(Table1[[#This Row],[Account Code]],'Accoount Code Combination'!$D:$H,2,FALSE),"")</f>
        <v>Computer software licenses</v>
      </c>
      <c r="J477" s="79">
        <v>8471250</v>
      </c>
      <c r="K477" s="4"/>
      <c r="L477" s="4" t="str">
        <f>IFERROR(VLOOKUP(Table1[[#This Row],[Future-1 Description]],'Other '!E465:$F474,2,FALSE),"")</f>
        <v/>
      </c>
      <c r="M477" s="32"/>
      <c r="N477" s="32"/>
      <c r="O477" s="32"/>
      <c r="P477" s="49">
        <v>238680.25</v>
      </c>
      <c r="Q477" s="49">
        <v>0</v>
      </c>
      <c r="R477" s="32"/>
      <c r="S477" s="4"/>
      <c r="T477" s="32"/>
      <c r="U477" s="32"/>
      <c r="V477" s="32"/>
      <c r="W477" s="32"/>
      <c r="X477" s="33"/>
      <c r="Y477" s="33"/>
      <c r="Z477" s="31">
        <f>Table1[[#This Row],[Quantity of measruing units]]*Table1[[#This Row],[Rate (expected)]]</f>
        <v>0</v>
      </c>
      <c r="AA477" s="31"/>
      <c r="AB477" s="31"/>
      <c r="AC477" s="34">
        <f>Table1[[#This Row],[Quantity (expected)]]*Table1[[#This Row],[Rate (expected)2]]*0.9</f>
        <v>0</v>
      </c>
      <c r="AD477" s="34">
        <f>Table1[[#This Row],[Quantity (expected)]]*Table1[[#This Row],[Rate (expected)2]]*0.8</f>
        <v>0</v>
      </c>
      <c r="AE477" s="34">
        <f>Table1[[#This Row],[Quantity (expected)]]*Table1[[#This Row],[Rate (expected)2]]*0.7</f>
        <v>0</v>
      </c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1">
        <f>SUM(Table1[[#This Row],[Jan-23]:[Dec-23]])</f>
        <v>0</v>
      </c>
      <c r="AV477" s="105"/>
      <c r="AW477" s="32"/>
      <c r="AX477" s="35"/>
    </row>
    <row r="478" spans="1:50" x14ac:dyDescent="0.3">
      <c r="A478" s="30" t="str">
        <f>VLOOKUP(H478,'Accoount Code Combination'!$D:$L,8,FALSE)</f>
        <v xml:space="preserve">Academic </v>
      </c>
      <c r="B478" s="31" t="str">
        <f>VLOOKUP(Table1[[#This Row],[Account Code]],'Accoount Code Combination'!$D:$L,9,FALSE)</f>
        <v>No Applicable</v>
      </c>
      <c r="C478" s="4" t="str">
        <f>VLOOKUP(Table1[[#This Row],[Cost Center Code]],'Cost Center Group'!A:B,2,FALSE)</f>
        <v>Academic and Student Services Office</v>
      </c>
      <c r="D478" s="4">
        <v>847</v>
      </c>
      <c r="E478" s="79">
        <v>8471250</v>
      </c>
      <c r="F478" s="32" t="s">
        <v>349</v>
      </c>
      <c r="G478" s="4">
        <v>1</v>
      </c>
      <c r="H478" s="95">
        <v>428090</v>
      </c>
      <c r="I478" s="106" t="str">
        <f>IFERROR(VLOOKUP(Table1[[#This Row],[Account Code]],'Accoount Code Combination'!$D:$H,2,FALSE),"")</f>
        <v>Business Travel - Combined expenses</v>
      </c>
      <c r="J478" s="79">
        <v>8471250</v>
      </c>
      <c r="K478" s="4"/>
      <c r="L478" s="4" t="str">
        <f>IFERROR(VLOOKUP(Table1[[#This Row],[Future-1 Description]],'Other '!E466:$F475,2,FALSE),"")</f>
        <v/>
      </c>
      <c r="M478" s="32"/>
      <c r="N478" s="32"/>
      <c r="O478" s="32"/>
      <c r="P478" s="49">
        <v>0</v>
      </c>
      <c r="Q478" s="49">
        <v>0</v>
      </c>
      <c r="R478" s="32"/>
      <c r="S478" s="4"/>
      <c r="T478" s="32"/>
      <c r="U478" s="32"/>
      <c r="V478" s="32"/>
      <c r="W478" s="32"/>
      <c r="X478" s="33"/>
      <c r="Y478" s="33"/>
      <c r="Z478" s="31">
        <f>Table1[[#This Row],[Quantity of measruing units]]*Table1[[#This Row],[Rate (expected)]]</f>
        <v>0</v>
      </c>
      <c r="AA478" s="31"/>
      <c r="AB478" s="31"/>
      <c r="AC478" s="34">
        <f>Table1[[#This Row],[Quantity (expected)]]*Table1[[#This Row],[Rate (expected)2]]*0.9</f>
        <v>0</v>
      </c>
      <c r="AD478" s="34">
        <f>Table1[[#This Row],[Quantity (expected)]]*Table1[[#This Row],[Rate (expected)2]]*0.8</f>
        <v>0</v>
      </c>
      <c r="AE478" s="34">
        <f>Table1[[#This Row],[Quantity (expected)]]*Table1[[#This Row],[Rate (expected)2]]*0.7</f>
        <v>0</v>
      </c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1">
        <f>SUM(Table1[[#This Row],[Jan-23]:[Dec-23]])</f>
        <v>0</v>
      </c>
      <c r="AV478" s="105"/>
      <c r="AW478" s="32"/>
      <c r="AX478" s="35"/>
    </row>
    <row r="479" spans="1:50" x14ac:dyDescent="0.3">
      <c r="A479" s="30" t="str">
        <f>VLOOKUP(H479,'Accoount Code Combination'!$D:$L,8,FALSE)</f>
        <v>Communiction &amp; Marketing</v>
      </c>
      <c r="B479" s="31" t="str">
        <f>VLOOKUP(Table1[[#This Row],[Account Code]],'Accoount Code Combination'!$D:$L,9,FALSE)</f>
        <v>Gifts</v>
      </c>
      <c r="C479" s="4" t="str">
        <f>VLOOKUP(Table1[[#This Row],[Cost Center Code]],'Cost Center Group'!A:B,2,FALSE)</f>
        <v>Academic and Student Services Office</v>
      </c>
      <c r="D479" s="4">
        <v>847</v>
      </c>
      <c r="E479" s="79">
        <v>8471250</v>
      </c>
      <c r="F479" s="32" t="s">
        <v>349</v>
      </c>
      <c r="G479" s="4">
        <v>1</v>
      </c>
      <c r="H479" s="95">
        <v>428640</v>
      </c>
      <c r="I479" s="106" t="str">
        <f>IFERROR(VLOOKUP(Table1[[#This Row],[Account Code]],'Accoount Code Combination'!$D:$H,2,FALSE),"")</f>
        <v>Events - Awards, prizes &amp; gifts</v>
      </c>
      <c r="J479" s="79">
        <v>8471250</v>
      </c>
      <c r="K479" s="4"/>
      <c r="L479" s="4" t="str">
        <f>IFERROR(VLOOKUP(Table1[[#This Row],[Future-1 Description]],'Other '!E467:$F476,2,FALSE),"")</f>
        <v/>
      </c>
      <c r="M479" s="32"/>
      <c r="N479" s="32"/>
      <c r="O479" s="32"/>
      <c r="P479" s="49">
        <v>0</v>
      </c>
      <c r="Q479" s="49">
        <v>0</v>
      </c>
      <c r="R479" s="32"/>
      <c r="S479" s="4"/>
      <c r="T479" s="32"/>
      <c r="U479" s="32"/>
      <c r="V479" s="32"/>
      <c r="W479" s="32"/>
      <c r="X479" s="33"/>
      <c r="Y479" s="33"/>
      <c r="Z479" s="31">
        <f>Table1[[#This Row],[Quantity of measruing units]]*Table1[[#This Row],[Rate (expected)]]</f>
        <v>0</v>
      </c>
      <c r="AA479" s="31"/>
      <c r="AB479" s="31"/>
      <c r="AC479" s="34">
        <f>Table1[[#This Row],[Quantity (expected)]]*Table1[[#This Row],[Rate (expected)2]]*0.9</f>
        <v>0</v>
      </c>
      <c r="AD479" s="34">
        <f>Table1[[#This Row],[Quantity (expected)]]*Table1[[#This Row],[Rate (expected)2]]*0.8</f>
        <v>0</v>
      </c>
      <c r="AE479" s="34">
        <f>Table1[[#This Row],[Quantity (expected)]]*Table1[[#This Row],[Rate (expected)2]]*0.7</f>
        <v>0</v>
      </c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1">
        <f>SUM(Table1[[#This Row],[Jan-23]:[Dec-23]])</f>
        <v>0</v>
      </c>
      <c r="AV479" s="105"/>
      <c r="AW479" s="32"/>
      <c r="AX479" s="35"/>
    </row>
    <row r="480" spans="1:50" x14ac:dyDescent="0.3">
      <c r="A480" s="30" t="str">
        <f>VLOOKUP(H480,'Accoount Code Combination'!$D:$L,8,FALSE)</f>
        <v>Other support</v>
      </c>
      <c r="B480" s="31" t="str">
        <f>VLOOKUP(Table1[[#This Row],[Account Code]],'Accoount Code Combination'!$D:$L,9,FALSE)</f>
        <v>No Applicable</v>
      </c>
      <c r="C480" s="4" t="str">
        <f>VLOOKUP(Table1[[#This Row],[Cost Center Code]],'Cost Center Group'!A:B,2,FALSE)</f>
        <v>Academic and Student Services Office</v>
      </c>
      <c r="D480" s="4">
        <v>847</v>
      </c>
      <c r="E480" s="79">
        <v>8471250</v>
      </c>
      <c r="F480" s="32" t="s">
        <v>349</v>
      </c>
      <c r="G480" s="4">
        <v>1</v>
      </c>
      <c r="H480" s="95">
        <v>436110</v>
      </c>
      <c r="I480" s="106" t="str">
        <f>IFERROR(VLOOKUP(Table1[[#This Row],[Account Code]],'Accoount Code Combination'!$D:$H,2,FALSE),"")</f>
        <v>Printing supplies</v>
      </c>
      <c r="J480" s="79">
        <v>8471250</v>
      </c>
      <c r="K480" s="4"/>
      <c r="L480" s="4" t="str">
        <f>IFERROR(VLOOKUP(Table1[[#This Row],[Future-1 Description]],'Other '!E468:$F477,2,FALSE),"")</f>
        <v/>
      </c>
      <c r="M480" s="32"/>
      <c r="N480" s="32"/>
      <c r="O480" s="32"/>
      <c r="P480" s="49">
        <v>0</v>
      </c>
      <c r="Q480" s="49">
        <v>0</v>
      </c>
      <c r="R480" s="32"/>
      <c r="S480" s="4"/>
      <c r="T480" s="32"/>
      <c r="U480" s="32"/>
      <c r="V480" s="32"/>
      <c r="W480" s="32"/>
      <c r="X480" s="33"/>
      <c r="Y480" s="33"/>
      <c r="Z480" s="31">
        <f>Table1[[#This Row],[Quantity of measruing units]]*Table1[[#This Row],[Rate (expected)]]</f>
        <v>0</v>
      </c>
      <c r="AA480" s="31"/>
      <c r="AB480" s="31"/>
      <c r="AC480" s="34">
        <f>Table1[[#This Row],[Quantity (expected)]]*Table1[[#This Row],[Rate (expected)2]]*0.9</f>
        <v>0</v>
      </c>
      <c r="AD480" s="34">
        <f>Table1[[#This Row],[Quantity (expected)]]*Table1[[#This Row],[Rate (expected)2]]*0.8</f>
        <v>0</v>
      </c>
      <c r="AE480" s="34">
        <f>Table1[[#This Row],[Quantity (expected)]]*Table1[[#This Row],[Rate (expected)2]]*0.7</f>
        <v>0</v>
      </c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1">
        <f>SUM(Table1[[#This Row],[Jan-23]:[Dec-23]])</f>
        <v>0</v>
      </c>
      <c r="AV480" s="105"/>
      <c r="AW480" s="32"/>
      <c r="AX480" s="35"/>
    </row>
    <row r="481" spans="1:50" x14ac:dyDescent="0.3">
      <c r="A481" s="30" t="str">
        <f>VLOOKUP(H481,'Accoount Code Combination'!$D:$L,8,FALSE)</f>
        <v xml:space="preserve">Facilities </v>
      </c>
      <c r="B481" s="31" t="str">
        <f>VLOOKUP(Table1[[#This Row],[Account Code]],'Accoount Code Combination'!$D:$L,9,FALSE)</f>
        <v>No Applicable</v>
      </c>
      <c r="C481" s="4" t="str">
        <f>VLOOKUP(Table1[[#This Row],[Cost Center Code]],'Cost Center Group'!A:B,2,FALSE)</f>
        <v>Academic and Student Services Office</v>
      </c>
      <c r="D481" s="4">
        <v>847</v>
      </c>
      <c r="E481" s="79">
        <v>8471260</v>
      </c>
      <c r="F481" s="32" t="s">
        <v>178</v>
      </c>
      <c r="G481" s="4">
        <v>1</v>
      </c>
      <c r="H481" s="95">
        <v>420310</v>
      </c>
      <c r="I481" s="106" t="str">
        <f>IFERROR(VLOOKUP(Table1[[#This Row],[Account Code]],'Accoount Code Combination'!$D:$H,2,FALSE),"")</f>
        <v>Cleaning: Business premises</v>
      </c>
      <c r="J481" s="79">
        <v>8471260</v>
      </c>
      <c r="K481" s="4"/>
      <c r="L481" s="4" t="str">
        <f>IFERROR(VLOOKUP(Table1[[#This Row],[Future-1 Description]],'Other '!E469:$F478,2,FALSE),"")</f>
        <v/>
      </c>
      <c r="M481" s="32"/>
      <c r="N481" s="32"/>
      <c r="O481" s="32"/>
      <c r="P481" s="49">
        <v>2150684.1800000002</v>
      </c>
      <c r="Q481" s="49">
        <v>227741</v>
      </c>
      <c r="R481" s="32"/>
      <c r="S481" s="4"/>
      <c r="T481" s="32"/>
      <c r="U481" s="32"/>
      <c r="V481" s="32"/>
      <c r="W481" s="32"/>
      <c r="X481" s="33"/>
      <c r="Y481" s="33"/>
      <c r="Z481" s="31">
        <f>Table1[[#This Row],[Quantity of measruing units]]*Table1[[#This Row],[Rate (expected)]]</f>
        <v>0</v>
      </c>
      <c r="AA481" s="31"/>
      <c r="AB481" s="31"/>
      <c r="AC481" s="34">
        <f>Table1[[#This Row],[Quantity (expected)]]*Table1[[#This Row],[Rate (expected)2]]*0.9</f>
        <v>0</v>
      </c>
      <c r="AD481" s="34">
        <f>Table1[[#This Row],[Quantity (expected)]]*Table1[[#This Row],[Rate (expected)2]]*0.8</f>
        <v>0</v>
      </c>
      <c r="AE481" s="34">
        <f>Table1[[#This Row],[Quantity (expected)]]*Table1[[#This Row],[Rate (expected)2]]*0.7</f>
        <v>0</v>
      </c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1">
        <f>SUM(Table1[[#This Row],[Jan-23]:[Dec-23]])</f>
        <v>0</v>
      </c>
      <c r="AV481" s="105"/>
      <c r="AW481" s="32"/>
      <c r="AX481" s="35"/>
    </row>
    <row r="482" spans="1:50" x14ac:dyDescent="0.3">
      <c r="A482" s="30" t="str">
        <f>VLOOKUP(H482,'Accoount Code Combination'!$D:$L,8,FALSE)</f>
        <v>HR</v>
      </c>
      <c r="B482" s="31" t="str">
        <f>VLOOKUP(Table1[[#This Row],[Account Code]],'Accoount Code Combination'!$D:$L,9,FALSE)</f>
        <v>Outsourcing</v>
      </c>
      <c r="C482" s="4" t="str">
        <f>VLOOKUP(Table1[[#This Row],[Cost Center Code]],'Cost Center Group'!A:B,2,FALSE)</f>
        <v>Academic and Student Services Office</v>
      </c>
      <c r="D482" s="4">
        <v>847</v>
      </c>
      <c r="E482" s="79">
        <v>8471260</v>
      </c>
      <c r="F482" s="32" t="s">
        <v>178</v>
      </c>
      <c r="G482" s="4">
        <v>1</v>
      </c>
      <c r="H482" s="95">
        <v>421100</v>
      </c>
      <c r="I482" s="106" t="str">
        <f>IFERROR(VLOOKUP(Table1[[#This Row],[Account Code]],'Accoount Code Combination'!$D:$H,2,FALSE),"")</f>
        <v>Manpower supply</v>
      </c>
      <c r="J482" s="79">
        <v>8471260</v>
      </c>
      <c r="K482" s="4"/>
      <c r="L482" s="4" t="str">
        <f>IFERROR(VLOOKUP(Table1[[#This Row],[Future-1 Description]],'Other '!E470:$F479,2,FALSE),"")</f>
        <v/>
      </c>
      <c r="M482" s="32"/>
      <c r="N482" s="32"/>
      <c r="O482" s="32"/>
      <c r="P482" s="49">
        <v>1749140.4</v>
      </c>
      <c r="Q482" s="49">
        <v>1466000</v>
      </c>
      <c r="R482" s="32"/>
      <c r="S482" s="4"/>
      <c r="T482" s="32"/>
      <c r="U482" s="32"/>
      <c r="V482" s="32"/>
      <c r="W482" s="32"/>
      <c r="X482" s="33"/>
      <c r="Y482" s="33"/>
      <c r="Z482" s="31">
        <f>Table1[[#This Row],[Quantity of measruing units]]*Table1[[#This Row],[Rate (expected)]]</f>
        <v>0</v>
      </c>
      <c r="AA482" s="31"/>
      <c r="AB482" s="31"/>
      <c r="AC482" s="34">
        <f>Table1[[#This Row],[Quantity (expected)]]*Table1[[#This Row],[Rate (expected)2]]*0.9</f>
        <v>0</v>
      </c>
      <c r="AD482" s="34">
        <f>Table1[[#This Row],[Quantity (expected)]]*Table1[[#This Row],[Rate (expected)2]]*0.8</f>
        <v>0</v>
      </c>
      <c r="AE482" s="34">
        <f>Table1[[#This Row],[Quantity (expected)]]*Table1[[#This Row],[Rate (expected)2]]*0.7</f>
        <v>0</v>
      </c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1">
        <f>SUM(Table1[[#This Row],[Jan-23]:[Dec-23]])</f>
        <v>0</v>
      </c>
      <c r="AV482" s="105"/>
      <c r="AW482" s="32"/>
      <c r="AX482" s="35"/>
    </row>
    <row r="483" spans="1:50" x14ac:dyDescent="0.3">
      <c r="A483" s="30" t="str">
        <f>VLOOKUP(H483,'Accoount Code Combination'!$D:$L,8,FALSE)</f>
        <v xml:space="preserve">Facilities </v>
      </c>
      <c r="B483" s="31" t="str">
        <f>VLOOKUP(Table1[[#This Row],[Account Code]],'Accoount Code Combination'!$D:$L,9,FALSE)</f>
        <v>No Applicable</v>
      </c>
      <c r="C483" s="4" t="str">
        <f>VLOOKUP(Table1[[#This Row],[Cost Center Code]],'Cost Center Group'!A:B,2,FALSE)</f>
        <v>Academic and Student Services Office</v>
      </c>
      <c r="D483" s="4">
        <v>847</v>
      </c>
      <c r="E483" s="79">
        <v>8471260</v>
      </c>
      <c r="F483" s="32" t="s">
        <v>178</v>
      </c>
      <c r="G483" s="4">
        <v>1</v>
      </c>
      <c r="H483" s="95">
        <v>421600</v>
      </c>
      <c r="I483" s="106" t="str">
        <f>IFERROR(VLOOKUP(Table1[[#This Row],[Account Code]],'Accoount Code Combination'!$D:$H,2,FALSE),"")</f>
        <v>Security service</v>
      </c>
      <c r="J483" s="79">
        <v>8471260</v>
      </c>
      <c r="K483" s="4"/>
      <c r="L483" s="4" t="str">
        <f>IFERROR(VLOOKUP(Table1[[#This Row],[Future-1 Description]],'Other '!E471:$F480,2,FALSE),"")</f>
        <v/>
      </c>
      <c r="M483" s="32"/>
      <c r="N483" s="32"/>
      <c r="O483" s="32"/>
      <c r="P483" s="49">
        <v>1337823.52</v>
      </c>
      <c r="Q483" s="49">
        <v>395724</v>
      </c>
      <c r="R483" s="32"/>
      <c r="S483" s="4"/>
      <c r="T483" s="32"/>
      <c r="U483" s="32"/>
      <c r="V483" s="32"/>
      <c r="W483" s="32"/>
      <c r="X483" s="33"/>
      <c r="Y483" s="33"/>
      <c r="Z483" s="31">
        <f>Table1[[#This Row],[Quantity of measruing units]]*Table1[[#This Row],[Rate (expected)]]</f>
        <v>0</v>
      </c>
      <c r="AA483" s="31"/>
      <c r="AB483" s="31"/>
      <c r="AC483" s="34">
        <f>Table1[[#This Row],[Quantity (expected)]]*Table1[[#This Row],[Rate (expected)2]]*0.9</f>
        <v>0</v>
      </c>
      <c r="AD483" s="34">
        <f>Table1[[#This Row],[Quantity (expected)]]*Table1[[#This Row],[Rate (expected)2]]*0.8</f>
        <v>0</v>
      </c>
      <c r="AE483" s="34">
        <f>Table1[[#This Row],[Quantity (expected)]]*Table1[[#This Row],[Rate (expected)2]]*0.7</f>
        <v>0</v>
      </c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1">
        <f>SUM(Table1[[#This Row],[Jan-23]:[Dec-23]])</f>
        <v>0</v>
      </c>
      <c r="AV483" s="105"/>
      <c r="AW483" s="32"/>
      <c r="AX483" s="35"/>
    </row>
    <row r="484" spans="1:50" x14ac:dyDescent="0.3">
      <c r="A484" s="30" t="str">
        <f>VLOOKUP(H484,'Accoount Code Combination'!$D:$L,8,FALSE)</f>
        <v xml:space="preserve">Facilities </v>
      </c>
      <c r="B484" s="31" t="str">
        <f>VLOOKUP(Table1[[#This Row],[Account Code]],'Accoount Code Combination'!$D:$L,9,FALSE)</f>
        <v>No Applicable</v>
      </c>
      <c r="C484" s="4" t="str">
        <f>VLOOKUP(Table1[[#This Row],[Cost Center Code]],'Cost Center Group'!A:B,2,FALSE)</f>
        <v>Academic and Student Services Office</v>
      </c>
      <c r="D484" s="4">
        <v>847</v>
      </c>
      <c r="E484" s="79">
        <v>8471260</v>
      </c>
      <c r="F484" s="32" t="s">
        <v>178</v>
      </c>
      <c r="G484" s="4">
        <v>1</v>
      </c>
      <c r="H484" s="95">
        <v>422100</v>
      </c>
      <c r="I484" s="106" t="str">
        <f>IFERROR(VLOOKUP(Table1[[#This Row],[Account Code]],'Accoount Code Combination'!$D:$H,2,FALSE),"")</f>
        <v>Waste management service</v>
      </c>
      <c r="J484" s="79">
        <v>8471260</v>
      </c>
      <c r="K484" s="4"/>
      <c r="L484" s="4" t="str">
        <f>IFERROR(VLOOKUP(Table1[[#This Row],[Future-1 Description]],'Other '!E472:$F481,2,FALSE),"")</f>
        <v/>
      </c>
      <c r="M484" s="32"/>
      <c r="N484" s="32"/>
      <c r="O484" s="32"/>
      <c r="P484" s="49">
        <v>0</v>
      </c>
      <c r="Q484" s="49">
        <v>0</v>
      </c>
      <c r="R484" s="32"/>
      <c r="S484" s="4"/>
      <c r="T484" s="32"/>
      <c r="U484" s="32"/>
      <c r="V484" s="32"/>
      <c r="W484" s="32"/>
      <c r="X484" s="33"/>
      <c r="Y484" s="33"/>
      <c r="Z484" s="31">
        <f>Table1[[#This Row],[Quantity of measruing units]]*Table1[[#This Row],[Rate (expected)]]</f>
        <v>0</v>
      </c>
      <c r="AA484" s="31"/>
      <c r="AB484" s="31"/>
      <c r="AC484" s="34">
        <f>Table1[[#This Row],[Quantity (expected)]]*Table1[[#This Row],[Rate (expected)2]]*0.9</f>
        <v>0</v>
      </c>
      <c r="AD484" s="34">
        <f>Table1[[#This Row],[Quantity (expected)]]*Table1[[#This Row],[Rate (expected)2]]*0.8</f>
        <v>0</v>
      </c>
      <c r="AE484" s="34">
        <f>Table1[[#This Row],[Quantity (expected)]]*Table1[[#This Row],[Rate (expected)2]]*0.7</f>
        <v>0</v>
      </c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1">
        <f>SUM(Table1[[#This Row],[Jan-23]:[Dec-23]])</f>
        <v>0</v>
      </c>
      <c r="AV484" s="105"/>
      <c r="AW484" s="32"/>
      <c r="AX484" s="35"/>
    </row>
    <row r="485" spans="1:50" x14ac:dyDescent="0.3">
      <c r="A485" s="30" t="str">
        <f>VLOOKUP(H485,'Accoount Code Combination'!$D:$L,8,FALSE)</f>
        <v>Communiction &amp; Marketing</v>
      </c>
      <c r="B485" s="31" t="str">
        <f>VLOOKUP(Table1[[#This Row],[Account Code]],'Accoount Code Combination'!$D:$L,9,FALSE)</f>
        <v>Advertising</v>
      </c>
      <c r="C485" s="4" t="str">
        <f>VLOOKUP(Table1[[#This Row],[Cost Center Code]],'Cost Center Group'!A:B,2,FALSE)</f>
        <v>Academic and Student Services Office</v>
      </c>
      <c r="D485" s="4">
        <v>847</v>
      </c>
      <c r="E485" s="79">
        <v>8471260</v>
      </c>
      <c r="F485" s="32" t="s">
        <v>178</v>
      </c>
      <c r="G485" s="4">
        <v>1</v>
      </c>
      <c r="H485" s="95">
        <v>425100</v>
      </c>
      <c r="I485" s="106" t="str">
        <f>IFERROR(VLOOKUP(Table1[[#This Row],[Account Code]],'Accoount Code Combination'!$D:$H,2,FALSE),"")</f>
        <v>Advertising</v>
      </c>
      <c r="J485" s="79">
        <v>8471260</v>
      </c>
      <c r="K485" s="4"/>
      <c r="L485" s="4" t="str">
        <f>IFERROR(VLOOKUP(Table1[[#This Row],[Future-1 Description]],'Other '!E473:$F482,2,FALSE),"")</f>
        <v/>
      </c>
      <c r="M485" s="32"/>
      <c r="N485" s="32"/>
      <c r="O485" s="32"/>
      <c r="P485" s="49">
        <v>0</v>
      </c>
      <c r="Q485" s="49">
        <v>0</v>
      </c>
      <c r="R485" s="32"/>
      <c r="S485" s="4"/>
      <c r="T485" s="32"/>
      <c r="U485" s="32"/>
      <c r="V485" s="32"/>
      <c r="W485" s="32"/>
      <c r="X485" s="33"/>
      <c r="Y485" s="33"/>
      <c r="Z485" s="31">
        <f>Table1[[#This Row],[Quantity of measruing units]]*Table1[[#This Row],[Rate (expected)]]</f>
        <v>0</v>
      </c>
      <c r="AA485" s="31"/>
      <c r="AB485" s="31"/>
      <c r="AC485" s="34">
        <f>Table1[[#This Row],[Quantity (expected)]]*Table1[[#This Row],[Rate (expected)2]]*0.9</f>
        <v>0</v>
      </c>
      <c r="AD485" s="34">
        <f>Table1[[#This Row],[Quantity (expected)]]*Table1[[#This Row],[Rate (expected)2]]*0.8</f>
        <v>0</v>
      </c>
      <c r="AE485" s="34">
        <f>Table1[[#This Row],[Quantity (expected)]]*Table1[[#This Row],[Rate (expected)2]]*0.7</f>
        <v>0</v>
      </c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1">
        <f>SUM(Table1[[#This Row],[Jan-23]:[Dec-23]])</f>
        <v>0</v>
      </c>
      <c r="AV485" s="105"/>
      <c r="AW485" s="32"/>
      <c r="AX485" s="35"/>
    </row>
    <row r="486" spans="1:50" ht="26" x14ac:dyDescent="0.3">
      <c r="A486" s="30" t="str">
        <f>VLOOKUP(H486,'Accoount Code Combination'!$D:$L,8,FALSE)</f>
        <v>Communiction &amp; Marketing</v>
      </c>
      <c r="B486" s="31" t="str">
        <f>VLOOKUP(Table1[[#This Row],[Account Code]],'Accoount Code Combination'!$D:$L,9,FALSE)</f>
        <v>Events</v>
      </c>
      <c r="C486" s="4" t="str">
        <f>VLOOKUP(Table1[[#This Row],[Cost Center Code]],'Cost Center Group'!A:B,2,FALSE)</f>
        <v>Academic and Student Services Office</v>
      </c>
      <c r="D486" s="4">
        <v>847</v>
      </c>
      <c r="E486" s="79">
        <v>8471260</v>
      </c>
      <c r="F486" s="32" t="s">
        <v>178</v>
      </c>
      <c r="G486" s="4">
        <v>1</v>
      </c>
      <c r="H486" s="95">
        <v>425510</v>
      </c>
      <c r="I486" s="106" t="str">
        <f>IFERROR(VLOOKUP(Table1[[#This Row],[Account Code]],'Accoount Code Combination'!$D:$H,2,FALSE),"")</f>
        <v>Conferences, seminars and exhibitions and other events: - Local Events</v>
      </c>
      <c r="J486" s="79">
        <v>8471260</v>
      </c>
      <c r="K486" s="4"/>
      <c r="L486" s="4" t="str">
        <f>IFERROR(VLOOKUP(Table1[[#This Row],[Future-1 Description]],'Other '!E474:$F483,2,FALSE),"")</f>
        <v/>
      </c>
      <c r="M486" s="32"/>
      <c r="N486" s="32"/>
      <c r="O486" s="32"/>
      <c r="P486" s="49">
        <v>20549.5</v>
      </c>
      <c r="Q486" s="49">
        <v>0</v>
      </c>
      <c r="R486" s="32"/>
      <c r="S486" s="4"/>
      <c r="T486" s="32"/>
      <c r="U486" s="32"/>
      <c r="V486" s="32"/>
      <c r="W486" s="32"/>
      <c r="X486" s="33"/>
      <c r="Y486" s="33"/>
      <c r="Z486" s="31">
        <f>Table1[[#This Row],[Quantity of measruing units]]*Table1[[#This Row],[Rate (expected)]]</f>
        <v>0</v>
      </c>
      <c r="AA486" s="31"/>
      <c r="AB486" s="31"/>
      <c r="AC486" s="34">
        <f>Table1[[#This Row],[Quantity (expected)]]*Table1[[#This Row],[Rate (expected)2]]*0.9</f>
        <v>0</v>
      </c>
      <c r="AD486" s="34">
        <f>Table1[[#This Row],[Quantity (expected)]]*Table1[[#This Row],[Rate (expected)2]]*0.8</f>
        <v>0</v>
      </c>
      <c r="AE486" s="34">
        <f>Table1[[#This Row],[Quantity (expected)]]*Table1[[#This Row],[Rate (expected)2]]*0.7</f>
        <v>0</v>
      </c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1">
        <f>SUM(Table1[[#This Row],[Jan-23]:[Dec-23]])</f>
        <v>0</v>
      </c>
      <c r="AV486" s="105"/>
      <c r="AW486" s="32"/>
      <c r="AX486" s="35"/>
    </row>
    <row r="487" spans="1:50" x14ac:dyDescent="0.3">
      <c r="A487" s="30" t="str">
        <f>VLOOKUP(H487,'Accoount Code Combination'!$D:$L,8,FALSE)</f>
        <v>Student</v>
      </c>
      <c r="B487" s="31" t="str">
        <f>VLOOKUP(Table1[[#This Row],[Account Code]],'Accoount Code Combination'!$D:$L,9,FALSE)</f>
        <v>No Applicable</v>
      </c>
      <c r="C487" s="4" t="str">
        <f>VLOOKUP(Table1[[#This Row],[Cost Center Code]],'Cost Center Group'!A:B,2,FALSE)</f>
        <v>Academic and Student Services Office</v>
      </c>
      <c r="D487" s="4">
        <v>847</v>
      </c>
      <c r="E487" s="79">
        <v>8471260</v>
      </c>
      <c r="F487" s="32" t="s">
        <v>178</v>
      </c>
      <c r="G487" s="4">
        <v>1</v>
      </c>
      <c r="H487" s="95">
        <v>425720</v>
      </c>
      <c r="I487" s="106" t="str">
        <f>IFERROR(VLOOKUP(Table1[[#This Row],[Account Code]],'Accoount Code Combination'!$D:$H,2,FALSE),"")</f>
        <v>Education-Outsourced training service</v>
      </c>
      <c r="J487" s="79">
        <v>8471260</v>
      </c>
      <c r="K487" s="4"/>
      <c r="L487" s="4" t="str">
        <f>IFERROR(VLOOKUP(Table1[[#This Row],[Future-1 Description]],'Other '!E475:$F484,2,FALSE),"")</f>
        <v/>
      </c>
      <c r="M487" s="32"/>
      <c r="N487" s="32"/>
      <c r="O487" s="32"/>
      <c r="P487" s="49">
        <v>10500</v>
      </c>
      <c r="Q487" s="49">
        <v>0</v>
      </c>
      <c r="R487" s="32"/>
      <c r="S487" s="4"/>
      <c r="T487" s="32"/>
      <c r="U487" s="32"/>
      <c r="V487" s="32"/>
      <c r="W487" s="32"/>
      <c r="X487" s="33"/>
      <c r="Y487" s="33"/>
      <c r="Z487" s="31">
        <f>Table1[[#This Row],[Quantity of measruing units]]*Table1[[#This Row],[Rate (expected)]]</f>
        <v>0</v>
      </c>
      <c r="AA487" s="31"/>
      <c r="AB487" s="31"/>
      <c r="AC487" s="34">
        <f>Table1[[#This Row],[Quantity (expected)]]*Table1[[#This Row],[Rate (expected)2]]*0.9</f>
        <v>0</v>
      </c>
      <c r="AD487" s="34">
        <f>Table1[[#This Row],[Quantity (expected)]]*Table1[[#This Row],[Rate (expected)2]]*0.8</f>
        <v>0</v>
      </c>
      <c r="AE487" s="34">
        <f>Table1[[#This Row],[Quantity (expected)]]*Table1[[#This Row],[Rate (expected)2]]*0.7</f>
        <v>0</v>
      </c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1">
        <f>SUM(Table1[[#This Row],[Jan-23]:[Dec-23]])</f>
        <v>0</v>
      </c>
      <c r="AV487" s="105"/>
      <c r="AW487" s="32"/>
      <c r="AX487" s="35"/>
    </row>
    <row r="488" spans="1:50" x14ac:dyDescent="0.3">
      <c r="A488" s="30">
        <f>VLOOKUP(H488,'Accoount Code Combination'!$D:$L,8,FALSE)</f>
        <v>0</v>
      </c>
      <c r="B488" s="31" t="str">
        <f>VLOOKUP(Table1[[#This Row],[Account Code]],'Accoount Code Combination'!$D:$L,9,FALSE)</f>
        <v>No Applicable</v>
      </c>
      <c r="C488" s="4" t="str">
        <f>VLOOKUP(Table1[[#This Row],[Cost Center Code]],'Cost Center Group'!A:B,2,FALSE)</f>
        <v>Academic and Student Services Office</v>
      </c>
      <c r="D488" s="4">
        <v>847</v>
      </c>
      <c r="E488" s="79">
        <v>8471260</v>
      </c>
      <c r="F488" s="32" t="s">
        <v>178</v>
      </c>
      <c r="G488" s="4">
        <v>1</v>
      </c>
      <c r="H488" s="95">
        <v>425740</v>
      </c>
      <c r="I488" s="106" t="str">
        <f>IFERROR(VLOOKUP(Table1[[#This Row],[Account Code]],'Accoount Code Combination'!$D:$H,2,FALSE),"")</f>
        <v>Scholarships &amp; other financial aid</v>
      </c>
      <c r="J488" s="79">
        <v>8471260</v>
      </c>
      <c r="K488" s="4"/>
      <c r="L488" s="4" t="str">
        <f>IFERROR(VLOOKUP(Table1[[#This Row],[Future-1 Description]],'Other '!E476:$F485,2,FALSE),"")</f>
        <v/>
      </c>
      <c r="M488" s="32"/>
      <c r="N488" s="32"/>
      <c r="O488" s="32"/>
      <c r="P488" s="49">
        <v>0</v>
      </c>
      <c r="Q488" s="49">
        <v>0</v>
      </c>
      <c r="R488" s="32"/>
      <c r="S488" s="4"/>
      <c r="T488" s="32"/>
      <c r="U488" s="32"/>
      <c r="V488" s="32"/>
      <c r="W488" s="32"/>
      <c r="X488" s="33"/>
      <c r="Y488" s="33"/>
      <c r="Z488" s="31">
        <f>Table1[[#This Row],[Quantity of measruing units]]*Table1[[#This Row],[Rate (expected)]]</f>
        <v>0</v>
      </c>
      <c r="AA488" s="31"/>
      <c r="AB488" s="31"/>
      <c r="AC488" s="34">
        <f>Table1[[#This Row],[Quantity (expected)]]*Table1[[#This Row],[Rate (expected)2]]*0.9</f>
        <v>0</v>
      </c>
      <c r="AD488" s="34">
        <f>Table1[[#This Row],[Quantity (expected)]]*Table1[[#This Row],[Rate (expected)2]]*0.8</f>
        <v>0</v>
      </c>
      <c r="AE488" s="34">
        <f>Table1[[#This Row],[Quantity (expected)]]*Table1[[#This Row],[Rate (expected)2]]*0.7</f>
        <v>0</v>
      </c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1">
        <f>SUM(Table1[[#This Row],[Jan-23]:[Dec-23]])</f>
        <v>0</v>
      </c>
      <c r="AV488" s="105"/>
      <c r="AW488" s="32"/>
      <c r="AX488" s="35"/>
    </row>
    <row r="489" spans="1:50" x14ac:dyDescent="0.3">
      <c r="A489" s="30" t="str">
        <f>VLOOKUP(H489,'Accoount Code Combination'!$D:$L,8,FALSE)</f>
        <v>Student</v>
      </c>
      <c r="B489" s="31" t="str">
        <f>VLOOKUP(Table1[[#This Row],[Account Code]],'Accoount Code Combination'!$D:$L,9,FALSE)</f>
        <v>No Applicable</v>
      </c>
      <c r="C489" s="4" t="str">
        <f>VLOOKUP(Table1[[#This Row],[Cost Center Code]],'Cost Center Group'!A:B,2,FALSE)</f>
        <v>Academic and Student Services Office</v>
      </c>
      <c r="D489" s="4">
        <v>847</v>
      </c>
      <c r="E489" s="79">
        <v>8471260</v>
      </c>
      <c r="F489" s="32" t="s">
        <v>178</v>
      </c>
      <c r="G489" s="4">
        <v>1</v>
      </c>
      <c r="H489" s="95">
        <v>425746</v>
      </c>
      <c r="I489" s="106" t="str">
        <f>IFERROR(VLOOKUP(Table1[[#This Row],[Account Code]],'Accoount Code Combination'!$D:$H,2,FALSE),"")</f>
        <v>Student Transport</v>
      </c>
      <c r="J489" s="79">
        <v>8471260</v>
      </c>
      <c r="K489" s="4"/>
      <c r="L489" s="4" t="str">
        <f>IFERROR(VLOOKUP(Table1[[#This Row],[Future-1 Description]],'Other '!E477:$F486,2,FALSE),"")</f>
        <v/>
      </c>
      <c r="M489" s="32"/>
      <c r="N489" s="32"/>
      <c r="O489" s="32"/>
      <c r="P489" s="49">
        <v>3208631.86</v>
      </c>
      <c r="Q489" s="49">
        <v>6941150</v>
      </c>
      <c r="R489" s="32"/>
      <c r="S489" s="4"/>
      <c r="T489" s="32"/>
      <c r="U489" s="32"/>
      <c r="V489" s="32"/>
      <c r="W489" s="32"/>
      <c r="X489" s="33"/>
      <c r="Y489" s="33"/>
      <c r="Z489" s="31">
        <f>Table1[[#This Row],[Quantity of measruing units]]*Table1[[#This Row],[Rate (expected)]]</f>
        <v>0</v>
      </c>
      <c r="AA489" s="31"/>
      <c r="AB489" s="31"/>
      <c r="AC489" s="34">
        <f>Table1[[#This Row],[Quantity (expected)]]*Table1[[#This Row],[Rate (expected)2]]*0.9</f>
        <v>0</v>
      </c>
      <c r="AD489" s="34">
        <f>Table1[[#This Row],[Quantity (expected)]]*Table1[[#This Row],[Rate (expected)2]]*0.8</f>
        <v>0</v>
      </c>
      <c r="AE489" s="34">
        <f>Table1[[#This Row],[Quantity (expected)]]*Table1[[#This Row],[Rate (expected)2]]*0.7</f>
        <v>0</v>
      </c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1">
        <f>SUM(Table1[[#This Row],[Jan-23]:[Dec-23]])</f>
        <v>0</v>
      </c>
      <c r="AV489" s="105"/>
      <c r="AW489" s="32"/>
      <c r="AX489" s="35"/>
    </row>
    <row r="490" spans="1:50" x14ac:dyDescent="0.3">
      <c r="A490" s="30" t="str">
        <f>VLOOKUP(H490,'Accoount Code Combination'!$D:$L,8,FALSE)</f>
        <v>Student</v>
      </c>
      <c r="B490" s="31" t="str">
        <f>VLOOKUP(Table1[[#This Row],[Account Code]],'Accoount Code Combination'!$D:$L,9,FALSE)</f>
        <v>No Applicable</v>
      </c>
      <c r="C490" s="4" t="str">
        <f>VLOOKUP(Table1[[#This Row],[Cost Center Code]],'Cost Center Group'!A:B,2,FALSE)</f>
        <v>Academic and Student Services Office</v>
      </c>
      <c r="D490" s="4">
        <v>847</v>
      </c>
      <c r="E490" s="79">
        <v>8471260</v>
      </c>
      <c r="F490" s="32" t="s">
        <v>178</v>
      </c>
      <c r="G490" s="4">
        <v>1</v>
      </c>
      <c r="H490" s="95">
        <v>425747</v>
      </c>
      <c r="I490" s="106" t="str">
        <f>IFERROR(VLOOKUP(Table1[[#This Row],[Account Code]],'Accoount Code Combination'!$D:$H,2,FALSE),"")</f>
        <v>Student Accommodation</v>
      </c>
      <c r="J490" s="79">
        <v>8471260</v>
      </c>
      <c r="K490" s="4"/>
      <c r="L490" s="4" t="str">
        <f>IFERROR(VLOOKUP(Table1[[#This Row],[Future-1 Description]],'Other '!E478:$F487,2,FALSE),"")</f>
        <v/>
      </c>
      <c r="M490" s="32"/>
      <c r="N490" s="32"/>
      <c r="O490" s="32"/>
      <c r="P490" s="49">
        <v>667536.03</v>
      </c>
      <c r="Q490" s="49">
        <v>213000</v>
      </c>
      <c r="R490" s="32"/>
      <c r="S490" s="4"/>
      <c r="T490" s="32"/>
      <c r="U490" s="32"/>
      <c r="V490" s="32"/>
      <c r="W490" s="32"/>
      <c r="X490" s="33"/>
      <c r="Y490" s="33"/>
      <c r="Z490" s="31">
        <f>Table1[[#This Row],[Quantity of measruing units]]*Table1[[#This Row],[Rate (expected)]]</f>
        <v>0</v>
      </c>
      <c r="AA490" s="31"/>
      <c r="AB490" s="31"/>
      <c r="AC490" s="34">
        <f>Table1[[#This Row],[Quantity (expected)]]*Table1[[#This Row],[Rate (expected)2]]*0.9</f>
        <v>0</v>
      </c>
      <c r="AD490" s="34">
        <f>Table1[[#This Row],[Quantity (expected)]]*Table1[[#This Row],[Rate (expected)2]]*0.8</f>
        <v>0</v>
      </c>
      <c r="AE490" s="34">
        <f>Table1[[#This Row],[Quantity (expected)]]*Table1[[#This Row],[Rate (expected)2]]*0.7</f>
        <v>0</v>
      </c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1">
        <f>SUM(Table1[[#This Row],[Jan-23]:[Dec-23]])</f>
        <v>0</v>
      </c>
      <c r="AV490" s="105"/>
      <c r="AW490" s="32"/>
      <c r="AX490" s="35"/>
    </row>
    <row r="491" spans="1:50" x14ac:dyDescent="0.3">
      <c r="A491" s="30" t="str">
        <f>VLOOKUP(H491,'Accoount Code Combination'!$D:$L,8,FALSE)</f>
        <v>Student</v>
      </c>
      <c r="B491" s="31" t="str">
        <f>VLOOKUP(Table1[[#This Row],[Account Code]],'Accoount Code Combination'!$D:$L,9,FALSE)</f>
        <v>No Applicable</v>
      </c>
      <c r="C491" s="4" t="str">
        <f>VLOOKUP(Table1[[#This Row],[Cost Center Code]],'Cost Center Group'!A:B,2,FALSE)</f>
        <v>Academic and Student Services Office</v>
      </c>
      <c r="D491" s="4">
        <v>847</v>
      </c>
      <c r="E491" s="79">
        <v>8471260</v>
      </c>
      <c r="F491" s="32" t="s">
        <v>178</v>
      </c>
      <c r="G491" s="4">
        <v>1</v>
      </c>
      <c r="H491" s="95">
        <v>425750</v>
      </c>
      <c r="I491" s="106" t="str">
        <f>IFERROR(VLOOKUP(Table1[[#This Row],[Account Code]],'Accoount Code Combination'!$D:$H,2,FALSE),"")</f>
        <v>Skill assessment service</v>
      </c>
      <c r="J491" s="79">
        <v>8471260</v>
      </c>
      <c r="K491" s="4"/>
      <c r="L491" s="4" t="str">
        <f>IFERROR(VLOOKUP(Table1[[#This Row],[Future-1 Description]],'Other '!E479:$F488,2,FALSE),"")</f>
        <v/>
      </c>
      <c r="M491" s="32"/>
      <c r="N491" s="32"/>
      <c r="O491" s="32"/>
      <c r="P491" s="49">
        <v>0</v>
      </c>
      <c r="Q491" s="49">
        <v>25000</v>
      </c>
      <c r="R491" s="32"/>
      <c r="S491" s="4"/>
      <c r="T491" s="32"/>
      <c r="U491" s="32"/>
      <c r="V491" s="32"/>
      <c r="W491" s="32"/>
      <c r="X491" s="33"/>
      <c r="Y491" s="33"/>
      <c r="Z491" s="31">
        <f>Table1[[#This Row],[Quantity of measruing units]]*Table1[[#This Row],[Rate (expected)]]</f>
        <v>0</v>
      </c>
      <c r="AA491" s="31"/>
      <c r="AB491" s="31"/>
      <c r="AC491" s="34">
        <f>Table1[[#This Row],[Quantity (expected)]]*Table1[[#This Row],[Rate (expected)2]]*0.9</f>
        <v>0</v>
      </c>
      <c r="AD491" s="34">
        <f>Table1[[#This Row],[Quantity (expected)]]*Table1[[#This Row],[Rate (expected)2]]*0.8</f>
        <v>0</v>
      </c>
      <c r="AE491" s="34">
        <f>Table1[[#This Row],[Quantity (expected)]]*Table1[[#This Row],[Rate (expected)2]]*0.7</f>
        <v>0</v>
      </c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1">
        <f>SUM(Table1[[#This Row],[Jan-23]:[Dec-23]])</f>
        <v>0</v>
      </c>
      <c r="AV491" s="105"/>
      <c r="AW491" s="32"/>
      <c r="AX491" s="35"/>
    </row>
    <row r="492" spans="1:50" x14ac:dyDescent="0.3">
      <c r="A492" s="30" t="str">
        <f>VLOOKUP(H492,'Accoount Code Combination'!$D:$L,8,FALSE)</f>
        <v>Student</v>
      </c>
      <c r="B492" s="31" t="str">
        <f>VLOOKUP(Table1[[#This Row],[Account Code]],'Accoount Code Combination'!$D:$L,9,FALSE)</f>
        <v>Activities and Field trips</v>
      </c>
      <c r="C492" s="4" t="str">
        <f>VLOOKUP(Table1[[#This Row],[Cost Center Code]],'Cost Center Group'!A:B,2,FALSE)</f>
        <v>Academic and Student Services Office</v>
      </c>
      <c r="D492" s="4">
        <v>847</v>
      </c>
      <c r="E492" s="79">
        <v>8471260</v>
      </c>
      <c r="F492" s="32" t="s">
        <v>178</v>
      </c>
      <c r="G492" s="4">
        <v>1</v>
      </c>
      <c r="H492" s="95">
        <v>425760</v>
      </c>
      <c r="I492" s="106" t="str">
        <f>IFERROR(VLOOKUP(Table1[[#This Row],[Account Code]],'Accoount Code Combination'!$D:$H,2,FALSE),"")</f>
        <v>Student activities &amp; field trip expenses</v>
      </c>
      <c r="J492" s="79">
        <v>8471260</v>
      </c>
      <c r="K492" s="4"/>
      <c r="L492" s="4" t="str">
        <f>IFERROR(VLOOKUP(Table1[[#This Row],[Future-1 Description]],'Other '!E480:$F489,2,FALSE),"")</f>
        <v/>
      </c>
      <c r="M492" s="32"/>
      <c r="N492" s="32"/>
      <c r="O492" s="32"/>
      <c r="P492" s="49">
        <v>16013</v>
      </c>
      <c r="Q492" s="49">
        <v>100000</v>
      </c>
      <c r="R492" s="32"/>
      <c r="S492" s="4"/>
      <c r="T492" s="32"/>
      <c r="U492" s="32"/>
      <c r="V492" s="32"/>
      <c r="W492" s="32"/>
      <c r="X492" s="33"/>
      <c r="Y492" s="33"/>
      <c r="Z492" s="31">
        <f>Table1[[#This Row],[Quantity of measruing units]]*Table1[[#This Row],[Rate (expected)]]</f>
        <v>0</v>
      </c>
      <c r="AA492" s="31"/>
      <c r="AB492" s="31"/>
      <c r="AC492" s="34">
        <f>Table1[[#This Row],[Quantity (expected)]]*Table1[[#This Row],[Rate (expected)2]]*0.9</f>
        <v>0</v>
      </c>
      <c r="AD492" s="34">
        <f>Table1[[#This Row],[Quantity (expected)]]*Table1[[#This Row],[Rate (expected)2]]*0.8</f>
        <v>0</v>
      </c>
      <c r="AE492" s="34">
        <f>Table1[[#This Row],[Quantity (expected)]]*Table1[[#This Row],[Rate (expected)2]]*0.7</f>
        <v>0</v>
      </c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1">
        <f>SUM(Table1[[#This Row],[Jan-23]:[Dec-23]])</f>
        <v>0</v>
      </c>
      <c r="AV492" s="105"/>
      <c r="AW492" s="32"/>
      <c r="AX492" s="35"/>
    </row>
    <row r="493" spans="1:50" x14ac:dyDescent="0.3">
      <c r="A493" s="30" t="str">
        <f>VLOOKUP(H493,'Accoount Code Combination'!$D:$L,8,FALSE)</f>
        <v>Other support</v>
      </c>
      <c r="B493" s="31" t="str">
        <f>VLOOKUP(Table1[[#This Row],[Account Code]],'Accoount Code Combination'!$D:$L,9,FALSE)</f>
        <v>No Applicable</v>
      </c>
      <c r="C493" s="4" t="str">
        <f>VLOOKUP(Table1[[#This Row],[Cost Center Code]],'Cost Center Group'!A:B,2,FALSE)</f>
        <v>Academic and Student Services Office</v>
      </c>
      <c r="D493" s="4">
        <v>847</v>
      </c>
      <c r="E493" s="79">
        <v>8471260</v>
      </c>
      <c r="F493" s="32" t="s">
        <v>178</v>
      </c>
      <c r="G493" s="4">
        <v>1</v>
      </c>
      <c r="H493" s="95">
        <v>425900</v>
      </c>
      <c r="I493" s="106" t="str">
        <f>IFERROR(VLOOKUP(Table1[[#This Row],[Account Code]],'Accoount Code Combination'!$D:$H,2,FALSE),"")</f>
        <v>Entertainment and hospitality</v>
      </c>
      <c r="J493" s="79">
        <v>8471260</v>
      </c>
      <c r="K493" s="4"/>
      <c r="L493" s="4" t="str">
        <f>IFERROR(VLOOKUP(Table1[[#This Row],[Future-1 Description]],'Other '!E481:$F490,2,FALSE),"")</f>
        <v/>
      </c>
      <c r="M493" s="32"/>
      <c r="N493" s="32"/>
      <c r="O493" s="32"/>
      <c r="P493" s="49">
        <v>0</v>
      </c>
      <c r="Q493" s="49">
        <v>0</v>
      </c>
      <c r="R493" s="32"/>
      <c r="S493" s="4"/>
      <c r="T493" s="32"/>
      <c r="U493" s="32"/>
      <c r="V493" s="32"/>
      <c r="W493" s="32"/>
      <c r="X493" s="33"/>
      <c r="Y493" s="33"/>
      <c r="Z493" s="31">
        <f>Table1[[#This Row],[Quantity of measruing units]]*Table1[[#This Row],[Rate (expected)]]</f>
        <v>0</v>
      </c>
      <c r="AA493" s="31"/>
      <c r="AB493" s="31"/>
      <c r="AC493" s="34">
        <f>Table1[[#This Row],[Quantity (expected)]]*Table1[[#This Row],[Rate (expected)2]]*0.9</f>
        <v>0</v>
      </c>
      <c r="AD493" s="34">
        <f>Table1[[#This Row],[Quantity (expected)]]*Table1[[#This Row],[Rate (expected)2]]*0.8</f>
        <v>0</v>
      </c>
      <c r="AE493" s="34">
        <f>Table1[[#This Row],[Quantity (expected)]]*Table1[[#This Row],[Rate (expected)2]]*0.7</f>
        <v>0</v>
      </c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1">
        <f>SUM(Table1[[#This Row],[Jan-23]:[Dec-23]])</f>
        <v>0</v>
      </c>
      <c r="AV493" s="105"/>
      <c r="AW493" s="32"/>
      <c r="AX493" s="35"/>
    </row>
    <row r="494" spans="1:50" x14ac:dyDescent="0.3">
      <c r="A494" s="30" t="str">
        <f>VLOOKUP(H494,'Accoount Code Combination'!$D:$L,8,FALSE)</f>
        <v xml:space="preserve">Facilities </v>
      </c>
      <c r="B494" s="31" t="str">
        <f>VLOOKUP(Table1[[#This Row],[Account Code]],'Accoount Code Combination'!$D:$L,9,FALSE)</f>
        <v>No Applicable</v>
      </c>
      <c r="C494" s="4" t="str">
        <f>VLOOKUP(Table1[[#This Row],[Cost Center Code]],'Cost Center Group'!A:B,2,FALSE)</f>
        <v>Academic and Student Services Office</v>
      </c>
      <c r="D494" s="4">
        <v>847</v>
      </c>
      <c r="E494" s="79">
        <v>8471260</v>
      </c>
      <c r="F494" s="32" t="s">
        <v>178</v>
      </c>
      <c r="G494" s="4">
        <v>1</v>
      </c>
      <c r="H494" s="95">
        <v>426220</v>
      </c>
      <c r="I494" s="106" t="str">
        <f>IFERROR(VLOOKUP(Table1[[#This Row],[Account Code]],'Accoount Code Combination'!$D:$H,2,FALSE),"")</f>
        <v>Insurance - Fire and allied perils</v>
      </c>
      <c r="J494" s="79">
        <v>8471260</v>
      </c>
      <c r="K494" s="4"/>
      <c r="L494" s="4" t="str">
        <f>IFERROR(VLOOKUP(Table1[[#This Row],[Future-1 Description]],'Other '!E482:$F491,2,FALSE),"")</f>
        <v/>
      </c>
      <c r="M494" s="32"/>
      <c r="N494" s="32"/>
      <c r="O494" s="32"/>
      <c r="P494" s="49">
        <v>335082.25</v>
      </c>
      <c r="Q494" s="49">
        <v>16267</v>
      </c>
      <c r="R494" s="32"/>
      <c r="S494" s="4"/>
      <c r="T494" s="32"/>
      <c r="U494" s="32"/>
      <c r="V494" s="32"/>
      <c r="W494" s="32"/>
      <c r="X494" s="33"/>
      <c r="Y494" s="33"/>
      <c r="Z494" s="31">
        <f>Table1[[#This Row],[Quantity of measruing units]]*Table1[[#This Row],[Rate (expected)]]</f>
        <v>0</v>
      </c>
      <c r="AA494" s="31"/>
      <c r="AB494" s="31"/>
      <c r="AC494" s="34">
        <f>Table1[[#This Row],[Quantity (expected)]]*Table1[[#This Row],[Rate (expected)2]]*0.9</f>
        <v>0</v>
      </c>
      <c r="AD494" s="34">
        <f>Table1[[#This Row],[Quantity (expected)]]*Table1[[#This Row],[Rate (expected)2]]*0.8</f>
        <v>0</v>
      </c>
      <c r="AE494" s="34">
        <f>Table1[[#This Row],[Quantity (expected)]]*Table1[[#This Row],[Rate (expected)2]]*0.7</f>
        <v>0</v>
      </c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1">
        <f>SUM(Table1[[#This Row],[Jan-23]:[Dec-23]])</f>
        <v>0</v>
      </c>
      <c r="AV494" s="105"/>
      <c r="AW494" s="32"/>
      <c r="AX494" s="35"/>
    </row>
    <row r="495" spans="1:50" x14ac:dyDescent="0.3">
      <c r="A495" s="30" t="str">
        <f>VLOOKUP(H495,'Accoount Code Combination'!$D:$L,8,FALSE)</f>
        <v>IT</v>
      </c>
      <c r="B495" s="31" t="str">
        <f>VLOOKUP(Table1[[#This Row],[Account Code]],'Accoount Code Combination'!$D:$L,9,FALSE)</f>
        <v>Software Operating</v>
      </c>
      <c r="C495" s="4" t="str">
        <f>VLOOKUP(Table1[[#This Row],[Cost Center Code]],'Cost Center Group'!A:B,2,FALSE)</f>
        <v>Academic and Student Services Office</v>
      </c>
      <c r="D495" s="4">
        <v>847</v>
      </c>
      <c r="E495" s="79">
        <v>8471260</v>
      </c>
      <c r="F495" s="32" t="s">
        <v>178</v>
      </c>
      <c r="G495" s="4">
        <v>1</v>
      </c>
      <c r="H495" s="95">
        <v>426610</v>
      </c>
      <c r="I495" s="106" t="str">
        <f>IFERROR(VLOOKUP(Table1[[#This Row],[Account Code]],'Accoount Code Combination'!$D:$H,2,FALSE),"")</f>
        <v>Computer software licenses</v>
      </c>
      <c r="J495" s="79">
        <v>8471260</v>
      </c>
      <c r="K495" s="4"/>
      <c r="L495" s="4" t="str">
        <f>IFERROR(VLOOKUP(Table1[[#This Row],[Future-1 Description]],'Other '!E483:$F492,2,FALSE),"")</f>
        <v/>
      </c>
      <c r="M495" s="32"/>
      <c r="N495" s="32"/>
      <c r="O495" s="32"/>
      <c r="P495" s="49">
        <v>0</v>
      </c>
      <c r="Q495" s="49">
        <v>0</v>
      </c>
      <c r="R495" s="32"/>
      <c r="S495" s="4"/>
      <c r="T495" s="32"/>
      <c r="U495" s="32"/>
      <c r="V495" s="32"/>
      <c r="W495" s="32"/>
      <c r="X495" s="33"/>
      <c r="Y495" s="33"/>
      <c r="Z495" s="31">
        <f>Table1[[#This Row],[Quantity of measruing units]]*Table1[[#This Row],[Rate (expected)]]</f>
        <v>0</v>
      </c>
      <c r="AA495" s="31"/>
      <c r="AB495" s="31"/>
      <c r="AC495" s="34">
        <f>Table1[[#This Row],[Quantity (expected)]]*Table1[[#This Row],[Rate (expected)2]]*0.9</f>
        <v>0</v>
      </c>
      <c r="AD495" s="34">
        <f>Table1[[#This Row],[Quantity (expected)]]*Table1[[#This Row],[Rate (expected)2]]*0.8</f>
        <v>0</v>
      </c>
      <c r="AE495" s="34">
        <f>Table1[[#This Row],[Quantity (expected)]]*Table1[[#This Row],[Rate (expected)2]]*0.7</f>
        <v>0</v>
      </c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1">
        <f>SUM(Table1[[#This Row],[Jan-23]:[Dec-23]])</f>
        <v>0</v>
      </c>
      <c r="AV495" s="105"/>
      <c r="AW495" s="32"/>
      <c r="AX495" s="35"/>
    </row>
    <row r="496" spans="1:50" x14ac:dyDescent="0.3">
      <c r="A496" s="30" t="str">
        <f>VLOOKUP(H496,'Accoount Code Combination'!$D:$L,8,FALSE)</f>
        <v>Communiction &amp; Marketing</v>
      </c>
      <c r="B496" s="31" t="str">
        <f>VLOOKUP(Table1[[#This Row],[Account Code]],'Accoount Code Combination'!$D:$L,9,FALSE)</f>
        <v>Communications</v>
      </c>
      <c r="C496" s="4" t="str">
        <f>VLOOKUP(Table1[[#This Row],[Cost Center Code]],'Cost Center Group'!A:B,2,FALSE)</f>
        <v>Academic and Student Services Office</v>
      </c>
      <c r="D496" s="4">
        <v>847</v>
      </c>
      <c r="E496" s="79">
        <v>8471260</v>
      </c>
      <c r="F496" s="32" t="s">
        <v>178</v>
      </c>
      <c r="G496" s="4">
        <v>1</v>
      </c>
      <c r="H496" s="95">
        <v>427100</v>
      </c>
      <c r="I496" s="106" t="str">
        <f>IFERROR(VLOOKUP(Table1[[#This Row],[Account Code]],'Accoount Code Combination'!$D:$H,2,FALSE),"")</f>
        <v>Public relations</v>
      </c>
      <c r="J496" s="79">
        <v>8471260</v>
      </c>
      <c r="K496" s="4"/>
      <c r="L496" s="4" t="str">
        <f>IFERROR(VLOOKUP(Table1[[#This Row],[Future-1 Description]],'Other '!E484:$F493,2,FALSE),"")</f>
        <v/>
      </c>
      <c r="M496" s="32"/>
      <c r="N496" s="32"/>
      <c r="O496" s="32"/>
      <c r="P496" s="49">
        <v>0</v>
      </c>
      <c r="Q496" s="49">
        <v>0</v>
      </c>
      <c r="R496" s="32"/>
      <c r="S496" s="4"/>
      <c r="T496" s="32"/>
      <c r="U496" s="32"/>
      <c r="V496" s="32"/>
      <c r="W496" s="32"/>
      <c r="X496" s="33"/>
      <c r="Y496" s="33"/>
      <c r="Z496" s="31">
        <f>Table1[[#This Row],[Quantity of measruing units]]*Table1[[#This Row],[Rate (expected)]]</f>
        <v>0</v>
      </c>
      <c r="AA496" s="31"/>
      <c r="AB496" s="31"/>
      <c r="AC496" s="34">
        <f>Table1[[#This Row],[Quantity (expected)]]*Table1[[#This Row],[Rate (expected)2]]*0.9</f>
        <v>0</v>
      </c>
      <c r="AD496" s="34">
        <f>Table1[[#This Row],[Quantity (expected)]]*Table1[[#This Row],[Rate (expected)2]]*0.8</f>
        <v>0</v>
      </c>
      <c r="AE496" s="34">
        <f>Table1[[#This Row],[Quantity (expected)]]*Table1[[#This Row],[Rate (expected)2]]*0.7</f>
        <v>0</v>
      </c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1">
        <f>SUM(Table1[[#This Row],[Jan-23]:[Dec-23]])</f>
        <v>0</v>
      </c>
      <c r="AV496" s="105"/>
      <c r="AW496" s="32"/>
      <c r="AX496" s="35"/>
    </row>
    <row r="497" spans="1:50" x14ac:dyDescent="0.3">
      <c r="A497" s="30" t="str">
        <f>VLOOKUP(H497,'Accoount Code Combination'!$D:$L,8,FALSE)</f>
        <v>IT</v>
      </c>
      <c r="B497" s="31" t="str">
        <f>VLOOKUP(Table1[[#This Row],[Account Code]],'Accoount Code Combination'!$D:$L,9,FALSE)</f>
        <v>No Applicable</v>
      </c>
      <c r="C497" s="4" t="str">
        <f>VLOOKUP(Table1[[#This Row],[Cost Center Code]],'Cost Center Group'!A:B,2,FALSE)</f>
        <v>Academic and Student Services Office</v>
      </c>
      <c r="D497" s="4">
        <v>847</v>
      </c>
      <c r="E497" s="79">
        <v>8471260</v>
      </c>
      <c r="F497" s="32" t="s">
        <v>178</v>
      </c>
      <c r="G497" s="4">
        <v>1</v>
      </c>
      <c r="H497" s="95">
        <v>427810</v>
      </c>
      <c r="I497" s="106" t="str">
        <f>IFERROR(VLOOKUP(Table1[[#This Row],[Account Code]],'Accoount Code Combination'!$D:$H,2,FALSE),"")</f>
        <v>Telephone and telefax charges</v>
      </c>
      <c r="J497" s="79">
        <v>8471260</v>
      </c>
      <c r="K497" s="4"/>
      <c r="L497" s="4" t="str">
        <f>IFERROR(VLOOKUP(Table1[[#This Row],[Future-1 Description]],'Other '!E485:$F494,2,FALSE),"")</f>
        <v/>
      </c>
      <c r="M497" s="32"/>
      <c r="N497" s="32"/>
      <c r="O497" s="32"/>
      <c r="P497" s="49">
        <v>87520.27</v>
      </c>
      <c r="Q497" s="49">
        <v>0</v>
      </c>
      <c r="R497" s="32"/>
      <c r="S497" s="4"/>
      <c r="T497" s="32"/>
      <c r="U497" s="32"/>
      <c r="V497" s="32"/>
      <c r="W497" s="32"/>
      <c r="X497" s="33"/>
      <c r="Y497" s="33"/>
      <c r="Z497" s="31">
        <f>Table1[[#This Row],[Quantity of measruing units]]*Table1[[#This Row],[Rate (expected)]]</f>
        <v>0</v>
      </c>
      <c r="AA497" s="31"/>
      <c r="AB497" s="31"/>
      <c r="AC497" s="34">
        <f>Table1[[#This Row],[Quantity (expected)]]*Table1[[#This Row],[Rate (expected)2]]*0.9</f>
        <v>0</v>
      </c>
      <c r="AD497" s="34">
        <f>Table1[[#This Row],[Quantity (expected)]]*Table1[[#This Row],[Rate (expected)2]]*0.8</f>
        <v>0</v>
      </c>
      <c r="AE497" s="34">
        <f>Table1[[#This Row],[Quantity (expected)]]*Table1[[#This Row],[Rate (expected)2]]*0.7</f>
        <v>0</v>
      </c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1">
        <f>SUM(Table1[[#This Row],[Jan-23]:[Dec-23]])</f>
        <v>0</v>
      </c>
      <c r="AV497" s="105"/>
      <c r="AW497" s="32"/>
      <c r="AX497" s="35"/>
    </row>
    <row r="498" spans="1:50" x14ac:dyDescent="0.3">
      <c r="A498" s="30" t="str">
        <f>VLOOKUP(H498,'Accoount Code Combination'!$D:$L,8,FALSE)</f>
        <v>IT</v>
      </c>
      <c r="B498" s="31" t="str">
        <f>VLOOKUP(Table1[[#This Row],[Account Code]],'Accoount Code Combination'!$D:$L,9,FALSE)</f>
        <v>No Applicable</v>
      </c>
      <c r="C498" s="4" t="str">
        <f>VLOOKUP(Table1[[#This Row],[Cost Center Code]],'Cost Center Group'!A:B,2,FALSE)</f>
        <v>Academic and Student Services Office</v>
      </c>
      <c r="D498" s="4">
        <v>847</v>
      </c>
      <c r="E498" s="79">
        <v>8471260</v>
      </c>
      <c r="F498" s="32" t="s">
        <v>178</v>
      </c>
      <c r="G498" s="4">
        <v>1</v>
      </c>
      <c r="H498" s="95">
        <v>427850</v>
      </c>
      <c r="I498" s="106" t="str">
        <f>IFERROR(VLOOKUP(Table1[[#This Row],[Account Code]],'Accoount Code Combination'!$D:$H,2,FALSE),"")</f>
        <v>Data Transmission charges</v>
      </c>
      <c r="J498" s="79">
        <v>8471260</v>
      </c>
      <c r="K498" s="4"/>
      <c r="L498" s="4" t="str">
        <f>IFERROR(VLOOKUP(Table1[[#This Row],[Future-1 Description]],'Other '!E486:$F495,2,FALSE),"")</f>
        <v/>
      </c>
      <c r="M498" s="32"/>
      <c r="N498" s="32"/>
      <c r="O498" s="32"/>
      <c r="P498" s="49">
        <v>522604.02</v>
      </c>
      <c r="Q498" s="49">
        <v>0</v>
      </c>
      <c r="R498" s="32"/>
      <c r="S498" s="4"/>
      <c r="T498" s="32"/>
      <c r="U498" s="32"/>
      <c r="V498" s="32"/>
      <c r="W498" s="32"/>
      <c r="X498" s="33"/>
      <c r="Y498" s="33"/>
      <c r="Z498" s="31">
        <f>Table1[[#This Row],[Quantity of measruing units]]*Table1[[#This Row],[Rate (expected)]]</f>
        <v>0</v>
      </c>
      <c r="AA498" s="31"/>
      <c r="AB498" s="31"/>
      <c r="AC498" s="34">
        <f>Table1[[#This Row],[Quantity (expected)]]*Table1[[#This Row],[Rate (expected)2]]*0.9</f>
        <v>0</v>
      </c>
      <c r="AD498" s="34">
        <f>Table1[[#This Row],[Quantity (expected)]]*Table1[[#This Row],[Rate (expected)2]]*0.8</f>
        <v>0</v>
      </c>
      <c r="AE498" s="34">
        <f>Table1[[#This Row],[Quantity (expected)]]*Table1[[#This Row],[Rate (expected)2]]*0.7</f>
        <v>0</v>
      </c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1">
        <f>SUM(Table1[[#This Row],[Jan-23]:[Dec-23]])</f>
        <v>0</v>
      </c>
      <c r="AV498" s="105"/>
      <c r="AW498" s="32"/>
      <c r="AX498" s="35"/>
    </row>
    <row r="499" spans="1:50" x14ac:dyDescent="0.3">
      <c r="A499" s="30" t="str">
        <f>VLOOKUP(H499,'Accoount Code Combination'!$D:$L,8,FALSE)</f>
        <v xml:space="preserve">Academic </v>
      </c>
      <c r="B499" s="31" t="str">
        <f>VLOOKUP(Table1[[#This Row],[Account Code]],'Accoount Code Combination'!$D:$L,9,FALSE)</f>
        <v>No Applicable</v>
      </c>
      <c r="C499" s="4" t="str">
        <f>VLOOKUP(Table1[[#This Row],[Cost Center Code]],'Cost Center Group'!A:B,2,FALSE)</f>
        <v>Academic and Student Services Office</v>
      </c>
      <c r="D499" s="4">
        <v>847</v>
      </c>
      <c r="E499" s="79">
        <v>8471260</v>
      </c>
      <c r="F499" s="32" t="s">
        <v>178</v>
      </c>
      <c r="G499" s="4">
        <v>1</v>
      </c>
      <c r="H499" s="95">
        <v>428090</v>
      </c>
      <c r="I499" s="106" t="str">
        <f>IFERROR(VLOOKUP(Table1[[#This Row],[Account Code]],'Accoount Code Combination'!$D:$H,2,FALSE),"")</f>
        <v>Business Travel - Combined expenses</v>
      </c>
      <c r="J499" s="79">
        <v>8471260</v>
      </c>
      <c r="K499" s="4"/>
      <c r="L499" s="4" t="str">
        <f>IFERROR(VLOOKUP(Table1[[#This Row],[Future-1 Description]],'Other '!E487:$F496,2,FALSE),"")</f>
        <v/>
      </c>
      <c r="M499" s="32"/>
      <c r="N499" s="32"/>
      <c r="O499" s="32"/>
      <c r="P499" s="49">
        <v>0</v>
      </c>
      <c r="Q499" s="49">
        <v>0</v>
      </c>
      <c r="R499" s="32"/>
      <c r="S499" s="4"/>
      <c r="T499" s="32"/>
      <c r="U499" s="32"/>
      <c r="V499" s="32"/>
      <c r="W499" s="32"/>
      <c r="X499" s="33"/>
      <c r="Y499" s="33"/>
      <c r="Z499" s="31">
        <f>Table1[[#This Row],[Quantity of measruing units]]*Table1[[#This Row],[Rate (expected)]]</f>
        <v>0</v>
      </c>
      <c r="AA499" s="31"/>
      <c r="AB499" s="31"/>
      <c r="AC499" s="34">
        <f>Table1[[#This Row],[Quantity (expected)]]*Table1[[#This Row],[Rate (expected)2]]*0.9</f>
        <v>0</v>
      </c>
      <c r="AD499" s="34">
        <f>Table1[[#This Row],[Quantity (expected)]]*Table1[[#This Row],[Rate (expected)2]]*0.8</f>
        <v>0</v>
      </c>
      <c r="AE499" s="34">
        <f>Table1[[#This Row],[Quantity (expected)]]*Table1[[#This Row],[Rate (expected)2]]*0.7</f>
        <v>0</v>
      </c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1">
        <f>SUM(Table1[[#This Row],[Jan-23]:[Dec-23]])</f>
        <v>0</v>
      </c>
      <c r="AV499" s="105"/>
      <c r="AW499" s="32"/>
      <c r="AX499" s="35"/>
    </row>
    <row r="500" spans="1:50" x14ac:dyDescent="0.3">
      <c r="A500" s="30" t="str">
        <f>VLOOKUP(H500,'Accoount Code Combination'!$D:$L,8,FALSE)</f>
        <v xml:space="preserve">Facilities </v>
      </c>
      <c r="B500" s="31" t="str">
        <f>VLOOKUP(Table1[[#This Row],[Account Code]],'Accoount Code Combination'!$D:$L,9,FALSE)</f>
        <v>No Applicable</v>
      </c>
      <c r="C500" s="4" t="str">
        <f>VLOOKUP(Table1[[#This Row],[Cost Center Code]],'Cost Center Group'!A:B,2,FALSE)</f>
        <v>Academic and Student Services Office</v>
      </c>
      <c r="D500" s="4">
        <v>847</v>
      </c>
      <c r="E500" s="79">
        <v>8471260</v>
      </c>
      <c r="F500" s="32" t="s">
        <v>178</v>
      </c>
      <c r="G500" s="4">
        <v>1</v>
      </c>
      <c r="H500" s="95">
        <v>428111</v>
      </c>
      <c r="I500" s="106" t="str">
        <f>IFERROR(VLOOKUP(Table1[[#This Row],[Account Code]],'Accoount Code Combination'!$D:$H,2,FALSE),"")</f>
        <v>Electricity consumption charges</v>
      </c>
      <c r="J500" s="79">
        <v>8471260</v>
      </c>
      <c r="K500" s="4"/>
      <c r="L500" s="4" t="str">
        <f>IFERROR(VLOOKUP(Table1[[#This Row],[Future-1 Description]],'Other '!E488:$F497,2,FALSE),"")</f>
        <v/>
      </c>
      <c r="M500" s="32"/>
      <c r="N500" s="32"/>
      <c r="O500" s="32"/>
      <c r="P500" s="49">
        <v>6823014.7400000002</v>
      </c>
      <c r="Q500" s="49">
        <v>582032</v>
      </c>
      <c r="R500" s="32"/>
      <c r="S500" s="4"/>
      <c r="T500" s="32"/>
      <c r="U500" s="32"/>
      <c r="V500" s="32"/>
      <c r="W500" s="32"/>
      <c r="X500" s="33"/>
      <c r="Y500" s="33"/>
      <c r="Z500" s="31">
        <f>Table1[[#This Row],[Quantity of measruing units]]*Table1[[#This Row],[Rate (expected)]]</f>
        <v>0</v>
      </c>
      <c r="AA500" s="31"/>
      <c r="AB500" s="31"/>
      <c r="AC500" s="34">
        <f>Table1[[#This Row],[Quantity (expected)]]*Table1[[#This Row],[Rate (expected)2]]*0.9</f>
        <v>0</v>
      </c>
      <c r="AD500" s="34">
        <f>Table1[[#This Row],[Quantity (expected)]]*Table1[[#This Row],[Rate (expected)2]]*0.8</f>
        <v>0</v>
      </c>
      <c r="AE500" s="34">
        <f>Table1[[#This Row],[Quantity (expected)]]*Table1[[#This Row],[Rate (expected)2]]*0.7</f>
        <v>0</v>
      </c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1">
        <f>SUM(Table1[[#This Row],[Jan-23]:[Dec-23]])</f>
        <v>0</v>
      </c>
      <c r="AV500" s="105"/>
      <c r="AW500" s="32"/>
      <c r="AX500" s="35"/>
    </row>
    <row r="501" spans="1:50" x14ac:dyDescent="0.3">
      <c r="A501" s="30" t="str">
        <f>VLOOKUP(H501,'Accoount Code Combination'!$D:$L,8,FALSE)</f>
        <v xml:space="preserve">Facilities </v>
      </c>
      <c r="B501" s="31" t="str">
        <f>VLOOKUP(Table1[[#This Row],[Account Code]],'Accoount Code Combination'!$D:$L,9,FALSE)</f>
        <v>No Applicable</v>
      </c>
      <c r="C501" s="4" t="str">
        <f>VLOOKUP(Table1[[#This Row],[Cost Center Code]],'Cost Center Group'!A:B,2,FALSE)</f>
        <v>Academic and Student Services Office</v>
      </c>
      <c r="D501" s="4">
        <v>847</v>
      </c>
      <c r="E501" s="79">
        <v>8471260</v>
      </c>
      <c r="F501" s="32" t="s">
        <v>178</v>
      </c>
      <c r="G501" s="4">
        <v>1</v>
      </c>
      <c r="H501" s="95">
        <v>428112</v>
      </c>
      <c r="I501" s="106" t="str">
        <f>IFERROR(VLOOKUP(Table1[[#This Row],[Account Code]],'Accoount Code Combination'!$D:$H,2,FALSE),"")</f>
        <v>Water consumption charges</v>
      </c>
      <c r="J501" s="79">
        <v>8471260</v>
      </c>
      <c r="K501" s="4"/>
      <c r="L501" s="4" t="str">
        <f>IFERROR(VLOOKUP(Table1[[#This Row],[Future-1 Description]],'Other '!E489:$F498,2,FALSE),"")</f>
        <v/>
      </c>
      <c r="M501" s="32"/>
      <c r="N501" s="32"/>
      <c r="O501" s="32"/>
      <c r="P501" s="49">
        <v>1875749.06</v>
      </c>
      <c r="Q501" s="49">
        <v>166805</v>
      </c>
      <c r="R501" s="32"/>
      <c r="S501" s="4"/>
      <c r="T501" s="32"/>
      <c r="U501" s="32"/>
      <c r="V501" s="32"/>
      <c r="W501" s="32"/>
      <c r="X501" s="33"/>
      <c r="Y501" s="33"/>
      <c r="Z501" s="31">
        <f>Table1[[#This Row],[Quantity of measruing units]]*Table1[[#This Row],[Rate (expected)]]</f>
        <v>0</v>
      </c>
      <c r="AA501" s="31"/>
      <c r="AB501" s="31"/>
      <c r="AC501" s="34">
        <f>Table1[[#This Row],[Quantity (expected)]]*Table1[[#This Row],[Rate (expected)2]]*0.9</f>
        <v>0</v>
      </c>
      <c r="AD501" s="34">
        <f>Table1[[#This Row],[Quantity (expected)]]*Table1[[#This Row],[Rate (expected)2]]*0.8</f>
        <v>0</v>
      </c>
      <c r="AE501" s="34">
        <f>Table1[[#This Row],[Quantity (expected)]]*Table1[[#This Row],[Rate (expected)2]]*0.7</f>
        <v>0</v>
      </c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1">
        <f>SUM(Table1[[#This Row],[Jan-23]:[Dec-23]])</f>
        <v>0</v>
      </c>
      <c r="AV501" s="105"/>
      <c r="AW501" s="32"/>
      <c r="AX501" s="35"/>
    </row>
    <row r="502" spans="1:50" x14ac:dyDescent="0.3">
      <c r="A502" s="30" t="str">
        <f>VLOOKUP(H502,'Accoount Code Combination'!$D:$L,8,FALSE)</f>
        <v>Communiction &amp; Marketing</v>
      </c>
      <c r="B502" s="31" t="str">
        <f>VLOOKUP(Table1[[#This Row],[Account Code]],'Accoount Code Combination'!$D:$L,9,FALSE)</f>
        <v>Gifts</v>
      </c>
      <c r="C502" s="4" t="str">
        <f>VLOOKUP(Table1[[#This Row],[Cost Center Code]],'Cost Center Group'!A:B,2,FALSE)</f>
        <v>Academic and Student Services Office</v>
      </c>
      <c r="D502" s="4">
        <v>847</v>
      </c>
      <c r="E502" s="79">
        <v>8471260</v>
      </c>
      <c r="F502" s="32" t="s">
        <v>178</v>
      </c>
      <c r="G502" s="4">
        <v>1</v>
      </c>
      <c r="H502" s="95">
        <v>428640</v>
      </c>
      <c r="I502" s="106" t="str">
        <f>IFERROR(VLOOKUP(Table1[[#This Row],[Account Code]],'Accoount Code Combination'!$D:$H,2,FALSE),"")</f>
        <v>Events - Awards, prizes &amp; gifts</v>
      </c>
      <c r="J502" s="79">
        <v>8471260</v>
      </c>
      <c r="K502" s="4"/>
      <c r="L502" s="4" t="str">
        <f>IFERROR(VLOOKUP(Table1[[#This Row],[Future-1 Description]],'Other '!E490:$F499,2,FALSE),"")</f>
        <v/>
      </c>
      <c r="M502" s="32"/>
      <c r="N502" s="32"/>
      <c r="O502" s="32"/>
      <c r="P502" s="49">
        <v>0</v>
      </c>
      <c r="Q502" s="49">
        <v>32375</v>
      </c>
      <c r="R502" s="32"/>
      <c r="S502" s="4"/>
      <c r="T502" s="32"/>
      <c r="U502" s="32"/>
      <c r="V502" s="32"/>
      <c r="W502" s="32"/>
      <c r="X502" s="33"/>
      <c r="Y502" s="33"/>
      <c r="Z502" s="31">
        <f>Table1[[#This Row],[Quantity of measruing units]]*Table1[[#This Row],[Rate (expected)]]</f>
        <v>0</v>
      </c>
      <c r="AA502" s="31"/>
      <c r="AB502" s="31"/>
      <c r="AC502" s="34">
        <f>Table1[[#This Row],[Quantity (expected)]]*Table1[[#This Row],[Rate (expected)2]]*0.9</f>
        <v>0</v>
      </c>
      <c r="AD502" s="34">
        <f>Table1[[#This Row],[Quantity (expected)]]*Table1[[#This Row],[Rate (expected)2]]*0.8</f>
        <v>0</v>
      </c>
      <c r="AE502" s="34">
        <f>Table1[[#This Row],[Quantity (expected)]]*Table1[[#This Row],[Rate (expected)2]]*0.7</f>
        <v>0</v>
      </c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1">
        <f>SUM(Table1[[#This Row],[Jan-23]:[Dec-23]])</f>
        <v>0</v>
      </c>
      <c r="AV502" s="105"/>
      <c r="AW502" s="32"/>
      <c r="AX502" s="35"/>
    </row>
    <row r="503" spans="1:50" x14ac:dyDescent="0.3">
      <c r="A503" s="30" t="str">
        <f>VLOOKUP(H503,'Accoount Code Combination'!$D:$L,8,FALSE)</f>
        <v>IT</v>
      </c>
      <c r="B503" s="31" t="str">
        <f>VLOOKUP(Table1[[#This Row],[Account Code]],'Accoount Code Combination'!$D:$L,9,FALSE)</f>
        <v>Coper lease</v>
      </c>
      <c r="C503" s="4" t="str">
        <f>VLOOKUP(Table1[[#This Row],[Cost Center Code]],'Cost Center Group'!A:B,2,FALSE)</f>
        <v>Academic and Student Services Office</v>
      </c>
      <c r="D503" s="4">
        <v>847</v>
      </c>
      <c r="E503" s="79">
        <v>8471260</v>
      </c>
      <c r="F503" s="32" t="s">
        <v>178</v>
      </c>
      <c r="G503" s="4">
        <v>1</v>
      </c>
      <c r="H503" s="95">
        <v>430230</v>
      </c>
      <c r="I503" s="106" t="str">
        <f>IFERROR(VLOOKUP(Table1[[#This Row],[Account Code]],'Accoount Code Combination'!$D:$H,2,FALSE),"")</f>
        <v>Rental - Equipment</v>
      </c>
      <c r="J503" s="79">
        <v>8471260</v>
      </c>
      <c r="K503" s="4"/>
      <c r="L503" s="4" t="str">
        <f>IFERROR(VLOOKUP(Table1[[#This Row],[Future-1 Description]],'Other '!E491:$F500,2,FALSE),"")</f>
        <v/>
      </c>
      <c r="M503" s="32"/>
      <c r="N503" s="32"/>
      <c r="O503" s="32"/>
      <c r="P503" s="49">
        <v>0</v>
      </c>
      <c r="Q503" s="49">
        <v>5500</v>
      </c>
      <c r="R503" s="32"/>
      <c r="S503" s="4"/>
      <c r="T503" s="32"/>
      <c r="U503" s="32"/>
      <c r="V503" s="32"/>
      <c r="W503" s="32"/>
      <c r="X503" s="33"/>
      <c r="Y503" s="33"/>
      <c r="Z503" s="31">
        <f>Table1[[#This Row],[Quantity of measruing units]]*Table1[[#This Row],[Rate (expected)]]</f>
        <v>0</v>
      </c>
      <c r="AA503" s="31"/>
      <c r="AB503" s="31"/>
      <c r="AC503" s="34">
        <f>Table1[[#This Row],[Quantity (expected)]]*Table1[[#This Row],[Rate (expected)2]]*0.9</f>
        <v>0</v>
      </c>
      <c r="AD503" s="34">
        <f>Table1[[#This Row],[Quantity (expected)]]*Table1[[#This Row],[Rate (expected)2]]*0.8</f>
        <v>0</v>
      </c>
      <c r="AE503" s="34">
        <f>Table1[[#This Row],[Quantity (expected)]]*Table1[[#This Row],[Rate (expected)2]]*0.7</f>
        <v>0</v>
      </c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1">
        <f>SUM(Table1[[#This Row],[Jan-23]:[Dec-23]])</f>
        <v>0</v>
      </c>
      <c r="AV503" s="105"/>
      <c r="AW503" s="32"/>
      <c r="AX503" s="35"/>
    </row>
    <row r="504" spans="1:50" x14ac:dyDescent="0.3">
      <c r="A504" s="30" t="str">
        <f>VLOOKUP(H504,'Accoount Code Combination'!$D:$L,8,FALSE)</f>
        <v xml:space="preserve">Facilities </v>
      </c>
      <c r="B504" s="31" t="str">
        <f>VLOOKUP(Table1[[#This Row],[Account Code]],'Accoount Code Combination'!$D:$L,9,FALSE)</f>
        <v>No Applicable</v>
      </c>
      <c r="C504" s="4" t="str">
        <f>VLOOKUP(Table1[[#This Row],[Cost Center Code]],'Cost Center Group'!A:B,2,FALSE)</f>
        <v>Academic and Student Services Office</v>
      </c>
      <c r="D504" s="4">
        <v>847</v>
      </c>
      <c r="E504" s="79">
        <v>8471260</v>
      </c>
      <c r="F504" s="32" t="s">
        <v>178</v>
      </c>
      <c r="G504" s="4">
        <v>1</v>
      </c>
      <c r="H504" s="95">
        <v>432120</v>
      </c>
      <c r="I504" s="106" t="str">
        <f>IFERROR(VLOOKUP(Table1[[#This Row],[Account Code]],'Accoount Code Combination'!$D:$H,2,FALSE),"")</f>
        <v>Bldg maintenance-Business premises</v>
      </c>
      <c r="J504" s="79">
        <v>8471260</v>
      </c>
      <c r="K504" s="4"/>
      <c r="L504" s="4" t="str">
        <f>IFERROR(VLOOKUP(Table1[[#This Row],[Future-1 Description]],'Other '!E492:$F501,2,FALSE),"")</f>
        <v/>
      </c>
      <c r="M504" s="32"/>
      <c r="N504" s="32"/>
      <c r="O504" s="32"/>
      <c r="P504" s="49">
        <v>8001536.4400000004</v>
      </c>
      <c r="Q504" s="49">
        <v>141725</v>
      </c>
      <c r="R504" s="32"/>
      <c r="S504" s="4"/>
      <c r="T504" s="32"/>
      <c r="U504" s="32"/>
      <c r="V504" s="32"/>
      <c r="W504" s="32"/>
      <c r="X504" s="33"/>
      <c r="Y504" s="33"/>
      <c r="Z504" s="31">
        <f>Table1[[#This Row],[Quantity of measruing units]]*Table1[[#This Row],[Rate (expected)]]</f>
        <v>0</v>
      </c>
      <c r="AA504" s="31"/>
      <c r="AB504" s="31"/>
      <c r="AC504" s="34">
        <f>Table1[[#This Row],[Quantity (expected)]]*Table1[[#This Row],[Rate (expected)2]]*0.9</f>
        <v>0</v>
      </c>
      <c r="AD504" s="34">
        <f>Table1[[#This Row],[Quantity (expected)]]*Table1[[#This Row],[Rate (expected)2]]*0.8</f>
        <v>0</v>
      </c>
      <c r="AE504" s="34">
        <f>Table1[[#This Row],[Quantity (expected)]]*Table1[[#This Row],[Rate (expected)2]]*0.7</f>
        <v>0</v>
      </c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1">
        <f>SUM(Table1[[#This Row],[Jan-23]:[Dec-23]])</f>
        <v>0</v>
      </c>
      <c r="AV504" s="105"/>
      <c r="AW504" s="32"/>
      <c r="AX504" s="35"/>
    </row>
    <row r="505" spans="1:50" x14ac:dyDescent="0.3">
      <c r="A505" s="30" t="str">
        <f>VLOOKUP(H505,'Accoount Code Combination'!$D:$L,8,FALSE)</f>
        <v>Academic</v>
      </c>
      <c r="B505" s="31" t="str">
        <f>VLOOKUP(Table1[[#This Row],[Account Code]],'Accoount Code Combination'!$D:$L,9,FALSE)</f>
        <v>No Applicable</v>
      </c>
      <c r="C505" s="4" t="str">
        <f>VLOOKUP(Table1[[#This Row],[Cost Center Code]],'Cost Center Group'!A:B,2,FALSE)</f>
        <v>Academic and Student Services Office</v>
      </c>
      <c r="D505" s="4">
        <v>847</v>
      </c>
      <c r="E505" s="79">
        <v>8471260</v>
      </c>
      <c r="F505" s="32" t="s">
        <v>178</v>
      </c>
      <c r="G505" s="4">
        <v>1</v>
      </c>
      <c r="H505" s="95">
        <v>432209</v>
      </c>
      <c r="I505" s="106" t="str">
        <f>IFERROR(VLOOKUP(Table1[[#This Row],[Account Code]],'Accoount Code Combination'!$D:$H,2,FALSE),"")</f>
        <v>Laboratory equipment</v>
      </c>
      <c r="J505" s="79">
        <v>8471260</v>
      </c>
      <c r="K505" s="4"/>
      <c r="L505" s="4" t="str">
        <f>IFERROR(VLOOKUP(Table1[[#This Row],[Future-1 Description]],'Other '!E493:$F502,2,FALSE),"")</f>
        <v/>
      </c>
      <c r="M505" s="32"/>
      <c r="N505" s="32"/>
      <c r="O505" s="32"/>
      <c r="P505" s="49">
        <v>0</v>
      </c>
      <c r="Q505" s="49">
        <v>0</v>
      </c>
      <c r="R505" s="32"/>
      <c r="S505" s="4"/>
      <c r="T505" s="32"/>
      <c r="U505" s="32"/>
      <c r="V505" s="32"/>
      <c r="W505" s="32"/>
      <c r="X505" s="33"/>
      <c r="Y505" s="33"/>
      <c r="Z505" s="31">
        <f>Table1[[#This Row],[Quantity of measruing units]]*Table1[[#This Row],[Rate (expected)]]</f>
        <v>0</v>
      </c>
      <c r="AA505" s="31"/>
      <c r="AB505" s="31"/>
      <c r="AC505" s="34">
        <f>Table1[[#This Row],[Quantity (expected)]]*Table1[[#This Row],[Rate (expected)2]]*0.9</f>
        <v>0</v>
      </c>
      <c r="AD505" s="34">
        <f>Table1[[#This Row],[Quantity (expected)]]*Table1[[#This Row],[Rate (expected)2]]*0.8</f>
        <v>0</v>
      </c>
      <c r="AE505" s="34">
        <f>Table1[[#This Row],[Quantity (expected)]]*Table1[[#This Row],[Rate (expected)2]]*0.7</f>
        <v>0</v>
      </c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1">
        <f>SUM(Table1[[#This Row],[Jan-23]:[Dec-23]])</f>
        <v>0</v>
      </c>
      <c r="AV505" s="105"/>
      <c r="AW505" s="32"/>
      <c r="AX505" s="35"/>
    </row>
    <row r="506" spans="1:50" x14ac:dyDescent="0.3">
      <c r="A506" s="30" t="str">
        <f>VLOOKUP(H506,'Accoount Code Combination'!$D:$L,8,FALSE)</f>
        <v>Other support</v>
      </c>
      <c r="B506" s="31" t="str">
        <f>VLOOKUP(Table1[[#This Row],[Account Code]],'Accoount Code Combination'!$D:$L,9,FALSE)</f>
        <v>No Applicable</v>
      </c>
      <c r="C506" s="4" t="str">
        <f>VLOOKUP(Table1[[#This Row],[Cost Center Code]],'Cost Center Group'!A:B,2,FALSE)</f>
        <v>Academic and Student Services Office</v>
      </c>
      <c r="D506" s="4">
        <v>847</v>
      </c>
      <c r="E506" s="79">
        <v>8471260</v>
      </c>
      <c r="F506" s="32" t="s">
        <v>178</v>
      </c>
      <c r="G506" s="4">
        <v>1</v>
      </c>
      <c r="H506" s="95">
        <v>435410</v>
      </c>
      <c r="I506" s="106" t="str">
        <f>IFERROR(VLOOKUP(Table1[[#This Row],[Account Code]],'Accoount Code Combination'!$D:$H,2,FALSE),"")</f>
        <v>Catering supplies: Offices</v>
      </c>
      <c r="J506" s="79">
        <v>8471260</v>
      </c>
      <c r="K506" s="4"/>
      <c r="L506" s="4" t="str">
        <f>IFERROR(VLOOKUP(Table1[[#This Row],[Future-1 Description]],'Other '!E494:$F503,2,FALSE),"")</f>
        <v/>
      </c>
      <c r="M506" s="32"/>
      <c r="N506" s="32"/>
      <c r="O506" s="32"/>
      <c r="P506" s="49">
        <v>0</v>
      </c>
      <c r="Q506" s="49">
        <v>0</v>
      </c>
      <c r="R506" s="32"/>
      <c r="S506" s="4"/>
      <c r="T506" s="32"/>
      <c r="U506" s="32"/>
      <c r="V506" s="32"/>
      <c r="W506" s="32"/>
      <c r="X506" s="33"/>
      <c r="Y506" s="33"/>
      <c r="Z506" s="31">
        <f>Table1[[#This Row],[Quantity of measruing units]]*Table1[[#This Row],[Rate (expected)]]</f>
        <v>0</v>
      </c>
      <c r="AA506" s="31"/>
      <c r="AB506" s="31"/>
      <c r="AC506" s="34">
        <f>Table1[[#This Row],[Quantity (expected)]]*Table1[[#This Row],[Rate (expected)2]]*0.9</f>
        <v>0</v>
      </c>
      <c r="AD506" s="34">
        <f>Table1[[#This Row],[Quantity (expected)]]*Table1[[#This Row],[Rate (expected)2]]*0.8</f>
        <v>0</v>
      </c>
      <c r="AE506" s="34">
        <f>Table1[[#This Row],[Quantity (expected)]]*Table1[[#This Row],[Rate (expected)2]]*0.7</f>
        <v>0</v>
      </c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1">
        <f>SUM(Table1[[#This Row],[Jan-23]:[Dec-23]])</f>
        <v>0</v>
      </c>
      <c r="AV506" s="105"/>
      <c r="AW506" s="32"/>
      <c r="AX506" s="35"/>
    </row>
    <row r="507" spans="1:50" ht="26" x14ac:dyDescent="0.3">
      <c r="A507" s="30" t="str">
        <f>VLOOKUP(H507,'Accoount Code Combination'!$D:$L,8,FALSE)</f>
        <v>Academic</v>
      </c>
      <c r="B507" s="31" t="str">
        <f>VLOOKUP(Table1[[#This Row],[Account Code]],'Accoount Code Combination'!$D:$L,9,FALSE)</f>
        <v>No Applicable</v>
      </c>
      <c r="C507" s="4" t="str">
        <f>VLOOKUP(Table1[[#This Row],[Cost Center Code]],'Cost Center Group'!A:B,2,FALSE)</f>
        <v>Academic and Student Services Office</v>
      </c>
      <c r="D507" s="4">
        <v>847</v>
      </c>
      <c r="E507" s="79">
        <v>8471260</v>
      </c>
      <c r="F507" s="32" t="s">
        <v>178</v>
      </c>
      <c r="G507" s="4">
        <v>1</v>
      </c>
      <c r="H507" s="95">
        <v>435530</v>
      </c>
      <c r="I507" s="106" t="str">
        <f>IFERROR(VLOOKUP(Table1[[#This Row],[Account Code]],'Accoount Code Combination'!$D:$H,2,FALSE),"")</f>
        <v>School consumables, not specifically mentioned elsewhere</v>
      </c>
      <c r="J507" s="79">
        <v>8471260</v>
      </c>
      <c r="K507" s="4"/>
      <c r="L507" s="4" t="str">
        <f>IFERROR(VLOOKUP(Table1[[#This Row],[Future-1 Description]],'Other '!E495:$F504,2,FALSE),"")</f>
        <v/>
      </c>
      <c r="M507" s="32"/>
      <c r="N507" s="32"/>
      <c r="O507" s="32"/>
      <c r="P507" s="49">
        <v>0</v>
      </c>
      <c r="Q507" s="49">
        <v>0</v>
      </c>
      <c r="R507" s="32"/>
      <c r="S507" s="4"/>
      <c r="T507" s="32"/>
      <c r="U507" s="32"/>
      <c r="V507" s="32"/>
      <c r="W507" s="32"/>
      <c r="X507" s="33"/>
      <c r="Y507" s="33"/>
      <c r="Z507" s="31">
        <f>Table1[[#This Row],[Quantity of measruing units]]*Table1[[#This Row],[Rate (expected)]]</f>
        <v>0</v>
      </c>
      <c r="AA507" s="31"/>
      <c r="AB507" s="31"/>
      <c r="AC507" s="34">
        <f>Table1[[#This Row],[Quantity (expected)]]*Table1[[#This Row],[Rate (expected)2]]*0.9</f>
        <v>0</v>
      </c>
      <c r="AD507" s="34">
        <f>Table1[[#This Row],[Quantity (expected)]]*Table1[[#This Row],[Rate (expected)2]]*0.8</f>
        <v>0</v>
      </c>
      <c r="AE507" s="34">
        <f>Table1[[#This Row],[Quantity (expected)]]*Table1[[#This Row],[Rate (expected)2]]*0.7</f>
        <v>0</v>
      </c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1">
        <f>SUM(Table1[[#This Row],[Jan-23]:[Dec-23]])</f>
        <v>0</v>
      </c>
      <c r="AV507" s="105"/>
      <c r="AW507" s="32"/>
      <c r="AX507" s="35"/>
    </row>
    <row r="508" spans="1:50" x14ac:dyDescent="0.3">
      <c r="A508" s="30" t="str">
        <f>VLOOKUP(H508,'Accoount Code Combination'!$D:$L,8,FALSE)</f>
        <v>Other support</v>
      </c>
      <c r="B508" s="31" t="str">
        <f>VLOOKUP(Table1[[#This Row],[Account Code]],'Accoount Code Combination'!$D:$L,9,FALSE)</f>
        <v>No Applicable</v>
      </c>
      <c r="C508" s="4" t="str">
        <f>VLOOKUP(Table1[[#This Row],[Cost Center Code]],'Cost Center Group'!A:B,2,FALSE)</f>
        <v>Academic and Student Services Office</v>
      </c>
      <c r="D508" s="4">
        <v>847</v>
      </c>
      <c r="E508" s="79">
        <v>8471260</v>
      </c>
      <c r="F508" s="32" t="s">
        <v>178</v>
      </c>
      <c r="G508" s="4">
        <v>1</v>
      </c>
      <c r="H508" s="95">
        <v>436110</v>
      </c>
      <c r="I508" s="106" t="str">
        <f>IFERROR(VLOOKUP(Table1[[#This Row],[Account Code]],'Accoount Code Combination'!$D:$H,2,FALSE),"")</f>
        <v>Printing supplies</v>
      </c>
      <c r="J508" s="79">
        <v>8471260</v>
      </c>
      <c r="K508" s="4"/>
      <c r="L508" s="4" t="str">
        <f>IFERROR(VLOOKUP(Table1[[#This Row],[Future-1 Description]],'Other '!E496:$F505,2,FALSE),"")</f>
        <v/>
      </c>
      <c r="M508" s="32"/>
      <c r="N508" s="32"/>
      <c r="O508" s="32"/>
      <c r="P508" s="49">
        <v>0</v>
      </c>
      <c r="Q508" s="49">
        <v>0</v>
      </c>
      <c r="R508" s="32"/>
      <c r="S508" s="4"/>
      <c r="T508" s="32"/>
      <c r="U508" s="32"/>
      <c r="V508" s="32"/>
      <c r="W508" s="32"/>
      <c r="X508" s="33"/>
      <c r="Y508" s="33"/>
      <c r="Z508" s="31">
        <f>Table1[[#This Row],[Quantity of measruing units]]*Table1[[#This Row],[Rate (expected)]]</f>
        <v>0</v>
      </c>
      <c r="AA508" s="31"/>
      <c r="AB508" s="31"/>
      <c r="AC508" s="34">
        <f>Table1[[#This Row],[Quantity (expected)]]*Table1[[#This Row],[Rate (expected)2]]*0.9</f>
        <v>0</v>
      </c>
      <c r="AD508" s="34">
        <f>Table1[[#This Row],[Quantity (expected)]]*Table1[[#This Row],[Rate (expected)2]]*0.8</f>
        <v>0</v>
      </c>
      <c r="AE508" s="34">
        <f>Table1[[#This Row],[Quantity (expected)]]*Table1[[#This Row],[Rate (expected)2]]*0.7</f>
        <v>0</v>
      </c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1">
        <f>SUM(Table1[[#This Row],[Jan-23]:[Dec-23]])</f>
        <v>0</v>
      </c>
      <c r="AV508" s="105"/>
      <c r="AW508" s="32"/>
      <c r="AX508" s="35"/>
    </row>
    <row r="509" spans="1:50" x14ac:dyDescent="0.3">
      <c r="A509" s="30" t="str">
        <f>VLOOKUP(H509,'Accoount Code Combination'!$D:$L,8,FALSE)</f>
        <v>Other support</v>
      </c>
      <c r="B509" s="31" t="str">
        <f>VLOOKUP(Table1[[#This Row],[Account Code]],'Accoount Code Combination'!$D:$L,9,FALSE)</f>
        <v>No Applicable</v>
      </c>
      <c r="C509" s="4" t="str">
        <f>VLOOKUP(Table1[[#This Row],[Cost Center Code]],'Cost Center Group'!A:B,2,FALSE)</f>
        <v>Academic and Student Services Office</v>
      </c>
      <c r="D509" s="4">
        <v>847</v>
      </c>
      <c r="E509" s="79">
        <v>8471260</v>
      </c>
      <c r="F509" s="32" t="s">
        <v>178</v>
      </c>
      <c r="G509" s="4">
        <v>1</v>
      </c>
      <c r="H509" s="95">
        <v>436120</v>
      </c>
      <c r="I509" s="106" t="str">
        <f>IFERROR(VLOOKUP(Table1[[#This Row],[Account Code]],'Accoount Code Combination'!$D:$H,2,FALSE),"")</f>
        <v>Stationery</v>
      </c>
      <c r="J509" s="79">
        <v>8471260</v>
      </c>
      <c r="K509" s="4"/>
      <c r="L509" s="4" t="str">
        <f>IFERROR(VLOOKUP(Table1[[#This Row],[Future-1 Description]],'Other '!E497:$F506,2,FALSE),"")</f>
        <v/>
      </c>
      <c r="M509" s="32"/>
      <c r="N509" s="32"/>
      <c r="O509" s="32"/>
      <c r="P509" s="49">
        <v>0</v>
      </c>
      <c r="Q509" s="49">
        <v>0</v>
      </c>
      <c r="R509" s="32"/>
      <c r="S509" s="4"/>
      <c r="T509" s="32"/>
      <c r="U509" s="32"/>
      <c r="V509" s="32"/>
      <c r="W509" s="32"/>
      <c r="X509" s="33"/>
      <c r="Y509" s="33"/>
      <c r="Z509" s="31">
        <f>Table1[[#This Row],[Quantity of measruing units]]*Table1[[#This Row],[Rate (expected)]]</f>
        <v>0</v>
      </c>
      <c r="AA509" s="31"/>
      <c r="AB509" s="31"/>
      <c r="AC509" s="34">
        <f>Table1[[#This Row],[Quantity (expected)]]*Table1[[#This Row],[Rate (expected)2]]*0.9</f>
        <v>0</v>
      </c>
      <c r="AD509" s="34">
        <f>Table1[[#This Row],[Quantity (expected)]]*Table1[[#This Row],[Rate (expected)2]]*0.8</f>
        <v>0</v>
      </c>
      <c r="AE509" s="34">
        <f>Table1[[#This Row],[Quantity (expected)]]*Table1[[#This Row],[Rate (expected)2]]*0.7</f>
        <v>0</v>
      </c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1">
        <f>SUM(Table1[[#This Row],[Jan-23]:[Dec-23]])</f>
        <v>0</v>
      </c>
      <c r="AV509" s="105"/>
      <c r="AW509" s="32"/>
      <c r="AX509" s="35"/>
    </row>
    <row r="510" spans="1:50" x14ac:dyDescent="0.3">
      <c r="A510" s="30">
        <f>VLOOKUP(H510,'Accoount Code Combination'!$D:$L,8,FALSE)</f>
        <v>0</v>
      </c>
      <c r="B510" s="31" t="str">
        <f>VLOOKUP(Table1[[#This Row],[Account Code]],'Accoount Code Combination'!$D:$L,9,FALSE)</f>
        <v>Building Improvements</v>
      </c>
      <c r="C510" s="4" t="str">
        <f>VLOOKUP(Table1[[#This Row],[Cost Center Code]],'Cost Center Group'!A:B,2,FALSE)</f>
        <v>Academic and Student Services Office</v>
      </c>
      <c r="D510" s="4">
        <v>847</v>
      </c>
      <c r="E510" s="79">
        <v>8471260</v>
      </c>
      <c r="F510" s="32" t="s">
        <v>178</v>
      </c>
      <c r="G510" s="4">
        <v>1</v>
      </c>
      <c r="H510" s="95">
        <v>492200</v>
      </c>
      <c r="I510" s="106" t="str">
        <f>IFERROR(VLOOKUP(Table1[[#This Row],[Account Code]],'Accoount Code Combination'!$D:$H,2,FALSE),"")</f>
        <v>Capital expense - Buildings</v>
      </c>
      <c r="J510" s="79">
        <v>8471260</v>
      </c>
      <c r="K510" s="4"/>
      <c r="L510" s="4" t="str">
        <f>IFERROR(VLOOKUP(Table1[[#This Row],[Future-1 Description]],'Other '!E498:$F507,2,FALSE),"")</f>
        <v/>
      </c>
      <c r="M510" s="32"/>
      <c r="N510" s="32"/>
      <c r="O510" s="32"/>
      <c r="P510" s="49">
        <v>995000</v>
      </c>
      <c r="Q510" s="49">
        <v>0</v>
      </c>
      <c r="R510" s="32"/>
      <c r="S510" s="4"/>
      <c r="T510" s="32"/>
      <c r="U510" s="32"/>
      <c r="V510" s="32"/>
      <c r="W510" s="32"/>
      <c r="X510" s="33"/>
      <c r="Y510" s="33"/>
      <c r="Z510" s="31">
        <f>Table1[[#This Row],[Quantity of measruing units]]*Table1[[#This Row],[Rate (expected)]]</f>
        <v>0</v>
      </c>
      <c r="AA510" s="31"/>
      <c r="AB510" s="31"/>
      <c r="AC510" s="34">
        <f>Table1[[#This Row],[Quantity (expected)]]*Table1[[#This Row],[Rate (expected)2]]*0.9</f>
        <v>0</v>
      </c>
      <c r="AD510" s="34">
        <f>Table1[[#This Row],[Quantity (expected)]]*Table1[[#This Row],[Rate (expected)2]]*0.8</f>
        <v>0</v>
      </c>
      <c r="AE510" s="34">
        <f>Table1[[#This Row],[Quantity (expected)]]*Table1[[#This Row],[Rate (expected)2]]*0.7</f>
        <v>0</v>
      </c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1">
        <f>SUM(Table1[[#This Row],[Jan-23]:[Dec-23]])</f>
        <v>0</v>
      </c>
      <c r="AV510" s="105"/>
      <c r="AW510" s="32"/>
      <c r="AX510" s="35"/>
    </row>
    <row r="511" spans="1:50" x14ac:dyDescent="0.3">
      <c r="A511" s="30">
        <f>VLOOKUP(H511,'Accoount Code Combination'!$D:$L,8,FALSE)</f>
        <v>0</v>
      </c>
      <c r="B511" s="31" t="str">
        <f>VLOOKUP(Table1[[#This Row],[Account Code]],'Accoount Code Combination'!$D:$L,9,FALSE)</f>
        <v>Furniture and Fixtures</v>
      </c>
      <c r="C511" s="4" t="str">
        <f>VLOOKUP(Table1[[#This Row],[Cost Center Code]],'Cost Center Group'!A:B,2,FALSE)</f>
        <v>Academic and Student Services Office</v>
      </c>
      <c r="D511" s="4">
        <v>847</v>
      </c>
      <c r="E511" s="79">
        <v>8471260</v>
      </c>
      <c r="F511" s="32" t="s">
        <v>178</v>
      </c>
      <c r="G511" s="4">
        <v>1</v>
      </c>
      <c r="H511" s="95">
        <v>492610</v>
      </c>
      <c r="I511" s="106" t="str">
        <f>IFERROR(VLOOKUP(Table1[[#This Row],[Account Code]],'Accoount Code Combination'!$D:$H,2,FALSE),"")</f>
        <v>Furniture &amp; Fixtures - Offices</v>
      </c>
      <c r="J511" s="79">
        <v>8471260</v>
      </c>
      <c r="K511" s="4"/>
      <c r="L511" s="4" t="str">
        <f>IFERROR(VLOOKUP(Table1[[#This Row],[Future-1 Description]],'Other '!E499:$F508,2,FALSE),"")</f>
        <v/>
      </c>
      <c r="M511" s="32"/>
      <c r="N511" s="32"/>
      <c r="O511" s="32"/>
      <c r="P511" s="49">
        <v>968930</v>
      </c>
      <c r="Q511" s="49">
        <v>0</v>
      </c>
      <c r="R511" s="32"/>
      <c r="S511" s="4"/>
      <c r="T511" s="32"/>
      <c r="U511" s="32"/>
      <c r="V511" s="32"/>
      <c r="W511" s="32"/>
      <c r="X511" s="33"/>
      <c r="Y511" s="33"/>
      <c r="Z511" s="31">
        <f>Table1[[#This Row],[Quantity of measruing units]]*Table1[[#This Row],[Rate (expected)]]</f>
        <v>0</v>
      </c>
      <c r="AA511" s="31"/>
      <c r="AB511" s="31"/>
      <c r="AC511" s="34">
        <f>Table1[[#This Row],[Quantity (expected)]]*Table1[[#This Row],[Rate (expected)2]]*0.9</f>
        <v>0</v>
      </c>
      <c r="AD511" s="34">
        <f>Table1[[#This Row],[Quantity (expected)]]*Table1[[#This Row],[Rate (expected)2]]*0.8</f>
        <v>0</v>
      </c>
      <c r="AE511" s="34">
        <f>Table1[[#This Row],[Quantity (expected)]]*Table1[[#This Row],[Rate (expected)2]]*0.7</f>
        <v>0</v>
      </c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1">
        <f>SUM(Table1[[#This Row],[Jan-23]:[Dec-23]])</f>
        <v>0</v>
      </c>
      <c r="AV511" s="105"/>
      <c r="AW511" s="32"/>
      <c r="AX511" s="35"/>
    </row>
    <row r="512" spans="1:50" ht="26" x14ac:dyDescent="0.3">
      <c r="A512" s="30" t="str">
        <f>VLOOKUP(H512,'Accoount Code Combination'!$D:$L,8,FALSE)</f>
        <v>Communiction &amp; Marketing</v>
      </c>
      <c r="B512" s="31" t="str">
        <f>VLOOKUP(Table1[[#This Row],[Account Code]],'Accoount Code Combination'!$D:$L,9,FALSE)</f>
        <v>Events</v>
      </c>
      <c r="C512" s="4" t="str">
        <f>VLOOKUP(Table1[[#This Row],[Cost Center Code]],'Cost Center Group'!A:B,2,FALSE)</f>
        <v>Academic and Student Services Office</v>
      </c>
      <c r="D512" s="4">
        <v>847</v>
      </c>
      <c r="E512" s="79">
        <v>8471270</v>
      </c>
      <c r="F512" s="32" t="s">
        <v>353</v>
      </c>
      <c r="G512" s="4">
        <v>1</v>
      </c>
      <c r="H512" s="95">
        <v>425510</v>
      </c>
      <c r="I512" s="106" t="str">
        <f>IFERROR(VLOOKUP(Table1[[#This Row],[Account Code]],'Accoount Code Combination'!$D:$H,2,FALSE),"")</f>
        <v>Conferences, seminars and exhibitions and other events: - Local Events</v>
      </c>
      <c r="J512" s="79">
        <v>8471270</v>
      </c>
      <c r="K512" s="4"/>
      <c r="L512" s="4" t="str">
        <f>IFERROR(VLOOKUP(Table1[[#This Row],[Future-1 Description]],'Other '!E500:$F509,2,FALSE),"")</f>
        <v/>
      </c>
      <c r="M512" s="32"/>
      <c r="N512" s="32"/>
      <c r="O512" s="32"/>
      <c r="P512" s="49">
        <v>16512.95</v>
      </c>
      <c r="Q512" s="49">
        <v>0</v>
      </c>
      <c r="R512" s="32"/>
      <c r="S512" s="4"/>
      <c r="T512" s="32"/>
      <c r="U512" s="32"/>
      <c r="V512" s="32"/>
      <c r="W512" s="32"/>
      <c r="X512" s="33"/>
      <c r="Y512" s="33"/>
      <c r="Z512" s="31">
        <f>Table1[[#This Row],[Quantity of measruing units]]*Table1[[#This Row],[Rate (expected)]]</f>
        <v>0</v>
      </c>
      <c r="AA512" s="31"/>
      <c r="AB512" s="31"/>
      <c r="AC512" s="34">
        <f>Table1[[#This Row],[Quantity (expected)]]*Table1[[#This Row],[Rate (expected)2]]*0.9</f>
        <v>0</v>
      </c>
      <c r="AD512" s="34">
        <f>Table1[[#This Row],[Quantity (expected)]]*Table1[[#This Row],[Rate (expected)2]]*0.8</f>
        <v>0</v>
      </c>
      <c r="AE512" s="34">
        <f>Table1[[#This Row],[Quantity (expected)]]*Table1[[#This Row],[Rate (expected)2]]*0.7</f>
        <v>0</v>
      </c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1">
        <f>SUM(Table1[[#This Row],[Jan-23]:[Dec-23]])</f>
        <v>0</v>
      </c>
      <c r="AV512" s="105"/>
      <c r="AW512" s="32"/>
      <c r="AX512" s="35"/>
    </row>
    <row r="513" spans="1:50" x14ac:dyDescent="0.3">
      <c r="A513" s="30" t="str">
        <f>VLOOKUP(H513,'Accoount Code Combination'!$D:$L,8,FALSE)</f>
        <v>Other support</v>
      </c>
      <c r="B513" s="31" t="str">
        <f>VLOOKUP(Table1[[#This Row],[Account Code]],'Accoount Code Combination'!$D:$L,9,FALSE)</f>
        <v>No Applicable</v>
      </c>
      <c r="C513" s="4" t="str">
        <f>VLOOKUP(Table1[[#This Row],[Cost Center Code]],'Cost Center Group'!A:B,2,FALSE)</f>
        <v>Academic and Student Services Office</v>
      </c>
      <c r="D513" s="4">
        <v>847</v>
      </c>
      <c r="E513" s="79">
        <v>8471270</v>
      </c>
      <c r="F513" s="32" t="s">
        <v>353</v>
      </c>
      <c r="G513" s="4">
        <v>1</v>
      </c>
      <c r="H513" s="95">
        <v>425900</v>
      </c>
      <c r="I513" s="106" t="str">
        <f>IFERROR(VLOOKUP(Table1[[#This Row],[Account Code]],'Accoount Code Combination'!$D:$H,2,FALSE),"")</f>
        <v>Entertainment and hospitality</v>
      </c>
      <c r="J513" s="79">
        <v>8471270</v>
      </c>
      <c r="K513" s="4"/>
      <c r="L513" s="4" t="str">
        <f>IFERROR(VLOOKUP(Table1[[#This Row],[Future-1 Description]],'Other '!E501:$F510,2,FALSE),"")</f>
        <v/>
      </c>
      <c r="M513" s="32"/>
      <c r="N513" s="32"/>
      <c r="O513" s="32"/>
      <c r="P513" s="49">
        <v>150</v>
      </c>
      <c r="Q513" s="49">
        <v>0</v>
      </c>
      <c r="R513" s="32"/>
      <c r="S513" s="4"/>
      <c r="T513" s="32"/>
      <c r="U513" s="32"/>
      <c r="V513" s="32"/>
      <c r="W513" s="32"/>
      <c r="X513" s="33"/>
      <c r="Y513" s="33"/>
      <c r="Z513" s="31">
        <f>Table1[[#This Row],[Quantity of measruing units]]*Table1[[#This Row],[Rate (expected)]]</f>
        <v>0</v>
      </c>
      <c r="AA513" s="31"/>
      <c r="AB513" s="31"/>
      <c r="AC513" s="34">
        <f>Table1[[#This Row],[Quantity (expected)]]*Table1[[#This Row],[Rate (expected)2]]*0.9</f>
        <v>0</v>
      </c>
      <c r="AD513" s="34">
        <f>Table1[[#This Row],[Quantity (expected)]]*Table1[[#This Row],[Rate (expected)2]]*0.8</f>
        <v>0</v>
      </c>
      <c r="AE513" s="34">
        <f>Table1[[#This Row],[Quantity (expected)]]*Table1[[#This Row],[Rate (expected)2]]*0.7</f>
        <v>0</v>
      </c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1">
        <f>SUM(Table1[[#This Row],[Jan-23]:[Dec-23]])</f>
        <v>0</v>
      </c>
      <c r="AV513" s="105"/>
      <c r="AW513" s="32"/>
      <c r="AX513" s="35"/>
    </row>
    <row r="514" spans="1:50" x14ac:dyDescent="0.3">
      <c r="A514" s="30" t="str">
        <f>VLOOKUP(H514,'Accoount Code Combination'!$D:$L,8,FALSE)</f>
        <v xml:space="preserve">Academic </v>
      </c>
      <c r="B514" s="31" t="str">
        <f>VLOOKUP(Table1[[#This Row],[Account Code]],'Accoount Code Combination'!$D:$L,9,FALSE)</f>
        <v>No Applicable</v>
      </c>
      <c r="C514" s="4" t="str">
        <f>VLOOKUP(Table1[[#This Row],[Cost Center Code]],'Cost Center Group'!A:B,2,FALSE)</f>
        <v>Academic and Student Services Office</v>
      </c>
      <c r="D514" s="4">
        <v>847</v>
      </c>
      <c r="E514" s="79">
        <v>8471270</v>
      </c>
      <c r="F514" s="32" t="s">
        <v>353</v>
      </c>
      <c r="G514" s="4">
        <v>1</v>
      </c>
      <c r="H514" s="95">
        <v>428090</v>
      </c>
      <c r="I514" s="106" t="str">
        <f>IFERROR(VLOOKUP(Table1[[#This Row],[Account Code]],'Accoount Code Combination'!$D:$H,2,FALSE),"")</f>
        <v>Business Travel - Combined expenses</v>
      </c>
      <c r="J514" s="79">
        <v>8471270</v>
      </c>
      <c r="K514" s="4"/>
      <c r="L514" s="4" t="str">
        <f>IFERROR(VLOOKUP(Table1[[#This Row],[Future-1 Description]],'Other '!E502:$F511,2,FALSE),"")</f>
        <v/>
      </c>
      <c r="M514" s="32"/>
      <c r="N514" s="32"/>
      <c r="O514" s="32"/>
      <c r="P514" s="49">
        <v>13308.7</v>
      </c>
      <c r="Q514" s="49">
        <v>0</v>
      </c>
      <c r="R514" s="32"/>
      <c r="S514" s="4"/>
      <c r="T514" s="32"/>
      <c r="U514" s="32"/>
      <c r="V514" s="32"/>
      <c r="W514" s="32"/>
      <c r="X514" s="33"/>
      <c r="Y514" s="33"/>
      <c r="Z514" s="31">
        <f>Table1[[#This Row],[Quantity of measruing units]]*Table1[[#This Row],[Rate (expected)]]</f>
        <v>0</v>
      </c>
      <c r="AA514" s="31"/>
      <c r="AB514" s="31"/>
      <c r="AC514" s="34">
        <f>Table1[[#This Row],[Quantity (expected)]]*Table1[[#This Row],[Rate (expected)2]]*0.9</f>
        <v>0</v>
      </c>
      <c r="AD514" s="34">
        <f>Table1[[#This Row],[Quantity (expected)]]*Table1[[#This Row],[Rate (expected)2]]*0.8</f>
        <v>0</v>
      </c>
      <c r="AE514" s="34">
        <f>Table1[[#This Row],[Quantity (expected)]]*Table1[[#This Row],[Rate (expected)2]]*0.7</f>
        <v>0</v>
      </c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1">
        <f>SUM(Table1[[#This Row],[Jan-23]:[Dec-23]])</f>
        <v>0</v>
      </c>
      <c r="AV514" s="105"/>
      <c r="AW514" s="32"/>
      <c r="AX514" s="35"/>
    </row>
    <row r="515" spans="1:50" x14ac:dyDescent="0.3">
      <c r="A515" s="30" t="str">
        <f>VLOOKUP(H515,'Accoount Code Combination'!$D:$L,8,FALSE)</f>
        <v>Other support</v>
      </c>
      <c r="B515" s="31" t="str">
        <f>VLOOKUP(Table1[[#This Row],[Account Code]],'Accoount Code Combination'!$D:$L,9,FALSE)</f>
        <v>Subscriptions</v>
      </c>
      <c r="C515" s="4" t="str">
        <f>VLOOKUP(Table1[[#This Row],[Cost Center Code]],'Cost Center Group'!A:B,2,FALSE)</f>
        <v>Academic and Student Services Office</v>
      </c>
      <c r="D515" s="4">
        <v>847</v>
      </c>
      <c r="E515" s="79">
        <v>8471270</v>
      </c>
      <c r="F515" s="32" t="s">
        <v>353</v>
      </c>
      <c r="G515" s="4">
        <v>1</v>
      </c>
      <c r="H515" s="95">
        <v>435310</v>
      </c>
      <c r="I515" s="106" t="str">
        <f>IFERROR(VLOOKUP(Table1[[#This Row],[Account Code]],'Accoount Code Combination'!$D:$H,2,FALSE),"")</f>
        <v>Newspapers, magazines, journals, etc</v>
      </c>
      <c r="J515" s="79">
        <v>8471270</v>
      </c>
      <c r="K515" s="4"/>
      <c r="L515" s="4" t="str">
        <f>IFERROR(VLOOKUP(Table1[[#This Row],[Future-1 Description]],'Other '!E503:$F512,2,FALSE),"")</f>
        <v/>
      </c>
      <c r="M515" s="32"/>
      <c r="N515" s="32"/>
      <c r="O515" s="32"/>
      <c r="P515" s="49">
        <v>-120998.52</v>
      </c>
      <c r="Q515" s="49">
        <v>227</v>
      </c>
      <c r="R515" s="32"/>
      <c r="S515" s="4"/>
      <c r="T515" s="32"/>
      <c r="U515" s="32"/>
      <c r="V515" s="32"/>
      <c r="W515" s="32"/>
      <c r="X515" s="33"/>
      <c r="Y515" s="33"/>
      <c r="Z515" s="31">
        <f>Table1[[#This Row],[Quantity of measruing units]]*Table1[[#This Row],[Rate (expected)]]</f>
        <v>0</v>
      </c>
      <c r="AA515" s="31"/>
      <c r="AB515" s="31"/>
      <c r="AC515" s="34">
        <f>Table1[[#This Row],[Quantity (expected)]]*Table1[[#This Row],[Rate (expected)2]]*0.9</f>
        <v>0</v>
      </c>
      <c r="AD515" s="34">
        <f>Table1[[#This Row],[Quantity (expected)]]*Table1[[#This Row],[Rate (expected)2]]*0.8</f>
        <v>0</v>
      </c>
      <c r="AE515" s="34">
        <f>Table1[[#This Row],[Quantity (expected)]]*Table1[[#This Row],[Rate (expected)2]]*0.7</f>
        <v>0</v>
      </c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1">
        <f>SUM(Table1[[#This Row],[Jan-23]:[Dec-23]])</f>
        <v>0</v>
      </c>
      <c r="AV515" s="105"/>
      <c r="AW515" s="32"/>
      <c r="AX515" s="35"/>
    </row>
    <row r="516" spans="1:50" x14ac:dyDescent="0.3">
      <c r="A516" s="30" t="str">
        <f>VLOOKUP(H516,'Accoount Code Combination'!$D:$L,8,FALSE)</f>
        <v>Academic</v>
      </c>
      <c r="B516" s="31" t="str">
        <f>VLOOKUP(Table1[[#This Row],[Account Code]],'Accoount Code Combination'!$D:$L,9,FALSE)</f>
        <v>No Applicable</v>
      </c>
      <c r="C516" s="4" t="str">
        <f>VLOOKUP(Table1[[#This Row],[Cost Center Code]],'Cost Center Group'!A:B,2,FALSE)</f>
        <v>Academic and Student Services Office</v>
      </c>
      <c r="D516" s="4">
        <v>847</v>
      </c>
      <c r="E516" s="79">
        <v>8471270</v>
      </c>
      <c r="F516" s="32" t="s">
        <v>353</v>
      </c>
      <c r="G516" s="4">
        <v>1</v>
      </c>
      <c r="H516" s="95">
        <v>435330</v>
      </c>
      <c r="I516" s="106" t="str">
        <f>IFERROR(VLOOKUP(Table1[[#This Row],[Account Code]],'Accoount Code Combination'!$D:$H,2,FALSE),"")</f>
        <v>Library books</v>
      </c>
      <c r="J516" s="79">
        <v>8471270</v>
      </c>
      <c r="K516" s="4"/>
      <c r="L516" s="4" t="str">
        <f>IFERROR(VLOOKUP(Table1[[#This Row],[Future-1 Description]],'Other '!E504:$F513,2,FALSE),"")</f>
        <v/>
      </c>
      <c r="M516" s="32"/>
      <c r="N516" s="32"/>
      <c r="O516" s="32"/>
      <c r="P516" s="49">
        <v>11619785.23</v>
      </c>
      <c r="Q516" s="49">
        <v>12960003</v>
      </c>
      <c r="R516" s="32"/>
      <c r="S516" s="4"/>
      <c r="T516" s="32"/>
      <c r="U516" s="32"/>
      <c r="V516" s="32"/>
      <c r="W516" s="32"/>
      <c r="X516" s="33"/>
      <c r="Y516" s="33"/>
      <c r="Z516" s="31">
        <f>Table1[[#This Row],[Quantity of measruing units]]*Table1[[#This Row],[Rate (expected)]]</f>
        <v>0</v>
      </c>
      <c r="AA516" s="31"/>
      <c r="AB516" s="31"/>
      <c r="AC516" s="34">
        <f>Table1[[#This Row],[Quantity (expected)]]*Table1[[#This Row],[Rate (expected)2]]*0.9</f>
        <v>0</v>
      </c>
      <c r="AD516" s="34">
        <f>Table1[[#This Row],[Quantity (expected)]]*Table1[[#This Row],[Rate (expected)2]]*0.8</f>
        <v>0</v>
      </c>
      <c r="AE516" s="34">
        <f>Table1[[#This Row],[Quantity (expected)]]*Table1[[#This Row],[Rate (expected)2]]*0.7</f>
        <v>0</v>
      </c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1">
        <f>SUM(Table1[[#This Row],[Jan-23]:[Dec-23]])</f>
        <v>0</v>
      </c>
      <c r="AV516" s="105"/>
      <c r="AW516" s="32"/>
      <c r="AX516" s="35"/>
    </row>
    <row r="517" spans="1:50" x14ac:dyDescent="0.3">
      <c r="A517" s="30" t="str">
        <f>VLOOKUP(H517,'Accoount Code Combination'!$D:$L,8,FALSE)</f>
        <v>Other support</v>
      </c>
      <c r="B517" s="31" t="str">
        <f>VLOOKUP(Table1[[#This Row],[Account Code]],'Accoount Code Combination'!$D:$L,9,FALSE)</f>
        <v>No Applicable</v>
      </c>
      <c r="C517" s="4" t="str">
        <f>VLOOKUP(Table1[[#This Row],[Cost Center Code]],'Cost Center Group'!A:B,2,FALSE)</f>
        <v>Academic and Student Services Office</v>
      </c>
      <c r="D517" s="4">
        <v>847</v>
      </c>
      <c r="E517" s="79">
        <v>8471270</v>
      </c>
      <c r="F517" s="32" t="s">
        <v>353</v>
      </c>
      <c r="G517" s="4">
        <v>1</v>
      </c>
      <c r="H517" s="95">
        <v>436110</v>
      </c>
      <c r="I517" s="106" t="str">
        <f>IFERROR(VLOOKUP(Table1[[#This Row],[Account Code]],'Accoount Code Combination'!$D:$H,2,FALSE),"")</f>
        <v>Printing supplies</v>
      </c>
      <c r="J517" s="79">
        <v>8471270</v>
      </c>
      <c r="K517" s="4"/>
      <c r="L517" s="4" t="str">
        <f>IFERROR(VLOOKUP(Table1[[#This Row],[Future-1 Description]],'Other '!E505:$F514,2,FALSE),"")</f>
        <v/>
      </c>
      <c r="M517" s="32"/>
      <c r="N517" s="32"/>
      <c r="O517" s="32"/>
      <c r="P517" s="49">
        <v>0</v>
      </c>
      <c r="Q517" s="49">
        <v>0</v>
      </c>
      <c r="R517" s="32"/>
      <c r="S517" s="4"/>
      <c r="T517" s="32"/>
      <c r="U517" s="32"/>
      <c r="V517" s="32"/>
      <c r="W517" s="32"/>
      <c r="X517" s="33"/>
      <c r="Y517" s="33"/>
      <c r="Z517" s="31">
        <f>Table1[[#This Row],[Quantity of measruing units]]*Table1[[#This Row],[Rate (expected)]]</f>
        <v>0</v>
      </c>
      <c r="AA517" s="31"/>
      <c r="AB517" s="31"/>
      <c r="AC517" s="34">
        <f>Table1[[#This Row],[Quantity (expected)]]*Table1[[#This Row],[Rate (expected)2]]*0.9</f>
        <v>0</v>
      </c>
      <c r="AD517" s="34">
        <f>Table1[[#This Row],[Quantity (expected)]]*Table1[[#This Row],[Rate (expected)2]]*0.8</f>
        <v>0</v>
      </c>
      <c r="AE517" s="34">
        <f>Table1[[#This Row],[Quantity (expected)]]*Table1[[#This Row],[Rate (expected)2]]*0.7</f>
        <v>0</v>
      </c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1">
        <f>SUM(Table1[[#This Row],[Jan-23]:[Dec-23]])</f>
        <v>0</v>
      </c>
      <c r="AV517" s="105"/>
      <c r="AW517" s="32"/>
      <c r="AX517" s="35"/>
    </row>
    <row r="518" spans="1:50" x14ac:dyDescent="0.3">
      <c r="A518" s="30" t="str">
        <f>VLOOKUP(H518,'Accoount Code Combination'!$D:$L,8,FALSE)</f>
        <v>Other support</v>
      </c>
      <c r="B518" s="31" t="str">
        <f>VLOOKUP(Table1[[#This Row],[Account Code]],'Accoount Code Combination'!$D:$L,9,FALSE)</f>
        <v>No Applicable</v>
      </c>
      <c r="C518" s="4" t="str">
        <f>VLOOKUP(Table1[[#This Row],[Cost Center Code]],'Cost Center Group'!A:B,2,FALSE)</f>
        <v>Academic and Student Services Office</v>
      </c>
      <c r="D518" s="4">
        <v>847</v>
      </c>
      <c r="E518" s="79">
        <v>8471270</v>
      </c>
      <c r="F518" s="32" t="s">
        <v>353</v>
      </c>
      <c r="G518" s="4">
        <v>1</v>
      </c>
      <c r="H518" s="95">
        <v>436120</v>
      </c>
      <c r="I518" s="106" t="str">
        <f>IFERROR(VLOOKUP(Table1[[#This Row],[Account Code]],'Accoount Code Combination'!$D:$H,2,FALSE),"")</f>
        <v>Stationery</v>
      </c>
      <c r="J518" s="79">
        <v>8471270</v>
      </c>
      <c r="K518" s="4"/>
      <c r="L518" s="4" t="str">
        <f>IFERROR(VLOOKUP(Table1[[#This Row],[Future-1 Description]],'Other '!E506:$F515,2,FALSE),"")</f>
        <v/>
      </c>
      <c r="M518" s="32"/>
      <c r="N518" s="32"/>
      <c r="O518" s="32"/>
      <c r="P518" s="49">
        <v>0</v>
      </c>
      <c r="Q518" s="49">
        <v>0</v>
      </c>
      <c r="R518" s="32"/>
      <c r="S518" s="4"/>
      <c r="T518" s="32"/>
      <c r="U518" s="32"/>
      <c r="V518" s="32"/>
      <c r="W518" s="32"/>
      <c r="X518" s="33"/>
      <c r="Y518" s="33"/>
      <c r="Z518" s="31">
        <f>Table1[[#This Row],[Quantity of measruing units]]*Table1[[#This Row],[Rate (expected)]]</f>
        <v>0</v>
      </c>
      <c r="AA518" s="31"/>
      <c r="AB518" s="31"/>
      <c r="AC518" s="34">
        <f>Table1[[#This Row],[Quantity (expected)]]*Table1[[#This Row],[Rate (expected)2]]*0.9</f>
        <v>0</v>
      </c>
      <c r="AD518" s="34">
        <f>Table1[[#This Row],[Quantity (expected)]]*Table1[[#This Row],[Rate (expected)2]]*0.8</f>
        <v>0</v>
      </c>
      <c r="AE518" s="34">
        <f>Table1[[#This Row],[Quantity (expected)]]*Table1[[#This Row],[Rate (expected)2]]*0.7</f>
        <v>0</v>
      </c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1">
        <f>SUM(Table1[[#This Row],[Jan-23]:[Dec-23]])</f>
        <v>0</v>
      </c>
      <c r="AV518" s="105"/>
      <c r="AW518" s="32"/>
      <c r="AX518" s="35"/>
    </row>
    <row r="519" spans="1:50" x14ac:dyDescent="0.3">
      <c r="A519" s="30" t="str">
        <f>VLOOKUP(H519,'Accoount Code Combination'!$D:$L,8,FALSE)</f>
        <v>Communiction &amp; Marketing</v>
      </c>
      <c r="B519" s="31" t="str">
        <f>VLOOKUP(Table1[[#This Row],[Account Code]],'Accoount Code Combination'!$D:$L,9,FALSE)</f>
        <v>Advertising</v>
      </c>
      <c r="C519" s="4" t="str">
        <f>VLOOKUP(Table1[[#This Row],[Cost Center Code]],'Cost Center Group'!A:B,2,FALSE)</f>
        <v>Academic and Student Services Office</v>
      </c>
      <c r="D519" s="4">
        <v>847</v>
      </c>
      <c r="E519" s="79">
        <v>8471280</v>
      </c>
      <c r="F519" s="32" t="s">
        <v>355</v>
      </c>
      <c r="G519" s="4">
        <v>1</v>
      </c>
      <c r="H519" s="95">
        <v>425100</v>
      </c>
      <c r="I519" s="106" t="str">
        <f>IFERROR(VLOOKUP(Table1[[#This Row],[Account Code]],'Accoount Code Combination'!$D:$H,2,FALSE),"")</f>
        <v>Advertising</v>
      </c>
      <c r="J519" s="79">
        <v>8471280</v>
      </c>
      <c r="K519" s="4"/>
      <c r="L519" s="4" t="str">
        <f>IFERROR(VLOOKUP(Table1[[#This Row],[Future-1 Description]],'Other '!E507:$F516,2,FALSE),"")</f>
        <v/>
      </c>
      <c r="M519" s="32"/>
      <c r="N519" s="32"/>
      <c r="O519" s="32"/>
      <c r="P519" s="49">
        <v>0</v>
      </c>
      <c r="Q519" s="49">
        <v>0</v>
      </c>
      <c r="R519" s="32"/>
      <c r="S519" s="4"/>
      <c r="T519" s="32"/>
      <c r="U519" s="32"/>
      <c r="V519" s="32"/>
      <c r="W519" s="32"/>
      <c r="X519" s="33"/>
      <c r="Y519" s="33"/>
      <c r="Z519" s="31">
        <f>Table1[[#This Row],[Quantity of measruing units]]*Table1[[#This Row],[Rate (expected)]]</f>
        <v>0</v>
      </c>
      <c r="AA519" s="31"/>
      <c r="AB519" s="31"/>
      <c r="AC519" s="34">
        <f>Table1[[#This Row],[Quantity (expected)]]*Table1[[#This Row],[Rate (expected)2]]*0.9</f>
        <v>0</v>
      </c>
      <c r="AD519" s="34">
        <f>Table1[[#This Row],[Quantity (expected)]]*Table1[[#This Row],[Rate (expected)2]]*0.8</f>
        <v>0</v>
      </c>
      <c r="AE519" s="34">
        <f>Table1[[#This Row],[Quantity (expected)]]*Table1[[#This Row],[Rate (expected)2]]*0.7</f>
        <v>0</v>
      </c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1">
        <f>SUM(Table1[[#This Row],[Jan-23]:[Dec-23]])</f>
        <v>0</v>
      </c>
      <c r="AV519" s="105"/>
      <c r="AW519" s="32"/>
      <c r="AX519" s="35"/>
    </row>
    <row r="520" spans="1:50" ht="26" x14ac:dyDescent="0.3">
      <c r="A520" s="30" t="str">
        <f>VLOOKUP(H520,'Accoount Code Combination'!$D:$L,8,FALSE)</f>
        <v>Communiction &amp; Marketing</v>
      </c>
      <c r="B520" s="31" t="str">
        <f>VLOOKUP(Table1[[#This Row],[Account Code]],'Accoount Code Combination'!$D:$L,9,FALSE)</f>
        <v>Events</v>
      </c>
      <c r="C520" s="4" t="str">
        <f>VLOOKUP(Table1[[#This Row],[Cost Center Code]],'Cost Center Group'!A:B,2,FALSE)</f>
        <v>Academic and Student Services Office</v>
      </c>
      <c r="D520" s="4">
        <v>847</v>
      </c>
      <c r="E520" s="79">
        <v>8471280</v>
      </c>
      <c r="F520" s="32" t="s">
        <v>355</v>
      </c>
      <c r="G520" s="4">
        <v>1</v>
      </c>
      <c r="H520" s="95">
        <v>425510</v>
      </c>
      <c r="I520" s="106" t="str">
        <f>IFERROR(VLOOKUP(Table1[[#This Row],[Account Code]],'Accoount Code Combination'!$D:$H,2,FALSE),"")</f>
        <v>Conferences, seminars and exhibitions and other events: - Local Events</v>
      </c>
      <c r="J520" s="79">
        <v>8471280</v>
      </c>
      <c r="K520" s="4"/>
      <c r="L520" s="4" t="str">
        <f>IFERROR(VLOOKUP(Table1[[#This Row],[Future-1 Description]],'Other '!E508:$F517,2,FALSE),"")</f>
        <v/>
      </c>
      <c r="M520" s="32"/>
      <c r="N520" s="32"/>
      <c r="O520" s="32"/>
      <c r="P520" s="49">
        <v>32792.42</v>
      </c>
      <c r="Q520" s="49">
        <v>10000</v>
      </c>
      <c r="R520" s="32"/>
      <c r="S520" s="4"/>
      <c r="T520" s="32"/>
      <c r="U520" s="32"/>
      <c r="V520" s="32"/>
      <c r="W520" s="32"/>
      <c r="X520" s="33"/>
      <c r="Y520" s="33"/>
      <c r="Z520" s="31">
        <f>Table1[[#This Row],[Quantity of measruing units]]*Table1[[#This Row],[Rate (expected)]]</f>
        <v>0</v>
      </c>
      <c r="AA520" s="31"/>
      <c r="AB520" s="31"/>
      <c r="AC520" s="34">
        <f>Table1[[#This Row],[Quantity (expected)]]*Table1[[#This Row],[Rate (expected)2]]*0.9</f>
        <v>0</v>
      </c>
      <c r="AD520" s="34">
        <f>Table1[[#This Row],[Quantity (expected)]]*Table1[[#This Row],[Rate (expected)2]]*0.8</f>
        <v>0</v>
      </c>
      <c r="AE520" s="34">
        <f>Table1[[#This Row],[Quantity (expected)]]*Table1[[#This Row],[Rate (expected)2]]*0.7</f>
        <v>0</v>
      </c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1">
        <f>SUM(Table1[[#This Row],[Jan-23]:[Dec-23]])</f>
        <v>0</v>
      </c>
      <c r="AV520" s="105"/>
      <c r="AW520" s="32"/>
      <c r="AX520" s="35"/>
    </row>
    <row r="521" spans="1:50" ht="26" x14ac:dyDescent="0.3">
      <c r="A521" s="30" t="str">
        <f>VLOOKUP(H521,'Accoount Code Combination'!$D:$L,8,FALSE)</f>
        <v>Communiction &amp; Marketing</v>
      </c>
      <c r="B521" s="31" t="str">
        <f>VLOOKUP(Table1[[#This Row],[Account Code]],'Accoount Code Combination'!$D:$L,9,FALSE)</f>
        <v>No Applicable</v>
      </c>
      <c r="C521" s="4" t="str">
        <f>VLOOKUP(Table1[[#This Row],[Cost Center Code]],'Cost Center Group'!A:B,2,FALSE)</f>
        <v>Academic and Student Services Office</v>
      </c>
      <c r="D521" s="4">
        <v>847</v>
      </c>
      <c r="E521" s="79">
        <v>8471280</v>
      </c>
      <c r="F521" s="32" t="s">
        <v>355</v>
      </c>
      <c r="G521" s="4">
        <v>1</v>
      </c>
      <c r="H521" s="95">
        <v>425550</v>
      </c>
      <c r="I521" s="106" t="str">
        <f>IFERROR(VLOOKUP(Table1[[#This Row],[Account Code]],'Accoount Code Combination'!$D:$H,2,FALSE),"")</f>
        <v>Conferences, seminars and exhibitions and other events: - Overseas event</v>
      </c>
      <c r="J521" s="79">
        <v>8471280</v>
      </c>
      <c r="K521" s="4"/>
      <c r="L521" s="4" t="str">
        <f>IFERROR(VLOOKUP(Table1[[#This Row],[Future-1 Description]],'Other '!E509:$F518,2,FALSE),"")</f>
        <v/>
      </c>
      <c r="M521" s="32"/>
      <c r="N521" s="32"/>
      <c r="O521" s="32"/>
      <c r="P521" s="49">
        <v>0</v>
      </c>
      <c r="Q521" s="49">
        <v>20000</v>
      </c>
      <c r="R521" s="32"/>
      <c r="S521" s="4"/>
      <c r="T521" s="32"/>
      <c r="U521" s="32"/>
      <c r="V521" s="32"/>
      <c r="W521" s="32"/>
      <c r="X521" s="33"/>
      <c r="Y521" s="33"/>
      <c r="Z521" s="31">
        <f>Table1[[#This Row],[Quantity of measruing units]]*Table1[[#This Row],[Rate (expected)]]</f>
        <v>0</v>
      </c>
      <c r="AA521" s="31"/>
      <c r="AB521" s="31"/>
      <c r="AC521" s="34">
        <f>Table1[[#This Row],[Quantity (expected)]]*Table1[[#This Row],[Rate (expected)2]]*0.9</f>
        <v>0</v>
      </c>
      <c r="AD521" s="34">
        <f>Table1[[#This Row],[Quantity (expected)]]*Table1[[#This Row],[Rate (expected)2]]*0.8</f>
        <v>0</v>
      </c>
      <c r="AE521" s="34">
        <f>Table1[[#This Row],[Quantity (expected)]]*Table1[[#This Row],[Rate (expected)2]]*0.7</f>
        <v>0</v>
      </c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1">
        <f>SUM(Table1[[#This Row],[Jan-23]:[Dec-23]])</f>
        <v>0</v>
      </c>
      <c r="AV521" s="105"/>
      <c r="AW521" s="32"/>
      <c r="AX521" s="35"/>
    </row>
    <row r="522" spans="1:50" x14ac:dyDescent="0.3">
      <c r="A522" s="30" t="str">
        <f>VLOOKUP(H522,'Accoount Code Combination'!$D:$L,8,FALSE)</f>
        <v>Student</v>
      </c>
      <c r="B522" s="31" t="str">
        <f>VLOOKUP(Table1[[#This Row],[Account Code]],'Accoount Code Combination'!$D:$L,9,FALSE)</f>
        <v>Activities and Field trips</v>
      </c>
      <c r="C522" s="4" t="str">
        <f>VLOOKUP(Table1[[#This Row],[Cost Center Code]],'Cost Center Group'!A:B,2,FALSE)</f>
        <v>Academic and Student Services Office</v>
      </c>
      <c r="D522" s="4">
        <v>847</v>
      </c>
      <c r="E522" s="79">
        <v>8471280</v>
      </c>
      <c r="F522" s="32" t="s">
        <v>355</v>
      </c>
      <c r="G522" s="4">
        <v>1</v>
      </c>
      <c r="H522" s="95">
        <v>425760</v>
      </c>
      <c r="I522" s="106" t="str">
        <f>IFERROR(VLOOKUP(Table1[[#This Row],[Account Code]],'Accoount Code Combination'!$D:$H,2,FALSE),"")</f>
        <v>Student activities &amp; field trip expenses</v>
      </c>
      <c r="J522" s="79">
        <v>8471280</v>
      </c>
      <c r="K522" s="4"/>
      <c r="L522" s="4" t="str">
        <f>IFERROR(VLOOKUP(Table1[[#This Row],[Future-1 Description]],'Other '!E510:$F519,2,FALSE),"")</f>
        <v/>
      </c>
      <c r="M522" s="32"/>
      <c r="N522" s="32"/>
      <c r="O522" s="32"/>
      <c r="P522" s="49">
        <v>0</v>
      </c>
      <c r="Q522" s="49">
        <v>0</v>
      </c>
      <c r="R522" s="32"/>
      <c r="S522" s="4"/>
      <c r="T522" s="32"/>
      <c r="U522" s="32"/>
      <c r="V522" s="32"/>
      <c r="W522" s="32"/>
      <c r="X522" s="33"/>
      <c r="Y522" s="33"/>
      <c r="Z522" s="31">
        <f>Table1[[#This Row],[Quantity of measruing units]]*Table1[[#This Row],[Rate (expected)]]</f>
        <v>0</v>
      </c>
      <c r="AA522" s="31"/>
      <c r="AB522" s="31"/>
      <c r="AC522" s="34">
        <f>Table1[[#This Row],[Quantity (expected)]]*Table1[[#This Row],[Rate (expected)2]]*0.9</f>
        <v>0</v>
      </c>
      <c r="AD522" s="34">
        <f>Table1[[#This Row],[Quantity (expected)]]*Table1[[#This Row],[Rate (expected)2]]*0.8</f>
        <v>0</v>
      </c>
      <c r="AE522" s="34">
        <f>Table1[[#This Row],[Quantity (expected)]]*Table1[[#This Row],[Rate (expected)2]]*0.7</f>
        <v>0</v>
      </c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1">
        <f>SUM(Table1[[#This Row],[Jan-23]:[Dec-23]])</f>
        <v>0</v>
      </c>
      <c r="AV522" s="105"/>
      <c r="AW522" s="32"/>
      <c r="AX522" s="35"/>
    </row>
    <row r="523" spans="1:50" x14ac:dyDescent="0.3">
      <c r="A523" s="30" t="str">
        <f>VLOOKUP(H523,'Accoount Code Combination'!$D:$L,8,FALSE)</f>
        <v>Academic</v>
      </c>
      <c r="B523" s="31" t="str">
        <f>VLOOKUP(Table1[[#This Row],[Account Code]],'Accoount Code Combination'!$D:$L,9,FALSE)</f>
        <v>No Applicable</v>
      </c>
      <c r="C523" s="4" t="str">
        <f>VLOOKUP(Table1[[#This Row],[Cost Center Code]],'Cost Center Group'!A:B,2,FALSE)</f>
        <v>Academic and Student Services Office</v>
      </c>
      <c r="D523" s="4">
        <v>847</v>
      </c>
      <c r="E523" s="79">
        <v>8471280</v>
      </c>
      <c r="F523" s="32" t="s">
        <v>355</v>
      </c>
      <c r="G523" s="4">
        <v>1</v>
      </c>
      <c r="H523" s="95">
        <v>425770</v>
      </c>
      <c r="I523" s="106" t="str">
        <f>IFERROR(VLOOKUP(Table1[[#This Row],[Account Code]],'Accoount Code Combination'!$D:$H,2,FALSE),"")</f>
        <v>Academic Missions - Combined expenses</v>
      </c>
      <c r="J523" s="79">
        <v>8471280</v>
      </c>
      <c r="K523" s="4"/>
      <c r="L523" s="4" t="str">
        <f>IFERROR(VLOOKUP(Table1[[#This Row],[Future-1 Description]],'Other '!E511:$F520,2,FALSE),"")</f>
        <v/>
      </c>
      <c r="M523" s="32"/>
      <c r="N523" s="32"/>
      <c r="O523" s="32"/>
      <c r="P523" s="49">
        <v>73607.539999999994</v>
      </c>
      <c r="Q523" s="49">
        <v>32721</v>
      </c>
      <c r="R523" s="32"/>
      <c r="S523" s="4"/>
      <c r="T523" s="32"/>
      <c r="U523" s="32"/>
      <c r="V523" s="32"/>
      <c r="W523" s="32"/>
      <c r="X523" s="33"/>
      <c r="Y523" s="33"/>
      <c r="Z523" s="31">
        <f>Table1[[#This Row],[Quantity of measruing units]]*Table1[[#This Row],[Rate (expected)]]</f>
        <v>0</v>
      </c>
      <c r="AA523" s="31"/>
      <c r="AB523" s="31"/>
      <c r="AC523" s="34">
        <f>Table1[[#This Row],[Quantity (expected)]]*Table1[[#This Row],[Rate (expected)2]]*0.9</f>
        <v>0</v>
      </c>
      <c r="AD523" s="34">
        <f>Table1[[#This Row],[Quantity (expected)]]*Table1[[#This Row],[Rate (expected)2]]*0.8</f>
        <v>0</v>
      </c>
      <c r="AE523" s="34">
        <f>Table1[[#This Row],[Quantity (expected)]]*Table1[[#This Row],[Rate (expected)2]]*0.7</f>
        <v>0</v>
      </c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1">
        <f>SUM(Table1[[#This Row],[Jan-23]:[Dec-23]])</f>
        <v>0</v>
      </c>
      <c r="AV523" s="105"/>
      <c r="AW523" s="32"/>
      <c r="AX523" s="35"/>
    </row>
    <row r="524" spans="1:50" x14ac:dyDescent="0.3">
      <c r="A524" s="30" t="str">
        <f>VLOOKUP(H524,'Accoount Code Combination'!$D:$L,8,FALSE)</f>
        <v>IT</v>
      </c>
      <c r="B524" s="31" t="str">
        <f>VLOOKUP(Table1[[#This Row],[Account Code]],'Accoount Code Combination'!$D:$L,9,FALSE)</f>
        <v>Software Operating</v>
      </c>
      <c r="C524" s="4" t="str">
        <f>VLOOKUP(Table1[[#This Row],[Cost Center Code]],'Cost Center Group'!A:B,2,FALSE)</f>
        <v>Academic and Student Services Office</v>
      </c>
      <c r="D524" s="4">
        <v>847</v>
      </c>
      <c r="E524" s="79">
        <v>8471280</v>
      </c>
      <c r="F524" s="32" t="s">
        <v>355</v>
      </c>
      <c r="G524" s="4">
        <v>1</v>
      </c>
      <c r="H524" s="95">
        <v>426610</v>
      </c>
      <c r="I524" s="106" t="str">
        <f>IFERROR(VLOOKUP(Table1[[#This Row],[Account Code]],'Accoount Code Combination'!$D:$H,2,FALSE),"")</f>
        <v>Computer software licenses</v>
      </c>
      <c r="J524" s="79">
        <v>8471280</v>
      </c>
      <c r="K524" s="4"/>
      <c r="L524" s="4" t="str">
        <f>IFERROR(VLOOKUP(Table1[[#This Row],[Future-1 Description]],'Other '!E512:$F521,2,FALSE),"")</f>
        <v/>
      </c>
      <c r="M524" s="32"/>
      <c r="N524" s="32"/>
      <c r="O524" s="32"/>
      <c r="P524" s="49">
        <v>154274.60999999999</v>
      </c>
      <c r="Q524" s="49">
        <v>120000</v>
      </c>
      <c r="R524" s="32"/>
      <c r="S524" s="4"/>
      <c r="T524" s="32"/>
      <c r="U524" s="32"/>
      <c r="V524" s="32"/>
      <c r="W524" s="32"/>
      <c r="X524" s="33"/>
      <c r="Y524" s="33"/>
      <c r="Z524" s="31">
        <f>Table1[[#This Row],[Quantity of measruing units]]*Table1[[#This Row],[Rate (expected)]]</f>
        <v>0</v>
      </c>
      <c r="AA524" s="31"/>
      <c r="AB524" s="31"/>
      <c r="AC524" s="34">
        <f>Table1[[#This Row],[Quantity (expected)]]*Table1[[#This Row],[Rate (expected)2]]*0.9</f>
        <v>0</v>
      </c>
      <c r="AD524" s="34">
        <f>Table1[[#This Row],[Quantity (expected)]]*Table1[[#This Row],[Rate (expected)2]]*0.8</f>
        <v>0</v>
      </c>
      <c r="AE524" s="34">
        <f>Table1[[#This Row],[Quantity (expected)]]*Table1[[#This Row],[Rate (expected)2]]*0.7</f>
        <v>0</v>
      </c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1">
        <f>SUM(Table1[[#This Row],[Jan-23]:[Dec-23]])</f>
        <v>0</v>
      </c>
      <c r="AV524" s="105"/>
      <c r="AW524" s="32"/>
      <c r="AX524" s="35"/>
    </row>
    <row r="525" spans="1:50" x14ac:dyDescent="0.3">
      <c r="A525" s="30" t="str">
        <f>VLOOKUP(H525,'Accoount Code Combination'!$D:$L,8,FALSE)</f>
        <v>Communiction &amp; Marketing</v>
      </c>
      <c r="B525" s="31" t="str">
        <f>VLOOKUP(Table1[[#This Row],[Account Code]],'Accoount Code Combination'!$D:$L,9,FALSE)</f>
        <v>Gifts</v>
      </c>
      <c r="C525" s="4" t="str">
        <f>VLOOKUP(Table1[[#This Row],[Cost Center Code]],'Cost Center Group'!A:B,2,FALSE)</f>
        <v>Academic and Student Services Office</v>
      </c>
      <c r="D525" s="4">
        <v>847</v>
      </c>
      <c r="E525" s="79">
        <v>8471280</v>
      </c>
      <c r="F525" s="32" t="s">
        <v>355</v>
      </c>
      <c r="G525" s="4">
        <v>1</v>
      </c>
      <c r="H525" s="95">
        <v>428640</v>
      </c>
      <c r="I525" s="106" t="str">
        <f>IFERROR(VLOOKUP(Table1[[#This Row],[Account Code]],'Accoount Code Combination'!$D:$H,2,FALSE),"")</f>
        <v>Events - Awards, prizes &amp; gifts</v>
      </c>
      <c r="J525" s="79">
        <v>8471280</v>
      </c>
      <c r="K525" s="4"/>
      <c r="L525" s="4" t="str">
        <f>IFERROR(VLOOKUP(Table1[[#This Row],[Future-1 Description]],'Other '!E513:$F522,2,FALSE),"")</f>
        <v/>
      </c>
      <c r="M525" s="32"/>
      <c r="N525" s="32"/>
      <c r="O525" s="32"/>
      <c r="P525" s="49">
        <v>0</v>
      </c>
      <c r="Q525" s="49">
        <v>2000</v>
      </c>
      <c r="R525" s="32"/>
      <c r="S525" s="4"/>
      <c r="T525" s="32"/>
      <c r="U525" s="32"/>
      <c r="V525" s="32"/>
      <c r="W525" s="32"/>
      <c r="X525" s="33"/>
      <c r="Y525" s="33"/>
      <c r="Z525" s="31">
        <f>Table1[[#This Row],[Quantity of measruing units]]*Table1[[#This Row],[Rate (expected)]]</f>
        <v>0</v>
      </c>
      <c r="AA525" s="31"/>
      <c r="AB525" s="31"/>
      <c r="AC525" s="34">
        <f>Table1[[#This Row],[Quantity (expected)]]*Table1[[#This Row],[Rate (expected)2]]*0.9</f>
        <v>0</v>
      </c>
      <c r="AD525" s="34">
        <f>Table1[[#This Row],[Quantity (expected)]]*Table1[[#This Row],[Rate (expected)2]]*0.8</f>
        <v>0</v>
      </c>
      <c r="AE525" s="34">
        <f>Table1[[#This Row],[Quantity (expected)]]*Table1[[#This Row],[Rate (expected)2]]*0.7</f>
        <v>0</v>
      </c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1">
        <f>SUM(Table1[[#This Row],[Jan-23]:[Dec-23]])</f>
        <v>0</v>
      </c>
      <c r="AV525" s="105"/>
      <c r="AW525" s="32"/>
      <c r="AX525" s="35"/>
    </row>
    <row r="526" spans="1:50" x14ac:dyDescent="0.3">
      <c r="A526" s="30" t="str">
        <f>VLOOKUP(H526,'Accoount Code Combination'!$D:$L,8,FALSE)</f>
        <v>Facilities</v>
      </c>
      <c r="B526" s="31" t="str">
        <f>VLOOKUP(Table1[[#This Row],[Account Code]],'Accoount Code Combination'!$D:$L,9,FALSE)</f>
        <v>No Applicable</v>
      </c>
      <c r="C526" s="4" t="str">
        <f>VLOOKUP(Table1[[#This Row],[Cost Center Code]],'Cost Center Group'!A:B,2,FALSE)</f>
        <v>Academic and Student Services Office</v>
      </c>
      <c r="D526" s="4">
        <v>847</v>
      </c>
      <c r="E526" s="79">
        <v>8471280</v>
      </c>
      <c r="F526" s="32" t="s">
        <v>355</v>
      </c>
      <c r="G526" s="4">
        <v>1</v>
      </c>
      <c r="H526" s="95">
        <v>432170</v>
      </c>
      <c r="I526" s="106" t="str">
        <f>IFERROR(VLOOKUP(Table1[[#This Row],[Account Code]],'Accoount Code Combination'!$D:$H,2,FALSE),"")</f>
        <v>Bldg decoration &amp; minor improvements</v>
      </c>
      <c r="J526" s="79">
        <v>8471280</v>
      </c>
      <c r="K526" s="4"/>
      <c r="L526" s="4" t="str">
        <f>IFERROR(VLOOKUP(Table1[[#This Row],[Future-1 Description]],'Other '!E514:$F523,2,FALSE),"")</f>
        <v/>
      </c>
      <c r="M526" s="32"/>
      <c r="N526" s="32"/>
      <c r="O526" s="32"/>
      <c r="P526" s="49">
        <v>0</v>
      </c>
      <c r="Q526" s="49">
        <v>0</v>
      </c>
      <c r="R526" s="32"/>
      <c r="S526" s="4"/>
      <c r="T526" s="32"/>
      <c r="U526" s="32"/>
      <c r="V526" s="32"/>
      <c r="W526" s="32"/>
      <c r="X526" s="33"/>
      <c r="Y526" s="33"/>
      <c r="Z526" s="31">
        <f>Table1[[#This Row],[Quantity of measruing units]]*Table1[[#This Row],[Rate (expected)]]</f>
        <v>0</v>
      </c>
      <c r="AA526" s="31"/>
      <c r="AB526" s="31"/>
      <c r="AC526" s="34">
        <f>Table1[[#This Row],[Quantity (expected)]]*Table1[[#This Row],[Rate (expected)2]]*0.9</f>
        <v>0</v>
      </c>
      <c r="AD526" s="34">
        <f>Table1[[#This Row],[Quantity (expected)]]*Table1[[#This Row],[Rate (expected)2]]*0.8</f>
        <v>0</v>
      </c>
      <c r="AE526" s="34">
        <f>Table1[[#This Row],[Quantity (expected)]]*Table1[[#This Row],[Rate (expected)2]]*0.7</f>
        <v>0</v>
      </c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1">
        <f>SUM(Table1[[#This Row],[Jan-23]:[Dec-23]])</f>
        <v>0</v>
      </c>
      <c r="AV526" s="105"/>
      <c r="AW526" s="32"/>
      <c r="AX526" s="35"/>
    </row>
    <row r="527" spans="1:50" x14ac:dyDescent="0.3">
      <c r="A527" s="30" t="str">
        <f>VLOOKUP(H527,'Accoount Code Combination'!$D:$L,8,FALSE)</f>
        <v>Academic</v>
      </c>
      <c r="B527" s="31" t="str">
        <f>VLOOKUP(Table1[[#This Row],[Account Code]],'Accoount Code Combination'!$D:$L,9,FALSE)</f>
        <v>No Applicable</v>
      </c>
      <c r="C527" s="4" t="str">
        <f>VLOOKUP(Table1[[#This Row],[Cost Center Code]],'Cost Center Group'!A:B,2,FALSE)</f>
        <v>Academic and Student Services Office</v>
      </c>
      <c r="D527" s="4">
        <v>847</v>
      </c>
      <c r="E527" s="79">
        <v>8471280</v>
      </c>
      <c r="F527" s="32" t="s">
        <v>355</v>
      </c>
      <c r="G527" s="4">
        <v>1</v>
      </c>
      <c r="H527" s="95">
        <v>435340</v>
      </c>
      <c r="I527" s="106" t="str">
        <f>IFERROR(VLOOKUP(Table1[[#This Row],[Account Code]],'Accoount Code Combination'!$D:$H,2,FALSE),"")</f>
        <v>Text books and library books</v>
      </c>
      <c r="J527" s="79">
        <v>8471280</v>
      </c>
      <c r="K527" s="4"/>
      <c r="L527" s="4" t="str">
        <f>IFERROR(VLOOKUP(Table1[[#This Row],[Future-1 Description]],'Other '!E515:$F524,2,FALSE),"")</f>
        <v/>
      </c>
      <c r="M527" s="32"/>
      <c r="N527" s="32"/>
      <c r="O527" s="32"/>
      <c r="P527" s="49">
        <v>0</v>
      </c>
      <c r="Q527" s="49">
        <v>0</v>
      </c>
      <c r="R527" s="32"/>
      <c r="S527" s="4"/>
      <c r="T527" s="32"/>
      <c r="U527" s="32"/>
      <c r="V527" s="32"/>
      <c r="W527" s="32"/>
      <c r="X527" s="33"/>
      <c r="Y527" s="33"/>
      <c r="Z527" s="31">
        <f>Table1[[#This Row],[Quantity of measruing units]]*Table1[[#This Row],[Rate (expected)]]</f>
        <v>0</v>
      </c>
      <c r="AA527" s="31"/>
      <c r="AB527" s="31"/>
      <c r="AC527" s="34">
        <f>Table1[[#This Row],[Quantity (expected)]]*Table1[[#This Row],[Rate (expected)2]]*0.9</f>
        <v>0</v>
      </c>
      <c r="AD527" s="34">
        <f>Table1[[#This Row],[Quantity (expected)]]*Table1[[#This Row],[Rate (expected)2]]*0.8</f>
        <v>0</v>
      </c>
      <c r="AE527" s="34">
        <f>Table1[[#This Row],[Quantity (expected)]]*Table1[[#This Row],[Rate (expected)2]]*0.7</f>
        <v>0</v>
      </c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1">
        <f>SUM(Table1[[#This Row],[Jan-23]:[Dec-23]])</f>
        <v>0</v>
      </c>
      <c r="AV527" s="105"/>
      <c r="AW527" s="32"/>
      <c r="AX527" s="35"/>
    </row>
    <row r="528" spans="1:50" ht="26" x14ac:dyDescent="0.3">
      <c r="A528" s="30" t="str">
        <f>VLOOKUP(H528,'Accoount Code Combination'!$D:$L,8,FALSE)</f>
        <v>Academic</v>
      </c>
      <c r="B528" s="31" t="str">
        <f>VLOOKUP(Table1[[#This Row],[Account Code]],'Accoount Code Combination'!$D:$L,9,FALSE)</f>
        <v>No Applicable</v>
      </c>
      <c r="C528" s="4" t="str">
        <f>VLOOKUP(Table1[[#This Row],[Cost Center Code]],'Cost Center Group'!A:B,2,FALSE)</f>
        <v>Academic and Student Services Office</v>
      </c>
      <c r="D528" s="4">
        <v>847</v>
      </c>
      <c r="E528" s="79">
        <v>8471280</v>
      </c>
      <c r="F528" s="32" t="s">
        <v>355</v>
      </c>
      <c r="G528" s="4">
        <v>1</v>
      </c>
      <c r="H528" s="95">
        <v>435530</v>
      </c>
      <c r="I528" s="106" t="str">
        <f>IFERROR(VLOOKUP(Table1[[#This Row],[Account Code]],'Accoount Code Combination'!$D:$H,2,FALSE),"")</f>
        <v>School consumables, not specifically mentioned elsewhere</v>
      </c>
      <c r="J528" s="79">
        <v>8471280</v>
      </c>
      <c r="K528" s="4"/>
      <c r="L528" s="4" t="str">
        <f>IFERROR(VLOOKUP(Table1[[#This Row],[Future-1 Description]],'Other '!E516:$F525,2,FALSE),"")</f>
        <v/>
      </c>
      <c r="M528" s="32"/>
      <c r="N528" s="32"/>
      <c r="O528" s="32"/>
      <c r="P528" s="49">
        <v>894.29</v>
      </c>
      <c r="Q528" s="49">
        <v>0</v>
      </c>
      <c r="R528" s="32"/>
      <c r="S528" s="4"/>
      <c r="T528" s="32"/>
      <c r="U528" s="32"/>
      <c r="V528" s="32"/>
      <c r="W528" s="32"/>
      <c r="X528" s="33"/>
      <c r="Y528" s="33"/>
      <c r="Z528" s="31">
        <f>Table1[[#This Row],[Quantity of measruing units]]*Table1[[#This Row],[Rate (expected)]]</f>
        <v>0</v>
      </c>
      <c r="AA528" s="31"/>
      <c r="AB528" s="31"/>
      <c r="AC528" s="34">
        <f>Table1[[#This Row],[Quantity (expected)]]*Table1[[#This Row],[Rate (expected)2]]*0.9</f>
        <v>0</v>
      </c>
      <c r="AD528" s="34">
        <f>Table1[[#This Row],[Quantity (expected)]]*Table1[[#This Row],[Rate (expected)2]]*0.8</f>
        <v>0</v>
      </c>
      <c r="AE528" s="34">
        <f>Table1[[#This Row],[Quantity (expected)]]*Table1[[#This Row],[Rate (expected)2]]*0.7</f>
        <v>0</v>
      </c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1">
        <f>SUM(Table1[[#This Row],[Jan-23]:[Dec-23]])</f>
        <v>0</v>
      </c>
      <c r="AV528" s="105"/>
      <c r="AW528" s="32"/>
      <c r="AX528" s="35"/>
    </row>
    <row r="529" spans="1:50" x14ac:dyDescent="0.3">
      <c r="A529" s="30">
        <f>VLOOKUP(H529,'Accoount Code Combination'!$D:$L,8,FALSE)</f>
        <v>0</v>
      </c>
      <c r="B529" s="31" t="str">
        <f>VLOOKUP(Table1[[#This Row],[Account Code]],'Accoount Code Combination'!$D:$L,9,FALSE)</f>
        <v>No Applicable</v>
      </c>
      <c r="C529" s="4" t="str">
        <f>VLOOKUP(Table1[[#This Row],[Cost Center Code]],'Cost Center Group'!A:B,2,FALSE)</f>
        <v>Academic and Student Services Office</v>
      </c>
      <c r="D529" s="4">
        <v>847</v>
      </c>
      <c r="E529" s="79">
        <v>8471280</v>
      </c>
      <c r="F529" s="32" t="s">
        <v>355</v>
      </c>
      <c r="G529" s="4">
        <v>1</v>
      </c>
      <c r="H529" s="95">
        <v>492316</v>
      </c>
      <c r="I529" s="106" t="str">
        <f>IFERROR(VLOOKUP(Table1[[#This Row],[Account Code]],'Accoount Code Combination'!$D:$H,2,FALSE),"")</f>
        <v>Laboratory equipment</v>
      </c>
      <c r="J529" s="79">
        <v>8471280</v>
      </c>
      <c r="K529" s="4"/>
      <c r="L529" s="4" t="str">
        <f>IFERROR(VLOOKUP(Table1[[#This Row],[Future-1 Description]],'Other '!E517:$F526,2,FALSE),"")</f>
        <v/>
      </c>
      <c r="M529" s="32"/>
      <c r="N529" s="32"/>
      <c r="O529" s="32"/>
      <c r="P529" s="49">
        <v>0</v>
      </c>
      <c r="Q529" s="49">
        <v>0</v>
      </c>
      <c r="R529" s="32"/>
      <c r="S529" s="4"/>
      <c r="T529" s="32"/>
      <c r="U529" s="32"/>
      <c r="V529" s="32"/>
      <c r="W529" s="32"/>
      <c r="X529" s="33"/>
      <c r="Y529" s="33"/>
      <c r="Z529" s="31">
        <f>Table1[[#This Row],[Quantity of measruing units]]*Table1[[#This Row],[Rate (expected)]]</f>
        <v>0</v>
      </c>
      <c r="AA529" s="31"/>
      <c r="AB529" s="31"/>
      <c r="AC529" s="34">
        <f>Table1[[#This Row],[Quantity (expected)]]*Table1[[#This Row],[Rate (expected)2]]*0.9</f>
        <v>0</v>
      </c>
      <c r="AD529" s="34">
        <f>Table1[[#This Row],[Quantity (expected)]]*Table1[[#This Row],[Rate (expected)2]]*0.8</f>
        <v>0</v>
      </c>
      <c r="AE529" s="34">
        <f>Table1[[#This Row],[Quantity (expected)]]*Table1[[#This Row],[Rate (expected)2]]*0.7</f>
        <v>0</v>
      </c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1">
        <f>SUM(Table1[[#This Row],[Jan-23]:[Dec-23]])</f>
        <v>0</v>
      </c>
      <c r="AV529" s="105"/>
      <c r="AW529" s="32"/>
      <c r="AX529" s="35"/>
    </row>
    <row r="530" spans="1:50" x14ac:dyDescent="0.3">
      <c r="A530" s="30" t="str">
        <f>VLOOKUP(H530,'Accoount Code Combination'!$D:$L,8,FALSE)</f>
        <v>Academic</v>
      </c>
      <c r="B530" s="31" t="str">
        <f>VLOOKUP(Table1[[#This Row],[Account Code]],'Accoount Code Combination'!$D:$L,9,FALSE)</f>
        <v>No Applicable</v>
      </c>
      <c r="C530" s="4" t="str">
        <f>VLOOKUP(Table1[[#This Row],[Cost Center Code]],'Cost Center Group'!A:B,2,FALSE)</f>
        <v>College of Medicine &amp; Health Sciences</v>
      </c>
      <c r="D530" s="4">
        <v>847</v>
      </c>
      <c r="E530" s="79">
        <v>8471305</v>
      </c>
      <c r="F530" s="32" t="s">
        <v>32</v>
      </c>
      <c r="G530" s="4">
        <v>1</v>
      </c>
      <c r="H530" s="95">
        <v>420550</v>
      </c>
      <c r="I530" s="106" t="str">
        <f>IFERROR(VLOOKUP(Table1[[#This Row],[Account Code]],'Accoount Code Combination'!$D:$H,2,FALSE),"")</f>
        <v>Academic Advisory Service</v>
      </c>
      <c r="J530" s="79">
        <v>8471305</v>
      </c>
      <c r="K530" s="4"/>
      <c r="L530" s="4" t="str">
        <f>IFERROR(VLOOKUP(Table1[[#This Row],[Future-1 Description]],'Other '!E518:$F527,2,FALSE),"")</f>
        <v/>
      </c>
      <c r="M530" s="32"/>
      <c r="N530" s="32"/>
      <c r="O530" s="32"/>
      <c r="P530" s="49">
        <v>0</v>
      </c>
      <c r="Q530" s="49">
        <v>1</v>
      </c>
      <c r="R530" s="32"/>
      <c r="S530" s="4"/>
      <c r="T530" s="32"/>
      <c r="U530" s="32"/>
      <c r="V530" s="32"/>
      <c r="W530" s="32"/>
      <c r="X530" s="33"/>
      <c r="Y530" s="33"/>
      <c r="Z530" s="31">
        <f>Table1[[#This Row],[Quantity of measruing units]]*Table1[[#This Row],[Rate (expected)]]</f>
        <v>0</v>
      </c>
      <c r="AA530" s="31"/>
      <c r="AB530" s="31"/>
      <c r="AC530" s="34">
        <f>Table1[[#This Row],[Quantity (expected)]]*Table1[[#This Row],[Rate (expected)2]]*0.9</f>
        <v>0</v>
      </c>
      <c r="AD530" s="34">
        <f>Table1[[#This Row],[Quantity (expected)]]*Table1[[#This Row],[Rate (expected)2]]*0.8</f>
        <v>0</v>
      </c>
      <c r="AE530" s="34">
        <f>Table1[[#This Row],[Quantity (expected)]]*Table1[[#This Row],[Rate (expected)2]]*0.7</f>
        <v>0</v>
      </c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1">
        <f>SUM(Table1[[#This Row],[Jan-23]:[Dec-23]])</f>
        <v>0</v>
      </c>
      <c r="AV530" s="105"/>
      <c r="AW530" s="32"/>
      <c r="AX530" s="35"/>
    </row>
    <row r="531" spans="1:50" ht="26" x14ac:dyDescent="0.3">
      <c r="A531" s="30" t="str">
        <f>VLOOKUP(H531,'Accoount Code Combination'!$D:$L,8,FALSE)</f>
        <v>Academic</v>
      </c>
      <c r="B531" s="31" t="str">
        <f>VLOOKUP(Table1[[#This Row],[Account Code]],'Accoount Code Combination'!$D:$L,9,FALSE)</f>
        <v>No Applicable</v>
      </c>
      <c r="C531" s="4" t="str">
        <f>VLOOKUP(Table1[[#This Row],[Cost Center Code]],'Cost Center Group'!A:B,2,FALSE)</f>
        <v>College of Medicine &amp; Health Sciences</v>
      </c>
      <c r="D531" s="4">
        <v>847</v>
      </c>
      <c r="E531" s="79">
        <v>8471305</v>
      </c>
      <c r="F531" s="32" t="s">
        <v>32</v>
      </c>
      <c r="G531" s="4">
        <v>1</v>
      </c>
      <c r="H531" s="95">
        <v>420570</v>
      </c>
      <c r="I531" s="106" t="str">
        <f>IFERROR(VLOOKUP(Table1[[#This Row],[Account Code]],'Accoount Code Combination'!$D:$H,2,FALSE),"")</f>
        <v>Academic Collaborative Partnership Services</v>
      </c>
      <c r="J531" s="79">
        <v>8471305</v>
      </c>
      <c r="K531" s="4"/>
      <c r="L531" s="4" t="str">
        <f>IFERROR(VLOOKUP(Table1[[#This Row],[Future-1 Description]],'Other '!E519:$F528,2,FALSE),"")</f>
        <v/>
      </c>
      <c r="M531" s="32"/>
      <c r="N531" s="32"/>
      <c r="O531" s="32"/>
      <c r="P531" s="49">
        <v>0</v>
      </c>
      <c r="Q531" s="49">
        <v>1</v>
      </c>
      <c r="R531" s="32"/>
      <c r="S531" s="4"/>
      <c r="T531" s="32"/>
      <c r="U531" s="32"/>
      <c r="V531" s="32"/>
      <c r="W531" s="32"/>
      <c r="X531" s="33"/>
      <c r="Y531" s="33"/>
      <c r="Z531" s="31">
        <f>Table1[[#This Row],[Quantity of measruing units]]*Table1[[#This Row],[Rate (expected)]]</f>
        <v>0</v>
      </c>
      <c r="AA531" s="31"/>
      <c r="AB531" s="31"/>
      <c r="AC531" s="34">
        <f>Table1[[#This Row],[Quantity (expected)]]*Table1[[#This Row],[Rate (expected)2]]*0.9</f>
        <v>0</v>
      </c>
      <c r="AD531" s="34">
        <f>Table1[[#This Row],[Quantity (expected)]]*Table1[[#This Row],[Rate (expected)2]]*0.8</f>
        <v>0</v>
      </c>
      <c r="AE531" s="34">
        <f>Table1[[#This Row],[Quantity (expected)]]*Table1[[#This Row],[Rate (expected)2]]*0.7</f>
        <v>0</v>
      </c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1">
        <f>SUM(Table1[[#This Row],[Jan-23]:[Dec-23]])</f>
        <v>0</v>
      </c>
      <c r="AV531" s="105"/>
      <c r="AW531" s="32"/>
      <c r="AX531" s="35"/>
    </row>
    <row r="532" spans="1:50" x14ac:dyDescent="0.3">
      <c r="A532" s="30" t="str">
        <f>VLOOKUP(H532,'Accoount Code Combination'!$D:$L,8,FALSE)</f>
        <v>IT</v>
      </c>
      <c r="B532" s="31" t="str">
        <f>VLOOKUP(Table1[[#This Row],[Account Code]],'Accoount Code Combination'!$D:$L,9,FALSE)</f>
        <v>No Applicable</v>
      </c>
      <c r="C532" s="4" t="str">
        <f>VLOOKUP(Table1[[#This Row],[Cost Center Code]],'Cost Center Group'!A:B,2,FALSE)</f>
        <v>College of Medicine &amp; Health Sciences</v>
      </c>
      <c r="D532" s="4">
        <v>847</v>
      </c>
      <c r="E532" s="79">
        <v>8471305</v>
      </c>
      <c r="F532" s="32" t="s">
        <v>32</v>
      </c>
      <c r="G532" s="4">
        <v>1</v>
      </c>
      <c r="H532" s="95">
        <v>420810</v>
      </c>
      <c r="I532" s="106" t="str">
        <f>IFERROR(VLOOKUP(Table1[[#This Row],[Account Code]],'Accoount Code Combination'!$D:$H,2,FALSE),"")</f>
        <v>IT Systems &amp; Support expenses</v>
      </c>
      <c r="J532" s="79">
        <v>8471305</v>
      </c>
      <c r="K532" s="4"/>
      <c r="L532" s="4" t="str">
        <f>IFERROR(VLOOKUP(Table1[[#This Row],[Future-1 Description]],'Other '!E520:$F529,2,FALSE),"")</f>
        <v/>
      </c>
      <c r="M532" s="32"/>
      <c r="N532" s="32"/>
      <c r="O532" s="32"/>
      <c r="P532" s="49">
        <v>595.15</v>
      </c>
      <c r="Q532" s="49">
        <v>1000000</v>
      </c>
      <c r="R532" s="32"/>
      <c r="S532" s="4"/>
      <c r="T532" s="32"/>
      <c r="U532" s="32"/>
      <c r="V532" s="32"/>
      <c r="W532" s="32"/>
      <c r="X532" s="33"/>
      <c r="Y532" s="33"/>
      <c r="Z532" s="31">
        <f>Table1[[#This Row],[Quantity of measruing units]]*Table1[[#This Row],[Rate (expected)]]</f>
        <v>0</v>
      </c>
      <c r="AA532" s="31"/>
      <c r="AB532" s="31"/>
      <c r="AC532" s="34">
        <f>Table1[[#This Row],[Quantity (expected)]]*Table1[[#This Row],[Rate (expected)2]]*0.9</f>
        <v>0</v>
      </c>
      <c r="AD532" s="34">
        <f>Table1[[#This Row],[Quantity (expected)]]*Table1[[#This Row],[Rate (expected)2]]*0.8</f>
        <v>0</v>
      </c>
      <c r="AE532" s="34">
        <f>Table1[[#This Row],[Quantity (expected)]]*Table1[[#This Row],[Rate (expected)2]]*0.7</f>
        <v>0</v>
      </c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1">
        <f>SUM(Table1[[#This Row],[Jan-23]:[Dec-23]])</f>
        <v>0</v>
      </c>
      <c r="AV532" s="105"/>
      <c r="AW532" s="32"/>
      <c r="AX532" s="35"/>
    </row>
    <row r="533" spans="1:50" x14ac:dyDescent="0.3">
      <c r="A533" s="30" t="str">
        <f>VLOOKUP(H533,'Accoount Code Combination'!$D:$L,8,FALSE)</f>
        <v>HR</v>
      </c>
      <c r="B533" s="31" t="str">
        <f>VLOOKUP(Table1[[#This Row],[Account Code]],'Accoount Code Combination'!$D:$L,9,FALSE)</f>
        <v>Consultancy</v>
      </c>
      <c r="C533" s="4" t="str">
        <f>VLOOKUP(Table1[[#This Row],[Cost Center Code]],'Cost Center Group'!A:B,2,FALSE)</f>
        <v>College of Medicine &amp; Health Sciences</v>
      </c>
      <c r="D533" s="4">
        <v>847</v>
      </c>
      <c r="E533" s="79">
        <v>8471305</v>
      </c>
      <c r="F533" s="32" t="s">
        <v>32</v>
      </c>
      <c r="G533" s="4">
        <v>1</v>
      </c>
      <c r="H533" s="95">
        <v>421000</v>
      </c>
      <c r="I533" s="106" t="str">
        <f>IFERROR(VLOOKUP(Table1[[#This Row],[Account Code]],'Accoount Code Combination'!$D:$H,2,FALSE),"")</f>
        <v>Management consultancy</v>
      </c>
      <c r="J533" s="79">
        <v>8471305</v>
      </c>
      <c r="K533" s="4"/>
      <c r="L533" s="4" t="str">
        <f>IFERROR(VLOOKUP(Table1[[#This Row],[Future-1 Description]],'Other '!E521:$F530,2,FALSE),"")</f>
        <v/>
      </c>
      <c r="M533" s="32"/>
      <c r="N533" s="32"/>
      <c r="O533" s="32"/>
      <c r="P533" s="49">
        <v>332158.7</v>
      </c>
      <c r="Q533" s="49">
        <v>0</v>
      </c>
      <c r="R533" s="32"/>
      <c r="S533" s="4"/>
      <c r="T533" s="32"/>
      <c r="U533" s="32"/>
      <c r="V533" s="32"/>
      <c r="W533" s="32"/>
      <c r="X533" s="33"/>
      <c r="Y533" s="33"/>
      <c r="Z533" s="31">
        <f>Table1[[#This Row],[Quantity of measruing units]]*Table1[[#This Row],[Rate (expected)]]</f>
        <v>0</v>
      </c>
      <c r="AA533" s="31"/>
      <c r="AB533" s="31"/>
      <c r="AC533" s="34">
        <f>Table1[[#This Row],[Quantity (expected)]]*Table1[[#This Row],[Rate (expected)2]]*0.9</f>
        <v>0</v>
      </c>
      <c r="AD533" s="34">
        <f>Table1[[#This Row],[Quantity (expected)]]*Table1[[#This Row],[Rate (expected)2]]*0.8</f>
        <v>0</v>
      </c>
      <c r="AE533" s="34">
        <f>Table1[[#This Row],[Quantity (expected)]]*Table1[[#This Row],[Rate (expected)2]]*0.7</f>
        <v>0</v>
      </c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1">
        <f>SUM(Table1[[#This Row],[Jan-23]:[Dec-23]])</f>
        <v>0</v>
      </c>
      <c r="AV533" s="105"/>
      <c r="AW533" s="32"/>
      <c r="AX533" s="35"/>
    </row>
    <row r="534" spans="1:50" x14ac:dyDescent="0.3">
      <c r="A534" s="30" t="str">
        <f>VLOOKUP(H534,'Accoount Code Combination'!$D:$L,8,FALSE)</f>
        <v>Academic</v>
      </c>
      <c r="B534" s="31" t="str">
        <f>VLOOKUP(Table1[[#This Row],[Account Code]],'Accoount Code Combination'!$D:$L,9,FALSE)</f>
        <v>No Applicable</v>
      </c>
      <c r="C534" s="4" t="str">
        <f>VLOOKUP(Table1[[#This Row],[Cost Center Code]],'Cost Center Group'!A:B,2,FALSE)</f>
        <v>College of Medicine &amp; Health Sciences</v>
      </c>
      <c r="D534" s="4">
        <v>847</v>
      </c>
      <c r="E534" s="79">
        <v>8471305</v>
      </c>
      <c r="F534" s="32" t="s">
        <v>32</v>
      </c>
      <c r="G534" s="4">
        <v>1</v>
      </c>
      <c r="H534" s="95">
        <v>421700</v>
      </c>
      <c r="I534" s="106" t="str">
        <f>IFERROR(VLOOKUP(Table1[[#This Row],[Account Code]],'Accoount Code Combination'!$D:$H,2,FALSE),"")</f>
        <v>Standards certification (e.g. ISO)</v>
      </c>
      <c r="J534" s="79">
        <v>8471305</v>
      </c>
      <c r="K534" s="4"/>
      <c r="L534" s="4" t="str">
        <f>IFERROR(VLOOKUP(Table1[[#This Row],[Future-1 Description]],'Other '!E522:$F531,2,FALSE),"")</f>
        <v/>
      </c>
      <c r="M534" s="32"/>
      <c r="N534" s="32"/>
      <c r="O534" s="32"/>
      <c r="P534" s="49">
        <v>196900</v>
      </c>
      <c r="Q534" s="49">
        <v>186258</v>
      </c>
      <c r="R534" s="32"/>
      <c r="S534" s="4"/>
      <c r="T534" s="32"/>
      <c r="U534" s="32"/>
      <c r="V534" s="32"/>
      <c r="W534" s="32"/>
      <c r="X534" s="33"/>
      <c r="Y534" s="33"/>
      <c r="Z534" s="31">
        <f>Table1[[#This Row],[Quantity of measruing units]]*Table1[[#This Row],[Rate (expected)]]</f>
        <v>0</v>
      </c>
      <c r="AA534" s="31"/>
      <c r="AB534" s="31"/>
      <c r="AC534" s="34">
        <f>Table1[[#This Row],[Quantity (expected)]]*Table1[[#This Row],[Rate (expected)2]]*0.9</f>
        <v>0</v>
      </c>
      <c r="AD534" s="34">
        <f>Table1[[#This Row],[Quantity (expected)]]*Table1[[#This Row],[Rate (expected)2]]*0.8</f>
        <v>0</v>
      </c>
      <c r="AE534" s="34">
        <f>Table1[[#This Row],[Quantity (expected)]]*Table1[[#This Row],[Rate (expected)2]]*0.7</f>
        <v>0</v>
      </c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1">
        <f>SUM(Table1[[#This Row],[Jan-23]:[Dec-23]])</f>
        <v>0</v>
      </c>
      <c r="AV534" s="105"/>
      <c r="AW534" s="32"/>
      <c r="AX534" s="35"/>
    </row>
    <row r="535" spans="1:50" x14ac:dyDescent="0.3">
      <c r="A535" s="30" t="str">
        <f>VLOOKUP(H535,'Accoount Code Combination'!$D:$L,8,FALSE)</f>
        <v xml:space="preserve">Facilities </v>
      </c>
      <c r="B535" s="31" t="str">
        <f>VLOOKUP(Table1[[#This Row],[Account Code]],'Accoount Code Combination'!$D:$L,9,FALSE)</f>
        <v>No Applicable</v>
      </c>
      <c r="C535" s="4" t="str">
        <f>VLOOKUP(Table1[[#This Row],[Cost Center Code]],'Cost Center Group'!A:B,2,FALSE)</f>
        <v>College of Medicine &amp; Health Sciences</v>
      </c>
      <c r="D535" s="4">
        <v>847</v>
      </c>
      <c r="E535" s="79">
        <v>8471305</v>
      </c>
      <c r="F535" s="32" t="s">
        <v>32</v>
      </c>
      <c r="G535" s="4">
        <v>1</v>
      </c>
      <c r="H535" s="95">
        <v>422100</v>
      </c>
      <c r="I535" s="106" t="str">
        <f>IFERROR(VLOOKUP(Table1[[#This Row],[Account Code]],'Accoount Code Combination'!$D:$H,2,FALSE),"")</f>
        <v>Waste management service</v>
      </c>
      <c r="J535" s="79">
        <v>8471305</v>
      </c>
      <c r="K535" s="4"/>
      <c r="L535" s="4" t="str">
        <f>IFERROR(VLOOKUP(Table1[[#This Row],[Future-1 Description]],'Other '!E523:$F532,2,FALSE),"")</f>
        <v/>
      </c>
      <c r="M535" s="32"/>
      <c r="N535" s="32"/>
      <c r="O535" s="32"/>
      <c r="P535" s="49">
        <v>0</v>
      </c>
      <c r="Q535" s="49">
        <v>59066</v>
      </c>
      <c r="R535" s="32"/>
      <c r="S535" s="4"/>
      <c r="T535" s="32"/>
      <c r="U535" s="32"/>
      <c r="V535" s="32"/>
      <c r="W535" s="32"/>
      <c r="X535" s="33"/>
      <c r="Y535" s="33"/>
      <c r="Z535" s="31">
        <f>Table1[[#This Row],[Quantity of measruing units]]*Table1[[#This Row],[Rate (expected)]]</f>
        <v>0</v>
      </c>
      <c r="AA535" s="31"/>
      <c r="AB535" s="31"/>
      <c r="AC535" s="34">
        <f>Table1[[#This Row],[Quantity (expected)]]*Table1[[#This Row],[Rate (expected)2]]*0.9</f>
        <v>0</v>
      </c>
      <c r="AD535" s="34">
        <f>Table1[[#This Row],[Quantity (expected)]]*Table1[[#This Row],[Rate (expected)2]]*0.8</f>
        <v>0</v>
      </c>
      <c r="AE535" s="34">
        <f>Table1[[#This Row],[Quantity (expected)]]*Table1[[#This Row],[Rate (expected)2]]*0.7</f>
        <v>0</v>
      </c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1">
        <f>SUM(Table1[[#This Row],[Jan-23]:[Dec-23]])</f>
        <v>0</v>
      </c>
      <c r="AV535" s="105"/>
      <c r="AW535" s="32"/>
      <c r="AX535" s="35"/>
    </row>
    <row r="536" spans="1:50" ht="26" x14ac:dyDescent="0.3">
      <c r="A536" s="30">
        <f>VLOOKUP(H536,'Accoount Code Combination'!$D:$L,8,FALSE)</f>
        <v>0</v>
      </c>
      <c r="B536" s="31" t="str">
        <f>VLOOKUP(Table1[[#This Row],[Account Code]],'Accoount Code Combination'!$D:$L,9,FALSE)</f>
        <v>No Applicable</v>
      </c>
      <c r="C536" s="4" t="str">
        <f>VLOOKUP(Table1[[#This Row],[Cost Center Code]],'Cost Center Group'!A:B,2,FALSE)</f>
        <v>College of Medicine &amp; Health Sciences</v>
      </c>
      <c r="D536" s="4">
        <v>847</v>
      </c>
      <c r="E536" s="79">
        <v>8471305</v>
      </c>
      <c r="F536" s="32" t="s">
        <v>32</v>
      </c>
      <c r="G536" s="4">
        <v>1</v>
      </c>
      <c r="H536" s="95">
        <v>422900</v>
      </c>
      <c r="I536" s="106" t="str">
        <f>IFERROR(VLOOKUP(Table1[[#This Row],[Account Code]],'Accoount Code Combination'!$D:$H,2,FALSE),"")</f>
        <v>Other specialised professional services, not mentioned elsewhere</v>
      </c>
      <c r="J536" s="79">
        <v>8471305</v>
      </c>
      <c r="K536" s="4"/>
      <c r="L536" s="4" t="str">
        <f>IFERROR(VLOOKUP(Table1[[#This Row],[Future-1 Description]],'Other '!E524:$F533,2,FALSE),"")</f>
        <v/>
      </c>
      <c r="M536" s="32"/>
      <c r="N536" s="32"/>
      <c r="O536" s="32"/>
      <c r="P536" s="49">
        <v>15988.5</v>
      </c>
      <c r="Q536" s="49">
        <v>61934</v>
      </c>
      <c r="R536" s="32"/>
      <c r="S536" s="4"/>
      <c r="T536" s="32"/>
      <c r="U536" s="32"/>
      <c r="V536" s="32"/>
      <c r="W536" s="32"/>
      <c r="X536" s="33"/>
      <c r="Y536" s="33"/>
      <c r="Z536" s="31">
        <f>Table1[[#This Row],[Quantity of measruing units]]*Table1[[#This Row],[Rate (expected)]]</f>
        <v>0</v>
      </c>
      <c r="AA536" s="31"/>
      <c r="AB536" s="31"/>
      <c r="AC536" s="34">
        <f>Table1[[#This Row],[Quantity (expected)]]*Table1[[#This Row],[Rate (expected)2]]*0.9</f>
        <v>0</v>
      </c>
      <c r="AD536" s="34">
        <f>Table1[[#This Row],[Quantity (expected)]]*Table1[[#This Row],[Rate (expected)2]]*0.8</f>
        <v>0</v>
      </c>
      <c r="AE536" s="34">
        <f>Table1[[#This Row],[Quantity (expected)]]*Table1[[#This Row],[Rate (expected)2]]*0.7</f>
        <v>0</v>
      </c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1">
        <f>SUM(Table1[[#This Row],[Jan-23]:[Dec-23]])</f>
        <v>0</v>
      </c>
      <c r="AV536" s="105"/>
      <c r="AW536" s="32"/>
      <c r="AX536" s="35"/>
    </row>
    <row r="537" spans="1:50" x14ac:dyDescent="0.3">
      <c r="A537" s="30" t="str">
        <f>VLOOKUP(H537,'Accoount Code Combination'!$D:$L,8,FALSE)</f>
        <v>Communiction &amp; Marketing</v>
      </c>
      <c r="B537" s="31" t="str">
        <f>VLOOKUP(Table1[[#This Row],[Account Code]],'Accoount Code Combination'!$D:$L,9,FALSE)</f>
        <v>Advertising</v>
      </c>
      <c r="C537" s="4" t="str">
        <f>VLOOKUP(Table1[[#This Row],[Cost Center Code]],'Cost Center Group'!A:B,2,FALSE)</f>
        <v>College of Medicine &amp; Health Sciences</v>
      </c>
      <c r="D537" s="4">
        <v>847</v>
      </c>
      <c r="E537" s="79">
        <v>8471305</v>
      </c>
      <c r="F537" s="32" t="s">
        <v>32</v>
      </c>
      <c r="G537" s="4">
        <v>1</v>
      </c>
      <c r="H537" s="95">
        <v>425100</v>
      </c>
      <c r="I537" s="106" t="str">
        <f>IFERROR(VLOOKUP(Table1[[#This Row],[Account Code]],'Accoount Code Combination'!$D:$H,2,FALSE),"")</f>
        <v>Advertising</v>
      </c>
      <c r="J537" s="79">
        <v>8471305</v>
      </c>
      <c r="K537" s="4"/>
      <c r="L537" s="4" t="str">
        <f>IFERROR(VLOOKUP(Table1[[#This Row],[Future-1 Description]],'Other '!E525:$F534,2,FALSE),"")</f>
        <v/>
      </c>
      <c r="M537" s="32"/>
      <c r="N537" s="32"/>
      <c r="O537" s="32"/>
      <c r="P537" s="49">
        <v>129219.05</v>
      </c>
      <c r="Q537" s="49">
        <v>129220</v>
      </c>
      <c r="R537" s="32"/>
      <c r="S537" s="4"/>
      <c r="T537" s="32"/>
      <c r="U537" s="32"/>
      <c r="V537" s="32"/>
      <c r="W537" s="32"/>
      <c r="X537" s="33"/>
      <c r="Y537" s="33"/>
      <c r="Z537" s="31">
        <f>Table1[[#This Row],[Quantity of measruing units]]*Table1[[#This Row],[Rate (expected)]]</f>
        <v>0</v>
      </c>
      <c r="AA537" s="31"/>
      <c r="AB537" s="31"/>
      <c r="AC537" s="34">
        <f>Table1[[#This Row],[Quantity (expected)]]*Table1[[#This Row],[Rate (expected)2]]*0.9</f>
        <v>0</v>
      </c>
      <c r="AD537" s="34">
        <f>Table1[[#This Row],[Quantity (expected)]]*Table1[[#This Row],[Rate (expected)2]]*0.8</f>
        <v>0</v>
      </c>
      <c r="AE537" s="34">
        <f>Table1[[#This Row],[Quantity (expected)]]*Table1[[#This Row],[Rate (expected)2]]*0.7</f>
        <v>0</v>
      </c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1">
        <f>SUM(Table1[[#This Row],[Jan-23]:[Dec-23]])</f>
        <v>0</v>
      </c>
      <c r="AV537" s="105"/>
      <c r="AW537" s="32"/>
      <c r="AX537" s="35"/>
    </row>
    <row r="538" spans="1:50" ht="26" x14ac:dyDescent="0.3">
      <c r="A538" s="30" t="str">
        <f>VLOOKUP(H538,'Accoount Code Combination'!$D:$L,8,FALSE)</f>
        <v>Communiction &amp; Marketing</v>
      </c>
      <c r="B538" s="31" t="str">
        <f>VLOOKUP(Table1[[#This Row],[Account Code]],'Accoount Code Combination'!$D:$L,9,FALSE)</f>
        <v>Events</v>
      </c>
      <c r="C538" s="4" t="str">
        <f>VLOOKUP(Table1[[#This Row],[Cost Center Code]],'Cost Center Group'!A:B,2,FALSE)</f>
        <v>College of Medicine &amp; Health Sciences</v>
      </c>
      <c r="D538" s="4">
        <v>847</v>
      </c>
      <c r="E538" s="79">
        <v>8471305</v>
      </c>
      <c r="F538" s="32" t="s">
        <v>32</v>
      </c>
      <c r="G538" s="4">
        <v>1</v>
      </c>
      <c r="H538" s="95">
        <v>425510</v>
      </c>
      <c r="I538" s="106" t="str">
        <f>IFERROR(VLOOKUP(Table1[[#This Row],[Account Code]],'Accoount Code Combination'!$D:$H,2,FALSE),"")</f>
        <v>Conferences, seminars and exhibitions and other events: - Local Events</v>
      </c>
      <c r="J538" s="79">
        <v>8471305</v>
      </c>
      <c r="K538" s="4"/>
      <c r="L538" s="4" t="str">
        <f>IFERROR(VLOOKUP(Table1[[#This Row],[Future-1 Description]],'Other '!E526:$F535,2,FALSE),"")</f>
        <v/>
      </c>
      <c r="M538" s="32"/>
      <c r="N538" s="32"/>
      <c r="O538" s="32"/>
      <c r="P538" s="49">
        <v>114960</v>
      </c>
      <c r="Q538" s="49">
        <v>114961</v>
      </c>
      <c r="R538" s="32"/>
      <c r="S538" s="4"/>
      <c r="T538" s="32"/>
      <c r="U538" s="32"/>
      <c r="V538" s="32"/>
      <c r="W538" s="32"/>
      <c r="X538" s="33"/>
      <c r="Y538" s="33"/>
      <c r="Z538" s="31">
        <f>Table1[[#This Row],[Quantity of measruing units]]*Table1[[#This Row],[Rate (expected)]]</f>
        <v>0</v>
      </c>
      <c r="AA538" s="31"/>
      <c r="AB538" s="31"/>
      <c r="AC538" s="34">
        <f>Table1[[#This Row],[Quantity (expected)]]*Table1[[#This Row],[Rate (expected)2]]*0.9</f>
        <v>0</v>
      </c>
      <c r="AD538" s="34">
        <f>Table1[[#This Row],[Quantity (expected)]]*Table1[[#This Row],[Rate (expected)2]]*0.8</f>
        <v>0</v>
      </c>
      <c r="AE538" s="34">
        <f>Table1[[#This Row],[Quantity (expected)]]*Table1[[#This Row],[Rate (expected)2]]*0.7</f>
        <v>0</v>
      </c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1">
        <f>SUM(Table1[[#This Row],[Jan-23]:[Dec-23]])</f>
        <v>0</v>
      </c>
      <c r="AV538" s="105"/>
      <c r="AW538" s="32"/>
      <c r="AX538" s="35"/>
    </row>
    <row r="539" spans="1:50" ht="26" x14ac:dyDescent="0.3">
      <c r="A539" s="30" t="str">
        <f>VLOOKUP(H539,'Accoount Code Combination'!$D:$L,8,FALSE)</f>
        <v>Communiction &amp; Marketing</v>
      </c>
      <c r="B539" s="31" t="str">
        <f>VLOOKUP(Table1[[#This Row],[Account Code]],'Accoount Code Combination'!$D:$L,9,FALSE)</f>
        <v>No Applicable</v>
      </c>
      <c r="C539" s="4" t="str">
        <f>VLOOKUP(Table1[[#This Row],[Cost Center Code]],'Cost Center Group'!A:B,2,FALSE)</f>
        <v>College of Medicine &amp; Health Sciences</v>
      </c>
      <c r="D539" s="4">
        <v>847</v>
      </c>
      <c r="E539" s="79">
        <v>8471305</v>
      </c>
      <c r="F539" s="32" t="s">
        <v>32</v>
      </c>
      <c r="G539" s="4">
        <v>1</v>
      </c>
      <c r="H539" s="95">
        <v>425550</v>
      </c>
      <c r="I539" s="106" t="str">
        <f>IFERROR(VLOOKUP(Table1[[#This Row],[Account Code]],'Accoount Code Combination'!$D:$H,2,FALSE),"")</f>
        <v>Conferences, seminars and exhibitions and other events: - Overseas event</v>
      </c>
      <c r="J539" s="79">
        <v>8471305</v>
      </c>
      <c r="K539" s="4"/>
      <c r="L539" s="4" t="str">
        <f>IFERROR(VLOOKUP(Table1[[#This Row],[Future-1 Description]],'Other '!E527:$F536,2,FALSE),"")</f>
        <v/>
      </c>
      <c r="M539" s="32"/>
      <c r="N539" s="32"/>
      <c r="O539" s="32"/>
      <c r="P539" s="49">
        <v>38256.44</v>
      </c>
      <c r="Q539" s="49">
        <v>53774</v>
      </c>
      <c r="R539" s="32"/>
      <c r="S539" s="4"/>
      <c r="T539" s="32"/>
      <c r="U539" s="32"/>
      <c r="V539" s="32"/>
      <c r="W539" s="32"/>
      <c r="X539" s="33"/>
      <c r="Y539" s="33"/>
      <c r="Z539" s="31">
        <f>Table1[[#This Row],[Quantity of measruing units]]*Table1[[#This Row],[Rate (expected)]]</f>
        <v>0</v>
      </c>
      <c r="AA539" s="31"/>
      <c r="AB539" s="31"/>
      <c r="AC539" s="34">
        <f>Table1[[#This Row],[Quantity (expected)]]*Table1[[#This Row],[Rate (expected)2]]*0.9</f>
        <v>0</v>
      </c>
      <c r="AD539" s="34">
        <f>Table1[[#This Row],[Quantity (expected)]]*Table1[[#This Row],[Rate (expected)2]]*0.8</f>
        <v>0</v>
      </c>
      <c r="AE539" s="34">
        <f>Table1[[#This Row],[Quantity (expected)]]*Table1[[#This Row],[Rate (expected)2]]*0.7</f>
        <v>0</v>
      </c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1">
        <f>SUM(Table1[[#This Row],[Jan-23]:[Dec-23]])</f>
        <v>0</v>
      </c>
      <c r="AV539" s="105"/>
      <c r="AW539" s="32"/>
      <c r="AX539" s="35"/>
    </row>
    <row r="540" spans="1:50" x14ac:dyDescent="0.3">
      <c r="A540" s="30" t="str">
        <f>VLOOKUP(H540,'Accoount Code Combination'!$D:$L,8,FALSE)</f>
        <v>Student</v>
      </c>
      <c r="B540" s="31" t="str">
        <f>VLOOKUP(Table1[[#This Row],[Account Code]],'Accoount Code Combination'!$D:$L,9,FALSE)</f>
        <v>No Applicable</v>
      </c>
      <c r="C540" s="4" t="str">
        <f>VLOOKUP(Table1[[#This Row],[Cost Center Code]],'Cost Center Group'!A:B,2,FALSE)</f>
        <v>College of Medicine &amp; Health Sciences</v>
      </c>
      <c r="D540" s="4">
        <v>847</v>
      </c>
      <c r="E540" s="79">
        <v>8471305</v>
      </c>
      <c r="F540" s="32" t="s">
        <v>32</v>
      </c>
      <c r="G540" s="4">
        <v>1</v>
      </c>
      <c r="H540" s="95">
        <v>425720</v>
      </c>
      <c r="I540" s="106" t="str">
        <f>IFERROR(VLOOKUP(Table1[[#This Row],[Account Code]],'Accoount Code Combination'!$D:$H,2,FALSE),"")</f>
        <v>Education-Outsourced training service</v>
      </c>
      <c r="J540" s="79">
        <v>8471305</v>
      </c>
      <c r="K540" s="4"/>
      <c r="L540" s="4" t="str">
        <f>IFERROR(VLOOKUP(Table1[[#This Row],[Future-1 Description]],'Other '!E528:$F537,2,FALSE),"")</f>
        <v/>
      </c>
      <c r="M540" s="32"/>
      <c r="N540" s="32"/>
      <c r="O540" s="32"/>
      <c r="P540" s="49">
        <v>1194435.0900000001</v>
      </c>
      <c r="Q540" s="49">
        <v>2092953</v>
      </c>
      <c r="R540" s="32"/>
      <c r="S540" s="4"/>
      <c r="T540" s="32"/>
      <c r="U540" s="32"/>
      <c r="V540" s="32"/>
      <c r="W540" s="32"/>
      <c r="X540" s="33"/>
      <c r="Y540" s="33"/>
      <c r="Z540" s="31">
        <f>Table1[[#This Row],[Quantity of measruing units]]*Table1[[#This Row],[Rate (expected)]]</f>
        <v>0</v>
      </c>
      <c r="AA540" s="31"/>
      <c r="AB540" s="31"/>
      <c r="AC540" s="34">
        <f>Table1[[#This Row],[Quantity (expected)]]*Table1[[#This Row],[Rate (expected)2]]*0.9</f>
        <v>0</v>
      </c>
      <c r="AD540" s="34">
        <f>Table1[[#This Row],[Quantity (expected)]]*Table1[[#This Row],[Rate (expected)2]]*0.8</f>
        <v>0</v>
      </c>
      <c r="AE540" s="34">
        <f>Table1[[#This Row],[Quantity (expected)]]*Table1[[#This Row],[Rate (expected)2]]*0.7</f>
        <v>0</v>
      </c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1">
        <f>SUM(Table1[[#This Row],[Jan-23]:[Dec-23]])</f>
        <v>0</v>
      </c>
      <c r="AV540" s="105"/>
      <c r="AW540" s="32"/>
      <c r="AX540" s="35"/>
    </row>
    <row r="541" spans="1:50" x14ac:dyDescent="0.3">
      <c r="A541" s="30" t="str">
        <f>VLOOKUP(H541,'Accoount Code Combination'!$D:$L,8,FALSE)</f>
        <v>Student</v>
      </c>
      <c r="B541" s="31" t="str">
        <f>VLOOKUP(Table1[[#This Row],[Account Code]],'Accoount Code Combination'!$D:$L,9,FALSE)</f>
        <v>No Applicable</v>
      </c>
      <c r="C541" s="4" t="str">
        <f>VLOOKUP(Table1[[#This Row],[Cost Center Code]],'Cost Center Group'!A:B,2,FALSE)</f>
        <v>College of Medicine &amp; Health Sciences</v>
      </c>
      <c r="D541" s="4">
        <v>847</v>
      </c>
      <c r="E541" s="79">
        <v>8471305</v>
      </c>
      <c r="F541" s="32" t="s">
        <v>32</v>
      </c>
      <c r="G541" s="4">
        <v>1</v>
      </c>
      <c r="H541" s="95">
        <v>425741</v>
      </c>
      <c r="I541" s="106" t="str">
        <f>IFERROR(VLOOKUP(Table1[[#This Row],[Account Code]],'Accoount Code Combination'!$D:$H,2,FALSE),"")</f>
        <v>Student stipend</v>
      </c>
      <c r="J541" s="79">
        <v>8471305</v>
      </c>
      <c r="K541" s="4"/>
      <c r="L541" s="4" t="str">
        <f>IFERROR(VLOOKUP(Table1[[#This Row],[Future-1 Description]],'Other '!E529:$F538,2,FALSE),"")</f>
        <v/>
      </c>
      <c r="M541" s="32"/>
      <c r="N541" s="32"/>
      <c r="O541" s="32"/>
      <c r="P541" s="49">
        <v>5265866.68</v>
      </c>
      <c r="Q541" s="49">
        <v>0</v>
      </c>
      <c r="R541" s="32"/>
      <c r="S541" s="4"/>
      <c r="T541" s="32"/>
      <c r="U541" s="32"/>
      <c r="V541" s="32"/>
      <c r="W541" s="32"/>
      <c r="X541" s="33"/>
      <c r="Y541" s="33"/>
      <c r="Z541" s="31">
        <f>Table1[[#This Row],[Quantity of measruing units]]*Table1[[#This Row],[Rate (expected)]]</f>
        <v>0</v>
      </c>
      <c r="AA541" s="31"/>
      <c r="AB541" s="31"/>
      <c r="AC541" s="34">
        <f>Table1[[#This Row],[Quantity (expected)]]*Table1[[#This Row],[Rate (expected)2]]*0.9</f>
        <v>0</v>
      </c>
      <c r="AD541" s="34">
        <f>Table1[[#This Row],[Quantity (expected)]]*Table1[[#This Row],[Rate (expected)2]]*0.8</f>
        <v>0</v>
      </c>
      <c r="AE541" s="34">
        <f>Table1[[#This Row],[Quantity (expected)]]*Table1[[#This Row],[Rate (expected)2]]*0.7</f>
        <v>0</v>
      </c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1">
        <f>SUM(Table1[[#This Row],[Jan-23]:[Dec-23]])</f>
        <v>0</v>
      </c>
      <c r="AV541" s="105"/>
      <c r="AW541" s="32"/>
      <c r="AX541" s="35"/>
    </row>
    <row r="542" spans="1:50" x14ac:dyDescent="0.3">
      <c r="A542" s="30" t="str">
        <f>VLOOKUP(H542,'Accoount Code Combination'!$D:$L,8,FALSE)</f>
        <v>Student</v>
      </c>
      <c r="B542" s="31" t="str">
        <f>VLOOKUP(Table1[[#This Row],[Account Code]],'Accoount Code Combination'!$D:$L,9,FALSE)</f>
        <v>No Applicable</v>
      </c>
      <c r="C542" s="4" t="str">
        <f>VLOOKUP(Table1[[#This Row],[Cost Center Code]],'Cost Center Group'!A:B,2,FALSE)</f>
        <v>College of Medicine &amp; Health Sciences</v>
      </c>
      <c r="D542" s="4">
        <v>847</v>
      </c>
      <c r="E542" s="79">
        <v>8471305</v>
      </c>
      <c r="F542" s="32" t="s">
        <v>32</v>
      </c>
      <c r="G542" s="4">
        <v>1</v>
      </c>
      <c r="H542" s="95">
        <v>425745</v>
      </c>
      <c r="I542" s="106" t="str">
        <f>IFERROR(VLOOKUP(Table1[[#This Row],[Account Code]],'Accoount Code Combination'!$D:$H,2,FALSE),"")</f>
        <v>Student relocation &amp; travel exps</v>
      </c>
      <c r="J542" s="79">
        <v>8471305</v>
      </c>
      <c r="K542" s="4"/>
      <c r="L542" s="4" t="str">
        <f>IFERROR(VLOOKUP(Table1[[#This Row],[Future-1 Description]],'Other '!E530:$F539,2,FALSE),"")</f>
        <v/>
      </c>
      <c r="M542" s="32"/>
      <c r="N542" s="32"/>
      <c r="O542" s="32"/>
      <c r="P542" s="49">
        <v>23762.14</v>
      </c>
      <c r="Q542" s="49">
        <v>0</v>
      </c>
      <c r="R542" s="32"/>
      <c r="S542" s="4"/>
      <c r="T542" s="32"/>
      <c r="U542" s="32"/>
      <c r="V542" s="32"/>
      <c r="W542" s="32"/>
      <c r="X542" s="33"/>
      <c r="Y542" s="33"/>
      <c r="Z542" s="31">
        <f>Table1[[#This Row],[Quantity of measruing units]]*Table1[[#This Row],[Rate (expected)]]</f>
        <v>0</v>
      </c>
      <c r="AA542" s="31"/>
      <c r="AB542" s="31"/>
      <c r="AC542" s="34">
        <f>Table1[[#This Row],[Quantity (expected)]]*Table1[[#This Row],[Rate (expected)2]]*0.9</f>
        <v>0</v>
      </c>
      <c r="AD542" s="34">
        <f>Table1[[#This Row],[Quantity (expected)]]*Table1[[#This Row],[Rate (expected)2]]*0.8</f>
        <v>0</v>
      </c>
      <c r="AE542" s="34">
        <f>Table1[[#This Row],[Quantity (expected)]]*Table1[[#This Row],[Rate (expected)2]]*0.7</f>
        <v>0</v>
      </c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1">
        <f>SUM(Table1[[#This Row],[Jan-23]:[Dec-23]])</f>
        <v>0</v>
      </c>
      <c r="AV542" s="105"/>
      <c r="AW542" s="32"/>
      <c r="AX542" s="35"/>
    </row>
    <row r="543" spans="1:50" x14ac:dyDescent="0.3">
      <c r="A543" s="30" t="str">
        <f>VLOOKUP(H543,'Accoount Code Combination'!$D:$L,8,FALSE)</f>
        <v>Student</v>
      </c>
      <c r="B543" s="31" t="str">
        <f>VLOOKUP(Table1[[#This Row],[Account Code]],'Accoount Code Combination'!$D:$L,9,FALSE)</f>
        <v>No Applicable</v>
      </c>
      <c r="C543" s="4" t="str">
        <f>VLOOKUP(Table1[[#This Row],[Cost Center Code]],'Cost Center Group'!A:B,2,FALSE)</f>
        <v>College of Medicine &amp; Health Sciences</v>
      </c>
      <c r="D543" s="4">
        <v>847</v>
      </c>
      <c r="E543" s="79">
        <v>8471305</v>
      </c>
      <c r="F543" s="32" t="s">
        <v>32</v>
      </c>
      <c r="G543" s="4">
        <v>1</v>
      </c>
      <c r="H543" s="95">
        <v>425746</v>
      </c>
      <c r="I543" s="106" t="str">
        <f>IFERROR(VLOOKUP(Table1[[#This Row],[Account Code]],'Accoount Code Combination'!$D:$H,2,FALSE),"")</f>
        <v>Student Transport</v>
      </c>
      <c r="J543" s="79">
        <v>8471305</v>
      </c>
      <c r="K543" s="4"/>
      <c r="L543" s="4" t="str">
        <f>IFERROR(VLOOKUP(Table1[[#This Row],[Future-1 Description]],'Other '!E531:$F540,2,FALSE),"")</f>
        <v/>
      </c>
      <c r="M543" s="32"/>
      <c r="N543" s="32"/>
      <c r="O543" s="32"/>
      <c r="P543" s="49">
        <v>0</v>
      </c>
      <c r="Q543" s="49">
        <v>95665</v>
      </c>
      <c r="R543" s="32"/>
      <c r="S543" s="4"/>
      <c r="T543" s="32"/>
      <c r="U543" s="32"/>
      <c r="V543" s="32"/>
      <c r="W543" s="32"/>
      <c r="X543" s="33"/>
      <c r="Y543" s="33"/>
      <c r="Z543" s="31">
        <f>Table1[[#This Row],[Quantity of measruing units]]*Table1[[#This Row],[Rate (expected)]]</f>
        <v>0</v>
      </c>
      <c r="AA543" s="31"/>
      <c r="AB543" s="31"/>
      <c r="AC543" s="34">
        <f>Table1[[#This Row],[Quantity (expected)]]*Table1[[#This Row],[Rate (expected)2]]*0.9</f>
        <v>0</v>
      </c>
      <c r="AD543" s="34">
        <f>Table1[[#This Row],[Quantity (expected)]]*Table1[[#This Row],[Rate (expected)2]]*0.8</f>
        <v>0</v>
      </c>
      <c r="AE543" s="34">
        <f>Table1[[#This Row],[Quantity (expected)]]*Table1[[#This Row],[Rate (expected)2]]*0.7</f>
        <v>0</v>
      </c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1">
        <f>SUM(Table1[[#This Row],[Jan-23]:[Dec-23]])</f>
        <v>0</v>
      </c>
      <c r="AV543" s="105"/>
      <c r="AW543" s="32"/>
      <c r="AX543" s="35"/>
    </row>
    <row r="544" spans="1:50" x14ac:dyDescent="0.3">
      <c r="A544" s="30" t="str">
        <f>VLOOKUP(H544,'Accoount Code Combination'!$D:$L,8,FALSE)</f>
        <v>Student</v>
      </c>
      <c r="B544" s="31" t="str">
        <f>VLOOKUP(Table1[[#This Row],[Account Code]],'Accoount Code Combination'!$D:$L,9,FALSE)</f>
        <v>No Applicable</v>
      </c>
      <c r="C544" s="4" t="str">
        <f>VLOOKUP(Table1[[#This Row],[Cost Center Code]],'Cost Center Group'!A:B,2,FALSE)</f>
        <v>College of Medicine &amp; Health Sciences</v>
      </c>
      <c r="D544" s="4">
        <v>847</v>
      </c>
      <c r="E544" s="79">
        <v>8471305</v>
      </c>
      <c r="F544" s="32" t="s">
        <v>32</v>
      </c>
      <c r="G544" s="4">
        <v>1</v>
      </c>
      <c r="H544" s="95">
        <v>425749</v>
      </c>
      <c r="I544" s="106" t="str">
        <f>IFERROR(VLOOKUP(Table1[[#This Row],[Account Code]],'Accoount Code Combination'!$D:$H,2,FALSE),"")</f>
        <v>Postgraduate Student Salaries</v>
      </c>
      <c r="J544" s="79">
        <v>8471305</v>
      </c>
      <c r="K544" s="4"/>
      <c r="L544" s="4" t="str">
        <f>IFERROR(VLOOKUP(Table1[[#This Row],[Future-1 Description]],'Other '!E532:$F541,2,FALSE),"")</f>
        <v/>
      </c>
      <c r="M544" s="32"/>
      <c r="N544" s="32"/>
      <c r="O544" s="32"/>
      <c r="P544" s="49">
        <v>3826666.6</v>
      </c>
      <c r="Q544" s="49">
        <v>10773054</v>
      </c>
      <c r="R544" s="32"/>
      <c r="S544" s="4"/>
      <c r="T544" s="32"/>
      <c r="U544" s="32"/>
      <c r="V544" s="32"/>
      <c r="W544" s="32"/>
      <c r="X544" s="33"/>
      <c r="Y544" s="33"/>
      <c r="Z544" s="31">
        <f>Table1[[#This Row],[Quantity of measruing units]]*Table1[[#This Row],[Rate (expected)]]</f>
        <v>0</v>
      </c>
      <c r="AA544" s="31"/>
      <c r="AB544" s="31"/>
      <c r="AC544" s="34">
        <f>Table1[[#This Row],[Quantity (expected)]]*Table1[[#This Row],[Rate (expected)2]]*0.9</f>
        <v>0</v>
      </c>
      <c r="AD544" s="34">
        <f>Table1[[#This Row],[Quantity (expected)]]*Table1[[#This Row],[Rate (expected)2]]*0.8</f>
        <v>0</v>
      </c>
      <c r="AE544" s="34">
        <f>Table1[[#This Row],[Quantity (expected)]]*Table1[[#This Row],[Rate (expected)2]]*0.7</f>
        <v>0</v>
      </c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1">
        <f>SUM(Table1[[#This Row],[Jan-23]:[Dec-23]])</f>
        <v>0</v>
      </c>
      <c r="AV544" s="105"/>
      <c r="AW544" s="32"/>
      <c r="AX544" s="35"/>
    </row>
    <row r="545" spans="1:50" x14ac:dyDescent="0.3">
      <c r="A545" s="30" t="str">
        <f>VLOOKUP(H545,'Accoount Code Combination'!$D:$L,8,FALSE)</f>
        <v>Student</v>
      </c>
      <c r="B545" s="31" t="str">
        <f>VLOOKUP(Table1[[#This Row],[Account Code]],'Accoount Code Combination'!$D:$L,9,FALSE)</f>
        <v>Activities and Field trips</v>
      </c>
      <c r="C545" s="4" t="str">
        <f>VLOOKUP(Table1[[#This Row],[Cost Center Code]],'Cost Center Group'!A:B,2,FALSE)</f>
        <v>College of Medicine &amp; Health Sciences</v>
      </c>
      <c r="D545" s="4">
        <v>847</v>
      </c>
      <c r="E545" s="79">
        <v>8471305</v>
      </c>
      <c r="F545" s="32" t="s">
        <v>32</v>
      </c>
      <c r="G545" s="4">
        <v>1</v>
      </c>
      <c r="H545" s="95">
        <v>425760</v>
      </c>
      <c r="I545" s="106" t="str">
        <f>IFERROR(VLOOKUP(Table1[[#This Row],[Account Code]],'Accoount Code Combination'!$D:$H,2,FALSE),"")</f>
        <v>Student activities &amp; field trip expenses</v>
      </c>
      <c r="J545" s="79">
        <v>8471305</v>
      </c>
      <c r="K545" s="4"/>
      <c r="L545" s="4" t="str">
        <f>IFERROR(VLOOKUP(Table1[[#This Row],[Future-1 Description]],'Other '!E533:$F542,2,FALSE),"")</f>
        <v/>
      </c>
      <c r="M545" s="32"/>
      <c r="N545" s="32"/>
      <c r="O545" s="32"/>
      <c r="P545" s="49">
        <v>4145.38</v>
      </c>
      <c r="Q545" s="49">
        <v>4146</v>
      </c>
      <c r="R545" s="32"/>
      <c r="S545" s="4"/>
      <c r="T545" s="32"/>
      <c r="U545" s="32"/>
      <c r="V545" s="32"/>
      <c r="W545" s="32"/>
      <c r="X545" s="33"/>
      <c r="Y545" s="33"/>
      <c r="Z545" s="31">
        <f>Table1[[#This Row],[Quantity of measruing units]]*Table1[[#This Row],[Rate (expected)]]</f>
        <v>0</v>
      </c>
      <c r="AA545" s="31"/>
      <c r="AB545" s="31"/>
      <c r="AC545" s="34">
        <f>Table1[[#This Row],[Quantity (expected)]]*Table1[[#This Row],[Rate (expected)2]]*0.9</f>
        <v>0</v>
      </c>
      <c r="AD545" s="34">
        <f>Table1[[#This Row],[Quantity (expected)]]*Table1[[#This Row],[Rate (expected)2]]*0.8</f>
        <v>0</v>
      </c>
      <c r="AE545" s="34">
        <f>Table1[[#This Row],[Quantity (expected)]]*Table1[[#This Row],[Rate (expected)2]]*0.7</f>
        <v>0</v>
      </c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1">
        <f>SUM(Table1[[#This Row],[Jan-23]:[Dec-23]])</f>
        <v>0</v>
      </c>
      <c r="AV545" s="105"/>
      <c r="AW545" s="32"/>
      <c r="AX545" s="35"/>
    </row>
    <row r="546" spans="1:50" x14ac:dyDescent="0.3">
      <c r="A546" s="30" t="str">
        <f>VLOOKUP(H546,'Accoount Code Combination'!$D:$L,8,FALSE)</f>
        <v>Student</v>
      </c>
      <c r="B546" s="31" t="str">
        <f>VLOOKUP(Table1[[#This Row],[Account Code]],'Accoount Code Combination'!$D:$L,9,FALSE)</f>
        <v>No Applicable</v>
      </c>
      <c r="C546" s="4" t="str">
        <f>VLOOKUP(Table1[[#This Row],[Cost Center Code]],'Cost Center Group'!A:B,2,FALSE)</f>
        <v>College of Medicine &amp; Health Sciences</v>
      </c>
      <c r="D546" s="4">
        <v>847</v>
      </c>
      <c r="E546" s="79">
        <v>8471305</v>
      </c>
      <c r="F546" s="32" t="s">
        <v>32</v>
      </c>
      <c r="G546" s="4">
        <v>1</v>
      </c>
      <c r="H546" s="95">
        <v>425762</v>
      </c>
      <c r="I546" s="106" t="str">
        <f>IFERROR(VLOOKUP(Table1[[#This Row],[Account Code]],'Accoount Code Combination'!$D:$H,2,FALSE),"")</f>
        <v>Student Internship</v>
      </c>
      <c r="J546" s="79">
        <v>8471305</v>
      </c>
      <c r="K546" s="4"/>
      <c r="L546" s="4" t="str">
        <f>IFERROR(VLOOKUP(Table1[[#This Row],[Future-1 Description]],'Other '!E534:$F543,2,FALSE),"")</f>
        <v/>
      </c>
      <c r="M546" s="32"/>
      <c r="N546" s="32"/>
      <c r="O546" s="32"/>
      <c r="P546" s="49">
        <v>19800</v>
      </c>
      <c r="Q546" s="49">
        <v>59066</v>
      </c>
      <c r="R546" s="32"/>
      <c r="S546" s="4"/>
      <c r="T546" s="32"/>
      <c r="U546" s="32"/>
      <c r="V546" s="32"/>
      <c r="W546" s="32"/>
      <c r="X546" s="33"/>
      <c r="Y546" s="33"/>
      <c r="Z546" s="31">
        <f>Table1[[#This Row],[Quantity of measruing units]]*Table1[[#This Row],[Rate (expected)]]</f>
        <v>0</v>
      </c>
      <c r="AA546" s="31"/>
      <c r="AB546" s="31"/>
      <c r="AC546" s="34">
        <f>Table1[[#This Row],[Quantity (expected)]]*Table1[[#This Row],[Rate (expected)2]]*0.9</f>
        <v>0</v>
      </c>
      <c r="AD546" s="34">
        <f>Table1[[#This Row],[Quantity (expected)]]*Table1[[#This Row],[Rate (expected)2]]*0.8</f>
        <v>0</v>
      </c>
      <c r="AE546" s="34">
        <f>Table1[[#This Row],[Quantity (expected)]]*Table1[[#This Row],[Rate (expected)2]]*0.7</f>
        <v>0</v>
      </c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1">
        <f>SUM(Table1[[#This Row],[Jan-23]:[Dec-23]])</f>
        <v>0</v>
      </c>
      <c r="AV546" s="105"/>
      <c r="AW546" s="32"/>
      <c r="AX546" s="35"/>
    </row>
    <row r="547" spans="1:50" x14ac:dyDescent="0.3">
      <c r="A547" s="30" t="str">
        <f>VLOOKUP(H547,'Accoount Code Combination'!$D:$L,8,FALSE)</f>
        <v>Student</v>
      </c>
      <c r="B547" s="31" t="str">
        <f>VLOOKUP(Table1[[#This Row],[Account Code]],'Accoount Code Combination'!$D:$L,9,FALSE)</f>
        <v>No Applicable</v>
      </c>
      <c r="C547" s="4" t="str">
        <f>VLOOKUP(Table1[[#This Row],[Cost Center Code]],'Cost Center Group'!A:B,2,FALSE)</f>
        <v>College of Medicine &amp; Health Sciences</v>
      </c>
      <c r="D547" s="4">
        <v>847</v>
      </c>
      <c r="E547" s="79">
        <v>8471305</v>
      </c>
      <c r="F547" s="32" t="s">
        <v>32</v>
      </c>
      <c r="G547" s="4">
        <v>1</v>
      </c>
      <c r="H547" s="95">
        <v>425763</v>
      </c>
      <c r="I547" s="106" t="str">
        <f>IFERROR(VLOOKUP(Table1[[#This Row],[Account Code]],'Accoount Code Combination'!$D:$H,2,FALSE),"")</f>
        <v>Student Project Expenses</v>
      </c>
      <c r="J547" s="79">
        <v>8471305</v>
      </c>
      <c r="K547" s="4"/>
      <c r="L547" s="4" t="str">
        <f>IFERROR(VLOOKUP(Table1[[#This Row],[Future-1 Description]],'Other '!E535:$F544,2,FALSE),"")</f>
        <v/>
      </c>
      <c r="M547" s="32"/>
      <c r="N547" s="32"/>
      <c r="O547" s="32"/>
      <c r="P547" s="49">
        <v>38873.449999999997</v>
      </c>
      <c r="Q547" s="49">
        <v>50872</v>
      </c>
      <c r="R547" s="32"/>
      <c r="S547" s="4"/>
      <c r="T547" s="32"/>
      <c r="U547" s="32"/>
      <c r="V547" s="32"/>
      <c r="W547" s="32"/>
      <c r="X547" s="33"/>
      <c r="Y547" s="33"/>
      <c r="Z547" s="31">
        <f>Table1[[#This Row],[Quantity of measruing units]]*Table1[[#This Row],[Rate (expected)]]</f>
        <v>0</v>
      </c>
      <c r="AA547" s="31"/>
      <c r="AB547" s="31"/>
      <c r="AC547" s="34">
        <f>Table1[[#This Row],[Quantity (expected)]]*Table1[[#This Row],[Rate (expected)2]]*0.9</f>
        <v>0</v>
      </c>
      <c r="AD547" s="34">
        <f>Table1[[#This Row],[Quantity (expected)]]*Table1[[#This Row],[Rate (expected)2]]*0.8</f>
        <v>0</v>
      </c>
      <c r="AE547" s="34">
        <f>Table1[[#This Row],[Quantity (expected)]]*Table1[[#This Row],[Rate (expected)2]]*0.7</f>
        <v>0</v>
      </c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1">
        <f>SUM(Table1[[#This Row],[Jan-23]:[Dec-23]])</f>
        <v>0</v>
      </c>
      <c r="AV547" s="105"/>
      <c r="AW547" s="32"/>
      <c r="AX547" s="35"/>
    </row>
    <row r="548" spans="1:50" x14ac:dyDescent="0.3">
      <c r="A548" s="30" t="str">
        <f>VLOOKUP(H548,'Accoount Code Combination'!$D:$L,8,FALSE)</f>
        <v>Academic</v>
      </c>
      <c r="B548" s="31" t="str">
        <f>VLOOKUP(Table1[[#This Row],[Account Code]],'Accoount Code Combination'!$D:$L,9,FALSE)</f>
        <v>No Applicable</v>
      </c>
      <c r="C548" s="4" t="str">
        <f>VLOOKUP(Table1[[#This Row],[Cost Center Code]],'Cost Center Group'!A:B,2,FALSE)</f>
        <v>College of Medicine &amp; Health Sciences</v>
      </c>
      <c r="D548" s="4">
        <v>847</v>
      </c>
      <c r="E548" s="79">
        <v>8471305</v>
      </c>
      <c r="F548" s="32" t="s">
        <v>32</v>
      </c>
      <c r="G548" s="4">
        <v>1</v>
      </c>
      <c r="H548" s="95">
        <v>425770</v>
      </c>
      <c r="I548" s="106" t="str">
        <f>IFERROR(VLOOKUP(Table1[[#This Row],[Account Code]],'Accoount Code Combination'!$D:$H,2,FALSE),"")</f>
        <v>Academic Missions - Combined expenses</v>
      </c>
      <c r="J548" s="79">
        <v>8471305</v>
      </c>
      <c r="K548" s="4"/>
      <c r="L548" s="4" t="str">
        <f>IFERROR(VLOOKUP(Table1[[#This Row],[Future-1 Description]],'Other '!E536:$F545,2,FALSE),"")</f>
        <v/>
      </c>
      <c r="M548" s="32"/>
      <c r="N548" s="32"/>
      <c r="O548" s="32"/>
      <c r="P548" s="49">
        <v>13000</v>
      </c>
      <c r="Q548" s="49">
        <v>59112</v>
      </c>
      <c r="R548" s="32"/>
      <c r="S548" s="4"/>
      <c r="T548" s="32"/>
      <c r="U548" s="32"/>
      <c r="V548" s="32"/>
      <c r="W548" s="32"/>
      <c r="X548" s="33"/>
      <c r="Y548" s="33"/>
      <c r="Z548" s="31">
        <f>Table1[[#This Row],[Quantity of measruing units]]*Table1[[#This Row],[Rate (expected)]]</f>
        <v>0</v>
      </c>
      <c r="AA548" s="31"/>
      <c r="AB548" s="31"/>
      <c r="AC548" s="34">
        <f>Table1[[#This Row],[Quantity (expected)]]*Table1[[#This Row],[Rate (expected)2]]*0.9</f>
        <v>0</v>
      </c>
      <c r="AD548" s="34">
        <f>Table1[[#This Row],[Quantity (expected)]]*Table1[[#This Row],[Rate (expected)2]]*0.8</f>
        <v>0</v>
      </c>
      <c r="AE548" s="34">
        <f>Table1[[#This Row],[Quantity (expected)]]*Table1[[#This Row],[Rate (expected)2]]*0.7</f>
        <v>0</v>
      </c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1">
        <f>SUM(Table1[[#This Row],[Jan-23]:[Dec-23]])</f>
        <v>0</v>
      </c>
      <c r="AV548" s="105"/>
      <c r="AW548" s="32"/>
      <c r="AX548" s="35"/>
    </row>
    <row r="549" spans="1:50" x14ac:dyDescent="0.3">
      <c r="A549" s="30" t="str">
        <f>VLOOKUP(H549,'Accoount Code Combination'!$D:$L,8,FALSE)</f>
        <v>Other support</v>
      </c>
      <c r="B549" s="31" t="str">
        <f>VLOOKUP(Table1[[#This Row],[Account Code]],'Accoount Code Combination'!$D:$L,9,FALSE)</f>
        <v>No Applicable</v>
      </c>
      <c r="C549" s="4" t="str">
        <f>VLOOKUP(Table1[[#This Row],[Cost Center Code]],'Cost Center Group'!A:B,2,FALSE)</f>
        <v>College of Medicine &amp; Health Sciences</v>
      </c>
      <c r="D549" s="4">
        <v>847</v>
      </c>
      <c r="E549" s="79">
        <v>8471305</v>
      </c>
      <c r="F549" s="32" t="s">
        <v>32</v>
      </c>
      <c r="G549" s="4">
        <v>1</v>
      </c>
      <c r="H549" s="95">
        <v>425900</v>
      </c>
      <c r="I549" s="106" t="str">
        <f>IFERROR(VLOOKUP(Table1[[#This Row],[Account Code]],'Accoount Code Combination'!$D:$H,2,FALSE),"")</f>
        <v>Entertainment and hospitality</v>
      </c>
      <c r="J549" s="79">
        <v>8471305</v>
      </c>
      <c r="K549" s="4"/>
      <c r="L549" s="4" t="str">
        <f>IFERROR(VLOOKUP(Table1[[#This Row],[Future-1 Description]],'Other '!E537:$F546,2,FALSE),"")</f>
        <v/>
      </c>
      <c r="M549" s="32"/>
      <c r="N549" s="32"/>
      <c r="O549" s="32"/>
      <c r="P549" s="49">
        <v>14963.76</v>
      </c>
      <c r="Q549" s="49">
        <v>53508</v>
      </c>
      <c r="R549" s="32"/>
      <c r="S549" s="4"/>
      <c r="T549" s="32"/>
      <c r="U549" s="32"/>
      <c r="V549" s="32"/>
      <c r="W549" s="32"/>
      <c r="X549" s="33"/>
      <c r="Y549" s="33"/>
      <c r="Z549" s="31">
        <f>Table1[[#This Row],[Quantity of measruing units]]*Table1[[#This Row],[Rate (expected)]]</f>
        <v>0</v>
      </c>
      <c r="AA549" s="31"/>
      <c r="AB549" s="31"/>
      <c r="AC549" s="34">
        <f>Table1[[#This Row],[Quantity (expected)]]*Table1[[#This Row],[Rate (expected)2]]*0.9</f>
        <v>0</v>
      </c>
      <c r="AD549" s="34">
        <f>Table1[[#This Row],[Quantity (expected)]]*Table1[[#This Row],[Rate (expected)2]]*0.8</f>
        <v>0</v>
      </c>
      <c r="AE549" s="34">
        <f>Table1[[#This Row],[Quantity (expected)]]*Table1[[#This Row],[Rate (expected)2]]*0.7</f>
        <v>0</v>
      </c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1">
        <f>SUM(Table1[[#This Row],[Jan-23]:[Dec-23]])</f>
        <v>0</v>
      </c>
      <c r="AV549" s="105"/>
      <c r="AW549" s="32"/>
      <c r="AX549" s="35"/>
    </row>
    <row r="550" spans="1:50" ht="26" x14ac:dyDescent="0.3">
      <c r="A550" s="30" t="str">
        <f>VLOOKUP(H550,'Accoount Code Combination'!$D:$L,8,FALSE)</f>
        <v xml:space="preserve">Facilities </v>
      </c>
      <c r="B550" s="31" t="str">
        <f>VLOOKUP(Table1[[#This Row],[Account Code]],'Accoount Code Combination'!$D:$L,9,FALSE)</f>
        <v>No Applicable</v>
      </c>
      <c r="C550" s="4" t="str">
        <f>VLOOKUP(Table1[[#This Row],[Cost Center Code]],'Cost Center Group'!A:B,2,FALSE)</f>
        <v>College of Medicine &amp; Health Sciences</v>
      </c>
      <c r="D550" s="4">
        <v>847</v>
      </c>
      <c r="E550" s="79">
        <v>8471305</v>
      </c>
      <c r="F550" s="32" t="s">
        <v>32</v>
      </c>
      <c r="G550" s="4">
        <v>1</v>
      </c>
      <c r="H550" s="95">
        <v>426100</v>
      </c>
      <c r="I550" s="106" t="str">
        <f>IFERROR(VLOOKUP(Table1[[#This Row],[Account Code]],'Accoount Code Combination'!$D:$H,2,FALSE),"")</f>
        <v>Freight and shipping costs, not included elsewhere under purchase costs</v>
      </c>
      <c r="J550" s="79">
        <v>8471305</v>
      </c>
      <c r="K550" s="4"/>
      <c r="L550" s="4" t="str">
        <f>IFERROR(VLOOKUP(Table1[[#This Row],[Future-1 Description]],'Other '!E538:$F547,2,FALSE),"")</f>
        <v/>
      </c>
      <c r="M550" s="32"/>
      <c r="N550" s="32"/>
      <c r="O550" s="32"/>
      <c r="P550" s="49">
        <v>62.59</v>
      </c>
      <c r="Q550" s="49">
        <v>10000</v>
      </c>
      <c r="R550" s="32"/>
      <c r="S550" s="4"/>
      <c r="T550" s="32"/>
      <c r="U550" s="32"/>
      <c r="V550" s="32"/>
      <c r="W550" s="32"/>
      <c r="X550" s="33"/>
      <c r="Y550" s="33"/>
      <c r="Z550" s="31">
        <f>Table1[[#This Row],[Quantity of measruing units]]*Table1[[#This Row],[Rate (expected)]]</f>
        <v>0</v>
      </c>
      <c r="AA550" s="31"/>
      <c r="AB550" s="31"/>
      <c r="AC550" s="34">
        <f>Table1[[#This Row],[Quantity (expected)]]*Table1[[#This Row],[Rate (expected)2]]*0.9</f>
        <v>0</v>
      </c>
      <c r="AD550" s="34">
        <f>Table1[[#This Row],[Quantity (expected)]]*Table1[[#This Row],[Rate (expected)2]]*0.8</f>
        <v>0</v>
      </c>
      <c r="AE550" s="34">
        <f>Table1[[#This Row],[Quantity (expected)]]*Table1[[#This Row],[Rate (expected)2]]*0.7</f>
        <v>0</v>
      </c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1">
        <f>SUM(Table1[[#This Row],[Jan-23]:[Dec-23]])</f>
        <v>0</v>
      </c>
      <c r="AV550" s="105"/>
      <c r="AW550" s="32"/>
      <c r="AX550" s="35"/>
    </row>
    <row r="551" spans="1:50" x14ac:dyDescent="0.3">
      <c r="A551" s="30" t="str">
        <f>VLOOKUP(H551,'Accoount Code Combination'!$D:$L,8,FALSE)</f>
        <v>IT</v>
      </c>
      <c r="B551" s="31" t="str">
        <f>VLOOKUP(Table1[[#This Row],[Account Code]],'Accoount Code Combination'!$D:$L,9,FALSE)</f>
        <v>Software Operating</v>
      </c>
      <c r="C551" s="4" t="str">
        <f>VLOOKUP(Table1[[#This Row],[Cost Center Code]],'Cost Center Group'!A:B,2,FALSE)</f>
        <v>College of Medicine &amp; Health Sciences</v>
      </c>
      <c r="D551" s="4">
        <v>847</v>
      </c>
      <c r="E551" s="79">
        <v>8471305</v>
      </c>
      <c r="F551" s="32" t="s">
        <v>32</v>
      </c>
      <c r="G551" s="4">
        <v>1</v>
      </c>
      <c r="H551" s="95">
        <v>426610</v>
      </c>
      <c r="I551" s="106" t="str">
        <f>IFERROR(VLOOKUP(Table1[[#This Row],[Account Code]],'Accoount Code Combination'!$D:$H,2,FALSE),"")</f>
        <v>Computer software licenses</v>
      </c>
      <c r="J551" s="79">
        <v>8471305</v>
      </c>
      <c r="K551" s="4"/>
      <c r="L551" s="4" t="str">
        <f>IFERROR(VLOOKUP(Table1[[#This Row],[Future-1 Description]],'Other '!E539:$F548,2,FALSE),"")</f>
        <v/>
      </c>
      <c r="M551" s="32"/>
      <c r="N551" s="32"/>
      <c r="O551" s="32"/>
      <c r="P551" s="49">
        <v>499958.98</v>
      </c>
      <c r="Q551" s="49">
        <v>1217024</v>
      </c>
      <c r="R551" s="32"/>
      <c r="S551" s="4"/>
      <c r="T551" s="32"/>
      <c r="U551" s="32"/>
      <c r="V551" s="32"/>
      <c r="W551" s="32"/>
      <c r="X551" s="33"/>
      <c r="Y551" s="33"/>
      <c r="Z551" s="31">
        <f>Table1[[#This Row],[Quantity of measruing units]]*Table1[[#This Row],[Rate (expected)]]</f>
        <v>0</v>
      </c>
      <c r="AA551" s="31"/>
      <c r="AB551" s="31"/>
      <c r="AC551" s="34">
        <f>Table1[[#This Row],[Quantity (expected)]]*Table1[[#This Row],[Rate (expected)2]]*0.9</f>
        <v>0</v>
      </c>
      <c r="AD551" s="34">
        <f>Table1[[#This Row],[Quantity (expected)]]*Table1[[#This Row],[Rate (expected)2]]*0.8</f>
        <v>0</v>
      </c>
      <c r="AE551" s="34">
        <f>Table1[[#This Row],[Quantity (expected)]]*Table1[[#This Row],[Rate (expected)2]]*0.7</f>
        <v>0</v>
      </c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1">
        <f>SUM(Table1[[#This Row],[Jan-23]:[Dec-23]])</f>
        <v>0</v>
      </c>
      <c r="AV551" s="105"/>
      <c r="AW551" s="32"/>
      <c r="AX551" s="35"/>
    </row>
    <row r="552" spans="1:50" ht="26" x14ac:dyDescent="0.3">
      <c r="A552" s="30" t="str">
        <f>VLOOKUP(H552,'Accoount Code Combination'!$D:$L,8,FALSE)</f>
        <v>HR</v>
      </c>
      <c r="B552" s="31" t="str">
        <f>VLOOKUP(Table1[[#This Row],[Account Code]],'Accoount Code Combination'!$D:$L,9,FALSE)</f>
        <v>No Applicable</v>
      </c>
      <c r="C552" s="4" t="str">
        <f>VLOOKUP(Table1[[#This Row],[Cost Center Code]],'Cost Center Group'!A:B,2,FALSE)</f>
        <v>College of Medicine &amp; Health Sciences</v>
      </c>
      <c r="D552" s="4">
        <v>847</v>
      </c>
      <c r="E552" s="79">
        <v>8471305</v>
      </c>
      <c r="F552" s="32" t="s">
        <v>32</v>
      </c>
      <c r="G552" s="4">
        <v>1</v>
      </c>
      <c r="H552" s="95">
        <v>426900</v>
      </c>
      <c r="I552" s="106" t="str">
        <f>IFERROR(VLOOKUP(Table1[[#This Row],[Account Code]],'Accoount Code Combination'!$D:$H,2,FALSE),"")</f>
        <v>Postal, courier and other document delivery expenses</v>
      </c>
      <c r="J552" s="79">
        <v>8471305</v>
      </c>
      <c r="K552" s="4"/>
      <c r="L552" s="4" t="str">
        <f>IFERROR(VLOOKUP(Table1[[#This Row],[Future-1 Description]],'Other '!E540:$F549,2,FALSE),"")</f>
        <v/>
      </c>
      <c r="M552" s="32"/>
      <c r="N552" s="32"/>
      <c r="O552" s="32"/>
      <c r="P552" s="49">
        <v>0</v>
      </c>
      <c r="Q552" s="49">
        <v>16408</v>
      </c>
      <c r="R552" s="32"/>
      <c r="S552" s="4"/>
      <c r="T552" s="32"/>
      <c r="U552" s="32"/>
      <c r="V552" s="32"/>
      <c r="W552" s="32"/>
      <c r="X552" s="33"/>
      <c r="Y552" s="33"/>
      <c r="Z552" s="31">
        <f>Table1[[#This Row],[Quantity of measruing units]]*Table1[[#This Row],[Rate (expected)]]</f>
        <v>0</v>
      </c>
      <c r="AA552" s="31"/>
      <c r="AB552" s="31"/>
      <c r="AC552" s="34">
        <f>Table1[[#This Row],[Quantity (expected)]]*Table1[[#This Row],[Rate (expected)2]]*0.9</f>
        <v>0</v>
      </c>
      <c r="AD552" s="34">
        <f>Table1[[#This Row],[Quantity (expected)]]*Table1[[#This Row],[Rate (expected)2]]*0.8</f>
        <v>0</v>
      </c>
      <c r="AE552" s="34">
        <f>Table1[[#This Row],[Quantity (expected)]]*Table1[[#This Row],[Rate (expected)2]]*0.7</f>
        <v>0</v>
      </c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1">
        <f>SUM(Table1[[#This Row],[Jan-23]:[Dec-23]])</f>
        <v>0</v>
      </c>
      <c r="AV552" s="105"/>
      <c r="AW552" s="32"/>
      <c r="AX552" s="35"/>
    </row>
    <row r="553" spans="1:50" x14ac:dyDescent="0.3">
      <c r="A553" s="30" t="str">
        <f>VLOOKUP(H553,'Accoount Code Combination'!$D:$L,8,FALSE)</f>
        <v>Communiction &amp; Marketing</v>
      </c>
      <c r="B553" s="31" t="str">
        <f>VLOOKUP(Table1[[#This Row],[Account Code]],'Accoount Code Combination'!$D:$L,9,FALSE)</f>
        <v>Communications</v>
      </c>
      <c r="C553" s="4" t="str">
        <f>VLOOKUP(Table1[[#This Row],[Cost Center Code]],'Cost Center Group'!A:B,2,FALSE)</f>
        <v>College of Medicine &amp; Health Sciences</v>
      </c>
      <c r="D553" s="4">
        <v>847</v>
      </c>
      <c r="E553" s="79">
        <v>8471305</v>
      </c>
      <c r="F553" s="32" t="s">
        <v>32</v>
      </c>
      <c r="G553" s="4">
        <v>1</v>
      </c>
      <c r="H553" s="95">
        <v>427100</v>
      </c>
      <c r="I553" s="106" t="str">
        <f>IFERROR(VLOOKUP(Table1[[#This Row],[Account Code]],'Accoount Code Combination'!$D:$H,2,FALSE),"")</f>
        <v>Public relations</v>
      </c>
      <c r="J553" s="79">
        <v>8471305</v>
      </c>
      <c r="K553" s="4"/>
      <c r="L553" s="4" t="str">
        <f>IFERROR(VLOOKUP(Table1[[#This Row],[Future-1 Description]],'Other '!E541:$F550,2,FALSE),"")</f>
        <v/>
      </c>
      <c r="M553" s="32"/>
      <c r="N553" s="32"/>
      <c r="O553" s="32"/>
      <c r="P553" s="49">
        <v>0</v>
      </c>
      <c r="Q553" s="49">
        <v>1</v>
      </c>
      <c r="R553" s="32"/>
      <c r="S553" s="4"/>
      <c r="T553" s="32"/>
      <c r="U553" s="32"/>
      <c r="V553" s="32"/>
      <c r="W553" s="32"/>
      <c r="X553" s="33"/>
      <c r="Y553" s="33"/>
      <c r="Z553" s="31">
        <f>Table1[[#This Row],[Quantity of measruing units]]*Table1[[#This Row],[Rate (expected)]]</f>
        <v>0</v>
      </c>
      <c r="AA553" s="31"/>
      <c r="AB553" s="31"/>
      <c r="AC553" s="34">
        <f>Table1[[#This Row],[Quantity (expected)]]*Table1[[#This Row],[Rate (expected)2]]*0.9</f>
        <v>0</v>
      </c>
      <c r="AD553" s="34">
        <f>Table1[[#This Row],[Quantity (expected)]]*Table1[[#This Row],[Rate (expected)2]]*0.8</f>
        <v>0</v>
      </c>
      <c r="AE553" s="34">
        <f>Table1[[#This Row],[Quantity (expected)]]*Table1[[#This Row],[Rate (expected)2]]*0.7</f>
        <v>0</v>
      </c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1">
        <f>SUM(Table1[[#This Row],[Jan-23]:[Dec-23]])</f>
        <v>0</v>
      </c>
      <c r="AV553" s="105"/>
      <c r="AW553" s="32"/>
      <c r="AX553" s="35"/>
    </row>
    <row r="554" spans="1:50" x14ac:dyDescent="0.3">
      <c r="A554" s="30" t="str">
        <f>VLOOKUP(H554,'Accoount Code Combination'!$D:$L,8,FALSE)</f>
        <v>Communiction &amp; Marketing</v>
      </c>
      <c r="B554" s="31" t="str">
        <f>VLOOKUP(Table1[[#This Row],[Account Code]],'Accoount Code Combination'!$D:$L,9,FALSE)</f>
        <v>No Applicable</v>
      </c>
      <c r="C554" s="4" t="str">
        <f>VLOOKUP(Table1[[#This Row],[Cost Center Code]],'Cost Center Group'!A:B,2,FALSE)</f>
        <v>College of Medicine &amp; Health Sciences</v>
      </c>
      <c r="D554" s="4">
        <v>847</v>
      </c>
      <c r="E554" s="79">
        <v>8471305</v>
      </c>
      <c r="F554" s="32" t="s">
        <v>32</v>
      </c>
      <c r="G554" s="4">
        <v>1</v>
      </c>
      <c r="H554" s="95">
        <v>427200</v>
      </c>
      <c r="I554" s="106" t="str">
        <f>IFERROR(VLOOKUP(Table1[[#This Row],[Account Code]],'Accoount Code Combination'!$D:$H,2,FALSE),"")</f>
        <v>Printing and publishing</v>
      </c>
      <c r="J554" s="79">
        <v>8471305</v>
      </c>
      <c r="K554" s="4"/>
      <c r="L554" s="4" t="str">
        <f>IFERROR(VLOOKUP(Table1[[#This Row],[Future-1 Description]],'Other '!E542:$F551,2,FALSE),"")</f>
        <v/>
      </c>
      <c r="M554" s="32"/>
      <c r="N554" s="32"/>
      <c r="O554" s="32"/>
      <c r="P554" s="49">
        <v>81656.2</v>
      </c>
      <c r="Q554" s="49">
        <v>164073</v>
      </c>
      <c r="R554" s="32"/>
      <c r="S554" s="4"/>
      <c r="T554" s="32"/>
      <c r="U554" s="32"/>
      <c r="V554" s="32"/>
      <c r="W554" s="32"/>
      <c r="X554" s="33"/>
      <c r="Y554" s="33"/>
      <c r="Z554" s="31">
        <f>Table1[[#This Row],[Quantity of measruing units]]*Table1[[#This Row],[Rate (expected)]]</f>
        <v>0</v>
      </c>
      <c r="AA554" s="31"/>
      <c r="AB554" s="31"/>
      <c r="AC554" s="34">
        <f>Table1[[#This Row],[Quantity (expected)]]*Table1[[#This Row],[Rate (expected)2]]*0.9</f>
        <v>0</v>
      </c>
      <c r="AD554" s="34">
        <f>Table1[[#This Row],[Quantity (expected)]]*Table1[[#This Row],[Rate (expected)2]]*0.8</f>
        <v>0</v>
      </c>
      <c r="AE554" s="34">
        <f>Table1[[#This Row],[Quantity (expected)]]*Table1[[#This Row],[Rate (expected)2]]*0.7</f>
        <v>0</v>
      </c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1">
        <f>SUM(Table1[[#This Row],[Jan-23]:[Dec-23]])</f>
        <v>0</v>
      </c>
      <c r="AV554" s="105"/>
      <c r="AW554" s="32"/>
      <c r="AX554" s="35"/>
    </row>
    <row r="555" spans="1:50" ht="26" x14ac:dyDescent="0.3">
      <c r="A555" s="30" t="str">
        <f>VLOOKUP(H555,'Accoount Code Combination'!$D:$L,8,FALSE)</f>
        <v>Academic</v>
      </c>
      <c r="B555" s="31" t="str">
        <f>VLOOKUP(Table1[[#This Row],[Account Code]],'Accoount Code Combination'!$D:$L,9,FALSE)</f>
        <v>No Applicable</v>
      </c>
      <c r="C555" s="4" t="str">
        <f>VLOOKUP(Table1[[#This Row],[Cost Center Code]],'Cost Center Group'!A:B,2,FALSE)</f>
        <v>College of Medicine &amp; Health Sciences</v>
      </c>
      <c r="D555" s="4">
        <v>847</v>
      </c>
      <c r="E555" s="79">
        <v>8471305</v>
      </c>
      <c r="F555" s="32" t="s">
        <v>32</v>
      </c>
      <c r="G555" s="4">
        <v>1</v>
      </c>
      <c r="H555" s="95">
        <v>427710</v>
      </c>
      <c r="I555" s="106" t="str">
        <f>IFERROR(VLOOKUP(Table1[[#This Row],[Account Code]],'Accoount Code Combination'!$D:$H,2,FALSE),"")</f>
        <v>Subscriptions and membership fees: Trade organisations</v>
      </c>
      <c r="J555" s="79">
        <v>8471305</v>
      </c>
      <c r="K555" s="4"/>
      <c r="L555" s="4" t="str">
        <f>IFERROR(VLOOKUP(Table1[[#This Row],[Future-1 Description]],'Other '!E543:$F552,2,FALSE),"")</f>
        <v/>
      </c>
      <c r="M555" s="32"/>
      <c r="N555" s="32"/>
      <c r="O555" s="32"/>
      <c r="P555" s="49">
        <v>47805.47</v>
      </c>
      <c r="Q555" s="49">
        <v>26780</v>
      </c>
      <c r="R555" s="32"/>
      <c r="S555" s="4"/>
      <c r="T555" s="32"/>
      <c r="U555" s="32"/>
      <c r="V555" s="32"/>
      <c r="W555" s="32"/>
      <c r="X555" s="33"/>
      <c r="Y555" s="33"/>
      <c r="Z555" s="31">
        <f>Table1[[#This Row],[Quantity of measruing units]]*Table1[[#This Row],[Rate (expected)]]</f>
        <v>0</v>
      </c>
      <c r="AA555" s="31"/>
      <c r="AB555" s="31"/>
      <c r="AC555" s="34">
        <f>Table1[[#This Row],[Quantity (expected)]]*Table1[[#This Row],[Rate (expected)2]]*0.9</f>
        <v>0</v>
      </c>
      <c r="AD555" s="34">
        <f>Table1[[#This Row],[Quantity (expected)]]*Table1[[#This Row],[Rate (expected)2]]*0.8</f>
        <v>0</v>
      </c>
      <c r="AE555" s="34">
        <f>Table1[[#This Row],[Quantity (expected)]]*Table1[[#This Row],[Rate (expected)2]]*0.7</f>
        <v>0</v>
      </c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1">
        <f>SUM(Table1[[#This Row],[Jan-23]:[Dec-23]])</f>
        <v>0</v>
      </c>
      <c r="AV555" s="105"/>
      <c r="AW555" s="32"/>
      <c r="AX555" s="35"/>
    </row>
    <row r="556" spans="1:50" x14ac:dyDescent="0.3">
      <c r="A556" s="30" t="str">
        <f>VLOOKUP(H556,'Accoount Code Combination'!$D:$L,8,FALSE)</f>
        <v>IT</v>
      </c>
      <c r="B556" s="31" t="str">
        <f>VLOOKUP(Table1[[#This Row],[Account Code]],'Accoount Code Combination'!$D:$L,9,FALSE)</f>
        <v>No Applicable</v>
      </c>
      <c r="C556" s="4" t="str">
        <f>VLOOKUP(Table1[[#This Row],[Cost Center Code]],'Cost Center Group'!A:B,2,FALSE)</f>
        <v>College of Medicine &amp; Health Sciences</v>
      </c>
      <c r="D556" s="4">
        <v>847</v>
      </c>
      <c r="E556" s="79">
        <v>8471305</v>
      </c>
      <c r="F556" s="32" t="s">
        <v>32</v>
      </c>
      <c r="G556" s="4">
        <v>1</v>
      </c>
      <c r="H556" s="95">
        <v>427810</v>
      </c>
      <c r="I556" s="106" t="str">
        <f>IFERROR(VLOOKUP(Table1[[#This Row],[Account Code]],'Accoount Code Combination'!$D:$H,2,FALSE),"")</f>
        <v>Telephone and telefax charges</v>
      </c>
      <c r="J556" s="79">
        <v>8471305</v>
      </c>
      <c r="K556" s="4"/>
      <c r="L556" s="4" t="str">
        <f>IFERROR(VLOOKUP(Table1[[#This Row],[Future-1 Description]],'Other '!E544:$F553,2,FALSE),"")</f>
        <v/>
      </c>
      <c r="M556" s="32"/>
      <c r="N556" s="32"/>
      <c r="O556" s="32"/>
      <c r="P556" s="49">
        <v>0</v>
      </c>
      <c r="Q556" s="49">
        <v>10000</v>
      </c>
      <c r="R556" s="32"/>
      <c r="S556" s="4"/>
      <c r="T556" s="32"/>
      <c r="U556" s="32"/>
      <c r="V556" s="32"/>
      <c r="W556" s="32"/>
      <c r="X556" s="33"/>
      <c r="Y556" s="33"/>
      <c r="Z556" s="31">
        <f>Table1[[#This Row],[Quantity of measruing units]]*Table1[[#This Row],[Rate (expected)]]</f>
        <v>0</v>
      </c>
      <c r="AA556" s="31"/>
      <c r="AB556" s="31"/>
      <c r="AC556" s="34">
        <f>Table1[[#This Row],[Quantity (expected)]]*Table1[[#This Row],[Rate (expected)2]]*0.9</f>
        <v>0</v>
      </c>
      <c r="AD556" s="34">
        <f>Table1[[#This Row],[Quantity (expected)]]*Table1[[#This Row],[Rate (expected)2]]*0.8</f>
        <v>0</v>
      </c>
      <c r="AE556" s="34">
        <f>Table1[[#This Row],[Quantity (expected)]]*Table1[[#This Row],[Rate (expected)2]]*0.7</f>
        <v>0</v>
      </c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1">
        <f>SUM(Table1[[#This Row],[Jan-23]:[Dec-23]])</f>
        <v>0</v>
      </c>
      <c r="AV556" s="105"/>
      <c r="AW556" s="32"/>
      <c r="AX556" s="35"/>
    </row>
    <row r="557" spans="1:50" x14ac:dyDescent="0.3">
      <c r="A557" s="30" t="str">
        <f>VLOOKUP(H557,'Accoount Code Combination'!$D:$L,8,FALSE)</f>
        <v xml:space="preserve">Academic </v>
      </c>
      <c r="B557" s="31" t="str">
        <f>VLOOKUP(Table1[[#This Row],[Account Code]],'Accoount Code Combination'!$D:$L,9,FALSE)</f>
        <v>No Applicable</v>
      </c>
      <c r="C557" s="4" t="str">
        <f>VLOOKUP(Table1[[#This Row],[Cost Center Code]],'Cost Center Group'!A:B,2,FALSE)</f>
        <v>College of Medicine &amp; Health Sciences</v>
      </c>
      <c r="D557" s="4">
        <v>847</v>
      </c>
      <c r="E557" s="79">
        <v>8471305</v>
      </c>
      <c r="F557" s="32" t="s">
        <v>32</v>
      </c>
      <c r="G557" s="4">
        <v>1</v>
      </c>
      <c r="H557" s="95">
        <v>428090</v>
      </c>
      <c r="I557" s="106" t="str">
        <f>IFERROR(VLOOKUP(Table1[[#This Row],[Account Code]],'Accoount Code Combination'!$D:$H,2,FALSE),"")</f>
        <v>Business Travel - Combined expenses</v>
      </c>
      <c r="J557" s="79">
        <v>8471305</v>
      </c>
      <c r="K557" s="4"/>
      <c r="L557" s="4" t="str">
        <f>IFERROR(VLOOKUP(Table1[[#This Row],[Future-1 Description]],'Other '!E545:$F554,2,FALSE),"")</f>
        <v/>
      </c>
      <c r="M557" s="32"/>
      <c r="N557" s="32"/>
      <c r="O557" s="32"/>
      <c r="P557" s="49">
        <v>17600</v>
      </c>
      <c r="Q557" s="49">
        <v>17601</v>
      </c>
      <c r="R557" s="32"/>
      <c r="S557" s="4"/>
      <c r="T557" s="32"/>
      <c r="U557" s="32"/>
      <c r="V557" s="32"/>
      <c r="W557" s="32"/>
      <c r="X557" s="33"/>
      <c r="Y557" s="33"/>
      <c r="Z557" s="31">
        <f>Table1[[#This Row],[Quantity of measruing units]]*Table1[[#This Row],[Rate (expected)]]</f>
        <v>0</v>
      </c>
      <c r="AA557" s="31"/>
      <c r="AB557" s="31"/>
      <c r="AC557" s="34">
        <f>Table1[[#This Row],[Quantity (expected)]]*Table1[[#This Row],[Rate (expected)2]]*0.9</f>
        <v>0</v>
      </c>
      <c r="AD557" s="34">
        <f>Table1[[#This Row],[Quantity (expected)]]*Table1[[#This Row],[Rate (expected)2]]*0.8</f>
        <v>0</v>
      </c>
      <c r="AE557" s="34">
        <f>Table1[[#This Row],[Quantity (expected)]]*Table1[[#This Row],[Rate (expected)2]]*0.7</f>
        <v>0</v>
      </c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1">
        <f>SUM(Table1[[#This Row],[Jan-23]:[Dec-23]])</f>
        <v>0</v>
      </c>
      <c r="AV557" s="105"/>
      <c r="AW557" s="32"/>
      <c r="AX557" s="35"/>
    </row>
    <row r="558" spans="1:50" x14ac:dyDescent="0.3">
      <c r="A558" s="30" t="str">
        <f>VLOOKUP(H558,'Accoount Code Combination'!$D:$L,8,FALSE)</f>
        <v>Research</v>
      </c>
      <c r="B558" s="31" t="str">
        <f>VLOOKUP(Table1[[#This Row],[Account Code]],'Accoount Code Combination'!$D:$L,9,FALSE)</f>
        <v>No Applicable</v>
      </c>
      <c r="C558" s="4" t="str">
        <f>VLOOKUP(Table1[[#This Row],[Cost Center Code]],'Cost Center Group'!A:B,2,FALSE)</f>
        <v>College of Medicine &amp; Health Sciences</v>
      </c>
      <c r="D558" s="4">
        <v>847</v>
      </c>
      <c r="E558" s="79">
        <v>8471305</v>
      </c>
      <c r="F558" s="32" t="s">
        <v>32</v>
      </c>
      <c r="G558" s="4">
        <v>1</v>
      </c>
      <c r="H558" s="95">
        <v>428400</v>
      </c>
      <c r="I558" s="106" t="str">
        <f>IFERROR(VLOOKUP(Table1[[#This Row],[Account Code]],'Accoount Code Combination'!$D:$H,2,FALSE),"")</f>
        <v>Sponsorship expenses/contributions</v>
      </c>
      <c r="J558" s="79">
        <v>8471305</v>
      </c>
      <c r="K558" s="4"/>
      <c r="L558" s="4" t="str">
        <f>IFERROR(VLOOKUP(Table1[[#This Row],[Future-1 Description]],'Other '!E546:$F555,2,FALSE),"")</f>
        <v/>
      </c>
      <c r="M558" s="32"/>
      <c r="N558" s="32"/>
      <c r="O558" s="32"/>
      <c r="P558" s="49">
        <v>0</v>
      </c>
      <c r="Q558" s="49">
        <v>1</v>
      </c>
      <c r="R558" s="32"/>
      <c r="S558" s="4"/>
      <c r="T558" s="32"/>
      <c r="U558" s="32"/>
      <c r="V558" s="32"/>
      <c r="W558" s="32"/>
      <c r="X558" s="33"/>
      <c r="Y558" s="33"/>
      <c r="Z558" s="31">
        <f>Table1[[#This Row],[Quantity of measruing units]]*Table1[[#This Row],[Rate (expected)]]</f>
        <v>0</v>
      </c>
      <c r="AA558" s="31"/>
      <c r="AB558" s="31"/>
      <c r="AC558" s="34">
        <f>Table1[[#This Row],[Quantity (expected)]]*Table1[[#This Row],[Rate (expected)2]]*0.9</f>
        <v>0</v>
      </c>
      <c r="AD558" s="34">
        <f>Table1[[#This Row],[Quantity (expected)]]*Table1[[#This Row],[Rate (expected)2]]*0.8</f>
        <v>0</v>
      </c>
      <c r="AE558" s="34">
        <f>Table1[[#This Row],[Quantity (expected)]]*Table1[[#This Row],[Rate (expected)2]]*0.7</f>
        <v>0</v>
      </c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1">
        <f>SUM(Table1[[#This Row],[Jan-23]:[Dec-23]])</f>
        <v>0</v>
      </c>
      <c r="AV558" s="105"/>
      <c r="AW558" s="32"/>
      <c r="AX558" s="35"/>
    </row>
    <row r="559" spans="1:50" x14ac:dyDescent="0.3">
      <c r="A559" s="30" t="str">
        <f>VLOOKUP(H559,'Accoount Code Combination'!$D:$L,8,FALSE)</f>
        <v>Communiction &amp; Marketing</v>
      </c>
      <c r="B559" s="31" t="str">
        <f>VLOOKUP(Table1[[#This Row],[Account Code]],'Accoount Code Combination'!$D:$L,9,FALSE)</f>
        <v>Gifts</v>
      </c>
      <c r="C559" s="4" t="str">
        <f>VLOOKUP(Table1[[#This Row],[Cost Center Code]],'Cost Center Group'!A:B,2,FALSE)</f>
        <v>College of Medicine &amp; Health Sciences</v>
      </c>
      <c r="D559" s="4">
        <v>847</v>
      </c>
      <c r="E559" s="79">
        <v>8471305</v>
      </c>
      <c r="F559" s="32" t="s">
        <v>32</v>
      </c>
      <c r="G559" s="4">
        <v>1</v>
      </c>
      <c r="H559" s="95">
        <v>428640</v>
      </c>
      <c r="I559" s="106" t="str">
        <f>IFERROR(VLOOKUP(Table1[[#This Row],[Account Code]],'Accoount Code Combination'!$D:$H,2,FALSE),"")</f>
        <v>Events - Awards, prizes &amp; gifts</v>
      </c>
      <c r="J559" s="79">
        <v>8471305</v>
      </c>
      <c r="K559" s="4"/>
      <c r="L559" s="4" t="str">
        <f>IFERROR(VLOOKUP(Table1[[#This Row],[Future-1 Description]],'Other '!E547:$F556,2,FALSE),"")</f>
        <v/>
      </c>
      <c r="M559" s="32"/>
      <c r="N559" s="32"/>
      <c r="O559" s="32"/>
      <c r="P559" s="49">
        <v>1935</v>
      </c>
      <c r="Q559" s="49">
        <v>1936</v>
      </c>
      <c r="R559" s="32"/>
      <c r="S559" s="4"/>
      <c r="T559" s="32"/>
      <c r="U559" s="32"/>
      <c r="V559" s="32"/>
      <c r="W559" s="32"/>
      <c r="X559" s="33"/>
      <c r="Y559" s="33"/>
      <c r="Z559" s="31">
        <f>Table1[[#This Row],[Quantity of measruing units]]*Table1[[#This Row],[Rate (expected)]]</f>
        <v>0</v>
      </c>
      <c r="AA559" s="31"/>
      <c r="AB559" s="31"/>
      <c r="AC559" s="34">
        <f>Table1[[#This Row],[Quantity (expected)]]*Table1[[#This Row],[Rate (expected)2]]*0.9</f>
        <v>0</v>
      </c>
      <c r="AD559" s="34">
        <f>Table1[[#This Row],[Quantity (expected)]]*Table1[[#This Row],[Rate (expected)2]]*0.8</f>
        <v>0</v>
      </c>
      <c r="AE559" s="34">
        <f>Table1[[#This Row],[Quantity (expected)]]*Table1[[#This Row],[Rate (expected)2]]*0.7</f>
        <v>0</v>
      </c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1">
        <f>SUM(Table1[[#This Row],[Jan-23]:[Dec-23]])</f>
        <v>0</v>
      </c>
      <c r="AV559" s="105"/>
      <c r="AW559" s="32"/>
      <c r="AX559" s="35"/>
    </row>
    <row r="560" spans="1:50" x14ac:dyDescent="0.3">
      <c r="A560" s="30" t="str">
        <f>VLOOKUP(H560,'Accoount Code Combination'!$D:$L,8,FALSE)</f>
        <v>IT</v>
      </c>
      <c r="B560" s="31" t="str">
        <f>VLOOKUP(Table1[[#This Row],[Account Code]],'Accoount Code Combination'!$D:$L,9,FALSE)</f>
        <v>Computer Maintenance</v>
      </c>
      <c r="C560" s="4" t="str">
        <f>VLOOKUP(Table1[[#This Row],[Cost Center Code]],'Cost Center Group'!A:B,2,FALSE)</f>
        <v>College of Medicine &amp; Health Sciences</v>
      </c>
      <c r="D560" s="4">
        <v>847</v>
      </c>
      <c r="E560" s="79">
        <v>8471305</v>
      </c>
      <c r="F560" s="32" t="s">
        <v>32</v>
      </c>
      <c r="G560" s="4">
        <v>1</v>
      </c>
      <c r="H560" s="95">
        <v>432205</v>
      </c>
      <c r="I560" s="106" t="str">
        <f>IFERROR(VLOOKUP(Table1[[#This Row],[Account Code]],'Accoount Code Combination'!$D:$H,2,FALSE),"")</f>
        <v>Computers and peripherals</v>
      </c>
      <c r="J560" s="79">
        <v>8471305</v>
      </c>
      <c r="K560" s="4"/>
      <c r="L560" s="4" t="str">
        <f>IFERROR(VLOOKUP(Table1[[#This Row],[Future-1 Description]],'Other '!E548:$F557,2,FALSE),"")</f>
        <v/>
      </c>
      <c r="M560" s="32"/>
      <c r="N560" s="32"/>
      <c r="O560" s="32"/>
      <c r="P560" s="49">
        <v>37226</v>
      </c>
      <c r="Q560" s="49">
        <v>114851</v>
      </c>
      <c r="R560" s="32"/>
      <c r="S560" s="4"/>
      <c r="T560" s="32"/>
      <c r="U560" s="32"/>
      <c r="V560" s="32"/>
      <c r="W560" s="32"/>
      <c r="X560" s="33"/>
      <c r="Y560" s="33"/>
      <c r="Z560" s="31">
        <f>Table1[[#This Row],[Quantity of measruing units]]*Table1[[#This Row],[Rate (expected)]]</f>
        <v>0</v>
      </c>
      <c r="AA560" s="31"/>
      <c r="AB560" s="31"/>
      <c r="AC560" s="34">
        <f>Table1[[#This Row],[Quantity (expected)]]*Table1[[#This Row],[Rate (expected)2]]*0.9</f>
        <v>0</v>
      </c>
      <c r="AD560" s="34">
        <f>Table1[[#This Row],[Quantity (expected)]]*Table1[[#This Row],[Rate (expected)2]]*0.8</f>
        <v>0</v>
      </c>
      <c r="AE560" s="34">
        <f>Table1[[#This Row],[Quantity (expected)]]*Table1[[#This Row],[Rate (expected)2]]*0.7</f>
        <v>0</v>
      </c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1">
        <f>SUM(Table1[[#This Row],[Jan-23]:[Dec-23]])</f>
        <v>0</v>
      </c>
      <c r="AV560" s="105"/>
      <c r="AW560" s="32"/>
      <c r="AX560" s="35"/>
    </row>
    <row r="561" spans="1:50" x14ac:dyDescent="0.3">
      <c r="A561" s="30" t="str">
        <f>VLOOKUP(H561,'Accoount Code Combination'!$D:$L,8,FALSE)</f>
        <v>Academic</v>
      </c>
      <c r="B561" s="31" t="str">
        <f>VLOOKUP(Table1[[#This Row],[Account Code]],'Accoount Code Combination'!$D:$L,9,FALSE)</f>
        <v>No Applicable</v>
      </c>
      <c r="C561" s="4" t="str">
        <f>VLOOKUP(Table1[[#This Row],[Cost Center Code]],'Cost Center Group'!A:B,2,FALSE)</f>
        <v>College of Medicine &amp; Health Sciences</v>
      </c>
      <c r="D561" s="4">
        <v>847</v>
      </c>
      <c r="E561" s="79">
        <v>8471305</v>
      </c>
      <c r="F561" s="32" t="s">
        <v>32</v>
      </c>
      <c r="G561" s="4">
        <v>1</v>
      </c>
      <c r="H561" s="95">
        <v>432209</v>
      </c>
      <c r="I561" s="106" t="str">
        <f>IFERROR(VLOOKUP(Table1[[#This Row],[Account Code]],'Accoount Code Combination'!$D:$H,2,FALSE),"")</f>
        <v>Laboratory equipment</v>
      </c>
      <c r="J561" s="79">
        <v>8471305</v>
      </c>
      <c r="K561" s="4"/>
      <c r="L561" s="4" t="str">
        <f>IFERROR(VLOOKUP(Table1[[#This Row],[Future-1 Description]],'Other '!E549:$F558,2,FALSE),"")</f>
        <v/>
      </c>
      <c r="M561" s="32"/>
      <c r="N561" s="32"/>
      <c r="O561" s="32"/>
      <c r="P561" s="49">
        <v>0</v>
      </c>
      <c r="Q561" s="49">
        <v>55000</v>
      </c>
      <c r="R561" s="32"/>
      <c r="S561" s="4"/>
      <c r="T561" s="32"/>
      <c r="U561" s="32"/>
      <c r="V561" s="32"/>
      <c r="W561" s="32"/>
      <c r="X561" s="33"/>
      <c r="Y561" s="33"/>
      <c r="Z561" s="31">
        <f>Table1[[#This Row],[Quantity of measruing units]]*Table1[[#This Row],[Rate (expected)]]</f>
        <v>0</v>
      </c>
      <c r="AA561" s="31"/>
      <c r="AB561" s="31"/>
      <c r="AC561" s="34">
        <f>Table1[[#This Row],[Quantity (expected)]]*Table1[[#This Row],[Rate (expected)2]]*0.9</f>
        <v>0</v>
      </c>
      <c r="AD561" s="34">
        <f>Table1[[#This Row],[Quantity (expected)]]*Table1[[#This Row],[Rate (expected)2]]*0.8</f>
        <v>0</v>
      </c>
      <c r="AE561" s="34">
        <f>Table1[[#This Row],[Quantity (expected)]]*Table1[[#This Row],[Rate (expected)2]]*0.7</f>
        <v>0</v>
      </c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1">
        <f>SUM(Table1[[#This Row],[Jan-23]:[Dec-23]])</f>
        <v>0</v>
      </c>
      <c r="AV561" s="105"/>
      <c r="AW561" s="32"/>
      <c r="AX561" s="35"/>
    </row>
    <row r="562" spans="1:50" x14ac:dyDescent="0.3">
      <c r="A562" s="30" t="str">
        <f>VLOOKUP(H562,'Accoount Code Combination'!$D:$L,8,FALSE)</f>
        <v>Other support</v>
      </c>
      <c r="B562" s="31" t="str">
        <f>VLOOKUP(Table1[[#This Row],[Account Code]],'Accoount Code Combination'!$D:$L,9,FALSE)</f>
        <v>Subscriptions</v>
      </c>
      <c r="C562" s="4" t="str">
        <f>VLOOKUP(Table1[[#This Row],[Cost Center Code]],'Cost Center Group'!A:B,2,FALSE)</f>
        <v>College of Medicine &amp; Health Sciences</v>
      </c>
      <c r="D562" s="4">
        <v>847</v>
      </c>
      <c r="E562" s="79">
        <v>8471305</v>
      </c>
      <c r="F562" s="32" t="s">
        <v>32</v>
      </c>
      <c r="G562" s="4">
        <v>1</v>
      </c>
      <c r="H562" s="95">
        <v>435310</v>
      </c>
      <c r="I562" s="106" t="str">
        <f>IFERROR(VLOOKUP(Table1[[#This Row],[Account Code]],'Accoount Code Combination'!$D:$H,2,FALSE),"")</f>
        <v>Newspapers, magazines, journals, etc</v>
      </c>
      <c r="J562" s="79">
        <v>8471305</v>
      </c>
      <c r="K562" s="4"/>
      <c r="L562" s="4" t="str">
        <f>IFERROR(VLOOKUP(Table1[[#This Row],[Future-1 Description]],'Other '!E550:$F559,2,FALSE),"")</f>
        <v/>
      </c>
      <c r="M562" s="32"/>
      <c r="N562" s="32"/>
      <c r="O562" s="32"/>
      <c r="P562" s="49">
        <v>0</v>
      </c>
      <c r="Q562" s="49">
        <v>50000</v>
      </c>
      <c r="R562" s="32"/>
      <c r="S562" s="4"/>
      <c r="T562" s="32"/>
      <c r="U562" s="32"/>
      <c r="V562" s="32"/>
      <c r="W562" s="32"/>
      <c r="X562" s="33"/>
      <c r="Y562" s="33"/>
      <c r="Z562" s="31">
        <f>Table1[[#This Row],[Quantity of measruing units]]*Table1[[#This Row],[Rate (expected)]]</f>
        <v>0</v>
      </c>
      <c r="AA562" s="31"/>
      <c r="AB562" s="31"/>
      <c r="AC562" s="34">
        <f>Table1[[#This Row],[Quantity (expected)]]*Table1[[#This Row],[Rate (expected)2]]*0.9</f>
        <v>0</v>
      </c>
      <c r="AD562" s="34">
        <f>Table1[[#This Row],[Quantity (expected)]]*Table1[[#This Row],[Rate (expected)2]]*0.8</f>
        <v>0</v>
      </c>
      <c r="AE562" s="34">
        <f>Table1[[#This Row],[Quantity (expected)]]*Table1[[#This Row],[Rate (expected)2]]*0.7</f>
        <v>0</v>
      </c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1">
        <f>SUM(Table1[[#This Row],[Jan-23]:[Dec-23]])</f>
        <v>0</v>
      </c>
      <c r="AV562" s="105"/>
      <c r="AW562" s="32"/>
      <c r="AX562" s="35"/>
    </row>
    <row r="563" spans="1:50" x14ac:dyDescent="0.3">
      <c r="A563" s="30" t="str">
        <f>VLOOKUP(H563,'Accoount Code Combination'!$D:$L,8,FALSE)</f>
        <v>Academic</v>
      </c>
      <c r="B563" s="31" t="str">
        <f>VLOOKUP(Table1[[#This Row],[Account Code]],'Accoount Code Combination'!$D:$L,9,FALSE)</f>
        <v>No Applicable</v>
      </c>
      <c r="C563" s="4" t="str">
        <f>VLOOKUP(Table1[[#This Row],[Cost Center Code]],'Cost Center Group'!A:B,2,FALSE)</f>
        <v>College of Medicine &amp; Health Sciences</v>
      </c>
      <c r="D563" s="4">
        <v>847</v>
      </c>
      <c r="E563" s="79">
        <v>8471305</v>
      </c>
      <c r="F563" s="32" t="s">
        <v>32</v>
      </c>
      <c r="G563" s="4">
        <v>1</v>
      </c>
      <c r="H563" s="95">
        <v>435330</v>
      </c>
      <c r="I563" s="106" t="str">
        <f>IFERROR(VLOOKUP(Table1[[#This Row],[Account Code]],'Accoount Code Combination'!$D:$H,2,FALSE),"")</f>
        <v>Library books</v>
      </c>
      <c r="J563" s="79">
        <v>8471305</v>
      </c>
      <c r="K563" s="4"/>
      <c r="L563" s="4" t="str">
        <f>IFERROR(VLOOKUP(Table1[[#This Row],[Future-1 Description]],'Other '!E551:$F560,2,FALSE),"")</f>
        <v/>
      </c>
      <c r="M563" s="32"/>
      <c r="N563" s="32"/>
      <c r="O563" s="32"/>
      <c r="P563" s="49">
        <v>-22448</v>
      </c>
      <c r="Q563" s="49">
        <v>1</v>
      </c>
      <c r="R563" s="32"/>
      <c r="S563" s="4"/>
      <c r="T563" s="32"/>
      <c r="U563" s="32"/>
      <c r="V563" s="32"/>
      <c r="W563" s="32"/>
      <c r="X563" s="33"/>
      <c r="Y563" s="33"/>
      <c r="Z563" s="31">
        <f>Table1[[#This Row],[Quantity of measruing units]]*Table1[[#This Row],[Rate (expected)]]</f>
        <v>0</v>
      </c>
      <c r="AA563" s="31"/>
      <c r="AB563" s="31"/>
      <c r="AC563" s="34">
        <f>Table1[[#This Row],[Quantity (expected)]]*Table1[[#This Row],[Rate (expected)2]]*0.9</f>
        <v>0</v>
      </c>
      <c r="AD563" s="34">
        <f>Table1[[#This Row],[Quantity (expected)]]*Table1[[#This Row],[Rate (expected)2]]*0.8</f>
        <v>0</v>
      </c>
      <c r="AE563" s="34">
        <f>Table1[[#This Row],[Quantity (expected)]]*Table1[[#This Row],[Rate (expected)2]]*0.7</f>
        <v>0</v>
      </c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1">
        <f>SUM(Table1[[#This Row],[Jan-23]:[Dec-23]])</f>
        <v>0</v>
      </c>
      <c r="AV563" s="105"/>
      <c r="AW563" s="32"/>
      <c r="AX563" s="35"/>
    </row>
    <row r="564" spans="1:50" x14ac:dyDescent="0.3">
      <c r="A564" s="30" t="str">
        <f>VLOOKUP(H564,'Accoount Code Combination'!$D:$L,8,FALSE)</f>
        <v>Academic</v>
      </c>
      <c r="B564" s="31" t="str">
        <f>VLOOKUP(Table1[[#This Row],[Account Code]],'Accoount Code Combination'!$D:$L,9,FALSE)</f>
        <v>No Applicable</v>
      </c>
      <c r="C564" s="4" t="str">
        <f>VLOOKUP(Table1[[#This Row],[Cost Center Code]],'Cost Center Group'!A:B,2,FALSE)</f>
        <v>College of Medicine &amp; Health Sciences</v>
      </c>
      <c r="D564" s="4">
        <v>847</v>
      </c>
      <c r="E564" s="79">
        <v>8471305</v>
      </c>
      <c r="F564" s="32" t="s">
        <v>32</v>
      </c>
      <c r="G564" s="4">
        <v>1</v>
      </c>
      <c r="H564" s="95">
        <v>435340</v>
      </c>
      <c r="I564" s="106" t="str">
        <f>IFERROR(VLOOKUP(Table1[[#This Row],[Account Code]],'Accoount Code Combination'!$D:$H,2,FALSE),"")</f>
        <v>Text books and library books</v>
      </c>
      <c r="J564" s="79">
        <v>8471305</v>
      </c>
      <c r="K564" s="4"/>
      <c r="L564" s="4" t="str">
        <f>IFERROR(VLOOKUP(Table1[[#This Row],[Future-1 Description]],'Other '!E552:$F561,2,FALSE),"")</f>
        <v/>
      </c>
      <c r="M564" s="32"/>
      <c r="N564" s="32"/>
      <c r="O564" s="32"/>
      <c r="P564" s="49">
        <v>418002.16</v>
      </c>
      <c r="Q564" s="49">
        <v>408343</v>
      </c>
      <c r="R564" s="32"/>
      <c r="S564" s="4"/>
      <c r="T564" s="32"/>
      <c r="U564" s="32"/>
      <c r="V564" s="32"/>
      <c r="W564" s="32"/>
      <c r="X564" s="33"/>
      <c r="Y564" s="33"/>
      <c r="Z564" s="31">
        <f>Table1[[#This Row],[Quantity of measruing units]]*Table1[[#This Row],[Rate (expected)]]</f>
        <v>0</v>
      </c>
      <c r="AA564" s="31"/>
      <c r="AB564" s="31"/>
      <c r="AC564" s="34">
        <f>Table1[[#This Row],[Quantity (expected)]]*Table1[[#This Row],[Rate (expected)2]]*0.9</f>
        <v>0</v>
      </c>
      <c r="AD564" s="34">
        <f>Table1[[#This Row],[Quantity (expected)]]*Table1[[#This Row],[Rate (expected)2]]*0.8</f>
        <v>0</v>
      </c>
      <c r="AE564" s="34">
        <f>Table1[[#This Row],[Quantity (expected)]]*Table1[[#This Row],[Rate (expected)2]]*0.7</f>
        <v>0</v>
      </c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1">
        <f>SUM(Table1[[#This Row],[Jan-23]:[Dec-23]])</f>
        <v>0</v>
      </c>
      <c r="AV564" s="105"/>
      <c r="AW564" s="32"/>
      <c r="AX564" s="35"/>
    </row>
    <row r="565" spans="1:50" x14ac:dyDescent="0.3">
      <c r="A565" s="30" t="str">
        <f>VLOOKUP(H565,'Accoount Code Combination'!$D:$L,8,FALSE)</f>
        <v>Other support</v>
      </c>
      <c r="B565" s="31" t="str">
        <f>VLOOKUP(Table1[[#This Row],[Account Code]],'Accoount Code Combination'!$D:$L,9,FALSE)</f>
        <v>No Applicable</v>
      </c>
      <c r="C565" s="4" t="str">
        <f>VLOOKUP(Table1[[#This Row],[Cost Center Code]],'Cost Center Group'!A:B,2,FALSE)</f>
        <v>College of Medicine &amp; Health Sciences</v>
      </c>
      <c r="D565" s="4">
        <v>847</v>
      </c>
      <c r="E565" s="79">
        <v>8471305</v>
      </c>
      <c r="F565" s="32" t="s">
        <v>32</v>
      </c>
      <c r="G565" s="4">
        <v>1</v>
      </c>
      <c r="H565" s="95">
        <v>435410</v>
      </c>
      <c r="I565" s="106" t="str">
        <f>IFERROR(VLOOKUP(Table1[[#This Row],[Account Code]],'Accoount Code Combination'!$D:$H,2,FALSE),"")</f>
        <v>Catering supplies: Offices</v>
      </c>
      <c r="J565" s="79">
        <v>8471305</v>
      </c>
      <c r="K565" s="4"/>
      <c r="L565" s="4" t="str">
        <f>IFERROR(VLOOKUP(Table1[[#This Row],[Future-1 Description]],'Other '!E553:$F562,2,FALSE),"")</f>
        <v/>
      </c>
      <c r="M565" s="32"/>
      <c r="N565" s="32"/>
      <c r="O565" s="32"/>
      <c r="P565" s="49">
        <v>0</v>
      </c>
      <c r="Q565" s="49">
        <v>1</v>
      </c>
      <c r="R565" s="32"/>
      <c r="S565" s="4"/>
      <c r="T565" s="32"/>
      <c r="U565" s="32"/>
      <c r="V565" s="32"/>
      <c r="W565" s="32"/>
      <c r="X565" s="33"/>
      <c r="Y565" s="33"/>
      <c r="Z565" s="31">
        <f>Table1[[#This Row],[Quantity of measruing units]]*Table1[[#This Row],[Rate (expected)]]</f>
        <v>0</v>
      </c>
      <c r="AA565" s="31"/>
      <c r="AB565" s="31"/>
      <c r="AC565" s="34">
        <f>Table1[[#This Row],[Quantity (expected)]]*Table1[[#This Row],[Rate (expected)2]]*0.9</f>
        <v>0</v>
      </c>
      <c r="AD565" s="34">
        <f>Table1[[#This Row],[Quantity (expected)]]*Table1[[#This Row],[Rate (expected)2]]*0.8</f>
        <v>0</v>
      </c>
      <c r="AE565" s="34">
        <f>Table1[[#This Row],[Quantity (expected)]]*Table1[[#This Row],[Rate (expected)2]]*0.7</f>
        <v>0</v>
      </c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1">
        <f>SUM(Table1[[#This Row],[Jan-23]:[Dec-23]])</f>
        <v>0</v>
      </c>
      <c r="AV565" s="105"/>
      <c r="AW565" s="32"/>
      <c r="AX565" s="35"/>
    </row>
    <row r="566" spans="1:50" x14ac:dyDescent="0.3">
      <c r="A566" s="30" t="str">
        <f>VLOOKUP(H566,'Accoount Code Combination'!$D:$L,8,FALSE)</f>
        <v>Academic</v>
      </c>
      <c r="B566" s="31" t="str">
        <f>VLOOKUP(Table1[[#This Row],[Account Code]],'Accoount Code Combination'!$D:$L,9,FALSE)</f>
        <v>No Applicable</v>
      </c>
      <c r="C566" s="4" t="str">
        <f>VLOOKUP(Table1[[#This Row],[Cost Center Code]],'Cost Center Group'!A:B,2,FALSE)</f>
        <v>College of Medicine &amp; Health Sciences</v>
      </c>
      <c r="D566" s="4">
        <v>847</v>
      </c>
      <c r="E566" s="79">
        <v>8471305</v>
      </c>
      <c r="F566" s="32" t="s">
        <v>32</v>
      </c>
      <c r="G566" s="4">
        <v>1</v>
      </c>
      <c r="H566" s="95">
        <v>435508</v>
      </c>
      <c r="I566" s="106" t="str">
        <f>IFERROR(VLOOKUP(Table1[[#This Row],[Account Code]],'Accoount Code Combination'!$D:$H,2,FALSE),"")</f>
        <v>Laboratory - Scientific</v>
      </c>
      <c r="J566" s="79">
        <v>8471305</v>
      </c>
      <c r="K566" s="4"/>
      <c r="L566" s="4" t="str">
        <f>IFERROR(VLOOKUP(Table1[[#This Row],[Future-1 Description]],'Other '!E554:$F563,2,FALSE),"")</f>
        <v/>
      </c>
      <c r="M566" s="32"/>
      <c r="N566" s="32"/>
      <c r="O566" s="32"/>
      <c r="P566" s="49">
        <v>897988.57</v>
      </c>
      <c r="Q566" s="49">
        <v>125000</v>
      </c>
      <c r="R566" s="32"/>
      <c r="S566" s="4"/>
      <c r="T566" s="32"/>
      <c r="U566" s="32"/>
      <c r="V566" s="32"/>
      <c r="W566" s="32"/>
      <c r="X566" s="33"/>
      <c r="Y566" s="33"/>
      <c r="Z566" s="31">
        <f>Table1[[#This Row],[Quantity of measruing units]]*Table1[[#This Row],[Rate (expected)]]</f>
        <v>0</v>
      </c>
      <c r="AA566" s="31"/>
      <c r="AB566" s="31"/>
      <c r="AC566" s="34">
        <f>Table1[[#This Row],[Quantity (expected)]]*Table1[[#This Row],[Rate (expected)2]]*0.9</f>
        <v>0</v>
      </c>
      <c r="AD566" s="34">
        <f>Table1[[#This Row],[Quantity (expected)]]*Table1[[#This Row],[Rate (expected)2]]*0.8</f>
        <v>0</v>
      </c>
      <c r="AE566" s="34">
        <f>Table1[[#This Row],[Quantity (expected)]]*Table1[[#This Row],[Rate (expected)2]]*0.7</f>
        <v>0</v>
      </c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1">
        <f>SUM(Table1[[#This Row],[Jan-23]:[Dec-23]])</f>
        <v>0</v>
      </c>
      <c r="AV566" s="105"/>
      <c r="AW566" s="32"/>
      <c r="AX566" s="35"/>
    </row>
    <row r="567" spans="1:50" ht="26" x14ac:dyDescent="0.3">
      <c r="A567" s="30" t="str">
        <f>VLOOKUP(H567,'Accoount Code Combination'!$D:$L,8,FALSE)</f>
        <v>Communiction &amp; Marketing</v>
      </c>
      <c r="B567" s="31" t="str">
        <f>VLOOKUP(Table1[[#This Row],[Account Code]],'Accoount Code Combination'!$D:$L,9,FALSE)</f>
        <v>Photography</v>
      </c>
      <c r="C567" s="4" t="str">
        <f>VLOOKUP(Table1[[#This Row],[Cost Center Code]],'Cost Center Group'!A:B,2,FALSE)</f>
        <v>College of Medicine &amp; Health Sciences</v>
      </c>
      <c r="D567" s="4">
        <v>847</v>
      </c>
      <c r="E567" s="79">
        <v>8471305</v>
      </c>
      <c r="F567" s="32" t="s">
        <v>32</v>
      </c>
      <c r="G567" s="4">
        <v>1</v>
      </c>
      <c r="H567" s="95">
        <v>435519</v>
      </c>
      <c r="I567" s="106" t="str">
        <f>IFERROR(VLOOKUP(Table1[[#This Row],[Account Code]],'Accoount Code Combination'!$D:$H,2,FALSE),"")</f>
        <v>Photography - Consumable materials /Tools</v>
      </c>
      <c r="J567" s="79">
        <v>8471305</v>
      </c>
      <c r="K567" s="4"/>
      <c r="L567" s="4" t="str">
        <f>IFERROR(VLOOKUP(Table1[[#This Row],[Future-1 Description]],'Other '!E555:$F564,2,FALSE),"")</f>
        <v/>
      </c>
      <c r="M567" s="32"/>
      <c r="N567" s="32"/>
      <c r="O567" s="32"/>
      <c r="P567" s="49">
        <v>2312.5</v>
      </c>
      <c r="Q567" s="49">
        <v>25000</v>
      </c>
      <c r="R567" s="32"/>
      <c r="S567" s="4"/>
      <c r="T567" s="32"/>
      <c r="U567" s="32"/>
      <c r="V567" s="32"/>
      <c r="W567" s="32"/>
      <c r="X567" s="33"/>
      <c r="Y567" s="33"/>
      <c r="Z567" s="31">
        <f>Table1[[#This Row],[Quantity of measruing units]]*Table1[[#This Row],[Rate (expected)]]</f>
        <v>0</v>
      </c>
      <c r="AA567" s="31"/>
      <c r="AB567" s="31"/>
      <c r="AC567" s="34">
        <f>Table1[[#This Row],[Quantity (expected)]]*Table1[[#This Row],[Rate (expected)2]]*0.9</f>
        <v>0</v>
      </c>
      <c r="AD567" s="34">
        <f>Table1[[#This Row],[Quantity (expected)]]*Table1[[#This Row],[Rate (expected)2]]*0.8</f>
        <v>0</v>
      </c>
      <c r="AE567" s="34">
        <f>Table1[[#This Row],[Quantity (expected)]]*Table1[[#This Row],[Rate (expected)2]]*0.7</f>
        <v>0</v>
      </c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1">
        <f>SUM(Table1[[#This Row],[Jan-23]:[Dec-23]])</f>
        <v>0</v>
      </c>
      <c r="AV567" s="105"/>
      <c r="AW567" s="32"/>
      <c r="AX567" s="35"/>
    </row>
    <row r="568" spans="1:50" ht="26" x14ac:dyDescent="0.3">
      <c r="A568" s="30" t="str">
        <f>VLOOKUP(H568,'Accoount Code Combination'!$D:$L,8,FALSE)</f>
        <v>Academic</v>
      </c>
      <c r="B568" s="31" t="str">
        <f>VLOOKUP(Table1[[#This Row],[Account Code]],'Accoount Code Combination'!$D:$L,9,FALSE)</f>
        <v>No Applicable</v>
      </c>
      <c r="C568" s="4" t="str">
        <f>VLOOKUP(Table1[[#This Row],[Cost Center Code]],'Cost Center Group'!A:B,2,FALSE)</f>
        <v>College of Medicine &amp; Health Sciences</v>
      </c>
      <c r="D568" s="4">
        <v>847</v>
      </c>
      <c r="E568" s="79">
        <v>8471305</v>
      </c>
      <c r="F568" s="32" t="s">
        <v>32</v>
      </c>
      <c r="G568" s="4">
        <v>1</v>
      </c>
      <c r="H568" s="95">
        <v>435530</v>
      </c>
      <c r="I568" s="106" t="str">
        <f>IFERROR(VLOOKUP(Table1[[#This Row],[Account Code]],'Accoount Code Combination'!$D:$H,2,FALSE),"")</f>
        <v>School consumables, not specifically mentioned elsewhere</v>
      </c>
      <c r="J568" s="79">
        <v>8471305</v>
      </c>
      <c r="K568" s="4"/>
      <c r="L568" s="4" t="str">
        <f>IFERROR(VLOOKUP(Table1[[#This Row],[Future-1 Description]],'Other '!E556:$F565,2,FALSE),"")</f>
        <v/>
      </c>
      <c r="M568" s="32"/>
      <c r="N568" s="32"/>
      <c r="O568" s="32"/>
      <c r="P568" s="49">
        <v>851.23</v>
      </c>
      <c r="Q568" s="49">
        <v>1001</v>
      </c>
      <c r="R568" s="32"/>
      <c r="S568" s="4"/>
      <c r="T568" s="32"/>
      <c r="U568" s="32"/>
      <c r="V568" s="32"/>
      <c r="W568" s="32"/>
      <c r="X568" s="33"/>
      <c r="Y568" s="33"/>
      <c r="Z568" s="31">
        <f>Table1[[#This Row],[Quantity of measruing units]]*Table1[[#This Row],[Rate (expected)]]</f>
        <v>0</v>
      </c>
      <c r="AA568" s="31"/>
      <c r="AB568" s="31"/>
      <c r="AC568" s="34">
        <f>Table1[[#This Row],[Quantity (expected)]]*Table1[[#This Row],[Rate (expected)2]]*0.9</f>
        <v>0</v>
      </c>
      <c r="AD568" s="34">
        <f>Table1[[#This Row],[Quantity (expected)]]*Table1[[#This Row],[Rate (expected)2]]*0.8</f>
        <v>0</v>
      </c>
      <c r="AE568" s="34">
        <f>Table1[[#This Row],[Quantity (expected)]]*Table1[[#This Row],[Rate (expected)2]]*0.7</f>
        <v>0</v>
      </c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1">
        <f>SUM(Table1[[#This Row],[Jan-23]:[Dec-23]])</f>
        <v>0</v>
      </c>
      <c r="AV568" s="105"/>
      <c r="AW568" s="32"/>
      <c r="AX568" s="35"/>
    </row>
    <row r="569" spans="1:50" x14ac:dyDescent="0.3">
      <c r="A569" s="30" t="str">
        <f>VLOOKUP(H569,'Accoount Code Combination'!$D:$L,8,FALSE)</f>
        <v>Other support</v>
      </c>
      <c r="B569" s="31" t="str">
        <f>VLOOKUP(Table1[[#This Row],[Account Code]],'Accoount Code Combination'!$D:$L,9,FALSE)</f>
        <v>No Applicable</v>
      </c>
      <c r="C569" s="4" t="str">
        <f>VLOOKUP(Table1[[#This Row],[Cost Center Code]],'Cost Center Group'!A:B,2,FALSE)</f>
        <v>College of Medicine &amp; Health Sciences</v>
      </c>
      <c r="D569" s="4">
        <v>847</v>
      </c>
      <c r="E569" s="79">
        <v>8471305</v>
      </c>
      <c r="F569" s="32" t="s">
        <v>32</v>
      </c>
      <c r="G569" s="4">
        <v>1</v>
      </c>
      <c r="H569" s="95">
        <v>436110</v>
      </c>
      <c r="I569" s="106" t="str">
        <f>IFERROR(VLOOKUP(Table1[[#This Row],[Account Code]],'Accoount Code Combination'!$D:$H,2,FALSE),"")</f>
        <v>Printing supplies</v>
      </c>
      <c r="J569" s="79">
        <v>8471305</v>
      </c>
      <c r="K569" s="4"/>
      <c r="L569" s="4" t="str">
        <f>IFERROR(VLOOKUP(Table1[[#This Row],[Future-1 Description]],'Other '!E557:$F566,2,FALSE),"")</f>
        <v/>
      </c>
      <c r="M569" s="32"/>
      <c r="N569" s="32"/>
      <c r="O569" s="32"/>
      <c r="P569" s="49">
        <v>0</v>
      </c>
      <c r="Q569" s="49">
        <v>77114</v>
      </c>
      <c r="R569" s="32"/>
      <c r="S569" s="4"/>
      <c r="T569" s="32"/>
      <c r="U569" s="32"/>
      <c r="V569" s="32"/>
      <c r="W569" s="32"/>
      <c r="X569" s="33"/>
      <c r="Y569" s="33"/>
      <c r="Z569" s="31">
        <f>Table1[[#This Row],[Quantity of measruing units]]*Table1[[#This Row],[Rate (expected)]]</f>
        <v>0</v>
      </c>
      <c r="AA569" s="31"/>
      <c r="AB569" s="31"/>
      <c r="AC569" s="34">
        <f>Table1[[#This Row],[Quantity (expected)]]*Table1[[#This Row],[Rate (expected)2]]*0.9</f>
        <v>0</v>
      </c>
      <c r="AD569" s="34">
        <f>Table1[[#This Row],[Quantity (expected)]]*Table1[[#This Row],[Rate (expected)2]]*0.8</f>
        <v>0</v>
      </c>
      <c r="AE569" s="34">
        <f>Table1[[#This Row],[Quantity (expected)]]*Table1[[#This Row],[Rate (expected)2]]*0.7</f>
        <v>0</v>
      </c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1">
        <f>SUM(Table1[[#This Row],[Jan-23]:[Dec-23]])</f>
        <v>0</v>
      </c>
      <c r="AV569" s="105"/>
      <c r="AW569" s="32"/>
      <c r="AX569" s="35"/>
    </row>
    <row r="570" spans="1:50" x14ac:dyDescent="0.3">
      <c r="A570" s="30" t="str">
        <f>VLOOKUP(H570,'Accoount Code Combination'!$D:$L,8,FALSE)</f>
        <v>Other support</v>
      </c>
      <c r="B570" s="31" t="str">
        <f>VLOOKUP(Table1[[#This Row],[Account Code]],'Accoount Code Combination'!$D:$L,9,FALSE)</f>
        <v>No Applicable</v>
      </c>
      <c r="C570" s="4" t="str">
        <f>VLOOKUP(Table1[[#This Row],[Cost Center Code]],'Cost Center Group'!A:B,2,FALSE)</f>
        <v>College of Medicine &amp; Health Sciences</v>
      </c>
      <c r="D570" s="4">
        <v>847</v>
      </c>
      <c r="E570" s="79">
        <v>8471305</v>
      </c>
      <c r="F570" s="32" t="s">
        <v>32</v>
      </c>
      <c r="G570" s="4">
        <v>1</v>
      </c>
      <c r="H570" s="95">
        <v>436120</v>
      </c>
      <c r="I570" s="106" t="str">
        <f>IFERROR(VLOOKUP(Table1[[#This Row],[Account Code]],'Accoount Code Combination'!$D:$H,2,FALSE),"")</f>
        <v>Stationery</v>
      </c>
      <c r="J570" s="79">
        <v>8471305</v>
      </c>
      <c r="K570" s="4"/>
      <c r="L570" s="4" t="str">
        <f>IFERROR(VLOOKUP(Table1[[#This Row],[Future-1 Description]],'Other '!E558:$F567,2,FALSE),"")</f>
        <v/>
      </c>
      <c r="M570" s="32"/>
      <c r="N570" s="32"/>
      <c r="O570" s="32"/>
      <c r="P570" s="49">
        <v>6669.05</v>
      </c>
      <c r="Q570" s="49">
        <v>62348</v>
      </c>
      <c r="R570" s="32"/>
      <c r="S570" s="4"/>
      <c r="T570" s="32"/>
      <c r="U570" s="32"/>
      <c r="V570" s="32"/>
      <c r="W570" s="32"/>
      <c r="X570" s="33"/>
      <c r="Y570" s="33"/>
      <c r="Z570" s="31">
        <f>Table1[[#This Row],[Quantity of measruing units]]*Table1[[#This Row],[Rate (expected)]]</f>
        <v>0</v>
      </c>
      <c r="AA570" s="31"/>
      <c r="AB570" s="31"/>
      <c r="AC570" s="34">
        <f>Table1[[#This Row],[Quantity (expected)]]*Table1[[#This Row],[Rate (expected)2]]*0.9</f>
        <v>0</v>
      </c>
      <c r="AD570" s="34">
        <f>Table1[[#This Row],[Quantity (expected)]]*Table1[[#This Row],[Rate (expected)2]]*0.8</f>
        <v>0</v>
      </c>
      <c r="AE570" s="34">
        <f>Table1[[#This Row],[Quantity (expected)]]*Table1[[#This Row],[Rate (expected)2]]*0.7</f>
        <v>0</v>
      </c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1">
        <f>SUM(Table1[[#This Row],[Jan-23]:[Dec-23]])</f>
        <v>0</v>
      </c>
      <c r="AV570" s="105"/>
      <c r="AW570" s="32"/>
      <c r="AX570" s="35"/>
    </row>
    <row r="571" spans="1:50" x14ac:dyDescent="0.3">
      <c r="A571" s="30">
        <f>VLOOKUP(H571,'Accoount Code Combination'!$D:$L,8,FALSE)</f>
        <v>0</v>
      </c>
      <c r="B571" s="31" t="str">
        <f>VLOOKUP(Table1[[#This Row],[Account Code]],'Accoount Code Combination'!$D:$L,9,FALSE)</f>
        <v>Building Improvements</v>
      </c>
      <c r="C571" s="4" t="str">
        <f>VLOOKUP(Table1[[#This Row],[Cost Center Code]],'Cost Center Group'!A:B,2,FALSE)</f>
        <v>College of Medicine &amp; Health Sciences</v>
      </c>
      <c r="D571" s="4">
        <v>847</v>
      </c>
      <c r="E571" s="79">
        <v>8471305</v>
      </c>
      <c r="F571" s="32" t="s">
        <v>32</v>
      </c>
      <c r="G571" s="4">
        <v>1</v>
      </c>
      <c r="H571" s="95">
        <v>492200</v>
      </c>
      <c r="I571" s="106" t="str">
        <f>IFERROR(VLOOKUP(Table1[[#This Row],[Account Code]],'Accoount Code Combination'!$D:$H,2,FALSE),"")</f>
        <v>Capital expense - Buildings</v>
      </c>
      <c r="J571" s="79">
        <v>8471305</v>
      </c>
      <c r="K571" s="4"/>
      <c r="L571" s="4" t="str">
        <f>IFERROR(VLOOKUP(Table1[[#This Row],[Future-1 Description]],'Other '!E559:$F568,2,FALSE),"")</f>
        <v/>
      </c>
      <c r="M571" s="32"/>
      <c r="N571" s="32"/>
      <c r="O571" s="32"/>
      <c r="P571" s="49">
        <v>1143379</v>
      </c>
      <c r="Q571" s="49">
        <v>0</v>
      </c>
      <c r="R571" s="32"/>
      <c r="S571" s="4"/>
      <c r="T571" s="32"/>
      <c r="U571" s="32"/>
      <c r="V571" s="32"/>
      <c r="W571" s="32"/>
      <c r="X571" s="33"/>
      <c r="Y571" s="33"/>
      <c r="Z571" s="31">
        <f>Table1[[#This Row],[Quantity of measruing units]]*Table1[[#This Row],[Rate (expected)]]</f>
        <v>0</v>
      </c>
      <c r="AA571" s="31"/>
      <c r="AB571" s="31"/>
      <c r="AC571" s="34">
        <f>Table1[[#This Row],[Quantity (expected)]]*Table1[[#This Row],[Rate (expected)2]]*0.9</f>
        <v>0</v>
      </c>
      <c r="AD571" s="34">
        <f>Table1[[#This Row],[Quantity (expected)]]*Table1[[#This Row],[Rate (expected)2]]*0.8</f>
        <v>0</v>
      </c>
      <c r="AE571" s="34">
        <f>Table1[[#This Row],[Quantity (expected)]]*Table1[[#This Row],[Rate (expected)2]]*0.7</f>
        <v>0</v>
      </c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1">
        <f>SUM(Table1[[#This Row],[Jan-23]:[Dec-23]])</f>
        <v>0</v>
      </c>
      <c r="AV571" s="105"/>
      <c r="AW571" s="32"/>
      <c r="AX571" s="35"/>
    </row>
    <row r="572" spans="1:50" x14ac:dyDescent="0.3">
      <c r="A572" s="30">
        <f>VLOOKUP(H572,'Accoount Code Combination'!$D:$L,8,FALSE)</f>
        <v>0</v>
      </c>
      <c r="B572" s="31" t="str">
        <f>VLOOKUP(Table1[[#This Row],[Account Code]],'Accoount Code Combination'!$D:$L,9,FALSE)</f>
        <v>No Applicable</v>
      </c>
      <c r="C572" s="4" t="str">
        <f>VLOOKUP(Table1[[#This Row],[Cost Center Code]],'Cost Center Group'!A:B,2,FALSE)</f>
        <v>College of Medicine &amp; Health Sciences</v>
      </c>
      <c r="D572" s="4">
        <v>847</v>
      </c>
      <c r="E572" s="79">
        <v>8471305</v>
      </c>
      <c r="F572" s="32" t="s">
        <v>32</v>
      </c>
      <c r="G572" s="4">
        <v>1</v>
      </c>
      <c r="H572" s="95">
        <v>492310</v>
      </c>
      <c r="I572" s="106" t="str">
        <f>IFERROR(VLOOKUP(Table1[[#This Row],[Account Code]],'Accoount Code Combination'!$D:$H,2,FALSE),"")</f>
        <v>Hardware &amp; peripherals</v>
      </c>
      <c r="J572" s="79">
        <v>8471305</v>
      </c>
      <c r="K572" s="4"/>
      <c r="L572" s="4" t="str">
        <f>IFERROR(VLOOKUP(Table1[[#This Row],[Future-1 Description]],'Other '!E560:$F569,2,FALSE),"")</f>
        <v/>
      </c>
      <c r="M572" s="32"/>
      <c r="N572" s="32"/>
      <c r="O572" s="32"/>
      <c r="P572" s="49">
        <v>334480</v>
      </c>
      <c r="Q572" s="49">
        <v>4910637</v>
      </c>
      <c r="R572" s="32"/>
      <c r="S572" s="4"/>
      <c r="T572" s="32"/>
      <c r="U572" s="32"/>
      <c r="V572" s="32"/>
      <c r="W572" s="32"/>
      <c r="X572" s="33"/>
      <c r="Y572" s="33"/>
      <c r="Z572" s="31">
        <f>Table1[[#This Row],[Quantity of measruing units]]*Table1[[#This Row],[Rate (expected)]]</f>
        <v>0</v>
      </c>
      <c r="AA572" s="31"/>
      <c r="AB572" s="31"/>
      <c r="AC572" s="34">
        <f>Table1[[#This Row],[Quantity (expected)]]*Table1[[#This Row],[Rate (expected)2]]*0.9</f>
        <v>0</v>
      </c>
      <c r="AD572" s="34">
        <f>Table1[[#This Row],[Quantity (expected)]]*Table1[[#This Row],[Rate (expected)2]]*0.8</f>
        <v>0</v>
      </c>
      <c r="AE572" s="34">
        <f>Table1[[#This Row],[Quantity (expected)]]*Table1[[#This Row],[Rate (expected)2]]*0.7</f>
        <v>0</v>
      </c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1">
        <f>SUM(Table1[[#This Row],[Jan-23]:[Dec-23]])</f>
        <v>0</v>
      </c>
      <c r="AV572" s="105"/>
      <c r="AW572" s="32"/>
      <c r="AX572" s="35"/>
    </row>
    <row r="573" spans="1:50" x14ac:dyDescent="0.3">
      <c r="A573" s="30">
        <f>VLOOKUP(H573,'Accoount Code Combination'!$D:$L,8,FALSE)</f>
        <v>0</v>
      </c>
      <c r="B573" s="31" t="str">
        <f>VLOOKUP(Table1[[#This Row],[Account Code]],'Accoount Code Combination'!$D:$L,9,FALSE)</f>
        <v>No Applicable</v>
      </c>
      <c r="C573" s="4" t="str">
        <f>VLOOKUP(Table1[[#This Row],[Cost Center Code]],'Cost Center Group'!A:B,2,FALSE)</f>
        <v>College of Medicine &amp; Health Sciences</v>
      </c>
      <c r="D573" s="4">
        <v>847</v>
      </c>
      <c r="E573" s="79">
        <v>8471305</v>
      </c>
      <c r="F573" s="32" t="s">
        <v>32</v>
      </c>
      <c r="G573" s="4">
        <v>1</v>
      </c>
      <c r="H573" s="95">
        <v>492316</v>
      </c>
      <c r="I573" s="106" t="str">
        <f>IFERROR(VLOOKUP(Table1[[#This Row],[Account Code]],'Accoount Code Combination'!$D:$H,2,FALSE),"")</f>
        <v>Laboratory equipment</v>
      </c>
      <c r="J573" s="79">
        <v>8471305</v>
      </c>
      <c r="K573" s="4"/>
      <c r="L573" s="4" t="str">
        <f>IFERROR(VLOOKUP(Table1[[#This Row],[Future-1 Description]],'Other '!E561:$F570,2,FALSE),"")</f>
        <v/>
      </c>
      <c r="M573" s="32"/>
      <c r="N573" s="32"/>
      <c r="O573" s="32"/>
      <c r="P573" s="49">
        <v>15725665.710000001</v>
      </c>
      <c r="Q573" s="49">
        <v>21361628</v>
      </c>
      <c r="R573" s="32"/>
      <c r="S573" s="4"/>
      <c r="T573" s="32"/>
      <c r="U573" s="32"/>
      <c r="V573" s="32"/>
      <c r="W573" s="32"/>
      <c r="X573" s="33"/>
      <c r="Y573" s="33"/>
      <c r="Z573" s="31">
        <f>Table1[[#This Row],[Quantity of measruing units]]*Table1[[#This Row],[Rate (expected)]]</f>
        <v>0</v>
      </c>
      <c r="AA573" s="31"/>
      <c r="AB573" s="31"/>
      <c r="AC573" s="34">
        <f>Table1[[#This Row],[Quantity (expected)]]*Table1[[#This Row],[Rate (expected)2]]*0.9</f>
        <v>0</v>
      </c>
      <c r="AD573" s="34">
        <f>Table1[[#This Row],[Quantity (expected)]]*Table1[[#This Row],[Rate (expected)2]]*0.8</f>
        <v>0</v>
      </c>
      <c r="AE573" s="34">
        <f>Table1[[#This Row],[Quantity (expected)]]*Table1[[#This Row],[Rate (expected)2]]*0.7</f>
        <v>0</v>
      </c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1">
        <f>SUM(Table1[[#This Row],[Jan-23]:[Dec-23]])</f>
        <v>0</v>
      </c>
      <c r="AV573" s="105"/>
      <c r="AW573" s="32"/>
      <c r="AX573" s="35"/>
    </row>
    <row r="574" spans="1:50" x14ac:dyDescent="0.3">
      <c r="A574" s="30">
        <f>VLOOKUP(H574,'Accoount Code Combination'!$D:$L,8,FALSE)</f>
        <v>0</v>
      </c>
      <c r="B574" s="31" t="str">
        <f>VLOOKUP(Table1[[#This Row],[Account Code]],'Accoount Code Combination'!$D:$L,9,FALSE)</f>
        <v>Furniture and Fixtures</v>
      </c>
      <c r="C574" s="4" t="str">
        <f>VLOOKUP(Table1[[#This Row],[Cost Center Code]],'Cost Center Group'!A:B,2,FALSE)</f>
        <v>College of Medicine &amp; Health Sciences</v>
      </c>
      <c r="D574" s="4">
        <v>847</v>
      </c>
      <c r="E574" s="79">
        <v>8471305</v>
      </c>
      <c r="F574" s="32" t="s">
        <v>32</v>
      </c>
      <c r="G574" s="4">
        <v>1</v>
      </c>
      <c r="H574" s="95">
        <v>492610</v>
      </c>
      <c r="I574" s="106" t="str">
        <f>IFERROR(VLOOKUP(Table1[[#This Row],[Account Code]],'Accoount Code Combination'!$D:$H,2,FALSE),"")</f>
        <v>Furniture &amp; Fixtures - Offices</v>
      </c>
      <c r="J574" s="79">
        <v>8471305</v>
      </c>
      <c r="K574" s="4"/>
      <c r="L574" s="4" t="str">
        <f>IFERROR(VLOOKUP(Table1[[#This Row],[Future-1 Description]],'Other '!E562:$F571,2,FALSE),"")</f>
        <v/>
      </c>
      <c r="M574" s="32"/>
      <c r="N574" s="32"/>
      <c r="O574" s="32"/>
      <c r="P574" s="49">
        <v>391932</v>
      </c>
      <c r="Q574" s="49">
        <v>650000</v>
      </c>
      <c r="R574" s="32"/>
      <c r="S574" s="4"/>
      <c r="T574" s="32"/>
      <c r="U574" s="32"/>
      <c r="V574" s="32"/>
      <c r="W574" s="32"/>
      <c r="X574" s="33"/>
      <c r="Y574" s="33"/>
      <c r="Z574" s="31">
        <f>Table1[[#This Row],[Quantity of measruing units]]*Table1[[#This Row],[Rate (expected)]]</f>
        <v>0</v>
      </c>
      <c r="AA574" s="31"/>
      <c r="AB574" s="31"/>
      <c r="AC574" s="34">
        <f>Table1[[#This Row],[Quantity (expected)]]*Table1[[#This Row],[Rate (expected)2]]*0.9</f>
        <v>0</v>
      </c>
      <c r="AD574" s="34">
        <f>Table1[[#This Row],[Quantity (expected)]]*Table1[[#This Row],[Rate (expected)2]]*0.8</f>
        <v>0</v>
      </c>
      <c r="AE574" s="34">
        <f>Table1[[#This Row],[Quantity (expected)]]*Table1[[#This Row],[Rate (expected)2]]*0.7</f>
        <v>0</v>
      </c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1">
        <f>SUM(Table1[[#This Row],[Jan-23]:[Dec-23]])</f>
        <v>0</v>
      </c>
      <c r="AV574" s="105"/>
      <c r="AW574" s="32"/>
      <c r="AX574" s="35"/>
    </row>
    <row r="575" spans="1:50" ht="26" x14ac:dyDescent="0.3">
      <c r="A575" s="30" t="str">
        <f>VLOOKUP(H575,'Accoount Code Combination'!$D:$L,8,FALSE)</f>
        <v>Academic</v>
      </c>
      <c r="B575" s="31" t="str">
        <f>VLOOKUP(Table1[[#This Row],[Account Code]],'Accoount Code Combination'!$D:$L,9,FALSE)</f>
        <v>No Applicable</v>
      </c>
      <c r="C575" s="4" t="str">
        <f>VLOOKUP(Table1[[#This Row],[Cost Center Code]],'Cost Center Group'!A:B,2,FALSE)</f>
        <v xml:space="preserve">President's Office </v>
      </c>
      <c r="D575" s="4">
        <v>847</v>
      </c>
      <c r="E575" s="79">
        <v>8470130</v>
      </c>
      <c r="F575" s="32" t="s">
        <v>217</v>
      </c>
      <c r="G575" s="4">
        <v>1</v>
      </c>
      <c r="H575" s="95">
        <v>427710</v>
      </c>
      <c r="I575" s="106" t="str">
        <f>IFERROR(VLOOKUP(Table1[[#This Row],[Account Code]],'Accoount Code Combination'!$D:$H,2,FALSE),"")</f>
        <v>Subscriptions and membership fees: Trade organisations</v>
      </c>
      <c r="J575" s="79">
        <v>8470130</v>
      </c>
      <c r="K575" s="4"/>
      <c r="L575" s="4" t="str">
        <f>IFERROR(VLOOKUP(Table1[[#This Row],[Future-1 Description]],'Other '!E563:$F572,2,FALSE),"")</f>
        <v/>
      </c>
      <c r="M575" s="32"/>
      <c r="N575" s="32"/>
      <c r="O575" s="32"/>
      <c r="P575" s="49">
        <v>0</v>
      </c>
      <c r="Q575" s="49">
        <v>129650</v>
      </c>
      <c r="R575" s="32"/>
      <c r="S575" s="4"/>
      <c r="T575" s="32"/>
      <c r="U575" s="32"/>
      <c r="V575" s="32"/>
      <c r="W575" s="32"/>
      <c r="X575" s="33"/>
      <c r="Y575" s="33"/>
      <c r="Z575" s="31">
        <f>Table1[[#This Row],[Quantity of measruing units]]*Table1[[#This Row],[Rate (expected)]]</f>
        <v>0</v>
      </c>
      <c r="AA575" s="31"/>
      <c r="AB575" s="31"/>
      <c r="AC575" s="34">
        <f>Table1[[#This Row],[Quantity (expected)]]*Table1[[#This Row],[Rate (expected)2]]*0.9</f>
        <v>0</v>
      </c>
      <c r="AD575" s="34">
        <f>Table1[[#This Row],[Quantity (expected)]]*Table1[[#This Row],[Rate (expected)2]]*0.8</f>
        <v>0</v>
      </c>
      <c r="AE575" s="34">
        <f>Table1[[#This Row],[Quantity (expected)]]*Table1[[#This Row],[Rate (expected)2]]*0.7</f>
        <v>0</v>
      </c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1">
        <f>SUM(Table1[[#This Row],[Jan-23]:[Dec-23]])</f>
        <v>0</v>
      </c>
      <c r="AV575" s="105"/>
      <c r="AW575" s="32"/>
      <c r="AX575" s="35"/>
    </row>
    <row r="576" spans="1:50" x14ac:dyDescent="0.3">
      <c r="A576" s="30">
        <f>VLOOKUP(H576,'Accoount Code Combination'!$D:$L,8,FALSE)</f>
        <v>0</v>
      </c>
      <c r="B576" s="31" t="str">
        <f>VLOOKUP(Table1[[#This Row],[Account Code]],'Accoount Code Combination'!$D:$L,9,FALSE)</f>
        <v>No Applicable</v>
      </c>
      <c r="C576" s="4" t="str">
        <f>VLOOKUP(Table1[[#This Row],[Cost Center Code]],'Cost Center Group'!A:B,2,FALSE)</f>
        <v xml:space="preserve">President's Office </v>
      </c>
      <c r="D576" s="4">
        <v>847</v>
      </c>
      <c r="E576" s="79">
        <v>8470140</v>
      </c>
      <c r="F576" s="32" t="s">
        <v>231</v>
      </c>
      <c r="G576" s="4">
        <v>1</v>
      </c>
      <c r="H576" s="95">
        <v>492310</v>
      </c>
      <c r="I576" s="106" t="str">
        <f>IFERROR(VLOOKUP(Table1[[#This Row],[Account Code]],'Accoount Code Combination'!$D:$H,2,FALSE),"")</f>
        <v>Hardware &amp; peripherals</v>
      </c>
      <c r="J576" s="79">
        <v>8470140</v>
      </c>
      <c r="K576" s="4"/>
      <c r="L576" s="4" t="str">
        <f>IFERROR(VLOOKUP(Table1[[#This Row],[Future-1 Description]],'Other '!E564:$F573,2,FALSE),"")</f>
        <v/>
      </c>
      <c r="M576" s="32"/>
      <c r="N576" s="32"/>
      <c r="O576" s="32"/>
      <c r="P576" s="49">
        <v>0</v>
      </c>
      <c r="Q576" s="49">
        <v>200000</v>
      </c>
      <c r="R576" s="32"/>
      <c r="S576" s="4"/>
      <c r="T576" s="32"/>
      <c r="U576" s="32"/>
      <c r="V576" s="32"/>
      <c r="W576" s="32"/>
      <c r="X576" s="33"/>
      <c r="Y576" s="33"/>
      <c r="Z576" s="31">
        <f>Table1[[#This Row],[Quantity of measruing units]]*Table1[[#This Row],[Rate (expected)]]</f>
        <v>0</v>
      </c>
      <c r="AA576" s="31"/>
      <c r="AB576" s="31"/>
      <c r="AC576" s="34">
        <f>Table1[[#This Row],[Quantity (expected)]]*Table1[[#This Row],[Rate (expected)2]]*0.9</f>
        <v>0</v>
      </c>
      <c r="AD576" s="34">
        <f>Table1[[#This Row],[Quantity (expected)]]*Table1[[#This Row],[Rate (expected)2]]*0.8</f>
        <v>0</v>
      </c>
      <c r="AE576" s="34">
        <f>Table1[[#This Row],[Quantity (expected)]]*Table1[[#This Row],[Rate (expected)2]]*0.7</f>
        <v>0</v>
      </c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1">
        <f>SUM(Table1[[#This Row],[Jan-23]:[Dec-23]])</f>
        <v>0</v>
      </c>
      <c r="AV576" s="105"/>
      <c r="AW576" s="32"/>
      <c r="AX576" s="35"/>
    </row>
    <row r="577" spans="1:50" ht="26" x14ac:dyDescent="0.3">
      <c r="A577" s="30" t="str">
        <f>VLOOKUP(H577,'Accoount Code Combination'!$D:$L,8,FALSE)</f>
        <v>Facilities</v>
      </c>
      <c r="B577" s="31" t="str">
        <f>VLOOKUP(Table1[[#This Row],[Account Code]],'Accoount Code Combination'!$D:$L,9,FALSE)</f>
        <v>No Applicable</v>
      </c>
      <c r="C577" s="4" t="str">
        <f>VLOOKUP(Table1[[#This Row],[Cost Center Code]],'Cost Center Group'!A:B,2,FALSE)</f>
        <v>College of Engineering</v>
      </c>
      <c r="D577" s="4">
        <v>847</v>
      </c>
      <c r="E577" s="79">
        <v>8470310</v>
      </c>
      <c r="F577" s="32" t="s">
        <v>309</v>
      </c>
      <c r="G577" s="4">
        <v>1</v>
      </c>
      <c r="H577" s="95">
        <v>430120</v>
      </c>
      <c r="I577" s="106" t="str">
        <f>IFERROR(VLOOKUP(Table1[[#This Row],[Account Code]],'Accoount Code Combination'!$D:$H,2,FALSE),"")</f>
        <v>Rental - Buildings, other than staff residences</v>
      </c>
      <c r="J577" s="79">
        <v>8470310</v>
      </c>
      <c r="K577" s="4"/>
      <c r="L577" s="4" t="str">
        <f>IFERROR(VLOOKUP(Table1[[#This Row],[Future-1 Description]],'Other '!E565:$F574,2,FALSE),"")</f>
        <v/>
      </c>
      <c r="M577" s="32"/>
      <c r="N577" s="32"/>
      <c r="O577" s="32"/>
      <c r="P577" s="49">
        <v>0</v>
      </c>
      <c r="Q577" s="49">
        <v>180000</v>
      </c>
      <c r="R577" s="32"/>
      <c r="S577" s="4"/>
      <c r="T577" s="32"/>
      <c r="U577" s="32"/>
      <c r="V577" s="32"/>
      <c r="W577" s="32"/>
      <c r="X577" s="33"/>
      <c r="Y577" s="33"/>
      <c r="Z577" s="31">
        <f>Table1[[#This Row],[Quantity of measruing units]]*Table1[[#This Row],[Rate (expected)]]</f>
        <v>0</v>
      </c>
      <c r="AA577" s="31"/>
      <c r="AB577" s="31"/>
      <c r="AC577" s="34">
        <f>Table1[[#This Row],[Quantity (expected)]]*Table1[[#This Row],[Rate (expected)2]]*0.9</f>
        <v>0</v>
      </c>
      <c r="AD577" s="34">
        <f>Table1[[#This Row],[Quantity (expected)]]*Table1[[#This Row],[Rate (expected)2]]*0.8</f>
        <v>0</v>
      </c>
      <c r="AE577" s="34">
        <f>Table1[[#This Row],[Quantity (expected)]]*Table1[[#This Row],[Rate (expected)2]]*0.7</f>
        <v>0</v>
      </c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1">
        <f>SUM(Table1[[#This Row],[Jan-23]:[Dec-23]])</f>
        <v>0</v>
      </c>
      <c r="AV577" s="105"/>
      <c r="AW577" s="32"/>
      <c r="AX577" s="35"/>
    </row>
    <row r="578" spans="1:50" x14ac:dyDescent="0.3">
      <c r="A578" s="30" t="str">
        <f>VLOOKUP(H578,'Accoount Code Combination'!$D:$L,8,FALSE)</f>
        <v>Academic</v>
      </c>
      <c r="B578" s="31" t="str">
        <f>VLOOKUP(Table1[[#This Row],[Account Code]],'Accoount Code Combination'!$D:$L,9,FALSE)</f>
        <v>No Applicable</v>
      </c>
      <c r="C578" s="4" t="str">
        <f>VLOOKUP(Table1[[#This Row],[Cost Center Code]],'Cost Center Group'!A:B,2,FALSE)</f>
        <v>College of Engineering</v>
      </c>
      <c r="D578" s="4">
        <v>847</v>
      </c>
      <c r="E578" s="79">
        <v>8470315</v>
      </c>
      <c r="F578" s="32" t="s">
        <v>311</v>
      </c>
      <c r="G578" s="4">
        <v>1</v>
      </c>
      <c r="H578" s="95">
        <v>432209</v>
      </c>
      <c r="I578" s="106" t="str">
        <f>IFERROR(VLOOKUP(Table1[[#This Row],[Account Code]],'Accoount Code Combination'!$D:$H,2,FALSE),"")</f>
        <v>Laboratory equipment</v>
      </c>
      <c r="J578" s="79">
        <v>8470315</v>
      </c>
      <c r="K578" s="4"/>
      <c r="L578" s="4" t="str">
        <f>IFERROR(VLOOKUP(Table1[[#This Row],[Future-1 Description]],'Other '!E566:$F575,2,FALSE),"")</f>
        <v/>
      </c>
      <c r="M578" s="32"/>
      <c r="N578" s="32"/>
      <c r="O578" s="32"/>
      <c r="P578" s="49">
        <v>0</v>
      </c>
      <c r="Q578" s="49">
        <v>6195</v>
      </c>
      <c r="R578" s="32"/>
      <c r="S578" s="4"/>
      <c r="T578" s="32"/>
      <c r="U578" s="32"/>
      <c r="V578" s="32"/>
      <c r="W578" s="32"/>
      <c r="X578" s="33"/>
      <c r="Y578" s="33"/>
      <c r="Z578" s="31">
        <f>Table1[[#This Row],[Quantity of measruing units]]*Table1[[#This Row],[Rate (expected)]]</f>
        <v>0</v>
      </c>
      <c r="AA578" s="31"/>
      <c r="AB578" s="31"/>
      <c r="AC578" s="34">
        <f>Table1[[#This Row],[Quantity (expected)]]*Table1[[#This Row],[Rate (expected)2]]*0.9</f>
        <v>0</v>
      </c>
      <c r="AD578" s="34">
        <f>Table1[[#This Row],[Quantity (expected)]]*Table1[[#This Row],[Rate (expected)2]]*0.8</f>
        <v>0</v>
      </c>
      <c r="AE578" s="34">
        <f>Table1[[#This Row],[Quantity (expected)]]*Table1[[#This Row],[Rate (expected)2]]*0.7</f>
        <v>0</v>
      </c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1">
        <f>SUM(Table1[[#This Row],[Jan-23]:[Dec-23]])</f>
        <v>0</v>
      </c>
      <c r="AV578" s="105"/>
      <c r="AW578" s="32"/>
      <c r="AX578" s="35"/>
    </row>
    <row r="579" spans="1:50" x14ac:dyDescent="0.3">
      <c r="A579" s="30" t="str">
        <f>VLOOKUP(H579,'Accoount Code Combination'!$D:$L,8,FALSE)</f>
        <v>Academic</v>
      </c>
      <c r="B579" s="31" t="str">
        <f>VLOOKUP(Table1[[#This Row],[Account Code]],'Accoount Code Combination'!$D:$L,9,FALSE)</f>
        <v>No Applicable</v>
      </c>
      <c r="C579" s="4" t="str">
        <f>VLOOKUP(Table1[[#This Row],[Cost Center Code]],'Cost Center Group'!A:B,2,FALSE)</f>
        <v>College of Engineering</v>
      </c>
      <c r="D579" s="4">
        <v>847</v>
      </c>
      <c r="E579" s="79">
        <v>8470315</v>
      </c>
      <c r="F579" s="32" t="s">
        <v>311</v>
      </c>
      <c r="G579" s="4">
        <v>1</v>
      </c>
      <c r="H579" s="95">
        <v>435508</v>
      </c>
      <c r="I579" s="106" t="str">
        <f>IFERROR(VLOOKUP(Table1[[#This Row],[Account Code]],'Accoount Code Combination'!$D:$H,2,FALSE),"")</f>
        <v>Laboratory - Scientific</v>
      </c>
      <c r="J579" s="79">
        <v>8470315</v>
      </c>
      <c r="K579" s="4"/>
      <c r="L579" s="4" t="str">
        <f>IFERROR(VLOOKUP(Table1[[#This Row],[Future-1 Description]],'Other '!E567:$F576,2,FALSE),"")</f>
        <v/>
      </c>
      <c r="M579" s="32"/>
      <c r="N579" s="32"/>
      <c r="O579" s="32"/>
      <c r="P579" s="49">
        <v>0</v>
      </c>
      <c r="Q579" s="49">
        <v>17444</v>
      </c>
      <c r="R579" s="32"/>
      <c r="S579" s="4"/>
      <c r="T579" s="32"/>
      <c r="U579" s="32"/>
      <c r="V579" s="32"/>
      <c r="W579" s="32"/>
      <c r="X579" s="33"/>
      <c r="Y579" s="33"/>
      <c r="Z579" s="31">
        <f>Table1[[#This Row],[Quantity of measruing units]]*Table1[[#This Row],[Rate (expected)]]</f>
        <v>0</v>
      </c>
      <c r="AA579" s="31"/>
      <c r="AB579" s="31"/>
      <c r="AC579" s="34">
        <f>Table1[[#This Row],[Quantity (expected)]]*Table1[[#This Row],[Rate (expected)2]]*0.9</f>
        <v>0</v>
      </c>
      <c r="AD579" s="34">
        <f>Table1[[#This Row],[Quantity (expected)]]*Table1[[#This Row],[Rate (expected)2]]*0.8</f>
        <v>0</v>
      </c>
      <c r="AE579" s="34">
        <f>Table1[[#This Row],[Quantity (expected)]]*Table1[[#This Row],[Rate (expected)2]]*0.7</f>
        <v>0</v>
      </c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1">
        <f>SUM(Table1[[#This Row],[Jan-23]:[Dec-23]])</f>
        <v>0</v>
      </c>
      <c r="AV579" s="105"/>
      <c r="AW579" s="32"/>
      <c r="AX579" s="35"/>
    </row>
    <row r="580" spans="1:50" x14ac:dyDescent="0.3">
      <c r="A580" s="30">
        <f>VLOOKUP(H580,'Accoount Code Combination'!$D:$L,8,FALSE)</f>
        <v>0</v>
      </c>
      <c r="B580" s="31" t="str">
        <f>VLOOKUP(Table1[[#This Row],[Account Code]],'Accoount Code Combination'!$D:$L,9,FALSE)</f>
        <v>No Applicable</v>
      </c>
      <c r="C580" s="4" t="str">
        <f>VLOOKUP(Table1[[#This Row],[Cost Center Code]],'Cost Center Group'!A:B,2,FALSE)</f>
        <v>College of Engineering</v>
      </c>
      <c r="D580" s="4">
        <v>847</v>
      </c>
      <c r="E580" s="79">
        <v>8470325</v>
      </c>
      <c r="F580" s="32" t="s">
        <v>186</v>
      </c>
      <c r="G580" s="4">
        <v>1</v>
      </c>
      <c r="H580" s="95">
        <v>435509</v>
      </c>
      <c r="I580" s="106" t="str">
        <f>IFERROR(VLOOKUP(Table1[[#This Row],[Account Code]],'Accoount Code Combination'!$D:$H,2,FALSE),"")</f>
        <v>Laboratory - Veterinary</v>
      </c>
      <c r="J580" s="79">
        <v>8470325</v>
      </c>
      <c r="K580" s="4"/>
      <c r="L580" s="4" t="str">
        <f>IFERROR(VLOOKUP(Table1[[#This Row],[Future-1 Description]],'Other '!E568:$F577,2,FALSE),"")</f>
        <v/>
      </c>
      <c r="M580" s="32"/>
      <c r="N580" s="32"/>
      <c r="O580" s="32"/>
      <c r="P580" s="49">
        <v>0</v>
      </c>
      <c r="Q580" s="49">
        <v>0</v>
      </c>
      <c r="R580" s="32"/>
      <c r="S580" s="4"/>
      <c r="T580" s="32"/>
      <c r="U580" s="32"/>
      <c r="V580" s="32"/>
      <c r="W580" s="32"/>
      <c r="X580" s="33"/>
      <c r="Y580" s="33"/>
      <c r="Z580" s="31">
        <f>Table1[[#This Row],[Quantity of measruing units]]*Table1[[#This Row],[Rate (expected)]]</f>
        <v>0</v>
      </c>
      <c r="AA580" s="31"/>
      <c r="AB580" s="31"/>
      <c r="AC580" s="34">
        <f>Table1[[#This Row],[Quantity (expected)]]*Table1[[#This Row],[Rate (expected)2]]*0.9</f>
        <v>0</v>
      </c>
      <c r="AD580" s="34">
        <f>Table1[[#This Row],[Quantity (expected)]]*Table1[[#This Row],[Rate (expected)2]]*0.8</f>
        <v>0</v>
      </c>
      <c r="AE580" s="34">
        <f>Table1[[#This Row],[Quantity (expected)]]*Table1[[#This Row],[Rate (expected)2]]*0.7</f>
        <v>0</v>
      </c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1">
        <f>SUM(Table1[[#This Row],[Jan-23]:[Dec-23]])</f>
        <v>0</v>
      </c>
      <c r="AV580" s="105"/>
      <c r="AW580" s="32"/>
      <c r="AX580" s="35"/>
    </row>
    <row r="581" spans="1:50" x14ac:dyDescent="0.3">
      <c r="A581" s="30" t="str">
        <f>VLOOKUP(H581,'Accoount Code Combination'!$D:$L,8,FALSE)</f>
        <v>Academic</v>
      </c>
      <c r="B581" s="31" t="str">
        <f>VLOOKUP(Table1[[#This Row],[Account Code]],'Accoount Code Combination'!$D:$L,9,FALSE)</f>
        <v>No Applicable</v>
      </c>
      <c r="C581" s="4" t="str">
        <f>VLOOKUP(Table1[[#This Row],[Cost Center Code]],'Cost Center Group'!A:B,2,FALSE)</f>
        <v>College of Engineering</v>
      </c>
      <c r="D581" s="4">
        <v>847</v>
      </c>
      <c r="E581" s="79">
        <v>8470340</v>
      </c>
      <c r="F581" s="32" t="s">
        <v>234</v>
      </c>
      <c r="G581" s="4">
        <v>1</v>
      </c>
      <c r="H581" s="95">
        <v>432209</v>
      </c>
      <c r="I581" s="106" t="str">
        <f>IFERROR(VLOOKUP(Table1[[#This Row],[Account Code]],'Accoount Code Combination'!$D:$H,2,FALSE),"")</f>
        <v>Laboratory equipment</v>
      </c>
      <c r="J581" s="79">
        <v>8470340</v>
      </c>
      <c r="K581" s="4"/>
      <c r="L581" s="4" t="str">
        <f>IFERROR(VLOOKUP(Table1[[#This Row],[Future-1 Description]],'Other '!E569:$F578,2,FALSE),"")</f>
        <v/>
      </c>
      <c r="M581" s="32"/>
      <c r="N581" s="32"/>
      <c r="O581" s="32"/>
      <c r="P581" s="49">
        <v>0</v>
      </c>
      <c r="Q581" s="49">
        <v>60000</v>
      </c>
      <c r="R581" s="32"/>
      <c r="S581" s="4"/>
      <c r="T581" s="32"/>
      <c r="U581" s="32"/>
      <c r="V581" s="32"/>
      <c r="W581" s="32"/>
      <c r="X581" s="33"/>
      <c r="Y581" s="33"/>
      <c r="Z581" s="31">
        <f>Table1[[#This Row],[Quantity of measruing units]]*Table1[[#This Row],[Rate (expected)]]</f>
        <v>0</v>
      </c>
      <c r="AA581" s="31"/>
      <c r="AB581" s="31"/>
      <c r="AC581" s="34">
        <f>Table1[[#This Row],[Quantity (expected)]]*Table1[[#This Row],[Rate (expected)2]]*0.9</f>
        <v>0</v>
      </c>
      <c r="AD581" s="34">
        <f>Table1[[#This Row],[Quantity (expected)]]*Table1[[#This Row],[Rate (expected)2]]*0.8</f>
        <v>0</v>
      </c>
      <c r="AE581" s="34">
        <f>Table1[[#This Row],[Quantity (expected)]]*Table1[[#This Row],[Rate (expected)2]]*0.7</f>
        <v>0</v>
      </c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1">
        <f>SUM(Table1[[#This Row],[Jan-23]:[Dec-23]])</f>
        <v>0</v>
      </c>
      <c r="AV581" s="105"/>
      <c r="AW581" s="32"/>
      <c r="AX581" s="35"/>
    </row>
    <row r="582" spans="1:50" ht="26" x14ac:dyDescent="0.3">
      <c r="A582" s="30" t="str">
        <f>VLOOKUP(H582,'Accoount Code Combination'!$D:$L,8,FALSE)</f>
        <v>Academic</v>
      </c>
      <c r="B582" s="31" t="str">
        <f>VLOOKUP(Table1[[#This Row],[Account Code]],'Accoount Code Combination'!$D:$L,9,FALSE)</f>
        <v>No Applicable</v>
      </c>
      <c r="C582" s="4" t="str">
        <f>VLOOKUP(Table1[[#This Row],[Cost Center Code]],'Cost Center Group'!A:B,2,FALSE)</f>
        <v>College of Arts &amp; Science</v>
      </c>
      <c r="D582" s="4">
        <v>847</v>
      </c>
      <c r="E582" s="79">
        <v>8470405</v>
      </c>
      <c r="F582" s="32" t="s">
        <v>270</v>
      </c>
      <c r="G582" s="4">
        <v>1</v>
      </c>
      <c r="H582" s="95">
        <v>427710</v>
      </c>
      <c r="I582" s="106" t="str">
        <f>IFERROR(VLOOKUP(Table1[[#This Row],[Account Code]],'Accoount Code Combination'!$D:$H,2,FALSE),"")</f>
        <v>Subscriptions and membership fees: Trade organisations</v>
      </c>
      <c r="J582" s="79">
        <v>8470405</v>
      </c>
      <c r="K582" s="4"/>
      <c r="L582" s="4" t="str">
        <f>IFERROR(VLOOKUP(Table1[[#This Row],[Future-1 Description]],'Other '!E570:$F579,2,FALSE),"")</f>
        <v/>
      </c>
      <c r="M582" s="32"/>
      <c r="N582" s="32"/>
      <c r="O582" s="32"/>
      <c r="P582" s="49">
        <v>0</v>
      </c>
      <c r="Q582" s="49">
        <v>11638</v>
      </c>
      <c r="R582" s="32"/>
      <c r="S582" s="4"/>
      <c r="T582" s="32"/>
      <c r="U582" s="32"/>
      <c r="V582" s="32"/>
      <c r="W582" s="32"/>
      <c r="X582" s="33"/>
      <c r="Y582" s="33"/>
      <c r="Z582" s="31">
        <f>Table1[[#This Row],[Quantity of measruing units]]*Table1[[#This Row],[Rate (expected)]]</f>
        <v>0</v>
      </c>
      <c r="AA582" s="31"/>
      <c r="AB582" s="31"/>
      <c r="AC582" s="34">
        <f>Table1[[#This Row],[Quantity (expected)]]*Table1[[#This Row],[Rate (expected)2]]*0.9</f>
        <v>0</v>
      </c>
      <c r="AD582" s="34">
        <f>Table1[[#This Row],[Quantity (expected)]]*Table1[[#This Row],[Rate (expected)2]]*0.8</f>
        <v>0</v>
      </c>
      <c r="AE582" s="34">
        <f>Table1[[#This Row],[Quantity (expected)]]*Table1[[#This Row],[Rate (expected)2]]*0.7</f>
        <v>0</v>
      </c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1">
        <f>SUM(Table1[[#This Row],[Jan-23]:[Dec-23]])</f>
        <v>0</v>
      </c>
      <c r="AV582" s="105"/>
      <c r="AW582" s="32"/>
      <c r="AX582" s="35"/>
    </row>
    <row r="583" spans="1:50" x14ac:dyDescent="0.3">
      <c r="A583" s="30" t="str">
        <f>VLOOKUP(H583,'Accoount Code Combination'!$D:$L,8,FALSE)</f>
        <v>Academic</v>
      </c>
      <c r="B583" s="31" t="str">
        <f>VLOOKUP(Table1[[#This Row],[Account Code]],'Accoount Code Combination'!$D:$L,9,FALSE)</f>
        <v>No Applicable</v>
      </c>
      <c r="C583" s="4" t="str">
        <f>VLOOKUP(Table1[[#This Row],[Cost Center Code]],'Cost Center Group'!A:B,2,FALSE)</f>
        <v>College of Arts &amp; Science</v>
      </c>
      <c r="D583" s="4">
        <v>847</v>
      </c>
      <c r="E583" s="79">
        <v>8470405</v>
      </c>
      <c r="F583" s="32" t="s">
        <v>270</v>
      </c>
      <c r="G583" s="4">
        <v>1</v>
      </c>
      <c r="H583" s="95">
        <v>435350</v>
      </c>
      <c r="I583" s="106" t="str">
        <f>IFERROR(VLOOKUP(Table1[[#This Row],[Account Code]],'Accoount Code Combination'!$D:$H,2,FALSE),"")</f>
        <v>Academic Publications</v>
      </c>
      <c r="J583" s="79">
        <v>8470405</v>
      </c>
      <c r="K583" s="4"/>
      <c r="L583" s="4" t="str">
        <f>IFERROR(VLOOKUP(Table1[[#This Row],[Future-1 Description]],'Other '!E571:$F580,2,FALSE),"")</f>
        <v/>
      </c>
      <c r="M583" s="32"/>
      <c r="N583" s="32"/>
      <c r="O583" s="32"/>
      <c r="P583" s="49">
        <v>0</v>
      </c>
      <c r="Q583" s="49">
        <v>27666</v>
      </c>
      <c r="R583" s="32"/>
      <c r="S583" s="4"/>
      <c r="T583" s="32"/>
      <c r="U583" s="32"/>
      <c r="V583" s="32"/>
      <c r="W583" s="32"/>
      <c r="X583" s="33"/>
      <c r="Y583" s="33"/>
      <c r="Z583" s="31">
        <f>Table1[[#This Row],[Quantity of measruing units]]*Table1[[#This Row],[Rate (expected)]]</f>
        <v>0</v>
      </c>
      <c r="AA583" s="31"/>
      <c r="AB583" s="31"/>
      <c r="AC583" s="34">
        <f>Table1[[#This Row],[Quantity (expected)]]*Table1[[#This Row],[Rate (expected)2]]*0.9</f>
        <v>0</v>
      </c>
      <c r="AD583" s="34">
        <f>Table1[[#This Row],[Quantity (expected)]]*Table1[[#This Row],[Rate (expected)2]]*0.8</f>
        <v>0</v>
      </c>
      <c r="AE583" s="34">
        <f>Table1[[#This Row],[Quantity (expected)]]*Table1[[#This Row],[Rate (expected)2]]*0.7</f>
        <v>0</v>
      </c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1">
        <f>SUM(Table1[[#This Row],[Jan-23]:[Dec-23]])</f>
        <v>0</v>
      </c>
      <c r="AV583" s="105"/>
      <c r="AW583" s="32"/>
      <c r="AX583" s="35"/>
    </row>
    <row r="584" spans="1:50" x14ac:dyDescent="0.3">
      <c r="A584" s="30" t="str">
        <f>VLOOKUP(H584,'Accoount Code Combination'!$D:$L,8,FALSE)</f>
        <v>IT</v>
      </c>
      <c r="B584" s="31" t="str">
        <f>VLOOKUP(Table1[[#This Row],[Account Code]],'Accoount Code Combination'!$D:$L,9,FALSE)</f>
        <v>Software Operating</v>
      </c>
      <c r="C584" s="4" t="str">
        <f>VLOOKUP(Table1[[#This Row],[Cost Center Code]],'Cost Center Group'!A:B,2,FALSE)</f>
        <v>College of Arts &amp; Science</v>
      </c>
      <c r="D584" s="4">
        <v>847</v>
      </c>
      <c r="E584" s="79">
        <v>8470425</v>
      </c>
      <c r="F584" s="32" t="s">
        <v>272</v>
      </c>
      <c r="G584" s="4">
        <v>1</v>
      </c>
      <c r="H584" s="95">
        <v>426610</v>
      </c>
      <c r="I584" s="106" t="str">
        <f>IFERROR(VLOOKUP(Table1[[#This Row],[Account Code]],'Accoount Code Combination'!$D:$H,2,FALSE),"")</f>
        <v>Computer software licenses</v>
      </c>
      <c r="J584" s="79">
        <v>8470425</v>
      </c>
      <c r="K584" s="4"/>
      <c r="L584" s="4" t="str">
        <f>IFERROR(VLOOKUP(Table1[[#This Row],[Future-1 Description]],'Other '!E572:$F581,2,FALSE),"")</f>
        <v/>
      </c>
      <c r="M584" s="32"/>
      <c r="N584" s="32"/>
      <c r="O584" s="32"/>
      <c r="P584" s="49">
        <v>0</v>
      </c>
      <c r="Q584" s="49">
        <v>0</v>
      </c>
      <c r="R584" s="32"/>
      <c r="S584" s="4"/>
      <c r="T584" s="32"/>
      <c r="U584" s="32"/>
      <c r="V584" s="32"/>
      <c r="W584" s="32"/>
      <c r="X584" s="33"/>
      <c r="Y584" s="33"/>
      <c r="Z584" s="31">
        <f>Table1[[#This Row],[Quantity of measruing units]]*Table1[[#This Row],[Rate (expected)]]</f>
        <v>0</v>
      </c>
      <c r="AA584" s="31"/>
      <c r="AB584" s="31"/>
      <c r="AC584" s="34">
        <f>Table1[[#This Row],[Quantity (expected)]]*Table1[[#This Row],[Rate (expected)2]]*0.9</f>
        <v>0</v>
      </c>
      <c r="AD584" s="34">
        <f>Table1[[#This Row],[Quantity (expected)]]*Table1[[#This Row],[Rate (expected)2]]*0.8</f>
        <v>0</v>
      </c>
      <c r="AE584" s="34">
        <f>Table1[[#This Row],[Quantity (expected)]]*Table1[[#This Row],[Rate (expected)2]]*0.7</f>
        <v>0</v>
      </c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1">
        <f>SUM(Table1[[#This Row],[Jan-23]:[Dec-23]])</f>
        <v>0</v>
      </c>
      <c r="AV584" s="105"/>
      <c r="AW584" s="32"/>
      <c r="AX584" s="35"/>
    </row>
    <row r="585" spans="1:50" ht="26" x14ac:dyDescent="0.3">
      <c r="A585" s="30" t="str">
        <f>VLOOKUP(H585,'Accoount Code Combination'!$D:$L,8,FALSE)</f>
        <v>Communiction &amp; Marketing</v>
      </c>
      <c r="B585" s="31" t="str">
        <f>VLOOKUP(Table1[[#This Row],[Account Code]],'Accoount Code Combination'!$D:$L,9,FALSE)</f>
        <v>Events</v>
      </c>
      <c r="C585" s="4" t="str">
        <f>VLOOKUP(Table1[[#This Row],[Cost Center Code]],'Cost Center Group'!A:B,2,FALSE)</f>
        <v>Administration, Facilities and EHS Office</v>
      </c>
      <c r="D585" s="4">
        <v>847</v>
      </c>
      <c r="E585" s="79">
        <v>8470520</v>
      </c>
      <c r="F585" s="32" t="s">
        <v>253</v>
      </c>
      <c r="G585" s="4">
        <v>1</v>
      </c>
      <c r="H585" s="95">
        <v>425510</v>
      </c>
      <c r="I585" s="106" t="str">
        <f>IFERROR(VLOOKUP(Table1[[#This Row],[Account Code]],'Accoount Code Combination'!$D:$H,2,FALSE),"")</f>
        <v>Conferences, seminars and exhibitions and other events: - Local Events</v>
      </c>
      <c r="J585" s="79">
        <v>8470520</v>
      </c>
      <c r="K585" s="4"/>
      <c r="L585" s="4" t="str">
        <f>IFERROR(VLOOKUP(Table1[[#This Row],[Future-1 Description]],'Other '!E573:$F582,2,FALSE),"")</f>
        <v/>
      </c>
      <c r="M585" s="32"/>
      <c r="N585" s="32"/>
      <c r="O585" s="32"/>
      <c r="P585" s="49">
        <v>0</v>
      </c>
      <c r="Q585" s="49">
        <v>4998</v>
      </c>
      <c r="R585" s="32"/>
      <c r="S585" s="4"/>
      <c r="T585" s="32"/>
      <c r="U585" s="32"/>
      <c r="V585" s="32"/>
      <c r="W585" s="32"/>
      <c r="X585" s="33"/>
      <c r="Y585" s="33"/>
      <c r="Z585" s="31">
        <f>Table1[[#This Row],[Quantity of measruing units]]*Table1[[#This Row],[Rate (expected)]]</f>
        <v>0</v>
      </c>
      <c r="AA585" s="31"/>
      <c r="AB585" s="31"/>
      <c r="AC585" s="34">
        <f>Table1[[#This Row],[Quantity (expected)]]*Table1[[#This Row],[Rate (expected)2]]*0.9</f>
        <v>0</v>
      </c>
      <c r="AD585" s="34">
        <f>Table1[[#This Row],[Quantity (expected)]]*Table1[[#This Row],[Rate (expected)2]]*0.8</f>
        <v>0</v>
      </c>
      <c r="AE585" s="34">
        <f>Table1[[#This Row],[Quantity (expected)]]*Table1[[#This Row],[Rate (expected)2]]*0.7</f>
        <v>0</v>
      </c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1">
        <f>SUM(Table1[[#This Row],[Jan-23]:[Dec-23]])</f>
        <v>0</v>
      </c>
      <c r="AV585" s="105"/>
      <c r="AW585" s="32"/>
      <c r="AX585" s="35"/>
    </row>
    <row r="586" spans="1:50" x14ac:dyDescent="0.3">
      <c r="A586" s="30" t="str">
        <f>VLOOKUP(H586,'Accoount Code Combination'!$D:$L,8,FALSE)</f>
        <v xml:space="preserve">Facilities </v>
      </c>
      <c r="B586" s="31" t="str">
        <f>VLOOKUP(Table1[[#This Row],[Account Code]],'Accoount Code Combination'!$D:$L,9,FALSE)</f>
        <v>No Applicable</v>
      </c>
      <c r="C586" s="4" t="str">
        <f>VLOOKUP(Table1[[#This Row],[Cost Center Code]],'Cost Center Group'!A:B,2,FALSE)</f>
        <v>Administration, Facilities and EHS Office</v>
      </c>
      <c r="D586" s="4">
        <v>847</v>
      </c>
      <c r="E586" s="79">
        <v>8470520</v>
      </c>
      <c r="F586" s="32" t="s">
        <v>253</v>
      </c>
      <c r="G586" s="4">
        <v>1</v>
      </c>
      <c r="H586" s="95">
        <v>428200</v>
      </c>
      <c r="I586" s="106" t="str">
        <f>IFERROR(VLOOKUP(Table1[[#This Row],[Account Code]],'Accoount Code Combination'!$D:$H,2,FALSE),"")</f>
        <v>Health,safety&amp;environment awareness</v>
      </c>
      <c r="J586" s="79">
        <v>8470520</v>
      </c>
      <c r="K586" s="4"/>
      <c r="L586" s="4" t="str">
        <f>IFERROR(VLOOKUP(Table1[[#This Row],[Future-1 Description]],'Other '!E574:$F583,2,FALSE),"")</f>
        <v/>
      </c>
      <c r="M586" s="32"/>
      <c r="N586" s="32"/>
      <c r="O586" s="32"/>
      <c r="P586" s="49">
        <v>0</v>
      </c>
      <c r="Q586" s="49">
        <v>300000</v>
      </c>
      <c r="R586" s="32"/>
      <c r="S586" s="4"/>
      <c r="T586" s="32"/>
      <c r="U586" s="32"/>
      <c r="V586" s="32"/>
      <c r="W586" s="32"/>
      <c r="X586" s="33"/>
      <c r="Y586" s="33"/>
      <c r="Z586" s="31">
        <f>Table1[[#This Row],[Quantity of measruing units]]*Table1[[#This Row],[Rate (expected)]]</f>
        <v>0</v>
      </c>
      <c r="AA586" s="31"/>
      <c r="AB586" s="31"/>
      <c r="AC586" s="34">
        <f>Table1[[#This Row],[Quantity (expected)]]*Table1[[#This Row],[Rate (expected)2]]*0.9</f>
        <v>0</v>
      </c>
      <c r="AD586" s="34">
        <f>Table1[[#This Row],[Quantity (expected)]]*Table1[[#This Row],[Rate (expected)2]]*0.8</f>
        <v>0</v>
      </c>
      <c r="AE586" s="34">
        <f>Table1[[#This Row],[Quantity (expected)]]*Table1[[#This Row],[Rate (expected)2]]*0.7</f>
        <v>0</v>
      </c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1">
        <f>SUM(Table1[[#This Row],[Jan-23]:[Dec-23]])</f>
        <v>0</v>
      </c>
      <c r="AV586" s="105"/>
      <c r="AW586" s="32"/>
      <c r="AX586" s="35"/>
    </row>
    <row r="587" spans="1:50" x14ac:dyDescent="0.3">
      <c r="A587" s="30" t="str">
        <f>VLOOKUP(H587,'Accoount Code Combination'!$D:$L,8,FALSE)</f>
        <v xml:space="preserve">Facilities </v>
      </c>
      <c r="B587" s="31" t="str">
        <f>VLOOKUP(Table1[[#This Row],[Account Code]],'Accoount Code Combination'!$D:$L,9,FALSE)</f>
        <v>No Applicable</v>
      </c>
      <c r="C587" s="4" t="str">
        <f>VLOOKUP(Table1[[#This Row],[Cost Center Code]],'Cost Center Group'!A:B,2,FALSE)</f>
        <v>Administration, Facilities and EHS Office</v>
      </c>
      <c r="D587" s="4">
        <v>847</v>
      </c>
      <c r="E587" s="79">
        <v>8470530</v>
      </c>
      <c r="F587" s="32" t="s">
        <v>165</v>
      </c>
      <c r="G587" s="4">
        <v>1</v>
      </c>
      <c r="H587" s="95">
        <v>420310</v>
      </c>
      <c r="I587" s="106" t="str">
        <f>IFERROR(VLOOKUP(Table1[[#This Row],[Account Code]],'Accoount Code Combination'!$D:$H,2,FALSE),"")</f>
        <v>Cleaning: Business premises</v>
      </c>
      <c r="J587" s="79">
        <v>8470530</v>
      </c>
      <c r="K587" s="4"/>
      <c r="L587" s="4" t="str">
        <f>IFERROR(VLOOKUP(Table1[[#This Row],[Future-1 Description]],'Other '!E575:$F584,2,FALSE),"")</f>
        <v/>
      </c>
      <c r="M587" s="32"/>
      <c r="N587" s="32"/>
      <c r="O587" s="32"/>
      <c r="P587" s="49">
        <v>0</v>
      </c>
      <c r="Q587" s="49">
        <v>747242</v>
      </c>
      <c r="R587" s="32"/>
      <c r="S587" s="4"/>
      <c r="T587" s="32"/>
      <c r="U587" s="32"/>
      <c r="V587" s="32"/>
      <c r="W587" s="32"/>
      <c r="X587" s="33"/>
      <c r="Y587" s="33"/>
      <c r="Z587" s="31">
        <f>Table1[[#This Row],[Quantity of measruing units]]*Table1[[#This Row],[Rate (expected)]]</f>
        <v>0</v>
      </c>
      <c r="AA587" s="31"/>
      <c r="AB587" s="31"/>
      <c r="AC587" s="34">
        <f>Table1[[#This Row],[Quantity (expected)]]*Table1[[#This Row],[Rate (expected)2]]*0.9</f>
        <v>0</v>
      </c>
      <c r="AD587" s="34">
        <f>Table1[[#This Row],[Quantity (expected)]]*Table1[[#This Row],[Rate (expected)2]]*0.8</f>
        <v>0</v>
      </c>
      <c r="AE587" s="34">
        <f>Table1[[#This Row],[Quantity (expected)]]*Table1[[#This Row],[Rate (expected)2]]*0.7</f>
        <v>0</v>
      </c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1">
        <f>SUM(Table1[[#This Row],[Jan-23]:[Dec-23]])</f>
        <v>0</v>
      </c>
      <c r="AV587" s="105"/>
      <c r="AW587" s="32"/>
      <c r="AX587" s="35"/>
    </row>
    <row r="588" spans="1:50" x14ac:dyDescent="0.3">
      <c r="A588" s="30" t="str">
        <f>VLOOKUP(H588,'Accoount Code Combination'!$D:$L,8,FALSE)</f>
        <v xml:space="preserve">Facilities </v>
      </c>
      <c r="B588" s="31" t="str">
        <f>VLOOKUP(Table1[[#This Row],[Account Code]],'Accoount Code Combination'!$D:$L,9,FALSE)</f>
        <v>No Applicable</v>
      </c>
      <c r="C588" s="4" t="str">
        <f>VLOOKUP(Table1[[#This Row],[Cost Center Code]],'Cost Center Group'!A:B,2,FALSE)</f>
        <v>Administration, Facilities and EHS Office</v>
      </c>
      <c r="D588" s="4">
        <v>847</v>
      </c>
      <c r="E588" s="79">
        <v>8470530</v>
      </c>
      <c r="F588" s="32" t="s">
        <v>165</v>
      </c>
      <c r="G588" s="4">
        <v>1</v>
      </c>
      <c r="H588" s="95">
        <v>421600</v>
      </c>
      <c r="I588" s="106" t="str">
        <f>IFERROR(VLOOKUP(Table1[[#This Row],[Account Code]],'Accoount Code Combination'!$D:$H,2,FALSE),"")</f>
        <v>Security service</v>
      </c>
      <c r="J588" s="79">
        <v>8470530</v>
      </c>
      <c r="K588" s="4"/>
      <c r="L588" s="4" t="str">
        <f>IFERROR(VLOOKUP(Table1[[#This Row],[Future-1 Description]],'Other '!E576:$F585,2,FALSE),"")</f>
        <v/>
      </c>
      <c r="M588" s="32"/>
      <c r="N588" s="32"/>
      <c r="O588" s="32"/>
      <c r="P588" s="49">
        <v>0</v>
      </c>
      <c r="Q588" s="49">
        <v>1483570</v>
      </c>
      <c r="R588" s="32"/>
      <c r="S588" s="4"/>
      <c r="T588" s="32"/>
      <c r="U588" s="32"/>
      <c r="V588" s="32"/>
      <c r="W588" s="32"/>
      <c r="X588" s="33"/>
      <c r="Y588" s="33"/>
      <c r="Z588" s="31">
        <f>Table1[[#This Row],[Quantity of measruing units]]*Table1[[#This Row],[Rate (expected)]]</f>
        <v>0</v>
      </c>
      <c r="AA588" s="31"/>
      <c r="AB588" s="31"/>
      <c r="AC588" s="34">
        <f>Table1[[#This Row],[Quantity (expected)]]*Table1[[#This Row],[Rate (expected)2]]*0.9</f>
        <v>0</v>
      </c>
      <c r="AD588" s="34">
        <f>Table1[[#This Row],[Quantity (expected)]]*Table1[[#This Row],[Rate (expected)2]]*0.8</f>
        <v>0</v>
      </c>
      <c r="AE588" s="34">
        <f>Table1[[#This Row],[Quantity (expected)]]*Table1[[#This Row],[Rate (expected)2]]*0.7</f>
        <v>0</v>
      </c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1">
        <f>SUM(Table1[[#This Row],[Jan-23]:[Dec-23]])</f>
        <v>0</v>
      </c>
      <c r="AV588" s="105"/>
      <c r="AW588" s="32"/>
      <c r="AX588" s="35"/>
    </row>
    <row r="589" spans="1:50" x14ac:dyDescent="0.3">
      <c r="A589" s="30" t="str">
        <f>VLOOKUP(H589,'Accoount Code Combination'!$D:$L,8,FALSE)</f>
        <v xml:space="preserve">Facilities </v>
      </c>
      <c r="B589" s="31" t="str">
        <f>VLOOKUP(Table1[[#This Row],[Account Code]],'Accoount Code Combination'!$D:$L,9,FALSE)</f>
        <v>No Applicable</v>
      </c>
      <c r="C589" s="4" t="str">
        <f>VLOOKUP(Table1[[#This Row],[Cost Center Code]],'Cost Center Group'!A:B,2,FALSE)</f>
        <v>Administration, Facilities and EHS Office</v>
      </c>
      <c r="D589" s="4">
        <v>847</v>
      </c>
      <c r="E589" s="79">
        <v>8470530</v>
      </c>
      <c r="F589" s="32" t="s">
        <v>165</v>
      </c>
      <c r="G589" s="4">
        <v>1</v>
      </c>
      <c r="H589" s="95">
        <v>428111</v>
      </c>
      <c r="I589" s="106" t="str">
        <f>IFERROR(VLOOKUP(Table1[[#This Row],[Account Code]],'Accoount Code Combination'!$D:$H,2,FALSE),"")</f>
        <v>Electricity consumption charges</v>
      </c>
      <c r="J589" s="79">
        <v>8470530</v>
      </c>
      <c r="K589" s="4"/>
      <c r="L589" s="4" t="str">
        <f>IFERROR(VLOOKUP(Table1[[#This Row],[Future-1 Description]],'Other '!E577:$F586,2,FALSE),"")</f>
        <v/>
      </c>
      <c r="M589" s="32"/>
      <c r="N589" s="32"/>
      <c r="O589" s="32"/>
      <c r="P589" s="49">
        <v>0</v>
      </c>
      <c r="Q589" s="49">
        <v>4615084</v>
      </c>
      <c r="R589" s="32"/>
      <c r="S589" s="4"/>
      <c r="T589" s="32"/>
      <c r="U589" s="32"/>
      <c r="V589" s="32"/>
      <c r="W589" s="32"/>
      <c r="X589" s="33"/>
      <c r="Y589" s="33"/>
      <c r="Z589" s="31">
        <f>Table1[[#This Row],[Quantity of measruing units]]*Table1[[#This Row],[Rate (expected)]]</f>
        <v>0</v>
      </c>
      <c r="AA589" s="31"/>
      <c r="AB589" s="31"/>
      <c r="AC589" s="34">
        <f>Table1[[#This Row],[Quantity (expected)]]*Table1[[#This Row],[Rate (expected)2]]*0.9</f>
        <v>0</v>
      </c>
      <c r="AD589" s="34">
        <f>Table1[[#This Row],[Quantity (expected)]]*Table1[[#This Row],[Rate (expected)2]]*0.8</f>
        <v>0</v>
      </c>
      <c r="AE589" s="34">
        <f>Table1[[#This Row],[Quantity (expected)]]*Table1[[#This Row],[Rate (expected)2]]*0.7</f>
        <v>0</v>
      </c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1">
        <f>SUM(Table1[[#This Row],[Jan-23]:[Dec-23]])</f>
        <v>0</v>
      </c>
      <c r="AV589" s="105"/>
      <c r="AW589" s="32"/>
      <c r="AX589" s="35"/>
    </row>
    <row r="590" spans="1:50" x14ac:dyDescent="0.3">
      <c r="A590" s="30" t="str">
        <f>VLOOKUP(H590,'Accoount Code Combination'!$D:$L,8,FALSE)</f>
        <v xml:space="preserve">Facilities </v>
      </c>
      <c r="B590" s="31" t="str">
        <f>VLOOKUP(Table1[[#This Row],[Account Code]],'Accoount Code Combination'!$D:$L,9,FALSE)</f>
        <v>No Applicable</v>
      </c>
      <c r="C590" s="4" t="str">
        <f>VLOOKUP(Table1[[#This Row],[Cost Center Code]],'Cost Center Group'!A:B,2,FALSE)</f>
        <v>Administration, Facilities and EHS Office</v>
      </c>
      <c r="D590" s="4">
        <v>847</v>
      </c>
      <c r="E590" s="79">
        <v>8470530</v>
      </c>
      <c r="F590" s="32" t="s">
        <v>165</v>
      </c>
      <c r="G590" s="4">
        <v>1</v>
      </c>
      <c r="H590" s="95">
        <v>428112</v>
      </c>
      <c r="I590" s="106" t="str">
        <f>IFERROR(VLOOKUP(Table1[[#This Row],[Account Code]],'Accoount Code Combination'!$D:$H,2,FALSE),"")</f>
        <v>Water consumption charges</v>
      </c>
      <c r="J590" s="79">
        <v>8470530</v>
      </c>
      <c r="K590" s="4"/>
      <c r="L590" s="4" t="str">
        <f>IFERROR(VLOOKUP(Table1[[#This Row],[Future-1 Description]],'Other '!E578:$F587,2,FALSE),"")</f>
        <v/>
      </c>
      <c r="M590" s="32"/>
      <c r="N590" s="32"/>
      <c r="O590" s="32"/>
      <c r="P590" s="49">
        <v>0</v>
      </c>
      <c r="Q590" s="49">
        <v>1681399</v>
      </c>
      <c r="R590" s="32"/>
      <c r="S590" s="4"/>
      <c r="T590" s="32"/>
      <c r="U590" s="32"/>
      <c r="V590" s="32"/>
      <c r="W590" s="32"/>
      <c r="X590" s="33"/>
      <c r="Y590" s="33"/>
      <c r="Z590" s="31">
        <f>Table1[[#This Row],[Quantity of measruing units]]*Table1[[#This Row],[Rate (expected)]]</f>
        <v>0</v>
      </c>
      <c r="AA590" s="31"/>
      <c r="AB590" s="31"/>
      <c r="AC590" s="34">
        <f>Table1[[#This Row],[Quantity (expected)]]*Table1[[#This Row],[Rate (expected)2]]*0.9</f>
        <v>0</v>
      </c>
      <c r="AD590" s="34">
        <f>Table1[[#This Row],[Quantity (expected)]]*Table1[[#This Row],[Rate (expected)2]]*0.8</f>
        <v>0</v>
      </c>
      <c r="AE590" s="34">
        <f>Table1[[#This Row],[Quantity (expected)]]*Table1[[#This Row],[Rate (expected)2]]*0.7</f>
        <v>0</v>
      </c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1">
        <f>SUM(Table1[[#This Row],[Jan-23]:[Dec-23]])</f>
        <v>0</v>
      </c>
      <c r="AV590" s="105"/>
      <c r="AW590" s="32"/>
      <c r="AX590" s="35"/>
    </row>
    <row r="591" spans="1:50" x14ac:dyDescent="0.3">
      <c r="A591" s="30" t="str">
        <f>VLOOKUP(H591,'Accoount Code Combination'!$D:$L,8,FALSE)</f>
        <v xml:space="preserve">Facilities </v>
      </c>
      <c r="B591" s="31" t="str">
        <f>VLOOKUP(Table1[[#This Row],[Account Code]],'Accoount Code Combination'!$D:$L,9,FALSE)</f>
        <v>No Applicable</v>
      </c>
      <c r="C591" s="4" t="str">
        <f>VLOOKUP(Table1[[#This Row],[Cost Center Code]],'Cost Center Group'!A:B,2,FALSE)</f>
        <v>Administration, Facilities and EHS Office</v>
      </c>
      <c r="D591" s="4">
        <v>847</v>
      </c>
      <c r="E591" s="79">
        <v>8470530</v>
      </c>
      <c r="F591" s="32" t="s">
        <v>165</v>
      </c>
      <c r="G591" s="4">
        <v>1</v>
      </c>
      <c r="H591" s="95">
        <v>428112</v>
      </c>
      <c r="I591" s="106" t="str">
        <f>IFERROR(VLOOKUP(Table1[[#This Row],[Account Code]],'Accoount Code Combination'!$D:$H,2,FALSE),"")</f>
        <v>Water consumption charges</v>
      </c>
      <c r="J591" s="79">
        <v>8470530</v>
      </c>
      <c r="K591" s="4"/>
      <c r="L591" s="4" t="str">
        <f>IFERROR(VLOOKUP(Table1[[#This Row],[Future-1 Description]],'Other '!E579:$F588,2,FALSE),"")</f>
        <v/>
      </c>
      <c r="M591" s="32"/>
      <c r="N591" s="32"/>
      <c r="O591" s="32"/>
      <c r="P591" s="49">
        <v>0</v>
      </c>
      <c r="Q591" s="49">
        <v>153570</v>
      </c>
      <c r="R591" s="32"/>
      <c r="S591" s="4"/>
      <c r="T591" s="32"/>
      <c r="U591" s="32"/>
      <c r="V591" s="32"/>
      <c r="W591" s="32"/>
      <c r="X591" s="33"/>
      <c r="Y591" s="33"/>
      <c r="Z591" s="31">
        <f>Table1[[#This Row],[Quantity of measruing units]]*Table1[[#This Row],[Rate (expected)]]</f>
        <v>0</v>
      </c>
      <c r="AA591" s="31"/>
      <c r="AB591" s="31"/>
      <c r="AC591" s="34">
        <f>Table1[[#This Row],[Quantity (expected)]]*Table1[[#This Row],[Rate (expected)2]]*0.9</f>
        <v>0</v>
      </c>
      <c r="AD591" s="34">
        <f>Table1[[#This Row],[Quantity (expected)]]*Table1[[#This Row],[Rate (expected)2]]*0.8</f>
        <v>0</v>
      </c>
      <c r="AE591" s="34">
        <f>Table1[[#This Row],[Quantity (expected)]]*Table1[[#This Row],[Rate (expected)2]]*0.7</f>
        <v>0</v>
      </c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1">
        <f>SUM(Table1[[#This Row],[Jan-23]:[Dec-23]])</f>
        <v>0</v>
      </c>
      <c r="AV591" s="105"/>
      <c r="AW591" s="32"/>
      <c r="AX591" s="35"/>
    </row>
    <row r="592" spans="1:50" x14ac:dyDescent="0.3">
      <c r="A592" s="30" t="str">
        <f>VLOOKUP(H592,'Accoount Code Combination'!$D:$L,8,FALSE)</f>
        <v xml:space="preserve">Facilities </v>
      </c>
      <c r="B592" s="31" t="str">
        <f>VLOOKUP(Table1[[#This Row],[Account Code]],'Accoount Code Combination'!$D:$L,9,FALSE)</f>
        <v>No Applicable</v>
      </c>
      <c r="C592" s="4" t="str">
        <f>VLOOKUP(Table1[[#This Row],[Cost Center Code]],'Cost Center Group'!A:B,2,FALSE)</f>
        <v>Administration, Facilities and EHS Office</v>
      </c>
      <c r="D592" s="4">
        <v>847</v>
      </c>
      <c r="E592" s="79">
        <v>8470530</v>
      </c>
      <c r="F592" s="32" t="s">
        <v>165</v>
      </c>
      <c r="G592" s="4">
        <v>1</v>
      </c>
      <c r="H592" s="95">
        <v>432120</v>
      </c>
      <c r="I592" s="106" t="str">
        <f>IFERROR(VLOOKUP(Table1[[#This Row],[Account Code]],'Accoount Code Combination'!$D:$H,2,FALSE),"")</f>
        <v>Bldg maintenance-Business premises</v>
      </c>
      <c r="J592" s="79">
        <v>8470530</v>
      </c>
      <c r="K592" s="4"/>
      <c r="L592" s="4" t="str">
        <f>IFERROR(VLOOKUP(Table1[[#This Row],[Future-1 Description]],'Other '!E580:$F589,2,FALSE),"")</f>
        <v/>
      </c>
      <c r="M592" s="32"/>
      <c r="N592" s="32"/>
      <c r="O592" s="32"/>
      <c r="P592" s="49">
        <v>0</v>
      </c>
      <c r="Q592" s="49">
        <v>6785964</v>
      </c>
      <c r="R592" s="32"/>
      <c r="S592" s="4"/>
      <c r="T592" s="32"/>
      <c r="U592" s="32"/>
      <c r="V592" s="32"/>
      <c r="W592" s="32"/>
      <c r="X592" s="33"/>
      <c r="Y592" s="33"/>
      <c r="Z592" s="31">
        <f>Table1[[#This Row],[Quantity of measruing units]]*Table1[[#This Row],[Rate (expected)]]</f>
        <v>0</v>
      </c>
      <c r="AA592" s="31"/>
      <c r="AB592" s="31"/>
      <c r="AC592" s="34">
        <f>Table1[[#This Row],[Quantity (expected)]]*Table1[[#This Row],[Rate (expected)2]]*0.9</f>
        <v>0</v>
      </c>
      <c r="AD592" s="34">
        <f>Table1[[#This Row],[Quantity (expected)]]*Table1[[#This Row],[Rate (expected)2]]*0.8</f>
        <v>0</v>
      </c>
      <c r="AE592" s="34">
        <f>Table1[[#This Row],[Quantity (expected)]]*Table1[[#This Row],[Rate (expected)2]]*0.7</f>
        <v>0</v>
      </c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1">
        <f>SUM(Table1[[#This Row],[Jan-23]:[Dec-23]])</f>
        <v>0</v>
      </c>
      <c r="AV592" s="105"/>
      <c r="AW592" s="32"/>
      <c r="AX592" s="35"/>
    </row>
    <row r="593" spans="1:50" x14ac:dyDescent="0.3">
      <c r="A593" s="30" t="str">
        <f>VLOOKUP(H593,'Accoount Code Combination'!$D:$L,8,FALSE)</f>
        <v xml:space="preserve">Facilities </v>
      </c>
      <c r="B593" s="31" t="str">
        <f>VLOOKUP(Table1[[#This Row],[Account Code]],'Accoount Code Combination'!$D:$L,9,FALSE)</f>
        <v>No Applicable</v>
      </c>
      <c r="C593" s="4" t="str">
        <f>VLOOKUP(Table1[[#This Row],[Cost Center Code]],'Cost Center Group'!A:B,2,FALSE)</f>
        <v>Administration, Facilities and EHS Office</v>
      </c>
      <c r="D593" s="4">
        <v>847</v>
      </c>
      <c r="E593" s="79">
        <v>8470530</v>
      </c>
      <c r="F593" s="32" t="s">
        <v>165</v>
      </c>
      <c r="G593" s="4">
        <v>1</v>
      </c>
      <c r="H593" s="95">
        <v>432120</v>
      </c>
      <c r="I593" s="106" t="str">
        <f>IFERROR(VLOOKUP(Table1[[#This Row],[Account Code]],'Accoount Code Combination'!$D:$H,2,FALSE),"")</f>
        <v>Bldg maintenance-Business premises</v>
      </c>
      <c r="J593" s="79">
        <v>8470530</v>
      </c>
      <c r="K593" s="4"/>
      <c r="L593" s="4" t="str">
        <f>IFERROR(VLOOKUP(Table1[[#This Row],[Future-1 Description]],'Other '!E581:$F590,2,FALSE),"")</f>
        <v/>
      </c>
      <c r="M593" s="32"/>
      <c r="N593" s="32"/>
      <c r="O593" s="32"/>
      <c r="P593" s="49">
        <v>0</v>
      </c>
      <c r="Q593" s="49">
        <v>200000</v>
      </c>
      <c r="R593" s="32"/>
      <c r="S593" s="4"/>
      <c r="T593" s="32"/>
      <c r="U593" s="32"/>
      <c r="V593" s="32"/>
      <c r="W593" s="32"/>
      <c r="X593" s="33"/>
      <c r="Y593" s="33"/>
      <c r="Z593" s="31">
        <f>Table1[[#This Row],[Quantity of measruing units]]*Table1[[#This Row],[Rate (expected)]]</f>
        <v>0</v>
      </c>
      <c r="AA593" s="31"/>
      <c r="AB593" s="31"/>
      <c r="AC593" s="34">
        <f>Table1[[#This Row],[Quantity (expected)]]*Table1[[#This Row],[Rate (expected)2]]*0.9</f>
        <v>0</v>
      </c>
      <c r="AD593" s="34">
        <f>Table1[[#This Row],[Quantity (expected)]]*Table1[[#This Row],[Rate (expected)2]]*0.8</f>
        <v>0</v>
      </c>
      <c r="AE593" s="34">
        <f>Table1[[#This Row],[Quantity (expected)]]*Table1[[#This Row],[Rate (expected)2]]*0.7</f>
        <v>0</v>
      </c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1">
        <f>SUM(Table1[[#This Row],[Jan-23]:[Dec-23]])</f>
        <v>0</v>
      </c>
      <c r="AV593" s="105"/>
      <c r="AW593" s="32"/>
      <c r="AX593" s="35"/>
    </row>
    <row r="594" spans="1:50" x14ac:dyDescent="0.3">
      <c r="A594" s="30" t="str">
        <f>VLOOKUP(H594,'Accoount Code Combination'!$D:$L,8,FALSE)</f>
        <v xml:space="preserve">Facilities </v>
      </c>
      <c r="B594" s="31" t="str">
        <f>VLOOKUP(Table1[[#This Row],[Account Code]],'Accoount Code Combination'!$D:$L,9,FALSE)</f>
        <v>No Applicable</v>
      </c>
      <c r="C594" s="4" t="str">
        <f>VLOOKUP(Table1[[#This Row],[Cost Center Code]],'Cost Center Group'!A:B,2,FALSE)</f>
        <v>Administration, Facilities and EHS Office</v>
      </c>
      <c r="D594" s="4">
        <v>847</v>
      </c>
      <c r="E594" s="79">
        <v>8470530</v>
      </c>
      <c r="F594" s="32" t="s">
        <v>165</v>
      </c>
      <c r="G594" s="4">
        <v>1</v>
      </c>
      <c r="H594" s="95">
        <v>432540</v>
      </c>
      <c r="I594" s="106" t="str">
        <f>IFERROR(VLOOKUP(Table1[[#This Row],[Account Code]],'Accoount Code Combination'!$D:$H,2,FALSE),"")</f>
        <v>Motor vehicles (non-military)</v>
      </c>
      <c r="J594" s="79">
        <v>8470530</v>
      </c>
      <c r="K594" s="4"/>
      <c r="L594" s="4" t="str">
        <f>IFERROR(VLOOKUP(Table1[[#This Row],[Future-1 Description]],'Other '!E582:$F591,2,FALSE),"")</f>
        <v/>
      </c>
      <c r="M594" s="32"/>
      <c r="N594" s="32"/>
      <c r="O594" s="32"/>
      <c r="P594" s="49">
        <v>0</v>
      </c>
      <c r="Q594" s="49">
        <v>0</v>
      </c>
      <c r="R594" s="32"/>
      <c r="S594" s="4"/>
      <c r="T594" s="32"/>
      <c r="U594" s="32"/>
      <c r="V594" s="32"/>
      <c r="W594" s="32"/>
      <c r="X594" s="33"/>
      <c r="Y594" s="33"/>
      <c r="Z594" s="31">
        <f>Table1[[#This Row],[Quantity of measruing units]]*Table1[[#This Row],[Rate (expected)]]</f>
        <v>0</v>
      </c>
      <c r="AA594" s="31"/>
      <c r="AB594" s="31"/>
      <c r="AC594" s="34">
        <f>Table1[[#This Row],[Quantity (expected)]]*Table1[[#This Row],[Rate (expected)2]]*0.9</f>
        <v>0</v>
      </c>
      <c r="AD594" s="34">
        <f>Table1[[#This Row],[Quantity (expected)]]*Table1[[#This Row],[Rate (expected)2]]*0.8</f>
        <v>0</v>
      </c>
      <c r="AE594" s="34">
        <f>Table1[[#This Row],[Quantity (expected)]]*Table1[[#This Row],[Rate (expected)2]]*0.7</f>
        <v>0</v>
      </c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1">
        <f>SUM(Table1[[#This Row],[Jan-23]:[Dec-23]])</f>
        <v>0</v>
      </c>
      <c r="AV594" s="105"/>
      <c r="AW594" s="32"/>
      <c r="AX594" s="35"/>
    </row>
    <row r="595" spans="1:50" x14ac:dyDescent="0.3">
      <c r="A595" s="30" t="str">
        <f>VLOOKUP(H595,'Accoount Code Combination'!$D:$L,8,FALSE)</f>
        <v xml:space="preserve">Facilities </v>
      </c>
      <c r="B595" s="31" t="str">
        <f>VLOOKUP(Table1[[#This Row],[Account Code]],'Accoount Code Combination'!$D:$L,9,FALSE)</f>
        <v>No Applicable</v>
      </c>
      <c r="C595" s="4" t="str">
        <f>VLOOKUP(Table1[[#This Row],[Cost Center Code]],'Cost Center Group'!A:B,2,FALSE)</f>
        <v>Administration, Facilities and EHS Office</v>
      </c>
      <c r="D595" s="4">
        <v>847</v>
      </c>
      <c r="E595" s="79">
        <v>8470530</v>
      </c>
      <c r="F595" s="32" t="s">
        <v>165</v>
      </c>
      <c r="G595" s="4">
        <v>1</v>
      </c>
      <c r="H595" s="95">
        <v>432540</v>
      </c>
      <c r="I595" s="106" t="str">
        <f>IFERROR(VLOOKUP(Table1[[#This Row],[Account Code]],'Accoount Code Combination'!$D:$H,2,FALSE),"")</f>
        <v>Motor vehicles (non-military)</v>
      </c>
      <c r="J595" s="79">
        <v>8470530</v>
      </c>
      <c r="K595" s="4"/>
      <c r="L595" s="4" t="str">
        <f>IFERROR(VLOOKUP(Table1[[#This Row],[Future-1 Description]],'Other '!E583:$F592,2,FALSE),"")</f>
        <v/>
      </c>
      <c r="M595" s="32"/>
      <c r="N595" s="32"/>
      <c r="O595" s="32"/>
      <c r="P595" s="49">
        <v>0</v>
      </c>
      <c r="Q595" s="49">
        <v>3320</v>
      </c>
      <c r="R595" s="32"/>
      <c r="S595" s="4"/>
      <c r="T595" s="32"/>
      <c r="U595" s="32"/>
      <c r="V595" s="32"/>
      <c r="W595" s="32"/>
      <c r="X595" s="33"/>
      <c r="Y595" s="33"/>
      <c r="Z595" s="31">
        <f>Table1[[#This Row],[Quantity of measruing units]]*Table1[[#This Row],[Rate (expected)]]</f>
        <v>0</v>
      </c>
      <c r="AA595" s="31"/>
      <c r="AB595" s="31"/>
      <c r="AC595" s="34">
        <f>Table1[[#This Row],[Quantity (expected)]]*Table1[[#This Row],[Rate (expected)2]]*0.9</f>
        <v>0</v>
      </c>
      <c r="AD595" s="34">
        <f>Table1[[#This Row],[Quantity (expected)]]*Table1[[#This Row],[Rate (expected)2]]*0.8</f>
        <v>0</v>
      </c>
      <c r="AE595" s="34">
        <f>Table1[[#This Row],[Quantity (expected)]]*Table1[[#This Row],[Rate (expected)2]]*0.7</f>
        <v>0</v>
      </c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1">
        <f>SUM(Table1[[#This Row],[Jan-23]:[Dec-23]])</f>
        <v>0</v>
      </c>
      <c r="AV595" s="105"/>
      <c r="AW595" s="32"/>
      <c r="AX595" s="35"/>
    </row>
    <row r="596" spans="1:50" x14ac:dyDescent="0.3">
      <c r="A596" s="30" t="str">
        <f>VLOOKUP(H596,'Accoount Code Combination'!$D:$L,8,FALSE)</f>
        <v>Other support</v>
      </c>
      <c r="B596" s="31" t="str">
        <f>VLOOKUP(Table1[[#This Row],[Account Code]],'Accoount Code Combination'!$D:$L,9,FALSE)</f>
        <v>No Applicable</v>
      </c>
      <c r="C596" s="4" t="str">
        <f>VLOOKUP(Table1[[#This Row],[Cost Center Code]],'Cost Center Group'!A:B,2,FALSE)</f>
        <v>Administration, Facilities and EHS Office</v>
      </c>
      <c r="D596" s="4">
        <v>847</v>
      </c>
      <c r="E596" s="79">
        <v>8470530</v>
      </c>
      <c r="F596" s="32" t="s">
        <v>165</v>
      </c>
      <c r="G596" s="4">
        <v>1</v>
      </c>
      <c r="H596" s="95">
        <v>436110</v>
      </c>
      <c r="I596" s="106" t="str">
        <f>IFERROR(VLOOKUP(Table1[[#This Row],[Account Code]],'Accoount Code Combination'!$D:$H,2,FALSE),"")</f>
        <v>Printing supplies</v>
      </c>
      <c r="J596" s="79">
        <v>8470530</v>
      </c>
      <c r="K596" s="4"/>
      <c r="L596" s="4" t="str">
        <f>IFERROR(VLOOKUP(Table1[[#This Row],[Future-1 Description]],'Other '!E584:$F593,2,FALSE),"")</f>
        <v/>
      </c>
      <c r="M596" s="32"/>
      <c r="N596" s="32"/>
      <c r="O596" s="32"/>
      <c r="P596" s="49">
        <v>0</v>
      </c>
      <c r="Q596" s="49">
        <v>0</v>
      </c>
      <c r="R596" s="32"/>
      <c r="S596" s="4"/>
      <c r="T596" s="32"/>
      <c r="U596" s="32"/>
      <c r="V596" s="32"/>
      <c r="W596" s="32"/>
      <c r="X596" s="33"/>
      <c r="Y596" s="33"/>
      <c r="Z596" s="31">
        <f>Table1[[#This Row],[Quantity of measruing units]]*Table1[[#This Row],[Rate (expected)]]</f>
        <v>0</v>
      </c>
      <c r="AA596" s="31"/>
      <c r="AB596" s="31"/>
      <c r="AC596" s="34">
        <f>Table1[[#This Row],[Quantity (expected)]]*Table1[[#This Row],[Rate (expected)2]]*0.9</f>
        <v>0</v>
      </c>
      <c r="AD596" s="34">
        <f>Table1[[#This Row],[Quantity (expected)]]*Table1[[#This Row],[Rate (expected)2]]*0.8</f>
        <v>0</v>
      </c>
      <c r="AE596" s="34">
        <f>Table1[[#This Row],[Quantity (expected)]]*Table1[[#This Row],[Rate (expected)2]]*0.7</f>
        <v>0</v>
      </c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1">
        <f>SUM(Table1[[#This Row],[Jan-23]:[Dec-23]])</f>
        <v>0</v>
      </c>
      <c r="AV596" s="105"/>
      <c r="AW596" s="32"/>
      <c r="AX596" s="35"/>
    </row>
    <row r="597" spans="1:50" x14ac:dyDescent="0.3">
      <c r="A597" s="30">
        <f>VLOOKUP(H597,'Accoount Code Combination'!$D:$L,8,FALSE)</f>
        <v>0</v>
      </c>
      <c r="B597" s="31" t="str">
        <f>VLOOKUP(Table1[[#This Row],[Account Code]],'Accoount Code Combination'!$D:$L,9,FALSE)</f>
        <v>No Applicable</v>
      </c>
      <c r="C597" s="4" t="str">
        <f>VLOOKUP(Table1[[#This Row],[Cost Center Code]],'Cost Center Group'!A:B,2,FALSE)</f>
        <v>Administration, Facilities and EHS Office</v>
      </c>
      <c r="D597" s="4">
        <v>847</v>
      </c>
      <c r="E597" s="79">
        <v>8470530</v>
      </c>
      <c r="F597" s="32" t="s">
        <v>165</v>
      </c>
      <c r="G597" s="4">
        <v>1</v>
      </c>
      <c r="H597" s="95">
        <v>436220</v>
      </c>
      <c r="I597" s="106" t="str">
        <f>IFERROR(VLOOKUP(Table1[[#This Row],[Account Code]],'Accoount Code Combination'!$D:$H,2,FALSE),"")</f>
        <v>Road signs</v>
      </c>
      <c r="J597" s="79">
        <v>8470530</v>
      </c>
      <c r="K597" s="4"/>
      <c r="L597" s="4" t="str">
        <f>IFERROR(VLOOKUP(Table1[[#This Row],[Future-1 Description]],'Other '!E585:$F594,2,FALSE),"")</f>
        <v/>
      </c>
      <c r="M597" s="32"/>
      <c r="N597" s="32"/>
      <c r="O597" s="32"/>
      <c r="P597" s="49">
        <v>0</v>
      </c>
      <c r="Q597" s="49">
        <v>246360</v>
      </c>
      <c r="R597" s="32"/>
      <c r="S597" s="4"/>
      <c r="T597" s="32"/>
      <c r="U597" s="32"/>
      <c r="V597" s="32"/>
      <c r="W597" s="32"/>
      <c r="X597" s="33"/>
      <c r="Y597" s="33"/>
      <c r="Z597" s="31">
        <f>Table1[[#This Row],[Quantity of measruing units]]*Table1[[#This Row],[Rate (expected)]]</f>
        <v>0</v>
      </c>
      <c r="AA597" s="31"/>
      <c r="AB597" s="31"/>
      <c r="AC597" s="34">
        <f>Table1[[#This Row],[Quantity (expected)]]*Table1[[#This Row],[Rate (expected)2]]*0.9</f>
        <v>0</v>
      </c>
      <c r="AD597" s="34">
        <f>Table1[[#This Row],[Quantity (expected)]]*Table1[[#This Row],[Rate (expected)2]]*0.8</f>
        <v>0</v>
      </c>
      <c r="AE597" s="34">
        <f>Table1[[#This Row],[Quantity (expected)]]*Table1[[#This Row],[Rate (expected)2]]*0.7</f>
        <v>0</v>
      </c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1">
        <f>SUM(Table1[[#This Row],[Jan-23]:[Dec-23]])</f>
        <v>0</v>
      </c>
      <c r="AV597" s="105"/>
      <c r="AW597" s="32"/>
      <c r="AX597" s="35"/>
    </row>
    <row r="598" spans="1:50" x14ac:dyDescent="0.3">
      <c r="A598" s="30">
        <f>VLOOKUP(H598,'Accoount Code Combination'!$D:$L,8,FALSE)</f>
        <v>0</v>
      </c>
      <c r="B598" s="31" t="str">
        <f>VLOOKUP(Table1[[#This Row],[Account Code]],'Accoount Code Combination'!$D:$L,9,FALSE)</f>
        <v>Building Improvements</v>
      </c>
      <c r="C598" s="4" t="str">
        <f>VLOOKUP(Table1[[#This Row],[Cost Center Code]],'Cost Center Group'!A:B,2,FALSE)</f>
        <v>Administration, Facilities and EHS Office</v>
      </c>
      <c r="D598" s="4">
        <v>847</v>
      </c>
      <c r="E598" s="79">
        <v>8470530</v>
      </c>
      <c r="F598" s="32" t="s">
        <v>165</v>
      </c>
      <c r="G598" s="4">
        <v>1</v>
      </c>
      <c r="H598" s="95">
        <v>492200</v>
      </c>
      <c r="I598" s="106" t="str">
        <f>IFERROR(VLOOKUP(Table1[[#This Row],[Account Code]],'Accoount Code Combination'!$D:$H,2,FALSE),"")</f>
        <v>Capital expense - Buildings</v>
      </c>
      <c r="J598" s="79">
        <v>8470530</v>
      </c>
      <c r="K598" s="4"/>
      <c r="L598" s="4" t="str">
        <f>IFERROR(VLOOKUP(Table1[[#This Row],[Future-1 Description]],'Other '!E586:$F595,2,FALSE),"")</f>
        <v/>
      </c>
      <c r="M598" s="32"/>
      <c r="N598" s="32"/>
      <c r="O598" s="32"/>
      <c r="P598" s="49">
        <v>0</v>
      </c>
      <c r="Q598" s="49">
        <v>0</v>
      </c>
      <c r="R598" s="32"/>
      <c r="S598" s="4"/>
      <c r="T598" s="32"/>
      <c r="U598" s="32"/>
      <c r="V598" s="32"/>
      <c r="W598" s="32"/>
      <c r="X598" s="33"/>
      <c r="Y598" s="33"/>
      <c r="Z598" s="31">
        <f>Table1[[#This Row],[Quantity of measruing units]]*Table1[[#This Row],[Rate (expected)]]</f>
        <v>0</v>
      </c>
      <c r="AA598" s="31"/>
      <c r="AB598" s="31"/>
      <c r="AC598" s="34">
        <f>Table1[[#This Row],[Quantity (expected)]]*Table1[[#This Row],[Rate (expected)2]]*0.9</f>
        <v>0</v>
      </c>
      <c r="AD598" s="34">
        <f>Table1[[#This Row],[Quantity (expected)]]*Table1[[#This Row],[Rate (expected)2]]*0.8</f>
        <v>0</v>
      </c>
      <c r="AE598" s="34">
        <f>Table1[[#This Row],[Quantity (expected)]]*Table1[[#This Row],[Rate (expected)2]]*0.7</f>
        <v>0</v>
      </c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1">
        <f>SUM(Table1[[#This Row],[Jan-23]:[Dec-23]])</f>
        <v>0</v>
      </c>
      <c r="AV598" s="105"/>
      <c r="AW598" s="32"/>
      <c r="AX598" s="35"/>
    </row>
    <row r="599" spans="1:50" x14ac:dyDescent="0.3">
      <c r="A599" s="30">
        <f>VLOOKUP(H599,'Accoount Code Combination'!$D:$L,8,FALSE)</f>
        <v>0</v>
      </c>
      <c r="B599" s="31" t="str">
        <f>VLOOKUP(Table1[[#This Row],[Account Code]],'Accoount Code Combination'!$D:$L,9,FALSE)</f>
        <v>Building Improvements</v>
      </c>
      <c r="C599" s="4" t="str">
        <f>VLOOKUP(Table1[[#This Row],[Cost Center Code]],'Cost Center Group'!A:B,2,FALSE)</f>
        <v>Administration, Facilities and EHS Office</v>
      </c>
      <c r="D599" s="4">
        <v>847</v>
      </c>
      <c r="E599" s="79">
        <v>8470530</v>
      </c>
      <c r="F599" s="32" t="s">
        <v>165</v>
      </c>
      <c r="G599" s="4">
        <v>1</v>
      </c>
      <c r="H599" s="95">
        <v>492200</v>
      </c>
      <c r="I599" s="106" t="str">
        <f>IFERROR(VLOOKUP(Table1[[#This Row],[Account Code]],'Accoount Code Combination'!$D:$H,2,FALSE),"")</f>
        <v>Capital expense - Buildings</v>
      </c>
      <c r="J599" s="79">
        <v>8470530</v>
      </c>
      <c r="K599" s="4"/>
      <c r="L599" s="4" t="str">
        <f>IFERROR(VLOOKUP(Table1[[#This Row],[Future-1 Description]],'Other '!E587:$F596,2,FALSE),"")</f>
        <v/>
      </c>
      <c r="M599" s="32"/>
      <c r="N599" s="32"/>
      <c r="O599" s="32"/>
      <c r="P599" s="49">
        <v>0</v>
      </c>
      <c r="Q599" s="49">
        <v>6713896</v>
      </c>
      <c r="R599" s="32"/>
      <c r="S599" s="4"/>
      <c r="T599" s="32"/>
      <c r="U599" s="32"/>
      <c r="V599" s="32"/>
      <c r="W599" s="32"/>
      <c r="X599" s="33"/>
      <c r="Y599" s="33"/>
      <c r="Z599" s="31">
        <f>Table1[[#This Row],[Quantity of measruing units]]*Table1[[#This Row],[Rate (expected)]]</f>
        <v>0</v>
      </c>
      <c r="AA599" s="31"/>
      <c r="AB599" s="31"/>
      <c r="AC599" s="34">
        <f>Table1[[#This Row],[Quantity (expected)]]*Table1[[#This Row],[Rate (expected)2]]*0.9</f>
        <v>0</v>
      </c>
      <c r="AD599" s="34">
        <f>Table1[[#This Row],[Quantity (expected)]]*Table1[[#This Row],[Rate (expected)2]]*0.8</f>
        <v>0</v>
      </c>
      <c r="AE599" s="34">
        <f>Table1[[#This Row],[Quantity (expected)]]*Table1[[#This Row],[Rate (expected)2]]*0.7</f>
        <v>0</v>
      </c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1">
        <f>SUM(Table1[[#This Row],[Jan-23]:[Dec-23]])</f>
        <v>0</v>
      </c>
      <c r="AV599" s="105"/>
      <c r="AW599" s="32"/>
      <c r="AX599" s="35"/>
    </row>
    <row r="600" spans="1:50" x14ac:dyDescent="0.3">
      <c r="A600" s="30">
        <f>VLOOKUP(H600,'Accoount Code Combination'!$D:$L,8,FALSE)</f>
        <v>0</v>
      </c>
      <c r="B600" s="31" t="str">
        <f>VLOOKUP(Table1[[#This Row],[Account Code]],'Accoount Code Combination'!$D:$L,9,FALSE)</f>
        <v>Building Improvements</v>
      </c>
      <c r="C600" s="4" t="str">
        <f>VLOOKUP(Table1[[#This Row],[Cost Center Code]],'Cost Center Group'!A:B,2,FALSE)</f>
        <v>Administration, Facilities and EHS Office</v>
      </c>
      <c r="D600" s="4">
        <v>847</v>
      </c>
      <c r="E600" s="79">
        <v>8470530</v>
      </c>
      <c r="F600" s="32" t="s">
        <v>165</v>
      </c>
      <c r="G600" s="4">
        <v>1</v>
      </c>
      <c r="H600" s="95">
        <v>492200</v>
      </c>
      <c r="I600" s="106" t="str">
        <f>IFERROR(VLOOKUP(Table1[[#This Row],[Account Code]],'Accoount Code Combination'!$D:$H,2,FALSE),"")</f>
        <v>Capital expense - Buildings</v>
      </c>
      <c r="J600" s="79">
        <v>8470530</v>
      </c>
      <c r="K600" s="4"/>
      <c r="L600" s="4" t="str">
        <f>IFERROR(VLOOKUP(Table1[[#This Row],[Future-1 Description]],'Other '!E588:$F597,2,FALSE),"")</f>
        <v/>
      </c>
      <c r="M600" s="32"/>
      <c r="N600" s="32"/>
      <c r="O600" s="32"/>
      <c r="P600" s="49">
        <v>0</v>
      </c>
      <c r="Q600" s="49">
        <v>38000</v>
      </c>
      <c r="R600" s="32"/>
      <c r="S600" s="4"/>
      <c r="T600" s="32"/>
      <c r="U600" s="32"/>
      <c r="V600" s="32"/>
      <c r="W600" s="32"/>
      <c r="X600" s="33"/>
      <c r="Y600" s="33"/>
      <c r="Z600" s="31">
        <f>Table1[[#This Row],[Quantity of measruing units]]*Table1[[#This Row],[Rate (expected)]]</f>
        <v>0</v>
      </c>
      <c r="AA600" s="31"/>
      <c r="AB600" s="31"/>
      <c r="AC600" s="34">
        <f>Table1[[#This Row],[Quantity (expected)]]*Table1[[#This Row],[Rate (expected)2]]*0.9</f>
        <v>0</v>
      </c>
      <c r="AD600" s="34">
        <f>Table1[[#This Row],[Quantity (expected)]]*Table1[[#This Row],[Rate (expected)2]]*0.8</f>
        <v>0</v>
      </c>
      <c r="AE600" s="34">
        <f>Table1[[#This Row],[Quantity (expected)]]*Table1[[#This Row],[Rate (expected)2]]*0.7</f>
        <v>0</v>
      </c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1">
        <f>SUM(Table1[[#This Row],[Jan-23]:[Dec-23]])</f>
        <v>0</v>
      </c>
      <c r="AV600" s="105"/>
      <c r="AW600" s="32"/>
      <c r="AX600" s="35"/>
    </row>
    <row r="601" spans="1:50" x14ac:dyDescent="0.3">
      <c r="A601" s="30">
        <f>VLOOKUP(H601,'Accoount Code Combination'!$D:$L,8,FALSE)</f>
        <v>0</v>
      </c>
      <c r="B601" s="31" t="str">
        <f>VLOOKUP(Table1[[#This Row],[Account Code]],'Accoount Code Combination'!$D:$L,9,FALSE)</f>
        <v>No Applicable</v>
      </c>
      <c r="C601" s="4" t="str">
        <f>VLOOKUP(Table1[[#This Row],[Cost Center Code]],'Cost Center Group'!A:B,2,FALSE)</f>
        <v>Administration, Facilities and EHS Office</v>
      </c>
      <c r="D601" s="4">
        <v>847</v>
      </c>
      <c r="E601" s="79">
        <v>8470530</v>
      </c>
      <c r="F601" s="32" t="s">
        <v>165</v>
      </c>
      <c r="G601" s="4">
        <v>1</v>
      </c>
      <c r="H601" s="95">
        <v>492316</v>
      </c>
      <c r="I601" s="106" t="str">
        <f>IFERROR(VLOOKUP(Table1[[#This Row],[Account Code]],'Accoount Code Combination'!$D:$H,2,FALSE),"")</f>
        <v>Laboratory equipment</v>
      </c>
      <c r="J601" s="79">
        <v>8470530</v>
      </c>
      <c r="K601" s="4"/>
      <c r="L601" s="4" t="str">
        <f>IFERROR(VLOOKUP(Table1[[#This Row],[Future-1 Description]],'Other '!E589:$F598,2,FALSE),"")</f>
        <v/>
      </c>
      <c r="M601" s="32"/>
      <c r="N601" s="32"/>
      <c r="O601" s="32"/>
      <c r="P601" s="49">
        <v>0</v>
      </c>
      <c r="Q601" s="49">
        <v>245879</v>
      </c>
      <c r="R601" s="32"/>
      <c r="S601" s="4"/>
      <c r="T601" s="32"/>
      <c r="U601" s="32"/>
      <c r="V601" s="32"/>
      <c r="W601" s="32"/>
      <c r="X601" s="33"/>
      <c r="Y601" s="33"/>
      <c r="Z601" s="31">
        <f>Table1[[#This Row],[Quantity of measruing units]]*Table1[[#This Row],[Rate (expected)]]</f>
        <v>0</v>
      </c>
      <c r="AA601" s="31"/>
      <c r="AB601" s="31"/>
      <c r="AC601" s="34">
        <f>Table1[[#This Row],[Quantity (expected)]]*Table1[[#This Row],[Rate (expected)2]]*0.9</f>
        <v>0</v>
      </c>
      <c r="AD601" s="34">
        <f>Table1[[#This Row],[Quantity (expected)]]*Table1[[#This Row],[Rate (expected)2]]*0.8</f>
        <v>0</v>
      </c>
      <c r="AE601" s="34">
        <f>Table1[[#This Row],[Quantity (expected)]]*Table1[[#This Row],[Rate (expected)2]]*0.7</f>
        <v>0</v>
      </c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1">
        <f>SUM(Table1[[#This Row],[Jan-23]:[Dec-23]])</f>
        <v>0</v>
      </c>
      <c r="AV601" s="105"/>
      <c r="AW601" s="32"/>
      <c r="AX601" s="35"/>
    </row>
    <row r="602" spans="1:50" x14ac:dyDescent="0.3">
      <c r="A602" s="30">
        <f>VLOOKUP(H602,'Accoount Code Combination'!$D:$L,8,FALSE)</f>
        <v>0</v>
      </c>
      <c r="B602" s="31" t="str">
        <f>VLOOKUP(Table1[[#This Row],[Account Code]],'Accoount Code Combination'!$D:$L,9,FALSE)</f>
        <v>Furniture and Fixtures</v>
      </c>
      <c r="C602" s="4" t="str">
        <f>VLOOKUP(Table1[[#This Row],[Cost Center Code]],'Cost Center Group'!A:B,2,FALSE)</f>
        <v>Administration, Facilities and EHS Office</v>
      </c>
      <c r="D602" s="4">
        <v>847</v>
      </c>
      <c r="E602" s="79">
        <v>8470530</v>
      </c>
      <c r="F602" s="32" t="s">
        <v>165</v>
      </c>
      <c r="G602" s="4">
        <v>1</v>
      </c>
      <c r="H602" s="95">
        <v>492610</v>
      </c>
      <c r="I602" s="106" t="str">
        <f>IFERROR(VLOOKUP(Table1[[#This Row],[Account Code]],'Accoount Code Combination'!$D:$H,2,FALSE),"")</f>
        <v>Furniture &amp; Fixtures - Offices</v>
      </c>
      <c r="J602" s="79">
        <v>8470530</v>
      </c>
      <c r="K602" s="4"/>
      <c r="L602" s="4" t="str">
        <f>IFERROR(VLOOKUP(Table1[[#This Row],[Future-1 Description]],'Other '!E590:$F599,2,FALSE),"")</f>
        <v/>
      </c>
      <c r="M602" s="32"/>
      <c r="N602" s="32"/>
      <c r="O602" s="32"/>
      <c r="P602" s="49">
        <v>0</v>
      </c>
      <c r="Q602" s="49">
        <v>0</v>
      </c>
      <c r="R602" s="32"/>
      <c r="S602" s="4"/>
      <c r="T602" s="32"/>
      <c r="U602" s="32"/>
      <c r="V602" s="32"/>
      <c r="W602" s="32"/>
      <c r="X602" s="33"/>
      <c r="Y602" s="33"/>
      <c r="Z602" s="31">
        <f>Table1[[#This Row],[Quantity of measruing units]]*Table1[[#This Row],[Rate (expected)]]</f>
        <v>0</v>
      </c>
      <c r="AA602" s="31"/>
      <c r="AB602" s="31"/>
      <c r="AC602" s="34">
        <f>Table1[[#This Row],[Quantity (expected)]]*Table1[[#This Row],[Rate (expected)2]]*0.9</f>
        <v>0</v>
      </c>
      <c r="AD602" s="34">
        <f>Table1[[#This Row],[Quantity (expected)]]*Table1[[#This Row],[Rate (expected)2]]*0.8</f>
        <v>0</v>
      </c>
      <c r="AE602" s="34">
        <f>Table1[[#This Row],[Quantity (expected)]]*Table1[[#This Row],[Rate (expected)2]]*0.7</f>
        <v>0</v>
      </c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1">
        <f>SUM(Table1[[#This Row],[Jan-23]:[Dec-23]])</f>
        <v>0</v>
      </c>
      <c r="AV602" s="105"/>
      <c r="AW602" s="32"/>
      <c r="AX602" s="35"/>
    </row>
    <row r="603" spans="1:50" x14ac:dyDescent="0.3">
      <c r="A603" s="30" t="str">
        <f>VLOOKUP(H603,'Accoount Code Combination'!$D:$L,8,FALSE)</f>
        <v>HR</v>
      </c>
      <c r="B603" s="31" t="str">
        <f>VLOOKUP(Table1[[#This Row],[Account Code]],'Accoount Code Combination'!$D:$L,9,FALSE)</f>
        <v>Outsourcing</v>
      </c>
      <c r="C603" s="4" t="str">
        <f>VLOOKUP(Table1[[#This Row],[Cost Center Code]],'Cost Center Group'!A:B,2,FALSE)</f>
        <v>Administration, Facilities and EHS Office</v>
      </c>
      <c r="D603" s="4">
        <v>847</v>
      </c>
      <c r="E603" s="79">
        <v>8470540</v>
      </c>
      <c r="F603" s="32" t="s">
        <v>786</v>
      </c>
      <c r="G603" s="4">
        <v>1</v>
      </c>
      <c r="H603" s="95">
        <v>421100</v>
      </c>
      <c r="I603" s="106" t="str">
        <f>IFERROR(VLOOKUP(Table1[[#This Row],[Account Code]],'Accoount Code Combination'!$D:$H,2,FALSE),"")</f>
        <v>Manpower supply</v>
      </c>
      <c r="J603" s="79">
        <v>8470540</v>
      </c>
      <c r="K603" s="4"/>
      <c r="L603" s="4" t="str">
        <f>IFERROR(VLOOKUP(Table1[[#This Row],[Future-1 Description]],'Other '!E591:$F600,2,FALSE),"")</f>
        <v/>
      </c>
      <c r="M603" s="32"/>
      <c r="N603" s="32"/>
      <c r="O603" s="32"/>
      <c r="P603" s="49">
        <v>0</v>
      </c>
      <c r="Q603" s="49">
        <v>4009370</v>
      </c>
      <c r="R603" s="32"/>
      <c r="S603" s="4"/>
      <c r="T603" s="32"/>
      <c r="U603" s="32"/>
      <c r="V603" s="32"/>
      <c r="W603" s="32"/>
      <c r="X603" s="33"/>
      <c r="Y603" s="33"/>
      <c r="Z603" s="31">
        <f>Table1[[#This Row],[Quantity of measruing units]]*Table1[[#This Row],[Rate (expected)]]</f>
        <v>0</v>
      </c>
      <c r="AA603" s="31"/>
      <c r="AB603" s="31"/>
      <c r="AC603" s="34">
        <f>Table1[[#This Row],[Quantity (expected)]]*Table1[[#This Row],[Rate (expected)2]]*0.9</f>
        <v>0</v>
      </c>
      <c r="AD603" s="34">
        <f>Table1[[#This Row],[Quantity (expected)]]*Table1[[#This Row],[Rate (expected)2]]*0.8</f>
        <v>0</v>
      </c>
      <c r="AE603" s="34">
        <f>Table1[[#This Row],[Quantity (expected)]]*Table1[[#This Row],[Rate (expected)2]]*0.7</f>
        <v>0</v>
      </c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1">
        <f>SUM(Table1[[#This Row],[Jan-23]:[Dec-23]])</f>
        <v>0</v>
      </c>
      <c r="AV603" s="105"/>
      <c r="AW603" s="32"/>
      <c r="AX603" s="35"/>
    </row>
    <row r="604" spans="1:50" x14ac:dyDescent="0.3">
      <c r="A604" s="30" t="str">
        <f>VLOOKUP(H604,'Accoount Code Combination'!$D:$L,8,FALSE)</f>
        <v xml:space="preserve">Facilities </v>
      </c>
      <c r="B604" s="31" t="str">
        <f>VLOOKUP(Table1[[#This Row],[Account Code]],'Accoount Code Combination'!$D:$L,9,FALSE)</f>
        <v>No Applicable</v>
      </c>
      <c r="C604" s="4" t="str">
        <f>VLOOKUP(Table1[[#This Row],[Cost Center Code]],'Cost Center Group'!A:B,2,FALSE)</f>
        <v>Administration, Facilities and EHS Office</v>
      </c>
      <c r="D604" s="4">
        <v>847</v>
      </c>
      <c r="E604" s="79">
        <v>8470540</v>
      </c>
      <c r="F604" s="32" t="s">
        <v>786</v>
      </c>
      <c r="G604" s="4">
        <v>1</v>
      </c>
      <c r="H604" s="95">
        <v>432120</v>
      </c>
      <c r="I604" s="106" t="str">
        <f>IFERROR(VLOOKUP(Table1[[#This Row],[Account Code]],'Accoount Code Combination'!$D:$H,2,FALSE),"")</f>
        <v>Bldg maintenance-Business premises</v>
      </c>
      <c r="J604" s="79">
        <v>8470540</v>
      </c>
      <c r="K604" s="4"/>
      <c r="L604" s="4" t="str">
        <f>IFERROR(VLOOKUP(Table1[[#This Row],[Future-1 Description]],'Other '!E592:$F601,2,FALSE),"")</f>
        <v/>
      </c>
      <c r="M604" s="32"/>
      <c r="N604" s="32"/>
      <c r="O604" s="32"/>
      <c r="P604" s="49">
        <v>0</v>
      </c>
      <c r="Q604" s="49">
        <v>9870670</v>
      </c>
      <c r="R604" s="32"/>
      <c r="S604" s="4"/>
      <c r="T604" s="32"/>
      <c r="U604" s="32"/>
      <c r="V604" s="32"/>
      <c r="W604" s="32"/>
      <c r="X604" s="33"/>
      <c r="Y604" s="33"/>
      <c r="Z604" s="31">
        <f>Table1[[#This Row],[Quantity of measruing units]]*Table1[[#This Row],[Rate (expected)]]</f>
        <v>0</v>
      </c>
      <c r="AA604" s="31"/>
      <c r="AB604" s="31"/>
      <c r="AC604" s="34">
        <f>Table1[[#This Row],[Quantity (expected)]]*Table1[[#This Row],[Rate (expected)2]]*0.9</f>
        <v>0</v>
      </c>
      <c r="AD604" s="34">
        <f>Table1[[#This Row],[Quantity (expected)]]*Table1[[#This Row],[Rate (expected)2]]*0.8</f>
        <v>0</v>
      </c>
      <c r="AE604" s="34">
        <f>Table1[[#This Row],[Quantity (expected)]]*Table1[[#This Row],[Rate (expected)2]]*0.7</f>
        <v>0</v>
      </c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1">
        <f>SUM(Table1[[#This Row],[Jan-23]:[Dec-23]])</f>
        <v>0</v>
      </c>
      <c r="AV604" s="105"/>
      <c r="AW604" s="32"/>
      <c r="AX604" s="35"/>
    </row>
    <row r="605" spans="1:50" x14ac:dyDescent="0.3">
      <c r="A605" s="30" t="str">
        <f>VLOOKUP(H605,'Accoount Code Combination'!$D:$L,8,FALSE)</f>
        <v xml:space="preserve">Facilities </v>
      </c>
      <c r="B605" s="31" t="str">
        <f>VLOOKUP(Table1[[#This Row],[Account Code]],'Accoount Code Combination'!$D:$L,9,FALSE)</f>
        <v>No Applicable</v>
      </c>
      <c r="C605" s="4" t="str">
        <f>VLOOKUP(Table1[[#This Row],[Cost Center Code]],'Cost Center Group'!A:B,2,FALSE)</f>
        <v>Administration, Facilities and EHS Office</v>
      </c>
      <c r="D605" s="4">
        <v>847</v>
      </c>
      <c r="E605" s="79">
        <v>8470540</v>
      </c>
      <c r="F605" s="32" t="s">
        <v>786</v>
      </c>
      <c r="G605" s="4">
        <v>1</v>
      </c>
      <c r="H605" s="95">
        <v>432120</v>
      </c>
      <c r="I605" s="106" t="str">
        <f>IFERROR(VLOOKUP(Table1[[#This Row],[Account Code]],'Accoount Code Combination'!$D:$H,2,FALSE),"")</f>
        <v>Bldg maintenance-Business premises</v>
      </c>
      <c r="J605" s="79">
        <v>8470540</v>
      </c>
      <c r="K605" s="4"/>
      <c r="L605" s="4" t="str">
        <f>IFERROR(VLOOKUP(Table1[[#This Row],[Future-1 Description]],'Other '!E593:$F602,2,FALSE),"")</f>
        <v/>
      </c>
      <c r="M605" s="32"/>
      <c r="N605" s="32"/>
      <c r="O605" s="32"/>
      <c r="P605" s="49">
        <v>0</v>
      </c>
      <c r="Q605" s="49">
        <v>4389857</v>
      </c>
      <c r="R605" s="32"/>
      <c r="S605" s="4"/>
      <c r="T605" s="32"/>
      <c r="U605" s="32"/>
      <c r="V605" s="32"/>
      <c r="W605" s="32"/>
      <c r="X605" s="33"/>
      <c r="Y605" s="33"/>
      <c r="Z605" s="31">
        <f>Table1[[#This Row],[Quantity of measruing units]]*Table1[[#This Row],[Rate (expected)]]</f>
        <v>0</v>
      </c>
      <c r="AA605" s="31"/>
      <c r="AB605" s="31"/>
      <c r="AC605" s="34">
        <f>Table1[[#This Row],[Quantity (expected)]]*Table1[[#This Row],[Rate (expected)2]]*0.9</f>
        <v>0</v>
      </c>
      <c r="AD605" s="34">
        <f>Table1[[#This Row],[Quantity (expected)]]*Table1[[#This Row],[Rate (expected)2]]*0.8</f>
        <v>0</v>
      </c>
      <c r="AE605" s="34">
        <f>Table1[[#This Row],[Quantity (expected)]]*Table1[[#This Row],[Rate (expected)2]]*0.7</f>
        <v>0</v>
      </c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1">
        <f>SUM(Table1[[#This Row],[Jan-23]:[Dec-23]])</f>
        <v>0</v>
      </c>
      <c r="AV605" s="105"/>
      <c r="AW605" s="32"/>
      <c r="AX605" s="35"/>
    </row>
    <row r="606" spans="1:50" x14ac:dyDescent="0.3">
      <c r="A606" s="30" t="str">
        <f>VLOOKUP(H606,'Accoount Code Combination'!$D:$L,8,FALSE)</f>
        <v xml:space="preserve">Facilities </v>
      </c>
      <c r="B606" s="31" t="str">
        <f>VLOOKUP(Table1[[#This Row],[Account Code]],'Accoount Code Combination'!$D:$L,9,FALSE)</f>
        <v>No Applicable</v>
      </c>
      <c r="C606" s="4" t="str">
        <f>VLOOKUP(Table1[[#This Row],[Cost Center Code]],'Cost Center Group'!A:B,2,FALSE)</f>
        <v>Administration, Facilities and EHS Office</v>
      </c>
      <c r="D606" s="4">
        <v>847</v>
      </c>
      <c r="E606" s="79">
        <v>8470540</v>
      </c>
      <c r="F606" s="32" t="s">
        <v>786</v>
      </c>
      <c r="G606" s="4">
        <v>1</v>
      </c>
      <c r="H606" s="95">
        <v>432540</v>
      </c>
      <c r="I606" s="106" t="str">
        <f>IFERROR(VLOOKUP(Table1[[#This Row],[Account Code]],'Accoount Code Combination'!$D:$H,2,FALSE),"")</f>
        <v>Motor vehicles (non-military)</v>
      </c>
      <c r="J606" s="79">
        <v>8470540</v>
      </c>
      <c r="K606" s="4"/>
      <c r="L606" s="4" t="str">
        <f>IFERROR(VLOOKUP(Table1[[#This Row],[Future-1 Description]],'Other '!E594:$F603,2,FALSE),"")</f>
        <v/>
      </c>
      <c r="M606" s="32"/>
      <c r="N606" s="32"/>
      <c r="O606" s="32"/>
      <c r="P606" s="49">
        <v>0</v>
      </c>
      <c r="Q606" s="49">
        <v>25000</v>
      </c>
      <c r="R606" s="32"/>
      <c r="S606" s="4"/>
      <c r="T606" s="32"/>
      <c r="U606" s="32"/>
      <c r="V606" s="32"/>
      <c r="W606" s="32"/>
      <c r="X606" s="33"/>
      <c r="Y606" s="33"/>
      <c r="Z606" s="31">
        <f>Table1[[#This Row],[Quantity of measruing units]]*Table1[[#This Row],[Rate (expected)]]</f>
        <v>0</v>
      </c>
      <c r="AA606" s="31"/>
      <c r="AB606" s="31"/>
      <c r="AC606" s="34">
        <f>Table1[[#This Row],[Quantity (expected)]]*Table1[[#This Row],[Rate (expected)2]]*0.9</f>
        <v>0</v>
      </c>
      <c r="AD606" s="34">
        <f>Table1[[#This Row],[Quantity (expected)]]*Table1[[#This Row],[Rate (expected)2]]*0.8</f>
        <v>0</v>
      </c>
      <c r="AE606" s="34">
        <f>Table1[[#This Row],[Quantity (expected)]]*Table1[[#This Row],[Rate (expected)2]]*0.7</f>
        <v>0</v>
      </c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1">
        <f>SUM(Table1[[#This Row],[Jan-23]:[Dec-23]])</f>
        <v>0</v>
      </c>
      <c r="AV606" s="105"/>
      <c r="AW606" s="32"/>
      <c r="AX606" s="35"/>
    </row>
    <row r="607" spans="1:50" x14ac:dyDescent="0.3">
      <c r="A607" s="30" t="str">
        <f>VLOOKUP(H607,'Accoount Code Combination'!$D:$L,8,FALSE)</f>
        <v>Other support</v>
      </c>
      <c r="B607" s="31" t="str">
        <f>VLOOKUP(Table1[[#This Row],[Account Code]],'Accoount Code Combination'!$D:$L,9,FALSE)</f>
        <v>No Applicable</v>
      </c>
      <c r="C607" s="4" t="str">
        <f>VLOOKUP(Table1[[#This Row],[Cost Center Code]],'Cost Center Group'!A:B,2,FALSE)</f>
        <v>Administration, Facilities and EHS Office</v>
      </c>
      <c r="D607" s="4">
        <v>847</v>
      </c>
      <c r="E607" s="79">
        <v>8470540</v>
      </c>
      <c r="F607" s="32" t="s">
        <v>786</v>
      </c>
      <c r="G607" s="4">
        <v>1</v>
      </c>
      <c r="H607" s="95">
        <v>435410</v>
      </c>
      <c r="I607" s="106" t="str">
        <f>IFERROR(VLOOKUP(Table1[[#This Row],[Account Code]],'Accoount Code Combination'!$D:$H,2,FALSE),"")</f>
        <v>Catering supplies: Offices</v>
      </c>
      <c r="J607" s="79">
        <v>8470540</v>
      </c>
      <c r="K607" s="4"/>
      <c r="L607" s="4" t="str">
        <f>IFERROR(VLOOKUP(Table1[[#This Row],[Future-1 Description]],'Other '!E595:$F604,2,FALSE),"")</f>
        <v/>
      </c>
      <c r="M607" s="32"/>
      <c r="N607" s="32"/>
      <c r="O607" s="32"/>
      <c r="P607" s="49">
        <v>0</v>
      </c>
      <c r="Q607" s="49">
        <v>465000</v>
      </c>
      <c r="R607" s="32"/>
      <c r="S607" s="4"/>
      <c r="T607" s="32"/>
      <c r="U607" s="32"/>
      <c r="V607" s="32"/>
      <c r="W607" s="32"/>
      <c r="X607" s="33"/>
      <c r="Y607" s="33"/>
      <c r="Z607" s="31">
        <f>Table1[[#This Row],[Quantity of measruing units]]*Table1[[#This Row],[Rate (expected)]]</f>
        <v>0</v>
      </c>
      <c r="AA607" s="31"/>
      <c r="AB607" s="31"/>
      <c r="AC607" s="34">
        <f>Table1[[#This Row],[Quantity (expected)]]*Table1[[#This Row],[Rate (expected)2]]*0.9</f>
        <v>0</v>
      </c>
      <c r="AD607" s="34">
        <f>Table1[[#This Row],[Quantity (expected)]]*Table1[[#This Row],[Rate (expected)2]]*0.8</f>
        <v>0</v>
      </c>
      <c r="AE607" s="34">
        <f>Table1[[#This Row],[Quantity (expected)]]*Table1[[#This Row],[Rate (expected)2]]*0.7</f>
        <v>0</v>
      </c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1">
        <f>SUM(Table1[[#This Row],[Jan-23]:[Dec-23]])</f>
        <v>0</v>
      </c>
      <c r="AV607" s="105"/>
      <c r="AW607" s="32"/>
      <c r="AX607" s="35"/>
    </row>
    <row r="608" spans="1:50" x14ac:dyDescent="0.3">
      <c r="A608" s="30" t="str">
        <f>VLOOKUP(H608,'Accoount Code Combination'!$D:$L,8,FALSE)</f>
        <v>Academic</v>
      </c>
      <c r="B608" s="31" t="str">
        <f>VLOOKUP(Table1[[#This Row],[Account Code]],'Accoount Code Combination'!$D:$L,9,FALSE)</f>
        <v>No Applicable</v>
      </c>
      <c r="C608" s="4" t="str">
        <f>VLOOKUP(Table1[[#This Row],[Cost Center Code]],'Cost Center Group'!A:B,2,FALSE)</f>
        <v>HR &amp; Procurement Office</v>
      </c>
      <c r="D608" s="4">
        <v>847</v>
      </c>
      <c r="E608" s="79">
        <v>8470720</v>
      </c>
      <c r="F608" s="32" t="s">
        <v>221</v>
      </c>
      <c r="G608" s="4">
        <v>1</v>
      </c>
      <c r="H608" s="95">
        <v>421700</v>
      </c>
      <c r="I608" s="106" t="str">
        <f>IFERROR(VLOOKUP(Table1[[#This Row],[Account Code]],'Accoount Code Combination'!$D:$H,2,FALSE),"")</f>
        <v>Standards certification (e.g. ISO)</v>
      </c>
      <c r="J608" s="79">
        <v>8470720</v>
      </c>
      <c r="K608" s="4"/>
      <c r="L608" s="4" t="str">
        <f>IFERROR(VLOOKUP(Table1[[#This Row],[Future-1 Description]],'Other '!E596:$F605,2,FALSE),"")</f>
        <v/>
      </c>
      <c r="M608" s="32"/>
      <c r="N608" s="32"/>
      <c r="O608" s="32"/>
      <c r="P608" s="49">
        <v>0</v>
      </c>
      <c r="Q608" s="49">
        <v>2000</v>
      </c>
      <c r="R608" s="32"/>
      <c r="S608" s="4"/>
      <c r="T608" s="32"/>
      <c r="U608" s="32"/>
      <c r="V608" s="32"/>
      <c r="W608" s="32"/>
      <c r="X608" s="33"/>
      <c r="Y608" s="33"/>
      <c r="Z608" s="31">
        <f>Table1[[#This Row],[Quantity of measruing units]]*Table1[[#This Row],[Rate (expected)]]</f>
        <v>0</v>
      </c>
      <c r="AA608" s="31"/>
      <c r="AB608" s="31"/>
      <c r="AC608" s="34">
        <f>Table1[[#This Row],[Quantity (expected)]]*Table1[[#This Row],[Rate (expected)2]]*0.9</f>
        <v>0</v>
      </c>
      <c r="AD608" s="34">
        <f>Table1[[#This Row],[Quantity (expected)]]*Table1[[#This Row],[Rate (expected)2]]*0.8</f>
        <v>0</v>
      </c>
      <c r="AE608" s="34">
        <f>Table1[[#This Row],[Quantity (expected)]]*Table1[[#This Row],[Rate (expected)2]]*0.7</f>
        <v>0</v>
      </c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1">
        <f>SUM(Table1[[#This Row],[Jan-23]:[Dec-23]])</f>
        <v>0</v>
      </c>
      <c r="AV608" s="105"/>
      <c r="AW608" s="32"/>
      <c r="AX608" s="35"/>
    </row>
    <row r="609" spans="1:50" x14ac:dyDescent="0.3">
      <c r="A609" s="30" t="str">
        <f>VLOOKUP(H609,'Accoount Code Combination'!$D:$L,8,FALSE)</f>
        <v>Communiction &amp; Marketing</v>
      </c>
      <c r="B609" s="31" t="str">
        <f>VLOOKUP(Table1[[#This Row],[Account Code]],'Accoount Code Combination'!$D:$L,9,FALSE)</f>
        <v>No Applicable</v>
      </c>
      <c r="C609" s="4" t="str">
        <f>VLOOKUP(Table1[[#This Row],[Cost Center Code]],'Cost Center Group'!A:B,2,FALSE)</f>
        <v>HR &amp; Procurement Office</v>
      </c>
      <c r="D609" s="4">
        <v>847</v>
      </c>
      <c r="E609" s="79">
        <v>8470730</v>
      </c>
      <c r="F609" s="32" t="s">
        <v>223</v>
      </c>
      <c r="G609" s="4">
        <v>1</v>
      </c>
      <c r="H609" s="95">
        <v>427200</v>
      </c>
      <c r="I609" s="106" t="str">
        <f>IFERROR(VLOOKUP(Table1[[#This Row],[Account Code]],'Accoount Code Combination'!$D:$H,2,FALSE),"")</f>
        <v>Printing and publishing</v>
      </c>
      <c r="J609" s="79">
        <v>8470730</v>
      </c>
      <c r="K609" s="4"/>
      <c r="L609" s="4" t="str">
        <f>IFERROR(VLOOKUP(Table1[[#This Row],[Future-1 Description]],'Other '!E597:$F606,2,FALSE),"")</f>
        <v/>
      </c>
      <c r="M609" s="32"/>
      <c r="N609" s="32"/>
      <c r="O609" s="32"/>
      <c r="P609" s="49">
        <v>0</v>
      </c>
      <c r="Q609" s="49">
        <v>4420</v>
      </c>
      <c r="R609" s="32"/>
      <c r="S609" s="4"/>
      <c r="T609" s="32"/>
      <c r="U609" s="32"/>
      <c r="V609" s="32"/>
      <c r="W609" s="32"/>
      <c r="X609" s="33"/>
      <c r="Y609" s="33"/>
      <c r="Z609" s="31">
        <f>Table1[[#This Row],[Quantity of measruing units]]*Table1[[#This Row],[Rate (expected)]]</f>
        <v>0</v>
      </c>
      <c r="AA609" s="31"/>
      <c r="AB609" s="31"/>
      <c r="AC609" s="34">
        <f>Table1[[#This Row],[Quantity (expected)]]*Table1[[#This Row],[Rate (expected)2]]*0.9</f>
        <v>0</v>
      </c>
      <c r="AD609" s="34">
        <f>Table1[[#This Row],[Quantity (expected)]]*Table1[[#This Row],[Rate (expected)2]]*0.8</f>
        <v>0</v>
      </c>
      <c r="AE609" s="34">
        <f>Table1[[#This Row],[Quantity (expected)]]*Table1[[#This Row],[Rate (expected)2]]*0.7</f>
        <v>0</v>
      </c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1">
        <f>SUM(Table1[[#This Row],[Jan-23]:[Dec-23]])</f>
        <v>0</v>
      </c>
      <c r="AV609" s="105"/>
      <c r="AW609" s="32"/>
      <c r="AX609" s="35"/>
    </row>
    <row r="610" spans="1:50" x14ac:dyDescent="0.3">
      <c r="A610" s="30" t="str">
        <f>VLOOKUP(H610,'Accoount Code Combination'!$D:$L,8,FALSE)</f>
        <v>Other support</v>
      </c>
      <c r="B610" s="31" t="str">
        <f>VLOOKUP(Table1[[#This Row],[Account Code]],'Accoount Code Combination'!$D:$L,9,FALSE)</f>
        <v>No Applicable</v>
      </c>
      <c r="C610" s="4" t="str">
        <f>VLOOKUP(Table1[[#This Row],[Cost Center Code]],'Cost Center Group'!A:B,2,FALSE)</f>
        <v>HR &amp; Procurement Office</v>
      </c>
      <c r="D610" s="4">
        <v>847</v>
      </c>
      <c r="E610" s="79">
        <v>8470730</v>
      </c>
      <c r="F610" s="32" t="s">
        <v>223</v>
      </c>
      <c r="G610" s="4">
        <v>1</v>
      </c>
      <c r="H610" s="95">
        <v>427900</v>
      </c>
      <c r="I610" s="106" t="str">
        <f>IFERROR(VLOOKUP(Table1[[#This Row],[Account Code]],'Accoount Code Combination'!$D:$H,2,FALSE),"")</f>
        <v>Translation and interpretation service</v>
      </c>
      <c r="J610" s="79">
        <v>8470730</v>
      </c>
      <c r="K610" s="4"/>
      <c r="L610" s="4" t="str">
        <f>IFERROR(VLOOKUP(Table1[[#This Row],[Future-1 Description]],'Other '!E598:$F607,2,FALSE),"")</f>
        <v/>
      </c>
      <c r="M610" s="32"/>
      <c r="N610" s="32"/>
      <c r="O610" s="32"/>
      <c r="P610" s="49">
        <v>0</v>
      </c>
      <c r="Q610" s="49">
        <v>10000</v>
      </c>
      <c r="R610" s="32"/>
      <c r="S610" s="4"/>
      <c r="T610" s="32"/>
      <c r="U610" s="32"/>
      <c r="V610" s="32"/>
      <c r="W610" s="32"/>
      <c r="X610" s="33"/>
      <c r="Y610" s="33"/>
      <c r="Z610" s="31">
        <f>Table1[[#This Row],[Quantity of measruing units]]*Table1[[#This Row],[Rate (expected)]]</f>
        <v>0</v>
      </c>
      <c r="AA610" s="31"/>
      <c r="AB610" s="31"/>
      <c r="AC610" s="34">
        <f>Table1[[#This Row],[Quantity (expected)]]*Table1[[#This Row],[Rate (expected)2]]*0.9</f>
        <v>0</v>
      </c>
      <c r="AD610" s="34">
        <f>Table1[[#This Row],[Quantity (expected)]]*Table1[[#This Row],[Rate (expected)2]]*0.8</f>
        <v>0</v>
      </c>
      <c r="AE610" s="34">
        <f>Table1[[#This Row],[Quantity (expected)]]*Table1[[#This Row],[Rate (expected)2]]*0.7</f>
        <v>0</v>
      </c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1">
        <f>SUM(Table1[[#This Row],[Jan-23]:[Dec-23]])</f>
        <v>0</v>
      </c>
      <c r="AV610" s="105"/>
      <c r="AW610" s="32"/>
      <c r="AX610" s="35"/>
    </row>
    <row r="611" spans="1:50" x14ac:dyDescent="0.3">
      <c r="A611" s="30" t="str">
        <f>VLOOKUP(H611,'Accoount Code Combination'!$D:$L,8,FALSE)</f>
        <v>Communiction &amp; Marketing</v>
      </c>
      <c r="B611" s="31" t="str">
        <f>VLOOKUP(Table1[[#This Row],[Account Code]],'Accoount Code Combination'!$D:$L,9,FALSE)</f>
        <v>Gifts</v>
      </c>
      <c r="C611" s="4" t="str">
        <f>VLOOKUP(Table1[[#This Row],[Cost Center Code]],'Cost Center Group'!A:B,2,FALSE)</f>
        <v>HR &amp; Procurement Office</v>
      </c>
      <c r="D611" s="4">
        <v>847</v>
      </c>
      <c r="E611" s="79">
        <v>8470730</v>
      </c>
      <c r="F611" s="32" t="s">
        <v>223</v>
      </c>
      <c r="G611" s="4">
        <v>1</v>
      </c>
      <c r="H611" s="95">
        <v>428640</v>
      </c>
      <c r="I611" s="106" t="str">
        <f>IFERROR(VLOOKUP(Table1[[#This Row],[Account Code]],'Accoount Code Combination'!$D:$H,2,FALSE),"")</f>
        <v>Events - Awards, prizes &amp; gifts</v>
      </c>
      <c r="J611" s="79">
        <v>8470730</v>
      </c>
      <c r="K611" s="4"/>
      <c r="L611" s="4" t="str">
        <f>IFERROR(VLOOKUP(Table1[[#This Row],[Future-1 Description]],'Other '!E599:$F608,2,FALSE),"")</f>
        <v/>
      </c>
      <c r="M611" s="32"/>
      <c r="N611" s="32"/>
      <c r="O611" s="32"/>
      <c r="P611" s="49">
        <v>0</v>
      </c>
      <c r="Q611" s="49">
        <v>40000</v>
      </c>
      <c r="R611" s="32"/>
      <c r="S611" s="4"/>
      <c r="T611" s="32"/>
      <c r="U611" s="32"/>
      <c r="V611" s="32"/>
      <c r="W611" s="32"/>
      <c r="X611" s="33"/>
      <c r="Y611" s="33"/>
      <c r="Z611" s="31">
        <f>Table1[[#This Row],[Quantity of measruing units]]*Table1[[#This Row],[Rate (expected)]]</f>
        <v>0</v>
      </c>
      <c r="AA611" s="31"/>
      <c r="AB611" s="31"/>
      <c r="AC611" s="34">
        <f>Table1[[#This Row],[Quantity (expected)]]*Table1[[#This Row],[Rate (expected)2]]*0.9</f>
        <v>0</v>
      </c>
      <c r="AD611" s="34">
        <f>Table1[[#This Row],[Quantity (expected)]]*Table1[[#This Row],[Rate (expected)2]]*0.8</f>
        <v>0</v>
      </c>
      <c r="AE611" s="34">
        <f>Table1[[#This Row],[Quantity (expected)]]*Table1[[#This Row],[Rate (expected)2]]*0.7</f>
        <v>0</v>
      </c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1">
        <f>SUM(Table1[[#This Row],[Jan-23]:[Dec-23]])</f>
        <v>0</v>
      </c>
      <c r="AV611" s="105"/>
      <c r="AW611" s="32"/>
      <c r="AX611" s="35"/>
    </row>
    <row r="612" spans="1:50" x14ac:dyDescent="0.3">
      <c r="A612" s="30" t="str">
        <f>VLOOKUP(H612,'Accoount Code Combination'!$D:$L,8,FALSE)</f>
        <v>IT</v>
      </c>
      <c r="B612" s="31" t="str">
        <f>VLOOKUP(Table1[[#This Row],[Account Code]],'Accoount Code Combination'!$D:$L,9,FALSE)</f>
        <v>No Applicable</v>
      </c>
      <c r="C612" s="4" t="str">
        <f>VLOOKUP(Table1[[#This Row],[Cost Center Code]],'Cost Center Group'!A:B,2,FALSE)</f>
        <v>Information Technology/ANKABUT</v>
      </c>
      <c r="D612" s="4">
        <v>847</v>
      </c>
      <c r="E612" s="79">
        <v>8470810</v>
      </c>
      <c r="F612" s="32" t="s">
        <v>200</v>
      </c>
      <c r="G612" s="4">
        <v>1</v>
      </c>
      <c r="H612" s="95">
        <v>427850</v>
      </c>
      <c r="I612" s="106" t="str">
        <f>IFERROR(VLOOKUP(Table1[[#This Row],[Account Code]],'Accoount Code Combination'!$D:$H,2,FALSE),"")</f>
        <v>Data Transmission charges</v>
      </c>
      <c r="J612" s="79">
        <v>8470810</v>
      </c>
      <c r="K612" s="4"/>
      <c r="L612" s="4" t="str">
        <f>IFERROR(VLOOKUP(Table1[[#This Row],[Future-1 Description]],'Other '!E600:$F609,2,FALSE),"")</f>
        <v/>
      </c>
      <c r="M612" s="32"/>
      <c r="N612" s="32"/>
      <c r="O612" s="32"/>
      <c r="P612" s="49">
        <v>0</v>
      </c>
      <c r="Q612" s="49">
        <v>1716216</v>
      </c>
      <c r="R612" s="32"/>
      <c r="S612" s="4"/>
      <c r="T612" s="32"/>
      <c r="U612" s="32"/>
      <c r="V612" s="32"/>
      <c r="W612" s="32"/>
      <c r="X612" s="33"/>
      <c r="Y612" s="33"/>
      <c r="Z612" s="31">
        <f>Table1[[#This Row],[Quantity of measruing units]]*Table1[[#This Row],[Rate (expected)]]</f>
        <v>0</v>
      </c>
      <c r="AA612" s="31"/>
      <c r="AB612" s="31"/>
      <c r="AC612" s="34">
        <f>Table1[[#This Row],[Quantity (expected)]]*Table1[[#This Row],[Rate (expected)2]]*0.9</f>
        <v>0</v>
      </c>
      <c r="AD612" s="34">
        <f>Table1[[#This Row],[Quantity (expected)]]*Table1[[#This Row],[Rate (expected)2]]*0.8</f>
        <v>0</v>
      </c>
      <c r="AE612" s="34">
        <f>Table1[[#This Row],[Quantity (expected)]]*Table1[[#This Row],[Rate (expected)2]]*0.7</f>
        <v>0</v>
      </c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1">
        <f>SUM(Table1[[#This Row],[Jan-23]:[Dec-23]])</f>
        <v>0</v>
      </c>
      <c r="AV612" s="105"/>
      <c r="AW612" s="32"/>
      <c r="AX612" s="35"/>
    </row>
    <row r="613" spans="1:50" x14ac:dyDescent="0.3">
      <c r="A613" s="30" t="str">
        <f>VLOOKUP(H613,'Accoount Code Combination'!$D:$L,8,FALSE)</f>
        <v>Communiction &amp; Marketing</v>
      </c>
      <c r="B613" s="31" t="str">
        <f>VLOOKUP(Table1[[#This Row],[Account Code]],'Accoount Code Combination'!$D:$L,9,FALSE)</f>
        <v>Advertising</v>
      </c>
      <c r="C613" s="4" t="str">
        <f>VLOOKUP(Table1[[#This Row],[Cost Center Code]],'Cost Center Group'!A:B,2,FALSE)</f>
        <v>Continuing Education</v>
      </c>
      <c r="D613" s="4">
        <v>847</v>
      </c>
      <c r="E613" s="79">
        <v>8471010</v>
      </c>
      <c r="F613" s="32" t="s">
        <v>367</v>
      </c>
      <c r="G613" s="4">
        <v>1</v>
      </c>
      <c r="H613" s="95">
        <v>425100</v>
      </c>
      <c r="I613" s="106" t="str">
        <f>IFERROR(VLOOKUP(Table1[[#This Row],[Account Code]],'Accoount Code Combination'!$D:$H,2,FALSE),"")</f>
        <v>Advertising</v>
      </c>
      <c r="J613" s="79">
        <v>8471010</v>
      </c>
      <c r="K613" s="4"/>
      <c r="L613" s="4" t="str">
        <f>IFERROR(VLOOKUP(Table1[[#This Row],[Future-1 Description]],'Other '!E601:$F610,2,FALSE),"")</f>
        <v/>
      </c>
      <c r="M613" s="32"/>
      <c r="N613" s="32"/>
      <c r="O613" s="32"/>
      <c r="P613" s="49">
        <v>0</v>
      </c>
      <c r="Q613" s="49">
        <v>37500</v>
      </c>
      <c r="R613" s="32"/>
      <c r="S613" s="4"/>
      <c r="T613" s="32"/>
      <c r="U613" s="32"/>
      <c r="V613" s="32"/>
      <c r="W613" s="32"/>
      <c r="X613" s="33"/>
      <c r="Y613" s="33"/>
      <c r="Z613" s="31">
        <f>Table1[[#This Row],[Quantity of measruing units]]*Table1[[#This Row],[Rate (expected)]]</f>
        <v>0</v>
      </c>
      <c r="AA613" s="31"/>
      <c r="AB613" s="31"/>
      <c r="AC613" s="34">
        <f>Table1[[#This Row],[Quantity (expected)]]*Table1[[#This Row],[Rate (expected)2]]*0.9</f>
        <v>0</v>
      </c>
      <c r="AD613" s="34">
        <f>Table1[[#This Row],[Quantity (expected)]]*Table1[[#This Row],[Rate (expected)2]]*0.8</f>
        <v>0</v>
      </c>
      <c r="AE613" s="34">
        <f>Table1[[#This Row],[Quantity (expected)]]*Table1[[#This Row],[Rate (expected)2]]*0.7</f>
        <v>0</v>
      </c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1">
        <f>SUM(Table1[[#This Row],[Jan-23]:[Dec-23]])</f>
        <v>0</v>
      </c>
      <c r="AV613" s="105"/>
      <c r="AW613" s="32"/>
      <c r="AX613" s="35"/>
    </row>
    <row r="614" spans="1:50" ht="26" x14ac:dyDescent="0.3">
      <c r="A614" s="30" t="str">
        <f>VLOOKUP(H614,'Accoount Code Combination'!$D:$L,8,FALSE)</f>
        <v>Communiction &amp; Marketing</v>
      </c>
      <c r="B614" s="31" t="str">
        <f>VLOOKUP(Table1[[#This Row],[Account Code]],'Accoount Code Combination'!$D:$L,9,FALSE)</f>
        <v>Events</v>
      </c>
      <c r="C614" s="4" t="str">
        <f>VLOOKUP(Table1[[#This Row],[Cost Center Code]],'Cost Center Group'!A:B,2,FALSE)</f>
        <v>Continuing Education</v>
      </c>
      <c r="D614" s="4">
        <v>847</v>
      </c>
      <c r="E614" s="79">
        <v>8471010</v>
      </c>
      <c r="F614" s="32" t="s">
        <v>367</v>
      </c>
      <c r="G614" s="4">
        <v>1</v>
      </c>
      <c r="H614" s="95">
        <v>425510</v>
      </c>
      <c r="I614" s="106" t="str">
        <f>IFERROR(VLOOKUP(Table1[[#This Row],[Account Code]],'Accoount Code Combination'!$D:$H,2,FALSE),"")</f>
        <v>Conferences, seminars and exhibitions and other events: - Local Events</v>
      </c>
      <c r="J614" s="79">
        <v>8471010</v>
      </c>
      <c r="K614" s="4"/>
      <c r="L614" s="4" t="str">
        <f>IFERROR(VLOOKUP(Table1[[#This Row],[Future-1 Description]],'Other '!E602:$F611,2,FALSE),"")</f>
        <v/>
      </c>
      <c r="M614" s="32"/>
      <c r="N614" s="32"/>
      <c r="O614" s="32"/>
      <c r="P614" s="49">
        <v>0</v>
      </c>
      <c r="Q614" s="49">
        <v>11250</v>
      </c>
      <c r="R614" s="32"/>
      <c r="S614" s="4"/>
      <c r="T614" s="32"/>
      <c r="U614" s="32"/>
      <c r="V614" s="32"/>
      <c r="W614" s="32"/>
      <c r="X614" s="33"/>
      <c r="Y614" s="33"/>
      <c r="Z614" s="31">
        <f>Table1[[#This Row],[Quantity of measruing units]]*Table1[[#This Row],[Rate (expected)]]</f>
        <v>0</v>
      </c>
      <c r="AA614" s="31"/>
      <c r="AB614" s="31"/>
      <c r="AC614" s="34">
        <f>Table1[[#This Row],[Quantity (expected)]]*Table1[[#This Row],[Rate (expected)2]]*0.9</f>
        <v>0</v>
      </c>
      <c r="AD614" s="34">
        <f>Table1[[#This Row],[Quantity (expected)]]*Table1[[#This Row],[Rate (expected)2]]*0.8</f>
        <v>0</v>
      </c>
      <c r="AE614" s="34">
        <f>Table1[[#This Row],[Quantity (expected)]]*Table1[[#This Row],[Rate (expected)2]]*0.7</f>
        <v>0</v>
      </c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1">
        <f>SUM(Table1[[#This Row],[Jan-23]:[Dec-23]])</f>
        <v>0</v>
      </c>
      <c r="AV614" s="105"/>
      <c r="AW614" s="32"/>
      <c r="AX614" s="35"/>
    </row>
    <row r="615" spans="1:50" ht="26" x14ac:dyDescent="0.3">
      <c r="A615" s="30" t="str">
        <f>VLOOKUP(H615,'Accoount Code Combination'!$D:$L,8,FALSE)</f>
        <v>Communiction &amp; Marketing</v>
      </c>
      <c r="B615" s="31" t="str">
        <f>VLOOKUP(Table1[[#This Row],[Account Code]],'Accoount Code Combination'!$D:$L,9,FALSE)</f>
        <v>No Applicable</v>
      </c>
      <c r="C615" s="4" t="str">
        <f>VLOOKUP(Table1[[#This Row],[Cost Center Code]],'Cost Center Group'!A:B,2,FALSE)</f>
        <v>Continuing Education</v>
      </c>
      <c r="D615" s="4">
        <v>847</v>
      </c>
      <c r="E615" s="79">
        <v>8471010</v>
      </c>
      <c r="F615" s="32" t="s">
        <v>367</v>
      </c>
      <c r="G615" s="4">
        <v>1</v>
      </c>
      <c r="H615" s="95">
        <v>425550</v>
      </c>
      <c r="I615" s="106" t="str">
        <f>IFERROR(VLOOKUP(Table1[[#This Row],[Account Code]],'Accoount Code Combination'!$D:$H,2,FALSE),"")</f>
        <v>Conferences, seminars and exhibitions and other events: - Overseas event</v>
      </c>
      <c r="J615" s="79">
        <v>8471010</v>
      </c>
      <c r="K615" s="4"/>
      <c r="L615" s="4" t="str">
        <f>IFERROR(VLOOKUP(Table1[[#This Row],[Future-1 Description]],'Other '!E603:$F612,2,FALSE),"")</f>
        <v/>
      </c>
      <c r="M615" s="32"/>
      <c r="N615" s="32"/>
      <c r="O615" s="32"/>
      <c r="P615" s="49">
        <v>0</v>
      </c>
      <c r="Q615" s="49">
        <v>21000</v>
      </c>
      <c r="R615" s="32"/>
      <c r="S615" s="4"/>
      <c r="T615" s="32"/>
      <c r="U615" s="32"/>
      <c r="V615" s="32"/>
      <c r="W615" s="32"/>
      <c r="X615" s="33"/>
      <c r="Y615" s="33"/>
      <c r="Z615" s="31">
        <f>Table1[[#This Row],[Quantity of measruing units]]*Table1[[#This Row],[Rate (expected)]]</f>
        <v>0</v>
      </c>
      <c r="AA615" s="31"/>
      <c r="AB615" s="31"/>
      <c r="AC615" s="34">
        <f>Table1[[#This Row],[Quantity (expected)]]*Table1[[#This Row],[Rate (expected)2]]*0.9</f>
        <v>0</v>
      </c>
      <c r="AD615" s="34">
        <f>Table1[[#This Row],[Quantity (expected)]]*Table1[[#This Row],[Rate (expected)2]]*0.8</f>
        <v>0</v>
      </c>
      <c r="AE615" s="34">
        <f>Table1[[#This Row],[Quantity (expected)]]*Table1[[#This Row],[Rate (expected)2]]*0.7</f>
        <v>0</v>
      </c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1">
        <f>SUM(Table1[[#This Row],[Jan-23]:[Dec-23]])</f>
        <v>0</v>
      </c>
      <c r="AV615" s="105"/>
      <c r="AW615" s="32"/>
      <c r="AX615" s="35"/>
    </row>
    <row r="616" spans="1:50" x14ac:dyDescent="0.3">
      <c r="A616" s="30" t="str">
        <f>VLOOKUP(H616,'Accoount Code Combination'!$D:$L,8,FALSE)</f>
        <v>Student</v>
      </c>
      <c r="B616" s="31" t="str">
        <f>VLOOKUP(Table1[[#This Row],[Account Code]],'Accoount Code Combination'!$D:$L,9,FALSE)</f>
        <v>No Applicable</v>
      </c>
      <c r="C616" s="4" t="str">
        <f>VLOOKUP(Table1[[#This Row],[Cost Center Code]],'Cost Center Group'!A:B,2,FALSE)</f>
        <v>Continuing Education</v>
      </c>
      <c r="D616" s="4">
        <v>847</v>
      </c>
      <c r="E616" s="79">
        <v>8471010</v>
      </c>
      <c r="F616" s="32" t="s">
        <v>367</v>
      </c>
      <c r="G616" s="4">
        <v>1</v>
      </c>
      <c r="H616" s="95">
        <v>425720</v>
      </c>
      <c r="I616" s="106" t="str">
        <f>IFERROR(VLOOKUP(Table1[[#This Row],[Account Code]],'Accoount Code Combination'!$D:$H,2,FALSE),"")</f>
        <v>Education-Outsourced training service</v>
      </c>
      <c r="J616" s="79">
        <v>8471010</v>
      </c>
      <c r="K616" s="4"/>
      <c r="L616" s="4" t="str">
        <f>IFERROR(VLOOKUP(Table1[[#This Row],[Future-1 Description]],'Other '!E604:$F613,2,FALSE),"")</f>
        <v/>
      </c>
      <c r="M616" s="32"/>
      <c r="N616" s="32"/>
      <c r="O616" s="32"/>
      <c r="P616" s="49">
        <v>0</v>
      </c>
      <c r="Q616" s="49">
        <v>24000</v>
      </c>
      <c r="R616" s="32"/>
      <c r="S616" s="4"/>
      <c r="T616" s="32"/>
      <c r="U616" s="32"/>
      <c r="V616" s="32"/>
      <c r="W616" s="32"/>
      <c r="X616" s="33"/>
      <c r="Y616" s="33"/>
      <c r="Z616" s="31">
        <f>Table1[[#This Row],[Quantity of measruing units]]*Table1[[#This Row],[Rate (expected)]]</f>
        <v>0</v>
      </c>
      <c r="AA616" s="31"/>
      <c r="AB616" s="31"/>
      <c r="AC616" s="34">
        <f>Table1[[#This Row],[Quantity (expected)]]*Table1[[#This Row],[Rate (expected)2]]*0.9</f>
        <v>0</v>
      </c>
      <c r="AD616" s="34">
        <f>Table1[[#This Row],[Quantity (expected)]]*Table1[[#This Row],[Rate (expected)2]]*0.8</f>
        <v>0</v>
      </c>
      <c r="AE616" s="34">
        <f>Table1[[#This Row],[Quantity (expected)]]*Table1[[#This Row],[Rate (expected)2]]*0.7</f>
        <v>0</v>
      </c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1">
        <f>SUM(Table1[[#This Row],[Jan-23]:[Dec-23]])</f>
        <v>0</v>
      </c>
      <c r="AV616" s="105"/>
      <c r="AW616" s="32"/>
      <c r="AX616" s="35"/>
    </row>
    <row r="617" spans="1:50" x14ac:dyDescent="0.3">
      <c r="A617" s="30" t="str">
        <f>VLOOKUP(H617,'Accoount Code Combination'!$D:$L,8,FALSE)</f>
        <v>Other support</v>
      </c>
      <c r="B617" s="31" t="str">
        <f>VLOOKUP(Table1[[#This Row],[Account Code]],'Accoount Code Combination'!$D:$L,9,FALSE)</f>
        <v>No Applicable</v>
      </c>
      <c r="C617" s="4" t="str">
        <f>VLOOKUP(Table1[[#This Row],[Cost Center Code]],'Cost Center Group'!A:B,2,FALSE)</f>
        <v>Continuing Education</v>
      </c>
      <c r="D617" s="4">
        <v>847</v>
      </c>
      <c r="E617" s="79">
        <v>8471010</v>
      </c>
      <c r="F617" s="32" t="s">
        <v>367</v>
      </c>
      <c r="G617" s="4">
        <v>1</v>
      </c>
      <c r="H617" s="95">
        <v>425900</v>
      </c>
      <c r="I617" s="106" t="str">
        <f>IFERROR(VLOOKUP(Table1[[#This Row],[Account Code]],'Accoount Code Combination'!$D:$H,2,FALSE),"")</f>
        <v>Entertainment and hospitality</v>
      </c>
      <c r="J617" s="79">
        <v>8471010</v>
      </c>
      <c r="K617" s="4"/>
      <c r="L617" s="4" t="str">
        <f>IFERROR(VLOOKUP(Table1[[#This Row],[Future-1 Description]],'Other '!E605:$F614,2,FALSE),"")</f>
        <v/>
      </c>
      <c r="M617" s="32"/>
      <c r="N617" s="32"/>
      <c r="O617" s="32"/>
      <c r="P617" s="49">
        <v>0</v>
      </c>
      <c r="Q617" s="49">
        <v>37500</v>
      </c>
      <c r="R617" s="32"/>
      <c r="S617" s="4"/>
      <c r="T617" s="32"/>
      <c r="U617" s="32"/>
      <c r="V617" s="32"/>
      <c r="W617" s="32"/>
      <c r="X617" s="33"/>
      <c r="Y617" s="33"/>
      <c r="Z617" s="31">
        <f>Table1[[#This Row],[Quantity of measruing units]]*Table1[[#This Row],[Rate (expected)]]</f>
        <v>0</v>
      </c>
      <c r="AA617" s="31"/>
      <c r="AB617" s="31"/>
      <c r="AC617" s="34">
        <f>Table1[[#This Row],[Quantity (expected)]]*Table1[[#This Row],[Rate (expected)2]]*0.9</f>
        <v>0</v>
      </c>
      <c r="AD617" s="34">
        <f>Table1[[#This Row],[Quantity (expected)]]*Table1[[#This Row],[Rate (expected)2]]*0.8</f>
        <v>0</v>
      </c>
      <c r="AE617" s="34">
        <f>Table1[[#This Row],[Quantity (expected)]]*Table1[[#This Row],[Rate (expected)2]]*0.7</f>
        <v>0</v>
      </c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1">
        <f>SUM(Table1[[#This Row],[Jan-23]:[Dec-23]])</f>
        <v>0</v>
      </c>
      <c r="AV617" s="105"/>
      <c r="AW617" s="32"/>
      <c r="AX617" s="35"/>
    </row>
    <row r="618" spans="1:50" x14ac:dyDescent="0.3">
      <c r="A618" s="30" t="str">
        <f>VLOOKUP(H618,'Accoount Code Combination'!$D:$L,8,FALSE)</f>
        <v>Other support</v>
      </c>
      <c r="B618" s="31" t="str">
        <f>VLOOKUP(Table1[[#This Row],[Account Code]],'Accoount Code Combination'!$D:$L,9,FALSE)</f>
        <v>No Applicable</v>
      </c>
      <c r="C618" s="4" t="str">
        <f>VLOOKUP(Table1[[#This Row],[Cost Center Code]],'Cost Center Group'!A:B,2,FALSE)</f>
        <v>Continuing Education</v>
      </c>
      <c r="D618" s="4">
        <v>847</v>
      </c>
      <c r="E618" s="79">
        <v>8471010</v>
      </c>
      <c r="F618" s="32" t="s">
        <v>367</v>
      </c>
      <c r="G618" s="4">
        <v>1</v>
      </c>
      <c r="H618" s="95">
        <v>436110</v>
      </c>
      <c r="I618" s="106" t="str">
        <f>IFERROR(VLOOKUP(Table1[[#This Row],[Account Code]],'Accoount Code Combination'!$D:$H,2,FALSE),"")</f>
        <v>Printing supplies</v>
      </c>
      <c r="J618" s="79">
        <v>8471010</v>
      </c>
      <c r="K618" s="4"/>
      <c r="L618" s="4" t="str">
        <f>IFERROR(VLOOKUP(Table1[[#This Row],[Future-1 Description]],'Other '!E606:$F615,2,FALSE),"")</f>
        <v/>
      </c>
      <c r="M618" s="32"/>
      <c r="N618" s="32"/>
      <c r="O618" s="32"/>
      <c r="P618" s="49">
        <v>0</v>
      </c>
      <c r="Q618" s="49">
        <v>57750</v>
      </c>
      <c r="R618" s="32"/>
      <c r="S618" s="4"/>
      <c r="T618" s="32"/>
      <c r="U618" s="32"/>
      <c r="V618" s="32"/>
      <c r="W618" s="32"/>
      <c r="X618" s="33"/>
      <c r="Y618" s="33"/>
      <c r="Z618" s="31">
        <f>Table1[[#This Row],[Quantity of measruing units]]*Table1[[#This Row],[Rate (expected)]]</f>
        <v>0</v>
      </c>
      <c r="AA618" s="31"/>
      <c r="AB618" s="31"/>
      <c r="AC618" s="34">
        <f>Table1[[#This Row],[Quantity (expected)]]*Table1[[#This Row],[Rate (expected)2]]*0.9</f>
        <v>0</v>
      </c>
      <c r="AD618" s="34">
        <f>Table1[[#This Row],[Quantity (expected)]]*Table1[[#This Row],[Rate (expected)2]]*0.8</f>
        <v>0</v>
      </c>
      <c r="AE618" s="34">
        <f>Table1[[#This Row],[Quantity (expected)]]*Table1[[#This Row],[Rate (expected)2]]*0.7</f>
        <v>0</v>
      </c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1">
        <f>SUM(Table1[[#This Row],[Jan-23]:[Dec-23]])</f>
        <v>0</v>
      </c>
      <c r="AV618" s="105"/>
      <c r="AW618" s="32"/>
      <c r="AX618" s="35"/>
    </row>
    <row r="619" spans="1:50" x14ac:dyDescent="0.3">
      <c r="A619" s="30" t="str">
        <f>VLOOKUP(H619,'Accoount Code Combination'!$D:$L,8,FALSE)</f>
        <v>Other support</v>
      </c>
      <c r="B619" s="31" t="str">
        <f>VLOOKUP(Table1[[#This Row],[Account Code]],'Accoount Code Combination'!$D:$L,9,FALSE)</f>
        <v>No Applicable</v>
      </c>
      <c r="C619" s="4" t="str">
        <f>VLOOKUP(Table1[[#This Row],[Cost Center Code]],'Cost Center Group'!A:B,2,FALSE)</f>
        <v>Continuing Education</v>
      </c>
      <c r="D619" s="4">
        <v>847</v>
      </c>
      <c r="E619" s="79">
        <v>8471010</v>
      </c>
      <c r="F619" s="32" t="s">
        <v>367</v>
      </c>
      <c r="G619" s="4">
        <v>1</v>
      </c>
      <c r="H619" s="95">
        <v>436120</v>
      </c>
      <c r="I619" s="106" t="str">
        <f>IFERROR(VLOOKUP(Table1[[#This Row],[Account Code]],'Accoount Code Combination'!$D:$H,2,FALSE),"")</f>
        <v>Stationery</v>
      </c>
      <c r="J619" s="79">
        <v>8471010</v>
      </c>
      <c r="K619" s="4"/>
      <c r="L619" s="4" t="str">
        <f>IFERROR(VLOOKUP(Table1[[#This Row],[Future-1 Description]],'Other '!E607:$F616,2,FALSE),"")</f>
        <v/>
      </c>
      <c r="M619" s="32"/>
      <c r="N619" s="32"/>
      <c r="O619" s="32"/>
      <c r="P619" s="49">
        <v>0</v>
      </c>
      <c r="Q619" s="49">
        <v>3500</v>
      </c>
      <c r="R619" s="32"/>
      <c r="S619" s="4"/>
      <c r="T619" s="32"/>
      <c r="U619" s="32"/>
      <c r="V619" s="32"/>
      <c r="W619" s="32"/>
      <c r="X619" s="33"/>
      <c r="Y619" s="33"/>
      <c r="Z619" s="31">
        <f>Table1[[#This Row],[Quantity of measruing units]]*Table1[[#This Row],[Rate (expected)]]</f>
        <v>0</v>
      </c>
      <c r="AA619" s="31"/>
      <c r="AB619" s="31"/>
      <c r="AC619" s="34">
        <f>Table1[[#This Row],[Quantity (expected)]]*Table1[[#This Row],[Rate (expected)2]]*0.9</f>
        <v>0</v>
      </c>
      <c r="AD619" s="34">
        <f>Table1[[#This Row],[Quantity (expected)]]*Table1[[#This Row],[Rate (expected)2]]*0.8</f>
        <v>0</v>
      </c>
      <c r="AE619" s="34">
        <f>Table1[[#This Row],[Quantity (expected)]]*Table1[[#This Row],[Rate (expected)2]]*0.7</f>
        <v>0</v>
      </c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1">
        <f>SUM(Table1[[#This Row],[Jan-23]:[Dec-23]])</f>
        <v>0</v>
      </c>
      <c r="AV619" s="105"/>
      <c r="AW619" s="32"/>
      <c r="AX619" s="35"/>
    </row>
    <row r="620" spans="1:50" x14ac:dyDescent="0.3">
      <c r="A620" s="30" t="str">
        <f>VLOOKUP(H620,'Accoount Code Combination'!$D:$L,8,FALSE)</f>
        <v>Research</v>
      </c>
      <c r="B620" s="31" t="str">
        <f>VLOOKUP(Table1[[#This Row],[Account Code]],'Accoount Code Combination'!$D:$L,9,FALSE)</f>
        <v>No Applicable</v>
      </c>
      <c r="C620" s="4" t="str">
        <f>VLOOKUP(Table1[[#This Row],[Cost Center Code]],'Cost Center Group'!A:B,2,FALSE)</f>
        <v>Senior Vice President, Research Office</v>
      </c>
      <c r="D620" s="4">
        <v>847</v>
      </c>
      <c r="E620" s="79">
        <v>8471121</v>
      </c>
      <c r="F620" s="32" t="s">
        <v>1370</v>
      </c>
      <c r="G620" s="4">
        <v>1</v>
      </c>
      <c r="H620" s="95">
        <v>435523</v>
      </c>
      <c r="I620" s="106" t="str">
        <f>IFERROR(VLOOKUP(Table1[[#This Row],[Account Code]],'Accoount Code Combination'!$D:$H,2,FALSE),"")</f>
        <v>Scientific</v>
      </c>
      <c r="J620" s="79">
        <v>8471121</v>
      </c>
      <c r="K620" s="4"/>
      <c r="L620" s="4" t="str">
        <f>IFERROR(VLOOKUP(Table1[[#This Row],[Future-1 Description]],'Other '!E608:$F617,2,FALSE),"")</f>
        <v/>
      </c>
      <c r="M620" s="32"/>
      <c r="N620" s="32"/>
      <c r="O620" s="32"/>
      <c r="P620" s="49">
        <v>0</v>
      </c>
      <c r="Q620" s="49">
        <v>0</v>
      </c>
      <c r="R620" s="32"/>
      <c r="S620" s="4"/>
      <c r="T620" s="32"/>
      <c r="U620" s="32"/>
      <c r="V620" s="32"/>
      <c r="W620" s="32"/>
      <c r="X620" s="33"/>
      <c r="Y620" s="33"/>
      <c r="Z620" s="31">
        <f>Table1[[#This Row],[Quantity of measruing units]]*Table1[[#This Row],[Rate (expected)]]</f>
        <v>0</v>
      </c>
      <c r="AA620" s="31"/>
      <c r="AB620" s="31"/>
      <c r="AC620" s="34">
        <f>Table1[[#This Row],[Quantity (expected)]]*Table1[[#This Row],[Rate (expected)2]]*0.9</f>
        <v>0</v>
      </c>
      <c r="AD620" s="34">
        <f>Table1[[#This Row],[Quantity (expected)]]*Table1[[#This Row],[Rate (expected)2]]*0.8</f>
        <v>0</v>
      </c>
      <c r="AE620" s="34">
        <f>Table1[[#This Row],[Quantity (expected)]]*Table1[[#This Row],[Rate (expected)2]]*0.7</f>
        <v>0</v>
      </c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1">
        <f>SUM(Table1[[#This Row],[Jan-23]:[Dec-23]])</f>
        <v>0</v>
      </c>
      <c r="AV620" s="105"/>
      <c r="AW620" s="32"/>
      <c r="AX620" s="35"/>
    </row>
    <row r="621" spans="1:50" ht="26" x14ac:dyDescent="0.3">
      <c r="A621" s="30" t="str">
        <f>VLOOKUP(H621,'Accoount Code Combination'!$D:$L,8,FALSE)</f>
        <v>Academic</v>
      </c>
      <c r="B621" s="31" t="str">
        <f>VLOOKUP(Table1[[#This Row],[Account Code]],'Accoount Code Combination'!$D:$L,9,FALSE)</f>
        <v>No Applicable</v>
      </c>
      <c r="C621" s="4" t="str">
        <f>VLOOKUP(Table1[[#This Row],[Cost Center Code]],'Cost Center Group'!A:B,2,FALSE)</f>
        <v>Senior Vice President, Research Office</v>
      </c>
      <c r="D621" s="4">
        <v>847</v>
      </c>
      <c r="E621" s="79">
        <v>8471140</v>
      </c>
      <c r="F621" s="32" t="s">
        <v>339</v>
      </c>
      <c r="G621" s="4">
        <v>1</v>
      </c>
      <c r="H621" s="95">
        <v>420570</v>
      </c>
      <c r="I621" s="106" t="str">
        <f>IFERROR(VLOOKUP(Table1[[#This Row],[Account Code]],'Accoount Code Combination'!$D:$H,2,FALSE),"")</f>
        <v>Academic Collaborative Partnership Services</v>
      </c>
      <c r="J621" s="79">
        <v>8471140</v>
      </c>
      <c r="K621" s="4"/>
      <c r="L621" s="4" t="str">
        <f>IFERROR(VLOOKUP(Table1[[#This Row],[Future-1 Description]],'Other '!E609:$F618,2,FALSE),"")</f>
        <v/>
      </c>
      <c r="M621" s="32"/>
      <c r="N621" s="32"/>
      <c r="O621" s="32"/>
      <c r="P621" s="49">
        <v>0</v>
      </c>
      <c r="Q621" s="49">
        <v>400000</v>
      </c>
      <c r="R621" s="32"/>
      <c r="S621" s="4"/>
      <c r="T621" s="32"/>
      <c r="U621" s="32"/>
      <c r="V621" s="32"/>
      <c r="W621" s="32"/>
      <c r="X621" s="33"/>
      <c r="Y621" s="33"/>
      <c r="Z621" s="31">
        <f>Table1[[#This Row],[Quantity of measruing units]]*Table1[[#This Row],[Rate (expected)]]</f>
        <v>0</v>
      </c>
      <c r="AA621" s="31"/>
      <c r="AB621" s="31"/>
      <c r="AC621" s="34">
        <f>Table1[[#This Row],[Quantity (expected)]]*Table1[[#This Row],[Rate (expected)2]]*0.9</f>
        <v>0</v>
      </c>
      <c r="AD621" s="34">
        <f>Table1[[#This Row],[Quantity (expected)]]*Table1[[#This Row],[Rate (expected)2]]*0.8</f>
        <v>0</v>
      </c>
      <c r="AE621" s="34">
        <f>Table1[[#This Row],[Quantity (expected)]]*Table1[[#This Row],[Rate (expected)2]]*0.7</f>
        <v>0</v>
      </c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1">
        <f>SUM(Table1[[#This Row],[Jan-23]:[Dec-23]])</f>
        <v>0</v>
      </c>
      <c r="AV621" s="105"/>
      <c r="AW621" s="32"/>
      <c r="AX621" s="35"/>
    </row>
    <row r="622" spans="1:50" x14ac:dyDescent="0.3">
      <c r="A622" s="30" t="str">
        <f>VLOOKUP(H622,'Accoount Code Combination'!$D:$L,8,FALSE)</f>
        <v>IT</v>
      </c>
      <c r="B622" s="31" t="str">
        <f>VLOOKUP(Table1[[#This Row],[Account Code]],'Accoount Code Combination'!$D:$L,9,FALSE)</f>
        <v>Software Operating</v>
      </c>
      <c r="C622" s="4" t="str">
        <f>VLOOKUP(Table1[[#This Row],[Cost Center Code]],'Cost Center Group'!A:B,2,FALSE)</f>
        <v>Senior Vice President, Research Office</v>
      </c>
      <c r="D622" s="4">
        <v>847</v>
      </c>
      <c r="E622" s="79">
        <v>8471140</v>
      </c>
      <c r="F622" s="32" t="s">
        <v>339</v>
      </c>
      <c r="G622" s="4">
        <v>1</v>
      </c>
      <c r="H622" s="95">
        <v>426610</v>
      </c>
      <c r="I622" s="106" t="str">
        <f>IFERROR(VLOOKUP(Table1[[#This Row],[Account Code]],'Accoount Code Combination'!$D:$H,2,FALSE),"")</f>
        <v>Computer software licenses</v>
      </c>
      <c r="J622" s="79">
        <v>8471140</v>
      </c>
      <c r="K622" s="4"/>
      <c r="L622" s="4" t="str">
        <f>IFERROR(VLOOKUP(Table1[[#This Row],[Future-1 Description]],'Other '!E610:$F619,2,FALSE),"")</f>
        <v/>
      </c>
      <c r="M622" s="32"/>
      <c r="N622" s="32"/>
      <c r="O622" s="32"/>
      <c r="P622" s="49">
        <v>0</v>
      </c>
      <c r="Q622" s="49">
        <v>300000</v>
      </c>
      <c r="R622" s="32"/>
      <c r="S622" s="4"/>
      <c r="T622" s="32"/>
      <c r="U622" s="32"/>
      <c r="V622" s="32"/>
      <c r="W622" s="32"/>
      <c r="X622" s="33"/>
      <c r="Y622" s="33"/>
      <c r="Z622" s="31">
        <f>Table1[[#This Row],[Quantity of measruing units]]*Table1[[#This Row],[Rate (expected)]]</f>
        <v>0</v>
      </c>
      <c r="AA622" s="31"/>
      <c r="AB622" s="31"/>
      <c r="AC622" s="34">
        <f>Table1[[#This Row],[Quantity (expected)]]*Table1[[#This Row],[Rate (expected)2]]*0.9</f>
        <v>0</v>
      </c>
      <c r="AD622" s="34">
        <f>Table1[[#This Row],[Quantity (expected)]]*Table1[[#This Row],[Rate (expected)2]]*0.8</f>
        <v>0</v>
      </c>
      <c r="AE622" s="34">
        <f>Table1[[#This Row],[Quantity (expected)]]*Table1[[#This Row],[Rate (expected)2]]*0.7</f>
        <v>0</v>
      </c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1">
        <f>SUM(Table1[[#This Row],[Jan-23]:[Dec-23]])</f>
        <v>0</v>
      </c>
      <c r="AV622" s="105"/>
      <c r="AW622" s="32"/>
      <c r="AX622" s="35"/>
    </row>
    <row r="623" spans="1:50" x14ac:dyDescent="0.3">
      <c r="A623" s="30" t="str">
        <f>VLOOKUP(H623,'Accoount Code Combination'!$D:$L,8,FALSE)</f>
        <v>Research</v>
      </c>
      <c r="B623" s="31" t="str">
        <f>VLOOKUP(Table1[[#This Row],[Account Code]],'Accoount Code Combination'!$D:$L,9,FALSE)</f>
        <v>No Applicable</v>
      </c>
      <c r="C623" s="4" t="str">
        <f>VLOOKUP(Table1[[#This Row],[Cost Center Code]],'Cost Center Group'!A:B,2,FALSE)</f>
        <v>Senior Vice President, Research Office</v>
      </c>
      <c r="D623" s="4">
        <v>847</v>
      </c>
      <c r="E623" s="79">
        <v>8471140</v>
      </c>
      <c r="F623" s="32" t="s">
        <v>339</v>
      </c>
      <c r="G623" s="4">
        <v>1</v>
      </c>
      <c r="H623" s="95">
        <v>435523</v>
      </c>
      <c r="I623" s="106" t="str">
        <f>IFERROR(VLOOKUP(Table1[[#This Row],[Account Code]],'Accoount Code Combination'!$D:$H,2,FALSE),"")</f>
        <v>Scientific</v>
      </c>
      <c r="J623" s="79">
        <v>8471140</v>
      </c>
      <c r="K623" s="4"/>
      <c r="L623" s="4" t="str">
        <f>IFERROR(VLOOKUP(Table1[[#This Row],[Future-1 Description]],'Other '!E611:$F620,2,FALSE),"")</f>
        <v/>
      </c>
      <c r="M623" s="32"/>
      <c r="N623" s="32"/>
      <c r="O623" s="32"/>
      <c r="P623" s="49">
        <v>0</v>
      </c>
      <c r="Q623" s="49">
        <v>95410011</v>
      </c>
      <c r="R623" s="32"/>
      <c r="S623" s="4"/>
      <c r="T623" s="32"/>
      <c r="U623" s="32"/>
      <c r="V623" s="32"/>
      <c r="W623" s="32"/>
      <c r="X623" s="33"/>
      <c r="Y623" s="33"/>
      <c r="Z623" s="31">
        <f>Table1[[#This Row],[Quantity of measruing units]]*Table1[[#This Row],[Rate (expected)]]</f>
        <v>0</v>
      </c>
      <c r="AA623" s="31"/>
      <c r="AB623" s="31"/>
      <c r="AC623" s="34">
        <f>Table1[[#This Row],[Quantity (expected)]]*Table1[[#This Row],[Rate (expected)2]]*0.9</f>
        <v>0</v>
      </c>
      <c r="AD623" s="34">
        <f>Table1[[#This Row],[Quantity (expected)]]*Table1[[#This Row],[Rate (expected)2]]*0.8</f>
        <v>0</v>
      </c>
      <c r="AE623" s="34">
        <f>Table1[[#This Row],[Quantity (expected)]]*Table1[[#This Row],[Rate (expected)2]]*0.7</f>
        <v>0</v>
      </c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1">
        <f>SUM(Table1[[#This Row],[Jan-23]:[Dec-23]])</f>
        <v>0</v>
      </c>
      <c r="AV623" s="105"/>
      <c r="AW623" s="32"/>
      <c r="AX623" s="35"/>
    </row>
    <row r="624" spans="1:50" x14ac:dyDescent="0.3">
      <c r="A624" s="30">
        <f>VLOOKUP(H624,'Accoount Code Combination'!$D:$L,8,FALSE)</f>
        <v>0</v>
      </c>
      <c r="B624" s="31" t="str">
        <f>VLOOKUP(Table1[[#This Row],[Account Code]],'Accoount Code Combination'!$D:$L,9,FALSE)</f>
        <v>No Applicable</v>
      </c>
      <c r="C624" s="4" t="str">
        <f>VLOOKUP(Table1[[#This Row],[Cost Center Code]],'Cost Center Group'!A:B,2,FALSE)</f>
        <v>Senior Vice President, Research Office</v>
      </c>
      <c r="D624" s="4">
        <v>847</v>
      </c>
      <c r="E624" s="79">
        <v>8471140</v>
      </c>
      <c r="F624" s="32" t="s">
        <v>339</v>
      </c>
      <c r="G624" s="4">
        <v>1</v>
      </c>
      <c r="H624" s="95">
        <v>492316</v>
      </c>
      <c r="I624" s="106" t="str">
        <f>IFERROR(VLOOKUP(Table1[[#This Row],[Account Code]],'Accoount Code Combination'!$D:$H,2,FALSE),"")</f>
        <v>Laboratory equipment</v>
      </c>
      <c r="J624" s="79">
        <v>8471140</v>
      </c>
      <c r="K624" s="4"/>
      <c r="L624" s="4" t="str">
        <f>IFERROR(VLOOKUP(Table1[[#This Row],[Future-1 Description]],'Other '!E612:$F621,2,FALSE),"")</f>
        <v/>
      </c>
      <c r="M624" s="32"/>
      <c r="N624" s="32"/>
      <c r="O624" s="32"/>
      <c r="P624" s="49">
        <v>0</v>
      </c>
      <c r="Q624" s="49">
        <v>1606304</v>
      </c>
      <c r="R624" s="32"/>
      <c r="S624" s="4"/>
      <c r="T624" s="32"/>
      <c r="U624" s="32"/>
      <c r="V624" s="32"/>
      <c r="W624" s="32"/>
      <c r="X624" s="33"/>
      <c r="Y624" s="33"/>
      <c r="Z624" s="31">
        <f>Table1[[#This Row],[Quantity of measruing units]]*Table1[[#This Row],[Rate (expected)]]</f>
        <v>0</v>
      </c>
      <c r="AA624" s="31"/>
      <c r="AB624" s="31"/>
      <c r="AC624" s="34">
        <f>Table1[[#This Row],[Quantity (expected)]]*Table1[[#This Row],[Rate (expected)2]]*0.9</f>
        <v>0</v>
      </c>
      <c r="AD624" s="34">
        <f>Table1[[#This Row],[Quantity (expected)]]*Table1[[#This Row],[Rate (expected)2]]*0.8</f>
        <v>0</v>
      </c>
      <c r="AE624" s="34">
        <f>Table1[[#This Row],[Quantity (expected)]]*Table1[[#This Row],[Rate (expected)2]]*0.7</f>
        <v>0</v>
      </c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1">
        <f>SUM(Table1[[#This Row],[Jan-23]:[Dec-23]])</f>
        <v>0</v>
      </c>
      <c r="AV624" s="105"/>
      <c r="AW624" s="32"/>
      <c r="AX624" s="35"/>
    </row>
    <row r="625" spans="1:50" x14ac:dyDescent="0.3">
      <c r="A625" s="30">
        <f>VLOOKUP(H625,'Accoount Code Combination'!$D:$L,8,FALSE)</f>
        <v>0</v>
      </c>
      <c r="B625" s="31" t="str">
        <f>VLOOKUP(Table1[[#This Row],[Account Code]],'Accoount Code Combination'!$D:$L,9,FALSE)</f>
        <v>Building Improvements</v>
      </c>
      <c r="C625" s="4" t="str">
        <f>VLOOKUP(Table1[[#This Row],[Cost Center Code]],'Cost Center Group'!A:B,2,FALSE)</f>
        <v>Senior Vice President, Research Office</v>
      </c>
      <c r="D625" s="4">
        <v>847</v>
      </c>
      <c r="E625" s="79">
        <v>8471160</v>
      </c>
      <c r="F625" s="32" t="s">
        <v>281</v>
      </c>
      <c r="G625" s="4">
        <v>1</v>
      </c>
      <c r="H625" s="95">
        <v>492200</v>
      </c>
      <c r="I625" s="106" t="str">
        <f>IFERROR(VLOOKUP(Table1[[#This Row],[Account Code]],'Accoount Code Combination'!$D:$H,2,FALSE),"")</f>
        <v>Capital expense - Buildings</v>
      </c>
      <c r="J625" s="79">
        <v>8471160</v>
      </c>
      <c r="K625" s="4"/>
      <c r="L625" s="4" t="str">
        <f>IFERROR(VLOOKUP(Table1[[#This Row],[Future-1 Description]],'Other '!E613:$F622,2,FALSE),"")</f>
        <v/>
      </c>
      <c r="M625" s="32"/>
      <c r="N625" s="32"/>
      <c r="O625" s="32"/>
      <c r="P625" s="49">
        <v>0</v>
      </c>
      <c r="Q625" s="49">
        <v>5600000</v>
      </c>
      <c r="R625" s="32"/>
      <c r="S625" s="4"/>
      <c r="T625" s="32"/>
      <c r="U625" s="32"/>
      <c r="V625" s="32"/>
      <c r="W625" s="32"/>
      <c r="X625" s="33"/>
      <c r="Y625" s="33"/>
      <c r="Z625" s="31">
        <f>Table1[[#This Row],[Quantity of measruing units]]*Table1[[#This Row],[Rate (expected)]]</f>
        <v>0</v>
      </c>
      <c r="AA625" s="31"/>
      <c r="AB625" s="31"/>
      <c r="AC625" s="34">
        <f>Table1[[#This Row],[Quantity (expected)]]*Table1[[#This Row],[Rate (expected)2]]*0.9</f>
        <v>0</v>
      </c>
      <c r="AD625" s="34">
        <f>Table1[[#This Row],[Quantity (expected)]]*Table1[[#This Row],[Rate (expected)2]]*0.8</f>
        <v>0</v>
      </c>
      <c r="AE625" s="34">
        <f>Table1[[#This Row],[Quantity (expected)]]*Table1[[#This Row],[Rate (expected)2]]*0.7</f>
        <v>0</v>
      </c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1">
        <f>SUM(Table1[[#This Row],[Jan-23]:[Dec-23]])</f>
        <v>0</v>
      </c>
      <c r="AV625" s="105"/>
      <c r="AW625" s="32"/>
      <c r="AX625" s="35"/>
    </row>
    <row r="626" spans="1:50" x14ac:dyDescent="0.3">
      <c r="A626" s="30">
        <f>VLOOKUP(H626,'Accoount Code Combination'!$D:$L,8,FALSE)</f>
        <v>0</v>
      </c>
      <c r="B626" s="31" t="str">
        <f>VLOOKUP(Table1[[#This Row],[Account Code]],'Accoount Code Combination'!$D:$L,9,FALSE)</f>
        <v>No Applicable</v>
      </c>
      <c r="C626" s="4" t="str">
        <f>VLOOKUP(Table1[[#This Row],[Cost Center Code]],'Cost Center Group'!A:B,2,FALSE)</f>
        <v>Senior Vice President, Research Office</v>
      </c>
      <c r="D626" s="4">
        <v>847</v>
      </c>
      <c r="E626" s="79">
        <v>8471170</v>
      </c>
      <c r="F626" s="32" t="s">
        <v>203</v>
      </c>
      <c r="G626" s="4">
        <v>1</v>
      </c>
      <c r="H626" s="95">
        <v>492310</v>
      </c>
      <c r="I626" s="106" t="str">
        <f>IFERROR(VLOOKUP(Table1[[#This Row],[Account Code]],'Accoount Code Combination'!$D:$H,2,FALSE),"")</f>
        <v>Hardware &amp; peripherals</v>
      </c>
      <c r="J626" s="79">
        <v>8471170</v>
      </c>
      <c r="K626" s="4"/>
      <c r="L626" s="4" t="str">
        <f>IFERROR(VLOOKUP(Table1[[#This Row],[Future-1 Description]],'Other '!E614:$F623,2,FALSE),"")</f>
        <v/>
      </c>
      <c r="M626" s="32"/>
      <c r="N626" s="32"/>
      <c r="O626" s="32"/>
      <c r="P626" s="49">
        <v>0</v>
      </c>
      <c r="Q626" s="49">
        <v>10000</v>
      </c>
      <c r="R626" s="32"/>
      <c r="S626" s="4"/>
      <c r="T626" s="32"/>
      <c r="U626" s="32"/>
      <c r="V626" s="32"/>
      <c r="W626" s="32"/>
      <c r="X626" s="33"/>
      <c r="Y626" s="33"/>
      <c r="Z626" s="31">
        <f>Table1[[#This Row],[Quantity of measruing units]]*Table1[[#This Row],[Rate (expected)]]</f>
        <v>0</v>
      </c>
      <c r="AA626" s="31"/>
      <c r="AB626" s="31"/>
      <c r="AC626" s="34">
        <f>Table1[[#This Row],[Quantity (expected)]]*Table1[[#This Row],[Rate (expected)2]]*0.9</f>
        <v>0</v>
      </c>
      <c r="AD626" s="34">
        <f>Table1[[#This Row],[Quantity (expected)]]*Table1[[#This Row],[Rate (expected)2]]*0.8</f>
        <v>0</v>
      </c>
      <c r="AE626" s="34">
        <f>Table1[[#This Row],[Quantity (expected)]]*Table1[[#This Row],[Rate (expected)2]]*0.7</f>
        <v>0</v>
      </c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1">
        <f>SUM(Table1[[#This Row],[Jan-23]:[Dec-23]])</f>
        <v>0</v>
      </c>
      <c r="AV626" s="105"/>
      <c r="AW626" s="32"/>
      <c r="AX626" s="35"/>
    </row>
    <row r="627" spans="1:50" x14ac:dyDescent="0.3">
      <c r="A627" s="30">
        <f>VLOOKUP(H627,'Accoount Code Combination'!$D:$L,8,FALSE)</f>
        <v>0</v>
      </c>
      <c r="B627" s="31" t="str">
        <f>VLOOKUP(Table1[[#This Row],[Account Code]],'Accoount Code Combination'!$D:$L,9,FALSE)</f>
        <v>No Applicable</v>
      </c>
      <c r="C627" s="4" t="str">
        <f>VLOOKUP(Table1[[#This Row],[Cost Center Code]],'Cost Center Group'!A:B,2,FALSE)</f>
        <v>Senior Vice President, Research Office</v>
      </c>
      <c r="D627" s="4">
        <v>847</v>
      </c>
      <c r="E627" s="79">
        <v>8471170</v>
      </c>
      <c r="F627" s="32" t="s">
        <v>203</v>
      </c>
      <c r="G627" s="4">
        <v>1</v>
      </c>
      <c r="H627" s="95">
        <v>495110</v>
      </c>
      <c r="I627" s="106" t="str">
        <f>IFERROR(VLOOKUP(Table1[[#This Row],[Account Code]],'Accoount Code Combination'!$D:$H,2,FALSE),"")</f>
        <v>Computer software</v>
      </c>
      <c r="J627" s="79">
        <v>8471170</v>
      </c>
      <c r="K627" s="4"/>
      <c r="L627" s="4" t="str">
        <f>IFERROR(VLOOKUP(Table1[[#This Row],[Future-1 Description]],'Other '!E615:$F624,2,FALSE),"")</f>
        <v/>
      </c>
      <c r="M627" s="32"/>
      <c r="N627" s="32"/>
      <c r="O627" s="32"/>
      <c r="P627" s="49">
        <v>0</v>
      </c>
      <c r="Q627" s="49">
        <v>190000</v>
      </c>
      <c r="R627" s="32"/>
      <c r="S627" s="4"/>
      <c r="T627" s="32"/>
      <c r="U627" s="32"/>
      <c r="V627" s="32"/>
      <c r="W627" s="32"/>
      <c r="X627" s="33"/>
      <c r="Y627" s="33"/>
      <c r="Z627" s="31">
        <f>Table1[[#This Row],[Quantity of measruing units]]*Table1[[#This Row],[Rate (expected)]]</f>
        <v>0</v>
      </c>
      <c r="AA627" s="31"/>
      <c r="AB627" s="31"/>
      <c r="AC627" s="34">
        <f>Table1[[#This Row],[Quantity (expected)]]*Table1[[#This Row],[Rate (expected)2]]*0.9</f>
        <v>0</v>
      </c>
      <c r="AD627" s="34">
        <f>Table1[[#This Row],[Quantity (expected)]]*Table1[[#This Row],[Rate (expected)2]]*0.8</f>
        <v>0</v>
      </c>
      <c r="AE627" s="34">
        <f>Table1[[#This Row],[Quantity (expected)]]*Table1[[#This Row],[Rate (expected)2]]*0.7</f>
        <v>0</v>
      </c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1">
        <f>SUM(Table1[[#This Row],[Jan-23]:[Dec-23]])</f>
        <v>0</v>
      </c>
      <c r="AV627" s="105"/>
      <c r="AW627" s="32"/>
      <c r="AX627" s="35"/>
    </row>
    <row r="628" spans="1:50" x14ac:dyDescent="0.3">
      <c r="A628" s="30" t="str">
        <f>VLOOKUP(H628,'Accoount Code Combination'!$D:$L,8,FALSE)</f>
        <v>Academic</v>
      </c>
      <c r="B628" s="31" t="str">
        <f>VLOOKUP(Table1[[#This Row],[Account Code]],'Accoount Code Combination'!$D:$L,9,FALSE)</f>
        <v>No Applicable</v>
      </c>
      <c r="C628" s="4" t="str">
        <f>VLOOKUP(Table1[[#This Row],[Cost Center Code]],'Cost Center Group'!A:B,2,FALSE)</f>
        <v>College of Medicine &amp; Health Sciences</v>
      </c>
      <c r="D628" s="4">
        <v>847</v>
      </c>
      <c r="E628" s="79">
        <v>8471305</v>
      </c>
      <c r="F628" s="32" t="s">
        <v>32</v>
      </c>
      <c r="G628" s="4">
        <v>1</v>
      </c>
      <c r="H628" s="95">
        <v>425742</v>
      </c>
      <c r="I628" s="106" t="str">
        <f>IFERROR(VLOOKUP(Table1[[#This Row],[Account Code]],'Accoount Code Combination'!$D:$H,2,FALSE),"")</f>
        <v>Enrollment expenses</v>
      </c>
      <c r="J628" s="79">
        <v>8471305</v>
      </c>
      <c r="K628" s="4"/>
      <c r="L628" s="4" t="str">
        <f>IFERROR(VLOOKUP(Table1[[#This Row],[Future-1 Description]],'Other '!E616:$F625,2,FALSE),"")</f>
        <v/>
      </c>
      <c r="M628" s="32"/>
      <c r="N628" s="32"/>
      <c r="O628" s="32"/>
      <c r="P628" s="49">
        <v>0</v>
      </c>
      <c r="Q628" s="49">
        <v>90000</v>
      </c>
      <c r="R628" s="32"/>
      <c r="S628" s="4"/>
      <c r="T628" s="32"/>
      <c r="U628" s="32"/>
      <c r="V628" s="32"/>
      <c r="W628" s="32"/>
      <c r="X628" s="33"/>
      <c r="Y628" s="33"/>
      <c r="Z628" s="31">
        <f>Table1[[#This Row],[Quantity of measruing units]]*Table1[[#This Row],[Rate (expected)]]</f>
        <v>0</v>
      </c>
      <c r="AA628" s="31"/>
      <c r="AB628" s="31"/>
      <c r="AC628" s="34">
        <f>Table1[[#This Row],[Quantity (expected)]]*Table1[[#This Row],[Rate (expected)2]]*0.9</f>
        <v>0</v>
      </c>
      <c r="AD628" s="34">
        <f>Table1[[#This Row],[Quantity (expected)]]*Table1[[#This Row],[Rate (expected)2]]*0.8</f>
        <v>0</v>
      </c>
      <c r="AE628" s="34">
        <f>Table1[[#This Row],[Quantity (expected)]]*Table1[[#This Row],[Rate (expected)2]]*0.7</f>
        <v>0</v>
      </c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1">
        <f>SUM(Table1[[#This Row],[Jan-23]:[Dec-23]])</f>
        <v>0</v>
      </c>
      <c r="AV628" s="105"/>
      <c r="AW628" s="32"/>
      <c r="AX628" s="35"/>
    </row>
    <row r="629" spans="1:50" x14ac:dyDescent="0.3">
      <c r="A629" s="30" t="str">
        <f>VLOOKUP(H629,'Accoount Code Combination'!$D:$L,8,FALSE)</f>
        <v>Student</v>
      </c>
      <c r="B629" s="31" t="str">
        <f>VLOOKUP(Table1[[#This Row],[Account Code]],'Accoount Code Combination'!$D:$L,9,FALSE)</f>
        <v>No Applicable</v>
      </c>
      <c r="C629" s="4" t="str">
        <f>VLOOKUP(Table1[[#This Row],[Cost Center Code]],'Cost Center Group'!A:B,2,FALSE)</f>
        <v>College of Medicine &amp; Health Sciences</v>
      </c>
      <c r="D629" s="4">
        <v>847</v>
      </c>
      <c r="E629" s="79">
        <v>8471305</v>
      </c>
      <c r="F629" s="32" t="s">
        <v>32</v>
      </c>
      <c r="G629" s="4">
        <v>1</v>
      </c>
      <c r="H629" s="95">
        <v>425750</v>
      </c>
      <c r="I629" s="106" t="str">
        <f>IFERROR(VLOOKUP(Table1[[#This Row],[Account Code]],'Accoount Code Combination'!$D:$H,2,FALSE),"")</f>
        <v>Skill assessment service</v>
      </c>
      <c r="J629" s="79">
        <v>8471305</v>
      </c>
      <c r="K629" s="4"/>
      <c r="L629" s="4" t="str">
        <f>IFERROR(VLOOKUP(Table1[[#This Row],[Future-1 Description]],'Other '!E617:$F626,2,FALSE),"")</f>
        <v/>
      </c>
      <c r="M629" s="32"/>
      <c r="N629" s="32"/>
      <c r="O629" s="32"/>
      <c r="P629" s="49">
        <v>0</v>
      </c>
      <c r="Q629" s="49">
        <v>0</v>
      </c>
      <c r="R629" s="32"/>
      <c r="S629" s="4"/>
      <c r="T629" s="32"/>
      <c r="U629" s="32"/>
      <c r="V629" s="32"/>
      <c r="W629" s="32"/>
      <c r="X629" s="33"/>
      <c r="Y629" s="33"/>
      <c r="Z629" s="31">
        <f>Table1[[#This Row],[Quantity of measruing units]]*Table1[[#This Row],[Rate (expected)]]</f>
        <v>0</v>
      </c>
      <c r="AA629" s="31"/>
      <c r="AB629" s="31"/>
      <c r="AC629" s="34">
        <f>Table1[[#This Row],[Quantity (expected)]]*Table1[[#This Row],[Rate (expected)2]]*0.9</f>
        <v>0</v>
      </c>
      <c r="AD629" s="34">
        <f>Table1[[#This Row],[Quantity (expected)]]*Table1[[#This Row],[Rate (expected)2]]*0.8</f>
        <v>0</v>
      </c>
      <c r="AE629" s="34">
        <f>Table1[[#This Row],[Quantity (expected)]]*Table1[[#This Row],[Rate (expected)2]]*0.7</f>
        <v>0</v>
      </c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1">
        <f>SUM(Table1[[#This Row],[Jan-23]:[Dec-23]])</f>
        <v>0</v>
      </c>
      <c r="AV629" s="105"/>
      <c r="AW629" s="32"/>
      <c r="AX629" s="35"/>
    </row>
    <row r="630" spans="1:50" x14ac:dyDescent="0.3">
      <c r="A630" s="30" t="str">
        <f>VLOOKUP(H630,'Accoount Code Combination'!$D:$L,8,FALSE)</f>
        <v>Academic</v>
      </c>
      <c r="B630" s="31" t="str">
        <f>VLOOKUP(Table1[[#This Row],[Account Code]],'Accoount Code Combination'!$D:$L,9,FALSE)</f>
        <v>No Applicable</v>
      </c>
      <c r="C630" s="4" t="str">
        <f>VLOOKUP(Table1[[#This Row],[Cost Center Code]],'Cost Center Group'!A:B,2,FALSE)</f>
        <v>College of Medicine &amp; Health Sciences</v>
      </c>
      <c r="D630" s="4">
        <v>847</v>
      </c>
      <c r="E630" s="79">
        <v>8471305</v>
      </c>
      <c r="F630" s="32" t="s">
        <v>32</v>
      </c>
      <c r="G630" s="4">
        <v>1</v>
      </c>
      <c r="H630" s="95">
        <v>432210</v>
      </c>
      <c r="I630" s="106" t="str">
        <f>IFERROR(VLOOKUP(Table1[[#This Row],[Account Code]],'Accoount Code Combination'!$D:$H,2,FALSE),"")</f>
        <v>Medical equipment</v>
      </c>
      <c r="J630" s="79">
        <v>8471305</v>
      </c>
      <c r="K630" s="4"/>
      <c r="L630" s="4" t="str">
        <f>IFERROR(VLOOKUP(Table1[[#This Row],[Future-1 Description]],'Other '!E618:$F627,2,FALSE),"")</f>
        <v/>
      </c>
      <c r="M630" s="32"/>
      <c r="N630" s="32"/>
      <c r="O630" s="32"/>
      <c r="P630" s="49">
        <v>0</v>
      </c>
      <c r="Q630" s="49">
        <v>0</v>
      </c>
      <c r="R630" s="32"/>
      <c r="S630" s="4"/>
      <c r="T630" s="32"/>
      <c r="U630" s="32"/>
      <c r="V630" s="32"/>
      <c r="W630" s="32"/>
      <c r="X630" s="33"/>
      <c r="Y630" s="33"/>
      <c r="Z630" s="31">
        <f>Table1[[#This Row],[Quantity of measruing units]]*Table1[[#This Row],[Rate (expected)]]</f>
        <v>0</v>
      </c>
      <c r="AA630" s="31"/>
      <c r="AB630" s="31"/>
      <c r="AC630" s="34">
        <f>Table1[[#This Row],[Quantity (expected)]]*Table1[[#This Row],[Rate (expected)2]]*0.9</f>
        <v>0</v>
      </c>
      <c r="AD630" s="34">
        <f>Table1[[#This Row],[Quantity (expected)]]*Table1[[#This Row],[Rate (expected)2]]*0.8</f>
        <v>0</v>
      </c>
      <c r="AE630" s="34">
        <f>Table1[[#This Row],[Quantity (expected)]]*Table1[[#This Row],[Rate (expected)2]]*0.7</f>
        <v>0</v>
      </c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1">
        <f>SUM(Table1[[#This Row],[Jan-23]:[Dec-23]])</f>
        <v>0</v>
      </c>
      <c r="AV630" s="105"/>
      <c r="AW630" s="32"/>
      <c r="AX630" s="35"/>
    </row>
    <row r="631" spans="1:50" x14ac:dyDescent="0.3">
      <c r="A631" s="30">
        <f>VLOOKUP(H631,'Accoount Code Combination'!$D:$L,8,FALSE)</f>
        <v>0</v>
      </c>
      <c r="B631" s="31" t="str">
        <f>VLOOKUP(Table1[[#This Row],[Account Code]],'Accoount Code Combination'!$D:$L,9,FALSE)</f>
        <v>Software Capital</v>
      </c>
      <c r="C631" s="4" t="str">
        <f>VLOOKUP(Table1[[#This Row],[Cost Center Code]],'Cost Center Group'!A:B,2,FALSE)</f>
        <v>College of Medicine &amp; Health Sciences</v>
      </c>
      <c r="D631" s="4">
        <v>847</v>
      </c>
      <c r="E631" s="79">
        <v>8471305</v>
      </c>
      <c r="F631" s="32" t="s">
        <v>32</v>
      </c>
      <c r="G631" s="4">
        <v>1</v>
      </c>
      <c r="H631" s="95">
        <v>495140</v>
      </c>
      <c r="I631" s="106" t="str">
        <f>IFERROR(VLOOKUP(Table1[[#This Row],[Account Code]],'Accoount Code Combination'!$D:$H,2,FALSE),"")</f>
        <v>Copyrights, patents and licenses</v>
      </c>
      <c r="J631" s="79">
        <v>8471305</v>
      </c>
      <c r="K631" s="4"/>
      <c r="L631" s="4" t="str">
        <f>IFERROR(VLOOKUP(Table1[[#This Row],[Future-1 Description]],'Other '!E619:$F628,2,FALSE),"")</f>
        <v/>
      </c>
      <c r="M631" s="32"/>
      <c r="N631" s="32"/>
      <c r="O631" s="32"/>
      <c r="P631" s="49">
        <v>0</v>
      </c>
      <c r="Q631" s="49">
        <v>500000</v>
      </c>
      <c r="R631" s="32"/>
      <c r="S631" s="4"/>
      <c r="T631" s="32"/>
      <c r="U631" s="32"/>
      <c r="V631" s="32"/>
      <c r="W631" s="32"/>
      <c r="X631" s="33"/>
      <c r="Y631" s="33"/>
      <c r="Z631" s="31">
        <f>Table1[[#This Row],[Quantity of measruing units]]*Table1[[#This Row],[Rate (expected)]]</f>
        <v>0</v>
      </c>
      <c r="AA631" s="31"/>
      <c r="AB631" s="31"/>
      <c r="AC631" s="34">
        <f>Table1[[#This Row],[Quantity (expected)]]*Table1[[#This Row],[Rate (expected)2]]*0.9</f>
        <v>0</v>
      </c>
      <c r="AD631" s="34">
        <f>Table1[[#This Row],[Quantity (expected)]]*Table1[[#This Row],[Rate (expected)2]]*0.8</f>
        <v>0</v>
      </c>
      <c r="AE631" s="34">
        <f>Table1[[#This Row],[Quantity (expected)]]*Table1[[#This Row],[Rate (expected)2]]*0.7</f>
        <v>0</v>
      </c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1">
        <f>SUM(Table1[[#This Row],[Jan-23]:[Dec-23]])</f>
        <v>0</v>
      </c>
      <c r="AV631" s="105"/>
      <c r="AW631" s="32"/>
      <c r="AX631" s="35"/>
    </row>
    <row r="632" spans="1:50" x14ac:dyDescent="0.3">
      <c r="A632" s="30" t="e">
        <f>VLOOKUP(H632,'Accoount Code Combination'!$D:$L,8,FALSE)</f>
        <v>#N/A</v>
      </c>
      <c r="B632" s="31" t="e">
        <f>VLOOKUP(Table1[[#This Row],[Account Code]],'Accoount Code Combination'!$D:$L,9,FALSE)</f>
        <v>#N/A</v>
      </c>
      <c r="C632" s="31" t="e">
        <f>VLOOKUP(Table1[[#This Row],[Cost Center Code]],'Cost Center Group'!A:B,2,FALSE)</f>
        <v>#N/A</v>
      </c>
      <c r="D632" s="4">
        <v>847</v>
      </c>
      <c r="E632" s="79"/>
      <c r="F632" s="31"/>
      <c r="G632" s="4">
        <v>1</v>
      </c>
      <c r="H632" s="79"/>
      <c r="I632" s="106" t="str">
        <f>IFERROR(VLOOKUP(Table1[[#This Row],[Account Code]],'Accoount Code Combination'!$D:$H,2,FALSE),"")</f>
        <v/>
      </c>
      <c r="J632" s="79"/>
      <c r="K632" s="4"/>
      <c r="L632" s="4" t="str">
        <f>IFERROR(VLOOKUP(Table1[[#This Row],[Future-1 Description]],'Other '!E620:$F629,2,FALSE),"")</f>
        <v/>
      </c>
      <c r="M632" s="32"/>
      <c r="N632" s="32"/>
      <c r="O632" s="32"/>
      <c r="P632" s="86"/>
      <c r="Q632" s="86">
        <v>0</v>
      </c>
      <c r="R632" s="32"/>
      <c r="S632" s="4"/>
      <c r="T632" s="32"/>
      <c r="U632" s="32"/>
      <c r="V632" s="32"/>
      <c r="W632" s="32"/>
      <c r="X632" s="33"/>
      <c r="Y632" s="33"/>
      <c r="Z632" s="31">
        <f>Table1[[#This Row],[Quantity of measruing units]]*Table1[[#This Row],[Rate (expected)]]</f>
        <v>0</v>
      </c>
      <c r="AA632" s="31"/>
      <c r="AB632" s="31"/>
      <c r="AC632" s="34">
        <f>Table1[[#This Row],[Quantity (expected)]]*Table1[[#This Row],[Rate (expected)2]]*0.9</f>
        <v>0</v>
      </c>
      <c r="AD632" s="34">
        <f>Table1[[#This Row],[Quantity (expected)]]*Table1[[#This Row],[Rate (expected)2]]*0.8</f>
        <v>0</v>
      </c>
      <c r="AE632" s="34">
        <f>Table1[[#This Row],[Quantity (expected)]]*Table1[[#This Row],[Rate (expected)2]]*0.7</f>
        <v>0</v>
      </c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1">
        <f>SUM(Table1[[#This Row],[Jan-23]:[Dec-23]])</f>
        <v>0</v>
      </c>
      <c r="AV632" s="121"/>
      <c r="AW632" s="32"/>
      <c r="AX632" s="35"/>
    </row>
    <row r="633" spans="1:50" x14ac:dyDescent="0.3">
      <c r="A633" s="30" t="e">
        <f>VLOOKUP(H633,'Accoount Code Combination'!$D:$L,8,FALSE)</f>
        <v>#N/A</v>
      </c>
      <c r="B633" s="31" t="e">
        <f>VLOOKUP(Table1[[#This Row],[Account Code]],'Accoount Code Combination'!$D:$L,9,FALSE)</f>
        <v>#N/A</v>
      </c>
      <c r="C633" s="31" t="e">
        <f>VLOOKUP(Table1[[#This Row],[Cost Center Code]],'Cost Center Group'!A:B,2,FALSE)</f>
        <v>#N/A</v>
      </c>
      <c r="D633" s="4">
        <v>847</v>
      </c>
      <c r="E633" s="79"/>
      <c r="F633" s="31"/>
      <c r="G633" s="4">
        <v>1</v>
      </c>
      <c r="H633" s="79"/>
      <c r="I633" s="106" t="str">
        <f>IFERROR(VLOOKUP(Table1[[#This Row],[Account Code]],'Accoount Code Combination'!$D:$H,2,FALSE),"")</f>
        <v/>
      </c>
      <c r="J633" s="79"/>
      <c r="K633" s="4"/>
      <c r="L633" s="4" t="str">
        <f>IFERROR(VLOOKUP(Table1[[#This Row],[Future-1 Description]],'Other '!E621:$F630,2,FALSE),"")</f>
        <v/>
      </c>
      <c r="M633" s="32"/>
      <c r="N633" s="32"/>
      <c r="O633" s="32"/>
      <c r="P633" s="86"/>
      <c r="Q633" s="86"/>
      <c r="R633" s="32"/>
      <c r="S633" s="4"/>
      <c r="T633" s="32"/>
      <c r="U633" s="32"/>
      <c r="V633" s="32"/>
      <c r="W633" s="32"/>
      <c r="X633" s="33"/>
      <c r="Y633" s="33"/>
      <c r="Z633" s="31">
        <f>Table1[[#This Row],[Quantity of measruing units]]*Table1[[#This Row],[Rate (expected)]]</f>
        <v>0</v>
      </c>
      <c r="AA633" s="31"/>
      <c r="AB633" s="31"/>
      <c r="AC633" s="34">
        <f>Table1[[#This Row],[Quantity (expected)]]*Table1[[#This Row],[Rate (expected)2]]*0.9</f>
        <v>0</v>
      </c>
      <c r="AD633" s="34">
        <f>Table1[[#This Row],[Quantity (expected)]]*Table1[[#This Row],[Rate (expected)2]]*0.8</f>
        <v>0</v>
      </c>
      <c r="AE633" s="34">
        <f>Table1[[#This Row],[Quantity (expected)]]*Table1[[#This Row],[Rate (expected)2]]*0.7</f>
        <v>0</v>
      </c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1">
        <f>SUM(Table1[[#This Row],[Jan-23]:[Dec-23]])</f>
        <v>0</v>
      </c>
      <c r="AV633" s="121"/>
      <c r="AW633" s="32"/>
      <c r="AX633" s="35"/>
    </row>
    <row r="634" spans="1:50" x14ac:dyDescent="0.3">
      <c r="A634" s="30" t="e">
        <f>VLOOKUP(H634,'Accoount Code Combination'!$D:$L,8,FALSE)</f>
        <v>#N/A</v>
      </c>
      <c r="B634" s="31" t="e">
        <f>VLOOKUP(Table1[[#This Row],[Account Code]],'Accoount Code Combination'!$D:$L,9,FALSE)</f>
        <v>#N/A</v>
      </c>
      <c r="C634" s="31" t="e">
        <f>VLOOKUP(Table1[[#This Row],[Cost Center Code]],'Cost Center Group'!A:B,2,FALSE)</f>
        <v>#N/A</v>
      </c>
      <c r="D634" s="4">
        <v>847</v>
      </c>
      <c r="E634" s="79"/>
      <c r="F634" s="31"/>
      <c r="G634" s="4">
        <v>1</v>
      </c>
      <c r="H634" s="79"/>
      <c r="I634" s="106" t="str">
        <f>IFERROR(VLOOKUP(Table1[[#This Row],[Account Code]],'Accoount Code Combination'!$D:$H,2,FALSE),"")</f>
        <v/>
      </c>
      <c r="J634" s="79"/>
      <c r="K634" s="4"/>
      <c r="L634" s="4" t="str">
        <f>IFERROR(VLOOKUP(Table1[[#This Row],[Future-1 Description]],'Other '!E622:$F631,2,FALSE),"")</f>
        <v/>
      </c>
      <c r="M634" s="32"/>
      <c r="N634" s="32"/>
      <c r="O634" s="32"/>
      <c r="P634" s="86"/>
      <c r="Q634" s="86"/>
      <c r="R634" s="32"/>
      <c r="S634" s="4"/>
      <c r="T634" s="32"/>
      <c r="U634" s="32"/>
      <c r="V634" s="32"/>
      <c r="W634" s="32"/>
      <c r="X634" s="33"/>
      <c r="Y634" s="33"/>
      <c r="Z634" s="31">
        <f>Table1[[#This Row],[Quantity of measruing units]]*Table1[[#This Row],[Rate (expected)]]</f>
        <v>0</v>
      </c>
      <c r="AA634" s="31"/>
      <c r="AB634" s="31"/>
      <c r="AC634" s="34">
        <f>Table1[[#This Row],[Quantity (expected)]]*Table1[[#This Row],[Rate (expected)2]]*0.9</f>
        <v>0</v>
      </c>
      <c r="AD634" s="34">
        <f>Table1[[#This Row],[Quantity (expected)]]*Table1[[#This Row],[Rate (expected)2]]*0.8</f>
        <v>0</v>
      </c>
      <c r="AE634" s="34">
        <f>Table1[[#This Row],[Quantity (expected)]]*Table1[[#This Row],[Rate (expected)2]]*0.7</f>
        <v>0</v>
      </c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1">
        <f>SUM(Table1[[#This Row],[Jan-23]:[Dec-23]])</f>
        <v>0</v>
      </c>
      <c r="AV634" s="121"/>
      <c r="AW634" s="32"/>
      <c r="AX634" s="35"/>
    </row>
    <row r="635" spans="1:50" x14ac:dyDescent="0.3">
      <c r="A635" s="100"/>
      <c r="B635" s="101"/>
      <c r="C635" s="102"/>
      <c r="D635" s="102"/>
      <c r="E635" s="102"/>
      <c r="F635" s="102"/>
      <c r="G635" s="102"/>
      <c r="H635" s="103"/>
      <c r="I635" s="101"/>
      <c r="J635" s="102"/>
      <c r="K635" s="102"/>
      <c r="L635" s="102"/>
      <c r="M635" s="102"/>
      <c r="N635" s="102"/>
      <c r="O635" s="102"/>
      <c r="P635" s="137">
        <f>SUM(Table1[2021Actual])</f>
        <v>520754571.90999997</v>
      </c>
      <c r="Q635" s="137">
        <f>SUM(Table1[2022 Budget])</f>
        <v>508729156</v>
      </c>
      <c r="R635" s="102">
        <f>SUM(Table1[2022 Estimates full year Actual])</f>
        <v>0</v>
      </c>
      <c r="S635" s="102"/>
      <c r="T635" s="102"/>
      <c r="U635" s="102"/>
      <c r="V635" s="102"/>
      <c r="W635" s="102"/>
      <c r="X635" s="102"/>
      <c r="Y635" s="102"/>
      <c r="Z635" s="101">
        <f>SUM(Table1[[2023 Budget ]])</f>
        <v>500000</v>
      </c>
      <c r="AA635" s="101"/>
      <c r="AB635" s="101"/>
      <c r="AC635" s="138">
        <f>SUM(Table1[2023 Budget Scenario 90%])</f>
        <v>0</v>
      </c>
      <c r="AD635" s="138">
        <f>SUM(Table1[2023 Budget Scenario 80%])</f>
        <v>0</v>
      </c>
      <c r="AE635" s="138">
        <f>SUM(Table1[2023 Budget Scenario 70%])</f>
        <v>0</v>
      </c>
      <c r="AF635" s="102"/>
      <c r="AG635" s="102"/>
      <c r="AH635" s="102"/>
      <c r="AI635" s="102">
        <f>SUM(Table1[Jan-23])</f>
        <v>0</v>
      </c>
      <c r="AJ635" s="102">
        <f>SUM(Table1[Feb-23])</f>
        <v>0</v>
      </c>
      <c r="AK635" s="102">
        <f>SUM(Table1[Mar-23])</f>
        <v>0</v>
      </c>
      <c r="AL635" s="102">
        <f>SUM(Table1[Apr-23])</f>
        <v>0</v>
      </c>
      <c r="AM635" s="102">
        <f>SUM(Table1[May-23])</f>
        <v>0</v>
      </c>
      <c r="AN635" s="102">
        <f>SUM(Table1[Jun-23])</f>
        <v>0</v>
      </c>
      <c r="AO635" s="102">
        <f>SUM(Table1[Jul-23])</f>
        <v>0</v>
      </c>
      <c r="AP635" s="102">
        <f>SUM(Table1[Aug-23])</f>
        <v>0</v>
      </c>
      <c r="AQ635" s="102">
        <f>SUM(Table1[Sep-23])</f>
        <v>0</v>
      </c>
      <c r="AR635" s="102">
        <f>SUM(Table1[Oct-23])</f>
        <v>0</v>
      </c>
      <c r="AS635" s="102">
        <f>SUM(Table1[Nov-23])</f>
        <v>0</v>
      </c>
      <c r="AT635" s="102">
        <f>SUM(Table1[Dec-23])</f>
        <v>0</v>
      </c>
      <c r="AU635" s="101">
        <f>SUM(Table1[Total])</f>
        <v>0</v>
      </c>
      <c r="AV635" s="139"/>
      <c r="AW635" s="102"/>
      <c r="AX635" s="104"/>
    </row>
  </sheetData>
  <sheetProtection formatCells="0" formatColumns="0" formatRows="0" insertColumns="0" insertRows="0" insertHyperlinks="0" deleteColumns="0" deleteRows="0" sort="0" autoFilter="0" pivotTables="0"/>
  <mergeCells count="1">
    <mergeCell ref="AI4:AT4"/>
  </mergeCells>
  <conditionalFormatting sqref="AU6:AU634">
    <cfRule type="expression" dxfId="227" priority="1">
      <formula>$Z6&lt;&gt;$AU6</formula>
    </cfRule>
  </conditionalFormatting>
  <dataValidations count="3">
    <dataValidation type="whole" operator="equal" allowBlank="1" showInputMessage="1" showErrorMessage="1" sqref="P6:Q634" xr:uid="{00000000-0002-0000-0100-000000000000}">
      <formula1>0</formula1>
    </dataValidation>
    <dataValidation type="whole" operator="greaterThanOrEqual" allowBlank="1" showInputMessage="1" showErrorMessage="1" sqref="X6:X634" xr:uid="{00000000-0002-0000-0100-000001000000}">
      <formula1>1</formula1>
    </dataValidation>
    <dataValidation type="whole" operator="greaterThan" allowBlank="1" showInputMessage="1" showErrorMessage="1" sqref="R6:R634 T7:V634" xr:uid="{00000000-0002-0000-0100-000002000000}">
      <formula1>0</formula1>
    </dataValidation>
  </dataValidations>
  <hyperlinks>
    <hyperlink ref="P2" location="'Main Page'!A1" display="Return to Main Page" xr:uid="{00000000-0004-0000-0100-000000000000}"/>
    <hyperlink ref="W6" r:id="rId1" xr:uid="{00000000-0004-0000-0100-000001000000}"/>
  </hyperlinks>
  <pageMargins left="0.7" right="0.7" top="0.75" bottom="0.75" header="0.3" footer="0.3"/>
  <pageSetup orientation="portrait" horizontalDpi="1200" verticalDpi="1200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3000000}">
          <x14:formula1>
            <xm:f>'Other '!$A$2:$A$3</xm:f>
          </x14:formula1>
          <xm:sqref>AA15:AA631</xm:sqref>
        </x14:dataValidation>
        <x14:dataValidation type="list" allowBlank="1" showInputMessage="1" showErrorMessage="1" errorTitle="Select the appropriate value" error="Clik the drop box and select the appropriate value" xr:uid="{00000000-0002-0000-0100-000004000000}">
          <x14:formula1>
            <xm:f>'Other '!$A$2:$A$3</xm:f>
          </x14:formula1>
          <xm:sqref>AA6:AA14</xm:sqref>
        </x14:dataValidation>
        <x14:dataValidation type="list" allowBlank="1" showInputMessage="1" showErrorMessage="1" xr:uid="{00000000-0002-0000-0100-000005000000}">
          <x14:formula1>
            <xm:f>'Cost Center'!$A$2:$A$67</xm:f>
          </x14:formula1>
          <xm:sqref>I2</xm:sqref>
        </x14:dataValidation>
        <x14:dataValidation type="list" allowBlank="1" showInputMessage="1" showErrorMessage="1" error="Click the drop box and select the appropriate value" xr:uid="{00000000-0002-0000-0100-000006000000}">
          <x14:formula1>
            <xm:f>'Other '!$B$2:$B$3</xm:f>
          </x14:formula1>
          <xm:sqref>AB6:AB634</xm:sqref>
        </x14:dataValidation>
        <x14:dataValidation type="list" allowBlank="1" showInputMessage="1" showErrorMessage="1" xr:uid="{00000000-0002-0000-0100-000007000000}">
          <x14:formula1>
            <xm:f>'Strategic Objectives 2023'!$C$6:$C$38</xm:f>
          </x14:formula1>
          <xm:sqref>AV6:AV634</xm:sqref>
        </x14:dataValidation>
        <x14:dataValidation type="list" allowBlank="1" showInputMessage="1" showErrorMessage="1" xr:uid="{00000000-0002-0000-0100-000008000000}">
          <x14:formula1>
            <xm:f>'Other '!$E$2:$E$20</xm:f>
          </x14:formula1>
          <xm:sqref>K6:K634</xm:sqref>
        </x14:dataValidation>
        <x14:dataValidation type="list" allowBlank="1" showInputMessage="1" showErrorMessage="1" xr:uid="{00000000-0002-0000-0100-000009000000}">
          <x14:formula1>
            <xm:f>'Account Code'!$A$4:$A$1048576</xm:f>
          </x14:formula1>
          <xm:sqref>H6:H634</xm:sqref>
        </x14:dataValidation>
        <x14:dataValidation type="list" allowBlank="1" showInputMessage="1" showErrorMessage="1" xr:uid="{00000000-0002-0000-0100-00000A000000}">
          <x14:formula1>
            <xm:f>Drivers!$A$3:$A$1048576</xm:f>
          </x14:formula1>
          <xm:sqref>S7:S634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1"/>
  <sheetViews>
    <sheetView showGridLines="0" topLeftCell="G1" workbookViewId="0">
      <pane ySplit="5" topLeftCell="A6" activePane="bottomLeft" state="frozen"/>
      <selection activeCell="A11" sqref="A11"/>
      <selection pane="bottomLeft" activeCell="Q5" sqref="Q5"/>
    </sheetView>
  </sheetViews>
  <sheetFormatPr defaultColWidth="26.1796875" defaultRowHeight="13" x14ac:dyDescent="0.3"/>
  <cols>
    <col min="1" max="2" width="0" style="1" hidden="1" customWidth="1"/>
    <col min="3" max="3" width="20.26953125" style="1" hidden="1" customWidth="1"/>
    <col min="4" max="4" width="13.54296875" style="1" hidden="1" customWidth="1"/>
    <col min="5" max="5" width="30.81640625" style="1" hidden="1" customWidth="1"/>
    <col min="6" max="6" width="26.1796875" style="97"/>
    <col min="7" max="7" width="26.1796875" style="1"/>
    <col min="8" max="12" width="26.1796875" style="1" hidden="1" customWidth="1"/>
    <col min="13" max="24" width="26.1796875" style="1"/>
    <col min="25" max="25" width="38" style="1" customWidth="1"/>
    <col min="26" max="16384" width="26.1796875" style="1"/>
  </cols>
  <sheetData>
    <row r="1" spans="1:25" x14ac:dyDescent="0.3">
      <c r="F1" s="116" t="s">
        <v>1400</v>
      </c>
      <c r="G1" s="91" t="str">
        <f>IFERROR(VLOOKUP(G2,'Cost Center'!$A:$B,2,FALSE),"")</f>
        <v/>
      </c>
    </row>
    <row r="2" spans="1:25" ht="14.5" x14ac:dyDescent="0.35">
      <c r="F2" s="92" t="s">
        <v>1418</v>
      </c>
      <c r="G2" s="92"/>
      <c r="M2" s="108" t="s">
        <v>1413</v>
      </c>
    </row>
    <row r="3" spans="1:25" x14ac:dyDescent="0.3">
      <c r="F3" s="92" t="s">
        <v>1399</v>
      </c>
      <c r="G3" s="92">
        <v>2024</v>
      </c>
    </row>
    <row r="4" spans="1:25" x14ac:dyDescent="0.3">
      <c r="A4" s="15"/>
      <c r="B4" s="15"/>
      <c r="C4" s="2"/>
      <c r="F4" s="93" t="s">
        <v>127</v>
      </c>
      <c r="M4" s="18" t="s">
        <v>127</v>
      </c>
      <c r="N4" s="17" t="s">
        <v>126</v>
      </c>
      <c r="O4" s="17" t="s">
        <v>1426</v>
      </c>
      <c r="P4" s="17" t="s">
        <v>154</v>
      </c>
      <c r="Q4" s="17" t="s">
        <v>126</v>
      </c>
      <c r="R4" s="17" t="s">
        <v>126</v>
      </c>
      <c r="S4" s="17" t="s">
        <v>126</v>
      </c>
      <c r="T4" s="17" t="s">
        <v>126</v>
      </c>
      <c r="U4" s="17" t="s">
        <v>1427</v>
      </c>
      <c r="V4" s="17" t="s">
        <v>1428</v>
      </c>
      <c r="W4" s="18" t="s">
        <v>127</v>
      </c>
      <c r="X4" s="18" t="s">
        <v>127</v>
      </c>
      <c r="Y4" s="17" t="s">
        <v>126</v>
      </c>
    </row>
    <row r="5" spans="1:25" s="14" customFormat="1" ht="26" x14ac:dyDescent="0.3">
      <c r="A5" s="10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94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6" t="s">
        <v>150</v>
      </c>
      <c r="N5" s="16" t="s">
        <v>151</v>
      </c>
      <c r="O5" s="16" t="s">
        <v>152</v>
      </c>
      <c r="P5" s="16" t="s">
        <v>153</v>
      </c>
      <c r="Q5" s="11" t="s">
        <v>12</v>
      </c>
      <c r="R5" s="11" t="s">
        <v>13</v>
      </c>
      <c r="S5" s="11" t="s">
        <v>14</v>
      </c>
      <c r="T5" s="11" t="s">
        <v>148</v>
      </c>
      <c r="U5" s="11" t="s">
        <v>155</v>
      </c>
      <c r="V5" s="11" t="s">
        <v>144</v>
      </c>
      <c r="W5" s="11" t="s">
        <v>18</v>
      </c>
      <c r="X5" s="11" t="s">
        <v>156</v>
      </c>
      <c r="Y5" s="117" t="s">
        <v>19</v>
      </c>
    </row>
    <row r="6" spans="1:25" x14ac:dyDescent="0.3">
      <c r="A6" s="3" t="str">
        <f>IFERROR(VLOOKUP(F6,'Accoount Code Combination'!$D:$L,8,FALSE),"")</f>
        <v/>
      </c>
      <c r="B6" s="4" t="str">
        <f>IFERROR(VLOOKUP(Table15[[#This Row],[Account Code]],'Accoount Code Combination'!$D:$L,9,FALSE),"")</f>
        <v/>
      </c>
      <c r="C6" s="4" t="str">
        <f>IFERROR(VLOOKUP(Table15[[#This Row],[Cost Center Code]],'Cost Center Group'!A:B,2,FALSE),"")</f>
        <v/>
      </c>
      <c r="D6" s="78"/>
      <c r="E6" s="4"/>
      <c r="F6" s="95"/>
      <c r="G6" s="4" t="str">
        <f>IFERROR(VLOOKUP(Table15[[#This Row],[Account Code]],'Accoount Code Combination'!$D:$H,2,FALSE),"")</f>
        <v/>
      </c>
      <c r="H6" s="4"/>
      <c r="I6" s="4"/>
      <c r="J6" s="4" t="str">
        <f>IFERROR(VLOOKUP(Table15[[#This Row],[Future-1 Description]],'Other '!$E:$F,2,FALSE),"")</f>
        <v/>
      </c>
      <c r="K6" s="4"/>
      <c r="L6" s="4"/>
      <c r="M6" s="4"/>
      <c r="N6" s="4"/>
      <c r="O6" s="4"/>
      <c r="P6" s="4"/>
      <c r="Q6" s="4"/>
      <c r="R6" s="5"/>
      <c r="S6" s="5"/>
      <c r="T6" s="4">
        <f>Table15[[#This Row],[Quantity (expected)]]*Table15[[#This Row],[Rate (expected)]]</f>
        <v>0</v>
      </c>
      <c r="U6" s="4"/>
      <c r="V6" s="4"/>
      <c r="W6" s="4"/>
      <c r="X6" s="4"/>
      <c r="Y6" s="7"/>
    </row>
    <row r="7" spans="1:25" x14ac:dyDescent="0.3">
      <c r="A7" s="30" t="str">
        <f>IFERROR(VLOOKUP(F7,'Accoount Code Combination'!$D:$L,8,FALSE),"")</f>
        <v/>
      </c>
      <c r="B7" s="31" t="str">
        <f>IFERROR(VLOOKUP(Table15[[#This Row],[Account Code]],'Accoount Code Combination'!$D:$L,9,FALSE),"")</f>
        <v/>
      </c>
      <c r="C7" s="31" t="str">
        <f>IFERROR(VLOOKUP(Table15[[#This Row],[Cost Center Code]],'Cost Center Group'!A:B,2,FALSE),"")</f>
        <v/>
      </c>
      <c r="D7" s="79"/>
      <c r="E7" s="31"/>
      <c r="F7" s="79"/>
      <c r="G7" s="31" t="str">
        <f>IFERROR(VLOOKUP(Table15[[#This Row],[Account Code]],'Accoount Code Combination'!$D:$H,2,FALSE),"")</f>
        <v/>
      </c>
      <c r="H7" s="31"/>
      <c r="I7" s="32"/>
      <c r="J7" s="31" t="str">
        <f>IFERROR(VLOOKUP(Table15[[#This Row],[Future-1 Description]],'Other '!$E:$F,2,FALSE),"")</f>
        <v/>
      </c>
      <c r="K7" s="32"/>
      <c r="L7" s="32"/>
      <c r="M7" s="32"/>
      <c r="N7" s="32"/>
      <c r="O7" s="32"/>
      <c r="P7" s="32"/>
      <c r="Q7" s="32"/>
      <c r="R7" s="33"/>
      <c r="S7" s="33"/>
      <c r="T7" s="31">
        <f>Table15[[#This Row],[Quantity (expected)]]*Table15[[#This Row],[Rate (expected)]]</f>
        <v>0</v>
      </c>
      <c r="U7" s="31"/>
      <c r="V7" s="31"/>
      <c r="W7" s="32"/>
      <c r="X7" s="32"/>
      <c r="Y7" s="35"/>
    </row>
    <row r="8" spans="1:25" x14ac:dyDescent="0.3">
      <c r="A8" s="3" t="str">
        <f>IFERROR(VLOOKUP(F8,'Accoount Code Combination'!$D:$L,8,FALSE),"")</f>
        <v/>
      </c>
      <c r="B8" s="4" t="str">
        <f>IFERROR(VLOOKUP(Table15[[#This Row],[Account Code]],'Accoount Code Combination'!$D:$L,9,FALSE),"")</f>
        <v/>
      </c>
      <c r="C8" s="4" t="str">
        <f>IFERROR(VLOOKUP(Table15[[#This Row],[Cost Center Code]],'Cost Center Group'!A:B,2,FALSE),"")</f>
        <v/>
      </c>
      <c r="D8" s="78"/>
      <c r="E8" s="4"/>
      <c r="F8" s="95"/>
      <c r="G8" s="4" t="str">
        <f>IFERROR(VLOOKUP(Table15[[#This Row],[Account Code]],'Accoount Code Combination'!$D:$H,2,FALSE),"")</f>
        <v/>
      </c>
      <c r="H8" s="4"/>
      <c r="I8" s="4"/>
      <c r="J8" s="4" t="str">
        <f>IFERROR(VLOOKUP(Table15[[#This Row],[Future-1 Description]],'Other '!$E:$F,2,FALSE),"")</f>
        <v/>
      </c>
      <c r="K8" s="4"/>
      <c r="L8" s="4"/>
      <c r="M8" s="4"/>
      <c r="N8" s="4"/>
      <c r="O8" s="4"/>
      <c r="P8" s="4"/>
      <c r="Q8" s="4"/>
      <c r="R8" s="5"/>
      <c r="S8" s="5"/>
      <c r="T8" s="8">
        <f>Table15[[#This Row],[Quantity (expected)]]*Table15[[#This Row],[Rate (expected)]]</f>
        <v>0</v>
      </c>
      <c r="U8" s="4"/>
      <c r="V8" s="4"/>
      <c r="W8" s="4"/>
      <c r="X8" s="4"/>
      <c r="Y8" s="7"/>
    </row>
    <row r="9" spans="1:25" x14ac:dyDescent="0.3">
      <c r="A9" s="30" t="str">
        <f>IFERROR(VLOOKUP(F9,'Accoount Code Combination'!$D:$L,8,FALSE),"")</f>
        <v/>
      </c>
      <c r="B9" s="31" t="str">
        <f>IFERROR(VLOOKUP(Table15[[#This Row],[Account Code]],'Accoount Code Combination'!$D:$L,9,FALSE),"")</f>
        <v/>
      </c>
      <c r="C9" s="4" t="str">
        <f>IFERROR(VLOOKUP(Table15[[#This Row],[Cost Center Code]],'Cost Center Group'!A:B,2,FALSE),"")</f>
        <v/>
      </c>
      <c r="D9" s="79"/>
      <c r="E9" s="32"/>
      <c r="F9" s="95"/>
      <c r="G9" s="31" t="str">
        <f>IFERROR(VLOOKUP(Table15[[#This Row],[Account Code]],'Accoount Code Combination'!$D:$H,2,FALSE),"")</f>
        <v/>
      </c>
      <c r="H9" s="31"/>
      <c r="I9" s="4"/>
      <c r="J9" s="32" t="str">
        <f>IFERROR(VLOOKUP(Table15[[#This Row],[Future-1 Description]],'Other '!$E:$F,2,FALSE),"")</f>
        <v/>
      </c>
      <c r="K9" s="32"/>
      <c r="L9" s="32"/>
      <c r="M9" s="32"/>
      <c r="N9" s="32"/>
      <c r="O9" s="32"/>
      <c r="P9" s="32"/>
      <c r="Q9" s="32"/>
      <c r="R9" s="33"/>
      <c r="S9" s="33"/>
      <c r="T9" s="31">
        <f>Table15[[#This Row],[Quantity (expected)]]*Table15[[#This Row],[Rate (expected)]]</f>
        <v>0</v>
      </c>
      <c r="U9" s="31"/>
      <c r="V9" s="31"/>
      <c r="W9" s="4"/>
      <c r="X9" s="32"/>
      <c r="Y9" s="35"/>
    </row>
    <row r="10" spans="1:25" x14ac:dyDescent="0.3">
      <c r="A10" s="30" t="str">
        <f>IFERROR(VLOOKUP(F10,'Accoount Code Combination'!$D:$L,8,FALSE),"")</f>
        <v/>
      </c>
      <c r="B10" s="31" t="str">
        <f>IFERROR(VLOOKUP(Table15[[#This Row],[Account Code]],'Accoount Code Combination'!$D:$L,9,FALSE),"")</f>
        <v/>
      </c>
      <c r="C10" s="4" t="str">
        <f>IFERROR(VLOOKUP(Table15[[#This Row],[Cost Center Code]],'Cost Center Group'!A:B,2,FALSE),"")</f>
        <v/>
      </c>
      <c r="D10" s="79"/>
      <c r="E10" s="32"/>
      <c r="F10" s="95"/>
      <c r="G10" s="31" t="str">
        <f>IFERROR(VLOOKUP(Table15[[#This Row],[Account Code]],'Accoount Code Combination'!$D:$H,2,FALSE),"")</f>
        <v/>
      </c>
      <c r="H10" s="31"/>
      <c r="I10" s="4"/>
      <c r="J10" s="32" t="str">
        <f>IFERROR(VLOOKUP(Table15[[#This Row],[Future-1 Description]],'Other '!$E:$F,2,FALSE),"")</f>
        <v/>
      </c>
      <c r="K10" s="32"/>
      <c r="L10" s="32"/>
      <c r="M10" s="32"/>
      <c r="N10" s="32"/>
      <c r="O10" s="32"/>
      <c r="P10" s="32"/>
      <c r="Q10" s="32"/>
      <c r="R10" s="33"/>
      <c r="S10" s="33"/>
      <c r="T10" s="31">
        <f>Table15[[#This Row],[Quantity (expected)]]*Table15[[#This Row],[Rate (expected)]]</f>
        <v>0</v>
      </c>
      <c r="U10" s="31"/>
      <c r="V10" s="31"/>
      <c r="W10" s="4"/>
      <c r="X10" s="32"/>
      <c r="Y10" s="35"/>
    </row>
    <row r="11" spans="1:25" x14ac:dyDescent="0.3">
      <c r="A11" s="30" t="str">
        <f>IFERROR(VLOOKUP(F11,'Accoount Code Combination'!$D:$L,8,FALSE),"")</f>
        <v/>
      </c>
      <c r="B11" s="31" t="str">
        <f>IFERROR(VLOOKUP(Table15[[#This Row],[Account Code]],'Accoount Code Combination'!$D:$L,9,FALSE),"")</f>
        <v/>
      </c>
      <c r="C11" s="4" t="str">
        <f>IFERROR(VLOOKUP(Table15[[#This Row],[Cost Center Code]],'Cost Center Group'!A:B,2,FALSE),"")</f>
        <v/>
      </c>
      <c r="D11" s="79"/>
      <c r="E11" s="32"/>
      <c r="F11" s="95"/>
      <c r="G11" s="31" t="str">
        <f>IFERROR(VLOOKUP(Table15[[#This Row],[Account Code]],'Accoount Code Combination'!$D:$H,2,FALSE),"")</f>
        <v/>
      </c>
      <c r="H11" s="31"/>
      <c r="I11" s="4"/>
      <c r="J11" s="32" t="str">
        <f>IFERROR(VLOOKUP(Table15[[#This Row],[Future-1 Description]],'Other '!$E:$F,2,FALSE),"")</f>
        <v/>
      </c>
      <c r="K11" s="32"/>
      <c r="L11" s="32"/>
      <c r="M11" s="32"/>
      <c r="N11" s="32"/>
      <c r="O11" s="32"/>
      <c r="P11" s="32"/>
      <c r="Q11" s="32"/>
      <c r="R11" s="33"/>
      <c r="S11" s="33"/>
      <c r="T11" s="31">
        <f>Table15[[#This Row],[Quantity (expected)]]*Table15[[#This Row],[Rate (expected)]]</f>
        <v>0</v>
      </c>
      <c r="U11" s="31"/>
      <c r="V11" s="31"/>
      <c r="W11" s="4"/>
      <c r="X11" s="32"/>
      <c r="Y11" s="35"/>
    </row>
    <row r="12" spans="1:25" x14ac:dyDescent="0.3">
      <c r="A12" s="30" t="str">
        <f>IFERROR(VLOOKUP(F12,'Accoount Code Combination'!$D:$L,8,FALSE),"")</f>
        <v/>
      </c>
      <c r="B12" s="31" t="str">
        <f>IFERROR(VLOOKUP(Table15[[#This Row],[Account Code]],'Accoount Code Combination'!$D:$L,9,FALSE),"")</f>
        <v/>
      </c>
      <c r="C12" s="4" t="str">
        <f>IFERROR(VLOOKUP(Table15[[#This Row],[Cost Center Code]],'Cost Center Group'!A:B,2,FALSE),"")</f>
        <v/>
      </c>
      <c r="D12" s="79"/>
      <c r="E12" s="32"/>
      <c r="F12" s="95"/>
      <c r="G12" s="31" t="str">
        <f>IFERROR(VLOOKUP(Table15[[#This Row],[Account Code]],'Accoount Code Combination'!$D:$H,2,FALSE),"")</f>
        <v/>
      </c>
      <c r="H12" s="31"/>
      <c r="I12" s="4"/>
      <c r="J12" s="32" t="str">
        <f>IFERROR(VLOOKUP(Table15[[#This Row],[Future-1 Description]],'Other '!$E:$F,2,FALSE),"")</f>
        <v/>
      </c>
      <c r="K12" s="32"/>
      <c r="L12" s="32"/>
      <c r="M12" s="32"/>
      <c r="N12" s="32"/>
      <c r="O12" s="32"/>
      <c r="P12" s="32"/>
      <c r="Q12" s="32"/>
      <c r="R12" s="33"/>
      <c r="S12" s="33"/>
      <c r="T12" s="31">
        <f>Table15[[#This Row],[Quantity (expected)]]*Table15[[#This Row],[Rate (expected)]]</f>
        <v>0</v>
      </c>
      <c r="U12" s="31"/>
      <c r="V12" s="31"/>
      <c r="W12" s="4"/>
      <c r="X12" s="32"/>
      <c r="Y12" s="35"/>
    </row>
    <row r="13" spans="1:25" x14ac:dyDescent="0.3">
      <c r="A13" s="30" t="str">
        <f>IFERROR(VLOOKUP(F13,'Accoount Code Combination'!$D:$L,8,FALSE),"")</f>
        <v/>
      </c>
      <c r="B13" s="31" t="str">
        <f>IFERROR(VLOOKUP(Table15[[#This Row],[Account Code]],'Accoount Code Combination'!$D:$L,9,FALSE),"")</f>
        <v/>
      </c>
      <c r="C13" s="4" t="str">
        <f>IFERROR(VLOOKUP(Table15[[#This Row],[Cost Center Code]],'Cost Center Group'!A:B,2,FALSE),"")</f>
        <v/>
      </c>
      <c r="D13" s="79"/>
      <c r="E13" s="32"/>
      <c r="F13" s="95"/>
      <c r="G13" s="31" t="str">
        <f>IFERROR(VLOOKUP(Table15[[#This Row],[Account Code]],'Accoount Code Combination'!$D:$H,2,FALSE),"")</f>
        <v/>
      </c>
      <c r="H13" s="31"/>
      <c r="I13" s="4"/>
      <c r="J13" s="32" t="str">
        <f>IFERROR(VLOOKUP(Table15[[#This Row],[Future-1 Description]],'Other '!$E:$F,2,FALSE),"")</f>
        <v/>
      </c>
      <c r="K13" s="32"/>
      <c r="L13" s="32"/>
      <c r="M13" s="32"/>
      <c r="N13" s="32"/>
      <c r="O13" s="32"/>
      <c r="P13" s="32"/>
      <c r="Q13" s="32"/>
      <c r="R13" s="33"/>
      <c r="S13" s="33"/>
      <c r="T13" s="31">
        <f>Table15[[#This Row],[Quantity (expected)]]*Table15[[#This Row],[Rate (expected)]]</f>
        <v>0</v>
      </c>
      <c r="U13" s="31"/>
      <c r="V13" s="31"/>
      <c r="W13" s="4"/>
      <c r="X13" s="32"/>
      <c r="Y13" s="35"/>
    </row>
    <row r="14" spans="1:25" x14ac:dyDescent="0.3">
      <c r="A14" s="30" t="str">
        <f>IFERROR(VLOOKUP(F14,'Accoount Code Combination'!$D:$L,8,FALSE),"")</f>
        <v/>
      </c>
      <c r="B14" s="31" t="str">
        <f>IFERROR(VLOOKUP(Table15[[#This Row],[Account Code]],'Accoount Code Combination'!$D:$L,9,FALSE),"")</f>
        <v/>
      </c>
      <c r="C14" s="4" t="str">
        <f>IFERROR(VLOOKUP(Table15[[#This Row],[Cost Center Code]],'Cost Center Group'!A:B,2,FALSE),"")</f>
        <v/>
      </c>
      <c r="D14" s="79"/>
      <c r="E14" s="32"/>
      <c r="F14" s="95"/>
      <c r="G14" s="31" t="str">
        <f>IFERROR(VLOOKUP(Table15[[#This Row],[Account Code]],'Accoount Code Combination'!$D:$H,2,FALSE),"")</f>
        <v/>
      </c>
      <c r="H14" s="31"/>
      <c r="I14" s="4"/>
      <c r="J14" s="32" t="str">
        <f>IFERROR(VLOOKUP(Table15[[#This Row],[Future-1 Description]],'Other '!$E:$F,2,FALSE),"")</f>
        <v/>
      </c>
      <c r="K14" s="32"/>
      <c r="L14" s="32"/>
      <c r="M14" s="32"/>
      <c r="N14" s="32"/>
      <c r="O14" s="32"/>
      <c r="P14" s="32"/>
      <c r="Q14" s="32"/>
      <c r="R14" s="33"/>
      <c r="S14" s="33"/>
      <c r="T14" s="31">
        <f>Table15[[#This Row],[Quantity (expected)]]*Table15[[#This Row],[Rate (expected)]]</f>
        <v>0</v>
      </c>
      <c r="U14" s="31"/>
      <c r="V14" s="31"/>
      <c r="W14" s="4"/>
      <c r="X14" s="32"/>
      <c r="Y14" s="35"/>
    </row>
    <row r="15" spans="1:25" x14ac:dyDescent="0.3">
      <c r="A15" s="30" t="str">
        <f>IFERROR(VLOOKUP(F15,'Accoount Code Combination'!$D:$L,8,FALSE),"")</f>
        <v/>
      </c>
      <c r="B15" s="31" t="str">
        <f>IFERROR(VLOOKUP(Table15[[#This Row],[Account Code]],'Accoount Code Combination'!$D:$L,9,FALSE),"")</f>
        <v/>
      </c>
      <c r="C15" s="4" t="str">
        <f>IFERROR(VLOOKUP(Table15[[#This Row],[Cost Center Code]],'Cost Center Group'!A:B,2,FALSE),"")</f>
        <v/>
      </c>
      <c r="D15" s="79"/>
      <c r="E15" s="32"/>
      <c r="F15" s="95"/>
      <c r="G15" s="31" t="str">
        <f>IFERROR(VLOOKUP(Table15[[#This Row],[Account Code]],'Accoount Code Combination'!$D:$H,2,FALSE),"")</f>
        <v/>
      </c>
      <c r="H15" s="31"/>
      <c r="I15" s="4"/>
      <c r="J15" s="32" t="str">
        <f>IFERROR(VLOOKUP(Table15[[#This Row],[Future-1 Description]],'Other '!$E:$F,2,FALSE),"")</f>
        <v/>
      </c>
      <c r="K15" s="32"/>
      <c r="L15" s="32"/>
      <c r="M15" s="32"/>
      <c r="N15" s="32"/>
      <c r="O15" s="32"/>
      <c r="P15" s="32"/>
      <c r="Q15" s="32"/>
      <c r="R15" s="33"/>
      <c r="S15" s="33"/>
      <c r="T15" s="31">
        <f>Table15[[#This Row],[Quantity (expected)]]*Table15[[#This Row],[Rate (expected)]]</f>
        <v>0</v>
      </c>
      <c r="U15" s="31"/>
      <c r="V15" s="31"/>
      <c r="W15" s="4"/>
      <c r="X15" s="32"/>
      <c r="Y15" s="35"/>
    </row>
    <row r="16" spans="1:25" x14ac:dyDescent="0.3">
      <c r="A16" s="30" t="str">
        <f>IFERROR(VLOOKUP(F16,'Accoount Code Combination'!$D:$L,8,FALSE),"")</f>
        <v/>
      </c>
      <c r="B16" s="31" t="str">
        <f>IFERROR(VLOOKUP(Table15[[#This Row],[Account Code]],'Accoount Code Combination'!$D:$L,9,FALSE),"")</f>
        <v/>
      </c>
      <c r="C16" s="4" t="str">
        <f>IFERROR(VLOOKUP(Table15[[#This Row],[Cost Center Code]],'Cost Center Group'!A:B,2,FALSE),"")</f>
        <v/>
      </c>
      <c r="D16" s="79"/>
      <c r="E16" s="32"/>
      <c r="F16" s="95"/>
      <c r="G16" s="31" t="str">
        <f>IFERROR(VLOOKUP(Table15[[#This Row],[Account Code]],'Accoount Code Combination'!$D:$H,2,FALSE),"")</f>
        <v/>
      </c>
      <c r="H16" s="31"/>
      <c r="I16" s="4"/>
      <c r="J16" s="32" t="str">
        <f>IFERROR(VLOOKUP(Table15[[#This Row],[Future-1 Description]],'Other '!$E:$F,2,FALSE),"")</f>
        <v/>
      </c>
      <c r="K16" s="32"/>
      <c r="L16" s="32"/>
      <c r="M16" s="32"/>
      <c r="N16" s="32"/>
      <c r="O16" s="32"/>
      <c r="P16" s="32"/>
      <c r="Q16" s="32"/>
      <c r="R16" s="33"/>
      <c r="S16" s="33"/>
      <c r="T16" s="31">
        <f>Table15[[#This Row],[Quantity (expected)]]*Table15[[#This Row],[Rate (expected)]]</f>
        <v>0</v>
      </c>
      <c r="U16" s="31"/>
      <c r="V16" s="31"/>
      <c r="W16" s="4"/>
      <c r="X16" s="32"/>
      <c r="Y16" s="35"/>
    </row>
    <row r="17" spans="1:25" x14ac:dyDescent="0.3">
      <c r="A17" s="30" t="str">
        <f>IFERROR(VLOOKUP(F17,'Accoount Code Combination'!$D:$L,8,FALSE),"")</f>
        <v/>
      </c>
      <c r="B17" s="31" t="str">
        <f>IFERROR(VLOOKUP(Table15[[#This Row],[Account Code]],'Accoount Code Combination'!$D:$L,9,FALSE),"")</f>
        <v/>
      </c>
      <c r="C17" s="4" t="str">
        <f>IFERROR(VLOOKUP(Table15[[#This Row],[Cost Center Code]],'Cost Center Group'!A:B,2,FALSE),"")</f>
        <v/>
      </c>
      <c r="D17" s="79"/>
      <c r="E17" s="32"/>
      <c r="F17" s="95"/>
      <c r="G17" s="31" t="str">
        <f>IFERROR(VLOOKUP(Table15[[#This Row],[Account Code]],'Accoount Code Combination'!$D:$H,2,FALSE),"")</f>
        <v/>
      </c>
      <c r="H17" s="31"/>
      <c r="I17" s="4"/>
      <c r="J17" s="32" t="str">
        <f>IFERROR(VLOOKUP(Table15[[#This Row],[Future-1 Description]],'Other '!$E:$F,2,FALSE),"")</f>
        <v/>
      </c>
      <c r="K17" s="32"/>
      <c r="L17" s="32"/>
      <c r="M17" s="32"/>
      <c r="N17" s="32"/>
      <c r="O17" s="32"/>
      <c r="P17" s="32"/>
      <c r="Q17" s="32"/>
      <c r="R17" s="33"/>
      <c r="S17" s="33"/>
      <c r="T17" s="31">
        <f>Table15[[#This Row],[Quantity (expected)]]*Table15[[#This Row],[Rate (expected)]]</f>
        <v>0</v>
      </c>
      <c r="U17" s="31"/>
      <c r="V17" s="31"/>
      <c r="W17" s="4"/>
      <c r="X17" s="32"/>
      <c r="Y17" s="35"/>
    </row>
    <row r="18" spans="1:25" x14ac:dyDescent="0.3">
      <c r="A18" s="30" t="str">
        <f>IFERROR(VLOOKUP(F18,'Accoount Code Combination'!$D:$L,8,FALSE),"")</f>
        <v/>
      </c>
      <c r="B18" s="31" t="str">
        <f>IFERROR(VLOOKUP(Table15[[#This Row],[Account Code]],'Accoount Code Combination'!$D:$L,9,FALSE),"")</f>
        <v/>
      </c>
      <c r="C18" s="4" t="str">
        <f>IFERROR(VLOOKUP(Table15[[#This Row],[Cost Center Code]],'Cost Center Group'!A:B,2,FALSE),"")</f>
        <v/>
      </c>
      <c r="D18" s="79"/>
      <c r="E18" s="32"/>
      <c r="F18" s="95"/>
      <c r="G18" s="31" t="str">
        <f>IFERROR(VLOOKUP(Table15[[#This Row],[Account Code]],'Accoount Code Combination'!$D:$H,2,FALSE),"")</f>
        <v/>
      </c>
      <c r="H18" s="31"/>
      <c r="I18" s="4"/>
      <c r="J18" s="32" t="str">
        <f>IFERROR(VLOOKUP(Table15[[#This Row],[Future-1 Description]],'Other '!$E:$F,2,FALSE),"")</f>
        <v/>
      </c>
      <c r="K18" s="32"/>
      <c r="L18" s="32"/>
      <c r="M18" s="32"/>
      <c r="N18" s="32"/>
      <c r="O18" s="32"/>
      <c r="P18" s="32"/>
      <c r="Q18" s="32"/>
      <c r="R18" s="33"/>
      <c r="S18" s="33"/>
      <c r="T18" s="31">
        <f>Table15[[#This Row],[Quantity (expected)]]*Table15[[#This Row],[Rate (expected)]]</f>
        <v>0</v>
      </c>
      <c r="U18" s="31"/>
      <c r="V18" s="31"/>
      <c r="W18" s="4"/>
      <c r="X18" s="32"/>
      <c r="Y18" s="35"/>
    </row>
    <row r="19" spans="1:25" x14ac:dyDescent="0.3">
      <c r="A19" s="30" t="str">
        <f>IFERROR(VLOOKUP(F19,'Accoount Code Combination'!$D:$L,8,FALSE),"")</f>
        <v/>
      </c>
      <c r="B19" s="31" t="str">
        <f>IFERROR(VLOOKUP(Table15[[#This Row],[Account Code]],'Accoount Code Combination'!$D:$L,9,FALSE),"")</f>
        <v/>
      </c>
      <c r="C19" s="4" t="str">
        <f>IFERROR(VLOOKUP(Table15[[#This Row],[Cost Center Code]],'Cost Center Group'!A:B,2,FALSE),"")</f>
        <v/>
      </c>
      <c r="D19" s="79"/>
      <c r="E19" s="32"/>
      <c r="F19" s="95"/>
      <c r="G19" s="31" t="str">
        <f>IFERROR(VLOOKUP(Table15[[#This Row],[Account Code]],'Accoount Code Combination'!$D:$H,2,FALSE),"")</f>
        <v/>
      </c>
      <c r="H19" s="31"/>
      <c r="I19" s="4"/>
      <c r="J19" s="32" t="str">
        <f>IFERROR(VLOOKUP(Table15[[#This Row],[Future-1 Description]],'Other '!$E:$F,2,FALSE),"")</f>
        <v/>
      </c>
      <c r="K19" s="32"/>
      <c r="L19" s="32"/>
      <c r="M19" s="32"/>
      <c r="N19" s="32"/>
      <c r="O19" s="32"/>
      <c r="P19" s="32"/>
      <c r="Q19" s="32"/>
      <c r="R19" s="33"/>
      <c r="S19" s="33"/>
      <c r="T19" s="31">
        <f>Table15[[#This Row],[Quantity (expected)]]*Table15[[#This Row],[Rate (expected)]]</f>
        <v>0</v>
      </c>
      <c r="U19" s="31"/>
      <c r="V19" s="31"/>
      <c r="W19" s="4"/>
      <c r="X19" s="32"/>
      <c r="Y19" s="35"/>
    </row>
    <row r="20" spans="1:25" x14ac:dyDescent="0.3">
      <c r="A20" s="30" t="str">
        <f>IFERROR(VLOOKUP(F20,'Accoount Code Combination'!$D:$L,8,FALSE),"")</f>
        <v/>
      </c>
      <c r="B20" s="31" t="str">
        <f>IFERROR(VLOOKUP(Table15[[#This Row],[Account Code]],'Accoount Code Combination'!$D:$L,9,FALSE),"")</f>
        <v/>
      </c>
      <c r="C20" s="4" t="str">
        <f>IFERROR(VLOOKUP(Table15[[#This Row],[Cost Center Code]],'Cost Center Group'!A:B,2,FALSE),"")</f>
        <v/>
      </c>
      <c r="D20" s="79"/>
      <c r="E20" s="32"/>
      <c r="F20" s="95"/>
      <c r="G20" s="31" t="str">
        <f>IFERROR(VLOOKUP(Table15[[#This Row],[Account Code]],'Accoount Code Combination'!$D:$H,2,FALSE),"")</f>
        <v/>
      </c>
      <c r="H20" s="31"/>
      <c r="I20" s="4"/>
      <c r="J20" s="32" t="str">
        <f>IFERROR(VLOOKUP(Table15[[#This Row],[Future-1 Description]],'Other '!$E:$F,2,FALSE),"")</f>
        <v/>
      </c>
      <c r="K20" s="32"/>
      <c r="L20" s="32"/>
      <c r="M20" s="32"/>
      <c r="N20" s="32"/>
      <c r="O20" s="32"/>
      <c r="P20" s="32"/>
      <c r="Q20" s="32"/>
      <c r="R20" s="33"/>
      <c r="S20" s="33"/>
      <c r="T20" s="31">
        <f>Table15[[#This Row],[Quantity (expected)]]*Table15[[#This Row],[Rate (expected)]]</f>
        <v>0</v>
      </c>
      <c r="U20" s="31"/>
      <c r="V20" s="31"/>
      <c r="W20" s="4"/>
      <c r="X20" s="32"/>
      <c r="Y20" s="35"/>
    </row>
    <row r="21" spans="1:25" x14ac:dyDescent="0.3">
      <c r="A21" s="30" t="str">
        <f>IFERROR(VLOOKUP(F21,'Accoount Code Combination'!$D:$L,8,FALSE),"")</f>
        <v/>
      </c>
      <c r="B21" s="31" t="str">
        <f>IFERROR(VLOOKUP(Table15[[#This Row],[Account Code]],'Accoount Code Combination'!$D:$L,9,FALSE),"")</f>
        <v/>
      </c>
      <c r="C21" s="4" t="str">
        <f>IFERROR(VLOOKUP(Table15[[#This Row],[Cost Center Code]],'Cost Center Group'!A:B,2,FALSE),"")</f>
        <v/>
      </c>
      <c r="D21" s="79"/>
      <c r="E21" s="32"/>
      <c r="F21" s="95"/>
      <c r="G21" s="31" t="str">
        <f>IFERROR(VLOOKUP(Table15[[#This Row],[Account Code]],'Accoount Code Combination'!$D:$H,2,FALSE),"")</f>
        <v/>
      </c>
      <c r="H21" s="31"/>
      <c r="I21" s="4"/>
      <c r="J21" s="32" t="str">
        <f>IFERROR(VLOOKUP(Table15[[#This Row],[Future-1 Description]],'Other '!$E:$F,2,FALSE),"")</f>
        <v/>
      </c>
      <c r="K21" s="32"/>
      <c r="L21" s="32"/>
      <c r="M21" s="32"/>
      <c r="N21" s="32"/>
      <c r="O21" s="32"/>
      <c r="P21" s="32"/>
      <c r="Q21" s="32"/>
      <c r="R21" s="33"/>
      <c r="S21" s="33"/>
      <c r="T21" s="31">
        <f>Table15[[#This Row],[Quantity (expected)]]*Table15[[#This Row],[Rate (expected)]]</f>
        <v>0</v>
      </c>
      <c r="U21" s="31"/>
      <c r="V21" s="31"/>
      <c r="W21" s="4"/>
      <c r="X21" s="32"/>
      <c r="Y21" s="35"/>
    </row>
    <row r="22" spans="1:25" x14ac:dyDescent="0.3">
      <c r="A22" s="30" t="str">
        <f>IFERROR(VLOOKUP(F22,'Accoount Code Combination'!$D:$L,8,FALSE),"")</f>
        <v/>
      </c>
      <c r="B22" s="31" t="str">
        <f>IFERROR(VLOOKUP(Table15[[#This Row],[Account Code]],'Accoount Code Combination'!$D:$L,9,FALSE),"")</f>
        <v/>
      </c>
      <c r="C22" s="4" t="str">
        <f>IFERROR(VLOOKUP(Table15[[#This Row],[Cost Center Code]],'Cost Center Group'!A:B,2,FALSE),"")</f>
        <v/>
      </c>
      <c r="D22" s="79"/>
      <c r="E22" s="32"/>
      <c r="F22" s="95"/>
      <c r="G22" s="31" t="str">
        <f>IFERROR(VLOOKUP(Table15[[#This Row],[Account Code]],'Accoount Code Combination'!$D:$H,2,FALSE),"")</f>
        <v/>
      </c>
      <c r="H22" s="31"/>
      <c r="I22" s="4"/>
      <c r="J22" s="32" t="str">
        <f>IFERROR(VLOOKUP(Table15[[#This Row],[Future-1 Description]],'Other '!$E:$F,2,FALSE),"")</f>
        <v/>
      </c>
      <c r="K22" s="32"/>
      <c r="L22" s="32"/>
      <c r="M22" s="32"/>
      <c r="N22" s="32"/>
      <c r="O22" s="32"/>
      <c r="P22" s="32"/>
      <c r="Q22" s="32"/>
      <c r="R22" s="33"/>
      <c r="S22" s="33"/>
      <c r="T22" s="31">
        <f>Table15[[#This Row],[Quantity (expected)]]*Table15[[#This Row],[Rate (expected)]]</f>
        <v>0</v>
      </c>
      <c r="U22" s="31"/>
      <c r="V22" s="31"/>
      <c r="W22" s="4"/>
      <c r="X22" s="32"/>
      <c r="Y22" s="35"/>
    </row>
    <row r="23" spans="1:25" x14ac:dyDescent="0.3">
      <c r="A23" s="30" t="str">
        <f>IFERROR(VLOOKUP(F23,'Accoount Code Combination'!$D:$L,8,FALSE),"")</f>
        <v/>
      </c>
      <c r="B23" s="31" t="str">
        <f>IFERROR(VLOOKUP(Table15[[#This Row],[Account Code]],'Accoount Code Combination'!$D:$L,9,FALSE),"")</f>
        <v/>
      </c>
      <c r="C23" s="4" t="str">
        <f>IFERROR(VLOOKUP(Table15[[#This Row],[Cost Center Code]],'Cost Center Group'!A:B,2,FALSE),"")</f>
        <v/>
      </c>
      <c r="D23" s="79"/>
      <c r="E23" s="32"/>
      <c r="F23" s="95"/>
      <c r="G23" s="31" t="str">
        <f>IFERROR(VLOOKUP(Table15[[#This Row],[Account Code]],'Accoount Code Combination'!$D:$H,2,FALSE),"")</f>
        <v/>
      </c>
      <c r="H23" s="31"/>
      <c r="I23" s="4"/>
      <c r="J23" s="32" t="str">
        <f>IFERROR(VLOOKUP(Table15[[#This Row],[Future-1 Description]],'Other '!$E:$F,2,FALSE),"")</f>
        <v/>
      </c>
      <c r="K23" s="32"/>
      <c r="L23" s="32"/>
      <c r="M23" s="32"/>
      <c r="N23" s="32"/>
      <c r="O23" s="32"/>
      <c r="P23" s="32"/>
      <c r="Q23" s="32"/>
      <c r="R23" s="33"/>
      <c r="S23" s="33"/>
      <c r="T23" s="31">
        <f>Table15[[#This Row],[Quantity (expected)]]*Table15[[#This Row],[Rate (expected)]]</f>
        <v>0</v>
      </c>
      <c r="U23" s="31"/>
      <c r="V23" s="31"/>
      <c r="W23" s="4"/>
      <c r="X23" s="32"/>
      <c r="Y23" s="35"/>
    </row>
    <row r="24" spans="1:25" x14ac:dyDescent="0.3">
      <c r="A24" s="30" t="str">
        <f>IFERROR(VLOOKUP(F24,'Accoount Code Combination'!$D:$L,8,FALSE),"")</f>
        <v/>
      </c>
      <c r="B24" s="31" t="str">
        <f>IFERROR(VLOOKUP(Table15[[#This Row],[Account Code]],'Accoount Code Combination'!$D:$L,9,FALSE),"")</f>
        <v/>
      </c>
      <c r="C24" s="4" t="str">
        <f>IFERROR(VLOOKUP(Table15[[#This Row],[Cost Center Code]],'Cost Center Group'!A:B,2,FALSE),"")</f>
        <v/>
      </c>
      <c r="D24" s="79"/>
      <c r="E24" s="32"/>
      <c r="F24" s="95"/>
      <c r="G24" s="31" t="str">
        <f>IFERROR(VLOOKUP(Table15[[#This Row],[Account Code]],'Accoount Code Combination'!$D:$H,2,FALSE),"")</f>
        <v/>
      </c>
      <c r="H24" s="31"/>
      <c r="I24" s="4"/>
      <c r="J24" s="32" t="str">
        <f>IFERROR(VLOOKUP(Table15[[#This Row],[Future-1 Description]],'Other '!$E:$F,2,FALSE),"")</f>
        <v/>
      </c>
      <c r="K24" s="32"/>
      <c r="L24" s="32"/>
      <c r="M24" s="32"/>
      <c r="N24" s="32"/>
      <c r="O24" s="32"/>
      <c r="P24" s="32"/>
      <c r="Q24" s="32"/>
      <c r="R24" s="33"/>
      <c r="S24" s="33"/>
      <c r="T24" s="31">
        <f>Table15[[#This Row],[Quantity (expected)]]*Table15[[#This Row],[Rate (expected)]]</f>
        <v>0</v>
      </c>
      <c r="U24" s="31"/>
      <c r="V24" s="31"/>
      <c r="W24" s="4"/>
      <c r="X24" s="32"/>
      <c r="Y24" s="35"/>
    </row>
    <row r="25" spans="1:25" x14ac:dyDescent="0.3">
      <c r="A25" s="30" t="str">
        <f>IFERROR(VLOOKUP(F25,'Accoount Code Combination'!$D:$L,8,FALSE),"")</f>
        <v/>
      </c>
      <c r="B25" s="31" t="str">
        <f>IFERROR(VLOOKUP(Table15[[#This Row],[Account Code]],'Accoount Code Combination'!$D:$L,9,FALSE),"")</f>
        <v/>
      </c>
      <c r="C25" s="4" t="str">
        <f>IFERROR(VLOOKUP(Table15[[#This Row],[Cost Center Code]],'Cost Center Group'!A:B,2,FALSE),"")</f>
        <v/>
      </c>
      <c r="D25" s="79"/>
      <c r="E25" s="32"/>
      <c r="F25" s="95"/>
      <c r="G25" s="31" t="str">
        <f>IFERROR(VLOOKUP(Table15[[#This Row],[Account Code]],'Accoount Code Combination'!$D:$H,2,FALSE),"")</f>
        <v/>
      </c>
      <c r="H25" s="31"/>
      <c r="I25" s="4"/>
      <c r="J25" s="32" t="str">
        <f>IFERROR(VLOOKUP(Table15[[#This Row],[Future-1 Description]],'Other '!$E:$F,2,FALSE),"")</f>
        <v/>
      </c>
      <c r="K25" s="32"/>
      <c r="L25" s="32"/>
      <c r="M25" s="32"/>
      <c r="N25" s="32"/>
      <c r="O25" s="32"/>
      <c r="P25" s="32"/>
      <c r="Q25" s="32"/>
      <c r="R25" s="33"/>
      <c r="S25" s="33"/>
      <c r="T25" s="31">
        <f>Table15[[#This Row],[Quantity (expected)]]*Table15[[#This Row],[Rate (expected)]]</f>
        <v>0</v>
      </c>
      <c r="U25" s="31"/>
      <c r="V25" s="31"/>
      <c r="W25" s="4"/>
      <c r="X25" s="32"/>
      <c r="Y25" s="35"/>
    </row>
    <row r="26" spans="1:25" x14ac:dyDescent="0.3">
      <c r="A26" s="30" t="str">
        <f>IFERROR(VLOOKUP(F26,'Accoount Code Combination'!$D:$L,8,FALSE),"")</f>
        <v/>
      </c>
      <c r="B26" s="31" t="str">
        <f>IFERROR(VLOOKUP(Table15[[#This Row],[Account Code]],'Accoount Code Combination'!$D:$L,9,FALSE),"")</f>
        <v/>
      </c>
      <c r="C26" s="4" t="str">
        <f>IFERROR(VLOOKUP(Table15[[#This Row],[Cost Center Code]],'Cost Center Group'!A:B,2,FALSE),"")</f>
        <v/>
      </c>
      <c r="D26" s="79"/>
      <c r="E26" s="32"/>
      <c r="F26" s="95"/>
      <c r="G26" s="31" t="str">
        <f>IFERROR(VLOOKUP(Table15[[#This Row],[Account Code]],'Accoount Code Combination'!$D:$H,2,FALSE),"")</f>
        <v/>
      </c>
      <c r="H26" s="31"/>
      <c r="I26" s="4"/>
      <c r="J26" s="32" t="str">
        <f>IFERROR(VLOOKUP(Table15[[#This Row],[Future-1 Description]],'Other '!$E:$F,2,FALSE),"")</f>
        <v/>
      </c>
      <c r="K26" s="32"/>
      <c r="L26" s="32"/>
      <c r="M26" s="32"/>
      <c r="N26" s="32"/>
      <c r="O26" s="32"/>
      <c r="P26" s="32"/>
      <c r="Q26" s="32"/>
      <c r="R26" s="33"/>
      <c r="S26" s="33"/>
      <c r="T26" s="31">
        <f>Table15[[#This Row],[Quantity (expected)]]*Table15[[#This Row],[Rate (expected)]]</f>
        <v>0</v>
      </c>
      <c r="U26" s="31"/>
      <c r="V26" s="31"/>
      <c r="W26" s="4"/>
      <c r="X26" s="32"/>
      <c r="Y26" s="35"/>
    </row>
    <row r="27" spans="1:25" x14ac:dyDescent="0.3">
      <c r="A27" s="30" t="str">
        <f>IFERROR(VLOOKUP(F27,'Accoount Code Combination'!$D:$L,8,FALSE),"")</f>
        <v/>
      </c>
      <c r="B27" s="31" t="str">
        <f>IFERROR(VLOOKUP(Table15[[#This Row],[Account Code]],'Accoount Code Combination'!$D:$L,9,FALSE),"")</f>
        <v/>
      </c>
      <c r="C27" s="4" t="str">
        <f>IFERROR(VLOOKUP(Table15[[#This Row],[Cost Center Code]],'Cost Center Group'!A:B,2,FALSE),"")</f>
        <v/>
      </c>
      <c r="D27" s="79"/>
      <c r="E27" s="32"/>
      <c r="F27" s="95"/>
      <c r="G27" s="31" t="str">
        <f>IFERROR(VLOOKUP(Table15[[#This Row],[Account Code]],'Accoount Code Combination'!$D:$H,2,FALSE),"")</f>
        <v/>
      </c>
      <c r="H27" s="31"/>
      <c r="I27" s="4"/>
      <c r="J27" s="32" t="str">
        <f>IFERROR(VLOOKUP(Table15[[#This Row],[Future-1 Description]],'Other '!$E:$F,2,FALSE),"")</f>
        <v/>
      </c>
      <c r="K27" s="32"/>
      <c r="L27" s="32"/>
      <c r="M27" s="32"/>
      <c r="N27" s="32"/>
      <c r="O27" s="32"/>
      <c r="P27" s="32"/>
      <c r="Q27" s="32"/>
      <c r="R27" s="33"/>
      <c r="S27" s="33"/>
      <c r="T27" s="31">
        <f>Table15[[#This Row],[Quantity (expected)]]*Table15[[#This Row],[Rate (expected)]]</f>
        <v>0</v>
      </c>
      <c r="U27" s="31"/>
      <c r="V27" s="31"/>
      <c r="W27" s="4"/>
      <c r="X27" s="32"/>
      <c r="Y27" s="35"/>
    </row>
    <row r="28" spans="1:25" x14ac:dyDescent="0.3">
      <c r="A28" s="30" t="str">
        <f>IFERROR(VLOOKUP(F28,'Accoount Code Combination'!$D:$L,8,FALSE),"")</f>
        <v/>
      </c>
      <c r="B28" s="31" t="str">
        <f>IFERROR(VLOOKUP(Table15[[#This Row],[Account Code]],'Accoount Code Combination'!$D:$L,9,FALSE),"")</f>
        <v/>
      </c>
      <c r="C28" s="4" t="str">
        <f>IFERROR(VLOOKUP(Table15[[#This Row],[Cost Center Code]],'Cost Center Group'!A:B,2,FALSE),"")</f>
        <v/>
      </c>
      <c r="D28" s="79"/>
      <c r="E28" s="32"/>
      <c r="F28" s="95"/>
      <c r="G28" s="31" t="str">
        <f>IFERROR(VLOOKUP(Table15[[#This Row],[Account Code]],'Accoount Code Combination'!$D:$H,2,FALSE),"")</f>
        <v/>
      </c>
      <c r="H28" s="31"/>
      <c r="I28" s="4"/>
      <c r="J28" s="32" t="str">
        <f>IFERROR(VLOOKUP(Table15[[#This Row],[Future-1 Description]],'Other '!$E:$F,2,FALSE),"")</f>
        <v/>
      </c>
      <c r="K28" s="32"/>
      <c r="L28" s="32"/>
      <c r="M28" s="32"/>
      <c r="N28" s="32"/>
      <c r="O28" s="32"/>
      <c r="P28" s="32"/>
      <c r="Q28" s="32"/>
      <c r="R28" s="33"/>
      <c r="S28" s="33"/>
      <c r="T28" s="31">
        <f>Table15[[#This Row],[Quantity (expected)]]*Table15[[#This Row],[Rate (expected)]]</f>
        <v>0</v>
      </c>
      <c r="U28" s="31"/>
      <c r="V28" s="31"/>
      <c r="W28" s="4"/>
      <c r="X28" s="32"/>
      <c r="Y28" s="35"/>
    </row>
    <row r="29" spans="1:25" x14ac:dyDescent="0.3">
      <c r="A29" s="30" t="str">
        <f>IFERROR(VLOOKUP(F29,'Accoount Code Combination'!$D:$L,8,FALSE),"")</f>
        <v/>
      </c>
      <c r="B29" s="31" t="str">
        <f>IFERROR(VLOOKUP(Table15[[#This Row],[Account Code]],'Accoount Code Combination'!$D:$L,9,FALSE),"")</f>
        <v/>
      </c>
      <c r="C29" s="4" t="str">
        <f>IFERROR(VLOOKUP(Table15[[#This Row],[Cost Center Code]],'Cost Center Group'!A:B,2,FALSE),"")</f>
        <v/>
      </c>
      <c r="D29" s="79"/>
      <c r="E29" s="32"/>
      <c r="F29" s="95"/>
      <c r="G29" s="31" t="str">
        <f>IFERROR(VLOOKUP(Table15[[#This Row],[Account Code]],'Accoount Code Combination'!$D:$H,2,FALSE),"")</f>
        <v/>
      </c>
      <c r="H29" s="31"/>
      <c r="I29" s="4"/>
      <c r="J29" s="32" t="str">
        <f>IFERROR(VLOOKUP(Table15[[#This Row],[Future-1 Description]],'Other '!$E:$F,2,FALSE),"")</f>
        <v/>
      </c>
      <c r="K29" s="32"/>
      <c r="L29" s="32"/>
      <c r="M29" s="32"/>
      <c r="N29" s="32"/>
      <c r="O29" s="32"/>
      <c r="P29" s="32"/>
      <c r="Q29" s="32"/>
      <c r="R29" s="33"/>
      <c r="S29" s="33"/>
      <c r="T29" s="31">
        <f>Table15[[#This Row],[Quantity (expected)]]*Table15[[#This Row],[Rate (expected)]]</f>
        <v>0</v>
      </c>
      <c r="U29" s="31"/>
      <c r="V29" s="31"/>
      <c r="W29" s="4"/>
      <c r="X29" s="32"/>
      <c r="Y29" s="35"/>
    </row>
    <row r="30" spans="1:25" x14ac:dyDescent="0.3">
      <c r="A30" s="30" t="str">
        <f>IFERROR(VLOOKUP(F30,'Accoount Code Combination'!$D:$L,8,FALSE),"")</f>
        <v/>
      </c>
      <c r="B30" s="31" t="str">
        <f>IFERROR(VLOOKUP(Table15[[#This Row],[Account Code]],'Accoount Code Combination'!$D:$L,9,FALSE),"")</f>
        <v/>
      </c>
      <c r="C30" s="4" t="str">
        <f>IFERROR(VLOOKUP(Table15[[#This Row],[Cost Center Code]],'Cost Center Group'!A:B,2,FALSE),"")</f>
        <v/>
      </c>
      <c r="D30" s="79"/>
      <c r="E30" s="32"/>
      <c r="F30" s="95"/>
      <c r="G30" s="31" t="str">
        <f>IFERROR(VLOOKUP(Table15[[#This Row],[Account Code]],'Accoount Code Combination'!$D:$H,2,FALSE),"")</f>
        <v/>
      </c>
      <c r="H30" s="31"/>
      <c r="I30" s="4"/>
      <c r="J30" s="32" t="str">
        <f>IFERROR(VLOOKUP(Table15[[#This Row],[Future-1 Description]],'Other '!$E:$F,2,FALSE),"")</f>
        <v/>
      </c>
      <c r="K30" s="32"/>
      <c r="L30" s="32"/>
      <c r="M30" s="32"/>
      <c r="N30" s="32"/>
      <c r="O30" s="32"/>
      <c r="P30" s="32"/>
      <c r="Q30" s="32"/>
      <c r="R30" s="33"/>
      <c r="S30" s="33"/>
      <c r="T30" s="31">
        <f>Table15[[#This Row],[Quantity (expected)]]*Table15[[#This Row],[Rate (expected)]]</f>
        <v>0</v>
      </c>
      <c r="U30" s="31"/>
      <c r="V30" s="31"/>
      <c r="W30" s="4"/>
      <c r="X30" s="32"/>
      <c r="Y30" s="35"/>
    </row>
    <row r="31" spans="1:25" x14ac:dyDescent="0.3">
      <c r="A31" s="100"/>
      <c r="B31" s="101"/>
      <c r="C31" s="102"/>
      <c r="D31" s="102"/>
      <c r="E31" s="102"/>
      <c r="F31" s="103"/>
      <c r="G31" s="101"/>
      <c r="H31" s="101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1">
        <f>SUM(Table15[[2023 Budget ]])</f>
        <v>0</v>
      </c>
      <c r="U31" s="101"/>
      <c r="V31" s="101"/>
      <c r="W31" s="102"/>
      <c r="X31" s="102"/>
      <c r="Y31" s="104"/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whole" operator="greaterThan" allowBlank="1" showInputMessage="1" showErrorMessage="1" sqref="N6:N30 P6:P30" xr:uid="{00000000-0002-0000-0200-000000000000}">
      <formula1>0</formula1>
    </dataValidation>
    <dataValidation type="whole" operator="greaterThanOrEqual" allowBlank="1" showInputMessage="1" showErrorMessage="1" sqref="R6:R30" xr:uid="{00000000-0002-0000-0200-000001000000}">
      <formula1>1</formula1>
    </dataValidation>
  </dataValidations>
  <hyperlinks>
    <hyperlink ref="M2" location="'Main Page'!A1" display="Return to Main Page" xr:uid="{00000000-0004-0000-0200-000000000000}"/>
  </hyperlinks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2000000}">
          <x14:formula1>
            <xm:f>'Strategic Objectives 2023'!$C$6:$C$38</xm:f>
          </x14:formula1>
          <xm:sqref>W6:W30</xm:sqref>
        </x14:dataValidation>
        <x14:dataValidation type="list" allowBlank="1" showInputMessage="1" showErrorMessage="1" error="Click the drop box and select the appropriate value" xr:uid="{00000000-0002-0000-0200-000003000000}">
          <x14:formula1>
            <xm:f>'Other '!$B$2:$B$3</xm:f>
          </x14:formula1>
          <xm:sqref>V6:V30</xm:sqref>
        </x14:dataValidation>
        <x14:dataValidation type="list" allowBlank="1" showInputMessage="1" showErrorMessage="1" errorTitle="Select the appropriate value" error="Clik the drop box and select the appropriate value" xr:uid="{00000000-0002-0000-0200-000004000000}">
          <x14:formula1>
            <xm:f>'Other '!$A$2:$A$3</xm:f>
          </x14:formula1>
          <xm:sqref>U6:U7</xm:sqref>
        </x14:dataValidation>
        <x14:dataValidation type="list" allowBlank="1" showInputMessage="1" showErrorMessage="1" xr:uid="{00000000-0002-0000-0200-000005000000}">
          <x14:formula1>
            <xm:f>'Other '!$A$2:$A$3</xm:f>
          </x14:formula1>
          <xm:sqref>U8:U30</xm:sqref>
        </x14:dataValidation>
        <x14:dataValidation type="list" allowBlank="1" showInputMessage="1" showErrorMessage="1" xr:uid="{00000000-0002-0000-0200-000006000000}">
          <x14:formula1>
            <xm:f>'Other '!$E$2:$E$20</xm:f>
          </x14:formula1>
          <xm:sqref>I6:I30</xm:sqref>
        </x14:dataValidation>
        <x14:dataValidation type="list" allowBlank="1" showInputMessage="1" showErrorMessage="1" xr:uid="{00000000-0002-0000-0200-000007000000}">
          <x14:formula1>
            <xm:f>'Account Code'!$A$4:$A$1048576</xm:f>
          </x14:formula1>
          <xm:sqref>F6:F30</xm:sqref>
        </x14:dataValidation>
        <x14:dataValidation type="list" allowBlank="1" showInputMessage="1" showErrorMessage="1" xr:uid="{00000000-0002-0000-0200-000008000000}">
          <x14:formula1>
            <xm:f>'Cost Center'!$A$2:$A$67</xm:f>
          </x14:formula1>
          <xm:sqref>G2</xm:sqref>
        </x14:dataValidation>
        <x14:dataValidation type="list" operator="greaterThan" allowBlank="1" showInputMessage="1" showErrorMessage="1" xr:uid="{00000000-0002-0000-0200-000009000000}">
          <x14:formula1>
            <xm:f>Drivers!#REF!</xm:f>
          </x14:formula1>
          <xm:sqref>O8:O30</xm:sqref>
        </x14:dataValidation>
        <x14:dataValidation type="list" allowBlank="1" showInputMessage="1" showErrorMessage="1" xr:uid="{00000000-0002-0000-0200-00000A000000}">
          <x14:formula1>
            <xm:f>Drivers!#REF!</xm:f>
          </x14:formula1>
          <xm:sqref>M8:M30</xm:sqref>
        </x14:dataValidation>
        <x14:dataValidation type="list" allowBlank="1" showInputMessage="1" showErrorMessage="1" xr:uid="{00000000-0002-0000-0200-00000B000000}">
          <x14:formula1>
            <xm:f>Drivers!$A$3:$A$1048576</xm:f>
          </x14:formula1>
          <xm:sqref>M6:M7</xm:sqref>
        </x14:dataValidation>
        <x14:dataValidation type="list" operator="greaterThan" allowBlank="1" showInputMessage="1" showErrorMessage="1" xr:uid="{00000000-0002-0000-0200-00000C000000}">
          <x14:formula1>
            <xm:f>Drivers!$A$3:$A$1048576</xm:f>
          </x14:formula1>
          <xm:sqref>O6:O7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"/>
  <sheetViews>
    <sheetView showGridLines="0" topLeftCell="F1" workbookViewId="0">
      <pane ySplit="5" topLeftCell="A6" activePane="bottomLeft" state="frozen"/>
      <selection activeCell="A11" sqref="A11"/>
      <selection pane="bottomLeft" activeCell="M18" sqref="M18"/>
    </sheetView>
  </sheetViews>
  <sheetFormatPr defaultColWidth="8.7265625" defaultRowHeight="13" x14ac:dyDescent="0.3"/>
  <cols>
    <col min="1" max="1" width="11" style="1" hidden="1" customWidth="1"/>
    <col min="2" max="2" width="14.7265625" style="1" hidden="1" customWidth="1"/>
    <col min="3" max="3" width="5.54296875" style="1" hidden="1" customWidth="1"/>
    <col min="4" max="4" width="7.7265625" style="1" hidden="1" customWidth="1"/>
    <col min="5" max="5" width="8.81640625" style="1" hidden="1" customWidth="1"/>
    <col min="6" max="6" width="21.453125" style="97" customWidth="1"/>
    <col min="7" max="7" width="29.1796875" style="1" customWidth="1"/>
    <col min="8" max="8" width="39.7265625" style="1" hidden="1" customWidth="1"/>
    <col min="9" max="9" width="18.1796875" style="1" hidden="1" customWidth="1"/>
    <col min="10" max="10" width="9.453125" style="1" hidden="1" customWidth="1"/>
    <col min="11" max="11" width="18.1796875" style="1" hidden="1" customWidth="1"/>
    <col min="12" max="12" width="8" style="1" hidden="1" customWidth="1"/>
    <col min="13" max="13" width="17.81640625" style="1" bestFit="1" customWidth="1"/>
    <col min="14" max="14" width="15.81640625" style="1" bestFit="1" customWidth="1"/>
    <col min="15" max="15" width="20.81640625" style="1" customWidth="1"/>
    <col min="16" max="16" width="15.81640625" style="1" customWidth="1"/>
    <col min="17" max="17" width="32.453125" style="1" bestFit="1" customWidth="1"/>
    <col min="18" max="18" width="17.7265625" style="1" bestFit="1" customWidth="1"/>
    <col min="19" max="19" width="14.1796875" style="1" bestFit="1" customWidth="1"/>
    <col min="20" max="20" width="14.54296875" style="1" customWidth="1"/>
    <col min="21" max="21" width="20.54296875" style="1" bestFit="1" customWidth="1"/>
    <col min="22" max="22" width="19.81640625" style="1" customWidth="1"/>
    <col min="23" max="23" width="51" style="1" customWidth="1"/>
    <col min="24" max="24" width="28.453125" style="1" bestFit="1" customWidth="1"/>
    <col min="25" max="25" width="56.1796875" style="1" bestFit="1" customWidth="1"/>
    <col min="26" max="16384" width="8.7265625" style="1"/>
  </cols>
  <sheetData>
    <row r="1" spans="1:25" ht="17.149999999999999" customHeight="1" x14ac:dyDescent="0.3">
      <c r="F1" s="116" t="s">
        <v>1400</v>
      </c>
      <c r="G1" s="91" t="str">
        <f>IFERROR(VLOOKUP(G2,'Cost Center'!$A:$B,2,FALSE),"")</f>
        <v/>
      </c>
    </row>
    <row r="2" spans="1:25" ht="17.149999999999999" customHeight="1" x14ac:dyDescent="0.35">
      <c r="F2" s="92" t="s">
        <v>1418</v>
      </c>
      <c r="G2" s="92"/>
      <c r="M2" s="108" t="s">
        <v>1413</v>
      </c>
    </row>
    <row r="3" spans="1:25" x14ac:dyDescent="0.3">
      <c r="F3" s="92" t="s">
        <v>1399</v>
      </c>
      <c r="G3" s="92">
        <v>2025</v>
      </c>
    </row>
    <row r="4" spans="1:25" x14ac:dyDescent="0.3">
      <c r="A4" s="15"/>
      <c r="B4" s="15"/>
      <c r="C4" s="2"/>
      <c r="F4" s="93" t="s">
        <v>127</v>
      </c>
      <c r="M4" s="18" t="s">
        <v>127</v>
      </c>
      <c r="N4" s="17" t="s">
        <v>126</v>
      </c>
      <c r="O4" s="17" t="s">
        <v>1424</v>
      </c>
      <c r="P4" s="17" t="s">
        <v>154</v>
      </c>
      <c r="Q4" s="17" t="s">
        <v>126</v>
      </c>
      <c r="R4" s="17" t="s">
        <v>126</v>
      </c>
      <c r="S4" s="17" t="s">
        <v>126</v>
      </c>
      <c r="T4" s="17" t="s">
        <v>126</v>
      </c>
      <c r="U4" s="17" t="s">
        <v>1422</v>
      </c>
      <c r="V4" s="17" t="s">
        <v>1422</v>
      </c>
      <c r="W4" s="18" t="s">
        <v>127</v>
      </c>
      <c r="X4" s="18" t="s">
        <v>127</v>
      </c>
      <c r="Y4" s="17" t="s">
        <v>126</v>
      </c>
    </row>
    <row r="5" spans="1:25" s="14" customFormat="1" ht="26" x14ac:dyDescent="0.3">
      <c r="A5" s="10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94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6" t="s">
        <v>150</v>
      </c>
      <c r="N5" s="16" t="s">
        <v>151</v>
      </c>
      <c r="O5" s="16" t="s">
        <v>152</v>
      </c>
      <c r="P5" s="16" t="s">
        <v>153</v>
      </c>
      <c r="Q5" s="11" t="s">
        <v>12</v>
      </c>
      <c r="R5" s="11" t="s">
        <v>13</v>
      </c>
      <c r="S5" s="11" t="s">
        <v>14</v>
      </c>
      <c r="T5" s="11" t="s">
        <v>149</v>
      </c>
      <c r="U5" s="11" t="s">
        <v>155</v>
      </c>
      <c r="V5" s="11" t="s">
        <v>144</v>
      </c>
      <c r="W5" s="11" t="s">
        <v>18</v>
      </c>
      <c r="X5" s="11" t="s">
        <v>156</v>
      </c>
      <c r="Y5" s="13" t="s">
        <v>19</v>
      </c>
    </row>
    <row r="6" spans="1:25" x14ac:dyDescent="0.3">
      <c r="A6" s="3" t="str">
        <f>IFERROR(VLOOKUP(F6,'Accoount Code Combination'!$D:$L,8,FALSE),"")</f>
        <v/>
      </c>
      <c r="B6" s="4" t="str">
        <f>IFERROR(VLOOKUP(Table156[[#This Row],[Account Code]],'Accoount Code Combination'!$D:$L,9,FALSE),"")</f>
        <v/>
      </c>
      <c r="C6" s="4" t="str">
        <f>IFERROR(VLOOKUP(Table156[[#This Row],[Cost Center Code]],'Cost Center Group'!A:B,2,FALSE),"")</f>
        <v/>
      </c>
      <c r="D6" s="78"/>
      <c r="E6" s="4"/>
      <c r="F6" s="95"/>
      <c r="G6" s="4" t="str">
        <f>IFERROR(VLOOKUP(Table156[[#This Row],[Account Code]],'Accoount Code Combination'!$D:$H,2,FALSE),"")</f>
        <v/>
      </c>
      <c r="H6" s="4"/>
      <c r="I6" s="4"/>
      <c r="J6" s="4" t="str">
        <f>IFERROR(VLOOKUP(Table156[[#This Row],[Future-1 Description]],'Other '!$E:$F,2,FALSE),"")</f>
        <v/>
      </c>
      <c r="K6" s="4"/>
      <c r="L6" s="4"/>
      <c r="M6" s="4"/>
      <c r="N6" s="4"/>
      <c r="O6" s="4"/>
      <c r="P6" s="4"/>
      <c r="Q6" s="4"/>
      <c r="R6" s="5"/>
      <c r="S6" s="5"/>
      <c r="T6" s="4">
        <f>Table156[[#This Row],[Quantity (expected)]]*Table156[[#This Row],[Rate (expected)]]</f>
        <v>0</v>
      </c>
      <c r="U6" s="4"/>
      <c r="V6" s="4"/>
      <c r="W6" s="4"/>
      <c r="X6" s="4"/>
      <c r="Y6" s="7"/>
    </row>
    <row r="7" spans="1:25" x14ac:dyDescent="0.3">
      <c r="A7" s="3" t="str">
        <f>IFERROR(VLOOKUP(F7,'Accoount Code Combination'!$D:$L,8,FALSE),"")</f>
        <v/>
      </c>
      <c r="B7" s="4" t="str">
        <f>IFERROR(VLOOKUP(Table156[[#This Row],[Account Code]],'Accoount Code Combination'!$D:$L,9,FALSE),"")</f>
        <v/>
      </c>
      <c r="C7" s="4" t="str">
        <f>IFERROR(VLOOKUP(Table156[[#This Row],[Cost Center Code]],'Cost Center Group'!A:B,2,FALSE),"")</f>
        <v/>
      </c>
      <c r="D7" s="78"/>
      <c r="E7" s="4"/>
      <c r="F7" s="95"/>
      <c r="G7" s="4" t="str">
        <f>IFERROR(VLOOKUP(Table156[[#This Row],[Account Code]],'Accoount Code Combination'!$D:$H,2,FALSE),"")</f>
        <v/>
      </c>
      <c r="H7" s="4"/>
      <c r="I7" s="4"/>
      <c r="J7" s="4" t="str">
        <f>IFERROR(VLOOKUP(Table156[[#This Row],[Future-1 Description]],'Other '!$E:$F,2,FALSE),"")</f>
        <v/>
      </c>
      <c r="K7" s="4"/>
      <c r="L7" s="4"/>
      <c r="M7" s="4"/>
      <c r="N7" s="4"/>
      <c r="O7" s="4"/>
      <c r="P7" s="4"/>
      <c r="Q7" s="4"/>
      <c r="R7" s="5"/>
      <c r="S7" s="5"/>
      <c r="T7" s="8">
        <f>Table156[[#This Row],[Quantity (expected)]]*Table156[[#This Row],[Rate (expected)]]</f>
        <v>0</v>
      </c>
      <c r="U7" s="4"/>
      <c r="V7" s="4"/>
      <c r="W7" s="4"/>
      <c r="X7" s="4"/>
      <c r="Y7" s="7"/>
    </row>
    <row r="8" spans="1:25" x14ac:dyDescent="0.3">
      <c r="A8" s="30" t="str">
        <f>IFERROR(VLOOKUP(F8,'Accoount Code Combination'!$D:$L,8,FALSE),"")</f>
        <v/>
      </c>
      <c r="B8" s="31" t="str">
        <f>IFERROR(VLOOKUP(Table156[[#This Row],[Account Code]],'Accoount Code Combination'!$D:$L,9,FALSE),"")</f>
        <v/>
      </c>
      <c r="C8" s="4" t="str">
        <f>IFERROR(VLOOKUP(Table156[[#This Row],[Cost Center Code]],'Cost Center Group'!A:B,2,FALSE),"")</f>
        <v/>
      </c>
      <c r="D8" s="79"/>
      <c r="E8" s="32"/>
      <c r="F8" s="96"/>
      <c r="G8" s="31" t="str">
        <f>IFERROR(VLOOKUP(Table156[[#This Row],[Account Code]],'Accoount Code Combination'!$D:$H,2,FALSE),"")</f>
        <v/>
      </c>
      <c r="H8" s="31"/>
      <c r="I8" s="4"/>
      <c r="J8" s="32" t="str">
        <f>IFERROR(VLOOKUP(Table156[[#This Row],[Future-1 Description]],'Other '!$E:$F,2,FALSE),"")</f>
        <v/>
      </c>
      <c r="K8" s="32"/>
      <c r="L8" s="32"/>
      <c r="M8" s="32"/>
      <c r="N8" s="32"/>
      <c r="O8" s="32"/>
      <c r="P8" s="32"/>
      <c r="Q8" s="32"/>
      <c r="R8" s="33"/>
      <c r="S8" s="33"/>
      <c r="T8" s="31">
        <f>Table156[[#This Row],[Quantity (expected)]]*Table156[[#This Row],[Rate (expected)]]</f>
        <v>0</v>
      </c>
      <c r="U8" s="31"/>
      <c r="V8" s="31"/>
      <c r="W8" s="4"/>
      <c r="X8" s="32"/>
      <c r="Y8" s="35"/>
    </row>
    <row r="9" spans="1:25" x14ac:dyDescent="0.3">
      <c r="A9" s="30" t="str">
        <f>IFERROR(VLOOKUP(F9,'Accoount Code Combination'!$D:$L,8,FALSE),"")</f>
        <v/>
      </c>
      <c r="B9" s="31" t="str">
        <f>IFERROR(VLOOKUP(Table156[[#This Row],[Account Code]],'Accoount Code Combination'!$D:$L,9,FALSE),"")</f>
        <v/>
      </c>
      <c r="C9" s="4" t="str">
        <f>IFERROR(VLOOKUP(Table156[[#This Row],[Cost Center Code]],'Cost Center Group'!A:B,2,FALSE),"")</f>
        <v/>
      </c>
      <c r="D9" s="79"/>
      <c r="E9" s="32"/>
      <c r="F9" s="96"/>
      <c r="G9" s="31" t="str">
        <f>IFERROR(VLOOKUP(Table156[[#This Row],[Account Code]],'Accoount Code Combination'!$D:$H,2,FALSE),"")</f>
        <v/>
      </c>
      <c r="H9" s="31"/>
      <c r="I9" s="4"/>
      <c r="J9" s="32" t="str">
        <f>IFERROR(VLOOKUP(Table156[[#This Row],[Future-1 Description]],'Other '!$E:$F,2,FALSE),"")</f>
        <v/>
      </c>
      <c r="K9" s="32"/>
      <c r="L9" s="32"/>
      <c r="M9" s="32"/>
      <c r="N9" s="32"/>
      <c r="O9" s="32"/>
      <c r="P9" s="32"/>
      <c r="Q9" s="32"/>
      <c r="R9" s="33"/>
      <c r="S9" s="33"/>
      <c r="T9" s="31">
        <f>Table156[[#This Row],[Quantity (expected)]]*Table156[[#This Row],[Rate (expected)]]</f>
        <v>0</v>
      </c>
      <c r="U9" s="31"/>
      <c r="V9" s="31"/>
      <c r="W9" s="4"/>
      <c r="X9" s="32"/>
      <c r="Y9" s="35"/>
    </row>
    <row r="10" spans="1:25" x14ac:dyDescent="0.3">
      <c r="A10" s="30" t="str">
        <f>IFERROR(VLOOKUP(F10,'Accoount Code Combination'!$D:$L,8,FALSE),"")</f>
        <v/>
      </c>
      <c r="B10" s="31" t="str">
        <f>IFERROR(VLOOKUP(Table156[[#This Row],[Account Code]],'Accoount Code Combination'!$D:$L,9,FALSE),"")</f>
        <v/>
      </c>
      <c r="C10" s="4" t="str">
        <f>IFERROR(VLOOKUP(Table156[[#This Row],[Cost Center Code]],'Cost Center Group'!A:B,2,FALSE),"")</f>
        <v/>
      </c>
      <c r="D10" s="79"/>
      <c r="E10" s="32"/>
      <c r="F10" s="96"/>
      <c r="G10" s="31" t="str">
        <f>IFERROR(VLOOKUP(Table156[[#This Row],[Account Code]],'Accoount Code Combination'!$D:$H,2,FALSE),"")</f>
        <v/>
      </c>
      <c r="H10" s="31"/>
      <c r="I10" s="4"/>
      <c r="J10" s="32" t="str">
        <f>IFERROR(VLOOKUP(Table156[[#This Row],[Future-1 Description]],'Other '!$E:$F,2,FALSE),"")</f>
        <v/>
      </c>
      <c r="K10" s="32"/>
      <c r="L10" s="32"/>
      <c r="M10" s="32"/>
      <c r="N10" s="32"/>
      <c r="O10" s="32"/>
      <c r="P10" s="32"/>
      <c r="Q10" s="32"/>
      <c r="R10" s="33"/>
      <c r="S10" s="33"/>
      <c r="T10" s="31">
        <f>Table156[[#This Row],[Quantity (expected)]]*Table156[[#This Row],[Rate (expected)]]</f>
        <v>0</v>
      </c>
      <c r="U10" s="31"/>
      <c r="V10" s="31"/>
      <c r="W10" s="4"/>
      <c r="X10" s="32"/>
      <c r="Y10" s="35"/>
    </row>
    <row r="11" spans="1:25" x14ac:dyDescent="0.3">
      <c r="A11" s="30" t="str">
        <f>IFERROR(VLOOKUP(F11,'Accoount Code Combination'!$D:$L,8,FALSE),"")</f>
        <v/>
      </c>
      <c r="B11" s="31" t="str">
        <f>IFERROR(VLOOKUP(Table156[[#This Row],[Account Code]],'Accoount Code Combination'!$D:$L,9,FALSE),"")</f>
        <v/>
      </c>
      <c r="C11" s="4" t="str">
        <f>IFERROR(VLOOKUP(Table156[[#This Row],[Cost Center Code]],'Cost Center Group'!A:B,2,FALSE),"")</f>
        <v/>
      </c>
      <c r="D11" s="79"/>
      <c r="E11" s="32"/>
      <c r="F11" s="96"/>
      <c r="G11" s="31" t="str">
        <f>IFERROR(VLOOKUP(Table156[[#This Row],[Account Code]],'Accoount Code Combination'!$D:$H,2,FALSE),"")</f>
        <v/>
      </c>
      <c r="H11" s="31"/>
      <c r="I11" s="4"/>
      <c r="J11" s="32" t="str">
        <f>IFERROR(VLOOKUP(Table156[[#This Row],[Future-1 Description]],'Other '!$E:$F,2,FALSE),"")</f>
        <v/>
      </c>
      <c r="K11" s="32"/>
      <c r="L11" s="32"/>
      <c r="M11" s="32"/>
      <c r="N11" s="32"/>
      <c r="O11" s="32"/>
      <c r="P11" s="32"/>
      <c r="Q11" s="32"/>
      <c r="R11" s="33"/>
      <c r="S11" s="33"/>
      <c r="T11" s="31">
        <f>Table156[[#This Row],[Quantity (expected)]]*Table156[[#This Row],[Rate (expected)]]</f>
        <v>0</v>
      </c>
      <c r="U11" s="31"/>
      <c r="V11" s="31"/>
      <c r="W11" s="4"/>
      <c r="X11" s="32"/>
      <c r="Y11" s="35"/>
    </row>
    <row r="12" spans="1:25" x14ac:dyDescent="0.3">
      <c r="A12" s="30" t="str">
        <f>IFERROR(VLOOKUP(F12,'Accoount Code Combination'!$D:$L,8,FALSE),"")</f>
        <v/>
      </c>
      <c r="B12" s="31" t="str">
        <f>IFERROR(VLOOKUP(Table156[[#This Row],[Account Code]],'Accoount Code Combination'!$D:$L,9,FALSE),"")</f>
        <v/>
      </c>
      <c r="C12" s="4" t="str">
        <f>IFERROR(VLOOKUP(Table156[[#This Row],[Cost Center Code]],'Cost Center Group'!A:B,2,FALSE),"")</f>
        <v/>
      </c>
      <c r="D12" s="79"/>
      <c r="E12" s="32"/>
      <c r="F12" s="96"/>
      <c r="G12" s="31" t="str">
        <f>IFERROR(VLOOKUP(Table156[[#This Row],[Account Code]],'Accoount Code Combination'!$D:$H,2,FALSE),"")</f>
        <v/>
      </c>
      <c r="H12" s="31"/>
      <c r="I12" s="4"/>
      <c r="J12" s="32" t="str">
        <f>IFERROR(VLOOKUP(Table156[[#This Row],[Future-1 Description]],'Other '!$E:$F,2,FALSE),"")</f>
        <v/>
      </c>
      <c r="K12" s="32"/>
      <c r="L12" s="32"/>
      <c r="M12" s="32"/>
      <c r="N12" s="32"/>
      <c r="O12" s="32"/>
      <c r="P12" s="32"/>
      <c r="Q12" s="32"/>
      <c r="R12" s="33"/>
      <c r="S12" s="33"/>
      <c r="T12" s="31">
        <f>Table156[[#This Row],[Quantity (expected)]]*Table156[[#This Row],[Rate (expected)]]</f>
        <v>0</v>
      </c>
      <c r="U12" s="31"/>
      <c r="V12" s="31"/>
      <c r="W12" s="4"/>
      <c r="X12" s="32"/>
      <c r="Y12" s="35"/>
    </row>
    <row r="13" spans="1:25" x14ac:dyDescent="0.3">
      <c r="A13" s="30" t="str">
        <f>IFERROR(VLOOKUP(F13,'Accoount Code Combination'!$D:$L,8,FALSE),"")</f>
        <v/>
      </c>
      <c r="B13" s="31" t="str">
        <f>IFERROR(VLOOKUP(Table156[[#This Row],[Account Code]],'Accoount Code Combination'!$D:$L,9,FALSE),"")</f>
        <v/>
      </c>
      <c r="C13" s="4" t="str">
        <f>IFERROR(VLOOKUP(Table156[[#This Row],[Cost Center Code]],'Cost Center Group'!A:B,2,FALSE),"")</f>
        <v/>
      </c>
      <c r="D13" s="79"/>
      <c r="E13" s="32"/>
      <c r="F13" s="96"/>
      <c r="G13" s="31" t="str">
        <f>IFERROR(VLOOKUP(Table156[[#This Row],[Account Code]],'Accoount Code Combination'!$D:$H,2,FALSE),"")</f>
        <v/>
      </c>
      <c r="H13" s="31"/>
      <c r="I13" s="4"/>
      <c r="J13" s="32" t="str">
        <f>IFERROR(VLOOKUP(Table156[[#This Row],[Future-1 Description]],'Other '!$E:$F,2,FALSE),"")</f>
        <v/>
      </c>
      <c r="K13" s="32"/>
      <c r="L13" s="32"/>
      <c r="M13" s="32"/>
      <c r="N13" s="32"/>
      <c r="O13" s="32"/>
      <c r="P13" s="32"/>
      <c r="Q13" s="32"/>
      <c r="R13" s="33"/>
      <c r="S13" s="33"/>
      <c r="T13" s="31">
        <f>Table156[[#This Row],[Quantity (expected)]]*Table156[[#This Row],[Rate (expected)]]</f>
        <v>0</v>
      </c>
      <c r="U13" s="31"/>
      <c r="V13" s="31"/>
      <c r="W13" s="4"/>
      <c r="X13" s="32"/>
      <c r="Y13" s="35"/>
    </row>
    <row r="14" spans="1:25" x14ac:dyDescent="0.3">
      <c r="A14" s="30" t="str">
        <f>IFERROR(VLOOKUP(F14,'Accoount Code Combination'!$D:$L,8,FALSE),"")</f>
        <v/>
      </c>
      <c r="B14" s="31" t="str">
        <f>IFERROR(VLOOKUP(Table156[[#This Row],[Account Code]],'Accoount Code Combination'!$D:$L,9,FALSE),"")</f>
        <v/>
      </c>
      <c r="C14" s="4" t="str">
        <f>IFERROR(VLOOKUP(Table156[[#This Row],[Cost Center Code]],'Cost Center Group'!A:B,2,FALSE),"")</f>
        <v/>
      </c>
      <c r="D14" s="79"/>
      <c r="E14" s="32"/>
      <c r="F14" s="96"/>
      <c r="G14" s="31" t="str">
        <f>IFERROR(VLOOKUP(Table156[[#This Row],[Account Code]],'Accoount Code Combination'!$D:$H,2,FALSE),"")</f>
        <v/>
      </c>
      <c r="H14" s="31"/>
      <c r="I14" s="4"/>
      <c r="J14" s="32" t="str">
        <f>IFERROR(VLOOKUP(Table156[[#This Row],[Future-1 Description]],'Other '!$E:$F,2,FALSE),"")</f>
        <v/>
      </c>
      <c r="K14" s="32"/>
      <c r="L14" s="32"/>
      <c r="M14" s="32"/>
      <c r="N14" s="32"/>
      <c r="O14" s="32"/>
      <c r="P14" s="32"/>
      <c r="Q14" s="32"/>
      <c r="R14" s="33"/>
      <c r="S14" s="33"/>
      <c r="T14" s="31">
        <f>Table156[[#This Row],[Quantity (expected)]]*Table156[[#This Row],[Rate (expected)]]</f>
        <v>0</v>
      </c>
      <c r="U14" s="31"/>
      <c r="V14" s="31"/>
      <c r="W14" s="4"/>
      <c r="X14" s="32"/>
      <c r="Y14" s="35"/>
    </row>
    <row r="15" spans="1:25" x14ac:dyDescent="0.3">
      <c r="A15" s="30" t="str">
        <f>IFERROR(VLOOKUP(F15,'Accoount Code Combination'!$D:$L,8,FALSE),"")</f>
        <v/>
      </c>
      <c r="B15" s="31" t="str">
        <f>IFERROR(VLOOKUP(Table156[[#This Row],[Account Code]],'Accoount Code Combination'!$D:$L,9,FALSE),"")</f>
        <v/>
      </c>
      <c r="C15" s="4" t="str">
        <f>IFERROR(VLOOKUP(Table156[[#This Row],[Cost Center Code]],'Cost Center Group'!A:B,2,FALSE),"")</f>
        <v/>
      </c>
      <c r="D15" s="79"/>
      <c r="E15" s="32"/>
      <c r="F15" s="96"/>
      <c r="G15" s="31" t="str">
        <f>IFERROR(VLOOKUP(Table156[[#This Row],[Account Code]],'Accoount Code Combination'!$D:$H,2,FALSE),"")</f>
        <v/>
      </c>
      <c r="H15" s="31"/>
      <c r="I15" s="4"/>
      <c r="J15" s="32" t="str">
        <f>IFERROR(VLOOKUP(Table156[[#This Row],[Future-1 Description]],'Other '!$E:$F,2,FALSE),"")</f>
        <v/>
      </c>
      <c r="K15" s="32"/>
      <c r="L15" s="32"/>
      <c r="M15" s="32"/>
      <c r="N15" s="32"/>
      <c r="O15" s="32"/>
      <c r="P15" s="32"/>
      <c r="Q15" s="32"/>
      <c r="R15" s="33"/>
      <c r="S15" s="33"/>
      <c r="T15" s="31">
        <f>Table156[[#This Row],[Quantity (expected)]]*Table156[[#This Row],[Rate (expected)]]</f>
        <v>0</v>
      </c>
      <c r="U15" s="31"/>
      <c r="V15" s="31"/>
      <c r="W15" s="4"/>
      <c r="X15" s="32"/>
      <c r="Y15" s="35"/>
    </row>
    <row r="16" spans="1:25" x14ac:dyDescent="0.3">
      <c r="A16" s="30" t="str">
        <f>IFERROR(VLOOKUP(F16,'Accoount Code Combination'!$D:$L,8,FALSE),"")</f>
        <v/>
      </c>
      <c r="B16" s="31" t="str">
        <f>IFERROR(VLOOKUP(Table156[[#This Row],[Account Code]],'Accoount Code Combination'!$D:$L,9,FALSE),"")</f>
        <v/>
      </c>
      <c r="C16" s="4" t="str">
        <f>IFERROR(VLOOKUP(Table156[[#This Row],[Cost Center Code]],'Cost Center Group'!A:B,2,FALSE),"")</f>
        <v/>
      </c>
      <c r="D16" s="79"/>
      <c r="E16" s="32"/>
      <c r="F16" s="96"/>
      <c r="G16" s="31" t="str">
        <f>IFERROR(VLOOKUP(Table156[[#This Row],[Account Code]],'Accoount Code Combination'!$D:$H,2,FALSE),"")</f>
        <v/>
      </c>
      <c r="H16" s="31"/>
      <c r="I16" s="4"/>
      <c r="J16" s="32" t="str">
        <f>IFERROR(VLOOKUP(Table156[[#This Row],[Future-1 Description]],'Other '!$E:$F,2,FALSE),"")</f>
        <v/>
      </c>
      <c r="K16" s="32"/>
      <c r="L16" s="32"/>
      <c r="M16" s="32"/>
      <c r="N16" s="32"/>
      <c r="O16" s="32"/>
      <c r="P16" s="32"/>
      <c r="Q16" s="32"/>
      <c r="R16" s="33"/>
      <c r="S16" s="33"/>
      <c r="T16" s="31">
        <f>Table156[[#This Row],[Quantity (expected)]]*Table156[[#This Row],[Rate (expected)]]</f>
        <v>0</v>
      </c>
      <c r="U16" s="31"/>
      <c r="V16" s="31"/>
      <c r="W16" s="4"/>
      <c r="X16" s="32"/>
      <c r="Y16" s="35"/>
    </row>
    <row r="17" spans="1:25" x14ac:dyDescent="0.3">
      <c r="A17" s="30" t="str">
        <f>IFERROR(VLOOKUP(F17,'Accoount Code Combination'!$D:$L,8,FALSE),"")</f>
        <v/>
      </c>
      <c r="B17" s="31" t="str">
        <f>IFERROR(VLOOKUP(Table156[[#This Row],[Account Code]],'Accoount Code Combination'!$D:$L,9,FALSE),"")</f>
        <v/>
      </c>
      <c r="C17" s="4" t="str">
        <f>IFERROR(VLOOKUP(Table156[[#This Row],[Cost Center Code]],'Cost Center Group'!A:B,2,FALSE),"")</f>
        <v/>
      </c>
      <c r="D17" s="79"/>
      <c r="E17" s="32"/>
      <c r="F17" s="96"/>
      <c r="G17" s="31" t="str">
        <f>IFERROR(VLOOKUP(Table156[[#This Row],[Account Code]],'Accoount Code Combination'!$D:$H,2,FALSE),"")</f>
        <v/>
      </c>
      <c r="H17" s="31"/>
      <c r="I17" s="4"/>
      <c r="J17" s="32" t="str">
        <f>IFERROR(VLOOKUP(Table156[[#This Row],[Future-1 Description]],'Other '!$E:$F,2,FALSE),"")</f>
        <v/>
      </c>
      <c r="K17" s="32"/>
      <c r="L17" s="32"/>
      <c r="M17" s="32"/>
      <c r="N17" s="32"/>
      <c r="O17" s="32"/>
      <c r="P17" s="32"/>
      <c r="Q17" s="32"/>
      <c r="R17" s="33"/>
      <c r="S17" s="33"/>
      <c r="T17" s="31">
        <f>Table156[[#This Row],[Quantity (expected)]]*Table156[[#This Row],[Rate (expected)]]</f>
        <v>0</v>
      </c>
      <c r="U17" s="31"/>
      <c r="V17" s="31"/>
      <c r="W17" s="4"/>
      <c r="X17" s="32"/>
      <c r="Y17" s="35"/>
    </row>
    <row r="18" spans="1:25" x14ac:dyDescent="0.3">
      <c r="A18" s="30" t="str">
        <f>IFERROR(VLOOKUP(F18,'Accoount Code Combination'!$D:$L,8,FALSE),"")</f>
        <v/>
      </c>
      <c r="B18" s="31" t="str">
        <f>IFERROR(VLOOKUP(Table156[[#This Row],[Account Code]],'Accoount Code Combination'!$D:$L,9,FALSE),"")</f>
        <v/>
      </c>
      <c r="C18" s="4" t="str">
        <f>IFERROR(VLOOKUP(Table156[[#This Row],[Cost Center Code]],'Cost Center Group'!A:B,2,FALSE),"")</f>
        <v/>
      </c>
      <c r="D18" s="79"/>
      <c r="E18" s="32"/>
      <c r="F18" s="96"/>
      <c r="G18" s="31" t="str">
        <f>IFERROR(VLOOKUP(Table156[[#This Row],[Account Code]],'Accoount Code Combination'!$D:$H,2,FALSE),"")</f>
        <v/>
      </c>
      <c r="H18" s="31"/>
      <c r="I18" s="4"/>
      <c r="J18" s="32" t="str">
        <f>IFERROR(VLOOKUP(Table156[[#This Row],[Future-1 Description]],'Other '!$E:$F,2,FALSE),"")</f>
        <v/>
      </c>
      <c r="K18" s="32"/>
      <c r="L18" s="32"/>
      <c r="M18" s="32"/>
      <c r="N18" s="32"/>
      <c r="O18" s="32"/>
      <c r="P18" s="32"/>
      <c r="Q18" s="32"/>
      <c r="R18" s="33"/>
      <c r="S18" s="33"/>
      <c r="T18" s="31">
        <f>Table156[[#This Row],[Quantity (expected)]]*Table156[[#This Row],[Rate (expected)]]</f>
        <v>0</v>
      </c>
      <c r="U18" s="31"/>
      <c r="V18" s="31"/>
      <c r="W18" s="4"/>
      <c r="X18" s="32"/>
      <c r="Y18" s="35"/>
    </row>
    <row r="19" spans="1:25" x14ac:dyDescent="0.3">
      <c r="A19" s="30" t="str">
        <f>IFERROR(VLOOKUP(F19,'Accoount Code Combination'!$D:$L,8,FALSE),"")</f>
        <v/>
      </c>
      <c r="B19" s="31" t="str">
        <f>IFERROR(VLOOKUP(Table156[[#This Row],[Account Code]],'Accoount Code Combination'!$D:$L,9,FALSE),"")</f>
        <v/>
      </c>
      <c r="C19" s="4" t="str">
        <f>IFERROR(VLOOKUP(Table156[[#This Row],[Cost Center Code]],'Cost Center Group'!A:B,2,FALSE),"")</f>
        <v/>
      </c>
      <c r="D19" s="79"/>
      <c r="E19" s="32"/>
      <c r="F19" s="96"/>
      <c r="G19" s="31" t="str">
        <f>IFERROR(VLOOKUP(Table156[[#This Row],[Account Code]],'Accoount Code Combination'!$D:$H,2,FALSE),"")</f>
        <v/>
      </c>
      <c r="H19" s="31"/>
      <c r="I19" s="4"/>
      <c r="J19" s="32" t="str">
        <f>IFERROR(VLOOKUP(Table156[[#This Row],[Future-1 Description]],'Other '!$E:$F,2,FALSE),"")</f>
        <v/>
      </c>
      <c r="K19" s="32"/>
      <c r="L19" s="32"/>
      <c r="M19" s="32"/>
      <c r="N19" s="32"/>
      <c r="O19" s="32"/>
      <c r="P19" s="32"/>
      <c r="Q19" s="32"/>
      <c r="R19" s="33"/>
      <c r="S19" s="33"/>
      <c r="T19" s="31">
        <f>Table156[[#This Row],[Quantity (expected)]]*Table156[[#This Row],[Rate (expected)]]</f>
        <v>0</v>
      </c>
      <c r="U19" s="31"/>
      <c r="V19" s="31"/>
      <c r="W19" s="4"/>
      <c r="X19" s="32"/>
      <c r="Y19" s="35"/>
    </row>
    <row r="20" spans="1:25" x14ac:dyDescent="0.3">
      <c r="A20" s="30" t="str">
        <f>IFERROR(VLOOKUP(F20,'Accoount Code Combination'!$D:$L,8,FALSE),"")</f>
        <v/>
      </c>
      <c r="B20" s="31" t="str">
        <f>IFERROR(VLOOKUP(Table156[[#This Row],[Account Code]],'Accoount Code Combination'!$D:$L,9,FALSE),"")</f>
        <v/>
      </c>
      <c r="C20" s="4" t="str">
        <f>IFERROR(VLOOKUP(Table156[[#This Row],[Cost Center Code]],'Cost Center Group'!A:B,2,FALSE),"")</f>
        <v/>
      </c>
      <c r="D20" s="79"/>
      <c r="E20" s="32"/>
      <c r="F20" s="96"/>
      <c r="G20" s="31" t="str">
        <f>IFERROR(VLOOKUP(Table156[[#This Row],[Account Code]],'Accoount Code Combination'!$D:$H,2,FALSE),"")</f>
        <v/>
      </c>
      <c r="H20" s="31"/>
      <c r="I20" s="4"/>
      <c r="J20" s="32" t="str">
        <f>IFERROR(VLOOKUP(Table156[[#This Row],[Future-1 Description]],'Other '!$E:$F,2,FALSE),"")</f>
        <v/>
      </c>
      <c r="K20" s="32"/>
      <c r="L20" s="32"/>
      <c r="M20" s="32"/>
      <c r="N20" s="32"/>
      <c r="O20" s="32"/>
      <c r="P20" s="32"/>
      <c r="Q20" s="32"/>
      <c r="R20" s="33"/>
      <c r="S20" s="33"/>
      <c r="T20" s="31">
        <f>Table156[[#This Row],[Quantity (expected)]]*Table156[[#This Row],[Rate (expected)]]</f>
        <v>0</v>
      </c>
      <c r="U20" s="31"/>
      <c r="V20" s="31"/>
      <c r="W20" s="4"/>
      <c r="X20" s="32"/>
      <c r="Y20" s="35"/>
    </row>
    <row r="21" spans="1:25" x14ac:dyDescent="0.3">
      <c r="A21" s="30" t="str">
        <f>IFERROR(VLOOKUP(F21,'Accoount Code Combination'!$D:$L,8,FALSE),"")</f>
        <v/>
      </c>
      <c r="B21" s="31" t="str">
        <f>IFERROR(VLOOKUP(Table156[[#This Row],[Account Code]],'Accoount Code Combination'!$D:$L,9,FALSE),"")</f>
        <v/>
      </c>
      <c r="C21" s="4" t="str">
        <f>IFERROR(VLOOKUP(Table156[[#This Row],[Cost Center Code]],'Cost Center Group'!A:B,2,FALSE),"")</f>
        <v/>
      </c>
      <c r="D21" s="79"/>
      <c r="E21" s="32"/>
      <c r="F21" s="96"/>
      <c r="G21" s="31" t="str">
        <f>IFERROR(VLOOKUP(Table156[[#This Row],[Account Code]],'Accoount Code Combination'!$D:$H,2,FALSE),"")</f>
        <v/>
      </c>
      <c r="H21" s="31"/>
      <c r="I21" s="4"/>
      <c r="J21" s="32" t="str">
        <f>IFERROR(VLOOKUP(Table156[[#This Row],[Future-1 Description]],'Other '!$E:$F,2,FALSE),"")</f>
        <v/>
      </c>
      <c r="K21" s="32"/>
      <c r="L21" s="32"/>
      <c r="M21" s="32"/>
      <c r="N21" s="32"/>
      <c r="O21" s="32"/>
      <c r="P21" s="32"/>
      <c r="Q21" s="32"/>
      <c r="R21" s="33"/>
      <c r="S21" s="33"/>
      <c r="T21" s="31">
        <f>Table156[[#This Row],[Quantity (expected)]]*Table156[[#This Row],[Rate (expected)]]</f>
        <v>0</v>
      </c>
      <c r="U21" s="31"/>
      <c r="V21" s="31"/>
      <c r="W21" s="4"/>
      <c r="X21" s="32"/>
      <c r="Y21" s="35"/>
    </row>
    <row r="22" spans="1:25" x14ac:dyDescent="0.3">
      <c r="A22" s="30" t="str">
        <f>IFERROR(VLOOKUP(F22,'Accoount Code Combination'!$D:$L,8,FALSE),"")</f>
        <v/>
      </c>
      <c r="B22" s="31" t="str">
        <f>IFERROR(VLOOKUP(Table156[[#This Row],[Account Code]],'Accoount Code Combination'!$D:$L,9,FALSE),"")</f>
        <v/>
      </c>
      <c r="C22" s="4" t="str">
        <f>IFERROR(VLOOKUP(Table156[[#This Row],[Cost Center Code]],'Cost Center Group'!A:B,2,FALSE),"")</f>
        <v/>
      </c>
      <c r="D22" s="79"/>
      <c r="E22" s="32"/>
      <c r="F22" s="96"/>
      <c r="G22" s="31" t="str">
        <f>IFERROR(VLOOKUP(Table156[[#This Row],[Account Code]],'Accoount Code Combination'!$D:$H,2,FALSE),"")</f>
        <v/>
      </c>
      <c r="H22" s="31"/>
      <c r="I22" s="4"/>
      <c r="J22" s="32" t="str">
        <f>IFERROR(VLOOKUP(Table156[[#This Row],[Future-1 Description]],'Other '!$E:$F,2,FALSE),"")</f>
        <v/>
      </c>
      <c r="K22" s="32"/>
      <c r="L22" s="32"/>
      <c r="M22" s="32"/>
      <c r="N22" s="32"/>
      <c r="O22" s="32"/>
      <c r="P22" s="32"/>
      <c r="Q22" s="32"/>
      <c r="R22" s="33"/>
      <c r="S22" s="33"/>
      <c r="T22" s="31">
        <f>Table156[[#This Row],[Quantity (expected)]]*Table156[[#This Row],[Rate (expected)]]</f>
        <v>0</v>
      </c>
      <c r="U22" s="31"/>
      <c r="V22" s="31"/>
      <c r="W22" s="4"/>
      <c r="X22" s="32"/>
      <c r="Y22" s="35"/>
    </row>
    <row r="23" spans="1:25" x14ac:dyDescent="0.3">
      <c r="A23" s="30" t="str">
        <f>IFERROR(VLOOKUP(F23,'Accoount Code Combination'!$D:$L,8,FALSE),"")</f>
        <v/>
      </c>
      <c r="B23" s="31" t="str">
        <f>IFERROR(VLOOKUP(Table156[[#This Row],[Account Code]],'Accoount Code Combination'!$D:$L,9,FALSE),"")</f>
        <v/>
      </c>
      <c r="C23" s="4" t="str">
        <f>IFERROR(VLOOKUP(Table156[[#This Row],[Cost Center Code]],'Cost Center Group'!A:B,2,FALSE),"")</f>
        <v/>
      </c>
      <c r="D23" s="79"/>
      <c r="E23" s="32"/>
      <c r="F23" s="96"/>
      <c r="G23" s="31" t="str">
        <f>IFERROR(VLOOKUP(Table156[[#This Row],[Account Code]],'Accoount Code Combination'!$D:$H,2,FALSE),"")</f>
        <v/>
      </c>
      <c r="H23" s="31"/>
      <c r="I23" s="4"/>
      <c r="J23" s="32" t="str">
        <f>IFERROR(VLOOKUP(Table156[[#This Row],[Future-1 Description]],'Other '!$E:$F,2,FALSE),"")</f>
        <v/>
      </c>
      <c r="K23" s="32"/>
      <c r="L23" s="32"/>
      <c r="M23" s="32"/>
      <c r="N23" s="32"/>
      <c r="O23" s="32"/>
      <c r="P23" s="32"/>
      <c r="Q23" s="32"/>
      <c r="R23" s="33"/>
      <c r="S23" s="33"/>
      <c r="T23" s="31">
        <f>Table156[[#This Row],[Quantity (expected)]]*Table156[[#This Row],[Rate (expected)]]</f>
        <v>0</v>
      </c>
      <c r="U23" s="31"/>
      <c r="V23" s="31"/>
      <c r="W23" s="4"/>
      <c r="X23" s="32"/>
      <c r="Y23" s="35"/>
    </row>
    <row r="24" spans="1:25" x14ac:dyDescent="0.3">
      <c r="A24" s="30" t="str">
        <f>IFERROR(VLOOKUP(F24,'Accoount Code Combination'!$D:$L,8,FALSE),"")</f>
        <v/>
      </c>
      <c r="B24" s="31" t="str">
        <f>IFERROR(VLOOKUP(Table156[[#This Row],[Account Code]],'Accoount Code Combination'!$D:$L,9,FALSE),"")</f>
        <v/>
      </c>
      <c r="C24" s="4" t="str">
        <f>IFERROR(VLOOKUP(Table156[[#This Row],[Cost Center Code]],'Cost Center Group'!A:B,2,FALSE),"")</f>
        <v/>
      </c>
      <c r="D24" s="79"/>
      <c r="E24" s="32"/>
      <c r="F24" s="96"/>
      <c r="G24" s="31" t="str">
        <f>IFERROR(VLOOKUP(Table156[[#This Row],[Account Code]],'Accoount Code Combination'!$D:$H,2,FALSE),"")</f>
        <v/>
      </c>
      <c r="H24" s="31"/>
      <c r="I24" s="4"/>
      <c r="J24" s="32" t="str">
        <f>IFERROR(VLOOKUP(Table156[[#This Row],[Future-1 Description]],'Other '!$E:$F,2,FALSE),"")</f>
        <v/>
      </c>
      <c r="K24" s="32"/>
      <c r="L24" s="32"/>
      <c r="M24" s="32"/>
      <c r="N24" s="32"/>
      <c r="O24" s="32"/>
      <c r="P24" s="32"/>
      <c r="Q24" s="32"/>
      <c r="R24" s="33"/>
      <c r="S24" s="33"/>
      <c r="T24" s="31">
        <f>Table156[[#This Row],[Quantity (expected)]]*Table156[[#This Row],[Rate (expected)]]</f>
        <v>0</v>
      </c>
      <c r="U24" s="31"/>
      <c r="V24" s="31"/>
      <c r="W24" s="4"/>
      <c r="X24" s="32"/>
      <c r="Y24" s="35"/>
    </row>
    <row r="25" spans="1:25" x14ac:dyDescent="0.3">
      <c r="A25" s="30" t="str">
        <f>IFERROR(VLOOKUP(F25,'Accoount Code Combination'!$D:$L,8,FALSE),"")</f>
        <v/>
      </c>
      <c r="B25" s="31" t="str">
        <f>IFERROR(VLOOKUP(Table156[[#This Row],[Account Code]],'Accoount Code Combination'!$D:$L,9,FALSE),"")</f>
        <v/>
      </c>
      <c r="C25" s="4" t="str">
        <f>IFERROR(VLOOKUP(Table156[[#This Row],[Cost Center Code]],'Cost Center Group'!A:B,2,FALSE),"")</f>
        <v/>
      </c>
      <c r="D25" s="79"/>
      <c r="E25" s="32"/>
      <c r="F25" s="96"/>
      <c r="G25" s="31" t="str">
        <f>IFERROR(VLOOKUP(Table156[[#This Row],[Account Code]],'Accoount Code Combination'!$D:$H,2,FALSE),"")</f>
        <v/>
      </c>
      <c r="H25" s="31"/>
      <c r="I25" s="4"/>
      <c r="J25" s="32" t="str">
        <f>IFERROR(VLOOKUP(Table156[[#This Row],[Future-1 Description]],'Other '!$E:$F,2,FALSE),"")</f>
        <v/>
      </c>
      <c r="K25" s="32"/>
      <c r="L25" s="32"/>
      <c r="M25" s="32"/>
      <c r="N25" s="32"/>
      <c r="O25" s="32"/>
      <c r="P25" s="32"/>
      <c r="Q25" s="32"/>
      <c r="R25" s="33"/>
      <c r="S25" s="33"/>
      <c r="T25" s="31">
        <f>Table156[[#This Row],[Quantity (expected)]]*Table156[[#This Row],[Rate (expected)]]</f>
        <v>0</v>
      </c>
      <c r="U25" s="31"/>
      <c r="V25" s="31"/>
      <c r="W25" s="4"/>
      <c r="X25" s="32"/>
      <c r="Y25" s="35"/>
    </row>
    <row r="26" spans="1:25" x14ac:dyDescent="0.3">
      <c r="A26" s="30" t="str">
        <f>IFERROR(VLOOKUP(F26,'Accoount Code Combination'!$D:$L,8,FALSE),"")</f>
        <v/>
      </c>
      <c r="B26" s="31" t="str">
        <f>IFERROR(VLOOKUP(Table156[[#This Row],[Account Code]],'Accoount Code Combination'!$D:$L,9,FALSE),"")</f>
        <v/>
      </c>
      <c r="C26" s="4" t="str">
        <f>IFERROR(VLOOKUP(Table156[[#This Row],[Cost Center Code]],'Cost Center Group'!A:B,2,FALSE),"")</f>
        <v/>
      </c>
      <c r="D26" s="79"/>
      <c r="E26" s="32"/>
      <c r="F26" s="96"/>
      <c r="G26" s="31" t="str">
        <f>IFERROR(VLOOKUP(Table156[[#This Row],[Account Code]],'Accoount Code Combination'!$D:$H,2,FALSE),"")</f>
        <v/>
      </c>
      <c r="H26" s="31"/>
      <c r="I26" s="4"/>
      <c r="J26" s="32" t="str">
        <f>IFERROR(VLOOKUP(Table156[[#This Row],[Future-1 Description]],'Other '!$E:$F,2,FALSE),"")</f>
        <v/>
      </c>
      <c r="K26" s="32"/>
      <c r="L26" s="32"/>
      <c r="M26" s="32"/>
      <c r="N26" s="32"/>
      <c r="O26" s="32"/>
      <c r="P26" s="32"/>
      <c r="Q26" s="32"/>
      <c r="R26" s="33"/>
      <c r="S26" s="33"/>
      <c r="T26" s="31">
        <f>Table156[[#This Row],[Quantity (expected)]]*Table156[[#This Row],[Rate (expected)]]</f>
        <v>0</v>
      </c>
      <c r="U26" s="31"/>
      <c r="V26" s="31"/>
      <c r="W26" s="4"/>
      <c r="X26" s="32"/>
      <c r="Y26" s="35"/>
    </row>
    <row r="27" spans="1:25" x14ac:dyDescent="0.3">
      <c r="A27" s="30" t="str">
        <f>IFERROR(VLOOKUP(F27,'Accoount Code Combination'!$D:$L,8,FALSE),"")</f>
        <v/>
      </c>
      <c r="B27" s="31" t="str">
        <f>IFERROR(VLOOKUP(Table156[[#This Row],[Account Code]],'Accoount Code Combination'!$D:$L,9,FALSE),"")</f>
        <v/>
      </c>
      <c r="C27" s="4" t="str">
        <f>IFERROR(VLOOKUP(Table156[[#This Row],[Cost Center Code]],'Cost Center Group'!A:B,2,FALSE),"")</f>
        <v/>
      </c>
      <c r="D27" s="79"/>
      <c r="E27" s="32"/>
      <c r="F27" s="96"/>
      <c r="G27" s="31" t="str">
        <f>IFERROR(VLOOKUP(Table156[[#This Row],[Account Code]],'Accoount Code Combination'!$D:$H,2,FALSE),"")</f>
        <v/>
      </c>
      <c r="H27" s="31"/>
      <c r="I27" s="4"/>
      <c r="J27" s="32" t="str">
        <f>IFERROR(VLOOKUP(Table156[[#This Row],[Future-1 Description]],'Other '!$E:$F,2,FALSE),"")</f>
        <v/>
      </c>
      <c r="K27" s="32"/>
      <c r="L27" s="32"/>
      <c r="M27" s="32"/>
      <c r="N27" s="32"/>
      <c r="O27" s="32"/>
      <c r="P27" s="32"/>
      <c r="Q27" s="32"/>
      <c r="R27" s="33"/>
      <c r="S27" s="33"/>
      <c r="T27" s="31">
        <f>Table156[[#This Row],[Quantity (expected)]]*Table156[[#This Row],[Rate (expected)]]</f>
        <v>0</v>
      </c>
      <c r="U27" s="31"/>
      <c r="V27" s="31"/>
      <c r="W27" s="4"/>
      <c r="X27" s="32"/>
      <c r="Y27" s="35"/>
    </row>
    <row r="28" spans="1:25" x14ac:dyDescent="0.3">
      <c r="A28" s="30" t="str">
        <f>IFERROR(VLOOKUP(F28,'Accoount Code Combination'!$D:$L,8,FALSE),"")</f>
        <v/>
      </c>
      <c r="B28" s="31" t="str">
        <f>IFERROR(VLOOKUP(Table156[[#This Row],[Account Code]],'Accoount Code Combination'!$D:$L,9,FALSE),"")</f>
        <v/>
      </c>
      <c r="C28" s="4" t="str">
        <f>IFERROR(VLOOKUP(Table156[[#This Row],[Cost Center Code]],'Cost Center Group'!A:B,2,FALSE),"")</f>
        <v/>
      </c>
      <c r="D28" s="79"/>
      <c r="E28" s="32"/>
      <c r="F28" s="96"/>
      <c r="G28" s="31" t="str">
        <f>IFERROR(VLOOKUP(Table156[[#This Row],[Account Code]],'Accoount Code Combination'!$D:$H,2,FALSE),"")</f>
        <v/>
      </c>
      <c r="H28" s="31"/>
      <c r="I28" s="4"/>
      <c r="J28" s="32" t="str">
        <f>IFERROR(VLOOKUP(Table156[[#This Row],[Future-1 Description]],'Other '!$E:$F,2,FALSE),"")</f>
        <v/>
      </c>
      <c r="K28" s="32"/>
      <c r="L28" s="32"/>
      <c r="M28" s="32"/>
      <c r="N28" s="32"/>
      <c r="O28" s="32"/>
      <c r="P28" s="32"/>
      <c r="Q28" s="32"/>
      <c r="R28" s="33"/>
      <c r="S28" s="33"/>
      <c r="T28" s="31">
        <f>Table156[[#This Row],[Quantity (expected)]]*Table156[[#This Row],[Rate (expected)]]</f>
        <v>0</v>
      </c>
      <c r="U28" s="31"/>
      <c r="V28" s="31"/>
      <c r="W28" s="4"/>
      <c r="X28" s="32"/>
      <c r="Y28" s="35"/>
    </row>
    <row r="29" spans="1:25" x14ac:dyDescent="0.3">
      <c r="A29" s="30" t="str">
        <f>IFERROR(VLOOKUP(F29,'Accoount Code Combination'!$D:$L,8,FALSE),"")</f>
        <v/>
      </c>
      <c r="B29" s="31" t="str">
        <f>IFERROR(VLOOKUP(Table156[[#This Row],[Account Code]],'Accoount Code Combination'!$D:$L,9,FALSE),"")</f>
        <v/>
      </c>
      <c r="C29" s="4" t="str">
        <f>IFERROR(VLOOKUP(Table156[[#This Row],[Cost Center Code]],'Cost Center Group'!A:B,2,FALSE),"")</f>
        <v/>
      </c>
      <c r="D29" s="79"/>
      <c r="E29" s="32"/>
      <c r="F29" s="96"/>
      <c r="G29" s="31" t="str">
        <f>IFERROR(VLOOKUP(Table156[[#This Row],[Account Code]],'Accoount Code Combination'!$D:$H,2,FALSE),"")</f>
        <v/>
      </c>
      <c r="H29" s="31"/>
      <c r="I29" s="4"/>
      <c r="J29" s="32" t="str">
        <f>IFERROR(VLOOKUP(Table156[[#This Row],[Future-1 Description]],'Other '!$E:$F,2,FALSE),"")</f>
        <v/>
      </c>
      <c r="K29" s="32"/>
      <c r="L29" s="32"/>
      <c r="M29" s="32"/>
      <c r="N29" s="32"/>
      <c r="O29" s="32"/>
      <c r="P29" s="32"/>
      <c r="Q29" s="32"/>
      <c r="R29" s="33"/>
      <c r="S29" s="33"/>
      <c r="T29" s="31">
        <f>Table156[[#This Row],[Quantity (expected)]]*Table156[[#This Row],[Rate (expected)]]</f>
        <v>0</v>
      </c>
      <c r="U29" s="31"/>
      <c r="V29" s="31"/>
      <c r="W29" s="4"/>
      <c r="X29" s="32"/>
      <c r="Y29" s="35"/>
    </row>
    <row r="30" spans="1:25" x14ac:dyDescent="0.3">
      <c r="A30" s="30" t="str">
        <f>IFERROR(VLOOKUP(F30,'Accoount Code Combination'!$D:$L,8,FALSE),"")</f>
        <v/>
      </c>
      <c r="B30" s="31" t="str">
        <f>IFERROR(VLOOKUP(Table156[[#This Row],[Account Code]],'Accoount Code Combination'!$D:$L,9,FALSE),"")</f>
        <v/>
      </c>
      <c r="C30" s="4" t="str">
        <f>IFERROR(VLOOKUP(Table156[[#This Row],[Cost Center Code]],'Cost Center Group'!A:B,2,FALSE),"")</f>
        <v/>
      </c>
      <c r="D30" s="79"/>
      <c r="E30" s="32"/>
      <c r="F30" s="96"/>
      <c r="G30" s="31" t="str">
        <f>IFERROR(VLOOKUP(Table156[[#This Row],[Account Code]],'Accoount Code Combination'!$D:$H,2,FALSE),"")</f>
        <v/>
      </c>
      <c r="H30" s="31"/>
      <c r="I30" s="4"/>
      <c r="J30" s="32" t="str">
        <f>IFERROR(VLOOKUP(Table156[[#This Row],[Future-1 Description]],'Other '!$E:$F,2,FALSE),"")</f>
        <v/>
      </c>
      <c r="K30" s="32"/>
      <c r="L30" s="32"/>
      <c r="M30" s="32"/>
      <c r="N30" s="32"/>
      <c r="O30" s="32"/>
      <c r="P30" s="32"/>
      <c r="Q30" s="32"/>
      <c r="R30" s="33"/>
      <c r="S30" s="33"/>
      <c r="T30" s="31">
        <f>Table156[[#This Row],[Quantity (expected)]]*Table156[[#This Row],[Rate (expected)]]</f>
        <v>0</v>
      </c>
      <c r="U30" s="31"/>
      <c r="V30" s="31"/>
      <c r="W30" s="4"/>
      <c r="X30" s="32"/>
      <c r="Y30" s="35"/>
    </row>
    <row r="31" spans="1:25" x14ac:dyDescent="0.3">
      <c r="A31" s="30" t="str">
        <f>IFERROR(VLOOKUP(F31,'Accoount Code Combination'!$D:$L,8,FALSE),"")</f>
        <v/>
      </c>
      <c r="B31" s="31" t="str">
        <f>IFERROR(VLOOKUP(Table156[[#This Row],[Account Code]],'Accoount Code Combination'!$D:$L,9,FALSE),"")</f>
        <v/>
      </c>
      <c r="C31" s="4" t="str">
        <f>IFERROR(VLOOKUP(Table156[[#This Row],[Cost Center Code]],'Cost Center Group'!A:B,2,FALSE),"")</f>
        <v/>
      </c>
      <c r="D31" s="79"/>
      <c r="E31" s="32"/>
      <c r="F31" s="96"/>
      <c r="G31" s="31" t="str">
        <f>IFERROR(VLOOKUP(Table156[[#This Row],[Account Code]],'Accoount Code Combination'!$D:$H,2,FALSE),"")</f>
        <v/>
      </c>
      <c r="H31" s="31"/>
      <c r="I31" s="4"/>
      <c r="J31" s="32" t="str">
        <f>IFERROR(VLOOKUP(Table156[[#This Row],[Future-1 Description]],'Other '!$E:$F,2,FALSE),"")</f>
        <v/>
      </c>
      <c r="K31" s="32"/>
      <c r="L31" s="32"/>
      <c r="M31" s="32"/>
      <c r="N31" s="32"/>
      <c r="O31" s="32"/>
      <c r="P31" s="32"/>
      <c r="Q31" s="32"/>
      <c r="R31" s="33"/>
      <c r="S31" s="33"/>
      <c r="T31" s="31">
        <f>Table156[[#This Row],[Quantity (expected)]]*Table156[[#This Row],[Rate (expected)]]</f>
        <v>0</v>
      </c>
      <c r="U31" s="31"/>
      <c r="V31" s="31"/>
      <c r="W31" s="4"/>
      <c r="X31" s="32"/>
      <c r="Y31" s="35"/>
    </row>
    <row r="32" spans="1:25" x14ac:dyDescent="0.3">
      <c r="A32" s="30" t="str">
        <f>IFERROR(VLOOKUP(F32,'Accoount Code Combination'!$D:$L,8,FALSE),"")</f>
        <v/>
      </c>
      <c r="B32" s="31" t="str">
        <f>IFERROR(VLOOKUP(Table156[[#This Row],[Account Code]],'Accoount Code Combination'!$D:$L,9,FALSE),"")</f>
        <v/>
      </c>
      <c r="C32" s="4" t="str">
        <f>IFERROR(VLOOKUP(Table156[[#This Row],[Cost Center Code]],'Cost Center Group'!A:B,2,FALSE),"")</f>
        <v/>
      </c>
      <c r="D32" s="79"/>
      <c r="E32" s="32"/>
      <c r="F32" s="96"/>
      <c r="G32" s="31" t="str">
        <f>IFERROR(VLOOKUP(Table156[[#This Row],[Account Code]],'Accoount Code Combination'!$D:$H,2,FALSE),"")</f>
        <v/>
      </c>
      <c r="H32" s="31"/>
      <c r="I32" s="4"/>
      <c r="J32" s="32" t="str">
        <f>IFERROR(VLOOKUP(Table156[[#This Row],[Future-1 Description]],'Other '!$E:$F,2,FALSE),"")</f>
        <v/>
      </c>
      <c r="K32" s="32"/>
      <c r="L32" s="32"/>
      <c r="M32" s="32"/>
      <c r="N32" s="32"/>
      <c r="O32" s="32"/>
      <c r="P32" s="32"/>
      <c r="Q32" s="32"/>
      <c r="R32" s="33"/>
      <c r="S32" s="33"/>
      <c r="T32" s="31">
        <f>Table156[[#This Row],[Quantity (expected)]]*Table156[[#This Row],[Rate (expected)]]</f>
        <v>0</v>
      </c>
      <c r="U32" s="31"/>
      <c r="V32" s="31"/>
      <c r="W32" s="4"/>
      <c r="X32" s="32"/>
      <c r="Y32" s="35"/>
    </row>
    <row r="33" spans="1:25" x14ac:dyDescent="0.3">
      <c r="A33" s="30" t="str">
        <f>IFERROR(VLOOKUP(F33,'Accoount Code Combination'!$D:$L,8,FALSE),"")</f>
        <v/>
      </c>
      <c r="B33" s="31" t="str">
        <f>IFERROR(VLOOKUP(Table156[[#This Row],[Account Code]],'Accoount Code Combination'!$D:$L,9,FALSE),"")</f>
        <v/>
      </c>
      <c r="C33" s="4" t="str">
        <f>IFERROR(VLOOKUP(Table156[[#This Row],[Cost Center Code]],'Cost Center Group'!A:B,2,FALSE),"")</f>
        <v/>
      </c>
      <c r="D33" s="79"/>
      <c r="E33" s="32"/>
      <c r="F33" s="96"/>
      <c r="G33" s="31" t="str">
        <f>IFERROR(VLOOKUP(Table156[[#This Row],[Account Code]],'Accoount Code Combination'!$D:$H,2,FALSE),"")</f>
        <v/>
      </c>
      <c r="H33" s="31"/>
      <c r="I33" s="4"/>
      <c r="J33" s="32" t="str">
        <f>IFERROR(VLOOKUP(Table156[[#This Row],[Future-1 Description]],'Other '!$E:$F,2,FALSE),"")</f>
        <v/>
      </c>
      <c r="K33" s="32"/>
      <c r="L33" s="32"/>
      <c r="M33" s="32"/>
      <c r="N33" s="32"/>
      <c r="O33" s="32"/>
      <c r="P33" s="32"/>
      <c r="Q33" s="32"/>
      <c r="R33" s="33"/>
      <c r="S33" s="33"/>
      <c r="T33" s="31">
        <f>Table156[[#This Row],[Quantity (expected)]]*Table156[[#This Row],[Rate (expected)]]</f>
        <v>0</v>
      </c>
      <c r="U33" s="31"/>
      <c r="V33" s="31"/>
      <c r="W33" s="4"/>
      <c r="X33" s="32"/>
      <c r="Y33" s="35"/>
    </row>
    <row r="34" spans="1:25" x14ac:dyDescent="0.3">
      <c r="A34" s="30" t="str">
        <f>IFERROR(VLOOKUP(F34,'Accoount Code Combination'!$D:$L,8,FALSE),"")</f>
        <v/>
      </c>
      <c r="B34" s="31" t="str">
        <f>IFERROR(VLOOKUP(Table156[[#This Row],[Account Code]],'Accoount Code Combination'!$D:$L,9,FALSE),"")</f>
        <v/>
      </c>
      <c r="C34" s="4" t="str">
        <f>IFERROR(VLOOKUP(Table156[[#This Row],[Cost Center Code]],'Cost Center Group'!A:B,2,FALSE),"")</f>
        <v/>
      </c>
      <c r="D34" s="79"/>
      <c r="E34" s="32"/>
      <c r="F34" s="96"/>
      <c r="G34" s="31" t="str">
        <f>IFERROR(VLOOKUP(Table156[[#This Row],[Account Code]],'Accoount Code Combination'!$D:$H,2,FALSE),"")</f>
        <v/>
      </c>
      <c r="H34" s="31"/>
      <c r="I34" s="4"/>
      <c r="J34" s="32" t="str">
        <f>IFERROR(VLOOKUP(Table156[[#This Row],[Future-1 Description]],'Other '!$E:$F,2,FALSE),"")</f>
        <v/>
      </c>
      <c r="K34" s="32"/>
      <c r="L34" s="32"/>
      <c r="M34" s="32"/>
      <c r="N34" s="32"/>
      <c r="O34" s="32"/>
      <c r="P34" s="32"/>
      <c r="Q34" s="32"/>
      <c r="R34" s="33"/>
      <c r="S34" s="33"/>
      <c r="T34" s="31">
        <f>Table156[[#This Row],[Quantity (expected)]]*Table156[[#This Row],[Rate (expected)]]</f>
        <v>0</v>
      </c>
      <c r="U34" s="31"/>
      <c r="V34" s="31"/>
      <c r="W34" s="4"/>
      <c r="X34" s="32"/>
      <c r="Y34" s="35"/>
    </row>
    <row r="35" spans="1:25" x14ac:dyDescent="0.3">
      <c r="A35" s="30" t="str">
        <f>IFERROR(VLOOKUP(F35,'Accoount Code Combination'!$D:$L,8,FALSE),"")</f>
        <v/>
      </c>
      <c r="B35" s="31" t="str">
        <f>IFERROR(VLOOKUP(Table156[[#This Row],[Account Code]],'Accoount Code Combination'!$D:$L,9,FALSE),"")</f>
        <v/>
      </c>
      <c r="C35" s="4" t="str">
        <f>IFERROR(VLOOKUP(Table156[[#This Row],[Cost Center Code]],'Cost Center Group'!A:B,2,FALSE),"")</f>
        <v/>
      </c>
      <c r="D35" s="79"/>
      <c r="E35" s="32"/>
      <c r="F35" s="96"/>
      <c r="G35" s="31" t="str">
        <f>IFERROR(VLOOKUP(Table156[[#This Row],[Account Code]],'Accoount Code Combination'!$D:$H,2,FALSE),"")</f>
        <v/>
      </c>
      <c r="H35" s="31"/>
      <c r="I35" s="4"/>
      <c r="J35" s="32" t="str">
        <f>IFERROR(VLOOKUP(Table156[[#This Row],[Future-1 Description]],'Other '!$E:$F,2,FALSE),"")</f>
        <v/>
      </c>
      <c r="K35" s="32"/>
      <c r="L35" s="32"/>
      <c r="M35" s="32"/>
      <c r="N35" s="32"/>
      <c r="O35" s="32"/>
      <c r="P35" s="32"/>
      <c r="Q35" s="32"/>
      <c r="R35" s="33"/>
      <c r="S35" s="33"/>
      <c r="T35" s="31">
        <f>Table156[[#This Row],[Quantity (expected)]]*Table156[[#This Row],[Rate (expected)]]</f>
        <v>0</v>
      </c>
      <c r="U35" s="31"/>
      <c r="V35" s="31"/>
      <c r="W35" s="4"/>
      <c r="X35" s="32"/>
      <c r="Y35" s="35"/>
    </row>
    <row r="36" spans="1:25" x14ac:dyDescent="0.3">
      <c r="A36" s="30" t="str">
        <f>IFERROR(VLOOKUP(F36,'Accoount Code Combination'!$D:$L,8,FALSE),"")</f>
        <v/>
      </c>
      <c r="B36" s="31" t="str">
        <f>IFERROR(VLOOKUP(Table156[[#This Row],[Account Code]],'Accoount Code Combination'!$D:$L,9,FALSE),"")</f>
        <v/>
      </c>
      <c r="C36" s="4" t="str">
        <f>IFERROR(VLOOKUP(Table156[[#This Row],[Cost Center Code]],'Cost Center Group'!A:B,2,FALSE),"")</f>
        <v/>
      </c>
      <c r="D36" s="79"/>
      <c r="E36" s="32"/>
      <c r="F36" s="96"/>
      <c r="G36" s="31" t="str">
        <f>IFERROR(VLOOKUP(Table156[[#This Row],[Account Code]],'Accoount Code Combination'!$D:$H,2,FALSE),"")</f>
        <v/>
      </c>
      <c r="H36" s="31"/>
      <c r="I36" s="4"/>
      <c r="J36" s="32" t="str">
        <f>IFERROR(VLOOKUP(Table156[[#This Row],[Future-1 Description]],'Other '!$E:$F,2,FALSE),"")</f>
        <v/>
      </c>
      <c r="K36" s="32"/>
      <c r="L36" s="32"/>
      <c r="M36" s="32"/>
      <c r="N36" s="32"/>
      <c r="O36" s="32"/>
      <c r="P36" s="32"/>
      <c r="Q36" s="32"/>
      <c r="R36" s="33"/>
      <c r="S36" s="33"/>
      <c r="T36" s="31">
        <f>Table156[[#This Row],[Quantity (expected)]]*Table156[[#This Row],[Rate (expected)]]</f>
        <v>0</v>
      </c>
      <c r="U36" s="31"/>
      <c r="V36" s="31"/>
      <c r="W36" s="4"/>
      <c r="X36" s="32"/>
      <c r="Y36" s="35"/>
    </row>
    <row r="37" spans="1:25" x14ac:dyDescent="0.3">
      <c r="A37" s="30" t="str">
        <f>IFERROR(VLOOKUP(F37,'Accoount Code Combination'!$D:$L,8,FALSE),"")</f>
        <v/>
      </c>
      <c r="B37" s="31" t="str">
        <f>IFERROR(VLOOKUP(Table156[[#This Row],[Account Code]],'Accoount Code Combination'!$D:$L,9,FALSE),"")</f>
        <v/>
      </c>
      <c r="C37" s="4" t="str">
        <f>IFERROR(VLOOKUP(Table156[[#This Row],[Cost Center Code]],'Cost Center Group'!A:B,2,FALSE),"")</f>
        <v/>
      </c>
      <c r="D37" s="79"/>
      <c r="E37" s="32"/>
      <c r="F37" s="96"/>
      <c r="G37" s="31" t="str">
        <f>IFERROR(VLOOKUP(Table156[[#This Row],[Account Code]],'Accoount Code Combination'!$D:$H,2,FALSE),"")</f>
        <v/>
      </c>
      <c r="H37" s="31"/>
      <c r="I37" s="4"/>
      <c r="J37" s="32" t="str">
        <f>IFERROR(VLOOKUP(Table156[[#This Row],[Future-1 Description]],'Other '!$E:$F,2,FALSE),"")</f>
        <v/>
      </c>
      <c r="K37" s="32"/>
      <c r="L37" s="32"/>
      <c r="M37" s="32"/>
      <c r="N37" s="32"/>
      <c r="O37" s="32"/>
      <c r="P37" s="32"/>
      <c r="Q37" s="32"/>
      <c r="R37" s="33"/>
      <c r="S37" s="33"/>
      <c r="T37" s="31">
        <f>Table156[[#This Row],[Quantity (expected)]]*Table156[[#This Row],[Rate (expected)]]</f>
        <v>0</v>
      </c>
      <c r="U37" s="31"/>
      <c r="V37" s="31"/>
      <c r="W37" s="4"/>
      <c r="X37" s="32"/>
      <c r="Y37" s="35"/>
    </row>
    <row r="38" spans="1:25" x14ac:dyDescent="0.3">
      <c r="A38" s="30" t="str">
        <f>IFERROR(VLOOKUP(F38,'Accoount Code Combination'!$D:$L,8,FALSE),"")</f>
        <v/>
      </c>
      <c r="B38" s="31" t="str">
        <f>IFERROR(VLOOKUP(Table156[[#This Row],[Account Code]],'Accoount Code Combination'!$D:$L,9,FALSE),"")</f>
        <v/>
      </c>
      <c r="C38" s="4" t="str">
        <f>IFERROR(VLOOKUP(Table156[[#This Row],[Cost Center Code]],'Cost Center Group'!A:B,2,FALSE),"")</f>
        <v/>
      </c>
      <c r="D38" s="79"/>
      <c r="E38" s="32"/>
      <c r="F38" s="96"/>
      <c r="G38" s="31" t="str">
        <f>IFERROR(VLOOKUP(Table156[[#This Row],[Account Code]],'Accoount Code Combination'!$D:$H,2,FALSE),"")</f>
        <v/>
      </c>
      <c r="H38" s="31"/>
      <c r="I38" s="4"/>
      <c r="J38" s="32" t="str">
        <f>IFERROR(VLOOKUP(Table156[[#This Row],[Future-1 Description]],'Other '!$E:$F,2,FALSE),"")</f>
        <v/>
      </c>
      <c r="K38" s="32"/>
      <c r="L38" s="32"/>
      <c r="M38" s="32"/>
      <c r="N38" s="32"/>
      <c r="O38" s="32"/>
      <c r="P38" s="32"/>
      <c r="Q38" s="32"/>
      <c r="R38" s="33"/>
      <c r="S38" s="33"/>
      <c r="T38" s="31">
        <f>Table156[[#This Row],[Quantity (expected)]]*Table156[[#This Row],[Rate (expected)]]</f>
        <v>0</v>
      </c>
      <c r="U38" s="31"/>
      <c r="V38" s="31"/>
      <c r="W38" s="4"/>
      <c r="X38" s="32"/>
      <c r="Y38" s="35"/>
    </row>
    <row r="39" spans="1:25" x14ac:dyDescent="0.3">
      <c r="A39" s="100"/>
      <c r="B39" s="101"/>
      <c r="C39" s="102"/>
      <c r="D39" s="102"/>
      <c r="E39" s="102"/>
      <c r="F39" s="103"/>
      <c r="G39" s="101"/>
      <c r="H39" s="101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1">
        <f>SUM(Table156[[2024 Budget ]])</f>
        <v>0</v>
      </c>
      <c r="U39" s="101"/>
      <c r="V39" s="101"/>
      <c r="W39" s="102"/>
      <c r="X39" s="102"/>
      <c r="Y39" s="104"/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whole" operator="greaterThanOrEqual" allowBlank="1" showInputMessage="1" showErrorMessage="1" sqref="R6:R38" xr:uid="{00000000-0002-0000-0300-000000000000}">
      <formula1>1</formula1>
    </dataValidation>
    <dataValidation type="whole" operator="greaterThan" allowBlank="1" showInputMessage="1" showErrorMessage="1" sqref="N6:N38 P6:P38" xr:uid="{00000000-0002-0000-0300-000001000000}">
      <formula1>0</formula1>
    </dataValidation>
  </dataValidations>
  <hyperlinks>
    <hyperlink ref="M2" location="'Main Page'!A1" display="Return to Main Page" xr:uid="{00000000-0004-0000-0300-000000000000}"/>
  </hyperlinks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300-000002000000}">
          <x14:formula1>
            <xm:f>'Other '!$A$2:$A$3</xm:f>
          </x14:formula1>
          <xm:sqref>U7:U38</xm:sqref>
        </x14:dataValidation>
        <x14:dataValidation type="list" allowBlank="1" showInputMessage="1" showErrorMessage="1" errorTitle="Select the appropriate value" error="Clik the drop box and select the appropriate value" xr:uid="{00000000-0002-0000-0300-000003000000}">
          <x14:formula1>
            <xm:f>'Other '!$A$2:$A$3</xm:f>
          </x14:formula1>
          <xm:sqref>U6</xm:sqref>
        </x14:dataValidation>
        <x14:dataValidation type="list" allowBlank="1" showInputMessage="1" showErrorMessage="1" error="Click the drop box and select the appropriate value" xr:uid="{00000000-0002-0000-0300-000004000000}">
          <x14:formula1>
            <xm:f>'Other '!$B$2:$B$3</xm:f>
          </x14:formula1>
          <xm:sqref>V6:V38</xm:sqref>
        </x14:dataValidation>
        <x14:dataValidation type="list" allowBlank="1" showInputMessage="1" showErrorMessage="1" xr:uid="{00000000-0002-0000-0300-000005000000}">
          <x14:formula1>
            <xm:f>'Accoount Code Combination'!$D$2:$D$860</xm:f>
          </x14:formula1>
          <xm:sqref>F7:F38</xm:sqref>
        </x14:dataValidation>
        <x14:dataValidation type="list" allowBlank="1" showInputMessage="1" showErrorMessage="1" xr:uid="{00000000-0002-0000-0300-000006000000}">
          <x14:formula1>
            <xm:f>'Strategic Objectives 2023'!$C$6:$C$38</xm:f>
          </x14:formula1>
          <xm:sqref>W6:W38</xm:sqref>
        </x14:dataValidation>
        <x14:dataValidation type="list" allowBlank="1" showInputMessage="1" showErrorMessage="1" xr:uid="{00000000-0002-0000-0300-000007000000}">
          <x14:formula1>
            <xm:f>'Other '!$E$2:$E$30</xm:f>
          </x14:formula1>
          <xm:sqref>I6:I38</xm:sqref>
        </x14:dataValidation>
        <x14:dataValidation type="list" allowBlank="1" showInputMessage="1" showErrorMessage="1" xr:uid="{00000000-0002-0000-0300-000008000000}">
          <x14:formula1>
            <xm:f>'Account Code'!$A$4:$A$1048576</xm:f>
          </x14:formula1>
          <xm:sqref>F6</xm:sqref>
        </x14:dataValidation>
        <x14:dataValidation type="list" allowBlank="1" showInputMessage="1" showErrorMessage="1" xr:uid="{00000000-0002-0000-0300-000009000000}">
          <x14:formula1>
            <xm:f>'Cost Center'!$A$2:$A$67</xm:f>
          </x14:formula1>
          <xm:sqref>G2</xm:sqref>
        </x14:dataValidation>
        <x14:dataValidation type="list" allowBlank="1" showInputMessage="1" showErrorMessage="1" xr:uid="{00000000-0002-0000-0300-00000A000000}">
          <x14:formula1>
            <xm:f>Drivers!#REF!</xm:f>
          </x14:formula1>
          <xm:sqref>M7:M38</xm:sqref>
        </x14:dataValidation>
        <x14:dataValidation type="list" operator="greaterThan" allowBlank="1" showInputMessage="1" showErrorMessage="1" xr:uid="{00000000-0002-0000-0300-00000B000000}">
          <x14:formula1>
            <xm:f>Drivers!#REF!</xm:f>
          </x14:formula1>
          <xm:sqref>O7:O38</xm:sqref>
        </x14:dataValidation>
        <x14:dataValidation type="list" allowBlank="1" showInputMessage="1" showErrorMessage="1" xr:uid="{00000000-0002-0000-0300-00000C000000}">
          <x14:formula1>
            <xm:f>Drivers!$A$3:$A$1048576</xm:f>
          </x14:formula1>
          <xm:sqref>M6</xm:sqref>
        </x14:dataValidation>
        <x14:dataValidation type="list" operator="greaterThan" allowBlank="1" showInputMessage="1" showErrorMessage="1" xr:uid="{00000000-0002-0000-0300-00000D000000}">
          <x14:formula1>
            <xm:f>Drivers!$A$3:$A$1048576</xm:f>
          </x14:formula1>
          <xm:sqref>O6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zoomScale="110" zoomScaleNormal="110" workbookViewId="0">
      <selection activeCell="B11" sqref="B11"/>
    </sheetView>
  </sheetViews>
  <sheetFormatPr defaultRowHeight="14.5" x14ac:dyDescent="0.35"/>
  <cols>
    <col min="1" max="1" width="7.54296875" style="19" bestFit="1" customWidth="1"/>
    <col min="2" max="2" width="59.7265625" style="19" bestFit="1" customWidth="1"/>
    <col min="3" max="3" width="13.26953125" style="19" customWidth="1"/>
    <col min="4" max="4" width="7.81640625" style="19" customWidth="1"/>
    <col min="5" max="6" width="7.81640625" customWidth="1"/>
  </cols>
  <sheetData>
    <row r="1" spans="1:5" x14ac:dyDescent="0.35">
      <c r="B1" s="108" t="s">
        <v>1413</v>
      </c>
    </row>
    <row r="3" spans="1:5" x14ac:dyDescent="0.35">
      <c r="A3" s="20" t="s">
        <v>128</v>
      </c>
      <c r="B3" s="20" t="s">
        <v>129</v>
      </c>
      <c r="C3" s="27" t="s">
        <v>136</v>
      </c>
      <c r="D3" s="26" t="s">
        <v>137</v>
      </c>
    </row>
    <row r="4" spans="1:5" x14ac:dyDescent="0.35">
      <c r="A4" s="21">
        <v>1</v>
      </c>
      <c r="B4" s="22" t="s">
        <v>130</v>
      </c>
      <c r="C4" s="22" t="s">
        <v>140</v>
      </c>
      <c r="D4" s="28"/>
    </row>
    <row r="5" spans="1:5" x14ac:dyDescent="0.35">
      <c r="A5" s="23">
        <v>2</v>
      </c>
      <c r="B5" s="24" t="s">
        <v>131</v>
      </c>
      <c r="C5" s="22" t="s">
        <v>140</v>
      </c>
      <c r="D5" s="28"/>
    </row>
    <row r="6" spans="1:5" x14ac:dyDescent="0.35">
      <c r="A6" s="23">
        <v>3</v>
      </c>
      <c r="B6" s="24" t="s">
        <v>132</v>
      </c>
      <c r="C6" s="24" t="s">
        <v>140</v>
      </c>
      <c r="D6" s="28"/>
    </row>
    <row r="7" spans="1:5" x14ac:dyDescent="0.35">
      <c r="A7" s="21">
        <v>4</v>
      </c>
      <c r="B7" s="24" t="s">
        <v>1485</v>
      </c>
      <c r="C7" s="24" t="s">
        <v>140</v>
      </c>
      <c r="D7" s="28"/>
      <c r="E7" t="s">
        <v>1486</v>
      </c>
    </row>
    <row r="8" spans="1:5" x14ac:dyDescent="0.35">
      <c r="A8" s="23">
        <v>5</v>
      </c>
      <c r="B8" s="24" t="s">
        <v>133</v>
      </c>
      <c r="C8" s="24" t="s">
        <v>140</v>
      </c>
      <c r="D8" s="28"/>
    </row>
    <row r="9" spans="1:5" x14ac:dyDescent="0.35">
      <c r="A9" s="23">
        <v>6</v>
      </c>
      <c r="B9" s="24" t="s">
        <v>1484</v>
      </c>
      <c r="C9" s="24" t="s">
        <v>140</v>
      </c>
      <c r="D9" s="28"/>
    </row>
    <row r="10" spans="1:5" x14ac:dyDescent="0.35">
      <c r="A10" s="21">
        <v>7</v>
      </c>
      <c r="B10" s="19" t="s">
        <v>138</v>
      </c>
      <c r="C10" s="24" t="s">
        <v>140</v>
      </c>
      <c r="D10" s="28"/>
    </row>
    <row r="11" spans="1:5" x14ac:dyDescent="0.35">
      <c r="A11" s="23">
        <v>8</v>
      </c>
      <c r="B11" s="24" t="s">
        <v>1487</v>
      </c>
      <c r="C11" s="24" t="s">
        <v>140</v>
      </c>
      <c r="D11" s="28"/>
    </row>
    <row r="12" spans="1:5" x14ac:dyDescent="0.35">
      <c r="A12" s="23">
        <v>9</v>
      </c>
      <c r="B12" s="135" t="s">
        <v>134</v>
      </c>
      <c r="C12" s="24" t="s">
        <v>140</v>
      </c>
      <c r="D12" s="28"/>
      <c r="E12" s="136" t="s">
        <v>1488</v>
      </c>
    </row>
    <row r="13" spans="1:5" x14ac:dyDescent="0.35">
      <c r="A13" s="21">
        <v>10</v>
      </c>
      <c r="B13" s="134" t="s">
        <v>135</v>
      </c>
      <c r="C13" s="24" t="s">
        <v>140</v>
      </c>
      <c r="D13" s="28"/>
    </row>
    <row r="14" spans="1:5" x14ac:dyDescent="0.35">
      <c r="A14" s="23">
        <v>11</v>
      </c>
      <c r="B14" s="134" t="s">
        <v>1483</v>
      </c>
      <c r="C14" s="24"/>
      <c r="D14" s="28"/>
    </row>
    <row r="15" spans="1:5" x14ac:dyDescent="0.35">
      <c r="A15" s="23">
        <v>12</v>
      </c>
      <c r="B15" s="134" t="s">
        <v>1489</v>
      </c>
      <c r="C15" s="24"/>
      <c r="D15" s="28"/>
      <c r="E15" t="s">
        <v>1490</v>
      </c>
    </row>
    <row r="16" spans="1:5" x14ac:dyDescent="0.35">
      <c r="A16" s="21">
        <v>13</v>
      </c>
      <c r="B16" s="24" t="s">
        <v>139</v>
      </c>
      <c r="C16" s="24" t="s">
        <v>140</v>
      </c>
      <c r="D16" s="28"/>
    </row>
    <row r="17" spans="1:4" x14ac:dyDescent="0.35">
      <c r="A17" s="23">
        <v>14</v>
      </c>
      <c r="B17" s="24" t="s">
        <v>141</v>
      </c>
      <c r="C17" s="24" t="s">
        <v>140</v>
      </c>
      <c r="D17" s="28"/>
    </row>
    <row r="18" spans="1:4" x14ac:dyDescent="0.35">
      <c r="A18" s="23">
        <v>15</v>
      </c>
      <c r="B18" s="29" t="s">
        <v>1431</v>
      </c>
      <c r="C18" s="28"/>
      <c r="D18" s="28"/>
    </row>
  </sheetData>
  <hyperlinks>
    <hyperlink ref="B1" location="'Main Page'!A1" display="Return to Main Page" xr:uid="{00000000-0004-0000-0400-000000000000}"/>
  </hyperlink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'Accoount Code Combination'!#REF!</xm:f>
          </x14:formula1>
          <xm:sqref>C7:C17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zoomScaleNormal="100" workbookViewId="0">
      <selection activeCell="A3" sqref="A3"/>
    </sheetView>
  </sheetViews>
  <sheetFormatPr defaultRowHeight="14.5" x14ac:dyDescent="0.35"/>
  <cols>
    <col min="1" max="1" width="19.1796875" bestFit="1" customWidth="1"/>
    <col min="2" max="2" width="25.81640625" bestFit="1" customWidth="1"/>
    <col min="3" max="3" width="47.26953125" bestFit="1" customWidth="1"/>
    <col min="4" max="4" width="13.54296875" bestFit="1" customWidth="1"/>
    <col min="5" max="5" width="24.453125" bestFit="1" customWidth="1"/>
  </cols>
  <sheetData>
    <row r="1" spans="1:5" x14ac:dyDescent="0.35">
      <c r="A1" s="108" t="s">
        <v>1413</v>
      </c>
    </row>
    <row r="3" spans="1:5" ht="29" x14ac:dyDescent="0.35">
      <c r="A3" s="123" t="s">
        <v>1436</v>
      </c>
      <c r="B3" s="124" t="s">
        <v>6</v>
      </c>
      <c r="C3" s="124" t="s">
        <v>1437</v>
      </c>
      <c r="D3" s="124" t="s">
        <v>1438</v>
      </c>
      <c r="E3" s="124" t="s">
        <v>1439</v>
      </c>
    </row>
    <row r="4" spans="1:5" ht="17.149999999999999" customHeight="1" x14ac:dyDescent="0.35">
      <c r="A4" s="125">
        <v>425100</v>
      </c>
      <c r="B4" s="125" t="s">
        <v>1440</v>
      </c>
      <c r="C4" s="125" t="s">
        <v>1441</v>
      </c>
      <c r="D4" s="125" t="s">
        <v>1442</v>
      </c>
      <c r="E4" s="126"/>
    </row>
    <row r="5" spans="1:5" ht="17.149999999999999" customHeight="1" x14ac:dyDescent="0.35">
      <c r="A5" s="125">
        <v>425100</v>
      </c>
      <c r="B5" s="125" t="s">
        <v>1440</v>
      </c>
      <c r="C5" s="125" t="s">
        <v>1443</v>
      </c>
      <c r="D5" s="125" t="s">
        <v>1442</v>
      </c>
      <c r="E5" s="126"/>
    </row>
    <row r="6" spans="1:5" ht="17.149999999999999" customHeight="1" x14ac:dyDescent="0.35">
      <c r="A6" s="125">
        <v>425100</v>
      </c>
      <c r="B6" s="125" t="s">
        <v>1440</v>
      </c>
      <c r="C6" s="125" t="s">
        <v>1444</v>
      </c>
      <c r="D6" s="125" t="s">
        <v>1445</v>
      </c>
      <c r="E6" s="126"/>
    </row>
    <row r="7" spans="1:5" ht="17.149999999999999" customHeight="1" x14ac:dyDescent="0.35">
      <c r="A7" s="125">
        <v>425100</v>
      </c>
      <c r="B7" s="125" t="s">
        <v>1440</v>
      </c>
      <c r="C7" s="125" t="s">
        <v>1446</v>
      </c>
      <c r="D7" s="125" t="s">
        <v>1447</v>
      </c>
      <c r="E7" s="126"/>
    </row>
    <row r="8" spans="1:5" ht="17.149999999999999" customHeight="1" x14ac:dyDescent="0.35">
      <c r="A8" s="125">
        <v>425100</v>
      </c>
      <c r="B8" s="125" t="s">
        <v>1440</v>
      </c>
      <c r="C8" s="125" t="s">
        <v>1448</v>
      </c>
      <c r="D8" s="125" t="s">
        <v>1447</v>
      </c>
      <c r="E8" s="126"/>
    </row>
    <row r="9" spans="1:5" ht="17.149999999999999" customHeight="1" x14ac:dyDescent="0.35">
      <c r="A9" s="125">
        <v>425100</v>
      </c>
      <c r="B9" s="125" t="s">
        <v>1440</v>
      </c>
      <c r="C9" s="125" t="s">
        <v>1449</v>
      </c>
      <c r="D9" s="125" t="s">
        <v>1447</v>
      </c>
      <c r="E9" s="126"/>
    </row>
    <row r="10" spans="1:5" ht="17.149999999999999" customHeight="1" x14ac:dyDescent="0.35">
      <c r="A10" s="125">
        <v>425100</v>
      </c>
      <c r="B10" s="125" t="s">
        <v>1440</v>
      </c>
      <c r="C10" s="125" t="s">
        <v>1450</v>
      </c>
      <c r="D10" s="125" t="s">
        <v>1447</v>
      </c>
      <c r="E10" s="126"/>
    </row>
    <row r="11" spans="1:5" ht="17.149999999999999" customHeight="1" x14ac:dyDescent="0.35">
      <c r="A11" s="125">
        <v>425100</v>
      </c>
      <c r="B11" s="125" t="s">
        <v>1440</v>
      </c>
      <c r="C11" s="125" t="s">
        <v>1451</v>
      </c>
      <c r="D11" s="125" t="s">
        <v>1452</v>
      </c>
      <c r="E11" s="126"/>
    </row>
    <row r="12" spans="1:5" ht="17.149999999999999" customHeight="1" x14ac:dyDescent="0.35">
      <c r="A12" s="125">
        <v>425100</v>
      </c>
      <c r="B12" s="125" t="s">
        <v>1440</v>
      </c>
      <c r="C12" s="125" t="s">
        <v>1453</v>
      </c>
      <c r="D12" s="125" t="s">
        <v>1447</v>
      </c>
      <c r="E12" s="126"/>
    </row>
    <row r="13" spans="1:5" ht="17.149999999999999" customHeight="1" x14ac:dyDescent="0.35">
      <c r="A13" s="125">
        <v>425100</v>
      </c>
      <c r="B13" s="125" t="s">
        <v>1440</v>
      </c>
      <c r="C13" s="125" t="s">
        <v>1454</v>
      </c>
      <c r="D13" s="125" t="s">
        <v>1447</v>
      </c>
      <c r="E13" s="126"/>
    </row>
    <row r="14" spans="1:5" ht="17.149999999999999" customHeight="1" x14ac:dyDescent="0.35">
      <c r="A14" s="125">
        <v>425100</v>
      </c>
      <c r="B14" s="125" t="s">
        <v>1440</v>
      </c>
      <c r="C14" s="125" t="s">
        <v>1455</v>
      </c>
      <c r="D14" s="125" t="s">
        <v>1447</v>
      </c>
      <c r="E14" s="126"/>
    </row>
    <row r="15" spans="1:5" ht="17.149999999999999" customHeight="1" x14ac:dyDescent="0.35">
      <c r="A15" s="125">
        <v>425100</v>
      </c>
      <c r="B15" s="125" t="s">
        <v>1440</v>
      </c>
      <c r="C15" s="125" t="s">
        <v>1456</v>
      </c>
      <c r="D15" s="125" t="s">
        <v>1447</v>
      </c>
      <c r="E15" s="126"/>
    </row>
    <row r="16" spans="1:5" ht="17.149999999999999" customHeight="1" x14ac:dyDescent="0.35">
      <c r="A16" s="125">
        <v>425100</v>
      </c>
      <c r="B16" s="125" t="s">
        <v>1440</v>
      </c>
      <c r="C16" s="125" t="s">
        <v>1457</v>
      </c>
      <c r="D16" s="125" t="s">
        <v>1458</v>
      </c>
      <c r="E16" s="126"/>
    </row>
  </sheetData>
  <hyperlinks>
    <hyperlink ref="A1" location="'Main Page'!A1" display="Return to Main Page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46"/>
  <sheetViews>
    <sheetView showGridLines="0" workbookViewId="0">
      <pane ySplit="1" topLeftCell="A2" activePane="bottomLeft" state="frozen"/>
      <selection activeCell="A11" sqref="A11"/>
      <selection pane="bottomLeft" activeCell="B2" sqref="B2"/>
    </sheetView>
  </sheetViews>
  <sheetFormatPr defaultColWidth="8.7265625" defaultRowHeight="13" x14ac:dyDescent="0.3"/>
  <cols>
    <col min="1" max="1" width="17.453125" style="42" bestFit="1" customWidth="1"/>
    <col min="2" max="2" width="11" style="83" customWidth="1"/>
    <col min="3" max="3" width="29.1796875" style="42" customWidth="1"/>
    <col min="4" max="4" width="8.7265625" style="82" bestFit="1" customWidth="1"/>
    <col min="5" max="5" width="19.54296875" style="42" customWidth="1"/>
    <col min="6" max="6" width="9.54296875" style="82" bestFit="1" customWidth="1"/>
    <col min="7" max="7" width="17" style="42" bestFit="1" customWidth="1"/>
    <col min="8" max="8" width="19.81640625" style="42" bestFit="1" customWidth="1"/>
    <col min="9" max="9" width="16.26953125" style="82" customWidth="1"/>
    <col min="10" max="10" width="41.7265625" style="48" customWidth="1"/>
    <col min="11" max="11" width="21.1796875" style="42" customWidth="1"/>
    <col min="12" max="12" width="20.1796875" style="42" customWidth="1"/>
    <col min="13" max="13" width="37.453125" style="42" customWidth="1"/>
    <col min="14" max="16384" width="8.7265625" style="42"/>
  </cols>
  <sheetData>
    <row r="1" spans="1:15" ht="29.15" customHeight="1" x14ac:dyDescent="0.35">
      <c r="A1" s="25" t="s">
        <v>1378</v>
      </c>
      <c r="B1" s="25" t="s">
        <v>3</v>
      </c>
      <c r="C1" s="39" t="s">
        <v>4</v>
      </c>
      <c r="D1" s="25" t="s">
        <v>5</v>
      </c>
      <c r="E1" s="40" t="s">
        <v>6</v>
      </c>
      <c r="F1" s="25" t="s">
        <v>20</v>
      </c>
      <c r="G1" s="39" t="s">
        <v>21</v>
      </c>
      <c r="H1" s="39" t="s">
        <v>22</v>
      </c>
      <c r="I1" s="25" t="s">
        <v>23</v>
      </c>
      <c r="J1" s="39" t="s">
        <v>7</v>
      </c>
      <c r="K1" s="39" t="s">
        <v>0</v>
      </c>
      <c r="L1" s="39" t="s">
        <v>1</v>
      </c>
      <c r="M1" s="41"/>
      <c r="N1" s="41"/>
      <c r="O1" s="41"/>
    </row>
    <row r="2" spans="1:15" ht="14.5" x14ac:dyDescent="0.35">
      <c r="A2" s="47" t="s">
        <v>1359</v>
      </c>
      <c r="B2" s="43">
        <v>8470120</v>
      </c>
      <c r="C2" s="44" t="s">
        <v>157</v>
      </c>
      <c r="D2" s="43">
        <v>420120</v>
      </c>
      <c r="E2" s="44" t="s">
        <v>158</v>
      </c>
      <c r="F2" s="43">
        <v>847001</v>
      </c>
      <c r="G2" s="44" t="s">
        <v>24</v>
      </c>
      <c r="H2" s="44" t="s">
        <v>25</v>
      </c>
      <c r="I2" s="45" t="s">
        <v>26</v>
      </c>
      <c r="J2" s="45" t="s">
        <v>159</v>
      </c>
      <c r="K2" s="46" t="s">
        <v>27</v>
      </c>
      <c r="L2" s="47" t="s">
        <v>1379</v>
      </c>
    </row>
    <row r="3" spans="1:15" ht="14.5" x14ac:dyDescent="0.35">
      <c r="A3" s="47" t="s">
        <v>1359</v>
      </c>
      <c r="B3" s="43">
        <v>8470120</v>
      </c>
      <c r="C3" s="44" t="s">
        <v>157</v>
      </c>
      <c r="D3" s="43">
        <v>420120</v>
      </c>
      <c r="E3" s="44" t="s">
        <v>158</v>
      </c>
      <c r="F3" s="43">
        <v>847001</v>
      </c>
      <c r="G3" s="44" t="s">
        <v>24</v>
      </c>
      <c r="H3" s="44" t="s">
        <v>28</v>
      </c>
      <c r="I3" s="45" t="s">
        <v>29</v>
      </c>
      <c r="J3" s="45" t="s">
        <v>160</v>
      </c>
      <c r="K3" s="46" t="s">
        <v>27</v>
      </c>
      <c r="L3" s="47" t="s">
        <v>1379</v>
      </c>
    </row>
    <row r="4" spans="1:15" ht="14.5" x14ac:dyDescent="0.35">
      <c r="A4" s="47" t="s">
        <v>1362</v>
      </c>
      <c r="B4" s="43">
        <v>8470620</v>
      </c>
      <c r="C4" s="44" t="s">
        <v>161</v>
      </c>
      <c r="D4" s="43">
        <v>420130</v>
      </c>
      <c r="E4" s="44" t="s">
        <v>162</v>
      </c>
      <c r="F4" s="43">
        <v>847001</v>
      </c>
      <c r="G4" s="44" t="s">
        <v>24</v>
      </c>
      <c r="H4" s="44" t="s">
        <v>25</v>
      </c>
      <c r="I4" s="45" t="s">
        <v>26</v>
      </c>
      <c r="J4" s="45" t="s">
        <v>163</v>
      </c>
      <c r="K4" s="46" t="s">
        <v>27</v>
      </c>
      <c r="L4" s="47" t="s">
        <v>1379</v>
      </c>
    </row>
    <row r="5" spans="1:15" ht="14.5" x14ac:dyDescent="0.35">
      <c r="A5" s="47" t="s">
        <v>1362</v>
      </c>
      <c r="B5" s="43">
        <v>8470620</v>
      </c>
      <c r="C5" s="44" t="s">
        <v>161</v>
      </c>
      <c r="D5" s="43">
        <v>420130</v>
      </c>
      <c r="E5" s="44" t="s">
        <v>162</v>
      </c>
      <c r="F5" s="43">
        <v>847001</v>
      </c>
      <c r="G5" s="44" t="s">
        <v>24</v>
      </c>
      <c r="H5" s="44" t="s">
        <v>28</v>
      </c>
      <c r="I5" s="45" t="s">
        <v>29</v>
      </c>
      <c r="J5" s="45" t="s">
        <v>164</v>
      </c>
      <c r="K5" s="46" t="s">
        <v>27</v>
      </c>
      <c r="L5" s="47" t="s">
        <v>1379</v>
      </c>
    </row>
    <row r="6" spans="1:15" ht="14.5" x14ac:dyDescent="0.35">
      <c r="A6" s="47" t="s">
        <v>1358</v>
      </c>
      <c r="B6" s="43">
        <v>8470530</v>
      </c>
      <c r="C6" s="44" t="s">
        <v>165</v>
      </c>
      <c r="D6" s="43">
        <v>420310</v>
      </c>
      <c r="E6" s="44" t="s">
        <v>166</v>
      </c>
      <c r="F6" s="43">
        <v>847010</v>
      </c>
      <c r="G6" s="44" t="s">
        <v>167</v>
      </c>
      <c r="H6" s="44" t="s">
        <v>25</v>
      </c>
      <c r="I6" s="45" t="s">
        <v>26</v>
      </c>
      <c r="J6" s="45" t="s">
        <v>168</v>
      </c>
      <c r="K6" s="46" t="s">
        <v>571</v>
      </c>
      <c r="L6" s="47" t="s">
        <v>1379</v>
      </c>
    </row>
    <row r="7" spans="1:15" ht="14.5" x14ac:dyDescent="0.35">
      <c r="A7" s="47" t="s">
        <v>1358</v>
      </c>
      <c r="B7" s="43">
        <v>8470530</v>
      </c>
      <c r="C7" s="44" t="s">
        <v>165</v>
      </c>
      <c r="D7" s="43">
        <v>420310</v>
      </c>
      <c r="E7" s="44" t="s">
        <v>166</v>
      </c>
      <c r="F7" s="43">
        <v>847010</v>
      </c>
      <c r="G7" s="44" t="s">
        <v>167</v>
      </c>
      <c r="H7" s="44" t="s">
        <v>28</v>
      </c>
      <c r="I7" s="45" t="s">
        <v>29</v>
      </c>
      <c r="J7" s="45" t="s">
        <v>169</v>
      </c>
      <c r="K7" s="46" t="s">
        <v>571</v>
      </c>
      <c r="L7" s="47" t="s">
        <v>1379</v>
      </c>
    </row>
    <row r="8" spans="1:15" ht="14.5" x14ac:dyDescent="0.35">
      <c r="A8" s="47" t="s">
        <v>1358</v>
      </c>
      <c r="B8" s="43">
        <v>8470530</v>
      </c>
      <c r="C8" s="44" t="s">
        <v>165</v>
      </c>
      <c r="D8" s="43">
        <v>420310</v>
      </c>
      <c r="E8" s="44" t="s">
        <v>166</v>
      </c>
      <c r="F8" s="43">
        <v>847020</v>
      </c>
      <c r="G8" s="44" t="s">
        <v>170</v>
      </c>
      <c r="H8" s="44" t="s">
        <v>25</v>
      </c>
      <c r="I8" s="45" t="s">
        <v>26</v>
      </c>
      <c r="J8" s="45" t="s">
        <v>171</v>
      </c>
      <c r="K8" s="46" t="s">
        <v>571</v>
      </c>
      <c r="L8" s="47" t="s">
        <v>1379</v>
      </c>
    </row>
    <row r="9" spans="1:15" ht="14.5" x14ac:dyDescent="0.35">
      <c r="A9" s="47" t="s">
        <v>1358</v>
      </c>
      <c r="B9" s="43">
        <v>8470530</v>
      </c>
      <c r="C9" s="44" t="s">
        <v>165</v>
      </c>
      <c r="D9" s="43">
        <v>420310</v>
      </c>
      <c r="E9" s="44" t="s">
        <v>166</v>
      </c>
      <c r="F9" s="43">
        <v>847020</v>
      </c>
      <c r="G9" s="44" t="s">
        <v>170</v>
      </c>
      <c r="H9" s="44" t="s">
        <v>28</v>
      </c>
      <c r="I9" s="45" t="s">
        <v>29</v>
      </c>
      <c r="J9" s="45" t="s">
        <v>172</v>
      </c>
      <c r="K9" s="46" t="s">
        <v>571</v>
      </c>
      <c r="L9" s="47" t="s">
        <v>1379</v>
      </c>
    </row>
    <row r="10" spans="1:15" ht="14.5" x14ac:dyDescent="0.35">
      <c r="A10" s="47" t="s">
        <v>1358</v>
      </c>
      <c r="B10" s="43">
        <v>8470530</v>
      </c>
      <c r="C10" s="44" t="s">
        <v>165</v>
      </c>
      <c r="D10" s="43">
        <v>420310</v>
      </c>
      <c r="E10" s="44" t="s">
        <v>166</v>
      </c>
      <c r="F10" s="43">
        <v>847030</v>
      </c>
      <c r="G10" s="44" t="s">
        <v>173</v>
      </c>
      <c r="H10" s="44" t="s">
        <v>25</v>
      </c>
      <c r="I10" s="45" t="s">
        <v>26</v>
      </c>
      <c r="J10" s="45" t="s">
        <v>174</v>
      </c>
      <c r="K10" s="46" t="s">
        <v>571</v>
      </c>
      <c r="L10" s="47" t="s">
        <v>1379</v>
      </c>
    </row>
    <row r="11" spans="1:15" ht="14.5" x14ac:dyDescent="0.35">
      <c r="A11" s="47" t="s">
        <v>1358</v>
      </c>
      <c r="B11" s="43">
        <v>8470530</v>
      </c>
      <c r="C11" s="44" t="s">
        <v>165</v>
      </c>
      <c r="D11" s="43">
        <v>420310</v>
      </c>
      <c r="E11" s="44" t="s">
        <v>166</v>
      </c>
      <c r="F11" s="43">
        <v>847030</v>
      </c>
      <c r="G11" s="44" t="s">
        <v>173</v>
      </c>
      <c r="H11" s="44" t="s">
        <v>28</v>
      </c>
      <c r="I11" s="45" t="s">
        <v>29</v>
      </c>
      <c r="J11" s="45" t="s">
        <v>175</v>
      </c>
      <c r="K11" s="46" t="s">
        <v>571</v>
      </c>
      <c r="L11" s="47" t="s">
        <v>1379</v>
      </c>
    </row>
    <row r="12" spans="1:15" ht="14.5" x14ac:dyDescent="0.35">
      <c r="A12" s="47" t="s">
        <v>1365</v>
      </c>
      <c r="B12" s="43">
        <v>8471210</v>
      </c>
      <c r="C12" s="44" t="s">
        <v>176</v>
      </c>
      <c r="D12" s="43">
        <v>420310</v>
      </c>
      <c r="E12" s="44" t="s">
        <v>166</v>
      </c>
      <c r="F12" s="43">
        <v>847001</v>
      </c>
      <c r="G12" s="44" t="s">
        <v>24</v>
      </c>
      <c r="H12" s="44" t="s">
        <v>28</v>
      </c>
      <c r="I12" s="45" t="s">
        <v>29</v>
      </c>
      <c r="J12" s="45" t="s">
        <v>177</v>
      </c>
      <c r="K12" s="46" t="s">
        <v>571</v>
      </c>
      <c r="L12" s="47" t="s">
        <v>1379</v>
      </c>
    </row>
    <row r="13" spans="1:15" ht="14.5" x14ac:dyDescent="0.35">
      <c r="A13" s="47" t="s">
        <v>1365</v>
      </c>
      <c r="B13" s="43">
        <v>8471260</v>
      </c>
      <c r="C13" s="44" t="s">
        <v>178</v>
      </c>
      <c r="D13" s="43">
        <v>420310</v>
      </c>
      <c r="E13" s="44" t="s">
        <v>166</v>
      </c>
      <c r="F13" s="43">
        <v>847001</v>
      </c>
      <c r="G13" s="44" t="s">
        <v>24</v>
      </c>
      <c r="H13" s="44" t="s">
        <v>25</v>
      </c>
      <c r="I13" s="45" t="s">
        <v>26</v>
      </c>
      <c r="J13" s="45" t="s">
        <v>179</v>
      </c>
      <c r="K13" s="46" t="s">
        <v>571</v>
      </c>
      <c r="L13" s="47" t="s">
        <v>1379</v>
      </c>
    </row>
    <row r="14" spans="1:15" ht="14.5" x14ac:dyDescent="0.35">
      <c r="A14" s="47" t="s">
        <v>1359</v>
      </c>
      <c r="B14" s="43">
        <v>8470110</v>
      </c>
      <c r="C14" s="44" t="s">
        <v>180</v>
      </c>
      <c r="D14" s="43">
        <v>420550</v>
      </c>
      <c r="E14" s="44" t="s">
        <v>30</v>
      </c>
      <c r="F14" s="43">
        <v>847001</v>
      </c>
      <c r="G14" s="44" t="s">
        <v>24</v>
      </c>
      <c r="H14" s="44" t="s">
        <v>25</v>
      </c>
      <c r="I14" s="45" t="s">
        <v>26</v>
      </c>
      <c r="J14" s="45" t="s">
        <v>181</v>
      </c>
      <c r="K14" s="46" t="s">
        <v>31</v>
      </c>
      <c r="L14" s="47" t="s">
        <v>1379</v>
      </c>
    </row>
    <row r="15" spans="1:15" ht="14.5" x14ac:dyDescent="0.35">
      <c r="A15" s="47" t="s">
        <v>1359</v>
      </c>
      <c r="B15" s="43">
        <v>8470110</v>
      </c>
      <c r="C15" s="44" t="s">
        <v>180</v>
      </c>
      <c r="D15" s="43">
        <v>420550</v>
      </c>
      <c r="E15" s="44" t="s">
        <v>30</v>
      </c>
      <c r="F15" s="43">
        <v>847001</v>
      </c>
      <c r="G15" s="44" t="s">
        <v>24</v>
      </c>
      <c r="H15" s="44" t="s">
        <v>28</v>
      </c>
      <c r="I15" s="45" t="s">
        <v>29</v>
      </c>
      <c r="J15" s="45" t="s">
        <v>182</v>
      </c>
      <c r="K15" s="46" t="s">
        <v>31</v>
      </c>
      <c r="L15" s="47" t="s">
        <v>1379</v>
      </c>
    </row>
    <row r="16" spans="1:15" ht="14.5" x14ac:dyDescent="0.35">
      <c r="A16" s="47" t="s">
        <v>1366</v>
      </c>
      <c r="B16" s="43">
        <v>8470230</v>
      </c>
      <c r="C16" s="44" t="s">
        <v>183</v>
      </c>
      <c r="D16" s="43">
        <v>420550</v>
      </c>
      <c r="E16" s="44" t="s">
        <v>30</v>
      </c>
      <c r="F16" s="43">
        <v>847001</v>
      </c>
      <c r="G16" s="44" t="s">
        <v>24</v>
      </c>
      <c r="H16" s="44" t="s">
        <v>25</v>
      </c>
      <c r="I16" s="45" t="s">
        <v>26</v>
      </c>
      <c r="J16" s="45" t="s">
        <v>184</v>
      </c>
      <c r="K16" s="46" t="s">
        <v>31</v>
      </c>
      <c r="L16" s="47" t="s">
        <v>1379</v>
      </c>
    </row>
    <row r="17" spans="1:12" ht="14.5" x14ac:dyDescent="0.35">
      <c r="A17" s="47" t="s">
        <v>1366</v>
      </c>
      <c r="B17" s="43">
        <v>8470230</v>
      </c>
      <c r="C17" s="44" t="s">
        <v>183</v>
      </c>
      <c r="D17" s="43">
        <v>420550</v>
      </c>
      <c r="E17" s="44" t="s">
        <v>30</v>
      </c>
      <c r="F17" s="43">
        <v>847001</v>
      </c>
      <c r="G17" s="44" t="s">
        <v>24</v>
      </c>
      <c r="H17" s="44" t="s">
        <v>28</v>
      </c>
      <c r="I17" s="45" t="s">
        <v>29</v>
      </c>
      <c r="J17" s="45" t="s">
        <v>185</v>
      </c>
      <c r="K17" s="46" t="s">
        <v>31</v>
      </c>
      <c r="L17" s="47" t="s">
        <v>1379</v>
      </c>
    </row>
    <row r="18" spans="1:12" ht="14.5" x14ac:dyDescent="0.35">
      <c r="A18" s="47" t="s">
        <v>1363</v>
      </c>
      <c r="B18" s="43">
        <v>8470325</v>
      </c>
      <c r="C18" s="44" t="s">
        <v>186</v>
      </c>
      <c r="D18" s="43">
        <v>420550</v>
      </c>
      <c r="E18" s="44" t="s">
        <v>30</v>
      </c>
      <c r="F18" s="43">
        <v>847001</v>
      </c>
      <c r="G18" s="44" t="s">
        <v>24</v>
      </c>
      <c r="H18" s="44" t="s">
        <v>25</v>
      </c>
      <c r="I18" s="45" t="s">
        <v>26</v>
      </c>
      <c r="J18" s="45" t="s">
        <v>187</v>
      </c>
      <c r="K18" s="46" t="s">
        <v>31</v>
      </c>
      <c r="L18" s="47" t="s">
        <v>1379</v>
      </c>
    </row>
    <row r="19" spans="1:12" ht="14.5" x14ac:dyDescent="0.35">
      <c r="A19" s="47" t="s">
        <v>1363</v>
      </c>
      <c r="B19" s="43">
        <v>8470345</v>
      </c>
      <c r="C19" s="44" t="s">
        <v>188</v>
      </c>
      <c r="D19" s="43">
        <v>420550</v>
      </c>
      <c r="E19" s="44" t="s">
        <v>30</v>
      </c>
      <c r="F19" s="43">
        <v>847001</v>
      </c>
      <c r="G19" s="44" t="s">
        <v>24</v>
      </c>
      <c r="H19" s="44" t="s">
        <v>25</v>
      </c>
      <c r="I19" s="45" t="s">
        <v>26</v>
      </c>
      <c r="J19" s="45" t="s">
        <v>189</v>
      </c>
      <c r="K19" s="46" t="s">
        <v>31</v>
      </c>
      <c r="L19" s="47" t="s">
        <v>1379</v>
      </c>
    </row>
    <row r="20" spans="1:12" ht="14.5" x14ac:dyDescent="0.35">
      <c r="A20" s="47" t="s">
        <v>1363</v>
      </c>
      <c r="B20" s="43">
        <v>8470345</v>
      </c>
      <c r="C20" s="44" t="s">
        <v>188</v>
      </c>
      <c r="D20" s="43">
        <v>420550</v>
      </c>
      <c r="E20" s="44" t="s">
        <v>30</v>
      </c>
      <c r="F20" s="43">
        <v>847001</v>
      </c>
      <c r="G20" s="44" t="s">
        <v>24</v>
      </c>
      <c r="H20" s="44" t="s">
        <v>28</v>
      </c>
      <c r="I20" s="45" t="s">
        <v>29</v>
      </c>
      <c r="J20" s="45" t="s">
        <v>190</v>
      </c>
      <c r="K20" s="46" t="s">
        <v>31</v>
      </c>
      <c r="L20" s="47" t="s">
        <v>1379</v>
      </c>
    </row>
    <row r="21" spans="1:12" ht="14.5" x14ac:dyDescent="0.35">
      <c r="A21" s="47" t="s">
        <v>1363</v>
      </c>
      <c r="B21" s="43">
        <v>8470350</v>
      </c>
      <c r="C21" s="44" t="s">
        <v>191</v>
      </c>
      <c r="D21" s="43">
        <v>420550</v>
      </c>
      <c r="E21" s="44" t="s">
        <v>30</v>
      </c>
      <c r="F21" s="43">
        <v>847001</v>
      </c>
      <c r="G21" s="44" t="s">
        <v>24</v>
      </c>
      <c r="H21" s="44" t="s">
        <v>28</v>
      </c>
      <c r="I21" s="45" t="s">
        <v>29</v>
      </c>
      <c r="J21" s="45" t="s">
        <v>192</v>
      </c>
      <c r="K21" s="46" t="s">
        <v>31</v>
      </c>
      <c r="L21" s="47" t="s">
        <v>1379</v>
      </c>
    </row>
    <row r="22" spans="1:12" ht="14.5" x14ac:dyDescent="0.35">
      <c r="A22" s="47" t="s">
        <v>1371</v>
      </c>
      <c r="B22" s="43">
        <v>8471305</v>
      </c>
      <c r="C22" s="44" t="s">
        <v>32</v>
      </c>
      <c r="D22" s="43">
        <v>420550</v>
      </c>
      <c r="E22" s="44" t="s">
        <v>30</v>
      </c>
      <c r="F22" s="43">
        <v>847001</v>
      </c>
      <c r="G22" s="44" t="s">
        <v>24</v>
      </c>
      <c r="H22" s="44" t="s">
        <v>25</v>
      </c>
      <c r="I22" s="45" t="s">
        <v>26</v>
      </c>
      <c r="J22" s="45" t="s">
        <v>33</v>
      </c>
      <c r="K22" s="46" t="s">
        <v>31</v>
      </c>
      <c r="L22" s="47" t="s">
        <v>1379</v>
      </c>
    </row>
    <row r="23" spans="1:12" ht="14.5" x14ac:dyDescent="0.35">
      <c r="A23" s="47" t="s">
        <v>1363</v>
      </c>
      <c r="B23" s="43">
        <v>8470305</v>
      </c>
      <c r="C23" s="44" t="s">
        <v>193</v>
      </c>
      <c r="D23" s="43">
        <v>420570</v>
      </c>
      <c r="E23" s="44" t="s">
        <v>194</v>
      </c>
      <c r="F23" s="43">
        <v>847001</v>
      </c>
      <c r="G23" s="44" t="s">
        <v>24</v>
      </c>
      <c r="H23" s="44" t="s">
        <v>25</v>
      </c>
      <c r="I23" s="45" t="s">
        <v>26</v>
      </c>
      <c r="J23" s="45" t="s">
        <v>195</v>
      </c>
      <c r="K23" s="46" t="s">
        <v>31</v>
      </c>
      <c r="L23" s="47" t="s">
        <v>1379</v>
      </c>
    </row>
    <row r="24" spans="1:12" ht="14.5" x14ac:dyDescent="0.35">
      <c r="A24" s="47" t="s">
        <v>1363</v>
      </c>
      <c r="B24" s="43">
        <v>8470305</v>
      </c>
      <c r="C24" s="44" t="s">
        <v>193</v>
      </c>
      <c r="D24" s="43">
        <v>420570</v>
      </c>
      <c r="E24" s="44" t="s">
        <v>194</v>
      </c>
      <c r="F24" s="43">
        <v>847001</v>
      </c>
      <c r="G24" s="44" t="s">
        <v>24</v>
      </c>
      <c r="H24" s="44" t="s">
        <v>28</v>
      </c>
      <c r="I24" s="45" t="s">
        <v>29</v>
      </c>
      <c r="J24" s="45" t="s">
        <v>196</v>
      </c>
      <c r="K24" s="46" t="s">
        <v>31</v>
      </c>
      <c r="L24" s="47" t="s">
        <v>1379</v>
      </c>
    </row>
    <row r="25" spans="1:12" ht="14.5" x14ac:dyDescent="0.35">
      <c r="A25" s="47" t="s">
        <v>1368</v>
      </c>
      <c r="B25" s="43">
        <v>8471130</v>
      </c>
      <c r="C25" s="44" t="s">
        <v>197</v>
      </c>
      <c r="D25" s="43">
        <v>420570</v>
      </c>
      <c r="E25" s="44" t="s">
        <v>194</v>
      </c>
      <c r="F25" s="43">
        <v>847001</v>
      </c>
      <c r="G25" s="44" t="s">
        <v>24</v>
      </c>
      <c r="H25" s="44" t="s">
        <v>25</v>
      </c>
      <c r="I25" s="45" t="s">
        <v>26</v>
      </c>
      <c r="J25" s="45" t="s">
        <v>198</v>
      </c>
      <c r="K25" s="46" t="s">
        <v>31</v>
      </c>
      <c r="L25" s="47" t="s">
        <v>1379</v>
      </c>
    </row>
    <row r="26" spans="1:12" ht="14.5" x14ac:dyDescent="0.35">
      <c r="A26" s="47" t="s">
        <v>1368</v>
      </c>
      <c r="B26" s="43">
        <v>8471130</v>
      </c>
      <c r="C26" s="44" t="s">
        <v>197</v>
      </c>
      <c r="D26" s="43">
        <v>420570</v>
      </c>
      <c r="E26" s="44" t="s">
        <v>194</v>
      </c>
      <c r="F26" s="43">
        <v>847001</v>
      </c>
      <c r="G26" s="44" t="s">
        <v>24</v>
      </c>
      <c r="H26" s="44" t="s">
        <v>28</v>
      </c>
      <c r="I26" s="45" t="s">
        <v>29</v>
      </c>
      <c r="J26" s="45" t="s">
        <v>199</v>
      </c>
      <c r="K26" s="46" t="s">
        <v>31</v>
      </c>
      <c r="L26" s="47" t="s">
        <v>1379</v>
      </c>
    </row>
    <row r="27" spans="1:12" ht="14.5" x14ac:dyDescent="0.35">
      <c r="A27" s="47" t="s">
        <v>1364</v>
      </c>
      <c r="B27" s="43">
        <v>8470810</v>
      </c>
      <c r="C27" s="44" t="s">
        <v>200</v>
      </c>
      <c r="D27" s="43">
        <v>420810</v>
      </c>
      <c r="E27" s="44" t="s">
        <v>34</v>
      </c>
      <c r="F27" s="43">
        <v>847001</v>
      </c>
      <c r="G27" s="44" t="s">
        <v>24</v>
      </c>
      <c r="H27" s="44" t="s">
        <v>25</v>
      </c>
      <c r="I27" s="45" t="s">
        <v>26</v>
      </c>
      <c r="J27" s="45" t="s">
        <v>201</v>
      </c>
      <c r="K27" s="46" t="s">
        <v>574</v>
      </c>
      <c r="L27" s="47" t="s">
        <v>1379</v>
      </c>
    </row>
    <row r="28" spans="1:12" ht="14.5" x14ac:dyDescent="0.35">
      <c r="A28" s="47" t="s">
        <v>1364</v>
      </c>
      <c r="B28" s="43">
        <v>8470810</v>
      </c>
      <c r="C28" s="44" t="s">
        <v>200</v>
      </c>
      <c r="D28" s="43">
        <v>420810</v>
      </c>
      <c r="E28" s="44" t="s">
        <v>34</v>
      </c>
      <c r="F28" s="43">
        <v>847001</v>
      </c>
      <c r="G28" s="44" t="s">
        <v>24</v>
      </c>
      <c r="H28" s="44" t="s">
        <v>28</v>
      </c>
      <c r="I28" s="45" t="s">
        <v>29</v>
      </c>
      <c r="J28" s="45" t="s">
        <v>202</v>
      </c>
      <c r="K28" s="46" t="s">
        <v>574</v>
      </c>
      <c r="L28" s="47" t="s">
        <v>1379</v>
      </c>
    </row>
    <row r="29" spans="1:12" ht="14.5" x14ac:dyDescent="0.35">
      <c r="A29" s="47" t="s">
        <v>1368</v>
      </c>
      <c r="B29" s="43">
        <v>8471170</v>
      </c>
      <c r="C29" s="44" t="s">
        <v>203</v>
      </c>
      <c r="D29" s="43">
        <v>420810</v>
      </c>
      <c r="E29" s="44" t="s">
        <v>34</v>
      </c>
      <c r="F29" s="43">
        <v>847001</v>
      </c>
      <c r="G29" s="44" t="s">
        <v>24</v>
      </c>
      <c r="H29" s="44" t="s">
        <v>25</v>
      </c>
      <c r="I29" s="45" t="s">
        <v>26</v>
      </c>
      <c r="J29" s="45" t="s">
        <v>204</v>
      </c>
      <c r="K29" s="46" t="s">
        <v>574</v>
      </c>
      <c r="L29" s="47" t="s">
        <v>1379</v>
      </c>
    </row>
    <row r="30" spans="1:12" ht="14.5" x14ac:dyDescent="0.35">
      <c r="A30" s="47" t="s">
        <v>1371</v>
      </c>
      <c r="B30" s="43">
        <v>8471305</v>
      </c>
      <c r="C30" s="44" t="s">
        <v>32</v>
      </c>
      <c r="D30" s="43">
        <v>420810</v>
      </c>
      <c r="E30" s="44" t="s">
        <v>34</v>
      </c>
      <c r="F30" s="43">
        <v>847001</v>
      </c>
      <c r="G30" s="44" t="s">
        <v>24</v>
      </c>
      <c r="H30" s="44" t="s">
        <v>25</v>
      </c>
      <c r="I30" s="45" t="s">
        <v>26</v>
      </c>
      <c r="J30" s="45" t="s">
        <v>35</v>
      </c>
      <c r="K30" s="46" t="s">
        <v>574</v>
      </c>
      <c r="L30" s="47" t="s">
        <v>1379</v>
      </c>
    </row>
    <row r="31" spans="1:12" ht="14.5" x14ac:dyDescent="0.35">
      <c r="A31" s="47" t="s">
        <v>1359</v>
      </c>
      <c r="B31" s="43">
        <v>8470110</v>
      </c>
      <c r="C31" s="44" t="s">
        <v>180</v>
      </c>
      <c r="D31" s="43">
        <v>420900</v>
      </c>
      <c r="E31" s="44" t="s">
        <v>205</v>
      </c>
      <c r="F31" s="43">
        <v>847001</v>
      </c>
      <c r="G31" s="44" t="s">
        <v>24</v>
      </c>
      <c r="H31" s="44" t="s">
        <v>25</v>
      </c>
      <c r="I31" s="45" t="s">
        <v>26</v>
      </c>
      <c r="J31" s="45" t="s">
        <v>206</v>
      </c>
      <c r="K31" s="46" t="s">
        <v>27</v>
      </c>
      <c r="L31" s="47" t="s">
        <v>1380</v>
      </c>
    </row>
    <row r="32" spans="1:12" ht="14.5" x14ac:dyDescent="0.35">
      <c r="A32" s="47" t="s">
        <v>1359</v>
      </c>
      <c r="B32" s="43">
        <v>8470110</v>
      </c>
      <c r="C32" s="44" t="s">
        <v>180</v>
      </c>
      <c r="D32" s="43">
        <v>420900</v>
      </c>
      <c r="E32" s="44" t="s">
        <v>205</v>
      </c>
      <c r="F32" s="43">
        <v>847001</v>
      </c>
      <c r="G32" s="44" t="s">
        <v>24</v>
      </c>
      <c r="H32" s="44" t="s">
        <v>28</v>
      </c>
      <c r="I32" s="45" t="s">
        <v>29</v>
      </c>
      <c r="J32" s="45" t="s">
        <v>207</v>
      </c>
      <c r="K32" s="46" t="s">
        <v>27</v>
      </c>
      <c r="L32" s="47" t="s">
        <v>1380</v>
      </c>
    </row>
    <row r="33" spans="1:12" ht="14.5" x14ac:dyDescent="0.35">
      <c r="A33" s="47" t="s">
        <v>1359</v>
      </c>
      <c r="B33" s="43">
        <v>8470150</v>
      </c>
      <c r="C33" s="44" t="s">
        <v>208</v>
      </c>
      <c r="D33" s="43">
        <v>420900</v>
      </c>
      <c r="E33" s="44" t="s">
        <v>205</v>
      </c>
      <c r="F33" s="43">
        <v>847001</v>
      </c>
      <c r="G33" s="44" t="s">
        <v>24</v>
      </c>
      <c r="H33" s="44" t="s">
        <v>25</v>
      </c>
      <c r="I33" s="45" t="s">
        <v>26</v>
      </c>
      <c r="J33" s="45" t="s">
        <v>209</v>
      </c>
      <c r="K33" s="46" t="s">
        <v>27</v>
      </c>
      <c r="L33" s="47" t="s">
        <v>1380</v>
      </c>
    </row>
    <row r="34" spans="1:12" ht="14.5" x14ac:dyDescent="0.35">
      <c r="A34" s="47" t="s">
        <v>1372</v>
      </c>
      <c r="B34" s="43">
        <v>8470910</v>
      </c>
      <c r="C34" s="44" t="s">
        <v>210</v>
      </c>
      <c r="D34" s="43">
        <v>420900</v>
      </c>
      <c r="E34" s="44" t="s">
        <v>205</v>
      </c>
      <c r="F34" s="43">
        <v>847001</v>
      </c>
      <c r="G34" s="44" t="s">
        <v>24</v>
      </c>
      <c r="H34" s="44" t="s">
        <v>28</v>
      </c>
      <c r="I34" s="45" t="s">
        <v>29</v>
      </c>
      <c r="J34" s="45" t="s">
        <v>211</v>
      </c>
      <c r="K34" s="46" t="s">
        <v>27</v>
      </c>
      <c r="L34" s="47" t="s">
        <v>1380</v>
      </c>
    </row>
    <row r="35" spans="1:12" ht="14.5" x14ac:dyDescent="0.35">
      <c r="A35" s="47" t="s">
        <v>1368</v>
      </c>
      <c r="B35" s="43">
        <v>8471150</v>
      </c>
      <c r="C35" s="44" t="s">
        <v>212</v>
      </c>
      <c r="D35" s="43">
        <v>420900</v>
      </c>
      <c r="E35" s="44" t="s">
        <v>205</v>
      </c>
      <c r="F35" s="43">
        <v>847001</v>
      </c>
      <c r="G35" s="44" t="s">
        <v>24</v>
      </c>
      <c r="H35" s="44" t="s">
        <v>25</v>
      </c>
      <c r="I35" s="45" t="s">
        <v>26</v>
      </c>
      <c r="J35" s="45" t="s">
        <v>213</v>
      </c>
      <c r="K35" s="46" t="s">
        <v>27</v>
      </c>
      <c r="L35" s="47" t="s">
        <v>1380</v>
      </c>
    </row>
    <row r="36" spans="1:12" ht="14.5" x14ac:dyDescent="0.35">
      <c r="A36" s="47" t="s">
        <v>1368</v>
      </c>
      <c r="B36" s="43">
        <v>8471150</v>
      </c>
      <c r="C36" s="44" t="s">
        <v>212</v>
      </c>
      <c r="D36" s="43">
        <v>420900</v>
      </c>
      <c r="E36" s="44" t="s">
        <v>205</v>
      </c>
      <c r="F36" s="43">
        <v>847001</v>
      </c>
      <c r="G36" s="44" t="s">
        <v>24</v>
      </c>
      <c r="H36" s="44" t="s">
        <v>28</v>
      </c>
      <c r="I36" s="45" t="s">
        <v>29</v>
      </c>
      <c r="J36" s="45" t="s">
        <v>214</v>
      </c>
      <c r="K36" s="46" t="s">
        <v>27</v>
      </c>
      <c r="L36" s="47" t="s">
        <v>1380</v>
      </c>
    </row>
    <row r="37" spans="1:12" ht="14.5" x14ac:dyDescent="0.35">
      <c r="A37" s="47" t="s">
        <v>1359</v>
      </c>
      <c r="B37" s="43">
        <v>8470110</v>
      </c>
      <c r="C37" s="44" t="s">
        <v>180</v>
      </c>
      <c r="D37" s="43">
        <v>421000</v>
      </c>
      <c r="E37" s="44" t="s">
        <v>36</v>
      </c>
      <c r="F37" s="43">
        <v>847001</v>
      </c>
      <c r="G37" s="44" t="s">
        <v>24</v>
      </c>
      <c r="H37" s="44" t="s">
        <v>25</v>
      </c>
      <c r="I37" s="45" t="s">
        <v>26</v>
      </c>
      <c r="J37" s="45" t="s">
        <v>215</v>
      </c>
      <c r="K37" s="46" t="s">
        <v>39</v>
      </c>
      <c r="L37" s="47" t="s">
        <v>1381</v>
      </c>
    </row>
    <row r="38" spans="1:12" ht="14.5" x14ac:dyDescent="0.35">
      <c r="A38" s="47" t="s">
        <v>1359</v>
      </c>
      <c r="B38" s="43">
        <v>8470110</v>
      </c>
      <c r="C38" s="44" t="s">
        <v>180</v>
      </c>
      <c r="D38" s="43">
        <v>421000</v>
      </c>
      <c r="E38" s="44" t="s">
        <v>36</v>
      </c>
      <c r="F38" s="43">
        <v>847001</v>
      </c>
      <c r="G38" s="44" t="s">
        <v>24</v>
      </c>
      <c r="H38" s="44" t="s">
        <v>28</v>
      </c>
      <c r="I38" s="45" t="s">
        <v>29</v>
      </c>
      <c r="J38" s="45" t="s">
        <v>216</v>
      </c>
      <c r="K38" s="46" t="s">
        <v>39</v>
      </c>
      <c r="L38" s="47" t="s">
        <v>1381</v>
      </c>
    </row>
    <row r="39" spans="1:12" ht="14.5" x14ac:dyDescent="0.35">
      <c r="A39" s="47" t="s">
        <v>1359</v>
      </c>
      <c r="B39" s="43">
        <v>8470130</v>
      </c>
      <c r="C39" s="44" t="s">
        <v>217</v>
      </c>
      <c r="D39" s="43">
        <v>421000</v>
      </c>
      <c r="E39" s="44" t="s">
        <v>36</v>
      </c>
      <c r="F39" s="43">
        <v>847001</v>
      </c>
      <c r="G39" s="44" t="s">
        <v>24</v>
      </c>
      <c r="H39" s="44" t="s">
        <v>25</v>
      </c>
      <c r="I39" s="45" t="s">
        <v>26</v>
      </c>
      <c r="J39" s="45" t="s">
        <v>218</v>
      </c>
      <c r="K39" s="46" t="s">
        <v>39</v>
      </c>
      <c r="L39" s="47" t="s">
        <v>1381</v>
      </c>
    </row>
    <row r="40" spans="1:12" ht="14.5" x14ac:dyDescent="0.35">
      <c r="A40" s="47" t="s">
        <v>1362</v>
      </c>
      <c r="B40" s="43">
        <v>8470620</v>
      </c>
      <c r="C40" s="44" t="s">
        <v>161</v>
      </c>
      <c r="D40" s="43">
        <v>421000</v>
      </c>
      <c r="E40" s="44" t="s">
        <v>36</v>
      </c>
      <c r="F40" s="43">
        <v>847001</v>
      </c>
      <c r="G40" s="44" t="s">
        <v>24</v>
      </c>
      <c r="H40" s="44" t="s">
        <v>25</v>
      </c>
      <c r="I40" s="45" t="s">
        <v>26</v>
      </c>
      <c r="J40" s="45" t="s">
        <v>219</v>
      </c>
      <c r="K40" s="46" t="s">
        <v>39</v>
      </c>
      <c r="L40" s="47" t="s">
        <v>1381</v>
      </c>
    </row>
    <row r="41" spans="1:12" ht="14.5" x14ac:dyDescent="0.35">
      <c r="A41" s="47" t="s">
        <v>1362</v>
      </c>
      <c r="B41" s="43">
        <v>8470620</v>
      </c>
      <c r="C41" s="44" t="s">
        <v>161</v>
      </c>
      <c r="D41" s="43">
        <v>421000</v>
      </c>
      <c r="E41" s="44" t="s">
        <v>36</v>
      </c>
      <c r="F41" s="43">
        <v>847001</v>
      </c>
      <c r="G41" s="44" t="s">
        <v>24</v>
      </c>
      <c r="H41" s="44" t="s">
        <v>28</v>
      </c>
      <c r="I41" s="45" t="s">
        <v>29</v>
      </c>
      <c r="J41" s="45" t="s">
        <v>220</v>
      </c>
      <c r="K41" s="46" t="s">
        <v>39</v>
      </c>
      <c r="L41" s="47" t="s">
        <v>1381</v>
      </c>
    </row>
    <row r="42" spans="1:12" ht="14.5" x14ac:dyDescent="0.35">
      <c r="A42" s="47" t="s">
        <v>1367</v>
      </c>
      <c r="B42" s="43">
        <v>8470720</v>
      </c>
      <c r="C42" s="44" t="s">
        <v>221</v>
      </c>
      <c r="D42" s="43">
        <v>421000</v>
      </c>
      <c r="E42" s="44" t="s">
        <v>36</v>
      </c>
      <c r="F42" s="43">
        <v>847001</v>
      </c>
      <c r="G42" s="44" t="s">
        <v>24</v>
      </c>
      <c r="H42" s="44" t="s">
        <v>25</v>
      </c>
      <c r="I42" s="45" t="s">
        <v>26</v>
      </c>
      <c r="J42" s="45" t="s">
        <v>222</v>
      </c>
      <c r="K42" s="46" t="s">
        <v>39</v>
      </c>
      <c r="L42" s="47" t="s">
        <v>1381</v>
      </c>
    </row>
    <row r="43" spans="1:12" ht="14.5" x14ac:dyDescent="0.35">
      <c r="A43" s="47" t="s">
        <v>1367</v>
      </c>
      <c r="B43" s="43">
        <v>8470730</v>
      </c>
      <c r="C43" s="44" t="s">
        <v>223</v>
      </c>
      <c r="D43" s="43">
        <v>421000</v>
      </c>
      <c r="E43" s="44" t="s">
        <v>36</v>
      </c>
      <c r="F43" s="43">
        <v>847001</v>
      </c>
      <c r="G43" s="44" t="s">
        <v>24</v>
      </c>
      <c r="H43" s="44" t="s">
        <v>25</v>
      </c>
      <c r="I43" s="45" t="s">
        <v>26</v>
      </c>
      <c r="J43" s="45" t="s">
        <v>224</v>
      </c>
      <c r="K43" s="46" t="s">
        <v>39</v>
      </c>
      <c r="L43" s="47" t="s">
        <v>1381</v>
      </c>
    </row>
    <row r="44" spans="1:12" ht="14.5" x14ac:dyDescent="0.35">
      <c r="A44" s="47" t="s">
        <v>1364</v>
      </c>
      <c r="B44" s="43">
        <v>8470810</v>
      </c>
      <c r="C44" s="44" t="s">
        <v>200</v>
      </c>
      <c r="D44" s="43">
        <v>421000</v>
      </c>
      <c r="E44" s="44" t="s">
        <v>36</v>
      </c>
      <c r="F44" s="43">
        <v>847001</v>
      </c>
      <c r="G44" s="44" t="s">
        <v>24</v>
      </c>
      <c r="H44" s="44" t="s">
        <v>25</v>
      </c>
      <c r="I44" s="45" t="s">
        <v>26</v>
      </c>
      <c r="J44" s="45" t="s">
        <v>225</v>
      </c>
      <c r="K44" s="46" t="s">
        <v>39</v>
      </c>
      <c r="L44" s="47" t="s">
        <v>1381</v>
      </c>
    </row>
    <row r="45" spans="1:12" ht="14.5" x14ac:dyDescent="0.35">
      <c r="A45" s="47" t="s">
        <v>1364</v>
      </c>
      <c r="B45" s="43">
        <v>8470810</v>
      </c>
      <c r="C45" s="44" t="s">
        <v>200</v>
      </c>
      <c r="D45" s="43">
        <v>421000</v>
      </c>
      <c r="E45" s="44" t="s">
        <v>36</v>
      </c>
      <c r="F45" s="43">
        <v>847001</v>
      </c>
      <c r="G45" s="44" t="s">
        <v>24</v>
      </c>
      <c r="H45" s="44" t="s">
        <v>28</v>
      </c>
      <c r="I45" s="45" t="s">
        <v>29</v>
      </c>
      <c r="J45" s="45" t="s">
        <v>226</v>
      </c>
      <c r="K45" s="46" t="s">
        <v>39</v>
      </c>
      <c r="L45" s="47" t="s">
        <v>1381</v>
      </c>
    </row>
    <row r="46" spans="1:12" ht="14.5" x14ac:dyDescent="0.35">
      <c r="A46" s="47" t="s">
        <v>1368</v>
      </c>
      <c r="B46" s="43">
        <v>8471110</v>
      </c>
      <c r="C46" s="44" t="s">
        <v>227</v>
      </c>
      <c r="D46" s="43">
        <v>421000</v>
      </c>
      <c r="E46" s="44" t="s">
        <v>36</v>
      </c>
      <c r="F46" s="43">
        <v>847001</v>
      </c>
      <c r="G46" s="44" t="s">
        <v>24</v>
      </c>
      <c r="H46" s="44" t="s">
        <v>25</v>
      </c>
      <c r="I46" s="45" t="s">
        <v>26</v>
      </c>
      <c r="J46" s="45" t="s">
        <v>228</v>
      </c>
      <c r="K46" s="46" t="s">
        <v>39</v>
      </c>
      <c r="L46" s="47" t="s">
        <v>1381</v>
      </c>
    </row>
    <row r="47" spans="1:12" ht="14.5" x14ac:dyDescent="0.35">
      <c r="A47" s="47" t="s">
        <v>1368</v>
      </c>
      <c r="B47" s="43">
        <v>8471110</v>
      </c>
      <c r="C47" s="44" t="s">
        <v>227</v>
      </c>
      <c r="D47" s="43">
        <v>421000</v>
      </c>
      <c r="E47" s="44" t="s">
        <v>36</v>
      </c>
      <c r="F47" s="43">
        <v>847001</v>
      </c>
      <c r="G47" s="44" t="s">
        <v>24</v>
      </c>
      <c r="H47" s="44" t="s">
        <v>28</v>
      </c>
      <c r="I47" s="45" t="s">
        <v>29</v>
      </c>
      <c r="J47" s="45" t="s">
        <v>229</v>
      </c>
      <c r="K47" s="46" t="s">
        <v>39</v>
      </c>
      <c r="L47" s="47" t="s">
        <v>1381</v>
      </c>
    </row>
    <row r="48" spans="1:12" ht="14.5" x14ac:dyDescent="0.35">
      <c r="A48" s="47" t="s">
        <v>1368</v>
      </c>
      <c r="B48" s="43">
        <v>8471150</v>
      </c>
      <c r="C48" s="44" t="s">
        <v>212</v>
      </c>
      <c r="D48" s="43">
        <v>421000</v>
      </c>
      <c r="E48" s="44" t="s">
        <v>36</v>
      </c>
      <c r="F48" s="43">
        <v>847001</v>
      </c>
      <c r="G48" s="44" t="s">
        <v>24</v>
      </c>
      <c r="H48" s="44" t="s">
        <v>25</v>
      </c>
      <c r="I48" s="45" t="s">
        <v>26</v>
      </c>
      <c r="J48" s="45" t="s">
        <v>230</v>
      </c>
      <c r="K48" s="46" t="s">
        <v>39</v>
      </c>
      <c r="L48" s="47" t="s">
        <v>1381</v>
      </c>
    </row>
    <row r="49" spans="1:12" ht="14.5" x14ac:dyDescent="0.35">
      <c r="A49" s="47" t="s">
        <v>1371</v>
      </c>
      <c r="B49" s="43">
        <v>8471305</v>
      </c>
      <c r="C49" s="44" t="s">
        <v>32</v>
      </c>
      <c r="D49" s="43">
        <v>421000</v>
      </c>
      <c r="E49" s="44" t="s">
        <v>36</v>
      </c>
      <c r="F49" s="43">
        <v>847001</v>
      </c>
      <c r="G49" s="44" t="s">
        <v>24</v>
      </c>
      <c r="H49" s="44" t="s">
        <v>25</v>
      </c>
      <c r="I49" s="45" t="s">
        <v>26</v>
      </c>
      <c r="J49" s="45" t="s">
        <v>37</v>
      </c>
      <c r="K49" s="46" t="s">
        <v>39</v>
      </c>
      <c r="L49" s="47" t="s">
        <v>1381</v>
      </c>
    </row>
    <row r="50" spans="1:12" ht="14.5" x14ac:dyDescent="0.35">
      <c r="A50" s="47" t="s">
        <v>1371</v>
      </c>
      <c r="B50" s="43">
        <v>8471305</v>
      </c>
      <c r="C50" s="44" t="s">
        <v>32</v>
      </c>
      <c r="D50" s="43">
        <v>421000</v>
      </c>
      <c r="E50" s="44" t="s">
        <v>36</v>
      </c>
      <c r="F50" s="43">
        <v>847001</v>
      </c>
      <c r="G50" s="44" t="s">
        <v>24</v>
      </c>
      <c r="H50" s="44" t="s">
        <v>28</v>
      </c>
      <c r="I50" s="45" t="s">
        <v>29</v>
      </c>
      <c r="J50" s="45" t="s">
        <v>38</v>
      </c>
      <c r="K50" s="46" t="s">
        <v>39</v>
      </c>
      <c r="L50" s="47" t="s">
        <v>1381</v>
      </c>
    </row>
    <row r="51" spans="1:12" ht="14.5" x14ac:dyDescent="0.35">
      <c r="A51" s="47" t="s">
        <v>1359</v>
      </c>
      <c r="B51" s="43">
        <v>8470140</v>
      </c>
      <c r="C51" s="44" t="s">
        <v>231</v>
      </c>
      <c r="D51" s="43">
        <v>421100</v>
      </c>
      <c r="E51" s="44" t="s">
        <v>232</v>
      </c>
      <c r="F51" s="43">
        <v>847001</v>
      </c>
      <c r="G51" s="44" t="s">
        <v>24</v>
      </c>
      <c r="H51" s="44" t="s">
        <v>28</v>
      </c>
      <c r="I51" s="45" t="s">
        <v>29</v>
      </c>
      <c r="J51" s="45" t="s">
        <v>233</v>
      </c>
      <c r="K51" s="46" t="s">
        <v>39</v>
      </c>
      <c r="L51" s="47" t="s">
        <v>1382</v>
      </c>
    </row>
    <row r="52" spans="1:12" ht="14.5" x14ac:dyDescent="0.35">
      <c r="A52" s="47" t="s">
        <v>1363</v>
      </c>
      <c r="B52" s="43">
        <v>8470340</v>
      </c>
      <c r="C52" s="44" t="s">
        <v>234</v>
      </c>
      <c r="D52" s="43">
        <v>421100</v>
      </c>
      <c r="E52" s="44" t="s">
        <v>232</v>
      </c>
      <c r="F52" s="43">
        <v>847001</v>
      </c>
      <c r="G52" s="44" t="s">
        <v>24</v>
      </c>
      <c r="H52" s="44" t="s">
        <v>28</v>
      </c>
      <c r="I52" s="45" t="s">
        <v>29</v>
      </c>
      <c r="J52" s="45" t="s">
        <v>235</v>
      </c>
      <c r="K52" s="46" t="s">
        <v>39</v>
      </c>
      <c r="L52" s="47" t="s">
        <v>1382</v>
      </c>
    </row>
    <row r="53" spans="1:12" ht="14.5" x14ac:dyDescent="0.35">
      <c r="A53" s="47" t="s">
        <v>1358</v>
      </c>
      <c r="B53" s="43">
        <v>8470530</v>
      </c>
      <c r="C53" s="44" t="s">
        <v>165</v>
      </c>
      <c r="D53" s="43">
        <v>421100</v>
      </c>
      <c r="E53" s="44" t="s">
        <v>232</v>
      </c>
      <c r="F53" s="43">
        <v>847010</v>
      </c>
      <c r="G53" s="44" t="s">
        <v>167</v>
      </c>
      <c r="H53" s="44" t="s">
        <v>25</v>
      </c>
      <c r="I53" s="45" t="s">
        <v>26</v>
      </c>
      <c r="J53" s="45" t="s">
        <v>236</v>
      </c>
      <c r="K53" s="46" t="s">
        <v>39</v>
      </c>
      <c r="L53" s="47" t="s">
        <v>1382</v>
      </c>
    </row>
    <row r="54" spans="1:12" ht="14.5" x14ac:dyDescent="0.35">
      <c r="A54" s="47" t="s">
        <v>1358</v>
      </c>
      <c r="B54" s="43">
        <v>8470530</v>
      </c>
      <c r="C54" s="44" t="s">
        <v>165</v>
      </c>
      <c r="D54" s="43">
        <v>421100</v>
      </c>
      <c r="E54" s="44" t="s">
        <v>232</v>
      </c>
      <c r="F54" s="43">
        <v>847010</v>
      </c>
      <c r="G54" s="44" t="s">
        <v>167</v>
      </c>
      <c r="H54" s="44" t="s">
        <v>28</v>
      </c>
      <c r="I54" s="45" t="s">
        <v>29</v>
      </c>
      <c r="J54" s="45" t="s">
        <v>237</v>
      </c>
      <c r="K54" s="46" t="s">
        <v>39</v>
      </c>
      <c r="L54" s="47" t="s">
        <v>1382</v>
      </c>
    </row>
    <row r="55" spans="1:12" ht="14.5" x14ac:dyDescent="0.35">
      <c r="A55" s="47" t="s">
        <v>1358</v>
      </c>
      <c r="B55" s="43">
        <v>8470530</v>
      </c>
      <c r="C55" s="44" t="s">
        <v>165</v>
      </c>
      <c r="D55" s="43">
        <v>421100</v>
      </c>
      <c r="E55" s="44" t="s">
        <v>232</v>
      </c>
      <c r="F55" s="43">
        <v>847020</v>
      </c>
      <c r="G55" s="44" t="s">
        <v>170</v>
      </c>
      <c r="H55" s="44" t="s">
        <v>25</v>
      </c>
      <c r="I55" s="45" t="s">
        <v>26</v>
      </c>
      <c r="J55" s="45" t="s">
        <v>238</v>
      </c>
      <c r="K55" s="46" t="s">
        <v>39</v>
      </c>
      <c r="L55" s="47" t="s">
        <v>1382</v>
      </c>
    </row>
    <row r="56" spans="1:12" ht="14.5" x14ac:dyDescent="0.35">
      <c r="A56" s="47" t="s">
        <v>1358</v>
      </c>
      <c r="B56" s="43">
        <v>8470530</v>
      </c>
      <c r="C56" s="44" t="s">
        <v>165</v>
      </c>
      <c r="D56" s="43">
        <v>421100</v>
      </c>
      <c r="E56" s="44" t="s">
        <v>232</v>
      </c>
      <c r="F56" s="43">
        <v>847020</v>
      </c>
      <c r="G56" s="44" t="s">
        <v>170</v>
      </c>
      <c r="H56" s="44" t="s">
        <v>28</v>
      </c>
      <c r="I56" s="45" t="s">
        <v>29</v>
      </c>
      <c r="J56" s="45" t="s">
        <v>239</v>
      </c>
      <c r="K56" s="46" t="s">
        <v>39</v>
      </c>
      <c r="L56" s="47" t="s">
        <v>1382</v>
      </c>
    </row>
    <row r="57" spans="1:12" ht="14.5" x14ac:dyDescent="0.35">
      <c r="A57" s="47" t="s">
        <v>1358</v>
      </c>
      <c r="B57" s="43">
        <v>8470530</v>
      </c>
      <c r="C57" s="44" t="s">
        <v>165</v>
      </c>
      <c r="D57" s="43">
        <v>421100</v>
      </c>
      <c r="E57" s="44" t="s">
        <v>232</v>
      </c>
      <c r="F57" s="43">
        <v>847030</v>
      </c>
      <c r="G57" s="44" t="s">
        <v>173</v>
      </c>
      <c r="H57" s="44" t="s">
        <v>25</v>
      </c>
      <c r="I57" s="45" t="s">
        <v>26</v>
      </c>
      <c r="J57" s="45" t="s">
        <v>240</v>
      </c>
      <c r="K57" s="46" t="s">
        <v>39</v>
      </c>
      <c r="L57" s="47" t="s">
        <v>1382</v>
      </c>
    </row>
    <row r="58" spans="1:12" ht="14.5" x14ac:dyDescent="0.35">
      <c r="A58" s="47" t="s">
        <v>1358</v>
      </c>
      <c r="B58" s="43">
        <v>8470530</v>
      </c>
      <c r="C58" s="44" t="s">
        <v>165</v>
      </c>
      <c r="D58" s="43">
        <v>421100</v>
      </c>
      <c r="E58" s="44" t="s">
        <v>232</v>
      </c>
      <c r="F58" s="43">
        <v>847030</v>
      </c>
      <c r="G58" s="44" t="s">
        <v>173</v>
      </c>
      <c r="H58" s="44" t="s">
        <v>28</v>
      </c>
      <c r="I58" s="45" t="s">
        <v>29</v>
      </c>
      <c r="J58" s="45" t="s">
        <v>241</v>
      </c>
      <c r="K58" s="46" t="s">
        <v>39</v>
      </c>
      <c r="L58" s="47" t="s">
        <v>1382</v>
      </c>
    </row>
    <row r="59" spans="1:12" ht="14.5" x14ac:dyDescent="0.35">
      <c r="A59" s="47" t="s">
        <v>1362</v>
      </c>
      <c r="B59" s="43">
        <v>8470620</v>
      </c>
      <c r="C59" s="44" t="s">
        <v>161</v>
      </c>
      <c r="D59" s="43">
        <v>421100</v>
      </c>
      <c r="E59" s="44" t="s">
        <v>232</v>
      </c>
      <c r="F59" s="43">
        <v>847001</v>
      </c>
      <c r="G59" s="44" t="s">
        <v>24</v>
      </c>
      <c r="H59" s="44" t="s">
        <v>25</v>
      </c>
      <c r="I59" s="45" t="s">
        <v>26</v>
      </c>
      <c r="J59" s="45" t="s">
        <v>242</v>
      </c>
      <c r="K59" s="46" t="s">
        <v>39</v>
      </c>
      <c r="L59" s="47" t="s">
        <v>1382</v>
      </c>
    </row>
    <row r="60" spans="1:12" ht="14.5" x14ac:dyDescent="0.35">
      <c r="A60" s="47" t="s">
        <v>1362</v>
      </c>
      <c r="B60" s="43">
        <v>8470620</v>
      </c>
      <c r="C60" s="44" t="s">
        <v>161</v>
      </c>
      <c r="D60" s="43">
        <v>421100</v>
      </c>
      <c r="E60" s="44" t="s">
        <v>232</v>
      </c>
      <c r="F60" s="43">
        <v>847001</v>
      </c>
      <c r="G60" s="44" t="s">
        <v>24</v>
      </c>
      <c r="H60" s="44" t="s">
        <v>28</v>
      </c>
      <c r="I60" s="45" t="s">
        <v>29</v>
      </c>
      <c r="J60" s="45" t="s">
        <v>243</v>
      </c>
      <c r="K60" s="46" t="s">
        <v>39</v>
      </c>
      <c r="L60" s="47" t="s">
        <v>1382</v>
      </c>
    </row>
    <row r="61" spans="1:12" ht="14.5" x14ac:dyDescent="0.35">
      <c r="A61" s="47" t="s">
        <v>1367</v>
      </c>
      <c r="B61" s="43">
        <v>8470720</v>
      </c>
      <c r="C61" s="44" t="s">
        <v>221</v>
      </c>
      <c r="D61" s="43">
        <v>421100</v>
      </c>
      <c r="E61" s="44" t="s">
        <v>232</v>
      </c>
      <c r="F61" s="43">
        <v>847001</v>
      </c>
      <c r="G61" s="44" t="s">
        <v>24</v>
      </c>
      <c r="H61" s="44" t="s">
        <v>28</v>
      </c>
      <c r="I61" s="45" t="s">
        <v>29</v>
      </c>
      <c r="J61" s="45" t="s">
        <v>244</v>
      </c>
      <c r="K61" s="46" t="s">
        <v>39</v>
      </c>
      <c r="L61" s="47" t="s">
        <v>1382</v>
      </c>
    </row>
    <row r="62" spans="1:12" ht="14.5" x14ac:dyDescent="0.35">
      <c r="A62" s="47" t="s">
        <v>1367</v>
      </c>
      <c r="B62" s="43">
        <v>8470730</v>
      </c>
      <c r="C62" s="44" t="s">
        <v>223</v>
      </c>
      <c r="D62" s="43">
        <v>421100</v>
      </c>
      <c r="E62" s="44" t="s">
        <v>232</v>
      </c>
      <c r="F62" s="43">
        <v>847001</v>
      </c>
      <c r="G62" s="44" t="s">
        <v>24</v>
      </c>
      <c r="H62" s="44" t="s">
        <v>25</v>
      </c>
      <c r="I62" s="45" t="s">
        <v>26</v>
      </c>
      <c r="J62" s="45" t="s">
        <v>245</v>
      </c>
      <c r="K62" s="46" t="s">
        <v>39</v>
      </c>
      <c r="L62" s="47" t="s">
        <v>1382</v>
      </c>
    </row>
    <row r="63" spans="1:12" ht="14.5" x14ac:dyDescent="0.35">
      <c r="A63" s="47" t="s">
        <v>1367</v>
      </c>
      <c r="B63" s="43">
        <v>8470730</v>
      </c>
      <c r="C63" s="44" t="s">
        <v>223</v>
      </c>
      <c r="D63" s="43">
        <v>421100</v>
      </c>
      <c r="E63" s="44" t="s">
        <v>232</v>
      </c>
      <c r="F63" s="43">
        <v>847001</v>
      </c>
      <c r="G63" s="44" t="s">
        <v>24</v>
      </c>
      <c r="H63" s="44" t="s">
        <v>28</v>
      </c>
      <c r="I63" s="45" t="s">
        <v>29</v>
      </c>
      <c r="J63" s="45" t="s">
        <v>246</v>
      </c>
      <c r="K63" s="46" t="s">
        <v>39</v>
      </c>
      <c r="L63" s="47" t="s">
        <v>1382</v>
      </c>
    </row>
    <row r="64" spans="1:12" ht="14.5" x14ac:dyDescent="0.35">
      <c r="A64" s="47" t="s">
        <v>1364</v>
      </c>
      <c r="B64" s="43">
        <v>8470810</v>
      </c>
      <c r="C64" s="44" t="s">
        <v>200</v>
      </c>
      <c r="D64" s="43">
        <v>421100</v>
      </c>
      <c r="E64" s="44" t="s">
        <v>232</v>
      </c>
      <c r="F64" s="43">
        <v>847001</v>
      </c>
      <c r="G64" s="44" t="s">
        <v>24</v>
      </c>
      <c r="H64" s="44" t="s">
        <v>25</v>
      </c>
      <c r="I64" s="45" t="s">
        <v>26</v>
      </c>
      <c r="J64" s="45" t="s">
        <v>247</v>
      </c>
      <c r="K64" s="46" t="s">
        <v>39</v>
      </c>
      <c r="L64" s="47" t="s">
        <v>1382</v>
      </c>
    </row>
    <row r="65" spans="1:12" ht="14.5" x14ac:dyDescent="0.35">
      <c r="A65" s="47" t="s">
        <v>1364</v>
      </c>
      <c r="B65" s="43">
        <v>8470810</v>
      </c>
      <c r="C65" s="44" t="s">
        <v>200</v>
      </c>
      <c r="D65" s="43">
        <v>421100</v>
      </c>
      <c r="E65" s="44" t="s">
        <v>232</v>
      </c>
      <c r="F65" s="43">
        <v>847001</v>
      </c>
      <c r="G65" s="44" t="s">
        <v>24</v>
      </c>
      <c r="H65" s="44" t="s">
        <v>28</v>
      </c>
      <c r="I65" s="45" t="s">
        <v>29</v>
      </c>
      <c r="J65" s="45" t="s">
        <v>248</v>
      </c>
      <c r="K65" s="46" t="s">
        <v>39</v>
      </c>
      <c r="L65" s="47" t="s">
        <v>1382</v>
      </c>
    </row>
    <row r="66" spans="1:12" ht="14.5" x14ac:dyDescent="0.35">
      <c r="A66" s="47" t="s">
        <v>1368</v>
      </c>
      <c r="B66" s="43">
        <v>8471170</v>
      </c>
      <c r="C66" s="44" t="s">
        <v>203</v>
      </c>
      <c r="D66" s="43">
        <v>421100</v>
      </c>
      <c r="E66" s="44" t="s">
        <v>232</v>
      </c>
      <c r="F66" s="43">
        <v>847001</v>
      </c>
      <c r="G66" s="44" t="s">
        <v>24</v>
      </c>
      <c r="H66" s="44" t="s">
        <v>25</v>
      </c>
      <c r="I66" s="45" t="s">
        <v>26</v>
      </c>
      <c r="J66" s="45" t="s">
        <v>249</v>
      </c>
      <c r="K66" s="46" t="s">
        <v>39</v>
      </c>
      <c r="L66" s="47" t="s">
        <v>1382</v>
      </c>
    </row>
    <row r="67" spans="1:12" ht="14.5" x14ac:dyDescent="0.35">
      <c r="A67" s="47" t="s">
        <v>1368</v>
      </c>
      <c r="B67" s="43">
        <v>8471170</v>
      </c>
      <c r="C67" s="44" t="s">
        <v>203</v>
      </c>
      <c r="D67" s="43">
        <v>421100</v>
      </c>
      <c r="E67" s="44" t="s">
        <v>232</v>
      </c>
      <c r="F67" s="43">
        <v>847001</v>
      </c>
      <c r="G67" s="44" t="s">
        <v>24</v>
      </c>
      <c r="H67" s="44" t="s">
        <v>28</v>
      </c>
      <c r="I67" s="45" t="s">
        <v>29</v>
      </c>
      <c r="J67" s="45" t="s">
        <v>250</v>
      </c>
      <c r="K67" s="46" t="s">
        <v>39</v>
      </c>
      <c r="L67" s="47" t="s">
        <v>1382</v>
      </c>
    </row>
    <row r="68" spans="1:12" ht="14.5" x14ac:dyDescent="0.35">
      <c r="A68" s="47" t="s">
        <v>1365</v>
      </c>
      <c r="B68" s="43">
        <v>8471210</v>
      </c>
      <c r="C68" s="44" t="s">
        <v>176</v>
      </c>
      <c r="D68" s="43">
        <v>421100</v>
      </c>
      <c r="E68" s="44" t="s">
        <v>232</v>
      </c>
      <c r="F68" s="43">
        <v>847001</v>
      </c>
      <c r="G68" s="44" t="s">
        <v>24</v>
      </c>
      <c r="H68" s="44" t="s">
        <v>28</v>
      </c>
      <c r="I68" s="45" t="s">
        <v>29</v>
      </c>
      <c r="J68" s="45" t="s">
        <v>251</v>
      </c>
      <c r="K68" s="46" t="s">
        <v>39</v>
      </c>
      <c r="L68" s="47" t="s">
        <v>1382</v>
      </c>
    </row>
    <row r="69" spans="1:12" ht="14.5" x14ac:dyDescent="0.35">
      <c r="A69" s="47" t="s">
        <v>1365</v>
      </c>
      <c r="B69" s="43">
        <v>8471260</v>
      </c>
      <c r="C69" s="44" t="s">
        <v>178</v>
      </c>
      <c r="D69" s="43">
        <v>421100</v>
      </c>
      <c r="E69" s="44" t="s">
        <v>232</v>
      </c>
      <c r="F69" s="43">
        <v>847001</v>
      </c>
      <c r="G69" s="44" t="s">
        <v>24</v>
      </c>
      <c r="H69" s="44" t="s">
        <v>25</v>
      </c>
      <c r="I69" s="45" t="s">
        <v>26</v>
      </c>
      <c r="J69" s="45" t="s">
        <v>252</v>
      </c>
      <c r="K69" s="46" t="s">
        <v>39</v>
      </c>
      <c r="L69" s="47" t="s">
        <v>1382</v>
      </c>
    </row>
    <row r="70" spans="1:12" ht="14.5" x14ac:dyDescent="0.35">
      <c r="A70" s="47" t="s">
        <v>1358</v>
      </c>
      <c r="B70" s="43">
        <v>8470520</v>
      </c>
      <c r="C70" s="44" t="s">
        <v>253</v>
      </c>
      <c r="D70" s="43">
        <v>421600</v>
      </c>
      <c r="E70" s="44" t="s">
        <v>254</v>
      </c>
      <c r="F70" s="43">
        <v>847010</v>
      </c>
      <c r="G70" s="44" t="s">
        <v>167</v>
      </c>
      <c r="H70" s="44" t="s">
        <v>25</v>
      </c>
      <c r="I70" s="45" t="s">
        <v>26</v>
      </c>
      <c r="J70" s="45" t="s">
        <v>255</v>
      </c>
      <c r="K70" s="46" t="s">
        <v>571</v>
      </c>
      <c r="L70" s="47" t="s">
        <v>1379</v>
      </c>
    </row>
    <row r="71" spans="1:12" ht="14.5" x14ac:dyDescent="0.35">
      <c r="A71" s="47" t="s">
        <v>1358</v>
      </c>
      <c r="B71" s="43">
        <v>8470520</v>
      </c>
      <c r="C71" s="44" t="s">
        <v>253</v>
      </c>
      <c r="D71" s="43">
        <v>421600</v>
      </c>
      <c r="E71" s="44" t="s">
        <v>254</v>
      </c>
      <c r="F71" s="43">
        <v>847020</v>
      </c>
      <c r="G71" s="44" t="s">
        <v>170</v>
      </c>
      <c r="H71" s="44" t="s">
        <v>25</v>
      </c>
      <c r="I71" s="45" t="s">
        <v>26</v>
      </c>
      <c r="J71" s="45" t="s">
        <v>256</v>
      </c>
      <c r="K71" s="46" t="s">
        <v>571</v>
      </c>
      <c r="L71" s="47" t="s">
        <v>1379</v>
      </c>
    </row>
    <row r="72" spans="1:12" ht="14.5" x14ac:dyDescent="0.35">
      <c r="A72" s="47" t="s">
        <v>1358</v>
      </c>
      <c r="B72" s="43">
        <v>8470520</v>
      </c>
      <c r="C72" s="44" t="s">
        <v>253</v>
      </c>
      <c r="D72" s="43">
        <v>421600</v>
      </c>
      <c r="E72" s="44" t="s">
        <v>254</v>
      </c>
      <c r="F72" s="43">
        <v>847030</v>
      </c>
      <c r="G72" s="44" t="s">
        <v>173</v>
      </c>
      <c r="H72" s="44" t="s">
        <v>25</v>
      </c>
      <c r="I72" s="45" t="s">
        <v>26</v>
      </c>
      <c r="J72" s="45" t="s">
        <v>257</v>
      </c>
      <c r="K72" s="46" t="s">
        <v>571</v>
      </c>
      <c r="L72" s="47" t="s">
        <v>1379</v>
      </c>
    </row>
    <row r="73" spans="1:12" ht="14.5" x14ac:dyDescent="0.35">
      <c r="A73" s="47" t="s">
        <v>1358</v>
      </c>
      <c r="B73" s="43">
        <v>8470530</v>
      </c>
      <c r="C73" s="44" t="s">
        <v>165</v>
      </c>
      <c r="D73" s="43">
        <v>421600</v>
      </c>
      <c r="E73" s="44" t="s">
        <v>254</v>
      </c>
      <c r="F73" s="43">
        <v>847010</v>
      </c>
      <c r="G73" s="44" t="s">
        <v>167</v>
      </c>
      <c r="H73" s="44" t="s">
        <v>25</v>
      </c>
      <c r="I73" s="45" t="s">
        <v>26</v>
      </c>
      <c r="J73" s="45" t="s">
        <v>258</v>
      </c>
      <c r="K73" s="46" t="s">
        <v>571</v>
      </c>
      <c r="L73" s="47" t="s">
        <v>1379</v>
      </c>
    </row>
    <row r="74" spans="1:12" ht="14.5" x14ac:dyDescent="0.35">
      <c r="A74" s="47" t="s">
        <v>1358</v>
      </c>
      <c r="B74" s="43">
        <v>8470530</v>
      </c>
      <c r="C74" s="44" t="s">
        <v>165</v>
      </c>
      <c r="D74" s="43">
        <v>421600</v>
      </c>
      <c r="E74" s="44" t="s">
        <v>254</v>
      </c>
      <c r="F74" s="43">
        <v>847010</v>
      </c>
      <c r="G74" s="44" t="s">
        <v>167</v>
      </c>
      <c r="H74" s="44" t="s">
        <v>28</v>
      </c>
      <c r="I74" s="45" t="s">
        <v>29</v>
      </c>
      <c r="J74" s="45" t="s">
        <v>259</v>
      </c>
      <c r="K74" s="46" t="s">
        <v>571</v>
      </c>
      <c r="L74" s="47" t="s">
        <v>1379</v>
      </c>
    </row>
    <row r="75" spans="1:12" ht="14.5" x14ac:dyDescent="0.35">
      <c r="A75" s="47" t="s">
        <v>1358</v>
      </c>
      <c r="B75" s="43">
        <v>8470530</v>
      </c>
      <c r="C75" s="44" t="s">
        <v>165</v>
      </c>
      <c r="D75" s="43">
        <v>421600</v>
      </c>
      <c r="E75" s="44" t="s">
        <v>254</v>
      </c>
      <c r="F75" s="43">
        <v>847020</v>
      </c>
      <c r="G75" s="44" t="s">
        <v>170</v>
      </c>
      <c r="H75" s="44" t="s">
        <v>25</v>
      </c>
      <c r="I75" s="45" t="s">
        <v>26</v>
      </c>
      <c r="J75" s="45" t="s">
        <v>260</v>
      </c>
      <c r="K75" s="46" t="s">
        <v>571</v>
      </c>
      <c r="L75" s="47" t="s">
        <v>1379</v>
      </c>
    </row>
    <row r="76" spans="1:12" ht="14.5" x14ac:dyDescent="0.35">
      <c r="A76" s="47" t="s">
        <v>1358</v>
      </c>
      <c r="B76" s="43">
        <v>8470530</v>
      </c>
      <c r="C76" s="44" t="s">
        <v>165</v>
      </c>
      <c r="D76" s="43">
        <v>421600</v>
      </c>
      <c r="E76" s="44" t="s">
        <v>254</v>
      </c>
      <c r="F76" s="43">
        <v>847020</v>
      </c>
      <c r="G76" s="44" t="s">
        <v>170</v>
      </c>
      <c r="H76" s="44" t="s">
        <v>28</v>
      </c>
      <c r="I76" s="45" t="s">
        <v>29</v>
      </c>
      <c r="J76" s="45" t="s">
        <v>261</v>
      </c>
      <c r="K76" s="46" t="s">
        <v>571</v>
      </c>
      <c r="L76" s="47" t="s">
        <v>1379</v>
      </c>
    </row>
    <row r="77" spans="1:12" ht="14.5" x14ac:dyDescent="0.35">
      <c r="A77" s="47" t="s">
        <v>1358</v>
      </c>
      <c r="B77" s="43">
        <v>8470530</v>
      </c>
      <c r="C77" s="44" t="s">
        <v>165</v>
      </c>
      <c r="D77" s="43">
        <v>421600</v>
      </c>
      <c r="E77" s="44" t="s">
        <v>254</v>
      </c>
      <c r="F77" s="43">
        <v>847030</v>
      </c>
      <c r="G77" s="44" t="s">
        <v>173</v>
      </c>
      <c r="H77" s="44" t="s">
        <v>25</v>
      </c>
      <c r="I77" s="45" t="s">
        <v>26</v>
      </c>
      <c r="J77" s="45" t="s">
        <v>262</v>
      </c>
      <c r="K77" s="46" t="s">
        <v>571</v>
      </c>
      <c r="L77" s="47" t="s">
        <v>1379</v>
      </c>
    </row>
    <row r="78" spans="1:12" ht="14.5" x14ac:dyDescent="0.35">
      <c r="A78" s="47" t="s">
        <v>1358</v>
      </c>
      <c r="B78" s="43">
        <v>8470530</v>
      </c>
      <c r="C78" s="44" t="s">
        <v>165</v>
      </c>
      <c r="D78" s="43">
        <v>421600</v>
      </c>
      <c r="E78" s="44" t="s">
        <v>254</v>
      </c>
      <c r="F78" s="43">
        <v>847030</v>
      </c>
      <c r="G78" s="44" t="s">
        <v>173</v>
      </c>
      <c r="H78" s="44" t="s">
        <v>28</v>
      </c>
      <c r="I78" s="45" t="s">
        <v>29</v>
      </c>
      <c r="J78" s="45" t="s">
        <v>263</v>
      </c>
      <c r="K78" s="46" t="s">
        <v>571</v>
      </c>
      <c r="L78" s="47" t="s">
        <v>1379</v>
      </c>
    </row>
    <row r="79" spans="1:12" ht="14.5" x14ac:dyDescent="0.35">
      <c r="A79" s="47" t="s">
        <v>1365</v>
      </c>
      <c r="B79" s="43">
        <v>8471210</v>
      </c>
      <c r="C79" s="44" t="s">
        <v>176</v>
      </c>
      <c r="D79" s="43">
        <v>421600</v>
      </c>
      <c r="E79" s="44" t="s">
        <v>254</v>
      </c>
      <c r="F79" s="43">
        <v>847001</v>
      </c>
      <c r="G79" s="44" t="s">
        <v>24</v>
      </c>
      <c r="H79" s="44" t="s">
        <v>28</v>
      </c>
      <c r="I79" s="45" t="s">
        <v>29</v>
      </c>
      <c r="J79" s="45" t="s">
        <v>264</v>
      </c>
      <c r="K79" s="46" t="s">
        <v>571</v>
      </c>
      <c r="L79" s="47" t="s">
        <v>1379</v>
      </c>
    </row>
    <row r="80" spans="1:12" ht="14.5" x14ac:dyDescent="0.35">
      <c r="A80" s="47" t="s">
        <v>1365</v>
      </c>
      <c r="B80" s="43">
        <v>8471260</v>
      </c>
      <c r="C80" s="44" t="s">
        <v>178</v>
      </c>
      <c r="D80" s="43">
        <v>421600</v>
      </c>
      <c r="E80" s="44" t="s">
        <v>254</v>
      </c>
      <c r="F80" s="43">
        <v>847001</v>
      </c>
      <c r="G80" s="44" t="s">
        <v>24</v>
      </c>
      <c r="H80" s="44" t="s">
        <v>25</v>
      </c>
      <c r="I80" s="45" t="s">
        <v>26</v>
      </c>
      <c r="J80" s="45" t="s">
        <v>265</v>
      </c>
      <c r="K80" s="46" t="s">
        <v>571</v>
      </c>
      <c r="L80" s="47" t="s">
        <v>1379</v>
      </c>
    </row>
    <row r="81" spans="1:12" ht="14.5" x14ac:dyDescent="0.35">
      <c r="A81" s="47" t="s">
        <v>1363</v>
      </c>
      <c r="B81" s="43">
        <v>8470305</v>
      </c>
      <c r="C81" s="44" t="s">
        <v>193</v>
      </c>
      <c r="D81" s="43">
        <v>421700</v>
      </c>
      <c r="E81" s="44" t="s">
        <v>40</v>
      </c>
      <c r="F81" s="43">
        <v>847001</v>
      </c>
      <c r="G81" s="44" t="s">
        <v>24</v>
      </c>
      <c r="H81" s="44" t="s">
        <v>25</v>
      </c>
      <c r="I81" s="45" t="s">
        <v>26</v>
      </c>
      <c r="J81" s="45" t="s">
        <v>266</v>
      </c>
      <c r="K81" s="46" t="s">
        <v>31</v>
      </c>
      <c r="L81" s="47" t="s">
        <v>1379</v>
      </c>
    </row>
    <row r="82" spans="1:12" ht="14.5" x14ac:dyDescent="0.35">
      <c r="A82" s="47" t="s">
        <v>1363</v>
      </c>
      <c r="B82" s="43">
        <v>8470305</v>
      </c>
      <c r="C82" s="44" t="s">
        <v>193</v>
      </c>
      <c r="D82" s="43">
        <v>421700</v>
      </c>
      <c r="E82" s="44" t="s">
        <v>40</v>
      </c>
      <c r="F82" s="43">
        <v>847001</v>
      </c>
      <c r="G82" s="44" t="s">
        <v>24</v>
      </c>
      <c r="H82" s="44" t="s">
        <v>28</v>
      </c>
      <c r="I82" s="45" t="s">
        <v>29</v>
      </c>
      <c r="J82" s="45" t="s">
        <v>267</v>
      </c>
      <c r="K82" s="46" t="s">
        <v>31</v>
      </c>
      <c r="L82" s="47" t="s">
        <v>1379</v>
      </c>
    </row>
    <row r="83" spans="1:12" ht="14.5" x14ac:dyDescent="0.35">
      <c r="A83" s="47" t="s">
        <v>1363</v>
      </c>
      <c r="B83" s="43">
        <v>8470330</v>
      </c>
      <c r="C83" s="44" t="s">
        <v>268</v>
      </c>
      <c r="D83" s="43">
        <v>421700</v>
      </c>
      <c r="E83" s="44" t="s">
        <v>40</v>
      </c>
      <c r="F83" s="43">
        <v>847001</v>
      </c>
      <c r="G83" s="44" t="s">
        <v>24</v>
      </c>
      <c r="H83" s="44" t="s">
        <v>25</v>
      </c>
      <c r="I83" s="45" t="s">
        <v>26</v>
      </c>
      <c r="J83" s="45" t="s">
        <v>269</v>
      </c>
      <c r="K83" s="46" t="s">
        <v>31</v>
      </c>
      <c r="L83" s="47" t="s">
        <v>1379</v>
      </c>
    </row>
    <row r="84" spans="1:12" ht="14.5" x14ac:dyDescent="0.35">
      <c r="A84" s="47" t="s">
        <v>1357</v>
      </c>
      <c r="B84" s="43">
        <v>8470405</v>
      </c>
      <c r="C84" s="44" t="s">
        <v>270</v>
      </c>
      <c r="D84" s="43">
        <v>421700</v>
      </c>
      <c r="E84" s="44" t="s">
        <v>40</v>
      </c>
      <c r="F84" s="43">
        <v>847001</v>
      </c>
      <c r="G84" s="44" t="s">
        <v>24</v>
      </c>
      <c r="H84" s="44" t="s">
        <v>25</v>
      </c>
      <c r="I84" s="45" t="s">
        <v>26</v>
      </c>
      <c r="J84" s="45" t="s">
        <v>271</v>
      </c>
      <c r="K84" s="46" t="s">
        <v>31</v>
      </c>
      <c r="L84" s="47" t="s">
        <v>1379</v>
      </c>
    </row>
    <row r="85" spans="1:12" ht="14.5" x14ac:dyDescent="0.35">
      <c r="A85" s="47" t="s">
        <v>1357</v>
      </c>
      <c r="B85" s="43">
        <v>8470425</v>
      </c>
      <c r="C85" s="44" t="s">
        <v>272</v>
      </c>
      <c r="D85" s="43">
        <v>421700</v>
      </c>
      <c r="E85" s="44" t="s">
        <v>40</v>
      </c>
      <c r="F85" s="43">
        <v>847001</v>
      </c>
      <c r="G85" s="44" t="s">
        <v>24</v>
      </c>
      <c r="H85" s="44" t="s">
        <v>25</v>
      </c>
      <c r="I85" s="45" t="s">
        <v>26</v>
      </c>
      <c r="J85" s="45" t="s">
        <v>273</v>
      </c>
      <c r="K85" s="46" t="s">
        <v>31</v>
      </c>
      <c r="L85" s="47" t="s">
        <v>1379</v>
      </c>
    </row>
    <row r="86" spans="1:12" ht="14.5" x14ac:dyDescent="0.35">
      <c r="A86" s="47" t="s">
        <v>1357</v>
      </c>
      <c r="B86" s="43">
        <v>8470425</v>
      </c>
      <c r="C86" s="44" t="s">
        <v>272</v>
      </c>
      <c r="D86" s="43">
        <v>421700</v>
      </c>
      <c r="E86" s="44" t="s">
        <v>40</v>
      </c>
      <c r="F86" s="43">
        <v>847001</v>
      </c>
      <c r="G86" s="44" t="s">
        <v>24</v>
      </c>
      <c r="H86" s="44" t="s">
        <v>28</v>
      </c>
      <c r="I86" s="45" t="s">
        <v>29</v>
      </c>
      <c r="J86" s="45" t="s">
        <v>274</v>
      </c>
      <c r="K86" s="46" t="s">
        <v>31</v>
      </c>
      <c r="L86" s="47" t="s">
        <v>1379</v>
      </c>
    </row>
    <row r="87" spans="1:12" ht="14.5" x14ac:dyDescent="0.35">
      <c r="A87" s="47" t="s">
        <v>1357</v>
      </c>
      <c r="B87" s="43">
        <v>8470450</v>
      </c>
      <c r="C87" s="44" t="s">
        <v>275</v>
      </c>
      <c r="D87" s="43">
        <v>421700</v>
      </c>
      <c r="E87" s="44" t="s">
        <v>40</v>
      </c>
      <c r="F87" s="43">
        <v>847001</v>
      </c>
      <c r="G87" s="44" t="s">
        <v>24</v>
      </c>
      <c r="H87" s="44" t="s">
        <v>28</v>
      </c>
      <c r="I87" s="45" t="s">
        <v>29</v>
      </c>
      <c r="J87" s="45" t="s">
        <v>276</v>
      </c>
      <c r="K87" s="46" t="s">
        <v>31</v>
      </c>
      <c r="L87" s="47" t="s">
        <v>1379</v>
      </c>
    </row>
    <row r="88" spans="1:12" ht="14.5" x14ac:dyDescent="0.35">
      <c r="A88" s="47" t="s">
        <v>1358</v>
      </c>
      <c r="B88" s="43">
        <v>8470520</v>
      </c>
      <c r="C88" s="44" t="s">
        <v>253</v>
      </c>
      <c r="D88" s="43">
        <v>421700</v>
      </c>
      <c r="E88" s="44" t="s">
        <v>40</v>
      </c>
      <c r="F88" s="43">
        <v>847001</v>
      </c>
      <c r="G88" s="44" t="s">
        <v>24</v>
      </c>
      <c r="H88" s="44" t="s">
        <v>25</v>
      </c>
      <c r="I88" s="45" t="s">
        <v>26</v>
      </c>
      <c r="J88" s="45" t="s">
        <v>277</v>
      </c>
      <c r="K88" s="46" t="s">
        <v>31</v>
      </c>
      <c r="L88" s="47" t="s">
        <v>1379</v>
      </c>
    </row>
    <row r="89" spans="1:12" ht="14.5" x14ac:dyDescent="0.35">
      <c r="A89" s="47" t="s">
        <v>1358</v>
      </c>
      <c r="B89" s="43">
        <v>8470520</v>
      </c>
      <c r="C89" s="44" t="s">
        <v>253</v>
      </c>
      <c r="D89" s="43">
        <v>421700</v>
      </c>
      <c r="E89" s="44" t="s">
        <v>40</v>
      </c>
      <c r="F89" s="43">
        <v>847001</v>
      </c>
      <c r="G89" s="44" t="s">
        <v>24</v>
      </c>
      <c r="H89" s="44" t="s">
        <v>28</v>
      </c>
      <c r="I89" s="45" t="s">
        <v>29</v>
      </c>
      <c r="J89" s="45" t="s">
        <v>278</v>
      </c>
      <c r="K89" s="46" t="s">
        <v>31</v>
      </c>
      <c r="L89" s="47" t="s">
        <v>1379</v>
      </c>
    </row>
    <row r="90" spans="1:12" ht="14.5" x14ac:dyDescent="0.35">
      <c r="A90" s="47" t="s">
        <v>1358</v>
      </c>
      <c r="B90" s="43">
        <v>8470530</v>
      </c>
      <c r="C90" s="44" t="s">
        <v>165</v>
      </c>
      <c r="D90" s="43">
        <v>421700</v>
      </c>
      <c r="E90" s="44" t="s">
        <v>40</v>
      </c>
      <c r="F90" s="43">
        <v>847010</v>
      </c>
      <c r="G90" s="44" t="s">
        <v>167</v>
      </c>
      <c r="H90" s="44" t="s">
        <v>28</v>
      </c>
      <c r="I90" s="45" t="s">
        <v>29</v>
      </c>
      <c r="J90" s="45" t="s">
        <v>279</v>
      </c>
      <c r="K90" s="46" t="s">
        <v>31</v>
      </c>
      <c r="L90" s="47" t="s">
        <v>1379</v>
      </c>
    </row>
    <row r="91" spans="1:12" ht="14.5" x14ac:dyDescent="0.35">
      <c r="A91" s="47" t="s">
        <v>1367</v>
      </c>
      <c r="B91" s="43">
        <v>8470720</v>
      </c>
      <c r="C91" s="44" t="s">
        <v>221</v>
      </c>
      <c r="D91" s="43">
        <v>421700</v>
      </c>
      <c r="E91" s="44" t="s">
        <v>40</v>
      </c>
      <c r="F91" s="43">
        <v>847001</v>
      </c>
      <c r="G91" s="44" t="s">
        <v>24</v>
      </c>
      <c r="H91" s="44" t="s">
        <v>25</v>
      </c>
      <c r="I91" s="45" t="s">
        <v>26</v>
      </c>
      <c r="J91" s="45" t="s">
        <v>280</v>
      </c>
      <c r="K91" s="46" t="s">
        <v>31</v>
      </c>
      <c r="L91" s="47" t="s">
        <v>1379</v>
      </c>
    </row>
    <row r="92" spans="1:12" ht="14.5" x14ac:dyDescent="0.35">
      <c r="A92" s="47" t="s">
        <v>1368</v>
      </c>
      <c r="B92" s="43">
        <v>8471160</v>
      </c>
      <c r="C92" s="44" t="s">
        <v>281</v>
      </c>
      <c r="D92" s="43">
        <v>421700</v>
      </c>
      <c r="E92" s="44" t="s">
        <v>40</v>
      </c>
      <c r="F92" s="43">
        <v>847001</v>
      </c>
      <c r="G92" s="44" t="s">
        <v>24</v>
      </c>
      <c r="H92" s="44" t="s">
        <v>25</v>
      </c>
      <c r="I92" s="45" t="s">
        <v>26</v>
      </c>
      <c r="J92" s="45" t="s">
        <v>282</v>
      </c>
      <c r="K92" s="46" t="s">
        <v>31</v>
      </c>
      <c r="L92" s="47" t="s">
        <v>1379</v>
      </c>
    </row>
    <row r="93" spans="1:12" ht="14.5" x14ac:dyDescent="0.35">
      <c r="A93" s="47" t="s">
        <v>1371</v>
      </c>
      <c r="B93" s="43">
        <v>8471305</v>
      </c>
      <c r="C93" s="44" t="s">
        <v>32</v>
      </c>
      <c r="D93" s="43">
        <v>421700</v>
      </c>
      <c r="E93" s="44" t="s">
        <v>40</v>
      </c>
      <c r="F93" s="43">
        <v>847001</v>
      </c>
      <c r="G93" s="44" t="s">
        <v>24</v>
      </c>
      <c r="H93" s="44" t="s">
        <v>25</v>
      </c>
      <c r="I93" s="45" t="s">
        <v>26</v>
      </c>
      <c r="J93" s="45" t="s">
        <v>41</v>
      </c>
      <c r="K93" s="46" t="s">
        <v>31</v>
      </c>
      <c r="L93" s="47" t="s">
        <v>1379</v>
      </c>
    </row>
    <row r="94" spans="1:12" ht="14.5" x14ac:dyDescent="0.35">
      <c r="A94" s="47" t="s">
        <v>1358</v>
      </c>
      <c r="B94" s="43">
        <v>8470520</v>
      </c>
      <c r="C94" s="44" t="s">
        <v>253</v>
      </c>
      <c r="D94" s="43">
        <v>422100</v>
      </c>
      <c r="E94" s="44" t="s">
        <v>283</v>
      </c>
      <c r="F94" s="43">
        <v>847001</v>
      </c>
      <c r="G94" s="44" t="s">
        <v>24</v>
      </c>
      <c r="H94" s="44" t="s">
        <v>28</v>
      </c>
      <c r="I94" s="45" t="s">
        <v>29</v>
      </c>
      <c r="J94" s="45" t="s">
        <v>284</v>
      </c>
      <c r="K94" s="46" t="s">
        <v>571</v>
      </c>
      <c r="L94" s="47" t="s">
        <v>1379</v>
      </c>
    </row>
    <row r="95" spans="1:12" ht="14.5" x14ac:dyDescent="0.35">
      <c r="A95" s="47" t="s">
        <v>1358</v>
      </c>
      <c r="B95" s="43">
        <v>8470530</v>
      </c>
      <c r="C95" s="44" t="s">
        <v>165</v>
      </c>
      <c r="D95" s="43">
        <v>422100</v>
      </c>
      <c r="E95" s="44" t="s">
        <v>283</v>
      </c>
      <c r="F95" s="43">
        <v>847030</v>
      </c>
      <c r="G95" s="44" t="s">
        <v>173</v>
      </c>
      <c r="H95" s="44" t="s">
        <v>25</v>
      </c>
      <c r="I95" s="45" t="s">
        <v>26</v>
      </c>
      <c r="J95" s="45" t="s">
        <v>285</v>
      </c>
      <c r="K95" s="46" t="s">
        <v>571</v>
      </c>
      <c r="L95" s="47" t="s">
        <v>1379</v>
      </c>
    </row>
    <row r="96" spans="1:12" ht="14.5" x14ac:dyDescent="0.35">
      <c r="A96" s="47" t="s">
        <v>1368</v>
      </c>
      <c r="B96" s="43">
        <v>8471160</v>
      </c>
      <c r="C96" s="44" t="s">
        <v>281</v>
      </c>
      <c r="D96" s="43">
        <v>422100</v>
      </c>
      <c r="E96" s="44" t="s">
        <v>283</v>
      </c>
      <c r="F96" s="43">
        <v>847001</v>
      </c>
      <c r="G96" s="44" t="s">
        <v>24</v>
      </c>
      <c r="H96" s="44" t="s">
        <v>25</v>
      </c>
      <c r="I96" s="45" t="s">
        <v>26</v>
      </c>
      <c r="J96" s="45" t="s">
        <v>286</v>
      </c>
      <c r="K96" s="46" t="s">
        <v>571</v>
      </c>
      <c r="L96" s="47" t="s">
        <v>1379</v>
      </c>
    </row>
    <row r="97" spans="1:12" ht="14.5" x14ac:dyDescent="0.35">
      <c r="A97" s="47" t="s">
        <v>1368</v>
      </c>
      <c r="B97" s="43">
        <v>8471160</v>
      </c>
      <c r="C97" s="44" t="s">
        <v>281</v>
      </c>
      <c r="D97" s="43">
        <v>422100</v>
      </c>
      <c r="E97" s="44" t="s">
        <v>283</v>
      </c>
      <c r="F97" s="43">
        <v>847001</v>
      </c>
      <c r="G97" s="44" t="s">
        <v>24</v>
      </c>
      <c r="H97" s="44" t="s">
        <v>28</v>
      </c>
      <c r="I97" s="45" t="s">
        <v>29</v>
      </c>
      <c r="J97" s="45" t="s">
        <v>287</v>
      </c>
      <c r="K97" s="46" t="s">
        <v>571</v>
      </c>
      <c r="L97" s="47" t="s">
        <v>1379</v>
      </c>
    </row>
    <row r="98" spans="1:12" ht="14.5" x14ac:dyDescent="0.35">
      <c r="A98" s="47" t="s">
        <v>1371</v>
      </c>
      <c r="B98" s="43">
        <v>8471305</v>
      </c>
      <c r="C98" s="44" t="s">
        <v>32</v>
      </c>
      <c r="D98" s="43">
        <v>422900</v>
      </c>
      <c r="E98" s="44" t="s">
        <v>42</v>
      </c>
      <c r="F98" s="43">
        <v>847001</v>
      </c>
      <c r="G98" s="44" t="s">
        <v>24</v>
      </c>
      <c r="H98" s="44" t="s">
        <v>25</v>
      </c>
      <c r="I98" s="45" t="s">
        <v>26</v>
      </c>
      <c r="J98" s="45" t="s">
        <v>43</v>
      </c>
      <c r="K98" s="46">
        <v>0</v>
      </c>
      <c r="L98" s="47" t="s">
        <v>1379</v>
      </c>
    </row>
    <row r="99" spans="1:12" ht="14.5" x14ac:dyDescent="0.35">
      <c r="A99" s="47" t="s">
        <v>1359</v>
      </c>
      <c r="B99" s="43">
        <v>8470130</v>
      </c>
      <c r="C99" s="44" t="s">
        <v>217</v>
      </c>
      <c r="D99" s="43">
        <v>425100</v>
      </c>
      <c r="E99" s="44" t="s">
        <v>44</v>
      </c>
      <c r="F99" s="43">
        <v>847001</v>
      </c>
      <c r="G99" s="44" t="s">
        <v>24</v>
      </c>
      <c r="H99" s="44" t="s">
        <v>25</v>
      </c>
      <c r="I99" s="45" t="s">
        <v>26</v>
      </c>
      <c r="J99" s="45" t="s">
        <v>288</v>
      </c>
      <c r="K99" s="46" t="s">
        <v>1079</v>
      </c>
      <c r="L99" s="47" t="s">
        <v>44</v>
      </c>
    </row>
    <row r="100" spans="1:12" ht="14.5" x14ac:dyDescent="0.35">
      <c r="A100" s="47" t="s">
        <v>1359</v>
      </c>
      <c r="B100" s="43">
        <v>8470140</v>
      </c>
      <c r="C100" s="44" t="s">
        <v>231</v>
      </c>
      <c r="D100" s="43">
        <v>425100</v>
      </c>
      <c r="E100" s="44" t="s">
        <v>44</v>
      </c>
      <c r="F100" s="43">
        <v>847001</v>
      </c>
      <c r="G100" s="44" t="s">
        <v>24</v>
      </c>
      <c r="H100" s="44" t="s">
        <v>25</v>
      </c>
      <c r="I100" s="45" t="s">
        <v>26</v>
      </c>
      <c r="J100" s="45" t="s">
        <v>289</v>
      </c>
      <c r="K100" s="46" t="s">
        <v>1079</v>
      </c>
      <c r="L100" s="47" t="s">
        <v>44</v>
      </c>
    </row>
    <row r="101" spans="1:12" ht="14.5" x14ac:dyDescent="0.35">
      <c r="A101" s="47" t="s">
        <v>1359</v>
      </c>
      <c r="B101" s="43">
        <v>8470140</v>
      </c>
      <c r="C101" s="44" t="s">
        <v>231</v>
      </c>
      <c r="D101" s="43">
        <v>425100</v>
      </c>
      <c r="E101" s="44" t="s">
        <v>44</v>
      </c>
      <c r="F101" s="43">
        <v>847001</v>
      </c>
      <c r="G101" s="44" t="s">
        <v>24</v>
      </c>
      <c r="H101" s="44" t="s">
        <v>28</v>
      </c>
      <c r="I101" s="45" t="s">
        <v>29</v>
      </c>
      <c r="J101" s="45" t="s">
        <v>290</v>
      </c>
      <c r="K101" s="46" t="s">
        <v>1079</v>
      </c>
      <c r="L101" s="47" t="s">
        <v>44</v>
      </c>
    </row>
    <row r="102" spans="1:12" ht="14.5" x14ac:dyDescent="0.35">
      <c r="A102" s="47" t="s">
        <v>1366</v>
      </c>
      <c r="B102" s="43">
        <v>8470230</v>
      </c>
      <c r="C102" s="44" t="s">
        <v>183</v>
      </c>
      <c r="D102" s="43">
        <v>425100</v>
      </c>
      <c r="E102" s="44" t="s">
        <v>44</v>
      </c>
      <c r="F102" s="43">
        <v>847001</v>
      </c>
      <c r="G102" s="44" t="s">
        <v>24</v>
      </c>
      <c r="H102" s="44" t="s">
        <v>25</v>
      </c>
      <c r="I102" s="45" t="s">
        <v>26</v>
      </c>
      <c r="J102" s="45" t="s">
        <v>291</v>
      </c>
      <c r="K102" s="46" t="s">
        <v>1079</v>
      </c>
      <c r="L102" s="47" t="s">
        <v>44</v>
      </c>
    </row>
    <row r="103" spans="1:12" ht="14.5" x14ac:dyDescent="0.35">
      <c r="A103" s="47" t="s">
        <v>1357</v>
      </c>
      <c r="B103" s="43">
        <v>8470405</v>
      </c>
      <c r="C103" s="44" t="s">
        <v>270</v>
      </c>
      <c r="D103" s="43">
        <v>425100</v>
      </c>
      <c r="E103" s="44" t="s">
        <v>44</v>
      </c>
      <c r="F103" s="43">
        <v>847001</v>
      </c>
      <c r="G103" s="44" t="s">
        <v>24</v>
      </c>
      <c r="H103" s="44" t="s">
        <v>25</v>
      </c>
      <c r="I103" s="45" t="s">
        <v>26</v>
      </c>
      <c r="J103" s="45" t="s">
        <v>292</v>
      </c>
      <c r="K103" s="46" t="s">
        <v>1079</v>
      </c>
      <c r="L103" s="47" t="s">
        <v>44</v>
      </c>
    </row>
    <row r="104" spans="1:12" ht="14.5" x14ac:dyDescent="0.35">
      <c r="A104" s="47" t="s">
        <v>1357</v>
      </c>
      <c r="B104" s="43">
        <v>8470405</v>
      </c>
      <c r="C104" s="44" t="s">
        <v>270</v>
      </c>
      <c r="D104" s="43">
        <v>425100</v>
      </c>
      <c r="E104" s="44" t="s">
        <v>44</v>
      </c>
      <c r="F104" s="43">
        <v>847001</v>
      </c>
      <c r="G104" s="44" t="s">
        <v>24</v>
      </c>
      <c r="H104" s="44" t="s">
        <v>28</v>
      </c>
      <c r="I104" s="45" t="s">
        <v>29</v>
      </c>
      <c r="J104" s="45" t="s">
        <v>293</v>
      </c>
      <c r="K104" s="46" t="s">
        <v>1079</v>
      </c>
      <c r="L104" s="47" t="s">
        <v>44</v>
      </c>
    </row>
    <row r="105" spans="1:12" ht="14.5" x14ac:dyDescent="0.35">
      <c r="A105" s="47" t="s">
        <v>1367</v>
      </c>
      <c r="B105" s="43">
        <v>8470730</v>
      </c>
      <c r="C105" s="44" t="s">
        <v>223</v>
      </c>
      <c r="D105" s="43">
        <v>425100</v>
      </c>
      <c r="E105" s="44" t="s">
        <v>44</v>
      </c>
      <c r="F105" s="43">
        <v>847001</v>
      </c>
      <c r="G105" s="44" t="s">
        <v>24</v>
      </c>
      <c r="H105" s="44" t="s">
        <v>28</v>
      </c>
      <c r="I105" s="45" t="s">
        <v>29</v>
      </c>
      <c r="J105" s="45" t="s">
        <v>294</v>
      </c>
      <c r="K105" s="46" t="s">
        <v>1079</v>
      </c>
      <c r="L105" s="47" t="s">
        <v>44</v>
      </c>
    </row>
    <row r="106" spans="1:12" ht="14.5" x14ac:dyDescent="0.35">
      <c r="A106" s="47" t="s">
        <v>1371</v>
      </c>
      <c r="B106" s="43">
        <v>8471305</v>
      </c>
      <c r="C106" s="44" t="s">
        <v>32</v>
      </c>
      <c r="D106" s="43">
        <v>425100</v>
      </c>
      <c r="E106" s="44" t="s">
        <v>44</v>
      </c>
      <c r="F106" s="43">
        <v>847001</v>
      </c>
      <c r="G106" s="44" t="s">
        <v>24</v>
      </c>
      <c r="H106" s="44" t="s">
        <v>25</v>
      </c>
      <c r="I106" s="45" t="s">
        <v>26</v>
      </c>
      <c r="J106" s="45" t="s">
        <v>45</v>
      </c>
      <c r="K106" s="46" t="s">
        <v>1079</v>
      </c>
      <c r="L106" s="47" t="s">
        <v>44</v>
      </c>
    </row>
    <row r="107" spans="1:12" ht="14.5" x14ac:dyDescent="0.35">
      <c r="A107" s="47" t="s">
        <v>1362</v>
      </c>
      <c r="B107" s="43">
        <v>8470620</v>
      </c>
      <c r="C107" s="44" t="s">
        <v>161</v>
      </c>
      <c r="D107" s="43">
        <v>425300</v>
      </c>
      <c r="E107" s="44" t="s">
        <v>295</v>
      </c>
      <c r="F107" s="43">
        <v>847001</v>
      </c>
      <c r="G107" s="44" t="s">
        <v>24</v>
      </c>
      <c r="H107" s="44" t="s">
        <v>25</v>
      </c>
      <c r="I107" s="45" t="s">
        <v>26</v>
      </c>
      <c r="J107" s="45" t="s">
        <v>296</v>
      </c>
      <c r="K107" s="46" t="s">
        <v>1080</v>
      </c>
      <c r="L107" s="47" t="s">
        <v>1379</v>
      </c>
    </row>
    <row r="108" spans="1:12" ht="14.5" x14ac:dyDescent="0.35">
      <c r="A108" s="47" t="s">
        <v>1362</v>
      </c>
      <c r="B108" s="43">
        <v>8470620</v>
      </c>
      <c r="C108" s="44" t="s">
        <v>161</v>
      </c>
      <c r="D108" s="43">
        <v>425300</v>
      </c>
      <c r="E108" s="44" t="s">
        <v>295</v>
      </c>
      <c r="F108" s="43">
        <v>847001</v>
      </c>
      <c r="G108" s="44" t="s">
        <v>24</v>
      </c>
      <c r="H108" s="44" t="s">
        <v>28</v>
      </c>
      <c r="I108" s="45" t="s">
        <v>29</v>
      </c>
      <c r="J108" s="45" t="s">
        <v>297</v>
      </c>
      <c r="K108" s="46" t="s">
        <v>1080</v>
      </c>
      <c r="L108" s="47" t="s">
        <v>1379</v>
      </c>
    </row>
    <row r="109" spans="1:12" ht="14.5" x14ac:dyDescent="0.35">
      <c r="A109" s="47" t="s">
        <v>1362</v>
      </c>
      <c r="B109" s="43">
        <v>8470620</v>
      </c>
      <c r="C109" s="44" t="s">
        <v>161</v>
      </c>
      <c r="D109" s="43">
        <v>425350</v>
      </c>
      <c r="E109" s="44" t="s">
        <v>298</v>
      </c>
      <c r="F109" s="43">
        <v>847001</v>
      </c>
      <c r="G109" s="44" t="s">
        <v>24</v>
      </c>
      <c r="H109" s="44" t="s">
        <v>25</v>
      </c>
      <c r="I109" s="45" t="s">
        <v>26</v>
      </c>
      <c r="J109" s="45" t="s">
        <v>299</v>
      </c>
      <c r="K109" s="46" t="s">
        <v>1080</v>
      </c>
      <c r="L109" s="47" t="s">
        <v>1379</v>
      </c>
    </row>
    <row r="110" spans="1:12" ht="14.5" x14ac:dyDescent="0.35">
      <c r="A110" s="47" t="s">
        <v>1362</v>
      </c>
      <c r="B110" s="43">
        <v>8470620</v>
      </c>
      <c r="C110" s="44" t="s">
        <v>161</v>
      </c>
      <c r="D110" s="43">
        <v>425350</v>
      </c>
      <c r="E110" s="44" t="s">
        <v>298</v>
      </c>
      <c r="F110" s="43">
        <v>847001</v>
      </c>
      <c r="G110" s="44" t="s">
        <v>24</v>
      </c>
      <c r="H110" s="44" t="s">
        <v>28</v>
      </c>
      <c r="I110" s="45" t="s">
        <v>29</v>
      </c>
      <c r="J110" s="45" t="s">
        <v>300</v>
      </c>
      <c r="K110" s="46" t="s">
        <v>1080</v>
      </c>
      <c r="L110" s="47" t="s">
        <v>1379</v>
      </c>
    </row>
    <row r="111" spans="1:12" ht="14.5" x14ac:dyDescent="0.35">
      <c r="A111" s="47" t="s">
        <v>1359</v>
      </c>
      <c r="B111" s="43">
        <v>8470110</v>
      </c>
      <c r="C111" s="44" t="s">
        <v>180</v>
      </c>
      <c r="D111" s="43">
        <v>425510</v>
      </c>
      <c r="E111" s="44" t="s">
        <v>46</v>
      </c>
      <c r="F111" s="43">
        <v>847001</v>
      </c>
      <c r="G111" s="44" t="s">
        <v>24</v>
      </c>
      <c r="H111" s="44" t="s">
        <v>25</v>
      </c>
      <c r="I111" s="45" t="s">
        <v>26</v>
      </c>
      <c r="J111" s="45" t="s">
        <v>301</v>
      </c>
      <c r="K111" s="46" t="s">
        <v>1079</v>
      </c>
      <c r="L111" s="47" t="s">
        <v>1383</v>
      </c>
    </row>
    <row r="112" spans="1:12" ht="14.5" x14ac:dyDescent="0.35">
      <c r="A112" s="47" t="s">
        <v>1359</v>
      </c>
      <c r="B112" s="43">
        <v>8470110</v>
      </c>
      <c r="C112" s="44" t="s">
        <v>180</v>
      </c>
      <c r="D112" s="43">
        <v>425510</v>
      </c>
      <c r="E112" s="44" t="s">
        <v>46</v>
      </c>
      <c r="F112" s="43">
        <v>847001</v>
      </c>
      <c r="G112" s="44" t="s">
        <v>24</v>
      </c>
      <c r="H112" s="44" t="s">
        <v>28</v>
      </c>
      <c r="I112" s="45" t="s">
        <v>29</v>
      </c>
      <c r="J112" s="45" t="s">
        <v>302</v>
      </c>
      <c r="K112" s="46" t="s">
        <v>1079</v>
      </c>
      <c r="L112" s="47" t="s">
        <v>1383</v>
      </c>
    </row>
    <row r="113" spans="1:12" ht="14.5" x14ac:dyDescent="0.35">
      <c r="A113" s="47" t="s">
        <v>1359</v>
      </c>
      <c r="B113" s="43">
        <v>8470130</v>
      </c>
      <c r="C113" s="44" t="s">
        <v>217</v>
      </c>
      <c r="D113" s="43">
        <v>425510</v>
      </c>
      <c r="E113" s="44" t="s">
        <v>46</v>
      </c>
      <c r="F113" s="43">
        <v>847001</v>
      </c>
      <c r="G113" s="44" t="s">
        <v>24</v>
      </c>
      <c r="H113" s="44" t="s">
        <v>25</v>
      </c>
      <c r="I113" s="45" t="s">
        <v>26</v>
      </c>
      <c r="J113" s="45" t="s">
        <v>303</v>
      </c>
      <c r="K113" s="46" t="s">
        <v>1079</v>
      </c>
      <c r="L113" s="47" t="s">
        <v>1383</v>
      </c>
    </row>
    <row r="114" spans="1:12" ht="14.5" x14ac:dyDescent="0.35">
      <c r="A114" s="47" t="s">
        <v>1359</v>
      </c>
      <c r="B114" s="43">
        <v>8470140</v>
      </c>
      <c r="C114" s="44" t="s">
        <v>231</v>
      </c>
      <c r="D114" s="43">
        <v>425510</v>
      </c>
      <c r="E114" s="44" t="s">
        <v>46</v>
      </c>
      <c r="F114" s="43">
        <v>847001</v>
      </c>
      <c r="G114" s="44" t="s">
        <v>24</v>
      </c>
      <c r="H114" s="44" t="s">
        <v>25</v>
      </c>
      <c r="I114" s="45" t="s">
        <v>26</v>
      </c>
      <c r="J114" s="45" t="s">
        <v>304</v>
      </c>
      <c r="K114" s="46" t="s">
        <v>1079</v>
      </c>
      <c r="L114" s="47" t="s">
        <v>1383</v>
      </c>
    </row>
    <row r="115" spans="1:12" ht="14.5" x14ac:dyDescent="0.35">
      <c r="A115" s="47" t="s">
        <v>1359</v>
      </c>
      <c r="B115" s="43">
        <v>8470140</v>
      </c>
      <c r="C115" s="44" t="s">
        <v>231</v>
      </c>
      <c r="D115" s="43">
        <v>425510</v>
      </c>
      <c r="E115" s="44" t="s">
        <v>46</v>
      </c>
      <c r="F115" s="43">
        <v>847001</v>
      </c>
      <c r="G115" s="44" t="s">
        <v>24</v>
      </c>
      <c r="H115" s="44" t="s">
        <v>28</v>
      </c>
      <c r="I115" s="45" t="s">
        <v>29</v>
      </c>
      <c r="J115" s="45" t="s">
        <v>305</v>
      </c>
      <c r="K115" s="46" t="s">
        <v>1079</v>
      </c>
      <c r="L115" s="47" t="s">
        <v>1383</v>
      </c>
    </row>
    <row r="116" spans="1:12" ht="14.5" x14ac:dyDescent="0.35">
      <c r="A116" s="47" t="s">
        <v>1366</v>
      </c>
      <c r="B116" s="43">
        <v>8470230</v>
      </c>
      <c r="C116" s="44" t="s">
        <v>183</v>
      </c>
      <c r="D116" s="43">
        <v>425510</v>
      </c>
      <c r="E116" s="44" t="s">
        <v>46</v>
      </c>
      <c r="F116" s="43">
        <v>847001</v>
      </c>
      <c r="G116" s="44" t="s">
        <v>24</v>
      </c>
      <c r="H116" s="44" t="s">
        <v>25</v>
      </c>
      <c r="I116" s="45" t="s">
        <v>26</v>
      </c>
      <c r="J116" s="45" t="s">
        <v>306</v>
      </c>
      <c r="K116" s="46" t="s">
        <v>1079</v>
      </c>
      <c r="L116" s="47" t="s">
        <v>1383</v>
      </c>
    </row>
    <row r="117" spans="1:12" ht="14.5" x14ac:dyDescent="0.35">
      <c r="A117" s="47" t="s">
        <v>1363</v>
      </c>
      <c r="B117" s="43">
        <v>8470305</v>
      </c>
      <c r="C117" s="44" t="s">
        <v>193</v>
      </c>
      <c r="D117" s="43">
        <v>425510</v>
      </c>
      <c r="E117" s="44" t="s">
        <v>46</v>
      </c>
      <c r="F117" s="43">
        <v>847001</v>
      </c>
      <c r="G117" s="44" t="s">
        <v>24</v>
      </c>
      <c r="H117" s="44" t="s">
        <v>25</v>
      </c>
      <c r="I117" s="45" t="s">
        <v>26</v>
      </c>
      <c r="J117" s="45" t="s">
        <v>307</v>
      </c>
      <c r="K117" s="46" t="s">
        <v>1079</v>
      </c>
      <c r="L117" s="47" t="s">
        <v>1383</v>
      </c>
    </row>
    <row r="118" spans="1:12" ht="14.5" x14ac:dyDescent="0.35">
      <c r="A118" s="47" t="s">
        <v>1363</v>
      </c>
      <c r="B118" s="43">
        <v>8470305</v>
      </c>
      <c r="C118" s="44" t="s">
        <v>193</v>
      </c>
      <c r="D118" s="43">
        <v>425510</v>
      </c>
      <c r="E118" s="44" t="s">
        <v>46</v>
      </c>
      <c r="F118" s="43">
        <v>847001</v>
      </c>
      <c r="G118" s="44" t="s">
        <v>24</v>
      </c>
      <c r="H118" s="44" t="s">
        <v>28</v>
      </c>
      <c r="I118" s="45" t="s">
        <v>29</v>
      </c>
      <c r="J118" s="45" t="s">
        <v>308</v>
      </c>
      <c r="K118" s="46" t="s">
        <v>1079</v>
      </c>
      <c r="L118" s="47" t="s">
        <v>1383</v>
      </c>
    </row>
    <row r="119" spans="1:12" ht="14.5" x14ac:dyDescent="0.35">
      <c r="A119" s="47" t="s">
        <v>1363</v>
      </c>
      <c r="B119" s="43">
        <v>8470310</v>
      </c>
      <c r="C119" s="44" t="s">
        <v>309</v>
      </c>
      <c r="D119" s="43">
        <v>425510</v>
      </c>
      <c r="E119" s="44" t="s">
        <v>46</v>
      </c>
      <c r="F119" s="43">
        <v>847001</v>
      </c>
      <c r="G119" s="44" t="s">
        <v>24</v>
      </c>
      <c r="H119" s="44" t="s">
        <v>25</v>
      </c>
      <c r="I119" s="45" t="s">
        <v>26</v>
      </c>
      <c r="J119" s="45" t="s">
        <v>310</v>
      </c>
      <c r="K119" s="46" t="s">
        <v>1079</v>
      </c>
      <c r="L119" s="47" t="s">
        <v>1383</v>
      </c>
    </row>
    <row r="120" spans="1:12" ht="14.5" x14ac:dyDescent="0.35">
      <c r="A120" s="47" t="s">
        <v>1363</v>
      </c>
      <c r="B120" s="43">
        <v>8470315</v>
      </c>
      <c r="C120" s="44" t="s">
        <v>311</v>
      </c>
      <c r="D120" s="43">
        <v>425510</v>
      </c>
      <c r="E120" s="44" t="s">
        <v>46</v>
      </c>
      <c r="F120" s="43">
        <v>847001</v>
      </c>
      <c r="G120" s="44" t="s">
        <v>24</v>
      </c>
      <c r="H120" s="44" t="s">
        <v>25</v>
      </c>
      <c r="I120" s="45" t="s">
        <v>26</v>
      </c>
      <c r="J120" s="45" t="s">
        <v>312</v>
      </c>
      <c r="K120" s="46" t="s">
        <v>1079</v>
      </c>
      <c r="L120" s="47" t="s">
        <v>1383</v>
      </c>
    </row>
    <row r="121" spans="1:12" ht="14.5" x14ac:dyDescent="0.35">
      <c r="A121" s="47" t="s">
        <v>1363</v>
      </c>
      <c r="B121" s="43">
        <v>8470325</v>
      </c>
      <c r="C121" s="44" t="s">
        <v>186</v>
      </c>
      <c r="D121" s="43">
        <v>425510</v>
      </c>
      <c r="E121" s="44" t="s">
        <v>46</v>
      </c>
      <c r="F121" s="43">
        <v>847001</v>
      </c>
      <c r="G121" s="44" t="s">
        <v>24</v>
      </c>
      <c r="H121" s="44" t="s">
        <v>25</v>
      </c>
      <c r="I121" s="45" t="s">
        <v>26</v>
      </c>
      <c r="J121" s="45" t="s">
        <v>313</v>
      </c>
      <c r="K121" s="46" t="s">
        <v>1079</v>
      </c>
      <c r="L121" s="47" t="s">
        <v>1383</v>
      </c>
    </row>
    <row r="122" spans="1:12" ht="14.5" x14ac:dyDescent="0.35">
      <c r="A122" s="47" t="s">
        <v>1363</v>
      </c>
      <c r="B122" s="43">
        <v>8470325</v>
      </c>
      <c r="C122" s="44" t="s">
        <v>186</v>
      </c>
      <c r="D122" s="43">
        <v>425510</v>
      </c>
      <c r="E122" s="44" t="s">
        <v>46</v>
      </c>
      <c r="F122" s="43">
        <v>847001</v>
      </c>
      <c r="G122" s="44" t="s">
        <v>24</v>
      </c>
      <c r="H122" s="44" t="s">
        <v>28</v>
      </c>
      <c r="I122" s="45" t="s">
        <v>29</v>
      </c>
      <c r="J122" s="45" t="s">
        <v>314</v>
      </c>
      <c r="K122" s="46" t="s">
        <v>1079</v>
      </c>
      <c r="L122" s="47" t="s">
        <v>1383</v>
      </c>
    </row>
    <row r="123" spans="1:12" ht="14.5" x14ac:dyDescent="0.35">
      <c r="A123" s="47" t="s">
        <v>1363</v>
      </c>
      <c r="B123" s="43">
        <v>8470330</v>
      </c>
      <c r="C123" s="44" t="s">
        <v>268</v>
      </c>
      <c r="D123" s="43">
        <v>425510</v>
      </c>
      <c r="E123" s="44" t="s">
        <v>46</v>
      </c>
      <c r="F123" s="43">
        <v>847001</v>
      </c>
      <c r="G123" s="44" t="s">
        <v>24</v>
      </c>
      <c r="H123" s="44" t="s">
        <v>25</v>
      </c>
      <c r="I123" s="45" t="s">
        <v>26</v>
      </c>
      <c r="J123" s="45" t="s">
        <v>315</v>
      </c>
      <c r="K123" s="46" t="s">
        <v>1079</v>
      </c>
      <c r="L123" s="47" t="s">
        <v>1383</v>
      </c>
    </row>
    <row r="124" spans="1:12" ht="14.5" x14ac:dyDescent="0.35">
      <c r="A124" s="47" t="s">
        <v>1363</v>
      </c>
      <c r="B124" s="43">
        <v>8470330</v>
      </c>
      <c r="C124" s="44" t="s">
        <v>268</v>
      </c>
      <c r="D124" s="43">
        <v>425510</v>
      </c>
      <c r="E124" s="44" t="s">
        <v>46</v>
      </c>
      <c r="F124" s="43">
        <v>847001</v>
      </c>
      <c r="G124" s="44" t="s">
        <v>24</v>
      </c>
      <c r="H124" s="44" t="s">
        <v>28</v>
      </c>
      <c r="I124" s="45" t="s">
        <v>29</v>
      </c>
      <c r="J124" s="45" t="s">
        <v>316</v>
      </c>
      <c r="K124" s="46" t="s">
        <v>1079</v>
      </c>
      <c r="L124" s="47" t="s">
        <v>1383</v>
      </c>
    </row>
    <row r="125" spans="1:12" ht="14.5" x14ac:dyDescent="0.35">
      <c r="A125" s="47" t="s">
        <v>1363</v>
      </c>
      <c r="B125" s="43">
        <v>8470335</v>
      </c>
      <c r="C125" s="44" t="s">
        <v>317</v>
      </c>
      <c r="D125" s="43">
        <v>425510</v>
      </c>
      <c r="E125" s="44" t="s">
        <v>46</v>
      </c>
      <c r="F125" s="43">
        <v>847001</v>
      </c>
      <c r="G125" s="44" t="s">
        <v>24</v>
      </c>
      <c r="H125" s="44" t="s">
        <v>25</v>
      </c>
      <c r="I125" s="45" t="s">
        <v>26</v>
      </c>
      <c r="J125" s="45" t="s">
        <v>318</v>
      </c>
      <c r="K125" s="46" t="s">
        <v>1079</v>
      </c>
      <c r="L125" s="47" t="s">
        <v>1383</v>
      </c>
    </row>
    <row r="126" spans="1:12" ht="14.5" x14ac:dyDescent="0.35">
      <c r="A126" s="47" t="s">
        <v>1363</v>
      </c>
      <c r="B126" s="43">
        <v>8470335</v>
      </c>
      <c r="C126" s="44" t="s">
        <v>317</v>
      </c>
      <c r="D126" s="43">
        <v>425510</v>
      </c>
      <c r="E126" s="44" t="s">
        <v>46</v>
      </c>
      <c r="F126" s="43">
        <v>847001</v>
      </c>
      <c r="G126" s="44" t="s">
        <v>24</v>
      </c>
      <c r="H126" s="44" t="s">
        <v>28</v>
      </c>
      <c r="I126" s="45" t="s">
        <v>29</v>
      </c>
      <c r="J126" s="45" t="s">
        <v>319</v>
      </c>
      <c r="K126" s="46" t="s">
        <v>1079</v>
      </c>
      <c r="L126" s="47" t="s">
        <v>1383</v>
      </c>
    </row>
    <row r="127" spans="1:12" ht="14.5" x14ac:dyDescent="0.35">
      <c r="A127" s="47" t="s">
        <v>1363</v>
      </c>
      <c r="B127" s="43">
        <v>8470340</v>
      </c>
      <c r="C127" s="44" t="s">
        <v>234</v>
      </c>
      <c r="D127" s="43">
        <v>425510</v>
      </c>
      <c r="E127" s="44" t="s">
        <v>46</v>
      </c>
      <c r="F127" s="43">
        <v>847001</v>
      </c>
      <c r="G127" s="44" t="s">
        <v>24</v>
      </c>
      <c r="H127" s="44" t="s">
        <v>25</v>
      </c>
      <c r="I127" s="45" t="s">
        <v>26</v>
      </c>
      <c r="J127" s="45" t="s">
        <v>320</v>
      </c>
      <c r="K127" s="46" t="s">
        <v>1079</v>
      </c>
      <c r="L127" s="47" t="s">
        <v>1383</v>
      </c>
    </row>
    <row r="128" spans="1:12" ht="14.5" x14ac:dyDescent="0.35">
      <c r="A128" s="47" t="s">
        <v>1363</v>
      </c>
      <c r="B128" s="43">
        <v>8470345</v>
      </c>
      <c r="C128" s="44" t="s">
        <v>188</v>
      </c>
      <c r="D128" s="43">
        <v>425510</v>
      </c>
      <c r="E128" s="44" t="s">
        <v>46</v>
      </c>
      <c r="F128" s="43">
        <v>847001</v>
      </c>
      <c r="G128" s="44" t="s">
        <v>24</v>
      </c>
      <c r="H128" s="44" t="s">
        <v>28</v>
      </c>
      <c r="I128" s="45" t="s">
        <v>29</v>
      </c>
      <c r="J128" s="45" t="s">
        <v>321</v>
      </c>
      <c r="K128" s="46" t="s">
        <v>1079</v>
      </c>
      <c r="L128" s="47" t="s">
        <v>1383</v>
      </c>
    </row>
    <row r="129" spans="1:12" ht="14.5" x14ac:dyDescent="0.35">
      <c r="A129" s="47" t="s">
        <v>1363</v>
      </c>
      <c r="B129" s="43">
        <v>8470350</v>
      </c>
      <c r="C129" s="44" t="s">
        <v>191</v>
      </c>
      <c r="D129" s="43">
        <v>425510</v>
      </c>
      <c r="E129" s="44" t="s">
        <v>46</v>
      </c>
      <c r="F129" s="43">
        <v>847001</v>
      </c>
      <c r="G129" s="44" t="s">
        <v>24</v>
      </c>
      <c r="H129" s="44" t="s">
        <v>25</v>
      </c>
      <c r="I129" s="45" t="s">
        <v>26</v>
      </c>
      <c r="J129" s="45" t="s">
        <v>322</v>
      </c>
      <c r="K129" s="46" t="s">
        <v>1079</v>
      </c>
      <c r="L129" s="47" t="s">
        <v>1383</v>
      </c>
    </row>
    <row r="130" spans="1:12" ht="14.5" x14ac:dyDescent="0.35">
      <c r="A130" s="47" t="s">
        <v>1363</v>
      </c>
      <c r="B130" s="43">
        <v>8470350</v>
      </c>
      <c r="C130" s="44" t="s">
        <v>191</v>
      </c>
      <c r="D130" s="43">
        <v>425510</v>
      </c>
      <c r="E130" s="44" t="s">
        <v>46</v>
      </c>
      <c r="F130" s="43">
        <v>847001</v>
      </c>
      <c r="G130" s="44" t="s">
        <v>24</v>
      </c>
      <c r="H130" s="44" t="s">
        <v>28</v>
      </c>
      <c r="I130" s="45" t="s">
        <v>29</v>
      </c>
      <c r="J130" s="45" t="s">
        <v>323</v>
      </c>
      <c r="K130" s="46" t="s">
        <v>1079</v>
      </c>
      <c r="L130" s="47" t="s">
        <v>1383</v>
      </c>
    </row>
    <row r="131" spans="1:12" ht="14.5" x14ac:dyDescent="0.35">
      <c r="A131" s="47" t="s">
        <v>1357</v>
      </c>
      <c r="B131" s="43">
        <v>8470405</v>
      </c>
      <c r="C131" s="44" t="s">
        <v>270</v>
      </c>
      <c r="D131" s="43">
        <v>425510</v>
      </c>
      <c r="E131" s="44" t="s">
        <v>46</v>
      </c>
      <c r="F131" s="43">
        <v>847001</v>
      </c>
      <c r="G131" s="44" t="s">
        <v>24</v>
      </c>
      <c r="H131" s="44" t="s">
        <v>25</v>
      </c>
      <c r="I131" s="45" t="s">
        <v>26</v>
      </c>
      <c r="J131" s="45" t="s">
        <v>324</v>
      </c>
      <c r="K131" s="46" t="s">
        <v>1079</v>
      </c>
      <c r="L131" s="47" t="s">
        <v>1383</v>
      </c>
    </row>
    <row r="132" spans="1:12" ht="14.5" x14ac:dyDescent="0.35">
      <c r="A132" s="47" t="s">
        <v>1357</v>
      </c>
      <c r="B132" s="43">
        <v>8470405</v>
      </c>
      <c r="C132" s="44" t="s">
        <v>270</v>
      </c>
      <c r="D132" s="43">
        <v>425510</v>
      </c>
      <c r="E132" s="44" t="s">
        <v>46</v>
      </c>
      <c r="F132" s="43">
        <v>847001</v>
      </c>
      <c r="G132" s="44" t="s">
        <v>24</v>
      </c>
      <c r="H132" s="44" t="s">
        <v>28</v>
      </c>
      <c r="I132" s="45" t="s">
        <v>29</v>
      </c>
      <c r="J132" s="45" t="s">
        <v>325</v>
      </c>
      <c r="K132" s="46" t="s">
        <v>1079</v>
      </c>
      <c r="L132" s="47" t="s">
        <v>1383</v>
      </c>
    </row>
    <row r="133" spans="1:12" ht="14.5" x14ac:dyDescent="0.35">
      <c r="A133" s="47" t="e">
        <v>#N/A</v>
      </c>
      <c r="B133" s="43">
        <v>8470420</v>
      </c>
      <c r="C133" s="44" t="s">
        <v>326</v>
      </c>
      <c r="D133" s="43">
        <v>425510</v>
      </c>
      <c r="E133" s="44" t="s">
        <v>46</v>
      </c>
      <c r="F133" s="43">
        <v>847001</v>
      </c>
      <c r="G133" s="44" t="s">
        <v>24</v>
      </c>
      <c r="H133" s="44" t="s">
        <v>25</v>
      </c>
      <c r="I133" s="45" t="s">
        <v>26</v>
      </c>
      <c r="J133" s="45" t="s">
        <v>327</v>
      </c>
      <c r="K133" s="46" t="s">
        <v>1079</v>
      </c>
      <c r="L133" s="47" t="s">
        <v>1383</v>
      </c>
    </row>
    <row r="134" spans="1:12" ht="14.5" x14ac:dyDescent="0.35">
      <c r="A134" s="47" t="e">
        <v>#N/A</v>
      </c>
      <c r="B134" s="43">
        <v>8470420</v>
      </c>
      <c r="C134" s="44" t="s">
        <v>326</v>
      </c>
      <c r="D134" s="43">
        <v>425510</v>
      </c>
      <c r="E134" s="44" t="s">
        <v>46</v>
      </c>
      <c r="F134" s="43">
        <v>847001</v>
      </c>
      <c r="G134" s="44" t="s">
        <v>24</v>
      </c>
      <c r="H134" s="44" t="s">
        <v>28</v>
      </c>
      <c r="I134" s="45" t="s">
        <v>29</v>
      </c>
      <c r="J134" s="45" t="s">
        <v>328</v>
      </c>
      <c r="K134" s="46" t="s">
        <v>1079</v>
      </c>
      <c r="L134" s="47" t="s">
        <v>1383</v>
      </c>
    </row>
    <row r="135" spans="1:12" ht="14.5" x14ac:dyDescent="0.35">
      <c r="A135" s="47" t="s">
        <v>1358</v>
      </c>
      <c r="B135" s="43">
        <v>8470520</v>
      </c>
      <c r="C135" s="44" t="s">
        <v>253</v>
      </c>
      <c r="D135" s="43">
        <v>425510</v>
      </c>
      <c r="E135" s="44" t="s">
        <v>46</v>
      </c>
      <c r="F135" s="43">
        <v>847001</v>
      </c>
      <c r="G135" s="44" t="s">
        <v>24</v>
      </c>
      <c r="H135" s="44" t="s">
        <v>25</v>
      </c>
      <c r="I135" s="45" t="s">
        <v>26</v>
      </c>
      <c r="J135" s="45" t="s">
        <v>329</v>
      </c>
      <c r="K135" s="46" t="s">
        <v>1079</v>
      </c>
      <c r="L135" s="47" t="s">
        <v>1383</v>
      </c>
    </row>
    <row r="136" spans="1:12" ht="14.5" x14ac:dyDescent="0.35">
      <c r="A136" s="47" t="s">
        <v>1358</v>
      </c>
      <c r="B136" s="43">
        <v>8470520</v>
      </c>
      <c r="C136" s="44" t="s">
        <v>253</v>
      </c>
      <c r="D136" s="43">
        <v>425510</v>
      </c>
      <c r="E136" s="44" t="s">
        <v>46</v>
      </c>
      <c r="F136" s="43">
        <v>847001</v>
      </c>
      <c r="G136" s="44" t="s">
        <v>24</v>
      </c>
      <c r="H136" s="44" t="s">
        <v>28</v>
      </c>
      <c r="I136" s="45" t="s">
        <v>29</v>
      </c>
      <c r="J136" s="45" t="s">
        <v>330</v>
      </c>
      <c r="K136" s="46" t="s">
        <v>1079</v>
      </c>
      <c r="L136" s="47" t="s">
        <v>1383</v>
      </c>
    </row>
    <row r="137" spans="1:12" ht="14.5" x14ac:dyDescent="0.35">
      <c r="A137" s="47" t="s">
        <v>1358</v>
      </c>
      <c r="B137" s="43">
        <v>8470520</v>
      </c>
      <c r="C137" s="44" t="s">
        <v>253</v>
      </c>
      <c r="D137" s="43">
        <v>425510</v>
      </c>
      <c r="E137" s="44" t="s">
        <v>46</v>
      </c>
      <c r="F137" s="43">
        <v>847951</v>
      </c>
      <c r="G137" s="44" t="s">
        <v>331</v>
      </c>
      <c r="H137" s="44" t="s">
        <v>25</v>
      </c>
      <c r="I137" s="45" t="s">
        <v>26</v>
      </c>
      <c r="J137" s="45" t="s">
        <v>332</v>
      </c>
      <c r="K137" s="46" t="s">
        <v>1079</v>
      </c>
      <c r="L137" s="47" t="s">
        <v>1383</v>
      </c>
    </row>
    <row r="138" spans="1:12" ht="14.5" x14ac:dyDescent="0.35">
      <c r="A138" s="47" t="s">
        <v>1358</v>
      </c>
      <c r="B138" s="43">
        <v>8470530</v>
      </c>
      <c r="C138" s="44" t="s">
        <v>165</v>
      </c>
      <c r="D138" s="43">
        <v>425510</v>
      </c>
      <c r="E138" s="44" t="s">
        <v>46</v>
      </c>
      <c r="F138" s="43">
        <v>847010</v>
      </c>
      <c r="G138" s="44" t="s">
        <v>167</v>
      </c>
      <c r="H138" s="44" t="s">
        <v>25</v>
      </c>
      <c r="I138" s="45" t="s">
        <v>26</v>
      </c>
      <c r="J138" s="45" t="s">
        <v>333</v>
      </c>
      <c r="K138" s="46" t="s">
        <v>1079</v>
      </c>
      <c r="L138" s="47" t="s">
        <v>1383</v>
      </c>
    </row>
    <row r="139" spans="1:12" ht="14.5" x14ac:dyDescent="0.35">
      <c r="A139" s="47" t="s">
        <v>1358</v>
      </c>
      <c r="B139" s="43">
        <v>8470530</v>
      </c>
      <c r="C139" s="44" t="s">
        <v>165</v>
      </c>
      <c r="D139" s="43">
        <v>425510</v>
      </c>
      <c r="E139" s="44" t="s">
        <v>46</v>
      </c>
      <c r="F139" s="43">
        <v>847010</v>
      </c>
      <c r="G139" s="44" t="s">
        <v>167</v>
      </c>
      <c r="H139" s="44" t="s">
        <v>28</v>
      </c>
      <c r="I139" s="45" t="s">
        <v>29</v>
      </c>
      <c r="J139" s="45" t="s">
        <v>334</v>
      </c>
      <c r="K139" s="46" t="s">
        <v>1079</v>
      </c>
      <c r="L139" s="47" t="s">
        <v>1383</v>
      </c>
    </row>
    <row r="140" spans="1:12" ht="14.5" x14ac:dyDescent="0.35">
      <c r="A140" s="47" t="s">
        <v>1362</v>
      </c>
      <c r="B140" s="43">
        <v>8470620</v>
      </c>
      <c r="C140" s="44" t="s">
        <v>161</v>
      </c>
      <c r="D140" s="43">
        <v>425510</v>
      </c>
      <c r="E140" s="44" t="s">
        <v>46</v>
      </c>
      <c r="F140" s="43">
        <v>847001</v>
      </c>
      <c r="G140" s="44" t="s">
        <v>24</v>
      </c>
      <c r="H140" s="44" t="s">
        <v>25</v>
      </c>
      <c r="I140" s="45" t="s">
        <v>26</v>
      </c>
      <c r="J140" s="45" t="s">
        <v>335</v>
      </c>
      <c r="K140" s="46" t="s">
        <v>1079</v>
      </c>
      <c r="L140" s="47" t="s">
        <v>1383</v>
      </c>
    </row>
    <row r="141" spans="1:12" ht="14.5" x14ac:dyDescent="0.35">
      <c r="A141" s="47" t="s">
        <v>1367</v>
      </c>
      <c r="B141" s="43">
        <v>8470730</v>
      </c>
      <c r="C141" s="44" t="s">
        <v>223</v>
      </c>
      <c r="D141" s="43">
        <v>425510</v>
      </c>
      <c r="E141" s="44" t="s">
        <v>46</v>
      </c>
      <c r="F141" s="43">
        <v>847001</v>
      </c>
      <c r="G141" s="44" t="s">
        <v>24</v>
      </c>
      <c r="H141" s="44" t="s">
        <v>25</v>
      </c>
      <c r="I141" s="45" t="s">
        <v>26</v>
      </c>
      <c r="J141" s="45" t="s">
        <v>336</v>
      </c>
      <c r="K141" s="46" t="s">
        <v>1079</v>
      </c>
      <c r="L141" s="47" t="s">
        <v>1383</v>
      </c>
    </row>
    <row r="142" spans="1:12" ht="14.5" x14ac:dyDescent="0.35">
      <c r="A142" s="47" t="s">
        <v>1367</v>
      </c>
      <c r="B142" s="43">
        <v>8470730</v>
      </c>
      <c r="C142" s="44" t="s">
        <v>223</v>
      </c>
      <c r="D142" s="43">
        <v>425510</v>
      </c>
      <c r="E142" s="44" t="s">
        <v>46</v>
      </c>
      <c r="F142" s="43">
        <v>847001</v>
      </c>
      <c r="G142" s="44" t="s">
        <v>24</v>
      </c>
      <c r="H142" s="44" t="s">
        <v>28</v>
      </c>
      <c r="I142" s="45" t="s">
        <v>29</v>
      </c>
      <c r="J142" s="45" t="s">
        <v>337</v>
      </c>
      <c r="K142" s="46" t="s">
        <v>1079</v>
      </c>
      <c r="L142" s="47" t="s">
        <v>1383</v>
      </c>
    </row>
    <row r="143" spans="1:12" ht="14.5" x14ac:dyDescent="0.35">
      <c r="A143" s="47" t="s">
        <v>1368</v>
      </c>
      <c r="B143" s="43">
        <v>8471110</v>
      </c>
      <c r="C143" s="44" t="s">
        <v>227</v>
      </c>
      <c r="D143" s="43">
        <v>425510</v>
      </c>
      <c r="E143" s="44" t="s">
        <v>46</v>
      </c>
      <c r="F143" s="43">
        <v>847001</v>
      </c>
      <c r="G143" s="44" t="s">
        <v>24</v>
      </c>
      <c r="H143" s="44" t="s">
        <v>28</v>
      </c>
      <c r="I143" s="45" t="s">
        <v>29</v>
      </c>
      <c r="J143" s="45" t="s">
        <v>338</v>
      </c>
      <c r="K143" s="46" t="s">
        <v>1079</v>
      </c>
      <c r="L143" s="47" t="s">
        <v>1383</v>
      </c>
    </row>
    <row r="144" spans="1:12" ht="14.5" x14ac:dyDescent="0.35">
      <c r="A144" s="47" t="s">
        <v>1368</v>
      </c>
      <c r="B144" s="43">
        <v>8471140</v>
      </c>
      <c r="C144" s="44" t="s">
        <v>339</v>
      </c>
      <c r="D144" s="43">
        <v>425510</v>
      </c>
      <c r="E144" s="44" t="s">
        <v>46</v>
      </c>
      <c r="F144" s="43">
        <v>847001</v>
      </c>
      <c r="G144" s="44" t="s">
        <v>24</v>
      </c>
      <c r="H144" s="44" t="s">
        <v>25</v>
      </c>
      <c r="I144" s="45" t="s">
        <v>26</v>
      </c>
      <c r="J144" s="45" t="s">
        <v>340</v>
      </c>
      <c r="K144" s="46" t="s">
        <v>1079</v>
      </c>
      <c r="L144" s="47" t="s">
        <v>1383</v>
      </c>
    </row>
    <row r="145" spans="1:12" ht="14.5" x14ac:dyDescent="0.35">
      <c r="A145" s="47" t="s">
        <v>1368</v>
      </c>
      <c r="B145" s="43">
        <v>8471140</v>
      </c>
      <c r="C145" s="44" t="s">
        <v>339</v>
      </c>
      <c r="D145" s="43">
        <v>425510</v>
      </c>
      <c r="E145" s="44" t="s">
        <v>46</v>
      </c>
      <c r="F145" s="43">
        <v>847001</v>
      </c>
      <c r="G145" s="44" t="s">
        <v>24</v>
      </c>
      <c r="H145" s="44" t="s">
        <v>28</v>
      </c>
      <c r="I145" s="45" t="s">
        <v>29</v>
      </c>
      <c r="J145" s="45" t="s">
        <v>341</v>
      </c>
      <c r="K145" s="46" t="s">
        <v>1079</v>
      </c>
      <c r="L145" s="47" t="s">
        <v>1383</v>
      </c>
    </row>
    <row r="146" spans="1:12" ht="14.5" x14ac:dyDescent="0.35">
      <c r="A146" s="47" t="s">
        <v>1368</v>
      </c>
      <c r="B146" s="43">
        <v>8471150</v>
      </c>
      <c r="C146" s="44" t="s">
        <v>212</v>
      </c>
      <c r="D146" s="43">
        <v>425510</v>
      </c>
      <c r="E146" s="44" t="s">
        <v>46</v>
      </c>
      <c r="F146" s="43">
        <v>847001</v>
      </c>
      <c r="G146" s="44" t="s">
        <v>24</v>
      </c>
      <c r="H146" s="44" t="s">
        <v>28</v>
      </c>
      <c r="I146" s="45" t="s">
        <v>29</v>
      </c>
      <c r="J146" s="45" t="s">
        <v>342</v>
      </c>
      <c r="K146" s="46" t="s">
        <v>1079</v>
      </c>
      <c r="L146" s="47" t="s">
        <v>1383</v>
      </c>
    </row>
    <row r="147" spans="1:12" ht="14.5" x14ac:dyDescent="0.35">
      <c r="A147" s="47" t="s">
        <v>1365</v>
      </c>
      <c r="B147" s="43">
        <v>8471210</v>
      </c>
      <c r="C147" s="44" t="s">
        <v>176</v>
      </c>
      <c r="D147" s="43">
        <v>425510</v>
      </c>
      <c r="E147" s="44" t="s">
        <v>46</v>
      </c>
      <c r="F147" s="43">
        <v>847001</v>
      </c>
      <c r="G147" s="44" t="s">
        <v>24</v>
      </c>
      <c r="H147" s="44" t="s">
        <v>28</v>
      </c>
      <c r="I147" s="45" t="s">
        <v>29</v>
      </c>
      <c r="J147" s="45" t="s">
        <v>343</v>
      </c>
      <c r="K147" s="46" t="s">
        <v>1079</v>
      </c>
      <c r="L147" s="47" t="s">
        <v>1383</v>
      </c>
    </row>
    <row r="148" spans="1:12" ht="14.5" x14ac:dyDescent="0.35">
      <c r="A148" s="47" t="s">
        <v>1365</v>
      </c>
      <c r="B148" s="43">
        <v>8471220</v>
      </c>
      <c r="C148" s="44" t="s">
        <v>344</v>
      </c>
      <c r="D148" s="43">
        <v>425510</v>
      </c>
      <c r="E148" s="44" t="s">
        <v>46</v>
      </c>
      <c r="F148" s="43">
        <v>847001</v>
      </c>
      <c r="G148" s="44" t="s">
        <v>24</v>
      </c>
      <c r="H148" s="44" t="s">
        <v>25</v>
      </c>
      <c r="I148" s="45" t="s">
        <v>26</v>
      </c>
      <c r="J148" s="45" t="s">
        <v>345</v>
      </c>
      <c r="K148" s="46" t="s">
        <v>1079</v>
      </c>
      <c r="L148" s="47" t="s">
        <v>1383</v>
      </c>
    </row>
    <row r="149" spans="1:12" ht="14.5" x14ac:dyDescent="0.35">
      <c r="A149" s="47" t="s">
        <v>1365</v>
      </c>
      <c r="B149" s="43">
        <v>8471240</v>
      </c>
      <c r="C149" s="44" t="s">
        <v>346</v>
      </c>
      <c r="D149" s="43">
        <v>425510</v>
      </c>
      <c r="E149" s="44" t="s">
        <v>46</v>
      </c>
      <c r="F149" s="43">
        <v>847001</v>
      </c>
      <c r="G149" s="44" t="s">
        <v>24</v>
      </c>
      <c r="H149" s="44" t="s">
        <v>25</v>
      </c>
      <c r="I149" s="45" t="s">
        <v>26</v>
      </c>
      <c r="J149" s="45" t="s">
        <v>347</v>
      </c>
      <c r="K149" s="46" t="s">
        <v>1079</v>
      </c>
      <c r="L149" s="47" t="s">
        <v>1383</v>
      </c>
    </row>
    <row r="150" spans="1:12" ht="14.5" x14ac:dyDescent="0.35">
      <c r="A150" s="47" t="s">
        <v>1365</v>
      </c>
      <c r="B150" s="43">
        <v>8471240</v>
      </c>
      <c r="C150" s="44" t="s">
        <v>346</v>
      </c>
      <c r="D150" s="43">
        <v>425510</v>
      </c>
      <c r="E150" s="44" t="s">
        <v>46</v>
      </c>
      <c r="F150" s="43">
        <v>847001</v>
      </c>
      <c r="G150" s="44" t="s">
        <v>24</v>
      </c>
      <c r="H150" s="44" t="s">
        <v>28</v>
      </c>
      <c r="I150" s="45" t="s">
        <v>29</v>
      </c>
      <c r="J150" s="45" t="s">
        <v>348</v>
      </c>
      <c r="K150" s="46" t="s">
        <v>1079</v>
      </c>
      <c r="L150" s="47" t="s">
        <v>1383</v>
      </c>
    </row>
    <row r="151" spans="1:12" ht="14.5" x14ac:dyDescent="0.35">
      <c r="A151" s="47" t="s">
        <v>1365</v>
      </c>
      <c r="B151" s="43">
        <v>8471250</v>
      </c>
      <c r="C151" s="44" t="s">
        <v>349</v>
      </c>
      <c r="D151" s="43">
        <v>425510</v>
      </c>
      <c r="E151" s="44" t="s">
        <v>46</v>
      </c>
      <c r="F151" s="43">
        <v>847001</v>
      </c>
      <c r="G151" s="44" t="s">
        <v>24</v>
      </c>
      <c r="H151" s="44" t="s">
        <v>25</v>
      </c>
      <c r="I151" s="45" t="s">
        <v>26</v>
      </c>
      <c r="J151" s="45" t="s">
        <v>350</v>
      </c>
      <c r="K151" s="46" t="s">
        <v>1079</v>
      </c>
      <c r="L151" s="47" t="s">
        <v>1383</v>
      </c>
    </row>
    <row r="152" spans="1:12" ht="14.5" x14ac:dyDescent="0.35">
      <c r="A152" s="47" t="s">
        <v>1365</v>
      </c>
      <c r="B152" s="43">
        <v>8471250</v>
      </c>
      <c r="C152" s="44" t="s">
        <v>349</v>
      </c>
      <c r="D152" s="43">
        <v>425510</v>
      </c>
      <c r="E152" s="44" t="s">
        <v>46</v>
      </c>
      <c r="F152" s="43">
        <v>847001</v>
      </c>
      <c r="G152" s="44" t="s">
        <v>24</v>
      </c>
      <c r="H152" s="44" t="s">
        <v>28</v>
      </c>
      <c r="I152" s="45" t="s">
        <v>29</v>
      </c>
      <c r="J152" s="45" t="s">
        <v>351</v>
      </c>
      <c r="K152" s="46" t="s">
        <v>1079</v>
      </c>
      <c r="L152" s="47" t="s">
        <v>1383</v>
      </c>
    </row>
    <row r="153" spans="1:12" ht="14.5" x14ac:dyDescent="0.35">
      <c r="A153" s="47" t="s">
        <v>1365</v>
      </c>
      <c r="B153" s="43">
        <v>8471260</v>
      </c>
      <c r="C153" s="44" t="s">
        <v>178</v>
      </c>
      <c r="D153" s="43">
        <v>425510</v>
      </c>
      <c r="E153" s="44" t="s">
        <v>46</v>
      </c>
      <c r="F153" s="43">
        <v>847001</v>
      </c>
      <c r="G153" s="44" t="s">
        <v>24</v>
      </c>
      <c r="H153" s="44" t="s">
        <v>25</v>
      </c>
      <c r="I153" s="45" t="s">
        <v>26</v>
      </c>
      <c r="J153" s="45" t="s">
        <v>352</v>
      </c>
      <c r="K153" s="46" t="s">
        <v>1079</v>
      </c>
      <c r="L153" s="47" t="s">
        <v>1383</v>
      </c>
    </row>
    <row r="154" spans="1:12" ht="14.5" x14ac:dyDescent="0.35">
      <c r="A154" s="47" t="s">
        <v>1365</v>
      </c>
      <c r="B154" s="43">
        <v>8471270</v>
      </c>
      <c r="C154" s="44" t="s">
        <v>353</v>
      </c>
      <c r="D154" s="43">
        <v>425510</v>
      </c>
      <c r="E154" s="44" t="s">
        <v>46</v>
      </c>
      <c r="F154" s="43">
        <v>847001</v>
      </c>
      <c r="G154" s="44" t="s">
        <v>24</v>
      </c>
      <c r="H154" s="44" t="s">
        <v>25</v>
      </c>
      <c r="I154" s="45" t="s">
        <v>26</v>
      </c>
      <c r="J154" s="45" t="s">
        <v>354</v>
      </c>
      <c r="K154" s="46" t="s">
        <v>1079</v>
      </c>
      <c r="L154" s="47" t="s">
        <v>1383</v>
      </c>
    </row>
    <row r="155" spans="1:12" ht="14.5" x14ac:dyDescent="0.35">
      <c r="A155" s="47" t="s">
        <v>1365</v>
      </c>
      <c r="B155" s="43">
        <v>8471280</v>
      </c>
      <c r="C155" s="44" t="s">
        <v>355</v>
      </c>
      <c r="D155" s="43">
        <v>425510</v>
      </c>
      <c r="E155" s="44" t="s">
        <v>46</v>
      </c>
      <c r="F155" s="43">
        <v>847001</v>
      </c>
      <c r="G155" s="44" t="s">
        <v>24</v>
      </c>
      <c r="H155" s="44" t="s">
        <v>25</v>
      </c>
      <c r="I155" s="45" t="s">
        <v>26</v>
      </c>
      <c r="J155" s="45" t="s">
        <v>356</v>
      </c>
      <c r="K155" s="46" t="s">
        <v>1079</v>
      </c>
      <c r="L155" s="47" t="s">
        <v>1383</v>
      </c>
    </row>
    <row r="156" spans="1:12" ht="14.5" x14ac:dyDescent="0.35">
      <c r="A156" s="47" t="s">
        <v>1365</v>
      </c>
      <c r="B156" s="43">
        <v>8471280</v>
      </c>
      <c r="C156" s="44" t="s">
        <v>355</v>
      </c>
      <c r="D156" s="43">
        <v>425510</v>
      </c>
      <c r="E156" s="44" t="s">
        <v>46</v>
      </c>
      <c r="F156" s="43">
        <v>847001</v>
      </c>
      <c r="G156" s="44" t="s">
        <v>24</v>
      </c>
      <c r="H156" s="44" t="s">
        <v>28</v>
      </c>
      <c r="I156" s="45" t="s">
        <v>29</v>
      </c>
      <c r="J156" s="45" t="s">
        <v>357</v>
      </c>
      <c r="K156" s="46" t="s">
        <v>1079</v>
      </c>
      <c r="L156" s="47" t="s">
        <v>1383</v>
      </c>
    </row>
    <row r="157" spans="1:12" ht="14.5" x14ac:dyDescent="0.35">
      <c r="A157" s="47" t="s">
        <v>1371</v>
      </c>
      <c r="B157" s="43">
        <v>8471305</v>
      </c>
      <c r="C157" s="44" t="s">
        <v>32</v>
      </c>
      <c r="D157" s="43">
        <v>425510</v>
      </c>
      <c r="E157" s="44" t="s">
        <v>46</v>
      </c>
      <c r="F157" s="43">
        <v>847001</v>
      </c>
      <c r="G157" s="44" t="s">
        <v>24</v>
      </c>
      <c r="H157" s="44" t="s">
        <v>25</v>
      </c>
      <c r="I157" s="45" t="s">
        <v>26</v>
      </c>
      <c r="J157" s="45" t="s">
        <v>47</v>
      </c>
      <c r="K157" s="46" t="s">
        <v>1079</v>
      </c>
      <c r="L157" s="47" t="s">
        <v>1383</v>
      </c>
    </row>
    <row r="158" spans="1:12" ht="14.5" x14ac:dyDescent="0.35">
      <c r="A158" s="47" t="s">
        <v>1371</v>
      </c>
      <c r="B158" s="43">
        <v>8471305</v>
      </c>
      <c r="C158" s="44" t="s">
        <v>32</v>
      </c>
      <c r="D158" s="43">
        <v>425510</v>
      </c>
      <c r="E158" s="44" t="s">
        <v>46</v>
      </c>
      <c r="F158" s="43">
        <v>847001</v>
      </c>
      <c r="G158" s="44" t="s">
        <v>24</v>
      </c>
      <c r="H158" s="44" t="s">
        <v>28</v>
      </c>
      <c r="I158" s="45" t="s">
        <v>29</v>
      </c>
      <c r="J158" s="45" t="s">
        <v>48</v>
      </c>
      <c r="K158" s="46" t="s">
        <v>1079</v>
      </c>
      <c r="L158" s="47" t="s">
        <v>1383</v>
      </c>
    </row>
    <row r="159" spans="1:12" ht="14.5" x14ac:dyDescent="0.35">
      <c r="A159" s="47" t="s">
        <v>1359</v>
      </c>
      <c r="B159" s="43">
        <v>8470140</v>
      </c>
      <c r="C159" s="44" t="s">
        <v>231</v>
      </c>
      <c r="D159" s="43">
        <v>425550</v>
      </c>
      <c r="E159" s="44" t="s">
        <v>49</v>
      </c>
      <c r="F159" s="43">
        <v>847001</v>
      </c>
      <c r="G159" s="44" t="s">
        <v>24</v>
      </c>
      <c r="H159" s="44" t="s">
        <v>25</v>
      </c>
      <c r="I159" s="45" t="s">
        <v>26</v>
      </c>
      <c r="J159" s="45" t="s">
        <v>358</v>
      </c>
      <c r="K159" s="46" t="s">
        <v>1079</v>
      </c>
      <c r="L159" s="47" t="s">
        <v>1379</v>
      </c>
    </row>
    <row r="160" spans="1:12" ht="14.5" x14ac:dyDescent="0.35">
      <c r="A160" s="47" t="s">
        <v>1366</v>
      </c>
      <c r="B160" s="43">
        <v>8470230</v>
      </c>
      <c r="C160" s="44" t="s">
        <v>183</v>
      </c>
      <c r="D160" s="43">
        <v>425550</v>
      </c>
      <c r="E160" s="44" t="s">
        <v>49</v>
      </c>
      <c r="F160" s="43">
        <v>847001</v>
      </c>
      <c r="G160" s="44" t="s">
        <v>24</v>
      </c>
      <c r="H160" s="44" t="s">
        <v>25</v>
      </c>
      <c r="I160" s="45" t="s">
        <v>26</v>
      </c>
      <c r="J160" s="45" t="s">
        <v>359</v>
      </c>
      <c r="K160" s="46" t="s">
        <v>1079</v>
      </c>
      <c r="L160" s="47" t="s">
        <v>1379</v>
      </c>
    </row>
    <row r="161" spans="1:12" ht="14.5" x14ac:dyDescent="0.35">
      <c r="A161" s="47" t="s">
        <v>1366</v>
      </c>
      <c r="B161" s="43">
        <v>8470230</v>
      </c>
      <c r="C161" s="44" t="s">
        <v>183</v>
      </c>
      <c r="D161" s="43">
        <v>425550</v>
      </c>
      <c r="E161" s="44" t="s">
        <v>49</v>
      </c>
      <c r="F161" s="43">
        <v>847001</v>
      </c>
      <c r="G161" s="44" t="s">
        <v>24</v>
      </c>
      <c r="H161" s="44" t="s">
        <v>28</v>
      </c>
      <c r="I161" s="45" t="s">
        <v>29</v>
      </c>
      <c r="J161" s="45" t="s">
        <v>360</v>
      </c>
      <c r="K161" s="46" t="s">
        <v>1079</v>
      </c>
      <c r="L161" s="47" t="s">
        <v>1379</v>
      </c>
    </row>
    <row r="162" spans="1:12" ht="14.5" x14ac:dyDescent="0.35">
      <c r="A162" s="47" t="s">
        <v>1357</v>
      </c>
      <c r="B162" s="43">
        <v>8470405</v>
      </c>
      <c r="C162" s="44" t="s">
        <v>270</v>
      </c>
      <c r="D162" s="43">
        <v>425550</v>
      </c>
      <c r="E162" s="44" t="s">
        <v>49</v>
      </c>
      <c r="F162" s="43">
        <v>847001</v>
      </c>
      <c r="G162" s="44" t="s">
        <v>24</v>
      </c>
      <c r="H162" s="44" t="s">
        <v>25</v>
      </c>
      <c r="I162" s="45" t="s">
        <v>26</v>
      </c>
      <c r="J162" s="45" t="s">
        <v>361</v>
      </c>
      <c r="K162" s="46" t="s">
        <v>1079</v>
      </c>
      <c r="L162" s="47" t="s">
        <v>1379</v>
      </c>
    </row>
    <row r="163" spans="1:12" ht="14.5" x14ac:dyDescent="0.35">
      <c r="A163" s="47" t="s">
        <v>1357</v>
      </c>
      <c r="B163" s="43">
        <v>8470415</v>
      </c>
      <c r="C163" s="44" t="s">
        <v>362</v>
      </c>
      <c r="D163" s="43">
        <v>425550</v>
      </c>
      <c r="E163" s="44" t="s">
        <v>49</v>
      </c>
      <c r="F163" s="43">
        <v>847001</v>
      </c>
      <c r="G163" s="44" t="s">
        <v>24</v>
      </c>
      <c r="H163" s="44" t="s">
        <v>25</v>
      </c>
      <c r="I163" s="45" t="s">
        <v>26</v>
      </c>
      <c r="J163" s="45" t="s">
        <v>363</v>
      </c>
      <c r="K163" s="46" t="s">
        <v>1079</v>
      </c>
      <c r="L163" s="47" t="s">
        <v>1379</v>
      </c>
    </row>
    <row r="164" spans="1:12" ht="14.5" x14ac:dyDescent="0.35">
      <c r="A164" s="47" t="s">
        <v>1357</v>
      </c>
      <c r="B164" s="43">
        <v>8470435</v>
      </c>
      <c r="C164" s="44" t="s">
        <v>364</v>
      </c>
      <c r="D164" s="43">
        <v>425550</v>
      </c>
      <c r="E164" s="44" t="s">
        <v>49</v>
      </c>
      <c r="F164" s="43">
        <v>847001</v>
      </c>
      <c r="G164" s="44" t="s">
        <v>24</v>
      </c>
      <c r="H164" s="44" t="s">
        <v>25</v>
      </c>
      <c r="I164" s="45" t="s">
        <v>26</v>
      </c>
      <c r="J164" s="45" t="s">
        <v>365</v>
      </c>
      <c r="K164" s="46" t="s">
        <v>1079</v>
      </c>
      <c r="L164" s="47" t="s">
        <v>1379</v>
      </c>
    </row>
    <row r="165" spans="1:12" ht="14.5" x14ac:dyDescent="0.35">
      <c r="A165" s="47" t="s">
        <v>1371</v>
      </c>
      <c r="B165" s="43">
        <v>8471305</v>
      </c>
      <c r="C165" s="44" t="s">
        <v>32</v>
      </c>
      <c r="D165" s="43">
        <v>425550</v>
      </c>
      <c r="E165" s="44" t="s">
        <v>49</v>
      </c>
      <c r="F165" s="43">
        <v>847001</v>
      </c>
      <c r="G165" s="44" t="s">
        <v>24</v>
      </c>
      <c r="H165" s="44" t="s">
        <v>25</v>
      </c>
      <c r="I165" s="45" t="s">
        <v>26</v>
      </c>
      <c r="J165" s="45" t="s">
        <v>50</v>
      </c>
      <c r="K165" s="46" t="s">
        <v>1079</v>
      </c>
      <c r="L165" s="47" t="s">
        <v>1379</v>
      </c>
    </row>
    <row r="166" spans="1:12" ht="14.5" x14ac:dyDescent="0.35">
      <c r="A166" s="47" t="s">
        <v>1363</v>
      </c>
      <c r="B166" s="43">
        <v>8470305</v>
      </c>
      <c r="C166" s="44" t="s">
        <v>193</v>
      </c>
      <c r="D166" s="43">
        <v>425720</v>
      </c>
      <c r="E166" s="44" t="s">
        <v>51</v>
      </c>
      <c r="F166" s="43">
        <v>847001</v>
      </c>
      <c r="G166" s="44" t="s">
        <v>24</v>
      </c>
      <c r="H166" s="44" t="s">
        <v>25</v>
      </c>
      <c r="I166" s="45" t="s">
        <v>26</v>
      </c>
      <c r="J166" s="45" t="s">
        <v>366</v>
      </c>
      <c r="K166" s="46" t="s">
        <v>90</v>
      </c>
      <c r="L166" s="47" t="s">
        <v>1379</v>
      </c>
    </row>
    <row r="167" spans="1:12" ht="14.5" x14ac:dyDescent="0.35">
      <c r="A167" s="47" t="s">
        <v>1360</v>
      </c>
      <c r="B167" s="43">
        <v>8471010</v>
      </c>
      <c r="C167" s="44" t="s">
        <v>367</v>
      </c>
      <c r="D167" s="43">
        <v>425720</v>
      </c>
      <c r="E167" s="44" t="s">
        <v>51</v>
      </c>
      <c r="F167" s="43">
        <v>847001</v>
      </c>
      <c r="G167" s="44" t="s">
        <v>24</v>
      </c>
      <c r="H167" s="44" t="s">
        <v>25</v>
      </c>
      <c r="I167" s="45" t="s">
        <v>26</v>
      </c>
      <c r="J167" s="45" t="s">
        <v>368</v>
      </c>
      <c r="K167" s="46" t="s">
        <v>90</v>
      </c>
      <c r="L167" s="47" t="s">
        <v>1379</v>
      </c>
    </row>
    <row r="168" spans="1:12" ht="14.5" x14ac:dyDescent="0.35">
      <c r="A168" s="47" t="s">
        <v>1365</v>
      </c>
      <c r="B168" s="43">
        <v>8471240</v>
      </c>
      <c r="C168" s="44" t="s">
        <v>346</v>
      </c>
      <c r="D168" s="43">
        <v>425720</v>
      </c>
      <c r="E168" s="44" t="s">
        <v>51</v>
      </c>
      <c r="F168" s="43">
        <v>847001</v>
      </c>
      <c r="G168" s="44" t="s">
        <v>24</v>
      </c>
      <c r="H168" s="44" t="s">
        <v>25</v>
      </c>
      <c r="I168" s="45" t="s">
        <v>26</v>
      </c>
      <c r="J168" s="45" t="s">
        <v>369</v>
      </c>
      <c r="K168" s="46" t="s">
        <v>90</v>
      </c>
      <c r="L168" s="47" t="s">
        <v>1379</v>
      </c>
    </row>
    <row r="169" spans="1:12" ht="14.5" x14ac:dyDescent="0.35">
      <c r="A169" s="47" t="s">
        <v>1365</v>
      </c>
      <c r="B169" s="43">
        <v>8471250</v>
      </c>
      <c r="C169" s="44" t="s">
        <v>349</v>
      </c>
      <c r="D169" s="43">
        <v>425720</v>
      </c>
      <c r="E169" s="44" t="s">
        <v>51</v>
      </c>
      <c r="F169" s="43">
        <v>847001</v>
      </c>
      <c r="G169" s="44" t="s">
        <v>24</v>
      </c>
      <c r="H169" s="44" t="s">
        <v>25</v>
      </c>
      <c r="I169" s="45" t="s">
        <v>26</v>
      </c>
      <c r="J169" s="45" t="s">
        <v>370</v>
      </c>
      <c r="K169" s="46" t="s">
        <v>90</v>
      </c>
      <c r="L169" s="47" t="s">
        <v>1379</v>
      </c>
    </row>
    <row r="170" spans="1:12" ht="14.5" x14ac:dyDescent="0.35">
      <c r="A170" s="47" t="s">
        <v>1365</v>
      </c>
      <c r="B170" s="43">
        <v>8471260</v>
      </c>
      <c r="C170" s="44" t="s">
        <v>178</v>
      </c>
      <c r="D170" s="43">
        <v>425720</v>
      </c>
      <c r="E170" s="44" t="s">
        <v>51</v>
      </c>
      <c r="F170" s="43">
        <v>847001</v>
      </c>
      <c r="G170" s="44" t="s">
        <v>24</v>
      </c>
      <c r="H170" s="44" t="s">
        <v>25</v>
      </c>
      <c r="I170" s="45" t="s">
        <v>26</v>
      </c>
      <c r="J170" s="45" t="s">
        <v>371</v>
      </c>
      <c r="K170" s="46" t="s">
        <v>90</v>
      </c>
      <c r="L170" s="47" t="s">
        <v>1379</v>
      </c>
    </row>
    <row r="171" spans="1:12" ht="14.5" x14ac:dyDescent="0.35">
      <c r="A171" s="47" t="s">
        <v>1371</v>
      </c>
      <c r="B171" s="43">
        <v>8471305</v>
      </c>
      <c r="C171" s="44" t="s">
        <v>32</v>
      </c>
      <c r="D171" s="43">
        <v>425720</v>
      </c>
      <c r="E171" s="44" t="s">
        <v>51</v>
      </c>
      <c r="F171" s="43">
        <v>847001</v>
      </c>
      <c r="G171" s="44" t="s">
        <v>24</v>
      </c>
      <c r="H171" s="44" t="s">
        <v>25</v>
      </c>
      <c r="I171" s="45" t="s">
        <v>26</v>
      </c>
      <c r="J171" s="45" t="s">
        <v>52</v>
      </c>
      <c r="K171" s="46" t="s">
        <v>90</v>
      </c>
      <c r="L171" s="47" t="s">
        <v>1379</v>
      </c>
    </row>
    <row r="172" spans="1:12" ht="14.5" x14ac:dyDescent="0.35">
      <c r="A172" s="47" t="s">
        <v>1371</v>
      </c>
      <c r="B172" s="43">
        <v>8471305</v>
      </c>
      <c r="C172" s="44" t="s">
        <v>32</v>
      </c>
      <c r="D172" s="43">
        <v>425720</v>
      </c>
      <c r="E172" s="44" t="s">
        <v>51</v>
      </c>
      <c r="F172" s="43">
        <v>847001</v>
      </c>
      <c r="G172" s="44" t="s">
        <v>24</v>
      </c>
      <c r="H172" s="44" t="s">
        <v>28</v>
      </c>
      <c r="I172" s="45" t="s">
        <v>29</v>
      </c>
      <c r="J172" s="45" t="s">
        <v>53</v>
      </c>
      <c r="K172" s="46" t="s">
        <v>90</v>
      </c>
      <c r="L172" s="47" t="s">
        <v>1379</v>
      </c>
    </row>
    <row r="173" spans="1:12" ht="14.5" x14ac:dyDescent="0.35">
      <c r="A173" s="47" t="s">
        <v>1366</v>
      </c>
      <c r="B173" s="43">
        <v>8470230</v>
      </c>
      <c r="C173" s="44" t="s">
        <v>183</v>
      </c>
      <c r="D173" s="43">
        <v>425740</v>
      </c>
      <c r="E173" s="44" t="s">
        <v>372</v>
      </c>
      <c r="F173" s="43">
        <v>847001</v>
      </c>
      <c r="G173" s="44" t="s">
        <v>24</v>
      </c>
      <c r="H173" s="44" t="s">
        <v>28</v>
      </c>
      <c r="I173" s="45" t="s">
        <v>29</v>
      </c>
      <c r="J173" s="45" t="s">
        <v>373</v>
      </c>
      <c r="K173" s="46">
        <v>0</v>
      </c>
      <c r="L173" s="47" t="s">
        <v>1379</v>
      </c>
    </row>
    <row r="174" spans="1:12" ht="14.5" x14ac:dyDescent="0.35">
      <c r="A174" s="47" t="s">
        <v>1366</v>
      </c>
      <c r="B174" s="43">
        <v>8470230</v>
      </c>
      <c r="C174" s="44" t="s">
        <v>183</v>
      </c>
      <c r="D174" s="43">
        <v>425741</v>
      </c>
      <c r="E174" s="44" t="s">
        <v>54</v>
      </c>
      <c r="F174" s="43">
        <v>847001</v>
      </c>
      <c r="G174" s="44" t="s">
        <v>24</v>
      </c>
      <c r="H174" s="44" t="s">
        <v>25</v>
      </c>
      <c r="I174" s="45" t="s">
        <v>26</v>
      </c>
      <c r="J174" s="45" t="s">
        <v>374</v>
      </c>
      <c r="K174" s="46" t="s">
        <v>90</v>
      </c>
      <c r="L174" s="47" t="s">
        <v>1379</v>
      </c>
    </row>
    <row r="175" spans="1:12" ht="14.5" x14ac:dyDescent="0.35">
      <c r="A175" s="47" t="s">
        <v>1366</v>
      </c>
      <c r="B175" s="43">
        <v>8470230</v>
      </c>
      <c r="C175" s="44" t="s">
        <v>183</v>
      </c>
      <c r="D175" s="43">
        <v>425741</v>
      </c>
      <c r="E175" s="44" t="s">
        <v>54</v>
      </c>
      <c r="F175" s="43">
        <v>847001</v>
      </c>
      <c r="G175" s="44" t="s">
        <v>24</v>
      </c>
      <c r="H175" s="44" t="s">
        <v>28</v>
      </c>
      <c r="I175" s="45" t="s">
        <v>29</v>
      </c>
      <c r="J175" s="45" t="s">
        <v>375</v>
      </c>
      <c r="K175" s="46" t="s">
        <v>90</v>
      </c>
      <c r="L175" s="47" t="s">
        <v>1379</v>
      </c>
    </row>
    <row r="176" spans="1:12" ht="14.5" x14ac:dyDescent="0.35">
      <c r="A176" s="47" t="s">
        <v>1367</v>
      </c>
      <c r="B176" s="43">
        <v>8470730</v>
      </c>
      <c r="C176" s="44" t="s">
        <v>223</v>
      </c>
      <c r="D176" s="43">
        <v>425741</v>
      </c>
      <c r="E176" s="44" t="s">
        <v>54</v>
      </c>
      <c r="F176" s="43">
        <v>847001</v>
      </c>
      <c r="G176" s="44" t="s">
        <v>24</v>
      </c>
      <c r="H176" s="44" t="s">
        <v>28</v>
      </c>
      <c r="I176" s="45" t="s">
        <v>29</v>
      </c>
      <c r="J176" s="45" t="s">
        <v>376</v>
      </c>
      <c r="K176" s="46" t="s">
        <v>90</v>
      </c>
      <c r="L176" s="47" t="s">
        <v>1379</v>
      </c>
    </row>
    <row r="177" spans="1:12" ht="14.5" x14ac:dyDescent="0.35">
      <c r="A177" s="47" t="s">
        <v>1365</v>
      </c>
      <c r="B177" s="43">
        <v>8471210</v>
      </c>
      <c r="C177" s="44" t="s">
        <v>176</v>
      </c>
      <c r="D177" s="43">
        <v>425741</v>
      </c>
      <c r="E177" s="44" t="s">
        <v>54</v>
      </c>
      <c r="F177" s="43">
        <v>847001</v>
      </c>
      <c r="G177" s="44" t="s">
        <v>24</v>
      </c>
      <c r="H177" s="44" t="s">
        <v>25</v>
      </c>
      <c r="I177" s="45" t="s">
        <v>26</v>
      </c>
      <c r="J177" s="45" t="s">
        <v>377</v>
      </c>
      <c r="K177" s="46" t="s">
        <v>90</v>
      </c>
      <c r="L177" s="47" t="s">
        <v>1379</v>
      </c>
    </row>
    <row r="178" spans="1:12" ht="14.5" x14ac:dyDescent="0.35">
      <c r="A178" s="47" t="s">
        <v>1365</v>
      </c>
      <c r="B178" s="43">
        <v>8471220</v>
      </c>
      <c r="C178" s="44" t="s">
        <v>344</v>
      </c>
      <c r="D178" s="43">
        <v>425741</v>
      </c>
      <c r="E178" s="44" t="s">
        <v>54</v>
      </c>
      <c r="F178" s="43">
        <v>847001</v>
      </c>
      <c r="G178" s="44" t="s">
        <v>24</v>
      </c>
      <c r="H178" s="44" t="s">
        <v>25</v>
      </c>
      <c r="I178" s="45" t="s">
        <v>26</v>
      </c>
      <c r="J178" s="45" t="s">
        <v>378</v>
      </c>
      <c r="K178" s="46" t="s">
        <v>90</v>
      </c>
      <c r="L178" s="47" t="s">
        <v>1379</v>
      </c>
    </row>
    <row r="179" spans="1:12" ht="14.5" x14ac:dyDescent="0.35">
      <c r="A179" s="47" t="s">
        <v>1365</v>
      </c>
      <c r="B179" s="43">
        <v>8471220</v>
      </c>
      <c r="C179" s="44" t="s">
        <v>344</v>
      </c>
      <c r="D179" s="43">
        <v>425741</v>
      </c>
      <c r="E179" s="44" t="s">
        <v>54</v>
      </c>
      <c r="F179" s="43">
        <v>847001</v>
      </c>
      <c r="G179" s="44" t="s">
        <v>24</v>
      </c>
      <c r="H179" s="44" t="s">
        <v>28</v>
      </c>
      <c r="I179" s="45" t="s">
        <v>29</v>
      </c>
      <c r="J179" s="45" t="s">
        <v>379</v>
      </c>
      <c r="K179" s="46" t="s">
        <v>90</v>
      </c>
      <c r="L179" s="47" t="s">
        <v>1379</v>
      </c>
    </row>
    <row r="180" spans="1:12" ht="14.5" x14ac:dyDescent="0.35">
      <c r="A180" s="47" t="s">
        <v>1371</v>
      </c>
      <c r="B180" s="43">
        <v>8471305</v>
      </c>
      <c r="C180" s="44" t="s">
        <v>32</v>
      </c>
      <c r="D180" s="43">
        <v>425741</v>
      </c>
      <c r="E180" s="44" t="s">
        <v>54</v>
      </c>
      <c r="F180" s="43">
        <v>847001</v>
      </c>
      <c r="G180" s="44" t="s">
        <v>24</v>
      </c>
      <c r="H180" s="44" t="s">
        <v>25</v>
      </c>
      <c r="I180" s="45" t="s">
        <v>26</v>
      </c>
      <c r="J180" s="45" t="s">
        <v>55</v>
      </c>
      <c r="K180" s="46" t="s">
        <v>90</v>
      </c>
      <c r="L180" s="47" t="s">
        <v>1379</v>
      </c>
    </row>
    <row r="181" spans="1:12" ht="14.5" x14ac:dyDescent="0.35">
      <c r="A181" s="47" t="s">
        <v>1371</v>
      </c>
      <c r="B181" s="43">
        <v>8471305</v>
      </c>
      <c r="C181" s="44" t="s">
        <v>32</v>
      </c>
      <c r="D181" s="43">
        <v>425741</v>
      </c>
      <c r="E181" s="44" t="s">
        <v>54</v>
      </c>
      <c r="F181" s="43">
        <v>847001</v>
      </c>
      <c r="G181" s="44" t="s">
        <v>24</v>
      </c>
      <c r="H181" s="44" t="s">
        <v>28</v>
      </c>
      <c r="I181" s="45" t="s">
        <v>29</v>
      </c>
      <c r="J181" s="45" t="s">
        <v>56</v>
      </c>
      <c r="K181" s="46" t="s">
        <v>90</v>
      </c>
      <c r="L181" s="47" t="s">
        <v>1379</v>
      </c>
    </row>
    <row r="182" spans="1:12" ht="14.5" x14ac:dyDescent="0.35">
      <c r="A182" s="47" t="s">
        <v>1366</v>
      </c>
      <c r="B182" s="43">
        <v>8470230</v>
      </c>
      <c r="C182" s="44" t="s">
        <v>183</v>
      </c>
      <c r="D182" s="43">
        <v>425742</v>
      </c>
      <c r="E182" s="44" t="s">
        <v>57</v>
      </c>
      <c r="F182" s="43">
        <v>847001</v>
      </c>
      <c r="G182" s="44" t="s">
        <v>24</v>
      </c>
      <c r="H182" s="44" t="s">
        <v>25</v>
      </c>
      <c r="I182" s="45" t="s">
        <v>26</v>
      </c>
      <c r="J182" s="45" t="s">
        <v>380</v>
      </c>
      <c r="K182" s="46" t="s">
        <v>31</v>
      </c>
      <c r="L182" s="47" t="s">
        <v>1379</v>
      </c>
    </row>
    <row r="183" spans="1:12" ht="14.5" x14ac:dyDescent="0.35">
      <c r="A183" s="47" t="s">
        <v>1366</v>
      </c>
      <c r="B183" s="43">
        <v>8470230</v>
      </c>
      <c r="C183" s="44" t="s">
        <v>183</v>
      </c>
      <c r="D183" s="43">
        <v>425742</v>
      </c>
      <c r="E183" s="44" t="s">
        <v>57</v>
      </c>
      <c r="F183" s="43">
        <v>847001</v>
      </c>
      <c r="G183" s="44" t="s">
        <v>24</v>
      </c>
      <c r="H183" s="44" t="s">
        <v>28</v>
      </c>
      <c r="I183" s="45" t="s">
        <v>29</v>
      </c>
      <c r="J183" s="45" t="s">
        <v>381</v>
      </c>
      <c r="K183" s="46" t="s">
        <v>31</v>
      </c>
      <c r="L183" s="47" t="s">
        <v>1379</v>
      </c>
    </row>
    <row r="184" spans="1:12" ht="14.5" x14ac:dyDescent="0.35">
      <c r="A184" s="47" t="s">
        <v>1365</v>
      </c>
      <c r="B184" s="43">
        <v>8471230</v>
      </c>
      <c r="C184" s="44" t="s">
        <v>382</v>
      </c>
      <c r="D184" s="43">
        <v>425742</v>
      </c>
      <c r="E184" s="44" t="s">
        <v>57</v>
      </c>
      <c r="F184" s="43">
        <v>847001</v>
      </c>
      <c r="G184" s="44" t="s">
        <v>24</v>
      </c>
      <c r="H184" s="44" t="s">
        <v>25</v>
      </c>
      <c r="I184" s="45" t="s">
        <v>26</v>
      </c>
      <c r="J184" s="45" t="s">
        <v>383</v>
      </c>
      <c r="K184" s="46" t="s">
        <v>31</v>
      </c>
      <c r="L184" s="47" t="s">
        <v>1379</v>
      </c>
    </row>
    <row r="185" spans="1:12" ht="14.5" x14ac:dyDescent="0.35">
      <c r="A185" s="47" t="s">
        <v>1365</v>
      </c>
      <c r="B185" s="43">
        <v>8471230</v>
      </c>
      <c r="C185" s="44" t="s">
        <v>382</v>
      </c>
      <c r="D185" s="43">
        <v>425742</v>
      </c>
      <c r="E185" s="44" t="s">
        <v>57</v>
      </c>
      <c r="F185" s="43">
        <v>847001</v>
      </c>
      <c r="G185" s="44" t="s">
        <v>24</v>
      </c>
      <c r="H185" s="44" t="s">
        <v>28</v>
      </c>
      <c r="I185" s="45" t="s">
        <v>29</v>
      </c>
      <c r="J185" s="45" t="s">
        <v>384</v>
      </c>
      <c r="K185" s="46" t="s">
        <v>31</v>
      </c>
      <c r="L185" s="47" t="s">
        <v>1379</v>
      </c>
    </row>
    <row r="186" spans="1:12" ht="14.5" x14ac:dyDescent="0.35">
      <c r="A186" s="47" t="s">
        <v>1371</v>
      </c>
      <c r="B186" s="43">
        <v>8471305</v>
      </c>
      <c r="C186" s="44" t="s">
        <v>32</v>
      </c>
      <c r="D186" s="43">
        <v>425742</v>
      </c>
      <c r="E186" s="44" t="s">
        <v>57</v>
      </c>
      <c r="F186" s="43">
        <v>847001</v>
      </c>
      <c r="G186" s="44" t="s">
        <v>24</v>
      </c>
      <c r="H186" s="44" t="s">
        <v>25</v>
      </c>
      <c r="I186" s="45" t="s">
        <v>26</v>
      </c>
      <c r="J186" s="45" t="s">
        <v>58</v>
      </c>
      <c r="K186" s="46" t="s">
        <v>31</v>
      </c>
      <c r="L186" s="47" t="s">
        <v>1379</v>
      </c>
    </row>
    <row r="187" spans="1:12" ht="14.5" x14ac:dyDescent="0.35">
      <c r="A187" s="47" t="s">
        <v>1366</v>
      </c>
      <c r="B187" s="43">
        <v>8470230</v>
      </c>
      <c r="C187" s="44" t="s">
        <v>183</v>
      </c>
      <c r="D187" s="43">
        <v>425743</v>
      </c>
      <c r="E187" s="44" t="s">
        <v>385</v>
      </c>
      <c r="F187" s="43">
        <v>847001</v>
      </c>
      <c r="G187" s="44" t="s">
        <v>24</v>
      </c>
      <c r="H187" s="44" t="s">
        <v>25</v>
      </c>
      <c r="I187" s="45" t="s">
        <v>26</v>
      </c>
      <c r="J187" s="45" t="s">
        <v>386</v>
      </c>
      <c r="K187" s="46" t="s">
        <v>90</v>
      </c>
      <c r="L187" s="47" t="s">
        <v>1379</v>
      </c>
    </row>
    <row r="188" spans="1:12" ht="14.5" x14ac:dyDescent="0.35">
      <c r="A188" s="47" t="s">
        <v>1366</v>
      </c>
      <c r="B188" s="43">
        <v>8470230</v>
      </c>
      <c r="C188" s="44" t="s">
        <v>183</v>
      </c>
      <c r="D188" s="43">
        <v>425743</v>
      </c>
      <c r="E188" s="44" t="s">
        <v>385</v>
      </c>
      <c r="F188" s="43">
        <v>847001</v>
      </c>
      <c r="G188" s="44" t="s">
        <v>24</v>
      </c>
      <c r="H188" s="44" t="s">
        <v>28</v>
      </c>
      <c r="I188" s="45" t="s">
        <v>29</v>
      </c>
      <c r="J188" s="45" t="s">
        <v>387</v>
      </c>
      <c r="K188" s="46" t="s">
        <v>90</v>
      </c>
      <c r="L188" s="47" t="s">
        <v>1379</v>
      </c>
    </row>
    <row r="189" spans="1:12" ht="14.5" x14ac:dyDescent="0.35">
      <c r="A189" s="47" t="s">
        <v>1366</v>
      </c>
      <c r="B189" s="43">
        <v>8470230</v>
      </c>
      <c r="C189" s="44" t="s">
        <v>183</v>
      </c>
      <c r="D189" s="43">
        <v>425744</v>
      </c>
      <c r="E189" s="44" t="s">
        <v>388</v>
      </c>
      <c r="F189" s="43">
        <v>847001</v>
      </c>
      <c r="G189" s="44" t="s">
        <v>24</v>
      </c>
      <c r="H189" s="44" t="s">
        <v>28</v>
      </c>
      <c r="I189" s="45" t="s">
        <v>29</v>
      </c>
      <c r="J189" s="45" t="s">
        <v>389</v>
      </c>
      <c r="K189" s="46" t="s">
        <v>90</v>
      </c>
      <c r="L189" s="47" t="s">
        <v>1379</v>
      </c>
    </row>
    <row r="190" spans="1:12" ht="14.5" x14ac:dyDescent="0.35">
      <c r="A190" s="47" t="s">
        <v>1366</v>
      </c>
      <c r="B190" s="43">
        <v>8470230</v>
      </c>
      <c r="C190" s="44" t="s">
        <v>183</v>
      </c>
      <c r="D190" s="43">
        <v>425745</v>
      </c>
      <c r="E190" s="44" t="s">
        <v>59</v>
      </c>
      <c r="F190" s="43">
        <v>847001</v>
      </c>
      <c r="G190" s="44" t="s">
        <v>24</v>
      </c>
      <c r="H190" s="44" t="s">
        <v>25</v>
      </c>
      <c r="I190" s="45" t="s">
        <v>26</v>
      </c>
      <c r="J190" s="45" t="s">
        <v>390</v>
      </c>
      <c r="K190" s="46" t="s">
        <v>90</v>
      </c>
      <c r="L190" s="47" t="s">
        <v>1379</v>
      </c>
    </row>
    <row r="191" spans="1:12" ht="14.5" x14ac:dyDescent="0.35">
      <c r="A191" s="47" t="s">
        <v>1366</v>
      </c>
      <c r="B191" s="43">
        <v>8470230</v>
      </c>
      <c r="C191" s="44" t="s">
        <v>183</v>
      </c>
      <c r="D191" s="43">
        <v>425745</v>
      </c>
      <c r="E191" s="44" t="s">
        <v>59</v>
      </c>
      <c r="F191" s="43">
        <v>847001</v>
      </c>
      <c r="G191" s="44" t="s">
        <v>24</v>
      </c>
      <c r="H191" s="44" t="s">
        <v>28</v>
      </c>
      <c r="I191" s="45" t="s">
        <v>29</v>
      </c>
      <c r="J191" s="45" t="s">
        <v>391</v>
      </c>
      <c r="K191" s="46" t="s">
        <v>90</v>
      </c>
      <c r="L191" s="47" t="s">
        <v>1379</v>
      </c>
    </row>
    <row r="192" spans="1:12" ht="14.5" x14ac:dyDescent="0.35">
      <c r="A192" s="47" t="s">
        <v>1365</v>
      </c>
      <c r="B192" s="43">
        <v>8471210</v>
      </c>
      <c r="C192" s="44" t="s">
        <v>176</v>
      </c>
      <c r="D192" s="43">
        <v>425745</v>
      </c>
      <c r="E192" s="44" t="s">
        <v>59</v>
      </c>
      <c r="F192" s="43">
        <v>847001</v>
      </c>
      <c r="G192" s="44" t="s">
        <v>24</v>
      </c>
      <c r="H192" s="44" t="s">
        <v>28</v>
      </c>
      <c r="I192" s="45" t="s">
        <v>29</v>
      </c>
      <c r="J192" s="45" t="s">
        <v>392</v>
      </c>
      <c r="K192" s="46" t="s">
        <v>90</v>
      </c>
      <c r="L192" s="47" t="s">
        <v>1379</v>
      </c>
    </row>
    <row r="193" spans="1:12" ht="14.5" x14ac:dyDescent="0.35">
      <c r="A193" s="47" t="s">
        <v>1371</v>
      </c>
      <c r="B193" s="43">
        <v>8471305</v>
      </c>
      <c r="C193" s="44" t="s">
        <v>32</v>
      </c>
      <c r="D193" s="43">
        <v>425745</v>
      </c>
      <c r="E193" s="44" t="s">
        <v>59</v>
      </c>
      <c r="F193" s="43">
        <v>847001</v>
      </c>
      <c r="G193" s="44" t="s">
        <v>24</v>
      </c>
      <c r="H193" s="44" t="s">
        <v>25</v>
      </c>
      <c r="I193" s="45" t="s">
        <v>26</v>
      </c>
      <c r="J193" s="45" t="s">
        <v>60</v>
      </c>
      <c r="K193" s="46" t="s">
        <v>90</v>
      </c>
      <c r="L193" s="47" t="s">
        <v>1379</v>
      </c>
    </row>
    <row r="194" spans="1:12" ht="14.5" x14ac:dyDescent="0.35">
      <c r="A194" s="47" t="s">
        <v>1365</v>
      </c>
      <c r="B194" s="43">
        <v>8471210</v>
      </c>
      <c r="C194" s="44" t="s">
        <v>176</v>
      </c>
      <c r="D194" s="43">
        <v>425746</v>
      </c>
      <c r="E194" s="44" t="s">
        <v>393</v>
      </c>
      <c r="F194" s="43">
        <v>847001</v>
      </c>
      <c r="G194" s="44" t="s">
        <v>24</v>
      </c>
      <c r="H194" s="44" t="s">
        <v>28</v>
      </c>
      <c r="I194" s="45" t="s">
        <v>29</v>
      </c>
      <c r="J194" s="45" t="s">
        <v>394</v>
      </c>
      <c r="K194" s="46" t="s">
        <v>90</v>
      </c>
      <c r="L194" s="47" t="s">
        <v>1379</v>
      </c>
    </row>
    <row r="195" spans="1:12" ht="14.5" x14ac:dyDescent="0.35">
      <c r="A195" s="47" t="s">
        <v>1365</v>
      </c>
      <c r="B195" s="43">
        <v>8471260</v>
      </c>
      <c r="C195" s="44" t="s">
        <v>178</v>
      </c>
      <c r="D195" s="43">
        <v>425746</v>
      </c>
      <c r="E195" s="44" t="s">
        <v>393</v>
      </c>
      <c r="F195" s="43">
        <v>847001</v>
      </c>
      <c r="G195" s="44" t="s">
        <v>24</v>
      </c>
      <c r="H195" s="44" t="s">
        <v>25</v>
      </c>
      <c r="I195" s="45" t="s">
        <v>26</v>
      </c>
      <c r="J195" s="45" t="s">
        <v>395</v>
      </c>
      <c r="K195" s="46" t="s">
        <v>90</v>
      </c>
      <c r="L195" s="47" t="s">
        <v>1379</v>
      </c>
    </row>
    <row r="196" spans="1:12" ht="14.5" x14ac:dyDescent="0.35">
      <c r="A196" s="47" t="s">
        <v>1365</v>
      </c>
      <c r="B196" s="43">
        <v>8471210</v>
      </c>
      <c r="C196" s="44" t="s">
        <v>176</v>
      </c>
      <c r="D196" s="43">
        <v>425747</v>
      </c>
      <c r="E196" s="44" t="s">
        <v>396</v>
      </c>
      <c r="F196" s="43">
        <v>847001</v>
      </c>
      <c r="G196" s="44" t="s">
        <v>24</v>
      </c>
      <c r="H196" s="44" t="s">
        <v>28</v>
      </c>
      <c r="I196" s="45" t="s">
        <v>29</v>
      </c>
      <c r="J196" s="45" t="s">
        <v>397</v>
      </c>
      <c r="K196" s="46" t="s">
        <v>90</v>
      </c>
      <c r="L196" s="47" t="s">
        <v>1379</v>
      </c>
    </row>
    <row r="197" spans="1:12" ht="14.5" x14ac:dyDescent="0.35">
      <c r="A197" s="47" t="s">
        <v>1365</v>
      </c>
      <c r="B197" s="43">
        <v>8471260</v>
      </c>
      <c r="C197" s="44" t="s">
        <v>178</v>
      </c>
      <c r="D197" s="43">
        <v>425747</v>
      </c>
      <c r="E197" s="44" t="s">
        <v>396</v>
      </c>
      <c r="F197" s="43">
        <v>847001</v>
      </c>
      <c r="G197" s="44" t="s">
        <v>24</v>
      </c>
      <c r="H197" s="44" t="s">
        <v>25</v>
      </c>
      <c r="I197" s="45" t="s">
        <v>26</v>
      </c>
      <c r="J197" s="45" t="s">
        <v>398</v>
      </c>
      <c r="K197" s="46" t="s">
        <v>90</v>
      </c>
      <c r="L197" s="47" t="s">
        <v>1379</v>
      </c>
    </row>
    <row r="198" spans="1:12" ht="14.5" x14ac:dyDescent="0.35">
      <c r="A198" s="47" t="s">
        <v>1366</v>
      </c>
      <c r="B198" s="43">
        <v>8470230</v>
      </c>
      <c r="C198" s="44" t="s">
        <v>183</v>
      </c>
      <c r="D198" s="43">
        <v>425749</v>
      </c>
      <c r="E198" s="44" t="s">
        <v>61</v>
      </c>
      <c r="F198" s="43">
        <v>847001</v>
      </c>
      <c r="G198" s="44" t="s">
        <v>24</v>
      </c>
      <c r="H198" s="44" t="s">
        <v>25</v>
      </c>
      <c r="I198" s="45" t="s">
        <v>26</v>
      </c>
      <c r="J198" s="45" t="s">
        <v>399</v>
      </c>
      <c r="K198" s="46" t="s">
        <v>90</v>
      </c>
      <c r="L198" s="47" t="s">
        <v>1379</v>
      </c>
    </row>
    <row r="199" spans="1:12" ht="14.5" x14ac:dyDescent="0.35">
      <c r="A199" s="47" t="s">
        <v>1371</v>
      </c>
      <c r="B199" s="43">
        <v>8471305</v>
      </c>
      <c r="C199" s="44" t="s">
        <v>32</v>
      </c>
      <c r="D199" s="43">
        <v>425749</v>
      </c>
      <c r="E199" s="44" t="s">
        <v>61</v>
      </c>
      <c r="F199" s="43">
        <v>847001</v>
      </c>
      <c r="G199" s="44" t="s">
        <v>24</v>
      </c>
      <c r="H199" s="44" t="s">
        <v>25</v>
      </c>
      <c r="I199" s="45" t="s">
        <v>26</v>
      </c>
      <c r="J199" s="45" t="s">
        <v>62</v>
      </c>
      <c r="K199" s="46" t="s">
        <v>90</v>
      </c>
      <c r="L199" s="47" t="s">
        <v>1379</v>
      </c>
    </row>
    <row r="200" spans="1:12" ht="14.5" x14ac:dyDescent="0.35">
      <c r="A200" s="47" t="s">
        <v>1365</v>
      </c>
      <c r="B200" s="43">
        <v>8471240</v>
      </c>
      <c r="C200" s="44" t="s">
        <v>346</v>
      </c>
      <c r="D200" s="43">
        <v>425750</v>
      </c>
      <c r="E200" s="44" t="s">
        <v>63</v>
      </c>
      <c r="F200" s="43">
        <v>847001</v>
      </c>
      <c r="G200" s="44" t="s">
        <v>24</v>
      </c>
      <c r="H200" s="44" t="s">
        <v>25</v>
      </c>
      <c r="I200" s="45" t="s">
        <v>26</v>
      </c>
      <c r="J200" s="45" t="s">
        <v>400</v>
      </c>
      <c r="K200" s="46" t="s">
        <v>90</v>
      </c>
      <c r="L200" s="47" t="s">
        <v>1379</v>
      </c>
    </row>
    <row r="201" spans="1:12" ht="14.5" x14ac:dyDescent="0.35">
      <c r="A201" s="47" t="s">
        <v>1365</v>
      </c>
      <c r="B201" s="43">
        <v>8471250</v>
      </c>
      <c r="C201" s="44" t="s">
        <v>349</v>
      </c>
      <c r="D201" s="43">
        <v>425750</v>
      </c>
      <c r="E201" s="44" t="s">
        <v>63</v>
      </c>
      <c r="F201" s="43">
        <v>847001</v>
      </c>
      <c r="G201" s="44" t="s">
        <v>24</v>
      </c>
      <c r="H201" s="44" t="s">
        <v>28</v>
      </c>
      <c r="I201" s="45" t="s">
        <v>29</v>
      </c>
      <c r="J201" s="45" t="s">
        <v>401</v>
      </c>
      <c r="K201" s="46" t="s">
        <v>90</v>
      </c>
      <c r="L201" s="47" t="s">
        <v>1379</v>
      </c>
    </row>
    <row r="202" spans="1:12" ht="14.5" x14ac:dyDescent="0.35">
      <c r="A202" s="47" t="s">
        <v>1365</v>
      </c>
      <c r="B202" s="43">
        <v>8471260</v>
      </c>
      <c r="C202" s="44" t="s">
        <v>178</v>
      </c>
      <c r="D202" s="43">
        <v>425750</v>
      </c>
      <c r="E202" s="44" t="s">
        <v>63</v>
      </c>
      <c r="F202" s="43">
        <v>847001</v>
      </c>
      <c r="G202" s="44" t="s">
        <v>24</v>
      </c>
      <c r="H202" s="44" t="s">
        <v>25</v>
      </c>
      <c r="I202" s="45" t="s">
        <v>26</v>
      </c>
      <c r="J202" s="45" t="s">
        <v>402</v>
      </c>
      <c r="K202" s="46" t="s">
        <v>90</v>
      </c>
      <c r="L202" s="47" t="s">
        <v>1379</v>
      </c>
    </row>
    <row r="203" spans="1:12" ht="14.5" x14ac:dyDescent="0.35">
      <c r="A203" s="47" t="s">
        <v>1371</v>
      </c>
      <c r="B203" s="43">
        <v>8471305</v>
      </c>
      <c r="C203" s="44" t="s">
        <v>32</v>
      </c>
      <c r="D203" s="43">
        <v>425750</v>
      </c>
      <c r="E203" s="44" t="s">
        <v>63</v>
      </c>
      <c r="F203" s="43">
        <v>847001</v>
      </c>
      <c r="G203" s="44" t="s">
        <v>24</v>
      </c>
      <c r="H203" s="44" t="s">
        <v>25</v>
      </c>
      <c r="I203" s="45" t="s">
        <v>26</v>
      </c>
      <c r="J203" s="45" t="s">
        <v>64</v>
      </c>
      <c r="K203" s="46" t="s">
        <v>90</v>
      </c>
      <c r="L203" s="47" t="s">
        <v>1379</v>
      </c>
    </row>
    <row r="204" spans="1:12" ht="14.5" x14ac:dyDescent="0.35">
      <c r="A204" s="47" t="s">
        <v>1363</v>
      </c>
      <c r="B204" s="43">
        <v>8470310</v>
      </c>
      <c r="C204" s="44" t="s">
        <v>309</v>
      </c>
      <c r="D204" s="43">
        <v>425760</v>
      </c>
      <c r="E204" s="44" t="s">
        <v>65</v>
      </c>
      <c r="F204" s="43">
        <v>847001</v>
      </c>
      <c r="G204" s="44" t="s">
        <v>24</v>
      </c>
      <c r="H204" s="44" t="s">
        <v>25</v>
      </c>
      <c r="I204" s="45" t="s">
        <v>26</v>
      </c>
      <c r="J204" s="45" t="s">
        <v>403</v>
      </c>
      <c r="K204" s="46" t="s">
        <v>90</v>
      </c>
      <c r="L204" s="47" t="s">
        <v>1384</v>
      </c>
    </row>
    <row r="205" spans="1:12" ht="14.5" x14ac:dyDescent="0.35">
      <c r="A205" s="47" t="s">
        <v>1363</v>
      </c>
      <c r="B205" s="43">
        <v>8470315</v>
      </c>
      <c r="C205" s="44" t="s">
        <v>311</v>
      </c>
      <c r="D205" s="43">
        <v>425760</v>
      </c>
      <c r="E205" s="44" t="s">
        <v>65</v>
      </c>
      <c r="F205" s="43">
        <v>847001</v>
      </c>
      <c r="G205" s="44" t="s">
        <v>24</v>
      </c>
      <c r="H205" s="44" t="s">
        <v>25</v>
      </c>
      <c r="I205" s="45" t="s">
        <v>26</v>
      </c>
      <c r="J205" s="45" t="s">
        <v>404</v>
      </c>
      <c r="K205" s="46" t="s">
        <v>90</v>
      </c>
      <c r="L205" s="47" t="s">
        <v>1384</v>
      </c>
    </row>
    <row r="206" spans="1:12" ht="14.5" x14ac:dyDescent="0.35">
      <c r="A206" s="47" t="s">
        <v>1363</v>
      </c>
      <c r="B206" s="43">
        <v>8470325</v>
      </c>
      <c r="C206" s="44" t="s">
        <v>186</v>
      </c>
      <c r="D206" s="43">
        <v>425760</v>
      </c>
      <c r="E206" s="44" t="s">
        <v>65</v>
      </c>
      <c r="F206" s="43">
        <v>847001</v>
      </c>
      <c r="G206" s="44" t="s">
        <v>24</v>
      </c>
      <c r="H206" s="44" t="s">
        <v>25</v>
      </c>
      <c r="I206" s="45" t="s">
        <v>26</v>
      </c>
      <c r="J206" s="45" t="s">
        <v>405</v>
      </c>
      <c r="K206" s="46" t="s">
        <v>90</v>
      </c>
      <c r="L206" s="47" t="s">
        <v>1384</v>
      </c>
    </row>
    <row r="207" spans="1:12" ht="14.5" x14ac:dyDescent="0.35">
      <c r="A207" s="47" t="s">
        <v>1363</v>
      </c>
      <c r="B207" s="43">
        <v>8470330</v>
      </c>
      <c r="C207" s="44" t="s">
        <v>268</v>
      </c>
      <c r="D207" s="43">
        <v>425760</v>
      </c>
      <c r="E207" s="44" t="s">
        <v>65</v>
      </c>
      <c r="F207" s="43">
        <v>847001</v>
      </c>
      <c r="G207" s="44" t="s">
        <v>24</v>
      </c>
      <c r="H207" s="44" t="s">
        <v>25</v>
      </c>
      <c r="I207" s="45" t="s">
        <v>26</v>
      </c>
      <c r="J207" s="45" t="s">
        <v>406</v>
      </c>
      <c r="K207" s="46" t="s">
        <v>90</v>
      </c>
      <c r="L207" s="47" t="s">
        <v>1384</v>
      </c>
    </row>
    <row r="208" spans="1:12" ht="14.5" x14ac:dyDescent="0.35">
      <c r="A208" s="47" t="s">
        <v>1363</v>
      </c>
      <c r="B208" s="43">
        <v>8470335</v>
      </c>
      <c r="C208" s="44" t="s">
        <v>317</v>
      </c>
      <c r="D208" s="43">
        <v>425760</v>
      </c>
      <c r="E208" s="44" t="s">
        <v>65</v>
      </c>
      <c r="F208" s="43">
        <v>847001</v>
      </c>
      <c r="G208" s="44" t="s">
        <v>24</v>
      </c>
      <c r="H208" s="44" t="s">
        <v>25</v>
      </c>
      <c r="I208" s="45" t="s">
        <v>26</v>
      </c>
      <c r="J208" s="45" t="s">
        <v>407</v>
      </c>
      <c r="K208" s="46" t="s">
        <v>90</v>
      </c>
      <c r="L208" s="47" t="s">
        <v>1384</v>
      </c>
    </row>
    <row r="209" spans="1:12" ht="14.5" x14ac:dyDescent="0.35">
      <c r="A209" s="47" t="s">
        <v>1363</v>
      </c>
      <c r="B209" s="43">
        <v>8470340</v>
      </c>
      <c r="C209" s="44" t="s">
        <v>234</v>
      </c>
      <c r="D209" s="43">
        <v>425760</v>
      </c>
      <c r="E209" s="44" t="s">
        <v>65</v>
      </c>
      <c r="F209" s="43">
        <v>847001</v>
      </c>
      <c r="G209" s="44" t="s">
        <v>24</v>
      </c>
      <c r="H209" s="44" t="s">
        <v>25</v>
      </c>
      <c r="I209" s="45" t="s">
        <v>26</v>
      </c>
      <c r="J209" s="45" t="s">
        <v>408</v>
      </c>
      <c r="K209" s="46" t="s">
        <v>90</v>
      </c>
      <c r="L209" s="47" t="s">
        <v>1384</v>
      </c>
    </row>
    <row r="210" spans="1:12" ht="14.5" x14ac:dyDescent="0.35">
      <c r="A210" s="47" t="s">
        <v>1363</v>
      </c>
      <c r="B210" s="43">
        <v>8470350</v>
      </c>
      <c r="C210" s="44" t="s">
        <v>191</v>
      </c>
      <c r="D210" s="43">
        <v>425760</v>
      </c>
      <c r="E210" s="44" t="s">
        <v>65</v>
      </c>
      <c r="F210" s="43">
        <v>847001</v>
      </c>
      <c r="G210" s="44" t="s">
        <v>24</v>
      </c>
      <c r="H210" s="44" t="s">
        <v>25</v>
      </c>
      <c r="I210" s="45" t="s">
        <v>26</v>
      </c>
      <c r="J210" s="45" t="s">
        <v>409</v>
      </c>
      <c r="K210" s="46" t="s">
        <v>90</v>
      </c>
      <c r="L210" s="47" t="s">
        <v>1384</v>
      </c>
    </row>
    <row r="211" spans="1:12" ht="14.5" x14ac:dyDescent="0.35">
      <c r="A211" s="47" t="s">
        <v>1357</v>
      </c>
      <c r="B211" s="43">
        <v>8470445</v>
      </c>
      <c r="C211" s="44" t="s">
        <v>410</v>
      </c>
      <c r="D211" s="43">
        <v>425760</v>
      </c>
      <c r="E211" s="44" t="s">
        <v>65</v>
      </c>
      <c r="F211" s="43">
        <v>847001</v>
      </c>
      <c r="G211" s="44" t="s">
        <v>24</v>
      </c>
      <c r="H211" s="44" t="s">
        <v>25</v>
      </c>
      <c r="I211" s="45" t="s">
        <v>26</v>
      </c>
      <c r="J211" s="45" t="s">
        <v>411</v>
      </c>
      <c r="K211" s="46" t="s">
        <v>90</v>
      </c>
      <c r="L211" s="47" t="s">
        <v>1384</v>
      </c>
    </row>
    <row r="212" spans="1:12" ht="14.5" x14ac:dyDescent="0.35">
      <c r="A212" s="47" t="s">
        <v>1365</v>
      </c>
      <c r="B212" s="43">
        <v>8471210</v>
      </c>
      <c r="C212" s="44" t="s">
        <v>176</v>
      </c>
      <c r="D212" s="43">
        <v>425760</v>
      </c>
      <c r="E212" s="44" t="s">
        <v>65</v>
      </c>
      <c r="F212" s="43">
        <v>847001</v>
      </c>
      <c r="G212" s="44" t="s">
        <v>24</v>
      </c>
      <c r="H212" s="44" t="s">
        <v>28</v>
      </c>
      <c r="I212" s="45" t="s">
        <v>29</v>
      </c>
      <c r="J212" s="45" t="s">
        <v>412</v>
      </c>
      <c r="K212" s="46" t="s">
        <v>90</v>
      </c>
      <c r="L212" s="47" t="s">
        <v>1384</v>
      </c>
    </row>
    <row r="213" spans="1:12" ht="14.5" x14ac:dyDescent="0.35">
      <c r="A213" s="47" t="s">
        <v>1365</v>
      </c>
      <c r="B213" s="43">
        <v>8471260</v>
      </c>
      <c r="C213" s="44" t="s">
        <v>178</v>
      </c>
      <c r="D213" s="43">
        <v>425760</v>
      </c>
      <c r="E213" s="44" t="s">
        <v>65</v>
      </c>
      <c r="F213" s="43">
        <v>847001</v>
      </c>
      <c r="G213" s="44" t="s">
        <v>24</v>
      </c>
      <c r="H213" s="44" t="s">
        <v>25</v>
      </c>
      <c r="I213" s="45" t="s">
        <v>26</v>
      </c>
      <c r="J213" s="45" t="s">
        <v>413</v>
      </c>
      <c r="K213" s="46" t="s">
        <v>90</v>
      </c>
      <c r="L213" s="47" t="s">
        <v>1384</v>
      </c>
    </row>
    <row r="214" spans="1:12" ht="14.5" x14ac:dyDescent="0.35">
      <c r="A214" s="47" t="s">
        <v>1371</v>
      </c>
      <c r="B214" s="43">
        <v>8471305</v>
      </c>
      <c r="C214" s="44" t="s">
        <v>32</v>
      </c>
      <c r="D214" s="43">
        <v>425760</v>
      </c>
      <c r="E214" s="44" t="s">
        <v>65</v>
      </c>
      <c r="F214" s="43">
        <v>847001</v>
      </c>
      <c r="G214" s="44" t="s">
        <v>24</v>
      </c>
      <c r="H214" s="44" t="s">
        <v>25</v>
      </c>
      <c r="I214" s="45" t="s">
        <v>26</v>
      </c>
      <c r="J214" s="45" t="s">
        <v>66</v>
      </c>
      <c r="K214" s="46" t="s">
        <v>90</v>
      </c>
      <c r="L214" s="47" t="s">
        <v>1384</v>
      </c>
    </row>
    <row r="215" spans="1:12" ht="14.5" x14ac:dyDescent="0.35">
      <c r="A215" s="47" t="s">
        <v>1366</v>
      </c>
      <c r="B215" s="43">
        <v>8470230</v>
      </c>
      <c r="C215" s="44" t="s">
        <v>183</v>
      </c>
      <c r="D215" s="43">
        <v>425761</v>
      </c>
      <c r="E215" s="44" t="s">
        <v>414</v>
      </c>
      <c r="F215" s="43">
        <v>847001</v>
      </c>
      <c r="G215" s="44" t="s">
        <v>24</v>
      </c>
      <c r="H215" s="44" t="s">
        <v>25</v>
      </c>
      <c r="I215" s="45" t="s">
        <v>26</v>
      </c>
      <c r="J215" s="45" t="s">
        <v>415</v>
      </c>
      <c r="K215" s="46" t="s">
        <v>31</v>
      </c>
      <c r="L215" s="47" t="s">
        <v>1379</v>
      </c>
    </row>
    <row r="216" spans="1:12" ht="14.5" x14ac:dyDescent="0.35">
      <c r="A216" s="47" t="s">
        <v>1366</v>
      </c>
      <c r="B216" s="43">
        <v>8470230</v>
      </c>
      <c r="C216" s="44" t="s">
        <v>183</v>
      </c>
      <c r="D216" s="43">
        <v>425761</v>
      </c>
      <c r="E216" s="44" t="s">
        <v>414</v>
      </c>
      <c r="F216" s="43">
        <v>847001</v>
      </c>
      <c r="G216" s="44" t="s">
        <v>24</v>
      </c>
      <c r="H216" s="44" t="s">
        <v>28</v>
      </c>
      <c r="I216" s="45" t="s">
        <v>29</v>
      </c>
      <c r="J216" s="45" t="s">
        <v>416</v>
      </c>
      <c r="K216" s="46" t="s">
        <v>31</v>
      </c>
      <c r="L216" s="47" t="s">
        <v>1379</v>
      </c>
    </row>
    <row r="217" spans="1:12" ht="14.5" x14ac:dyDescent="0.35">
      <c r="A217" s="47" t="s">
        <v>1363</v>
      </c>
      <c r="B217" s="43">
        <v>8470310</v>
      </c>
      <c r="C217" s="44" t="s">
        <v>309</v>
      </c>
      <c r="D217" s="43">
        <v>425761</v>
      </c>
      <c r="E217" s="44" t="s">
        <v>414</v>
      </c>
      <c r="F217" s="43">
        <v>847001</v>
      </c>
      <c r="G217" s="44" t="s">
        <v>24</v>
      </c>
      <c r="H217" s="44" t="s">
        <v>28</v>
      </c>
      <c r="I217" s="45" t="s">
        <v>29</v>
      </c>
      <c r="J217" s="45" t="s">
        <v>417</v>
      </c>
      <c r="K217" s="46" t="s">
        <v>31</v>
      </c>
      <c r="L217" s="47" t="s">
        <v>1379</v>
      </c>
    </row>
    <row r="218" spans="1:12" ht="14.5" x14ac:dyDescent="0.35">
      <c r="A218" s="47" t="s">
        <v>1363</v>
      </c>
      <c r="B218" s="43">
        <v>8470330</v>
      </c>
      <c r="C218" s="44" t="s">
        <v>268</v>
      </c>
      <c r="D218" s="43">
        <v>425761</v>
      </c>
      <c r="E218" s="44" t="s">
        <v>414</v>
      </c>
      <c r="F218" s="43">
        <v>847001</v>
      </c>
      <c r="G218" s="44" t="s">
        <v>24</v>
      </c>
      <c r="H218" s="44" t="s">
        <v>25</v>
      </c>
      <c r="I218" s="45" t="s">
        <v>26</v>
      </c>
      <c r="J218" s="45" t="s">
        <v>418</v>
      </c>
      <c r="K218" s="46" t="s">
        <v>31</v>
      </c>
      <c r="L218" s="47" t="s">
        <v>1379</v>
      </c>
    </row>
    <row r="219" spans="1:12" ht="14.5" x14ac:dyDescent="0.35">
      <c r="A219" s="47" t="s">
        <v>1363</v>
      </c>
      <c r="B219" s="43">
        <v>8470330</v>
      </c>
      <c r="C219" s="44" t="s">
        <v>268</v>
      </c>
      <c r="D219" s="43">
        <v>425761</v>
      </c>
      <c r="E219" s="44" t="s">
        <v>414</v>
      </c>
      <c r="F219" s="43">
        <v>847001</v>
      </c>
      <c r="G219" s="44" t="s">
        <v>24</v>
      </c>
      <c r="H219" s="44" t="s">
        <v>28</v>
      </c>
      <c r="I219" s="45" t="s">
        <v>29</v>
      </c>
      <c r="J219" s="45" t="s">
        <v>419</v>
      </c>
      <c r="K219" s="46" t="s">
        <v>31</v>
      </c>
      <c r="L219" s="47" t="s">
        <v>1379</v>
      </c>
    </row>
    <row r="220" spans="1:12" ht="14.5" x14ac:dyDescent="0.35">
      <c r="A220" s="47" t="s">
        <v>1363</v>
      </c>
      <c r="B220" s="43">
        <v>8470350</v>
      </c>
      <c r="C220" s="44" t="s">
        <v>191</v>
      </c>
      <c r="D220" s="43">
        <v>425761</v>
      </c>
      <c r="E220" s="44" t="s">
        <v>414</v>
      </c>
      <c r="F220" s="43">
        <v>847001</v>
      </c>
      <c r="G220" s="44" t="s">
        <v>24</v>
      </c>
      <c r="H220" s="44" t="s">
        <v>28</v>
      </c>
      <c r="I220" s="45" t="s">
        <v>29</v>
      </c>
      <c r="J220" s="45" t="s">
        <v>420</v>
      </c>
      <c r="K220" s="46" t="s">
        <v>31</v>
      </c>
      <c r="L220" s="47" t="s">
        <v>1379</v>
      </c>
    </row>
    <row r="221" spans="1:12" ht="14.5" x14ac:dyDescent="0.35">
      <c r="A221" s="47" t="s">
        <v>1357</v>
      </c>
      <c r="B221" s="43">
        <v>8470410</v>
      </c>
      <c r="C221" s="44" t="s">
        <v>421</v>
      </c>
      <c r="D221" s="43">
        <v>425761</v>
      </c>
      <c r="E221" s="44" t="s">
        <v>414</v>
      </c>
      <c r="F221" s="43">
        <v>847001</v>
      </c>
      <c r="G221" s="44" t="s">
        <v>24</v>
      </c>
      <c r="H221" s="44" t="s">
        <v>25</v>
      </c>
      <c r="I221" s="45" t="s">
        <v>26</v>
      </c>
      <c r="J221" s="45" t="s">
        <v>422</v>
      </c>
      <c r="K221" s="46" t="s">
        <v>31</v>
      </c>
      <c r="L221" s="47" t="s">
        <v>1379</v>
      </c>
    </row>
    <row r="222" spans="1:12" ht="14.5" x14ac:dyDescent="0.35">
      <c r="A222" s="47" t="s">
        <v>1357</v>
      </c>
      <c r="B222" s="43">
        <v>8470425</v>
      </c>
      <c r="C222" s="44" t="s">
        <v>272</v>
      </c>
      <c r="D222" s="43">
        <v>425761</v>
      </c>
      <c r="E222" s="44" t="s">
        <v>414</v>
      </c>
      <c r="F222" s="43">
        <v>847001</v>
      </c>
      <c r="G222" s="44" t="s">
        <v>24</v>
      </c>
      <c r="H222" s="44" t="s">
        <v>25</v>
      </c>
      <c r="I222" s="45" t="s">
        <v>26</v>
      </c>
      <c r="J222" s="45" t="s">
        <v>423</v>
      </c>
      <c r="K222" s="46" t="s">
        <v>31</v>
      </c>
      <c r="L222" s="47" t="s">
        <v>1379</v>
      </c>
    </row>
    <row r="223" spans="1:12" ht="14.5" x14ac:dyDescent="0.35">
      <c r="A223" s="47" t="s">
        <v>1357</v>
      </c>
      <c r="B223" s="43">
        <v>8470430</v>
      </c>
      <c r="C223" s="44" t="s">
        <v>424</v>
      </c>
      <c r="D223" s="43">
        <v>425761</v>
      </c>
      <c r="E223" s="44" t="s">
        <v>414</v>
      </c>
      <c r="F223" s="43">
        <v>847001</v>
      </c>
      <c r="G223" s="44" t="s">
        <v>24</v>
      </c>
      <c r="H223" s="44" t="s">
        <v>28</v>
      </c>
      <c r="I223" s="45" t="s">
        <v>29</v>
      </c>
      <c r="J223" s="45" t="s">
        <v>425</v>
      </c>
      <c r="K223" s="46" t="s">
        <v>31</v>
      </c>
      <c r="L223" s="47" t="s">
        <v>1379</v>
      </c>
    </row>
    <row r="224" spans="1:12" ht="14.5" x14ac:dyDescent="0.35">
      <c r="A224" s="47" t="s">
        <v>1357</v>
      </c>
      <c r="B224" s="43">
        <v>8470440</v>
      </c>
      <c r="C224" s="44" t="s">
        <v>426</v>
      </c>
      <c r="D224" s="43">
        <v>425761</v>
      </c>
      <c r="E224" s="44" t="s">
        <v>414</v>
      </c>
      <c r="F224" s="43">
        <v>847001</v>
      </c>
      <c r="G224" s="44" t="s">
        <v>24</v>
      </c>
      <c r="H224" s="44" t="s">
        <v>25</v>
      </c>
      <c r="I224" s="45" t="s">
        <v>26</v>
      </c>
      <c r="J224" s="45" t="s">
        <v>427</v>
      </c>
      <c r="K224" s="46" t="s">
        <v>31</v>
      </c>
      <c r="L224" s="47" t="s">
        <v>1379</v>
      </c>
    </row>
    <row r="225" spans="1:12" ht="14.5" x14ac:dyDescent="0.35">
      <c r="A225" s="47" t="s">
        <v>1357</v>
      </c>
      <c r="B225" s="43">
        <v>8470450</v>
      </c>
      <c r="C225" s="44" t="s">
        <v>275</v>
      </c>
      <c r="D225" s="43">
        <v>425761</v>
      </c>
      <c r="E225" s="44" t="s">
        <v>414</v>
      </c>
      <c r="F225" s="43">
        <v>847001</v>
      </c>
      <c r="G225" s="44" t="s">
        <v>24</v>
      </c>
      <c r="H225" s="44" t="s">
        <v>25</v>
      </c>
      <c r="I225" s="45" t="s">
        <v>26</v>
      </c>
      <c r="J225" s="45" t="s">
        <v>428</v>
      </c>
      <c r="K225" s="46" t="s">
        <v>31</v>
      </c>
      <c r="L225" s="47" t="s">
        <v>1379</v>
      </c>
    </row>
    <row r="226" spans="1:12" ht="14.5" x14ac:dyDescent="0.35">
      <c r="A226" s="47" t="s">
        <v>1357</v>
      </c>
      <c r="B226" s="43">
        <v>8470450</v>
      </c>
      <c r="C226" s="44" t="s">
        <v>275</v>
      </c>
      <c r="D226" s="43">
        <v>425761</v>
      </c>
      <c r="E226" s="44" t="s">
        <v>414</v>
      </c>
      <c r="F226" s="43">
        <v>847001</v>
      </c>
      <c r="G226" s="44" t="s">
        <v>24</v>
      </c>
      <c r="H226" s="44" t="s">
        <v>28</v>
      </c>
      <c r="I226" s="45" t="s">
        <v>29</v>
      </c>
      <c r="J226" s="45" t="s">
        <v>429</v>
      </c>
      <c r="K226" s="46" t="s">
        <v>31</v>
      </c>
      <c r="L226" s="47" t="s">
        <v>1379</v>
      </c>
    </row>
    <row r="227" spans="1:12" ht="14.5" x14ac:dyDescent="0.35">
      <c r="A227" s="47" t="s">
        <v>1365</v>
      </c>
      <c r="B227" s="43">
        <v>8471210</v>
      </c>
      <c r="C227" s="44" t="s">
        <v>176</v>
      </c>
      <c r="D227" s="43">
        <v>425761</v>
      </c>
      <c r="E227" s="44" t="s">
        <v>414</v>
      </c>
      <c r="F227" s="43">
        <v>847001</v>
      </c>
      <c r="G227" s="44" t="s">
        <v>24</v>
      </c>
      <c r="H227" s="44" t="s">
        <v>28</v>
      </c>
      <c r="I227" s="45" t="s">
        <v>29</v>
      </c>
      <c r="J227" s="45" t="s">
        <v>430</v>
      </c>
      <c r="K227" s="46" t="s">
        <v>31</v>
      </c>
      <c r="L227" s="47" t="s">
        <v>1379</v>
      </c>
    </row>
    <row r="228" spans="1:12" ht="14.5" x14ac:dyDescent="0.35">
      <c r="A228" s="47" t="s">
        <v>1365</v>
      </c>
      <c r="B228" s="43">
        <v>8471240</v>
      </c>
      <c r="C228" s="44" t="s">
        <v>346</v>
      </c>
      <c r="D228" s="43">
        <v>425761</v>
      </c>
      <c r="E228" s="44" t="s">
        <v>414</v>
      </c>
      <c r="F228" s="43">
        <v>847001</v>
      </c>
      <c r="G228" s="44" t="s">
        <v>24</v>
      </c>
      <c r="H228" s="44" t="s">
        <v>25</v>
      </c>
      <c r="I228" s="45" t="s">
        <v>26</v>
      </c>
      <c r="J228" s="45" t="s">
        <v>431</v>
      </c>
      <c r="K228" s="46" t="s">
        <v>31</v>
      </c>
      <c r="L228" s="47" t="s">
        <v>1379</v>
      </c>
    </row>
    <row r="229" spans="1:12" ht="14.5" x14ac:dyDescent="0.35">
      <c r="A229" s="47" t="s">
        <v>1365</v>
      </c>
      <c r="B229" s="43">
        <v>8471240</v>
      </c>
      <c r="C229" s="44" t="s">
        <v>346</v>
      </c>
      <c r="D229" s="43">
        <v>425761</v>
      </c>
      <c r="E229" s="44" t="s">
        <v>414</v>
      </c>
      <c r="F229" s="43">
        <v>847001</v>
      </c>
      <c r="G229" s="44" t="s">
        <v>24</v>
      </c>
      <c r="H229" s="44" t="s">
        <v>28</v>
      </c>
      <c r="I229" s="45" t="s">
        <v>29</v>
      </c>
      <c r="J229" s="45" t="s">
        <v>432</v>
      </c>
      <c r="K229" s="46" t="s">
        <v>31</v>
      </c>
      <c r="L229" s="47" t="s">
        <v>1379</v>
      </c>
    </row>
    <row r="230" spans="1:12" ht="14.5" x14ac:dyDescent="0.35">
      <c r="A230" s="47" t="s">
        <v>1365</v>
      </c>
      <c r="B230" s="43">
        <v>8471250</v>
      </c>
      <c r="C230" s="44" t="s">
        <v>349</v>
      </c>
      <c r="D230" s="43">
        <v>425761</v>
      </c>
      <c r="E230" s="44" t="s">
        <v>414</v>
      </c>
      <c r="F230" s="43">
        <v>847001</v>
      </c>
      <c r="G230" s="44" t="s">
        <v>24</v>
      </c>
      <c r="H230" s="44" t="s">
        <v>25</v>
      </c>
      <c r="I230" s="45" t="s">
        <v>26</v>
      </c>
      <c r="J230" s="45" t="s">
        <v>433</v>
      </c>
      <c r="K230" s="46" t="s">
        <v>31</v>
      </c>
      <c r="L230" s="47" t="s">
        <v>1379</v>
      </c>
    </row>
    <row r="231" spans="1:12" ht="14.5" x14ac:dyDescent="0.35">
      <c r="A231" s="47" t="s">
        <v>1365</v>
      </c>
      <c r="B231" s="43">
        <v>8471250</v>
      </c>
      <c r="C231" s="44" t="s">
        <v>349</v>
      </c>
      <c r="D231" s="43">
        <v>425761</v>
      </c>
      <c r="E231" s="44" t="s">
        <v>414</v>
      </c>
      <c r="F231" s="43">
        <v>847001</v>
      </c>
      <c r="G231" s="44" t="s">
        <v>24</v>
      </c>
      <c r="H231" s="44" t="s">
        <v>28</v>
      </c>
      <c r="I231" s="45" t="s">
        <v>29</v>
      </c>
      <c r="J231" s="45" t="s">
        <v>434</v>
      </c>
      <c r="K231" s="46" t="s">
        <v>31</v>
      </c>
      <c r="L231" s="47" t="s">
        <v>1379</v>
      </c>
    </row>
    <row r="232" spans="1:12" ht="14.5" x14ac:dyDescent="0.35">
      <c r="A232" s="47" t="s">
        <v>1365</v>
      </c>
      <c r="B232" s="43">
        <v>8471250</v>
      </c>
      <c r="C232" s="44" t="s">
        <v>349</v>
      </c>
      <c r="D232" s="43">
        <v>425762</v>
      </c>
      <c r="E232" s="44" t="s">
        <v>67</v>
      </c>
      <c r="F232" s="43">
        <v>847001</v>
      </c>
      <c r="G232" s="44" t="s">
        <v>24</v>
      </c>
      <c r="H232" s="44" t="s">
        <v>25</v>
      </c>
      <c r="I232" s="45" t="s">
        <v>26</v>
      </c>
      <c r="J232" s="45" t="s">
        <v>435</v>
      </c>
      <c r="K232" s="46" t="s">
        <v>90</v>
      </c>
      <c r="L232" s="47" t="s">
        <v>1379</v>
      </c>
    </row>
    <row r="233" spans="1:12" ht="14.5" x14ac:dyDescent="0.35">
      <c r="A233" s="47" t="s">
        <v>1365</v>
      </c>
      <c r="B233" s="43">
        <v>8471250</v>
      </c>
      <c r="C233" s="44" t="s">
        <v>349</v>
      </c>
      <c r="D233" s="43">
        <v>425762</v>
      </c>
      <c r="E233" s="44" t="s">
        <v>67</v>
      </c>
      <c r="F233" s="43">
        <v>847001</v>
      </c>
      <c r="G233" s="44" t="s">
        <v>24</v>
      </c>
      <c r="H233" s="44" t="s">
        <v>28</v>
      </c>
      <c r="I233" s="45" t="s">
        <v>29</v>
      </c>
      <c r="J233" s="45" t="s">
        <v>436</v>
      </c>
      <c r="K233" s="46" t="s">
        <v>90</v>
      </c>
      <c r="L233" s="47" t="s">
        <v>1379</v>
      </c>
    </row>
    <row r="234" spans="1:12" ht="14.5" x14ac:dyDescent="0.35">
      <c r="A234" s="47" t="s">
        <v>1371</v>
      </c>
      <c r="B234" s="43">
        <v>8471305</v>
      </c>
      <c r="C234" s="44" t="s">
        <v>32</v>
      </c>
      <c r="D234" s="43">
        <v>425762</v>
      </c>
      <c r="E234" s="44" t="s">
        <v>67</v>
      </c>
      <c r="F234" s="43">
        <v>847001</v>
      </c>
      <c r="G234" s="44" t="s">
        <v>24</v>
      </c>
      <c r="H234" s="44" t="s">
        <v>25</v>
      </c>
      <c r="I234" s="45" t="s">
        <v>26</v>
      </c>
      <c r="J234" s="45" t="s">
        <v>68</v>
      </c>
      <c r="K234" s="46" t="s">
        <v>90</v>
      </c>
      <c r="L234" s="47" t="s">
        <v>1379</v>
      </c>
    </row>
    <row r="235" spans="1:12" ht="14.5" x14ac:dyDescent="0.35">
      <c r="A235" s="47" t="s">
        <v>1363</v>
      </c>
      <c r="B235" s="43">
        <v>8470305</v>
      </c>
      <c r="C235" s="44" t="s">
        <v>193</v>
      </c>
      <c r="D235" s="43">
        <v>425763</v>
      </c>
      <c r="E235" s="44" t="s">
        <v>69</v>
      </c>
      <c r="F235" s="43">
        <v>847001</v>
      </c>
      <c r="G235" s="44" t="s">
        <v>24</v>
      </c>
      <c r="H235" s="44" t="s">
        <v>25</v>
      </c>
      <c r="I235" s="45" t="s">
        <v>26</v>
      </c>
      <c r="J235" s="45" t="s">
        <v>437</v>
      </c>
      <c r="K235" s="46" t="s">
        <v>90</v>
      </c>
      <c r="L235" s="47" t="s">
        <v>1379</v>
      </c>
    </row>
    <row r="236" spans="1:12" ht="14.5" x14ac:dyDescent="0.35">
      <c r="A236" s="47" t="s">
        <v>1363</v>
      </c>
      <c r="B236" s="43">
        <v>8470305</v>
      </c>
      <c r="C236" s="44" t="s">
        <v>193</v>
      </c>
      <c r="D236" s="43">
        <v>425763</v>
      </c>
      <c r="E236" s="44" t="s">
        <v>69</v>
      </c>
      <c r="F236" s="43">
        <v>847001</v>
      </c>
      <c r="G236" s="44" t="s">
        <v>24</v>
      </c>
      <c r="H236" s="44" t="s">
        <v>28</v>
      </c>
      <c r="I236" s="45" t="s">
        <v>29</v>
      </c>
      <c r="J236" s="45" t="s">
        <v>438</v>
      </c>
      <c r="K236" s="46" t="s">
        <v>90</v>
      </c>
      <c r="L236" s="47" t="s">
        <v>1379</v>
      </c>
    </row>
    <row r="237" spans="1:12" ht="14.5" x14ac:dyDescent="0.35">
      <c r="A237" s="47" t="s">
        <v>1363</v>
      </c>
      <c r="B237" s="43">
        <v>8470310</v>
      </c>
      <c r="C237" s="44" t="s">
        <v>309</v>
      </c>
      <c r="D237" s="43">
        <v>425763</v>
      </c>
      <c r="E237" s="44" t="s">
        <v>69</v>
      </c>
      <c r="F237" s="43">
        <v>847001</v>
      </c>
      <c r="G237" s="44" t="s">
        <v>24</v>
      </c>
      <c r="H237" s="44" t="s">
        <v>25</v>
      </c>
      <c r="I237" s="45" t="s">
        <v>26</v>
      </c>
      <c r="J237" s="45" t="s">
        <v>439</v>
      </c>
      <c r="K237" s="46" t="s">
        <v>90</v>
      </c>
      <c r="L237" s="47" t="s">
        <v>1379</v>
      </c>
    </row>
    <row r="238" spans="1:12" ht="14.5" x14ac:dyDescent="0.35">
      <c r="A238" s="47" t="s">
        <v>1363</v>
      </c>
      <c r="B238" s="43">
        <v>8470310</v>
      </c>
      <c r="C238" s="44" t="s">
        <v>309</v>
      </c>
      <c r="D238" s="43">
        <v>425763</v>
      </c>
      <c r="E238" s="44" t="s">
        <v>69</v>
      </c>
      <c r="F238" s="43">
        <v>847001</v>
      </c>
      <c r="G238" s="44" t="s">
        <v>24</v>
      </c>
      <c r="H238" s="44" t="s">
        <v>28</v>
      </c>
      <c r="I238" s="45" t="s">
        <v>29</v>
      </c>
      <c r="J238" s="45" t="s">
        <v>440</v>
      </c>
      <c r="K238" s="46" t="s">
        <v>90</v>
      </c>
      <c r="L238" s="47" t="s">
        <v>1379</v>
      </c>
    </row>
    <row r="239" spans="1:12" ht="14.5" x14ac:dyDescent="0.35">
      <c r="A239" s="47" t="s">
        <v>1363</v>
      </c>
      <c r="B239" s="43">
        <v>8470315</v>
      </c>
      <c r="C239" s="44" t="s">
        <v>311</v>
      </c>
      <c r="D239" s="43">
        <v>425763</v>
      </c>
      <c r="E239" s="44" t="s">
        <v>69</v>
      </c>
      <c r="F239" s="43">
        <v>847001</v>
      </c>
      <c r="G239" s="44" t="s">
        <v>24</v>
      </c>
      <c r="H239" s="44" t="s">
        <v>25</v>
      </c>
      <c r="I239" s="45" t="s">
        <v>26</v>
      </c>
      <c r="J239" s="45" t="s">
        <v>441</v>
      </c>
      <c r="K239" s="46" t="s">
        <v>90</v>
      </c>
      <c r="L239" s="47" t="s">
        <v>1379</v>
      </c>
    </row>
    <row r="240" spans="1:12" ht="14.5" x14ac:dyDescent="0.35">
      <c r="A240" s="47" t="s">
        <v>1363</v>
      </c>
      <c r="B240" s="43">
        <v>8470315</v>
      </c>
      <c r="C240" s="44" t="s">
        <v>311</v>
      </c>
      <c r="D240" s="43">
        <v>425763</v>
      </c>
      <c r="E240" s="44" t="s">
        <v>69</v>
      </c>
      <c r="F240" s="43">
        <v>847001</v>
      </c>
      <c r="G240" s="44" t="s">
        <v>24</v>
      </c>
      <c r="H240" s="44" t="s">
        <v>28</v>
      </c>
      <c r="I240" s="45" t="s">
        <v>29</v>
      </c>
      <c r="J240" s="45" t="s">
        <v>442</v>
      </c>
      <c r="K240" s="46" t="s">
        <v>90</v>
      </c>
      <c r="L240" s="47" t="s">
        <v>1379</v>
      </c>
    </row>
    <row r="241" spans="1:12" ht="14.5" x14ac:dyDescent="0.35">
      <c r="A241" s="47" t="s">
        <v>1363</v>
      </c>
      <c r="B241" s="43">
        <v>8470320</v>
      </c>
      <c r="C241" s="44" t="s">
        <v>443</v>
      </c>
      <c r="D241" s="43">
        <v>425763</v>
      </c>
      <c r="E241" s="44" t="s">
        <v>69</v>
      </c>
      <c r="F241" s="43">
        <v>847001</v>
      </c>
      <c r="G241" s="44" t="s">
        <v>24</v>
      </c>
      <c r="H241" s="44" t="s">
        <v>25</v>
      </c>
      <c r="I241" s="45" t="s">
        <v>26</v>
      </c>
      <c r="J241" s="45" t="s">
        <v>444</v>
      </c>
      <c r="K241" s="46" t="s">
        <v>90</v>
      </c>
      <c r="L241" s="47" t="s">
        <v>1379</v>
      </c>
    </row>
    <row r="242" spans="1:12" ht="14.5" x14ac:dyDescent="0.35">
      <c r="A242" s="47" t="s">
        <v>1363</v>
      </c>
      <c r="B242" s="43">
        <v>8470325</v>
      </c>
      <c r="C242" s="44" t="s">
        <v>186</v>
      </c>
      <c r="D242" s="43">
        <v>425763</v>
      </c>
      <c r="E242" s="44" t="s">
        <v>69</v>
      </c>
      <c r="F242" s="43">
        <v>847001</v>
      </c>
      <c r="G242" s="44" t="s">
        <v>24</v>
      </c>
      <c r="H242" s="44" t="s">
        <v>25</v>
      </c>
      <c r="I242" s="45" t="s">
        <v>26</v>
      </c>
      <c r="J242" s="45" t="s">
        <v>445</v>
      </c>
      <c r="K242" s="46" t="s">
        <v>90</v>
      </c>
      <c r="L242" s="47" t="s">
        <v>1379</v>
      </c>
    </row>
    <row r="243" spans="1:12" ht="14.5" x14ac:dyDescent="0.35">
      <c r="A243" s="47" t="s">
        <v>1363</v>
      </c>
      <c r="B243" s="43">
        <v>8470325</v>
      </c>
      <c r="C243" s="44" t="s">
        <v>186</v>
      </c>
      <c r="D243" s="43">
        <v>425763</v>
      </c>
      <c r="E243" s="44" t="s">
        <v>69</v>
      </c>
      <c r="F243" s="43">
        <v>847001</v>
      </c>
      <c r="G243" s="44" t="s">
        <v>24</v>
      </c>
      <c r="H243" s="44" t="s">
        <v>28</v>
      </c>
      <c r="I243" s="45" t="s">
        <v>29</v>
      </c>
      <c r="J243" s="45" t="s">
        <v>446</v>
      </c>
      <c r="K243" s="46" t="s">
        <v>90</v>
      </c>
      <c r="L243" s="47" t="s">
        <v>1379</v>
      </c>
    </row>
    <row r="244" spans="1:12" ht="14.5" x14ac:dyDescent="0.35">
      <c r="A244" s="47" t="s">
        <v>1363</v>
      </c>
      <c r="B244" s="43">
        <v>8470330</v>
      </c>
      <c r="C244" s="44" t="s">
        <v>268</v>
      </c>
      <c r="D244" s="43">
        <v>425763</v>
      </c>
      <c r="E244" s="44" t="s">
        <v>69</v>
      </c>
      <c r="F244" s="43">
        <v>847001</v>
      </c>
      <c r="G244" s="44" t="s">
        <v>24</v>
      </c>
      <c r="H244" s="44" t="s">
        <v>25</v>
      </c>
      <c r="I244" s="45" t="s">
        <v>26</v>
      </c>
      <c r="J244" s="45" t="s">
        <v>447</v>
      </c>
      <c r="K244" s="46" t="s">
        <v>90</v>
      </c>
      <c r="L244" s="47" t="s">
        <v>1379</v>
      </c>
    </row>
    <row r="245" spans="1:12" ht="14.5" x14ac:dyDescent="0.35">
      <c r="A245" s="47" t="s">
        <v>1363</v>
      </c>
      <c r="B245" s="43">
        <v>8470330</v>
      </c>
      <c r="C245" s="44" t="s">
        <v>268</v>
      </c>
      <c r="D245" s="43">
        <v>425763</v>
      </c>
      <c r="E245" s="44" t="s">
        <v>69</v>
      </c>
      <c r="F245" s="43">
        <v>847001</v>
      </c>
      <c r="G245" s="44" t="s">
        <v>24</v>
      </c>
      <c r="H245" s="44" t="s">
        <v>28</v>
      </c>
      <c r="I245" s="45" t="s">
        <v>29</v>
      </c>
      <c r="J245" s="45" t="s">
        <v>448</v>
      </c>
      <c r="K245" s="46" t="s">
        <v>90</v>
      </c>
      <c r="L245" s="47" t="s">
        <v>1379</v>
      </c>
    </row>
    <row r="246" spans="1:12" ht="14.5" x14ac:dyDescent="0.35">
      <c r="A246" s="47" t="s">
        <v>1363</v>
      </c>
      <c r="B246" s="43">
        <v>8470335</v>
      </c>
      <c r="C246" s="44" t="s">
        <v>317</v>
      </c>
      <c r="D246" s="43">
        <v>425763</v>
      </c>
      <c r="E246" s="44" t="s">
        <v>69</v>
      </c>
      <c r="F246" s="43">
        <v>847001</v>
      </c>
      <c r="G246" s="44" t="s">
        <v>24</v>
      </c>
      <c r="H246" s="44" t="s">
        <v>25</v>
      </c>
      <c r="I246" s="45" t="s">
        <v>26</v>
      </c>
      <c r="J246" s="45" t="s">
        <v>449</v>
      </c>
      <c r="K246" s="46" t="s">
        <v>90</v>
      </c>
      <c r="L246" s="47" t="s">
        <v>1379</v>
      </c>
    </row>
    <row r="247" spans="1:12" ht="14.5" x14ac:dyDescent="0.35">
      <c r="A247" s="47" t="s">
        <v>1363</v>
      </c>
      <c r="B247" s="43">
        <v>8470340</v>
      </c>
      <c r="C247" s="44" t="s">
        <v>234</v>
      </c>
      <c r="D247" s="43">
        <v>425763</v>
      </c>
      <c r="E247" s="44" t="s">
        <v>69</v>
      </c>
      <c r="F247" s="43">
        <v>847001</v>
      </c>
      <c r="G247" s="44" t="s">
        <v>24</v>
      </c>
      <c r="H247" s="44" t="s">
        <v>25</v>
      </c>
      <c r="I247" s="45" t="s">
        <v>26</v>
      </c>
      <c r="J247" s="45" t="s">
        <v>450</v>
      </c>
      <c r="K247" s="46" t="s">
        <v>90</v>
      </c>
      <c r="L247" s="47" t="s">
        <v>1379</v>
      </c>
    </row>
    <row r="248" spans="1:12" ht="14.5" x14ac:dyDescent="0.35">
      <c r="A248" s="47" t="s">
        <v>1363</v>
      </c>
      <c r="B248" s="43">
        <v>8470340</v>
      </c>
      <c r="C248" s="44" t="s">
        <v>234</v>
      </c>
      <c r="D248" s="43">
        <v>425763</v>
      </c>
      <c r="E248" s="44" t="s">
        <v>69</v>
      </c>
      <c r="F248" s="43">
        <v>847001</v>
      </c>
      <c r="G248" s="44" t="s">
        <v>24</v>
      </c>
      <c r="H248" s="44" t="s">
        <v>28</v>
      </c>
      <c r="I248" s="45" t="s">
        <v>29</v>
      </c>
      <c r="J248" s="45" t="s">
        <v>451</v>
      </c>
      <c r="K248" s="46" t="s">
        <v>90</v>
      </c>
      <c r="L248" s="47" t="s">
        <v>1379</v>
      </c>
    </row>
    <row r="249" spans="1:12" ht="14.5" x14ac:dyDescent="0.35">
      <c r="A249" s="47" t="s">
        <v>1363</v>
      </c>
      <c r="B249" s="43">
        <v>8470350</v>
      </c>
      <c r="C249" s="44" t="s">
        <v>191</v>
      </c>
      <c r="D249" s="43">
        <v>425763</v>
      </c>
      <c r="E249" s="44" t="s">
        <v>69</v>
      </c>
      <c r="F249" s="43">
        <v>847001</v>
      </c>
      <c r="G249" s="44" t="s">
        <v>24</v>
      </c>
      <c r="H249" s="44" t="s">
        <v>25</v>
      </c>
      <c r="I249" s="45" t="s">
        <v>26</v>
      </c>
      <c r="J249" s="45" t="s">
        <v>452</v>
      </c>
      <c r="K249" s="46" t="s">
        <v>90</v>
      </c>
      <c r="L249" s="47" t="s">
        <v>1379</v>
      </c>
    </row>
    <row r="250" spans="1:12" ht="14.5" x14ac:dyDescent="0.35">
      <c r="A250" s="47" t="s">
        <v>1365</v>
      </c>
      <c r="B250" s="43">
        <v>8471280</v>
      </c>
      <c r="C250" s="44" t="s">
        <v>355</v>
      </c>
      <c r="D250" s="43">
        <v>425763</v>
      </c>
      <c r="E250" s="44" t="s">
        <v>69</v>
      </c>
      <c r="F250" s="43">
        <v>847001</v>
      </c>
      <c r="G250" s="44" t="s">
        <v>24</v>
      </c>
      <c r="H250" s="44" t="s">
        <v>28</v>
      </c>
      <c r="I250" s="45" t="s">
        <v>29</v>
      </c>
      <c r="J250" s="45" t="s">
        <v>453</v>
      </c>
      <c r="K250" s="46" t="s">
        <v>90</v>
      </c>
      <c r="L250" s="47" t="s">
        <v>1379</v>
      </c>
    </row>
    <row r="251" spans="1:12" ht="14.5" x14ac:dyDescent="0.35">
      <c r="A251" s="47" t="s">
        <v>1371</v>
      </c>
      <c r="B251" s="43">
        <v>8471305</v>
      </c>
      <c r="C251" s="44" t="s">
        <v>32</v>
      </c>
      <c r="D251" s="43">
        <v>425763</v>
      </c>
      <c r="E251" s="44" t="s">
        <v>69</v>
      </c>
      <c r="F251" s="43">
        <v>847001</v>
      </c>
      <c r="G251" s="44" t="s">
        <v>24</v>
      </c>
      <c r="H251" s="44" t="s">
        <v>25</v>
      </c>
      <c r="I251" s="45" t="s">
        <v>26</v>
      </c>
      <c r="J251" s="45" t="s">
        <v>70</v>
      </c>
      <c r="K251" s="46" t="s">
        <v>90</v>
      </c>
      <c r="L251" s="47" t="s">
        <v>1379</v>
      </c>
    </row>
    <row r="252" spans="1:12" ht="14.5" x14ac:dyDescent="0.35">
      <c r="A252" s="47" t="s">
        <v>1371</v>
      </c>
      <c r="B252" s="43">
        <v>8471305</v>
      </c>
      <c r="C252" s="44" t="s">
        <v>32</v>
      </c>
      <c r="D252" s="43">
        <v>425763</v>
      </c>
      <c r="E252" s="44" t="s">
        <v>69</v>
      </c>
      <c r="F252" s="43">
        <v>847001</v>
      </c>
      <c r="G252" s="44" t="s">
        <v>24</v>
      </c>
      <c r="H252" s="44" t="s">
        <v>28</v>
      </c>
      <c r="I252" s="45" t="s">
        <v>29</v>
      </c>
      <c r="J252" s="45" t="s">
        <v>71</v>
      </c>
      <c r="K252" s="46" t="s">
        <v>90</v>
      </c>
      <c r="L252" s="47" t="s">
        <v>1379</v>
      </c>
    </row>
    <row r="253" spans="1:12" ht="14.5" x14ac:dyDescent="0.35">
      <c r="A253" s="47" t="s">
        <v>1359</v>
      </c>
      <c r="B253" s="43">
        <v>8470110</v>
      </c>
      <c r="C253" s="44" t="s">
        <v>180</v>
      </c>
      <c r="D253" s="43">
        <v>425770</v>
      </c>
      <c r="E253" s="44" t="s">
        <v>72</v>
      </c>
      <c r="F253" s="43">
        <v>847001</v>
      </c>
      <c r="G253" s="44" t="s">
        <v>24</v>
      </c>
      <c r="H253" s="44" t="s">
        <v>25</v>
      </c>
      <c r="I253" s="45" t="s">
        <v>26</v>
      </c>
      <c r="J253" s="45" t="s">
        <v>454</v>
      </c>
      <c r="K253" s="46" t="s">
        <v>31</v>
      </c>
      <c r="L253" s="47" t="s">
        <v>1379</v>
      </c>
    </row>
    <row r="254" spans="1:12" ht="14.5" x14ac:dyDescent="0.35">
      <c r="A254" s="47" t="s">
        <v>1359</v>
      </c>
      <c r="B254" s="43">
        <v>8470110</v>
      </c>
      <c r="C254" s="44" t="s">
        <v>180</v>
      </c>
      <c r="D254" s="43">
        <v>425770</v>
      </c>
      <c r="E254" s="44" t="s">
        <v>72</v>
      </c>
      <c r="F254" s="43">
        <v>847001</v>
      </c>
      <c r="G254" s="44" t="s">
        <v>24</v>
      </c>
      <c r="H254" s="44" t="s">
        <v>28</v>
      </c>
      <c r="I254" s="45" t="s">
        <v>29</v>
      </c>
      <c r="J254" s="45" t="s">
        <v>455</v>
      </c>
      <c r="K254" s="46" t="s">
        <v>31</v>
      </c>
      <c r="L254" s="47" t="s">
        <v>1379</v>
      </c>
    </row>
    <row r="255" spans="1:12" ht="14.5" x14ac:dyDescent="0.35">
      <c r="A255" s="47" t="s">
        <v>1366</v>
      </c>
      <c r="B255" s="43">
        <v>8470230</v>
      </c>
      <c r="C255" s="44" t="s">
        <v>183</v>
      </c>
      <c r="D255" s="43">
        <v>425770</v>
      </c>
      <c r="E255" s="44" t="s">
        <v>72</v>
      </c>
      <c r="F255" s="43">
        <v>847001</v>
      </c>
      <c r="G255" s="44" t="s">
        <v>24</v>
      </c>
      <c r="H255" s="44" t="s">
        <v>25</v>
      </c>
      <c r="I255" s="45" t="s">
        <v>26</v>
      </c>
      <c r="J255" s="45" t="s">
        <v>456</v>
      </c>
      <c r="K255" s="46" t="s">
        <v>31</v>
      </c>
      <c r="L255" s="47" t="s">
        <v>1379</v>
      </c>
    </row>
    <row r="256" spans="1:12" ht="14.5" x14ac:dyDescent="0.35">
      <c r="A256" s="47" t="s">
        <v>1366</v>
      </c>
      <c r="B256" s="43">
        <v>8470230</v>
      </c>
      <c r="C256" s="44" t="s">
        <v>183</v>
      </c>
      <c r="D256" s="43">
        <v>425770</v>
      </c>
      <c r="E256" s="44" t="s">
        <v>72</v>
      </c>
      <c r="F256" s="43">
        <v>847001</v>
      </c>
      <c r="G256" s="44" t="s">
        <v>24</v>
      </c>
      <c r="H256" s="44" t="s">
        <v>28</v>
      </c>
      <c r="I256" s="45" t="s">
        <v>29</v>
      </c>
      <c r="J256" s="45" t="s">
        <v>457</v>
      </c>
      <c r="K256" s="46" t="s">
        <v>31</v>
      </c>
      <c r="L256" s="47" t="s">
        <v>1379</v>
      </c>
    </row>
    <row r="257" spans="1:12" ht="14.5" x14ac:dyDescent="0.35">
      <c r="A257" s="47" t="s">
        <v>1363</v>
      </c>
      <c r="B257" s="43">
        <v>8470305</v>
      </c>
      <c r="C257" s="44" t="s">
        <v>193</v>
      </c>
      <c r="D257" s="43">
        <v>425770</v>
      </c>
      <c r="E257" s="44" t="s">
        <v>72</v>
      </c>
      <c r="F257" s="43">
        <v>847001</v>
      </c>
      <c r="G257" s="44" t="s">
        <v>24</v>
      </c>
      <c r="H257" s="44" t="s">
        <v>25</v>
      </c>
      <c r="I257" s="45" t="s">
        <v>26</v>
      </c>
      <c r="J257" s="45" t="s">
        <v>458</v>
      </c>
      <c r="K257" s="46" t="s">
        <v>31</v>
      </c>
      <c r="L257" s="47" t="s">
        <v>1379</v>
      </c>
    </row>
    <row r="258" spans="1:12" ht="14.5" x14ac:dyDescent="0.35">
      <c r="A258" s="47" t="s">
        <v>1363</v>
      </c>
      <c r="B258" s="43">
        <v>8470305</v>
      </c>
      <c r="C258" s="44" t="s">
        <v>193</v>
      </c>
      <c r="D258" s="43">
        <v>425770</v>
      </c>
      <c r="E258" s="44" t="s">
        <v>72</v>
      </c>
      <c r="F258" s="43">
        <v>847001</v>
      </c>
      <c r="G258" s="44" t="s">
        <v>24</v>
      </c>
      <c r="H258" s="44" t="s">
        <v>28</v>
      </c>
      <c r="I258" s="45" t="s">
        <v>29</v>
      </c>
      <c r="J258" s="45" t="s">
        <v>459</v>
      </c>
      <c r="K258" s="46" t="s">
        <v>31</v>
      </c>
      <c r="L258" s="47" t="s">
        <v>1379</v>
      </c>
    </row>
    <row r="259" spans="1:12" ht="14.5" x14ac:dyDescent="0.35">
      <c r="A259" s="47" t="s">
        <v>1363</v>
      </c>
      <c r="B259" s="43">
        <v>8470310</v>
      </c>
      <c r="C259" s="44" t="s">
        <v>309</v>
      </c>
      <c r="D259" s="43">
        <v>425770</v>
      </c>
      <c r="E259" s="44" t="s">
        <v>72</v>
      </c>
      <c r="F259" s="43">
        <v>847001</v>
      </c>
      <c r="G259" s="44" t="s">
        <v>24</v>
      </c>
      <c r="H259" s="44" t="s">
        <v>25</v>
      </c>
      <c r="I259" s="45" t="s">
        <v>26</v>
      </c>
      <c r="J259" s="45" t="s">
        <v>460</v>
      </c>
      <c r="K259" s="46" t="s">
        <v>31</v>
      </c>
      <c r="L259" s="47" t="s">
        <v>1379</v>
      </c>
    </row>
    <row r="260" spans="1:12" ht="14.5" x14ac:dyDescent="0.35">
      <c r="A260" s="47" t="s">
        <v>1363</v>
      </c>
      <c r="B260" s="43">
        <v>8470310</v>
      </c>
      <c r="C260" s="44" t="s">
        <v>309</v>
      </c>
      <c r="D260" s="43">
        <v>425770</v>
      </c>
      <c r="E260" s="44" t="s">
        <v>72</v>
      </c>
      <c r="F260" s="43">
        <v>847001</v>
      </c>
      <c r="G260" s="44" t="s">
        <v>24</v>
      </c>
      <c r="H260" s="44" t="s">
        <v>28</v>
      </c>
      <c r="I260" s="45" t="s">
        <v>29</v>
      </c>
      <c r="J260" s="45" t="s">
        <v>461</v>
      </c>
      <c r="K260" s="46" t="s">
        <v>31</v>
      </c>
      <c r="L260" s="47" t="s">
        <v>1379</v>
      </c>
    </row>
    <row r="261" spans="1:12" ht="14.5" x14ac:dyDescent="0.35">
      <c r="A261" s="47" t="s">
        <v>1363</v>
      </c>
      <c r="B261" s="43">
        <v>8470315</v>
      </c>
      <c r="C261" s="44" t="s">
        <v>311</v>
      </c>
      <c r="D261" s="43">
        <v>425770</v>
      </c>
      <c r="E261" s="44" t="s">
        <v>72</v>
      </c>
      <c r="F261" s="43">
        <v>847001</v>
      </c>
      <c r="G261" s="44" t="s">
        <v>24</v>
      </c>
      <c r="H261" s="44" t="s">
        <v>25</v>
      </c>
      <c r="I261" s="45" t="s">
        <v>26</v>
      </c>
      <c r="J261" s="45" t="s">
        <v>462</v>
      </c>
      <c r="K261" s="46" t="s">
        <v>31</v>
      </c>
      <c r="L261" s="47" t="s">
        <v>1379</v>
      </c>
    </row>
    <row r="262" spans="1:12" ht="14.5" x14ac:dyDescent="0.35">
      <c r="A262" s="47" t="s">
        <v>1363</v>
      </c>
      <c r="B262" s="43">
        <v>8470315</v>
      </c>
      <c r="C262" s="44" t="s">
        <v>311</v>
      </c>
      <c r="D262" s="43">
        <v>425770</v>
      </c>
      <c r="E262" s="44" t="s">
        <v>72</v>
      </c>
      <c r="F262" s="43">
        <v>847001</v>
      </c>
      <c r="G262" s="44" t="s">
        <v>24</v>
      </c>
      <c r="H262" s="44" t="s">
        <v>28</v>
      </c>
      <c r="I262" s="45" t="s">
        <v>29</v>
      </c>
      <c r="J262" s="45" t="s">
        <v>463</v>
      </c>
      <c r="K262" s="46" t="s">
        <v>31</v>
      </c>
      <c r="L262" s="47" t="s">
        <v>1379</v>
      </c>
    </row>
    <row r="263" spans="1:12" ht="14.5" x14ac:dyDescent="0.35">
      <c r="A263" s="47" t="s">
        <v>1363</v>
      </c>
      <c r="B263" s="43">
        <v>8470320</v>
      </c>
      <c r="C263" s="44" t="s">
        <v>443</v>
      </c>
      <c r="D263" s="43">
        <v>425770</v>
      </c>
      <c r="E263" s="44" t="s">
        <v>72</v>
      </c>
      <c r="F263" s="43">
        <v>847001</v>
      </c>
      <c r="G263" s="44" t="s">
        <v>24</v>
      </c>
      <c r="H263" s="44" t="s">
        <v>25</v>
      </c>
      <c r="I263" s="45" t="s">
        <v>26</v>
      </c>
      <c r="J263" s="45" t="s">
        <v>464</v>
      </c>
      <c r="K263" s="46" t="s">
        <v>31</v>
      </c>
      <c r="L263" s="47" t="s">
        <v>1379</v>
      </c>
    </row>
    <row r="264" spans="1:12" ht="14.5" x14ac:dyDescent="0.35">
      <c r="A264" s="47" t="s">
        <v>1363</v>
      </c>
      <c r="B264" s="43">
        <v>8470320</v>
      </c>
      <c r="C264" s="44" t="s">
        <v>443</v>
      </c>
      <c r="D264" s="43">
        <v>425770</v>
      </c>
      <c r="E264" s="44" t="s">
        <v>72</v>
      </c>
      <c r="F264" s="43">
        <v>847001</v>
      </c>
      <c r="G264" s="44" t="s">
        <v>24</v>
      </c>
      <c r="H264" s="44" t="s">
        <v>28</v>
      </c>
      <c r="I264" s="45" t="s">
        <v>29</v>
      </c>
      <c r="J264" s="45" t="s">
        <v>465</v>
      </c>
      <c r="K264" s="46" t="s">
        <v>31</v>
      </c>
      <c r="L264" s="47" t="s">
        <v>1379</v>
      </c>
    </row>
    <row r="265" spans="1:12" ht="14.5" x14ac:dyDescent="0.35">
      <c r="A265" s="47" t="s">
        <v>1363</v>
      </c>
      <c r="B265" s="43">
        <v>8470325</v>
      </c>
      <c r="C265" s="44" t="s">
        <v>186</v>
      </c>
      <c r="D265" s="43">
        <v>425770</v>
      </c>
      <c r="E265" s="44" t="s">
        <v>72</v>
      </c>
      <c r="F265" s="43">
        <v>847001</v>
      </c>
      <c r="G265" s="44" t="s">
        <v>24</v>
      </c>
      <c r="H265" s="44" t="s">
        <v>25</v>
      </c>
      <c r="I265" s="45" t="s">
        <v>26</v>
      </c>
      <c r="J265" s="45" t="s">
        <v>466</v>
      </c>
      <c r="K265" s="46" t="s">
        <v>31</v>
      </c>
      <c r="L265" s="47" t="s">
        <v>1379</v>
      </c>
    </row>
    <row r="266" spans="1:12" ht="14.5" x14ac:dyDescent="0.35">
      <c r="A266" s="47" t="s">
        <v>1363</v>
      </c>
      <c r="B266" s="43">
        <v>8470325</v>
      </c>
      <c r="C266" s="44" t="s">
        <v>186</v>
      </c>
      <c r="D266" s="43">
        <v>425770</v>
      </c>
      <c r="E266" s="44" t="s">
        <v>72</v>
      </c>
      <c r="F266" s="43">
        <v>847001</v>
      </c>
      <c r="G266" s="44" t="s">
        <v>24</v>
      </c>
      <c r="H266" s="44" t="s">
        <v>28</v>
      </c>
      <c r="I266" s="45" t="s">
        <v>29</v>
      </c>
      <c r="J266" s="45" t="s">
        <v>467</v>
      </c>
      <c r="K266" s="46" t="s">
        <v>31</v>
      </c>
      <c r="L266" s="47" t="s">
        <v>1379</v>
      </c>
    </row>
    <row r="267" spans="1:12" ht="14.5" x14ac:dyDescent="0.35">
      <c r="A267" s="47" t="s">
        <v>1363</v>
      </c>
      <c r="B267" s="43">
        <v>8470330</v>
      </c>
      <c r="C267" s="44" t="s">
        <v>268</v>
      </c>
      <c r="D267" s="43">
        <v>425770</v>
      </c>
      <c r="E267" s="44" t="s">
        <v>72</v>
      </c>
      <c r="F267" s="43">
        <v>847001</v>
      </c>
      <c r="G267" s="44" t="s">
        <v>24</v>
      </c>
      <c r="H267" s="44" t="s">
        <v>25</v>
      </c>
      <c r="I267" s="45" t="s">
        <v>26</v>
      </c>
      <c r="J267" s="45" t="s">
        <v>468</v>
      </c>
      <c r="K267" s="46" t="s">
        <v>31</v>
      </c>
      <c r="L267" s="47" t="s">
        <v>1379</v>
      </c>
    </row>
    <row r="268" spans="1:12" ht="14.5" x14ac:dyDescent="0.35">
      <c r="A268" s="47" t="s">
        <v>1363</v>
      </c>
      <c r="B268" s="43">
        <v>8470330</v>
      </c>
      <c r="C268" s="44" t="s">
        <v>268</v>
      </c>
      <c r="D268" s="43">
        <v>425770</v>
      </c>
      <c r="E268" s="44" t="s">
        <v>72</v>
      </c>
      <c r="F268" s="43">
        <v>847001</v>
      </c>
      <c r="G268" s="44" t="s">
        <v>24</v>
      </c>
      <c r="H268" s="44" t="s">
        <v>28</v>
      </c>
      <c r="I268" s="45" t="s">
        <v>29</v>
      </c>
      <c r="J268" s="45" t="s">
        <v>469</v>
      </c>
      <c r="K268" s="46" t="s">
        <v>31</v>
      </c>
      <c r="L268" s="47" t="s">
        <v>1379</v>
      </c>
    </row>
    <row r="269" spans="1:12" ht="14.5" x14ac:dyDescent="0.35">
      <c r="A269" s="47" t="s">
        <v>1363</v>
      </c>
      <c r="B269" s="43">
        <v>8470335</v>
      </c>
      <c r="C269" s="44" t="s">
        <v>317</v>
      </c>
      <c r="D269" s="43">
        <v>425770</v>
      </c>
      <c r="E269" s="44" t="s">
        <v>72</v>
      </c>
      <c r="F269" s="43">
        <v>847001</v>
      </c>
      <c r="G269" s="44" t="s">
        <v>24</v>
      </c>
      <c r="H269" s="44" t="s">
        <v>25</v>
      </c>
      <c r="I269" s="45" t="s">
        <v>26</v>
      </c>
      <c r="J269" s="45" t="s">
        <v>470</v>
      </c>
      <c r="K269" s="46" t="s">
        <v>31</v>
      </c>
      <c r="L269" s="47" t="s">
        <v>1379</v>
      </c>
    </row>
    <row r="270" spans="1:12" ht="14.5" x14ac:dyDescent="0.35">
      <c r="A270" s="47" t="s">
        <v>1363</v>
      </c>
      <c r="B270" s="43">
        <v>8470335</v>
      </c>
      <c r="C270" s="44" t="s">
        <v>317</v>
      </c>
      <c r="D270" s="43">
        <v>425770</v>
      </c>
      <c r="E270" s="44" t="s">
        <v>72</v>
      </c>
      <c r="F270" s="43">
        <v>847001</v>
      </c>
      <c r="G270" s="44" t="s">
        <v>24</v>
      </c>
      <c r="H270" s="44" t="s">
        <v>28</v>
      </c>
      <c r="I270" s="45" t="s">
        <v>29</v>
      </c>
      <c r="J270" s="45" t="s">
        <v>471</v>
      </c>
      <c r="K270" s="46" t="s">
        <v>31</v>
      </c>
      <c r="L270" s="47" t="s">
        <v>1379</v>
      </c>
    </row>
    <row r="271" spans="1:12" ht="14.5" x14ac:dyDescent="0.35">
      <c r="A271" s="47" t="s">
        <v>1363</v>
      </c>
      <c r="B271" s="43">
        <v>8470340</v>
      </c>
      <c r="C271" s="44" t="s">
        <v>234</v>
      </c>
      <c r="D271" s="43">
        <v>425770</v>
      </c>
      <c r="E271" s="44" t="s">
        <v>72</v>
      </c>
      <c r="F271" s="43">
        <v>847001</v>
      </c>
      <c r="G271" s="44" t="s">
        <v>24</v>
      </c>
      <c r="H271" s="44" t="s">
        <v>25</v>
      </c>
      <c r="I271" s="45" t="s">
        <v>26</v>
      </c>
      <c r="J271" s="45" t="s">
        <v>472</v>
      </c>
      <c r="K271" s="46" t="s">
        <v>31</v>
      </c>
      <c r="L271" s="47" t="s">
        <v>1379</v>
      </c>
    </row>
    <row r="272" spans="1:12" ht="14.5" x14ac:dyDescent="0.35">
      <c r="A272" s="47" t="s">
        <v>1363</v>
      </c>
      <c r="B272" s="43">
        <v>8470340</v>
      </c>
      <c r="C272" s="44" t="s">
        <v>234</v>
      </c>
      <c r="D272" s="43">
        <v>425770</v>
      </c>
      <c r="E272" s="44" t="s">
        <v>72</v>
      </c>
      <c r="F272" s="43">
        <v>847001</v>
      </c>
      <c r="G272" s="44" t="s">
        <v>24</v>
      </c>
      <c r="H272" s="44" t="s">
        <v>28</v>
      </c>
      <c r="I272" s="45" t="s">
        <v>29</v>
      </c>
      <c r="J272" s="45" t="s">
        <v>473</v>
      </c>
      <c r="K272" s="46" t="s">
        <v>31</v>
      </c>
      <c r="L272" s="47" t="s">
        <v>1379</v>
      </c>
    </row>
    <row r="273" spans="1:12" ht="14.5" x14ac:dyDescent="0.35">
      <c r="A273" s="47" t="s">
        <v>1363</v>
      </c>
      <c r="B273" s="43">
        <v>8470345</v>
      </c>
      <c r="C273" s="44" t="s">
        <v>188</v>
      </c>
      <c r="D273" s="43">
        <v>425770</v>
      </c>
      <c r="E273" s="44" t="s">
        <v>72</v>
      </c>
      <c r="F273" s="43">
        <v>847001</v>
      </c>
      <c r="G273" s="44" t="s">
        <v>24</v>
      </c>
      <c r="H273" s="44" t="s">
        <v>25</v>
      </c>
      <c r="I273" s="45" t="s">
        <v>26</v>
      </c>
      <c r="J273" s="45" t="s">
        <v>474</v>
      </c>
      <c r="K273" s="46" t="s">
        <v>31</v>
      </c>
      <c r="L273" s="47" t="s">
        <v>1379</v>
      </c>
    </row>
    <row r="274" spans="1:12" ht="14.5" x14ac:dyDescent="0.35">
      <c r="A274" s="47" t="s">
        <v>1363</v>
      </c>
      <c r="B274" s="43">
        <v>8470345</v>
      </c>
      <c r="C274" s="44" t="s">
        <v>188</v>
      </c>
      <c r="D274" s="43">
        <v>425770</v>
      </c>
      <c r="E274" s="44" t="s">
        <v>72</v>
      </c>
      <c r="F274" s="43">
        <v>847001</v>
      </c>
      <c r="G274" s="44" t="s">
        <v>24</v>
      </c>
      <c r="H274" s="44" t="s">
        <v>28</v>
      </c>
      <c r="I274" s="45" t="s">
        <v>29</v>
      </c>
      <c r="J274" s="45" t="s">
        <v>475</v>
      </c>
      <c r="K274" s="46" t="s">
        <v>31</v>
      </c>
      <c r="L274" s="47" t="s">
        <v>1379</v>
      </c>
    </row>
    <row r="275" spans="1:12" ht="14.5" x14ac:dyDescent="0.35">
      <c r="A275" s="47" t="s">
        <v>1363</v>
      </c>
      <c r="B275" s="43">
        <v>8470350</v>
      </c>
      <c r="C275" s="44" t="s">
        <v>191</v>
      </c>
      <c r="D275" s="43">
        <v>425770</v>
      </c>
      <c r="E275" s="44" t="s">
        <v>72</v>
      </c>
      <c r="F275" s="43">
        <v>847001</v>
      </c>
      <c r="G275" s="44" t="s">
        <v>24</v>
      </c>
      <c r="H275" s="44" t="s">
        <v>25</v>
      </c>
      <c r="I275" s="45" t="s">
        <v>26</v>
      </c>
      <c r="J275" s="45" t="s">
        <v>476</v>
      </c>
      <c r="K275" s="46" t="s">
        <v>31</v>
      </c>
      <c r="L275" s="47" t="s">
        <v>1379</v>
      </c>
    </row>
    <row r="276" spans="1:12" ht="14.5" x14ac:dyDescent="0.35">
      <c r="A276" s="47" t="s">
        <v>1363</v>
      </c>
      <c r="B276" s="43">
        <v>8470350</v>
      </c>
      <c r="C276" s="44" t="s">
        <v>191</v>
      </c>
      <c r="D276" s="43">
        <v>425770</v>
      </c>
      <c r="E276" s="44" t="s">
        <v>72</v>
      </c>
      <c r="F276" s="43">
        <v>847001</v>
      </c>
      <c r="G276" s="44" t="s">
        <v>24</v>
      </c>
      <c r="H276" s="44" t="s">
        <v>28</v>
      </c>
      <c r="I276" s="45" t="s">
        <v>29</v>
      </c>
      <c r="J276" s="45" t="s">
        <v>477</v>
      </c>
      <c r="K276" s="46" t="s">
        <v>31</v>
      </c>
      <c r="L276" s="47" t="s">
        <v>1379</v>
      </c>
    </row>
    <row r="277" spans="1:12" ht="14.5" x14ac:dyDescent="0.35">
      <c r="A277" s="47" t="s">
        <v>1357</v>
      </c>
      <c r="B277" s="43">
        <v>8470405</v>
      </c>
      <c r="C277" s="44" t="s">
        <v>270</v>
      </c>
      <c r="D277" s="43">
        <v>425770</v>
      </c>
      <c r="E277" s="44" t="s">
        <v>72</v>
      </c>
      <c r="F277" s="43">
        <v>847001</v>
      </c>
      <c r="G277" s="44" t="s">
        <v>24</v>
      </c>
      <c r="H277" s="44" t="s">
        <v>25</v>
      </c>
      <c r="I277" s="45" t="s">
        <v>26</v>
      </c>
      <c r="J277" s="45" t="s">
        <v>478</v>
      </c>
      <c r="K277" s="46" t="s">
        <v>31</v>
      </c>
      <c r="L277" s="47" t="s">
        <v>1379</v>
      </c>
    </row>
    <row r="278" spans="1:12" ht="14.5" x14ac:dyDescent="0.35">
      <c r="A278" s="47" t="s">
        <v>1357</v>
      </c>
      <c r="B278" s="43">
        <v>8470405</v>
      </c>
      <c r="C278" s="44" t="s">
        <v>270</v>
      </c>
      <c r="D278" s="43">
        <v>425770</v>
      </c>
      <c r="E278" s="44" t="s">
        <v>72</v>
      </c>
      <c r="F278" s="43">
        <v>847001</v>
      </c>
      <c r="G278" s="44" t="s">
        <v>24</v>
      </c>
      <c r="H278" s="44" t="s">
        <v>28</v>
      </c>
      <c r="I278" s="45" t="s">
        <v>29</v>
      </c>
      <c r="J278" s="45" t="s">
        <v>479</v>
      </c>
      <c r="K278" s="46" t="s">
        <v>31</v>
      </c>
      <c r="L278" s="47" t="s">
        <v>1379</v>
      </c>
    </row>
    <row r="279" spans="1:12" ht="14.5" x14ac:dyDescent="0.35">
      <c r="A279" s="47" t="s">
        <v>1357</v>
      </c>
      <c r="B279" s="43">
        <v>8470410</v>
      </c>
      <c r="C279" s="44" t="s">
        <v>421</v>
      </c>
      <c r="D279" s="43">
        <v>425770</v>
      </c>
      <c r="E279" s="44" t="s">
        <v>72</v>
      </c>
      <c r="F279" s="43">
        <v>847001</v>
      </c>
      <c r="G279" s="44" t="s">
        <v>24</v>
      </c>
      <c r="H279" s="44" t="s">
        <v>25</v>
      </c>
      <c r="I279" s="45" t="s">
        <v>26</v>
      </c>
      <c r="J279" s="45" t="s">
        <v>480</v>
      </c>
      <c r="K279" s="46" t="s">
        <v>31</v>
      </c>
      <c r="L279" s="47" t="s">
        <v>1379</v>
      </c>
    </row>
    <row r="280" spans="1:12" ht="14.5" x14ac:dyDescent="0.35">
      <c r="A280" s="47" t="s">
        <v>1357</v>
      </c>
      <c r="B280" s="43">
        <v>8470410</v>
      </c>
      <c r="C280" s="44" t="s">
        <v>421</v>
      </c>
      <c r="D280" s="43">
        <v>425770</v>
      </c>
      <c r="E280" s="44" t="s">
        <v>72</v>
      </c>
      <c r="F280" s="43">
        <v>847001</v>
      </c>
      <c r="G280" s="44" t="s">
        <v>24</v>
      </c>
      <c r="H280" s="44" t="s">
        <v>28</v>
      </c>
      <c r="I280" s="45" t="s">
        <v>29</v>
      </c>
      <c r="J280" s="45" t="s">
        <v>481</v>
      </c>
      <c r="K280" s="46" t="s">
        <v>31</v>
      </c>
      <c r="L280" s="47" t="s">
        <v>1379</v>
      </c>
    </row>
    <row r="281" spans="1:12" ht="14.5" x14ac:dyDescent="0.35">
      <c r="A281" s="47" t="s">
        <v>1357</v>
      </c>
      <c r="B281" s="43">
        <v>8470415</v>
      </c>
      <c r="C281" s="44" t="s">
        <v>362</v>
      </c>
      <c r="D281" s="43">
        <v>425770</v>
      </c>
      <c r="E281" s="44" t="s">
        <v>72</v>
      </c>
      <c r="F281" s="43">
        <v>847001</v>
      </c>
      <c r="G281" s="44" t="s">
        <v>24</v>
      </c>
      <c r="H281" s="44" t="s">
        <v>25</v>
      </c>
      <c r="I281" s="45" t="s">
        <v>26</v>
      </c>
      <c r="J281" s="45" t="s">
        <v>482</v>
      </c>
      <c r="K281" s="46" t="s">
        <v>31</v>
      </c>
      <c r="L281" s="47" t="s">
        <v>1379</v>
      </c>
    </row>
    <row r="282" spans="1:12" ht="14.5" x14ac:dyDescent="0.35">
      <c r="A282" s="47" t="s">
        <v>1357</v>
      </c>
      <c r="B282" s="43">
        <v>8470415</v>
      </c>
      <c r="C282" s="44" t="s">
        <v>362</v>
      </c>
      <c r="D282" s="43">
        <v>425770</v>
      </c>
      <c r="E282" s="44" t="s">
        <v>72</v>
      </c>
      <c r="F282" s="43">
        <v>847001</v>
      </c>
      <c r="G282" s="44" t="s">
        <v>24</v>
      </c>
      <c r="H282" s="44" t="s">
        <v>28</v>
      </c>
      <c r="I282" s="45" t="s">
        <v>29</v>
      </c>
      <c r="J282" s="45" t="s">
        <v>483</v>
      </c>
      <c r="K282" s="46" t="s">
        <v>31</v>
      </c>
      <c r="L282" s="47" t="s">
        <v>1379</v>
      </c>
    </row>
    <row r="283" spans="1:12" ht="14.5" x14ac:dyDescent="0.35">
      <c r="A283" s="47" t="e">
        <v>#N/A</v>
      </c>
      <c r="B283" s="43">
        <v>8470420</v>
      </c>
      <c r="C283" s="44" t="s">
        <v>326</v>
      </c>
      <c r="D283" s="43">
        <v>425770</v>
      </c>
      <c r="E283" s="44" t="s">
        <v>72</v>
      </c>
      <c r="F283" s="43">
        <v>847001</v>
      </c>
      <c r="G283" s="44" t="s">
        <v>24</v>
      </c>
      <c r="H283" s="44" t="s">
        <v>25</v>
      </c>
      <c r="I283" s="45" t="s">
        <v>26</v>
      </c>
      <c r="J283" s="45" t="s">
        <v>484</v>
      </c>
      <c r="K283" s="46" t="s">
        <v>31</v>
      </c>
      <c r="L283" s="47" t="s">
        <v>1379</v>
      </c>
    </row>
    <row r="284" spans="1:12" ht="14.5" x14ac:dyDescent="0.35">
      <c r="A284" s="47" t="e">
        <v>#N/A</v>
      </c>
      <c r="B284" s="43">
        <v>8470420</v>
      </c>
      <c r="C284" s="44" t="s">
        <v>326</v>
      </c>
      <c r="D284" s="43">
        <v>425770</v>
      </c>
      <c r="E284" s="44" t="s">
        <v>72</v>
      </c>
      <c r="F284" s="43">
        <v>847001</v>
      </c>
      <c r="G284" s="44" t="s">
        <v>24</v>
      </c>
      <c r="H284" s="44" t="s">
        <v>28</v>
      </c>
      <c r="I284" s="45" t="s">
        <v>29</v>
      </c>
      <c r="J284" s="45" t="s">
        <v>485</v>
      </c>
      <c r="K284" s="46" t="s">
        <v>31</v>
      </c>
      <c r="L284" s="47" t="s">
        <v>1379</v>
      </c>
    </row>
    <row r="285" spans="1:12" ht="14.5" x14ac:dyDescent="0.35">
      <c r="A285" s="47" t="s">
        <v>1357</v>
      </c>
      <c r="B285" s="43">
        <v>8470425</v>
      </c>
      <c r="C285" s="44" t="s">
        <v>272</v>
      </c>
      <c r="D285" s="43">
        <v>425770</v>
      </c>
      <c r="E285" s="44" t="s">
        <v>72</v>
      </c>
      <c r="F285" s="43">
        <v>847001</v>
      </c>
      <c r="G285" s="44" t="s">
        <v>24</v>
      </c>
      <c r="H285" s="44" t="s">
        <v>25</v>
      </c>
      <c r="I285" s="45" t="s">
        <v>26</v>
      </c>
      <c r="J285" s="45" t="s">
        <v>486</v>
      </c>
      <c r="K285" s="46" t="s">
        <v>31</v>
      </c>
      <c r="L285" s="47" t="s">
        <v>1379</v>
      </c>
    </row>
    <row r="286" spans="1:12" ht="14.5" x14ac:dyDescent="0.35">
      <c r="A286" s="47" t="s">
        <v>1357</v>
      </c>
      <c r="B286" s="43">
        <v>8470425</v>
      </c>
      <c r="C286" s="44" t="s">
        <v>272</v>
      </c>
      <c r="D286" s="43">
        <v>425770</v>
      </c>
      <c r="E286" s="44" t="s">
        <v>72</v>
      </c>
      <c r="F286" s="43">
        <v>847001</v>
      </c>
      <c r="G286" s="44" t="s">
        <v>24</v>
      </c>
      <c r="H286" s="44" t="s">
        <v>28</v>
      </c>
      <c r="I286" s="45" t="s">
        <v>29</v>
      </c>
      <c r="J286" s="45" t="s">
        <v>487</v>
      </c>
      <c r="K286" s="46" t="s">
        <v>31</v>
      </c>
      <c r="L286" s="47" t="s">
        <v>1379</v>
      </c>
    </row>
    <row r="287" spans="1:12" ht="14.5" x14ac:dyDescent="0.35">
      <c r="A287" s="47" t="s">
        <v>1357</v>
      </c>
      <c r="B287" s="43">
        <v>8470430</v>
      </c>
      <c r="C287" s="44" t="s">
        <v>424</v>
      </c>
      <c r="D287" s="43">
        <v>425770</v>
      </c>
      <c r="E287" s="44" t="s">
        <v>72</v>
      </c>
      <c r="F287" s="43">
        <v>847001</v>
      </c>
      <c r="G287" s="44" t="s">
        <v>24</v>
      </c>
      <c r="H287" s="44" t="s">
        <v>25</v>
      </c>
      <c r="I287" s="45" t="s">
        <v>26</v>
      </c>
      <c r="J287" s="45" t="s">
        <v>488</v>
      </c>
      <c r="K287" s="46" t="s">
        <v>31</v>
      </c>
      <c r="L287" s="47" t="s">
        <v>1379</v>
      </c>
    </row>
    <row r="288" spans="1:12" ht="14.5" x14ac:dyDescent="0.35">
      <c r="A288" s="47" t="s">
        <v>1357</v>
      </c>
      <c r="B288" s="43">
        <v>8470430</v>
      </c>
      <c r="C288" s="44" t="s">
        <v>424</v>
      </c>
      <c r="D288" s="43">
        <v>425770</v>
      </c>
      <c r="E288" s="44" t="s">
        <v>72</v>
      </c>
      <c r="F288" s="43">
        <v>847001</v>
      </c>
      <c r="G288" s="44" t="s">
        <v>24</v>
      </c>
      <c r="H288" s="44" t="s">
        <v>28</v>
      </c>
      <c r="I288" s="45" t="s">
        <v>29</v>
      </c>
      <c r="J288" s="45" t="s">
        <v>489</v>
      </c>
      <c r="K288" s="46" t="s">
        <v>31</v>
      </c>
      <c r="L288" s="47" t="s">
        <v>1379</v>
      </c>
    </row>
    <row r="289" spans="1:12" ht="14.5" x14ac:dyDescent="0.35">
      <c r="A289" s="47" t="s">
        <v>1357</v>
      </c>
      <c r="B289" s="43">
        <v>8470435</v>
      </c>
      <c r="C289" s="44" t="s">
        <v>364</v>
      </c>
      <c r="D289" s="43">
        <v>425770</v>
      </c>
      <c r="E289" s="44" t="s">
        <v>72</v>
      </c>
      <c r="F289" s="43">
        <v>847001</v>
      </c>
      <c r="G289" s="44" t="s">
        <v>24</v>
      </c>
      <c r="H289" s="44" t="s">
        <v>25</v>
      </c>
      <c r="I289" s="45" t="s">
        <v>26</v>
      </c>
      <c r="J289" s="45" t="s">
        <v>490</v>
      </c>
      <c r="K289" s="46" t="s">
        <v>31</v>
      </c>
      <c r="L289" s="47" t="s">
        <v>1379</v>
      </c>
    </row>
    <row r="290" spans="1:12" ht="14.5" x14ac:dyDescent="0.35">
      <c r="A290" s="47" t="s">
        <v>1357</v>
      </c>
      <c r="B290" s="43">
        <v>8470435</v>
      </c>
      <c r="C290" s="44" t="s">
        <v>364</v>
      </c>
      <c r="D290" s="43">
        <v>425770</v>
      </c>
      <c r="E290" s="44" t="s">
        <v>72</v>
      </c>
      <c r="F290" s="43">
        <v>847001</v>
      </c>
      <c r="G290" s="44" t="s">
        <v>24</v>
      </c>
      <c r="H290" s="44" t="s">
        <v>28</v>
      </c>
      <c r="I290" s="45" t="s">
        <v>29</v>
      </c>
      <c r="J290" s="45" t="s">
        <v>491</v>
      </c>
      <c r="K290" s="46" t="s">
        <v>31</v>
      </c>
      <c r="L290" s="47" t="s">
        <v>1379</v>
      </c>
    </row>
    <row r="291" spans="1:12" ht="14.5" x14ac:dyDescent="0.35">
      <c r="A291" s="47" t="s">
        <v>1357</v>
      </c>
      <c r="B291" s="43">
        <v>8470440</v>
      </c>
      <c r="C291" s="44" t="s">
        <v>426</v>
      </c>
      <c r="D291" s="43">
        <v>425770</v>
      </c>
      <c r="E291" s="44" t="s">
        <v>72</v>
      </c>
      <c r="F291" s="43">
        <v>847001</v>
      </c>
      <c r="G291" s="44" t="s">
        <v>24</v>
      </c>
      <c r="H291" s="44" t="s">
        <v>25</v>
      </c>
      <c r="I291" s="45" t="s">
        <v>26</v>
      </c>
      <c r="J291" s="45" t="s">
        <v>492</v>
      </c>
      <c r="K291" s="46" t="s">
        <v>31</v>
      </c>
      <c r="L291" s="47" t="s">
        <v>1379</v>
      </c>
    </row>
    <row r="292" spans="1:12" ht="14.5" x14ac:dyDescent="0.35">
      <c r="A292" s="47" t="s">
        <v>1357</v>
      </c>
      <c r="B292" s="43">
        <v>8470440</v>
      </c>
      <c r="C292" s="44" t="s">
        <v>426</v>
      </c>
      <c r="D292" s="43">
        <v>425770</v>
      </c>
      <c r="E292" s="44" t="s">
        <v>72</v>
      </c>
      <c r="F292" s="43">
        <v>847001</v>
      </c>
      <c r="G292" s="44" t="s">
        <v>24</v>
      </c>
      <c r="H292" s="44" t="s">
        <v>28</v>
      </c>
      <c r="I292" s="45" t="s">
        <v>29</v>
      </c>
      <c r="J292" s="45" t="s">
        <v>493</v>
      </c>
      <c r="K292" s="46" t="s">
        <v>31</v>
      </c>
      <c r="L292" s="47" t="s">
        <v>1379</v>
      </c>
    </row>
    <row r="293" spans="1:12" ht="14.5" x14ac:dyDescent="0.35">
      <c r="A293" s="47" t="s">
        <v>1357</v>
      </c>
      <c r="B293" s="43">
        <v>8470445</v>
      </c>
      <c r="C293" s="44" t="s">
        <v>410</v>
      </c>
      <c r="D293" s="43">
        <v>425770</v>
      </c>
      <c r="E293" s="44" t="s">
        <v>72</v>
      </c>
      <c r="F293" s="43">
        <v>847001</v>
      </c>
      <c r="G293" s="44" t="s">
        <v>24</v>
      </c>
      <c r="H293" s="44" t="s">
        <v>25</v>
      </c>
      <c r="I293" s="45" t="s">
        <v>26</v>
      </c>
      <c r="J293" s="45" t="s">
        <v>494</v>
      </c>
      <c r="K293" s="46" t="s">
        <v>31</v>
      </c>
      <c r="L293" s="47" t="s">
        <v>1379</v>
      </c>
    </row>
    <row r="294" spans="1:12" ht="14.5" x14ac:dyDescent="0.35">
      <c r="A294" s="47" t="s">
        <v>1357</v>
      </c>
      <c r="B294" s="43">
        <v>8470445</v>
      </c>
      <c r="C294" s="44" t="s">
        <v>410</v>
      </c>
      <c r="D294" s="43">
        <v>425770</v>
      </c>
      <c r="E294" s="44" t="s">
        <v>72</v>
      </c>
      <c r="F294" s="43">
        <v>847001</v>
      </c>
      <c r="G294" s="44" t="s">
        <v>24</v>
      </c>
      <c r="H294" s="44" t="s">
        <v>28</v>
      </c>
      <c r="I294" s="45" t="s">
        <v>29</v>
      </c>
      <c r="J294" s="45" t="s">
        <v>495</v>
      </c>
      <c r="K294" s="46" t="s">
        <v>31</v>
      </c>
      <c r="L294" s="47" t="s">
        <v>1379</v>
      </c>
    </row>
    <row r="295" spans="1:12" ht="14.5" x14ac:dyDescent="0.35">
      <c r="A295" s="47" t="s">
        <v>1357</v>
      </c>
      <c r="B295" s="43">
        <v>8470450</v>
      </c>
      <c r="C295" s="44" t="s">
        <v>275</v>
      </c>
      <c r="D295" s="43">
        <v>425770</v>
      </c>
      <c r="E295" s="44" t="s">
        <v>72</v>
      </c>
      <c r="F295" s="43">
        <v>847001</v>
      </c>
      <c r="G295" s="44" t="s">
        <v>24</v>
      </c>
      <c r="H295" s="44" t="s">
        <v>25</v>
      </c>
      <c r="I295" s="45" t="s">
        <v>26</v>
      </c>
      <c r="J295" s="45" t="s">
        <v>496</v>
      </c>
      <c r="K295" s="46" t="s">
        <v>31</v>
      </c>
      <c r="L295" s="47" t="s">
        <v>1379</v>
      </c>
    </row>
    <row r="296" spans="1:12" ht="14.5" x14ac:dyDescent="0.35">
      <c r="A296" s="47" t="s">
        <v>1357</v>
      </c>
      <c r="B296" s="43">
        <v>8470450</v>
      </c>
      <c r="C296" s="44" t="s">
        <v>275</v>
      </c>
      <c r="D296" s="43">
        <v>425770</v>
      </c>
      <c r="E296" s="44" t="s">
        <v>72</v>
      </c>
      <c r="F296" s="43">
        <v>847001</v>
      </c>
      <c r="G296" s="44" t="s">
        <v>24</v>
      </c>
      <c r="H296" s="44" t="s">
        <v>28</v>
      </c>
      <c r="I296" s="45" t="s">
        <v>29</v>
      </c>
      <c r="J296" s="45" t="s">
        <v>497</v>
      </c>
      <c r="K296" s="46" t="s">
        <v>31</v>
      </c>
      <c r="L296" s="47" t="s">
        <v>1379</v>
      </c>
    </row>
    <row r="297" spans="1:12" ht="14.5" x14ac:dyDescent="0.35">
      <c r="A297" s="47" t="s">
        <v>1368</v>
      </c>
      <c r="B297" s="43">
        <v>8471110</v>
      </c>
      <c r="C297" s="44" t="s">
        <v>227</v>
      </c>
      <c r="D297" s="43">
        <v>425770</v>
      </c>
      <c r="E297" s="44" t="s">
        <v>72</v>
      </c>
      <c r="F297" s="43">
        <v>847001</v>
      </c>
      <c r="G297" s="44" t="s">
        <v>24</v>
      </c>
      <c r="H297" s="44" t="s">
        <v>28</v>
      </c>
      <c r="I297" s="45" t="s">
        <v>29</v>
      </c>
      <c r="J297" s="45" t="s">
        <v>498</v>
      </c>
      <c r="K297" s="46" t="s">
        <v>31</v>
      </c>
      <c r="L297" s="47" t="s">
        <v>1379</v>
      </c>
    </row>
    <row r="298" spans="1:12" ht="14.5" x14ac:dyDescent="0.35">
      <c r="A298" s="47" t="s">
        <v>1365</v>
      </c>
      <c r="B298" s="43">
        <v>8471280</v>
      </c>
      <c r="C298" s="44" t="s">
        <v>355</v>
      </c>
      <c r="D298" s="43">
        <v>425770</v>
      </c>
      <c r="E298" s="44" t="s">
        <v>72</v>
      </c>
      <c r="F298" s="43">
        <v>847001</v>
      </c>
      <c r="G298" s="44" t="s">
        <v>24</v>
      </c>
      <c r="H298" s="44" t="s">
        <v>25</v>
      </c>
      <c r="I298" s="45" t="s">
        <v>26</v>
      </c>
      <c r="J298" s="45" t="s">
        <v>499</v>
      </c>
      <c r="K298" s="46" t="s">
        <v>31</v>
      </c>
      <c r="L298" s="47" t="s">
        <v>1379</v>
      </c>
    </row>
    <row r="299" spans="1:12" ht="14.5" x14ac:dyDescent="0.35">
      <c r="A299" s="47" t="s">
        <v>1371</v>
      </c>
      <c r="B299" s="43">
        <v>8471305</v>
      </c>
      <c r="C299" s="44" t="s">
        <v>32</v>
      </c>
      <c r="D299" s="43">
        <v>425770</v>
      </c>
      <c r="E299" s="44" t="s">
        <v>72</v>
      </c>
      <c r="F299" s="43">
        <v>847001</v>
      </c>
      <c r="G299" s="44" t="s">
        <v>24</v>
      </c>
      <c r="H299" s="44" t="s">
        <v>25</v>
      </c>
      <c r="I299" s="45" t="s">
        <v>26</v>
      </c>
      <c r="J299" s="45" t="s">
        <v>73</v>
      </c>
      <c r="K299" s="46" t="s">
        <v>31</v>
      </c>
      <c r="L299" s="47" t="s">
        <v>1379</v>
      </c>
    </row>
    <row r="300" spans="1:12" ht="14.5" x14ac:dyDescent="0.35">
      <c r="A300" s="47" t="s">
        <v>1371</v>
      </c>
      <c r="B300" s="43">
        <v>8471305</v>
      </c>
      <c r="C300" s="44" t="s">
        <v>32</v>
      </c>
      <c r="D300" s="43">
        <v>425770</v>
      </c>
      <c r="E300" s="44" t="s">
        <v>72</v>
      </c>
      <c r="F300" s="43">
        <v>847001</v>
      </c>
      <c r="G300" s="44" t="s">
        <v>24</v>
      </c>
      <c r="H300" s="44" t="s">
        <v>28</v>
      </c>
      <c r="I300" s="45" t="s">
        <v>29</v>
      </c>
      <c r="J300" s="45" t="s">
        <v>74</v>
      </c>
      <c r="K300" s="46" t="s">
        <v>31</v>
      </c>
      <c r="L300" s="47" t="s">
        <v>1379</v>
      </c>
    </row>
    <row r="301" spans="1:12" ht="14.5" x14ac:dyDescent="0.35">
      <c r="A301" s="47" t="s">
        <v>1359</v>
      </c>
      <c r="B301" s="43">
        <v>8470110</v>
      </c>
      <c r="C301" s="44" t="s">
        <v>180</v>
      </c>
      <c r="D301" s="43">
        <v>425900</v>
      </c>
      <c r="E301" s="44" t="s">
        <v>75</v>
      </c>
      <c r="F301" s="43">
        <v>847001</v>
      </c>
      <c r="G301" s="44" t="s">
        <v>24</v>
      </c>
      <c r="H301" s="44" t="s">
        <v>25</v>
      </c>
      <c r="I301" s="45" t="s">
        <v>26</v>
      </c>
      <c r="J301" s="45" t="s">
        <v>500</v>
      </c>
      <c r="K301" s="46" t="s">
        <v>27</v>
      </c>
      <c r="L301" s="47" t="s">
        <v>1379</v>
      </c>
    </row>
    <row r="302" spans="1:12" ht="14.5" x14ac:dyDescent="0.35">
      <c r="A302" s="47" t="s">
        <v>1359</v>
      </c>
      <c r="B302" s="43">
        <v>8470110</v>
      </c>
      <c r="C302" s="44" t="s">
        <v>180</v>
      </c>
      <c r="D302" s="43">
        <v>425900</v>
      </c>
      <c r="E302" s="44" t="s">
        <v>75</v>
      </c>
      <c r="F302" s="43">
        <v>847001</v>
      </c>
      <c r="G302" s="44" t="s">
        <v>24</v>
      </c>
      <c r="H302" s="44" t="s">
        <v>28</v>
      </c>
      <c r="I302" s="45" t="s">
        <v>29</v>
      </c>
      <c r="J302" s="45" t="s">
        <v>501</v>
      </c>
      <c r="K302" s="46" t="s">
        <v>27</v>
      </c>
      <c r="L302" s="47" t="s">
        <v>1379</v>
      </c>
    </row>
    <row r="303" spans="1:12" ht="14.5" x14ac:dyDescent="0.35">
      <c r="A303" s="47" t="s">
        <v>1359</v>
      </c>
      <c r="B303" s="43">
        <v>8470140</v>
      </c>
      <c r="C303" s="44" t="s">
        <v>231</v>
      </c>
      <c r="D303" s="43">
        <v>425900</v>
      </c>
      <c r="E303" s="44" t="s">
        <v>75</v>
      </c>
      <c r="F303" s="43">
        <v>847001</v>
      </c>
      <c r="G303" s="44" t="s">
        <v>24</v>
      </c>
      <c r="H303" s="44" t="s">
        <v>28</v>
      </c>
      <c r="I303" s="45" t="s">
        <v>29</v>
      </c>
      <c r="J303" s="45" t="s">
        <v>502</v>
      </c>
      <c r="K303" s="46" t="s">
        <v>27</v>
      </c>
      <c r="L303" s="47" t="s">
        <v>1379</v>
      </c>
    </row>
    <row r="304" spans="1:12" ht="14.5" x14ac:dyDescent="0.35">
      <c r="A304" s="47" t="s">
        <v>1366</v>
      </c>
      <c r="B304" s="43">
        <v>8470230</v>
      </c>
      <c r="C304" s="44" t="s">
        <v>183</v>
      </c>
      <c r="D304" s="43">
        <v>425900</v>
      </c>
      <c r="E304" s="44" t="s">
        <v>75</v>
      </c>
      <c r="F304" s="43">
        <v>847001</v>
      </c>
      <c r="G304" s="44" t="s">
        <v>24</v>
      </c>
      <c r="H304" s="44" t="s">
        <v>25</v>
      </c>
      <c r="I304" s="45" t="s">
        <v>26</v>
      </c>
      <c r="J304" s="45" t="s">
        <v>503</v>
      </c>
      <c r="K304" s="46" t="s">
        <v>27</v>
      </c>
      <c r="L304" s="47" t="s">
        <v>1379</v>
      </c>
    </row>
    <row r="305" spans="1:12" ht="14.5" x14ac:dyDescent="0.35">
      <c r="A305" s="47" t="s">
        <v>1366</v>
      </c>
      <c r="B305" s="43">
        <v>8470230</v>
      </c>
      <c r="C305" s="44" t="s">
        <v>183</v>
      </c>
      <c r="D305" s="43">
        <v>425900</v>
      </c>
      <c r="E305" s="44" t="s">
        <v>75</v>
      </c>
      <c r="F305" s="43">
        <v>847001</v>
      </c>
      <c r="G305" s="44" t="s">
        <v>24</v>
      </c>
      <c r="H305" s="44" t="s">
        <v>28</v>
      </c>
      <c r="I305" s="45" t="s">
        <v>29</v>
      </c>
      <c r="J305" s="45" t="s">
        <v>504</v>
      </c>
      <c r="K305" s="46" t="s">
        <v>27</v>
      </c>
      <c r="L305" s="47" t="s">
        <v>1379</v>
      </c>
    </row>
    <row r="306" spans="1:12" ht="14.5" x14ac:dyDescent="0.35">
      <c r="A306" s="47" t="s">
        <v>1363</v>
      </c>
      <c r="B306" s="43">
        <v>8470305</v>
      </c>
      <c r="C306" s="44" t="s">
        <v>193</v>
      </c>
      <c r="D306" s="43">
        <v>425900</v>
      </c>
      <c r="E306" s="44" t="s">
        <v>75</v>
      </c>
      <c r="F306" s="43">
        <v>847001</v>
      </c>
      <c r="G306" s="44" t="s">
        <v>24</v>
      </c>
      <c r="H306" s="44" t="s">
        <v>25</v>
      </c>
      <c r="I306" s="45" t="s">
        <v>26</v>
      </c>
      <c r="J306" s="45" t="s">
        <v>505</v>
      </c>
      <c r="K306" s="46" t="s">
        <v>27</v>
      </c>
      <c r="L306" s="47" t="s">
        <v>1379</v>
      </c>
    </row>
    <row r="307" spans="1:12" ht="14.5" x14ac:dyDescent="0.35">
      <c r="A307" s="47" t="s">
        <v>1363</v>
      </c>
      <c r="B307" s="43">
        <v>8470305</v>
      </c>
      <c r="C307" s="44" t="s">
        <v>193</v>
      </c>
      <c r="D307" s="43">
        <v>425900</v>
      </c>
      <c r="E307" s="44" t="s">
        <v>75</v>
      </c>
      <c r="F307" s="43">
        <v>847001</v>
      </c>
      <c r="G307" s="44" t="s">
        <v>24</v>
      </c>
      <c r="H307" s="44" t="s">
        <v>28</v>
      </c>
      <c r="I307" s="45" t="s">
        <v>29</v>
      </c>
      <c r="J307" s="45" t="s">
        <v>506</v>
      </c>
      <c r="K307" s="46" t="s">
        <v>27</v>
      </c>
      <c r="L307" s="47" t="s">
        <v>1379</v>
      </c>
    </row>
    <row r="308" spans="1:12" ht="14.5" x14ac:dyDescent="0.35">
      <c r="A308" s="47" t="s">
        <v>1363</v>
      </c>
      <c r="B308" s="43">
        <v>8470310</v>
      </c>
      <c r="C308" s="44" t="s">
        <v>309</v>
      </c>
      <c r="D308" s="43">
        <v>425900</v>
      </c>
      <c r="E308" s="44" t="s">
        <v>75</v>
      </c>
      <c r="F308" s="43">
        <v>847001</v>
      </c>
      <c r="G308" s="44" t="s">
        <v>24</v>
      </c>
      <c r="H308" s="44" t="s">
        <v>25</v>
      </c>
      <c r="I308" s="45" t="s">
        <v>26</v>
      </c>
      <c r="J308" s="45" t="s">
        <v>507</v>
      </c>
      <c r="K308" s="46" t="s">
        <v>27</v>
      </c>
      <c r="L308" s="47" t="s">
        <v>1379</v>
      </c>
    </row>
    <row r="309" spans="1:12" ht="14.5" x14ac:dyDescent="0.35">
      <c r="A309" s="47" t="s">
        <v>1363</v>
      </c>
      <c r="B309" s="43">
        <v>8470315</v>
      </c>
      <c r="C309" s="44" t="s">
        <v>311</v>
      </c>
      <c r="D309" s="43">
        <v>425900</v>
      </c>
      <c r="E309" s="44" t="s">
        <v>75</v>
      </c>
      <c r="F309" s="43">
        <v>847001</v>
      </c>
      <c r="G309" s="44" t="s">
        <v>24</v>
      </c>
      <c r="H309" s="44" t="s">
        <v>25</v>
      </c>
      <c r="I309" s="45" t="s">
        <v>26</v>
      </c>
      <c r="J309" s="45" t="s">
        <v>508</v>
      </c>
      <c r="K309" s="46" t="s">
        <v>27</v>
      </c>
      <c r="L309" s="47" t="s">
        <v>1379</v>
      </c>
    </row>
    <row r="310" spans="1:12" ht="14.5" x14ac:dyDescent="0.35">
      <c r="A310" s="47" t="s">
        <v>1363</v>
      </c>
      <c r="B310" s="43">
        <v>8470315</v>
      </c>
      <c r="C310" s="44" t="s">
        <v>311</v>
      </c>
      <c r="D310" s="43">
        <v>425900</v>
      </c>
      <c r="E310" s="44" t="s">
        <v>75</v>
      </c>
      <c r="F310" s="43">
        <v>847001</v>
      </c>
      <c r="G310" s="44" t="s">
        <v>24</v>
      </c>
      <c r="H310" s="44" t="s">
        <v>28</v>
      </c>
      <c r="I310" s="45" t="s">
        <v>29</v>
      </c>
      <c r="J310" s="45" t="s">
        <v>509</v>
      </c>
      <c r="K310" s="46" t="s">
        <v>27</v>
      </c>
      <c r="L310" s="47" t="s">
        <v>1379</v>
      </c>
    </row>
    <row r="311" spans="1:12" ht="14.5" x14ac:dyDescent="0.35">
      <c r="A311" s="47" t="s">
        <v>1363</v>
      </c>
      <c r="B311" s="43">
        <v>8470320</v>
      </c>
      <c r="C311" s="44" t="s">
        <v>443</v>
      </c>
      <c r="D311" s="43">
        <v>425900</v>
      </c>
      <c r="E311" s="44" t="s">
        <v>75</v>
      </c>
      <c r="F311" s="43">
        <v>847001</v>
      </c>
      <c r="G311" s="44" t="s">
        <v>24</v>
      </c>
      <c r="H311" s="44" t="s">
        <v>25</v>
      </c>
      <c r="I311" s="45" t="s">
        <v>26</v>
      </c>
      <c r="J311" s="45" t="s">
        <v>510</v>
      </c>
      <c r="K311" s="46" t="s">
        <v>27</v>
      </c>
      <c r="L311" s="47" t="s">
        <v>1379</v>
      </c>
    </row>
    <row r="312" spans="1:12" ht="14.5" x14ac:dyDescent="0.35">
      <c r="A312" s="47" t="s">
        <v>1363</v>
      </c>
      <c r="B312" s="43">
        <v>8470320</v>
      </c>
      <c r="C312" s="44" t="s">
        <v>443</v>
      </c>
      <c r="D312" s="43">
        <v>425900</v>
      </c>
      <c r="E312" s="44" t="s">
        <v>75</v>
      </c>
      <c r="F312" s="43">
        <v>847001</v>
      </c>
      <c r="G312" s="44" t="s">
        <v>24</v>
      </c>
      <c r="H312" s="44" t="s">
        <v>28</v>
      </c>
      <c r="I312" s="45" t="s">
        <v>29</v>
      </c>
      <c r="J312" s="45" t="s">
        <v>511</v>
      </c>
      <c r="K312" s="46" t="s">
        <v>27</v>
      </c>
      <c r="L312" s="47" t="s">
        <v>1379</v>
      </c>
    </row>
    <row r="313" spans="1:12" ht="14.5" x14ac:dyDescent="0.35">
      <c r="A313" s="47" t="s">
        <v>1363</v>
      </c>
      <c r="B313" s="43">
        <v>8470325</v>
      </c>
      <c r="C313" s="44" t="s">
        <v>186</v>
      </c>
      <c r="D313" s="43">
        <v>425900</v>
      </c>
      <c r="E313" s="44" t="s">
        <v>75</v>
      </c>
      <c r="F313" s="43">
        <v>847001</v>
      </c>
      <c r="G313" s="44" t="s">
        <v>24</v>
      </c>
      <c r="H313" s="44" t="s">
        <v>25</v>
      </c>
      <c r="I313" s="45" t="s">
        <v>26</v>
      </c>
      <c r="J313" s="45" t="s">
        <v>512</v>
      </c>
      <c r="K313" s="46" t="s">
        <v>27</v>
      </c>
      <c r="L313" s="47" t="s">
        <v>1379</v>
      </c>
    </row>
    <row r="314" spans="1:12" ht="14.5" x14ac:dyDescent="0.35">
      <c r="A314" s="47" t="s">
        <v>1363</v>
      </c>
      <c r="B314" s="43">
        <v>8470325</v>
      </c>
      <c r="C314" s="44" t="s">
        <v>186</v>
      </c>
      <c r="D314" s="43">
        <v>425900</v>
      </c>
      <c r="E314" s="44" t="s">
        <v>75</v>
      </c>
      <c r="F314" s="43">
        <v>847001</v>
      </c>
      <c r="G314" s="44" t="s">
        <v>24</v>
      </c>
      <c r="H314" s="44" t="s">
        <v>28</v>
      </c>
      <c r="I314" s="45" t="s">
        <v>29</v>
      </c>
      <c r="J314" s="45" t="s">
        <v>513</v>
      </c>
      <c r="K314" s="46" t="s">
        <v>27</v>
      </c>
      <c r="L314" s="47" t="s">
        <v>1379</v>
      </c>
    </row>
    <row r="315" spans="1:12" ht="14.5" x14ac:dyDescent="0.35">
      <c r="A315" s="47" t="s">
        <v>1363</v>
      </c>
      <c r="B315" s="43">
        <v>8470330</v>
      </c>
      <c r="C315" s="44" t="s">
        <v>268</v>
      </c>
      <c r="D315" s="43">
        <v>425900</v>
      </c>
      <c r="E315" s="44" t="s">
        <v>75</v>
      </c>
      <c r="F315" s="43">
        <v>847001</v>
      </c>
      <c r="G315" s="44" t="s">
        <v>24</v>
      </c>
      <c r="H315" s="44" t="s">
        <v>25</v>
      </c>
      <c r="I315" s="45" t="s">
        <v>26</v>
      </c>
      <c r="J315" s="45" t="s">
        <v>514</v>
      </c>
      <c r="K315" s="46" t="s">
        <v>27</v>
      </c>
      <c r="L315" s="47" t="s">
        <v>1379</v>
      </c>
    </row>
    <row r="316" spans="1:12" ht="14.5" x14ac:dyDescent="0.35">
      <c r="A316" s="47" t="s">
        <v>1363</v>
      </c>
      <c r="B316" s="43">
        <v>8470330</v>
      </c>
      <c r="C316" s="44" t="s">
        <v>268</v>
      </c>
      <c r="D316" s="43">
        <v>425900</v>
      </c>
      <c r="E316" s="44" t="s">
        <v>75</v>
      </c>
      <c r="F316" s="43">
        <v>847001</v>
      </c>
      <c r="G316" s="44" t="s">
        <v>24</v>
      </c>
      <c r="H316" s="44" t="s">
        <v>28</v>
      </c>
      <c r="I316" s="45" t="s">
        <v>29</v>
      </c>
      <c r="J316" s="45" t="s">
        <v>515</v>
      </c>
      <c r="K316" s="46" t="s">
        <v>27</v>
      </c>
      <c r="L316" s="47" t="s">
        <v>1379</v>
      </c>
    </row>
    <row r="317" spans="1:12" ht="14.5" x14ac:dyDescent="0.35">
      <c r="A317" s="47" t="s">
        <v>1363</v>
      </c>
      <c r="B317" s="43">
        <v>8470335</v>
      </c>
      <c r="C317" s="44" t="s">
        <v>317</v>
      </c>
      <c r="D317" s="43">
        <v>425900</v>
      </c>
      <c r="E317" s="44" t="s">
        <v>75</v>
      </c>
      <c r="F317" s="43">
        <v>847001</v>
      </c>
      <c r="G317" s="44" t="s">
        <v>24</v>
      </c>
      <c r="H317" s="44" t="s">
        <v>25</v>
      </c>
      <c r="I317" s="45" t="s">
        <v>26</v>
      </c>
      <c r="J317" s="45" t="s">
        <v>516</v>
      </c>
      <c r="K317" s="46" t="s">
        <v>27</v>
      </c>
      <c r="L317" s="47" t="s">
        <v>1379</v>
      </c>
    </row>
    <row r="318" spans="1:12" ht="14.5" x14ac:dyDescent="0.35">
      <c r="A318" s="47" t="s">
        <v>1363</v>
      </c>
      <c r="B318" s="43">
        <v>8470335</v>
      </c>
      <c r="C318" s="44" t="s">
        <v>317</v>
      </c>
      <c r="D318" s="43">
        <v>425900</v>
      </c>
      <c r="E318" s="44" t="s">
        <v>75</v>
      </c>
      <c r="F318" s="43">
        <v>847001</v>
      </c>
      <c r="G318" s="44" t="s">
        <v>24</v>
      </c>
      <c r="H318" s="44" t="s">
        <v>28</v>
      </c>
      <c r="I318" s="45" t="s">
        <v>29</v>
      </c>
      <c r="J318" s="45" t="s">
        <v>517</v>
      </c>
      <c r="K318" s="46" t="s">
        <v>27</v>
      </c>
      <c r="L318" s="47" t="s">
        <v>1379</v>
      </c>
    </row>
    <row r="319" spans="1:12" ht="14.5" x14ac:dyDescent="0.35">
      <c r="A319" s="47" t="s">
        <v>1363</v>
      </c>
      <c r="B319" s="43">
        <v>8470340</v>
      </c>
      <c r="C319" s="44" t="s">
        <v>234</v>
      </c>
      <c r="D319" s="43">
        <v>425900</v>
      </c>
      <c r="E319" s="44" t="s">
        <v>75</v>
      </c>
      <c r="F319" s="43">
        <v>847001</v>
      </c>
      <c r="G319" s="44" t="s">
        <v>24</v>
      </c>
      <c r="H319" s="44" t="s">
        <v>25</v>
      </c>
      <c r="I319" s="45" t="s">
        <v>26</v>
      </c>
      <c r="J319" s="45" t="s">
        <v>518</v>
      </c>
      <c r="K319" s="46" t="s">
        <v>27</v>
      </c>
      <c r="L319" s="47" t="s">
        <v>1379</v>
      </c>
    </row>
    <row r="320" spans="1:12" ht="14.5" x14ac:dyDescent="0.35">
      <c r="A320" s="47" t="s">
        <v>1363</v>
      </c>
      <c r="B320" s="43">
        <v>8470340</v>
      </c>
      <c r="C320" s="44" t="s">
        <v>234</v>
      </c>
      <c r="D320" s="43">
        <v>425900</v>
      </c>
      <c r="E320" s="44" t="s">
        <v>75</v>
      </c>
      <c r="F320" s="43">
        <v>847001</v>
      </c>
      <c r="G320" s="44" t="s">
        <v>24</v>
      </c>
      <c r="H320" s="44" t="s">
        <v>28</v>
      </c>
      <c r="I320" s="45" t="s">
        <v>29</v>
      </c>
      <c r="J320" s="45" t="s">
        <v>519</v>
      </c>
      <c r="K320" s="46" t="s">
        <v>27</v>
      </c>
      <c r="L320" s="47" t="s">
        <v>1379</v>
      </c>
    </row>
    <row r="321" spans="1:12" ht="14.5" x14ac:dyDescent="0.35">
      <c r="A321" s="47" t="s">
        <v>1363</v>
      </c>
      <c r="B321" s="43">
        <v>8470345</v>
      </c>
      <c r="C321" s="44" t="s">
        <v>188</v>
      </c>
      <c r="D321" s="43">
        <v>425900</v>
      </c>
      <c r="E321" s="44" t="s">
        <v>75</v>
      </c>
      <c r="F321" s="43">
        <v>847001</v>
      </c>
      <c r="G321" s="44" t="s">
        <v>24</v>
      </c>
      <c r="H321" s="44" t="s">
        <v>25</v>
      </c>
      <c r="I321" s="45" t="s">
        <v>26</v>
      </c>
      <c r="J321" s="45" t="s">
        <v>520</v>
      </c>
      <c r="K321" s="46" t="s">
        <v>27</v>
      </c>
      <c r="L321" s="47" t="s">
        <v>1379</v>
      </c>
    </row>
    <row r="322" spans="1:12" ht="14.5" x14ac:dyDescent="0.35">
      <c r="A322" s="47" t="s">
        <v>1363</v>
      </c>
      <c r="B322" s="43">
        <v>8470345</v>
      </c>
      <c r="C322" s="44" t="s">
        <v>188</v>
      </c>
      <c r="D322" s="43">
        <v>425900</v>
      </c>
      <c r="E322" s="44" t="s">
        <v>75</v>
      </c>
      <c r="F322" s="43">
        <v>847001</v>
      </c>
      <c r="G322" s="44" t="s">
        <v>24</v>
      </c>
      <c r="H322" s="44" t="s">
        <v>28</v>
      </c>
      <c r="I322" s="45" t="s">
        <v>29</v>
      </c>
      <c r="J322" s="45" t="s">
        <v>521</v>
      </c>
      <c r="K322" s="46" t="s">
        <v>27</v>
      </c>
      <c r="L322" s="47" t="s">
        <v>1379</v>
      </c>
    </row>
    <row r="323" spans="1:12" ht="14.5" x14ac:dyDescent="0.35">
      <c r="A323" s="47" t="s">
        <v>1363</v>
      </c>
      <c r="B323" s="43">
        <v>8470350</v>
      </c>
      <c r="C323" s="44" t="s">
        <v>191</v>
      </c>
      <c r="D323" s="43">
        <v>425900</v>
      </c>
      <c r="E323" s="44" t="s">
        <v>75</v>
      </c>
      <c r="F323" s="43">
        <v>847001</v>
      </c>
      <c r="G323" s="44" t="s">
        <v>24</v>
      </c>
      <c r="H323" s="44" t="s">
        <v>25</v>
      </c>
      <c r="I323" s="45" t="s">
        <v>26</v>
      </c>
      <c r="J323" s="45" t="s">
        <v>522</v>
      </c>
      <c r="K323" s="46" t="s">
        <v>27</v>
      </c>
      <c r="L323" s="47" t="s">
        <v>1379</v>
      </c>
    </row>
    <row r="324" spans="1:12" ht="14.5" x14ac:dyDescent="0.35">
      <c r="A324" s="47" t="s">
        <v>1363</v>
      </c>
      <c r="B324" s="43">
        <v>8470350</v>
      </c>
      <c r="C324" s="44" t="s">
        <v>191</v>
      </c>
      <c r="D324" s="43">
        <v>425900</v>
      </c>
      <c r="E324" s="44" t="s">
        <v>75</v>
      </c>
      <c r="F324" s="43">
        <v>847001</v>
      </c>
      <c r="G324" s="44" t="s">
        <v>24</v>
      </c>
      <c r="H324" s="44" t="s">
        <v>28</v>
      </c>
      <c r="I324" s="45" t="s">
        <v>29</v>
      </c>
      <c r="J324" s="45" t="s">
        <v>523</v>
      </c>
      <c r="K324" s="46" t="s">
        <v>27</v>
      </c>
      <c r="L324" s="47" t="s">
        <v>1379</v>
      </c>
    </row>
    <row r="325" spans="1:12" ht="14.5" x14ac:dyDescent="0.35">
      <c r="A325" s="47" t="s">
        <v>1357</v>
      </c>
      <c r="B325" s="43">
        <v>8470415</v>
      </c>
      <c r="C325" s="44" t="s">
        <v>362</v>
      </c>
      <c r="D325" s="43">
        <v>425900</v>
      </c>
      <c r="E325" s="44" t="s">
        <v>75</v>
      </c>
      <c r="F325" s="43">
        <v>847001</v>
      </c>
      <c r="G325" s="44" t="s">
        <v>24</v>
      </c>
      <c r="H325" s="44" t="s">
        <v>25</v>
      </c>
      <c r="I325" s="45" t="s">
        <v>26</v>
      </c>
      <c r="J325" s="45" t="s">
        <v>524</v>
      </c>
      <c r="K325" s="46" t="s">
        <v>27</v>
      </c>
      <c r="L325" s="47" t="s">
        <v>1379</v>
      </c>
    </row>
    <row r="326" spans="1:12" ht="14.5" x14ac:dyDescent="0.35">
      <c r="A326" s="47" t="s">
        <v>1357</v>
      </c>
      <c r="B326" s="43">
        <v>8470415</v>
      </c>
      <c r="C326" s="44" t="s">
        <v>362</v>
      </c>
      <c r="D326" s="43">
        <v>425900</v>
      </c>
      <c r="E326" s="44" t="s">
        <v>75</v>
      </c>
      <c r="F326" s="43">
        <v>847001</v>
      </c>
      <c r="G326" s="44" t="s">
        <v>24</v>
      </c>
      <c r="H326" s="44" t="s">
        <v>28</v>
      </c>
      <c r="I326" s="45" t="s">
        <v>29</v>
      </c>
      <c r="J326" s="45" t="s">
        <v>525</v>
      </c>
      <c r="K326" s="46" t="s">
        <v>27</v>
      </c>
      <c r="L326" s="47" t="s">
        <v>1379</v>
      </c>
    </row>
    <row r="327" spans="1:12" ht="14.5" x14ac:dyDescent="0.35">
      <c r="A327" s="47" t="s">
        <v>1357</v>
      </c>
      <c r="B327" s="43">
        <v>8470425</v>
      </c>
      <c r="C327" s="44" t="s">
        <v>272</v>
      </c>
      <c r="D327" s="43">
        <v>425900</v>
      </c>
      <c r="E327" s="44" t="s">
        <v>75</v>
      </c>
      <c r="F327" s="43">
        <v>847001</v>
      </c>
      <c r="G327" s="44" t="s">
        <v>24</v>
      </c>
      <c r="H327" s="44" t="s">
        <v>25</v>
      </c>
      <c r="I327" s="45" t="s">
        <v>26</v>
      </c>
      <c r="J327" s="45" t="s">
        <v>526</v>
      </c>
      <c r="K327" s="46" t="s">
        <v>27</v>
      </c>
      <c r="L327" s="47" t="s">
        <v>1379</v>
      </c>
    </row>
    <row r="328" spans="1:12" ht="14.5" x14ac:dyDescent="0.35">
      <c r="A328" s="47" t="s">
        <v>1357</v>
      </c>
      <c r="B328" s="43">
        <v>8470430</v>
      </c>
      <c r="C328" s="44" t="s">
        <v>424</v>
      </c>
      <c r="D328" s="43">
        <v>425900</v>
      </c>
      <c r="E328" s="44" t="s">
        <v>75</v>
      </c>
      <c r="F328" s="43">
        <v>847001</v>
      </c>
      <c r="G328" s="44" t="s">
        <v>24</v>
      </c>
      <c r="H328" s="44" t="s">
        <v>25</v>
      </c>
      <c r="I328" s="45" t="s">
        <v>26</v>
      </c>
      <c r="J328" s="45" t="s">
        <v>527</v>
      </c>
      <c r="K328" s="46" t="s">
        <v>27</v>
      </c>
      <c r="L328" s="47" t="s">
        <v>1379</v>
      </c>
    </row>
    <row r="329" spans="1:12" ht="14.5" x14ac:dyDescent="0.35">
      <c r="A329" s="47" t="s">
        <v>1357</v>
      </c>
      <c r="B329" s="43">
        <v>8470430</v>
      </c>
      <c r="C329" s="44" t="s">
        <v>424</v>
      </c>
      <c r="D329" s="43">
        <v>425900</v>
      </c>
      <c r="E329" s="44" t="s">
        <v>75</v>
      </c>
      <c r="F329" s="43">
        <v>847001</v>
      </c>
      <c r="G329" s="44" t="s">
        <v>24</v>
      </c>
      <c r="H329" s="44" t="s">
        <v>28</v>
      </c>
      <c r="I329" s="45" t="s">
        <v>29</v>
      </c>
      <c r="J329" s="45" t="s">
        <v>528</v>
      </c>
      <c r="K329" s="46" t="s">
        <v>27</v>
      </c>
      <c r="L329" s="47" t="s">
        <v>1379</v>
      </c>
    </row>
    <row r="330" spans="1:12" ht="14.5" x14ac:dyDescent="0.35">
      <c r="A330" s="47" t="s">
        <v>1357</v>
      </c>
      <c r="B330" s="43">
        <v>8470435</v>
      </c>
      <c r="C330" s="44" t="s">
        <v>364</v>
      </c>
      <c r="D330" s="43">
        <v>425900</v>
      </c>
      <c r="E330" s="44" t="s">
        <v>75</v>
      </c>
      <c r="F330" s="43">
        <v>847001</v>
      </c>
      <c r="G330" s="44" t="s">
        <v>24</v>
      </c>
      <c r="H330" s="44" t="s">
        <v>28</v>
      </c>
      <c r="I330" s="45" t="s">
        <v>29</v>
      </c>
      <c r="J330" s="45" t="s">
        <v>529</v>
      </c>
      <c r="K330" s="46" t="s">
        <v>27</v>
      </c>
      <c r="L330" s="47" t="s">
        <v>1379</v>
      </c>
    </row>
    <row r="331" spans="1:12" ht="14.5" x14ac:dyDescent="0.35">
      <c r="A331" s="47" t="s">
        <v>1358</v>
      </c>
      <c r="B331" s="43">
        <v>8470530</v>
      </c>
      <c r="C331" s="44" t="s">
        <v>165</v>
      </c>
      <c r="D331" s="43">
        <v>425900</v>
      </c>
      <c r="E331" s="44" t="s">
        <v>75</v>
      </c>
      <c r="F331" s="43">
        <v>847010</v>
      </c>
      <c r="G331" s="44" t="s">
        <v>167</v>
      </c>
      <c r="H331" s="44" t="s">
        <v>25</v>
      </c>
      <c r="I331" s="45" t="s">
        <v>26</v>
      </c>
      <c r="J331" s="45" t="s">
        <v>530</v>
      </c>
      <c r="K331" s="46" t="s">
        <v>27</v>
      </c>
      <c r="L331" s="47" t="s">
        <v>1379</v>
      </c>
    </row>
    <row r="332" spans="1:12" ht="14.5" x14ac:dyDescent="0.35">
      <c r="A332" s="47" t="s">
        <v>1362</v>
      </c>
      <c r="B332" s="43">
        <v>8470620</v>
      </c>
      <c r="C332" s="44" t="s">
        <v>161</v>
      </c>
      <c r="D332" s="43">
        <v>425900</v>
      </c>
      <c r="E332" s="44" t="s">
        <v>75</v>
      </c>
      <c r="F332" s="43">
        <v>847001</v>
      </c>
      <c r="G332" s="44" t="s">
        <v>24</v>
      </c>
      <c r="H332" s="44" t="s">
        <v>25</v>
      </c>
      <c r="I332" s="45" t="s">
        <v>26</v>
      </c>
      <c r="J332" s="45" t="s">
        <v>531</v>
      </c>
      <c r="K332" s="46" t="s">
        <v>27</v>
      </c>
      <c r="L332" s="47" t="s">
        <v>1379</v>
      </c>
    </row>
    <row r="333" spans="1:12" ht="14.5" x14ac:dyDescent="0.35">
      <c r="A333" s="47" t="s">
        <v>1362</v>
      </c>
      <c r="B333" s="43">
        <v>8470620</v>
      </c>
      <c r="C333" s="44" t="s">
        <v>161</v>
      </c>
      <c r="D333" s="43">
        <v>425900</v>
      </c>
      <c r="E333" s="44" t="s">
        <v>75</v>
      </c>
      <c r="F333" s="43">
        <v>847001</v>
      </c>
      <c r="G333" s="44" t="s">
        <v>24</v>
      </c>
      <c r="H333" s="44" t="s">
        <v>28</v>
      </c>
      <c r="I333" s="45" t="s">
        <v>29</v>
      </c>
      <c r="J333" s="45" t="s">
        <v>532</v>
      </c>
      <c r="K333" s="46" t="s">
        <v>27</v>
      </c>
      <c r="L333" s="47" t="s">
        <v>1379</v>
      </c>
    </row>
    <row r="334" spans="1:12" ht="14.5" x14ac:dyDescent="0.35">
      <c r="A334" s="47" t="s">
        <v>1367</v>
      </c>
      <c r="B334" s="43">
        <v>8470730</v>
      </c>
      <c r="C334" s="44" t="s">
        <v>223</v>
      </c>
      <c r="D334" s="43">
        <v>425900</v>
      </c>
      <c r="E334" s="44" t="s">
        <v>75</v>
      </c>
      <c r="F334" s="43">
        <v>847001</v>
      </c>
      <c r="G334" s="44" t="s">
        <v>24</v>
      </c>
      <c r="H334" s="44" t="s">
        <v>25</v>
      </c>
      <c r="I334" s="45" t="s">
        <v>26</v>
      </c>
      <c r="J334" s="45" t="s">
        <v>533</v>
      </c>
      <c r="K334" s="46" t="s">
        <v>27</v>
      </c>
      <c r="L334" s="47" t="s">
        <v>1379</v>
      </c>
    </row>
    <row r="335" spans="1:12" ht="14.5" x14ac:dyDescent="0.35">
      <c r="A335" s="47" t="s">
        <v>1367</v>
      </c>
      <c r="B335" s="43">
        <v>8470730</v>
      </c>
      <c r="C335" s="44" t="s">
        <v>223</v>
      </c>
      <c r="D335" s="43">
        <v>425900</v>
      </c>
      <c r="E335" s="44" t="s">
        <v>75</v>
      </c>
      <c r="F335" s="43">
        <v>847001</v>
      </c>
      <c r="G335" s="44" t="s">
        <v>24</v>
      </c>
      <c r="H335" s="44" t="s">
        <v>28</v>
      </c>
      <c r="I335" s="45" t="s">
        <v>29</v>
      </c>
      <c r="J335" s="45" t="s">
        <v>534</v>
      </c>
      <c r="K335" s="46" t="s">
        <v>27</v>
      </c>
      <c r="L335" s="47" t="s">
        <v>1379</v>
      </c>
    </row>
    <row r="336" spans="1:12" ht="14.5" x14ac:dyDescent="0.35">
      <c r="A336" s="47" t="s">
        <v>1364</v>
      </c>
      <c r="B336" s="43">
        <v>8470810</v>
      </c>
      <c r="C336" s="44" t="s">
        <v>200</v>
      </c>
      <c r="D336" s="43">
        <v>425900</v>
      </c>
      <c r="E336" s="44" t="s">
        <v>75</v>
      </c>
      <c r="F336" s="43">
        <v>847001</v>
      </c>
      <c r="G336" s="44" t="s">
        <v>24</v>
      </c>
      <c r="H336" s="44" t="s">
        <v>25</v>
      </c>
      <c r="I336" s="45" t="s">
        <v>26</v>
      </c>
      <c r="J336" s="45" t="s">
        <v>535</v>
      </c>
      <c r="K336" s="46" t="s">
        <v>27</v>
      </c>
      <c r="L336" s="47" t="s">
        <v>1379</v>
      </c>
    </row>
    <row r="337" spans="1:12" ht="14.5" x14ac:dyDescent="0.35">
      <c r="A337" s="47" t="s">
        <v>1364</v>
      </c>
      <c r="B337" s="43">
        <v>8470810</v>
      </c>
      <c r="C337" s="44" t="s">
        <v>200</v>
      </c>
      <c r="D337" s="43">
        <v>425900</v>
      </c>
      <c r="E337" s="44" t="s">
        <v>75</v>
      </c>
      <c r="F337" s="43">
        <v>847001</v>
      </c>
      <c r="G337" s="44" t="s">
        <v>24</v>
      </c>
      <c r="H337" s="44" t="s">
        <v>28</v>
      </c>
      <c r="I337" s="45" t="s">
        <v>29</v>
      </c>
      <c r="J337" s="45" t="s">
        <v>536</v>
      </c>
      <c r="K337" s="46" t="s">
        <v>27</v>
      </c>
      <c r="L337" s="47" t="s">
        <v>1379</v>
      </c>
    </row>
    <row r="338" spans="1:12" ht="14.5" x14ac:dyDescent="0.35">
      <c r="A338" s="47" t="s">
        <v>1368</v>
      </c>
      <c r="B338" s="43">
        <v>8471110</v>
      </c>
      <c r="C338" s="44" t="s">
        <v>227</v>
      </c>
      <c r="D338" s="43">
        <v>425900</v>
      </c>
      <c r="E338" s="44" t="s">
        <v>75</v>
      </c>
      <c r="F338" s="43">
        <v>847001</v>
      </c>
      <c r="G338" s="44" t="s">
        <v>24</v>
      </c>
      <c r="H338" s="44" t="s">
        <v>25</v>
      </c>
      <c r="I338" s="45" t="s">
        <v>26</v>
      </c>
      <c r="J338" s="45" t="s">
        <v>537</v>
      </c>
      <c r="K338" s="46" t="s">
        <v>27</v>
      </c>
      <c r="L338" s="47" t="s">
        <v>1379</v>
      </c>
    </row>
    <row r="339" spans="1:12" ht="14.5" x14ac:dyDescent="0.35">
      <c r="A339" s="47" t="s">
        <v>1368</v>
      </c>
      <c r="B339" s="43">
        <v>8471110</v>
      </c>
      <c r="C339" s="44" t="s">
        <v>227</v>
      </c>
      <c r="D339" s="43">
        <v>425900</v>
      </c>
      <c r="E339" s="44" t="s">
        <v>75</v>
      </c>
      <c r="F339" s="43">
        <v>847001</v>
      </c>
      <c r="G339" s="44" t="s">
        <v>24</v>
      </c>
      <c r="H339" s="44" t="s">
        <v>28</v>
      </c>
      <c r="I339" s="45" t="s">
        <v>29</v>
      </c>
      <c r="J339" s="45" t="s">
        <v>538</v>
      </c>
      <c r="K339" s="46" t="s">
        <v>27</v>
      </c>
      <c r="L339" s="47" t="s">
        <v>1379</v>
      </c>
    </row>
    <row r="340" spans="1:12" ht="14.5" x14ac:dyDescent="0.35">
      <c r="A340" s="47" t="s">
        <v>1368</v>
      </c>
      <c r="B340" s="43">
        <v>8471120</v>
      </c>
      <c r="C340" s="44" t="s">
        <v>539</v>
      </c>
      <c r="D340" s="43">
        <v>425900</v>
      </c>
      <c r="E340" s="44" t="s">
        <v>75</v>
      </c>
      <c r="F340" s="43">
        <v>847001</v>
      </c>
      <c r="G340" s="44" t="s">
        <v>24</v>
      </c>
      <c r="H340" s="44" t="s">
        <v>25</v>
      </c>
      <c r="I340" s="45" t="s">
        <v>26</v>
      </c>
      <c r="J340" s="45" t="s">
        <v>540</v>
      </c>
      <c r="K340" s="46" t="s">
        <v>27</v>
      </c>
      <c r="L340" s="47" t="s">
        <v>1379</v>
      </c>
    </row>
    <row r="341" spans="1:12" ht="14.5" x14ac:dyDescent="0.35">
      <c r="A341" s="47" t="s">
        <v>1368</v>
      </c>
      <c r="B341" s="43">
        <v>8471120</v>
      </c>
      <c r="C341" s="44" t="s">
        <v>539</v>
      </c>
      <c r="D341" s="43">
        <v>425900</v>
      </c>
      <c r="E341" s="44" t="s">
        <v>75</v>
      </c>
      <c r="F341" s="43">
        <v>847001</v>
      </c>
      <c r="G341" s="44" t="s">
        <v>24</v>
      </c>
      <c r="H341" s="44" t="s">
        <v>28</v>
      </c>
      <c r="I341" s="45" t="s">
        <v>29</v>
      </c>
      <c r="J341" s="45" t="s">
        <v>541</v>
      </c>
      <c r="K341" s="46" t="s">
        <v>27</v>
      </c>
      <c r="L341" s="47" t="s">
        <v>1379</v>
      </c>
    </row>
    <row r="342" spans="1:12" ht="14.5" x14ac:dyDescent="0.35">
      <c r="A342" s="47" t="s">
        <v>1368</v>
      </c>
      <c r="B342" s="43">
        <v>8471130</v>
      </c>
      <c r="C342" s="44" t="s">
        <v>197</v>
      </c>
      <c r="D342" s="43">
        <v>425900</v>
      </c>
      <c r="E342" s="44" t="s">
        <v>75</v>
      </c>
      <c r="F342" s="43">
        <v>847001</v>
      </c>
      <c r="G342" s="44" t="s">
        <v>24</v>
      </c>
      <c r="H342" s="44" t="s">
        <v>28</v>
      </c>
      <c r="I342" s="45" t="s">
        <v>29</v>
      </c>
      <c r="J342" s="45" t="s">
        <v>542</v>
      </c>
      <c r="K342" s="46" t="s">
        <v>27</v>
      </c>
      <c r="L342" s="47" t="s">
        <v>1379</v>
      </c>
    </row>
    <row r="343" spans="1:12" ht="14.5" x14ac:dyDescent="0.35">
      <c r="A343" s="47" t="s">
        <v>1368</v>
      </c>
      <c r="B343" s="43">
        <v>8471140</v>
      </c>
      <c r="C343" s="44" t="s">
        <v>339</v>
      </c>
      <c r="D343" s="43">
        <v>425900</v>
      </c>
      <c r="E343" s="44" t="s">
        <v>75</v>
      </c>
      <c r="F343" s="43">
        <v>847001</v>
      </c>
      <c r="G343" s="44" t="s">
        <v>24</v>
      </c>
      <c r="H343" s="44" t="s">
        <v>25</v>
      </c>
      <c r="I343" s="45" t="s">
        <v>26</v>
      </c>
      <c r="J343" s="45" t="s">
        <v>543</v>
      </c>
      <c r="K343" s="46" t="s">
        <v>27</v>
      </c>
      <c r="L343" s="47" t="s">
        <v>1379</v>
      </c>
    </row>
    <row r="344" spans="1:12" ht="14.5" x14ac:dyDescent="0.35">
      <c r="A344" s="47" t="s">
        <v>1365</v>
      </c>
      <c r="B344" s="43">
        <v>8471210</v>
      </c>
      <c r="C344" s="44" t="s">
        <v>176</v>
      </c>
      <c r="D344" s="43">
        <v>425900</v>
      </c>
      <c r="E344" s="44" t="s">
        <v>75</v>
      </c>
      <c r="F344" s="43">
        <v>847001</v>
      </c>
      <c r="G344" s="44" t="s">
        <v>24</v>
      </c>
      <c r="H344" s="44" t="s">
        <v>25</v>
      </c>
      <c r="I344" s="45" t="s">
        <v>26</v>
      </c>
      <c r="J344" s="45" t="s">
        <v>544</v>
      </c>
      <c r="K344" s="46" t="s">
        <v>27</v>
      </c>
      <c r="L344" s="47" t="s">
        <v>1379</v>
      </c>
    </row>
    <row r="345" spans="1:12" ht="14.5" x14ac:dyDescent="0.35">
      <c r="A345" s="47" t="s">
        <v>1365</v>
      </c>
      <c r="B345" s="43">
        <v>8471210</v>
      </c>
      <c r="C345" s="44" t="s">
        <v>176</v>
      </c>
      <c r="D345" s="43">
        <v>425900</v>
      </c>
      <c r="E345" s="44" t="s">
        <v>75</v>
      </c>
      <c r="F345" s="43">
        <v>847001</v>
      </c>
      <c r="G345" s="44" t="s">
        <v>24</v>
      </c>
      <c r="H345" s="44" t="s">
        <v>28</v>
      </c>
      <c r="I345" s="45" t="s">
        <v>29</v>
      </c>
      <c r="J345" s="45" t="s">
        <v>545</v>
      </c>
      <c r="K345" s="46" t="s">
        <v>27</v>
      </c>
      <c r="L345" s="47" t="s">
        <v>1379</v>
      </c>
    </row>
    <row r="346" spans="1:12" ht="14.5" x14ac:dyDescent="0.35">
      <c r="A346" s="47" t="s">
        <v>1365</v>
      </c>
      <c r="B346" s="43">
        <v>8471240</v>
      </c>
      <c r="C346" s="44" t="s">
        <v>346</v>
      </c>
      <c r="D346" s="43">
        <v>425900</v>
      </c>
      <c r="E346" s="44" t="s">
        <v>75</v>
      </c>
      <c r="F346" s="43">
        <v>847001</v>
      </c>
      <c r="G346" s="44" t="s">
        <v>24</v>
      </c>
      <c r="H346" s="44" t="s">
        <v>25</v>
      </c>
      <c r="I346" s="45" t="s">
        <v>26</v>
      </c>
      <c r="J346" s="45" t="s">
        <v>546</v>
      </c>
      <c r="K346" s="46" t="s">
        <v>27</v>
      </c>
      <c r="L346" s="47" t="s">
        <v>1379</v>
      </c>
    </row>
    <row r="347" spans="1:12" ht="14.5" x14ac:dyDescent="0.35">
      <c r="A347" s="47" t="s">
        <v>1365</v>
      </c>
      <c r="B347" s="43">
        <v>8471240</v>
      </c>
      <c r="C347" s="44" t="s">
        <v>346</v>
      </c>
      <c r="D347" s="43">
        <v>425900</v>
      </c>
      <c r="E347" s="44" t="s">
        <v>75</v>
      </c>
      <c r="F347" s="43">
        <v>847001</v>
      </c>
      <c r="G347" s="44" t="s">
        <v>24</v>
      </c>
      <c r="H347" s="44" t="s">
        <v>28</v>
      </c>
      <c r="I347" s="45" t="s">
        <v>29</v>
      </c>
      <c r="J347" s="45" t="s">
        <v>547</v>
      </c>
      <c r="K347" s="46" t="s">
        <v>27</v>
      </c>
      <c r="L347" s="47" t="s">
        <v>1379</v>
      </c>
    </row>
    <row r="348" spans="1:12" ht="14.5" x14ac:dyDescent="0.35">
      <c r="A348" s="47" t="s">
        <v>1365</v>
      </c>
      <c r="B348" s="43">
        <v>8471250</v>
      </c>
      <c r="C348" s="44" t="s">
        <v>349</v>
      </c>
      <c r="D348" s="43">
        <v>425900</v>
      </c>
      <c r="E348" s="44" t="s">
        <v>75</v>
      </c>
      <c r="F348" s="43">
        <v>847001</v>
      </c>
      <c r="G348" s="44" t="s">
        <v>24</v>
      </c>
      <c r="H348" s="44" t="s">
        <v>25</v>
      </c>
      <c r="I348" s="45" t="s">
        <v>26</v>
      </c>
      <c r="J348" s="45" t="s">
        <v>548</v>
      </c>
      <c r="K348" s="46" t="s">
        <v>27</v>
      </c>
      <c r="L348" s="47" t="s">
        <v>1379</v>
      </c>
    </row>
    <row r="349" spans="1:12" ht="14.5" x14ac:dyDescent="0.35">
      <c r="A349" s="47" t="s">
        <v>1365</v>
      </c>
      <c r="B349" s="43">
        <v>8471250</v>
      </c>
      <c r="C349" s="44" t="s">
        <v>349</v>
      </c>
      <c r="D349" s="43">
        <v>425900</v>
      </c>
      <c r="E349" s="44" t="s">
        <v>75</v>
      </c>
      <c r="F349" s="43">
        <v>847001</v>
      </c>
      <c r="G349" s="44" t="s">
        <v>24</v>
      </c>
      <c r="H349" s="44" t="s">
        <v>28</v>
      </c>
      <c r="I349" s="45" t="s">
        <v>29</v>
      </c>
      <c r="J349" s="45" t="s">
        <v>549</v>
      </c>
      <c r="K349" s="46" t="s">
        <v>27</v>
      </c>
      <c r="L349" s="47" t="s">
        <v>1379</v>
      </c>
    </row>
    <row r="350" spans="1:12" ht="14.5" x14ac:dyDescent="0.35">
      <c r="A350" s="47" t="s">
        <v>1365</v>
      </c>
      <c r="B350" s="43">
        <v>8471260</v>
      </c>
      <c r="C350" s="44" t="s">
        <v>178</v>
      </c>
      <c r="D350" s="43">
        <v>425900</v>
      </c>
      <c r="E350" s="44" t="s">
        <v>75</v>
      </c>
      <c r="F350" s="43">
        <v>847001</v>
      </c>
      <c r="G350" s="44" t="s">
        <v>24</v>
      </c>
      <c r="H350" s="44" t="s">
        <v>25</v>
      </c>
      <c r="I350" s="45" t="s">
        <v>26</v>
      </c>
      <c r="J350" s="45" t="s">
        <v>550</v>
      </c>
      <c r="K350" s="46" t="s">
        <v>27</v>
      </c>
      <c r="L350" s="47" t="s">
        <v>1379</v>
      </c>
    </row>
    <row r="351" spans="1:12" ht="14.5" x14ac:dyDescent="0.35">
      <c r="A351" s="47" t="s">
        <v>1365</v>
      </c>
      <c r="B351" s="43">
        <v>8471270</v>
      </c>
      <c r="C351" s="44" t="s">
        <v>353</v>
      </c>
      <c r="D351" s="43">
        <v>425900</v>
      </c>
      <c r="E351" s="44" t="s">
        <v>75</v>
      </c>
      <c r="F351" s="43">
        <v>847001</v>
      </c>
      <c r="G351" s="44" t="s">
        <v>24</v>
      </c>
      <c r="H351" s="44" t="s">
        <v>25</v>
      </c>
      <c r="I351" s="45" t="s">
        <v>26</v>
      </c>
      <c r="J351" s="45" t="s">
        <v>551</v>
      </c>
      <c r="K351" s="46" t="s">
        <v>27</v>
      </c>
      <c r="L351" s="47" t="s">
        <v>1379</v>
      </c>
    </row>
    <row r="352" spans="1:12" ht="14.5" x14ac:dyDescent="0.35">
      <c r="A352" s="47" t="s">
        <v>1371</v>
      </c>
      <c r="B352" s="43">
        <v>8471305</v>
      </c>
      <c r="C352" s="44" t="s">
        <v>32</v>
      </c>
      <c r="D352" s="43">
        <v>425900</v>
      </c>
      <c r="E352" s="44" t="s">
        <v>75</v>
      </c>
      <c r="F352" s="43">
        <v>847001</v>
      </c>
      <c r="G352" s="44" t="s">
        <v>24</v>
      </c>
      <c r="H352" s="44" t="s">
        <v>25</v>
      </c>
      <c r="I352" s="45" t="s">
        <v>26</v>
      </c>
      <c r="J352" s="45" t="s">
        <v>76</v>
      </c>
      <c r="K352" s="46" t="s">
        <v>27</v>
      </c>
      <c r="L352" s="47" t="s">
        <v>1379</v>
      </c>
    </row>
    <row r="353" spans="1:12" ht="14.5" x14ac:dyDescent="0.35">
      <c r="A353" s="47" t="s">
        <v>1371</v>
      </c>
      <c r="B353" s="43">
        <v>8471305</v>
      </c>
      <c r="C353" s="44" t="s">
        <v>32</v>
      </c>
      <c r="D353" s="43">
        <v>425900</v>
      </c>
      <c r="E353" s="44" t="s">
        <v>75</v>
      </c>
      <c r="F353" s="43">
        <v>847001</v>
      </c>
      <c r="G353" s="44" t="s">
        <v>24</v>
      </c>
      <c r="H353" s="44" t="s">
        <v>28</v>
      </c>
      <c r="I353" s="45" t="s">
        <v>29</v>
      </c>
      <c r="J353" s="45" t="s">
        <v>77</v>
      </c>
      <c r="K353" s="46" t="s">
        <v>27</v>
      </c>
      <c r="L353" s="47" t="s">
        <v>1379</v>
      </c>
    </row>
    <row r="354" spans="1:12" ht="14.5" x14ac:dyDescent="0.35">
      <c r="A354" s="47" t="s">
        <v>1371</v>
      </c>
      <c r="B354" s="43">
        <v>8471305</v>
      </c>
      <c r="C354" s="44" t="s">
        <v>32</v>
      </c>
      <c r="D354" s="43">
        <v>426100</v>
      </c>
      <c r="E354" s="44" t="s">
        <v>78</v>
      </c>
      <c r="F354" s="43">
        <v>847001</v>
      </c>
      <c r="G354" s="44" t="s">
        <v>24</v>
      </c>
      <c r="H354" s="44" t="s">
        <v>25</v>
      </c>
      <c r="I354" s="45" t="s">
        <v>26</v>
      </c>
      <c r="J354" s="45" t="s">
        <v>79</v>
      </c>
      <c r="K354" s="46" t="s">
        <v>571</v>
      </c>
      <c r="L354" s="47" t="s">
        <v>1379</v>
      </c>
    </row>
    <row r="355" spans="1:12" ht="14.5" x14ac:dyDescent="0.35">
      <c r="A355" s="47" t="s">
        <v>1358</v>
      </c>
      <c r="B355" s="43">
        <v>8470530</v>
      </c>
      <c r="C355" s="44" t="s">
        <v>165</v>
      </c>
      <c r="D355" s="43">
        <v>426210</v>
      </c>
      <c r="E355" s="44" t="s">
        <v>552</v>
      </c>
      <c r="F355" s="43">
        <v>847010</v>
      </c>
      <c r="G355" s="44" t="s">
        <v>167</v>
      </c>
      <c r="H355" s="44" t="s">
        <v>25</v>
      </c>
      <c r="I355" s="45" t="s">
        <v>26</v>
      </c>
      <c r="J355" s="45" t="s">
        <v>553</v>
      </c>
      <c r="K355" s="46" t="s">
        <v>571</v>
      </c>
      <c r="L355" s="47" t="s">
        <v>1379</v>
      </c>
    </row>
    <row r="356" spans="1:12" ht="14.5" x14ac:dyDescent="0.35">
      <c r="A356" s="47" t="s">
        <v>1362</v>
      </c>
      <c r="B356" s="43">
        <v>8470620</v>
      </c>
      <c r="C356" s="44" t="s">
        <v>161</v>
      </c>
      <c r="D356" s="43">
        <v>426210</v>
      </c>
      <c r="E356" s="44" t="s">
        <v>552</v>
      </c>
      <c r="F356" s="43">
        <v>847001</v>
      </c>
      <c r="G356" s="44" t="s">
        <v>24</v>
      </c>
      <c r="H356" s="44" t="s">
        <v>28</v>
      </c>
      <c r="I356" s="45" t="s">
        <v>29</v>
      </c>
      <c r="J356" s="45" t="s">
        <v>554</v>
      </c>
      <c r="K356" s="46" t="s">
        <v>571</v>
      </c>
      <c r="L356" s="47" t="s">
        <v>1379</v>
      </c>
    </row>
    <row r="357" spans="1:12" ht="14.5" x14ac:dyDescent="0.35">
      <c r="A357" s="47" t="s">
        <v>1363</v>
      </c>
      <c r="B357" s="43">
        <v>8470305</v>
      </c>
      <c r="C357" s="44" t="s">
        <v>193</v>
      </c>
      <c r="D357" s="43">
        <v>426220</v>
      </c>
      <c r="E357" s="44" t="s">
        <v>555</v>
      </c>
      <c r="F357" s="43">
        <v>847001</v>
      </c>
      <c r="G357" s="44" t="s">
        <v>24</v>
      </c>
      <c r="H357" s="44" t="s">
        <v>28</v>
      </c>
      <c r="I357" s="45" t="s">
        <v>29</v>
      </c>
      <c r="J357" s="45" t="s">
        <v>556</v>
      </c>
      <c r="K357" s="46" t="s">
        <v>571</v>
      </c>
      <c r="L357" s="47" t="s">
        <v>1379</v>
      </c>
    </row>
    <row r="358" spans="1:12" ht="14.5" x14ac:dyDescent="0.35">
      <c r="A358" s="47" t="s">
        <v>1358</v>
      </c>
      <c r="B358" s="43">
        <v>8470530</v>
      </c>
      <c r="C358" s="44" t="s">
        <v>165</v>
      </c>
      <c r="D358" s="43">
        <v>426220</v>
      </c>
      <c r="E358" s="44" t="s">
        <v>555</v>
      </c>
      <c r="F358" s="43">
        <v>847010</v>
      </c>
      <c r="G358" s="44" t="s">
        <v>167</v>
      </c>
      <c r="H358" s="44" t="s">
        <v>25</v>
      </c>
      <c r="I358" s="45" t="s">
        <v>26</v>
      </c>
      <c r="J358" s="45" t="s">
        <v>557</v>
      </c>
      <c r="K358" s="46" t="s">
        <v>571</v>
      </c>
      <c r="L358" s="47" t="s">
        <v>1379</v>
      </c>
    </row>
    <row r="359" spans="1:12" ht="14.5" x14ac:dyDescent="0.35">
      <c r="A359" s="47" t="s">
        <v>1358</v>
      </c>
      <c r="B359" s="43">
        <v>8470530</v>
      </c>
      <c r="C359" s="44" t="s">
        <v>165</v>
      </c>
      <c r="D359" s="43">
        <v>426220</v>
      </c>
      <c r="E359" s="44" t="s">
        <v>555</v>
      </c>
      <c r="F359" s="43">
        <v>847010</v>
      </c>
      <c r="G359" s="44" t="s">
        <v>167</v>
      </c>
      <c r="H359" s="44" t="s">
        <v>28</v>
      </c>
      <c r="I359" s="45" t="s">
        <v>29</v>
      </c>
      <c r="J359" s="45" t="s">
        <v>558</v>
      </c>
      <c r="K359" s="46" t="s">
        <v>571</v>
      </c>
      <c r="L359" s="47" t="s">
        <v>1379</v>
      </c>
    </row>
    <row r="360" spans="1:12" ht="14.5" x14ac:dyDescent="0.35">
      <c r="A360" s="47" t="s">
        <v>1358</v>
      </c>
      <c r="B360" s="43">
        <v>8470530</v>
      </c>
      <c r="C360" s="44" t="s">
        <v>165</v>
      </c>
      <c r="D360" s="43">
        <v>426220</v>
      </c>
      <c r="E360" s="44" t="s">
        <v>555</v>
      </c>
      <c r="F360" s="43">
        <v>847030</v>
      </c>
      <c r="G360" s="44" t="s">
        <v>173</v>
      </c>
      <c r="H360" s="44" t="s">
        <v>25</v>
      </c>
      <c r="I360" s="45" t="s">
        <v>26</v>
      </c>
      <c r="J360" s="45" t="s">
        <v>559</v>
      </c>
      <c r="K360" s="46" t="s">
        <v>571</v>
      </c>
      <c r="L360" s="47" t="s">
        <v>1379</v>
      </c>
    </row>
    <row r="361" spans="1:12" ht="14.5" x14ac:dyDescent="0.35">
      <c r="A361" s="47" t="s">
        <v>1358</v>
      </c>
      <c r="B361" s="43">
        <v>8470530</v>
      </c>
      <c r="C361" s="44" t="s">
        <v>165</v>
      </c>
      <c r="D361" s="43">
        <v>426220</v>
      </c>
      <c r="E361" s="44" t="s">
        <v>555</v>
      </c>
      <c r="F361" s="43">
        <v>847030</v>
      </c>
      <c r="G361" s="44" t="s">
        <v>173</v>
      </c>
      <c r="H361" s="44" t="s">
        <v>28</v>
      </c>
      <c r="I361" s="45" t="s">
        <v>29</v>
      </c>
      <c r="J361" s="45" t="s">
        <v>560</v>
      </c>
      <c r="K361" s="46" t="s">
        <v>571</v>
      </c>
      <c r="L361" s="47" t="s">
        <v>1379</v>
      </c>
    </row>
    <row r="362" spans="1:12" ht="14.5" x14ac:dyDescent="0.35">
      <c r="A362" s="47" t="s">
        <v>1364</v>
      </c>
      <c r="B362" s="43">
        <v>8470810</v>
      </c>
      <c r="C362" s="44" t="s">
        <v>200</v>
      </c>
      <c r="D362" s="43">
        <v>426220</v>
      </c>
      <c r="E362" s="44" t="s">
        <v>555</v>
      </c>
      <c r="F362" s="43">
        <v>847001</v>
      </c>
      <c r="G362" s="44" t="s">
        <v>24</v>
      </c>
      <c r="H362" s="44" t="s">
        <v>28</v>
      </c>
      <c r="I362" s="45" t="s">
        <v>29</v>
      </c>
      <c r="J362" s="45" t="s">
        <v>561</v>
      </c>
      <c r="K362" s="46" t="s">
        <v>571</v>
      </c>
      <c r="L362" s="47" t="s">
        <v>1379</v>
      </c>
    </row>
    <row r="363" spans="1:12" ht="14.5" x14ac:dyDescent="0.35">
      <c r="A363" s="47" t="s">
        <v>1368</v>
      </c>
      <c r="B363" s="43">
        <v>8471160</v>
      </c>
      <c r="C363" s="44" t="s">
        <v>281</v>
      </c>
      <c r="D363" s="43">
        <v>426220</v>
      </c>
      <c r="E363" s="44" t="s">
        <v>555</v>
      </c>
      <c r="F363" s="43">
        <v>847001</v>
      </c>
      <c r="G363" s="44" t="s">
        <v>24</v>
      </c>
      <c r="H363" s="44" t="s">
        <v>28</v>
      </c>
      <c r="I363" s="45" t="s">
        <v>29</v>
      </c>
      <c r="J363" s="45" t="s">
        <v>562</v>
      </c>
      <c r="K363" s="46" t="s">
        <v>571</v>
      </c>
      <c r="L363" s="47" t="s">
        <v>1379</v>
      </c>
    </row>
    <row r="364" spans="1:12" ht="14.5" x14ac:dyDescent="0.35">
      <c r="A364" s="47" t="s">
        <v>1365</v>
      </c>
      <c r="B364" s="43">
        <v>8471210</v>
      </c>
      <c r="C364" s="44" t="s">
        <v>176</v>
      </c>
      <c r="D364" s="43">
        <v>426220</v>
      </c>
      <c r="E364" s="44" t="s">
        <v>555</v>
      </c>
      <c r="F364" s="43">
        <v>847001</v>
      </c>
      <c r="G364" s="44" t="s">
        <v>24</v>
      </c>
      <c r="H364" s="44" t="s">
        <v>28</v>
      </c>
      <c r="I364" s="45" t="s">
        <v>29</v>
      </c>
      <c r="J364" s="45" t="s">
        <v>563</v>
      </c>
      <c r="K364" s="46" t="s">
        <v>571</v>
      </c>
      <c r="L364" s="47" t="s">
        <v>1379</v>
      </c>
    </row>
    <row r="365" spans="1:12" ht="14.5" x14ac:dyDescent="0.35">
      <c r="A365" s="47" t="s">
        <v>1365</v>
      </c>
      <c r="B365" s="43">
        <v>8471260</v>
      </c>
      <c r="C365" s="44" t="s">
        <v>178</v>
      </c>
      <c r="D365" s="43">
        <v>426220</v>
      </c>
      <c r="E365" s="44" t="s">
        <v>555</v>
      </c>
      <c r="F365" s="43">
        <v>847001</v>
      </c>
      <c r="G365" s="44" t="s">
        <v>24</v>
      </c>
      <c r="H365" s="44" t="s">
        <v>25</v>
      </c>
      <c r="I365" s="45" t="s">
        <v>26</v>
      </c>
      <c r="J365" s="45" t="s">
        <v>564</v>
      </c>
      <c r="K365" s="46" t="s">
        <v>571</v>
      </c>
      <c r="L365" s="47" t="s">
        <v>1379</v>
      </c>
    </row>
    <row r="366" spans="1:12" ht="14.5" x14ac:dyDescent="0.35">
      <c r="A366" s="47" t="s">
        <v>1358</v>
      </c>
      <c r="B366" s="43">
        <v>8470530</v>
      </c>
      <c r="C366" s="44" t="s">
        <v>165</v>
      </c>
      <c r="D366" s="43">
        <v>426250</v>
      </c>
      <c r="E366" s="44" t="s">
        <v>565</v>
      </c>
      <c r="F366" s="43">
        <v>847010</v>
      </c>
      <c r="G366" s="44" t="s">
        <v>167</v>
      </c>
      <c r="H366" s="44" t="s">
        <v>25</v>
      </c>
      <c r="I366" s="45" t="s">
        <v>26</v>
      </c>
      <c r="J366" s="45" t="s">
        <v>566</v>
      </c>
      <c r="K366" s="46" t="s">
        <v>571</v>
      </c>
      <c r="L366" s="47" t="s">
        <v>1379</v>
      </c>
    </row>
    <row r="367" spans="1:12" ht="14.5" x14ac:dyDescent="0.35">
      <c r="A367" s="47" t="s">
        <v>1358</v>
      </c>
      <c r="B367" s="43">
        <v>8470530</v>
      </c>
      <c r="C367" s="44" t="s">
        <v>165</v>
      </c>
      <c r="D367" s="43">
        <v>426250</v>
      </c>
      <c r="E367" s="44" t="s">
        <v>565</v>
      </c>
      <c r="F367" s="43">
        <v>847020</v>
      </c>
      <c r="G367" s="44" t="s">
        <v>170</v>
      </c>
      <c r="H367" s="44" t="s">
        <v>28</v>
      </c>
      <c r="I367" s="45" t="s">
        <v>29</v>
      </c>
      <c r="J367" s="45" t="s">
        <v>567</v>
      </c>
      <c r="K367" s="46" t="s">
        <v>571</v>
      </c>
      <c r="L367" s="47" t="s">
        <v>1379</v>
      </c>
    </row>
    <row r="368" spans="1:12" ht="14.5" x14ac:dyDescent="0.35">
      <c r="A368" s="47" t="s">
        <v>1358</v>
      </c>
      <c r="B368" s="43">
        <v>8470530</v>
      </c>
      <c r="C368" s="44" t="s">
        <v>165</v>
      </c>
      <c r="D368" s="43">
        <v>426250</v>
      </c>
      <c r="E368" s="44" t="s">
        <v>565</v>
      </c>
      <c r="F368" s="43">
        <v>847030</v>
      </c>
      <c r="G368" s="44" t="s">
        <v>173</v>
      </c>
      <c r="H368" s="44" t="s">
        <v>28</v>
      </c>
      <c r="I368" s="45" t="s">
        <v>29</v>
      </c>
      <c r="J368" s="45" t="s">
        <v>568</v>
      </c>
      <c r="K368" s="46" t="s">
        <v>571</v>
      </c>
      <c r="L368" s="47" t="s">
        <v>1379</v>
      </c>
    </row>
    <row r="369" spans="1:12" ht="14.5" x14ac:dyDescent="0.35">
      <c r="A369" s="47" t="s">
        <v>1358</v>
      </c>
      <c r="B369" s="43">
        <v>8470530</v>
      </c>
      <c r="C369" s="44" t="s">
        <v>165</v>
      </c>
      <c r="D369" s="43">
        <v>426290</v>
      </c>
      <c r="E369" s="44" t="s">
        <v>569</v>
      </c>
      <c r="F369" s="43">
        <v>847010</v>
      </c>
      <c r="G369" s="44" t="s">
        <v>167</v>
      </c>
      <c r="H369" s="44" t="s">
        <v>28</v>
      </c>
      <c r="I369" s="45" t="s">
        <v>29</v>
      </c>
      <c r="J369" s="45" t="s">
        <v>570</v>
      </c>
      <c r="K369" s="46">
        <v>0</v>
      </c>
      <c r="L369" s="47" t="s">
        <v>1379</v>
      </c>
    </row>
    <row r="370" spans="1:12" ht="14.5" x14ac:dyDescent="0.35">
      <c r="A370" s="47" t="s">
        <v>1367</v>
      </c>
      <c r="B370" s="43">
        <v>8470730</v>
      </c>
      <c r="C370" s="44" t="s">
        <v>223</v>
      </c>
      <c r="D370" s="43">
        <v>426290</v>
      </c>
      <c r="E370" s="44" t="s">
        <v>569</v>
      </c>
      <c r="F370" s="43">
        <v>847001</v>
      </c>
      <c r="G370" s="44" t="s">
        <v>24</v>
      </c>
      <c r="H370" s="44" t="s">
        <v>25</v>
      </c>
      <c r="I370" s="45" t="s">
        <v>26</v>
      </c>
      <c r="J370" s="45" t="s">
        <v>572</v>
      </c>
      <c r="K370" s="46">
        <v>0</v>
      </c>
      <c r="L370" s="47" t="s">
        <v>1379</v>
      </c>
    </row>
    <row r="371" spans="1:12" ht="14.5" x14ac:dyDescent="0.35">
      <c r="A371" s="47" t="s">
        <v>1359</v>
      </c>
      <c r="B371" s="43">
        <v>8470110</v>
      </c>
      <c r="C371" s="44" t="s">
        <v>180</v>
      </c>
      <c r="D371" s="43">
        <v>426610</v>
      </c>
      <c r="E371" s="44" t="s">
        <v>80</v>
      </c>
      <c r="F371" s="43">
        <v>847001</v>
      </c>
      <c r="G371" s="44" t="s">
        <v>24</v>
      </c>
      <c r="H371" s="44" t="s">
        <v>25</v>
      </c>
      <c r="I371" s="45" t="s">
        <v>26</v>
      </c>
      <c r="J371" s="45" t="s">
        <v>573</v>
      </c>
      <c r="K371" s="46" t="s">
        <v>574</v>
      </c>
      <c r="L371" s="47" t="s">
        <v>1385</v>
      </c>
    </row>
    <row r="372" spans="1:12" ht="14.5" x14ac:dyDescent="0.35">
      <c r="A372" s="47" t="s">
        <v>1359</v>
      </c>
      <c r="B372" s="43">
        <v>8470110</v>
      </c>
      <c r="C372" s="44" t="s">
        <v>180</v>
      </c>
      <c r="D372" s="43">
        <v>426610</v>
      </c>
      <c r="E372" s="44" t="s">
        <v>80</v>
      </c>
      <c r="F372" s="43">
        <v>847001</v>
      </c>
      <c r="G372" s="44" t="s">
        <v>24</v>
      </c>
      <c r="H372" s="44" t="s">
        <v>28</v>
      </c>
      <c r="I372" s="45" t="s">
        <v>29</v>
      </c>
      <c r="J372" s="45" t="s">
        <v>575</v>
      </c>
      <c r="K372" s="46" t="s">
        <v>574</v>
      </c>
      <c r="L372" s="47" t="s">
        <v>1385</v>
      </c>
    </row>
    <row r="373" spans="1:12" ht="14.5" x14ac:dyDescent="0.35">
      <c r="A373" s="47" t="s">
        <v>1359</v>
      </c>
      <c r="B373" s="43">
        <v>8470140</v>
      </c>
      <c r="C373" s="44" t="s">
        <v>231</v>
      </c>
      <c r="D373" s="43">
        <v>426610</v>
      </c>
      <c r="E373" s="44" t="s">
        <v>80</v>
      </c>
      <c r="F373" s="43">
        <v>847001</v>
      </c>
      <c r="G373" s="44" t="s">
        <v>24</v>
      </c>
      <c r="H373" s="44" t="s">
        <v>28</v>
      </c>
      <c r="I373" s="45" t="s">
        <v>29</v>
      </c>
      <c r="J373" s="45" t="s">
        <v>576</v>
      </c>
      <c r="K373" s="46" t="s">
        <v>574</v>
      </c>
      <c r="L373" s="47" t="s">
        <v>1385</v>
      </c>
    </row>
    <row r="374" spans="1:12" ht="14.5" x14ac:dyDescent="0.35">
      <c r="A374" s="47" t="s">
        <v>1366</v>
      </c>
      <c r="B374" s="43">
        <v>8470230</v>
      </c>
      <c r="C374" s="44" t="s">
        <v>183</v>
      </c>
      <c r="D374" s="43">
        <v>426610</v>
      </c>
      <c r="E374" s="44" t="s">
        <v>80</v>
      </c>
      <c r="F374" s="43">
        <v>847001</v>
      </c>
      <c r="G374" s="44" t="s">
        <v>24</v>
      </c>
      <c r="H374" s="44" t="s">
        <v>28</v>
      </c>
      <c r="I374" s="45" t="s">
        <v>29</v>
      </c>
      <c r="J374" s="45" t="s">
        <v>577</v>
      </c>
      <c r="K374" s="46" t="s">
        <v>574</v>
      </c>
      <c r="L374" s="47" t="s">
        <v>1385</v>
      </c>
    </row>
    <row r="375" spans="1:12" ht="14.5" x14ac:dyDescent="0.35">
      <c r="A375" s="47" t="s">
        <v>1363</v>
      </c>
      <c r="B375" s="43">
        <v>8470305</v>
      </c>
      <c r="C375" s="44" t="s">
        <v>193</v>
      </c>
      <c r="D375" s="43">
        <v>426610</v>
      </c>
      <c r="E375" s="44" t="s">
        <v>80</v>
      </c>
      <c r="F375" s="43">
        <v>847001</v>
      </c>
      <c r="G375" s="44" t="s">
        <v>24</v>
      </c>
      <c r="H375" s="44" t="s">
        <v>25</v>
      </c>
      <c r="I375" s="45" t="s">
        <v>26</v>
      </c>
      <c r="J375" s="45" t="s">
        <v>578</v>
      </c>
      <c r="K375" s="46" t="s">
        <v>574</v>
      </c>
      <c r="L375" s="47" t="s">
        <v>1385</v>
      </c>
    </row>
    <row r="376" spans="1:12" ht="14.5" x14ac:dyDescent="0.35">
      <c r="A376" s="47" t="s">
        <v>1363</v>
      </c>
      <c r="B376" s="43">
        <v>8470305</v>
      </c>
      <c r="C376" s="44" t="s">
        <v>193</v>
      </c>
      <c r="D376" s="43">
        <v>426610</v>
      </c>
      <c r="E376" s="44" t="s">
        <v>80</v>
      </c>
      <c r="F376" s="43">
        <v>847001</v>
      </c>
      <c r="G376" s="44" t="s">
        <v>24</v>
      </c>
      <c r="H376" s="44" t="s">
        <v>28</v>
      </c>
      <c r="I376" s="45" t="s">
        <v>29</v>
      </c>
      <c r="J376" s="45" t="s">
        <v>579</v>
      </c>
      <c r="K376" s="46" t="s">
        <v>574</v>
      </c>
      <c r="L376" s="47" t="s">
        <v>1385</v>
      </c>
    </row>
    <row r="377" spans="1:12" ht="14.5" x14ac:dyDescent="0.35">
      <c r="A377" s="47" t="s">
        <v>1363</v>
      </c>
      <c r="B377" s="43">
        <v>8470310</v>
      </c>
      <c r="C377" s="44" t="s">
        <v>309</v>
      </c>
      <c r="D377" s="43">
        <v>426610</v>
      </c>
      <c r="E377" s="44" t="s">
        <v>80</v>
      </c>
      <c r="F377" s="43">
        <v>847001</v>
      </c>
      <c r="G377" s="44" t="s">
        <v>24</v>
      </c>
      <c r="H377" s="44" t="s">
        <v>25</v>
      </c>
      <c r="I377" s="45" t="s">
        <v>26</v>
      </c>
      <c r="J377" s="45" t="s">
        <v>580</v>
      </c>
      <c r="K377" s="46" t="s">
        <v>574</v>
      </c>
      <c r="L377" s="47" t="s">
        <v>1385</v>
      </c>
    </row>
    <row r="378" spans="1:12" ht="14.5" x14ac:dyDescent="0.35">
      <c r="A378" s="47" t="s">
        <v>1363</v>
      </c>
      <c r="B378" s="43">
        <v>8470310</v>
      </c>
      <c r="C378" s="44" t="s">
        <v>309</v>
      </c>
      <c r="D378" s="43">
        <v>426610</v>
      </c>
      <c r="E378" s="44" t="s">
        <v>80</v>
      </c>
      <c r="F378" s="43">
        <v>847001</v>
      </c>
      <c r="G378" s="44" t="s">
        <v>24</v>
      </c>
      <c r="H378" s="44" t="s">
        <v>28</v>
      </c>
      <c r="I378" s="45" t="s">
        <v>29</v>
      </c>
      <c r="J378" s="45" t="s">
        <v>581</v>
      </c>
      <c r="K378" s="46" t="s">
        <v>574</v>
      </c>
      <c r="L378" s="47" t="s">
        <v>1385</v>
      </c>
    </row>
    <row r="379" spans="1:12" ht="14.5" x14ac:dyDescent="0.35">
      <c r="A379" s="47" t="s">
        <v>1363</v>
      </c>
      <c r="B379" s="43">
        <v>8470315</v>
      </c>
      <c r="C379" s="44" t="s">
        <v>311</v>
      </c>
      <c r="D379" s="43">
        <v>426610</v>
      </c>
      <c r="E379" s="44" t="s">
        <v>80</v>
      </c>
      <c r="F379" s="43">
        <v>847001</v>
      </c>
      <c r="G379" s="44" t="s">
        <v>24</v>
      </c>
      <c r="H379" s="44" t="s">
        <v>25</v>
      </c>
      <c r="I379" s="45" t="s">
        <v>26</v>
      </c>
      <c r="J379" s="45" t="s">
        <v>582</v>
      </c>
      <c r="K379" s="46" t="s">
        <v>574</v>
      </c>
      <c r="L379" s="47" t="s">
        <v>1385</v>
      </c>
    </row>
    <row r="380" spans="1:12" ht="14.5" x14ac:dyDescent="0.35">
      <c r="A380" s="47" t="s">
        <v>1363</v>
      </c>
      <c r="B380" s="43">
        <v>8470320</v>
      </c>
      <c r="C380" s="44" t="s">
        <v>443</v>
      </c>
      <c r="D380" s="43">
        <v>426610</v>
      </c>
      <c r="E380" s="44" t="s">
        <v>80</v>
      </c>
      <c r="F380" s="43">
        <v>847001</v>
      </c>
      <c r="G380" s="44" t="s">
        <v>24</v>
      </c>
      <c r="H380" s="44" t="s">
        <v>25</v>
      </c>
      <c r="I380" s="45" t="s">
        <v>26</v>
      </c>
      <c r="J380" s="45" t="s">
        <v>583</v>
      </c>
      <c r="K380" s="46" t="s">
        <v>574</v>
      </c>
      <c r="L380" s="47" t="s">
        <v>1385</v>
      </c>
    </row>
    <row r="381" spans="1:12" ht="14.5" x14ac:dyDescent="0.35">
      <c r="A381" s="47" t="s">
        <v>1363</v>
      </c>
      <c r="B381" s="43">
        <v>8470325</v>
      </c>
      <c r="C381" s="44" t="s">
        <v>186</v>
      </c>
      <c r="D381" s="43">
        <v>426610</v>
      </c>
      <c r="E381" s="44" t="s">
        <v>80</v>
      </c>
      <c r="F381" s="43">
        <v>847001</v>
      </c>
      <c r="G381" s="44" t="s">
        <v>24</v>
      </c>
      <c r="H381" s="44" t="s">
        <v>25</v>
      </c>
      <c r="I381" s="45" t="s">
        <v>26</v>
      </c>
      <c r="J381" s="45" t="s">
        <v>584</v>
      </c>
      <c r="K381" s="46" t="s">
        <v>574</v>
      </c>
      <c r="L381" s="47" t="s">
        <v>1385</v>
      </c>
    </row>
    <row r="382" spans="1:12" ht="14.5" x14ac:dyDescent="0.35">
      <c r="A382" s="47" t="s">
        <v>1363</v>
      </c>
      <c r="B382" s="43">
        <v>8470330</v>
      </c>
      <c r="C382" s="44" t="s">
        <v>268</v>
      </c>
      <c r="D382" s="43">
        <v>426610</v>
      </c>
      <c r="E382" s="44" t="s">
        <v>80</v>
      </c>
      <c r="F382" s="43">
        <v>847001</v>
      </c>
      <c r="G382" s="44" t="s">
        <v>24</v>
      </c>
      <c r="H382" s="44" t="s">
        <v>25</v>
      </c>
      <c r="I382" s="45" t="s">
        <v>26</v>
      </c>
      <c r="J382" s="45" t="s">
        <v>585</v>
      </c>
      <c r="K382" s="46" t="s">
        <v>574</v>
      </c>
      <c r="L382" s="47" t="s">
        <v>1385</v>
      </c>
    </row>
    <row r="383" spans="1:12" ht="14.5" x14ac:dyDescent="0.35">
      <c r="A383" s="47" t="s">
        <v>1363</v>
      </c>
      <c r="B383" s="43">
        <v>8470335</v>
      </c>
      <c r="C383" s="44" t="s">
        <v>317</v>
      </c>
      <c r="D383" s="43">
        <v>426610</v>
      </c>
      <c r="E383" s="44" t="s">
        <v>80</v>
      </c>
      <c r="F383" s="43">
        <v>847001</v>
      </c>
      <c r="G383" s="44" t="s">
        <v>24</v>
      </c>
      <c r="H383" s="44" t="s">
        <v>25</v>
      </c>
      <c r="I383" s="45" t="s">
        <v>26</v>
      </c>
      <c r="J383" s="45" t="s">
        <v>586</v>
      </c>
      <c r="K383" s="46" t="s">
        <v>574</v>
      </c>
      <c r="L383" s="47" t="s">
        <v>1385</v>
      </c>
    </row>
    <row r="384" spans="1:12" ht="14.5" x14ac:dyDescent="0.35">
      <c r="A384" s="47" t="s">
        <v>1363</v>
      </c>
      <c r="B384" s="43">
        <v>8470335</v>
      </c>
      <c r="C384" s="44" t="s">
        <v>317</v>
      </c>
      <c r="D384" s="43">
        <v>426610</v>
      </c>
      <c r="E384" s="44" t="s">
        <v>80</v>
      </c>
      <c r="F384" s="43">
        <v>847001</v>
      </c>
      <c r="G384" s="44" t="s">
        <v>24</v>
      </c>
      <c r="H384" s="44" t="s">
        <v>28</v>
      </c>
      <c r="I384" s="45" t="s">
        <v>29</v>
      </c>
      <c r="J384" s="45" t="s">
        <v>587</v>
      </c>
      <c r="K384" s="46" t="s">
        <v>574</v>
      </c>
      <c r="L384" s="47" t="s">
        <v>1385</v>
      </c>
    </row>
    <row r="385" spans="1:12" ht="14.5" x14ac:dyDescent="0.35">
      <c r="A385" s="47" t="s">
        <v>1363</v>
      </c>
      <c r="B385" s="43">
        <v>8470340</v>
      </c>
      <c r="C385" s="44" t="s">
        <v>234</v>
      </c>
      <c r="D385" s="43">
        <v>426610</v>
      </c>
      <c r="E385" s="44" t="s">
        <v>80</v>
      </c>
      <c r="F385" s="43">
        <v>847001</v>
      </c>
      <c r="G385" s="44" t="s">
        <v>24</v>
      </c>
      <c r="H385" s="44" t="s">
        <v>25</v>
      </c>
      <c r="I385" s="45" t="s">
        <v>26</v>
      </c>
      <c r="J385" s="45" t="s">
        <v>588</v>
      </c>
      <c r="K385" s="46" t="s">
        <v>574</v>
      </c>
      <c r="L385" s="47" t="s">
        <v>1385</v>
      </c>
    </row>
    <row r="386" spans="1:12" ht="14.5" x14ac:dyDescent="0.35">
      <c r="A386" s="47" t="s">
        <v>1363</v>
      </c>
      <c r="B386" s="43">
        <v>8470340</v>
      </c>
      <c r="C386" s="44" t="s">
        <v>234</v>
      </c>
      <c r="D386" s="43">
        <v>426610</v>
      </c>
      <c r="E386" s="44" t="s">
        <v>80</v>
      </c>
      <c r="F386" s="43">
        <v>847001</v>
      </c>
      <c r="G386" s="44" t="s">
        <v>24</v>
      </c>
      <c r="H386" s="44" t="s">
        <v>28</v>
      </c>
      <c r="I386" s="45" t="s">
        <v>29</v>
      </c>
      <c r="J386" s="45" t="s">
        <v>589</v>
      </c>
      <c r="K386" s="46" t="s">
        <v>574</v>
      </c>
      <c r="L386" s="47" t="s">
        <v>1385</v>
      </c>
    </row>
    <row r="387" spans="1:12" ht="14.5" x14ac:dyDescent="0.35">
      <c r="A387" s="47" t="s">
        <v>1363</v>
      </c>
      <c r="B387" s="43">
        <v>8470345</v>
      </c>
      <c r="C387" s="44" t="s">
        <v>188</v>
      </c>
      <c r="D387" s="43">
        <v>426610</v>
      </c>
      <c r="E387" s="44" t="s">
        <v>80</v>
      </c>
      <c r="F387" s="43">
        <v>847001</v>
      </c>
      <c r="G387" s="44" t="s">
        <v>24</v>
      </c>
      <c r="H387" s="44" t="s">
        <v>25</v>
      </c>
      <c r="I387" s="45" t="s">
        <v>26</v>
      </c>
      <c r="J387" s="45" t="s">
        <v>590</v>
      </c>
      <c r="K387" s="46" t="s">
        <v>574</v>
      </c>
      <c r="L387" s="47" t="s">
        <v>1385</v>
      </c>
    </row>
    <row r="388" spans="1:12" ht="14.5" x14ac:dyDescent="0.35">
      <c r="A388" s="47" t="s">
        <v>1363</v>
      </c>
      <c r="B388" s="43">
        <v>8470345</v>
      </c>
      <c r="C388" s="44" t="s">
        <v>188</v>
      </c>
      <c r="D388" s="43">
        <v>426610</v>
      </c>
      <c r="E388" s="44" t="s">
        <v>80</v>
      </c>
      <c r="F388" s="43">
        <v>847001</v>
      </c>
      <c r="G388" s="44" t="s">
        <v>24</v>
      </c>
      <c r="H388" s="44" t="s">
        <v>28</v>
      </c>
      <c r="I388" s="45" t="s">
        <v>29</v>
      </c>
      <c r="J388" s="45" t="s">
        <v>591</v>
      </c>
      <c r="K388" s="46" t="s">
        <v>574</v>
      </c>
      <c r="L388" s="47" t="s">
        <v>1385</v>
      </c>
    </row>
    <row r="389" spans="1:12" ht="14.5" x14ac:dyDescent="0.35">
      <c r="A389" s="47" t="s">
        <v>1363</v>
      </c>
      <c r="B389" s="43">
        <v>8470350</v>
      </c>
      <c r="C389" s="44" t="s">
        <v>191</v>
      </c>
      <c r="D389" s="43">
        <v>426610</v>
      </c>
      <c r="E389" s="44" t="s">
        <v>80</v>
      </c>
      <c r="F389" s="43">
        <v>847001</v>
      </c>
      <c r="G389" s="44" t="s">
        <v>24</v>
      </c>
      <c r="H389" s="44" t="s">
        <v>25</v>
      </c>
      <c r="I389" s="45" t="s">
        <v>26</v>
      </c>
      <c r="J389" s="45" t="s">
        <v>592</v>
      </c>
      <c r="K389" s="46" t="s">
        <v>574</v>
      </c>
      <c r="L389" s="47" t="s">
        <v>1385</v>
      </c>
    </row>
    <row r="390" spans="1:12" ht="14.5" x14ac:dyDescent="0.35">
      <c r="A390" s="47" t="s">
        <v>1363</v>
      </c>
      <c r="B390" s="43">
        <v>8470350</v>
      </c>
      <c r="C390" s="44" t="s">
        <v>191</v>
      </c>
      <c r="D390" s="43">
        <v>426610</v>
      </c>
      <c r="E390" s="44" t="s">
        <v>80</v>
      </c>
      <c r="F390" s="43">
        <v>847001</v>
      </c>
      <c r="G390" s="44" t="s">
        <v>24</v>
      </c>
      <c r="H390" s="44" t="s">
        <v>28</v>
      </c>
      <c r="I390" s="45" t="s">
        <v>29</v>
      </c>
      <c r="J390" s="45" t="s">
        <v>593</v>
      </c>
      <c r="K390" s="46" t="s">
        <v>574</v>
      </c>
      <c r="L390" s="47" t="s">
        <v>1385</v>
      </c>
    </row>
    <row r="391" spans="1:12" ht="14.5" x14ac:dyDescent="0.35">
      <c r="A391" s="47" t="s">
        <v>1357</v>
      </c>
      <c r="B391" s="43">
        <v>8470415</v>
      </c>
      <c r="C391" s="44" t="s">
        <v>362</v>
      </c>
      <c r="D391" s="43">
        <v>426610</v>
      </c>
      <c r="E391" s="44" t="s">
        <v>80</v>
      </c>
      <c r="F391" s="43">
        <v>847001</v>
      </c>
      <c r="G391" s="44" t="s">
        <v>24</v>
      </c>
      <c r="H391" s="44" t="s">
        <v>25</v>
      </c>
      <c r="I391" s="45" t="s">
        <v>26</v>
      </c>
      <c r="J391" s="45" t="s">
        <v>594</v>
      </c>
      <c r="K391" s="46" t="s">
        <v>574</v>
      </c>
      <c r="L391" s="47" t="s">
        <v>1385</v>
      </c>
    </row>
    <row r="392" spans="1:12" ht="14.5" x14ac:dyDescent="0.35">
      <c r="A392" s="47" t="s">
        <v>1357</v>
      </c>
      <c r="B392" s="43">
        <v>8470430</v>
      </c>
      <c r="C392" s="44" t="s">
        <v>424</v>
      </c>
      <c r="D392" s="43">
        <v>426610</v>
      </c>
      <c r="E392" s="44" t="s">
        <v>80</v>
      </c>
      <c r="F392" s="43">
        <v>847001</v>
      </c>
      <c r="G392" s="44" t="s">
        <v>24</v>
      </c>
      <c r="H392" s="44" t="s">
        <v>25</v>
      </c>
      <c r="I392" s="45" t="s">
        <v>26</v>
      </c>
      <c r="J392" s="45" t="s">
        <v>595</v>
      </c>
      <c r="K392" s="46" t="s">
        <v>574</v>
      </c>
      <c r="L392" s="47" t="s">
        <v>1385</v>
      </c>
    </row>
    <row r="393" spans="1:12" ht="14.5" x14ac:dyDescent="0.35">
      <c r="A393" s="47" t="s">
        <v>1357</v>
      </c>
      <c r="B393" s="43">
        <v>8470440</v>
      </c>
      <c r="C393" s="44" t="s">
        <v>426</v>
      </c>
      <c r="D393" s="43">
        <v>426610</v>
      </c>
      <c r="E393" s="44" t="s">
        <v>80</v>
      </c>
      <c r="F393" s="43">
        <v>847001</v>
      </c>
      <c r="G393" s="44" t="s">
        <v>24</v>
      </c>
      <c r="H393" s="44" t="s">
        <v>25</v>
      </c>
      <c r="I393" s="45" t="s">
        <v>26</v>
      </c>
      <c r="J393" s="45" t="s">
        <v>596</v>
      </c>
      <c r="K393" s="46" t="s">
        <v>574</v>
      </c>
      <c r="L393" s="47" t="s">
        <v>1385</v>
      </c>
    </row>
    <row r="394" spans="1:12" ht="14.5" x14ac:dyDescent="0.35">
      <c r="A394" s="47" t="s">
        <v>1357</v>
      </c>
      <c r="B394" s="43">
        <v>8470445</v>
      </c>
      <c r="C394" s="44" t="s">
        <v>410</v>
      </c>
      <c r="D394" s="43">
        <v>426610</v>
      </c>
      <c r="E394" s="44" t="s">
        <v>80</v>
      </c>
      <c r="F394" s="43">
        <v>847001</v>
      </c>
      <c r="G394" s="44" t="s">
        <v>24</v>
      </c>
      <c r="H394" s="44" t="s">
        <v>28</v>
      </c>
      <c r="I394" s="45" t="s">
        <v>29</v>
      </c>
      <c r="J394" s="45" t="s">
        <v>597</v>
      </c>
      <c r="K394" s="46" t="s">
        <v>574</v>
      </c>
      <c r="L394" s="47" t="s">
        <v>1385</v>
      </c>
    </row>
    <row r="395" spans="1:12" ht="14.5" x14ac:dyDescent="0.35">
      <c r="A395" s="47" t="s">
        <v>1357</v>
      </c>
      <c r="B395" s="43">
        <v>8470450</v>
      </c>
      <c r="C395" s="44" t="s">
        <v>275</v>
      </c>
      <c r="D395" s="43">
        <v>426610</v>
      </c>
      <c r="E395" s="44" t="s">
        <v>80</v>
      </c>
      <c r="F395" s="43">
        <v>847001</v>
      </c>
      <c r="G395" s="44" t="s">
        <v>24</v>
      </c>
      <c r="H395" s="44" t="s">
        <v>25</v>
      </c>
      <c r="I395" s="45" t="s">
        <v>26</v>
      </c>
      <c r="J395" s="45" t="s">
        <v>598</v>
      </c>
      <c r="K395" s="46" t="s">
        <v>574</v>
      </c>
      <c r="L395" s="47" t="s">
        <v>1385</v>
      </c>
    </row>
    <row r="396" spans="1:12" ht="14.5" x14ac:dyDescent="0.35">
      <c r="A396" s="47" t="s">
        <v>1358</v>
      </c>
      <c r="B396" s="43">
        <v>8470520</v>
      </c>
      <c r="C396" s="44" t="s">
        <v>253</v>
      </c>
      <c r="D396" s="43">
        <v>426610</v>
      </c>
      <c r="E396" s="44" t="s">
        <v>80</v>
      </c>
      <c r="F396" s="43">
        <v>847001</v>
      </c>
      <c r="G396" s="44" t="s">
        <v>24</v>
      </c>
      <c r="H396" s="44" t="s">
        <v>25</v>
      </c>
      <c r="I396" s="45" t="s">
        <v>26</v>
      </c>
      <c r="J396" s="45" t="s">
        <v>599</v>
      </c>
      <c r="K396" s="46" t="s">
        <v>574</v>
      </c>
      <c r="L396" s="47" t="s">
        <v>1385</v>
      </c>
    </row>
    <row r="397" spans="1:12" ht="14.5" x14ac:dyDescent="0.35">
      <c r="A397" s="47" t="s">
        <v>1358</v>
      </c>
      <c r="B397" s="43">
        <v>8470520</v>
      </c>
      <c r="C397" s="44" t="s">
        <v>253</v>
      </c>
      <c r="D397" s="43">
        <v>426610</v>
      </c>
      <c r="E397" s="44" t="s">
        <v>80</v>
      </c>
      <c r="F397" s="43">
        <v>847001</v>
      </c>
      <c r="G397" s="44" t="s">
        <v>24</v>
      </c>
      <c r="H397" s="44" t="s">
        <v>28</v>
      </c>
      <c r="I397" s="45" t="s">
        <v>29</v>
      </c>
      <c r="J397" s="45" t="s">
        <v>600</v>
      </c>
      <c r="K397" s="46" t="s">
        <v>574</v>
      </c>
      <c r="L397" s="47" t="s">
        <v>1385</v>
      </c>
    </row>
    <row r="398" spans="1:12" ht="14.5" x14ac:dyDescent="0.35">
      <c r="A398" s="47" t="s">
        <v>1362</v>
      </c>
      <c r="B398" s="43">
        <v>8470620</v>
      </c>
      <c r="C398" s="44" t="s">
        <v>161</v>
      </c>
      <c r="D398" s="43">
        <v>426610</v>
      </c>
      <c r="E398" s="44" t="s">
        <v>80</v>
      </c>
      <c r="F398" s="43">
        <v>847001</v>
      </c>
      <c r="G398" s="44" t="s">
        <v>24</v>
      </c>
      <c r="H398" s="44" t="s">
        <v>25</v>
      </c>
      <c r="I398" s="45" t="s">
        <v>26</v>
      </c>
      <c r="J398" s="45" t="s">
        <v>601</v>
      </c>
      <c r="K398" s="46" t="s">
        <v>574</v>
      </c>
      <c r="L398" s="47" t="s">
        <v>1385</v>
      </c>
    </row>
    <row r="399" spans="1:12" ht="14.5" x14ac:dyDescent="0.35">
      <c r="A399" s="47" t="s">
        <v>1367</v>
      </c>
      <c r="B399" s="43">
        <v>8470730</v>
      </c>
      <c r="C399" s="44" t="s">
        <v>223</v>
      </c>
      <c r="D399" s="43">
        <v>426610</v>
      </c>
      <c r="E399" s="44" t="s">
        <v>80</v>
      </c>
      <c r="F399" s="43">
        <v>847001</v>
      </c>
      <c r="G399" s="44" t="s">
        <v>24</v>
      </c>
      <c r="H399" s="44" t="s">
        <v>25</v>
      </c>
      <c r="I399" s="45" t="s">
        <v>26</v>
      </c>
      <c r="J399" s="45" t="s">
        <v>602</v>
      </c>
      <c r="K399" s="46" t="s">
        <v>574</v>
      </c>
      <c r="L399" s="47" t="s">
        <v>1385</v>
      </c>
    </row>
    <row r="400" spans="1:12" ht="14.5" x14ac:dyDescent="0.35">
      <c r="A400" s="47" t="s">
        <v>1364</v>
      </c>
      <c r="B400" s="43">
        <v>8470810</v>
      </c>
      <c r="C400" s="44" t="s">
        <v>200</v>
      </c>
      <c r="D400" s="43">
        <v>426610</v>
      </c>
      <c r="E400" s="44" t="s">
        <v>80</v>
      </c>
      <c r="F400" s="43">
        <v>847001</v>
      </c>
      <c r="G400" s="44" t="s">
        <v>24</v>
      </c>
      <c r="H400" s="44" t="s">
        <v>25</v>
      </c>
      <c r="I400" s="45" t="s">
        <v>26</v>
      </c>
      <c r="J400" s="45" t="s">
        <v>603</v>
      </c>
      <c r="K400" s="46" t="s">
        <v>574</v>
      </c>
      <c r="L400" s="47" t="s">
        <v>1385</v>
      </c>
    </row>
    <row r="401" spans="1:12" ht="14.5" x14ac:dyDescent="0.35">
      <c r="A401" s="47" t="s">
        <v>1364</v>
      </c>
      <c r="B401" s="43">
        <v>8470810</v>
      </c>
      <c r="C401" s="44" t="s">
        <v>200</v>
      </c>
      <c r="D401" s="43">
        <v>426610</v>
      </c>
      <c r="E401" s="44" t="s">
        <v>80</v>
      </c>
      <c r="F401" s="43">
        <v>847001</v>
      </c>
      <c r="G401" s="44" t="s">
        <v>24</v>
      </c>
      <c r="H401" s="44" t="s">
        <v>28</v>
      </c>
      <c r="I401" s="45" t="s">
        <v>29</v>
      </c>
      <c r="J401" s="45" t="s">
        <v>604</v>
      </c>
      <c r="K401" s="46" t="s">
        <v>574</v>
      </c>
      <c r="L401" s="47" t="s">
        <v>1385</v>
      </c>
    </row>
    <row r="402" spans="1:12" ht="14.5" x14ac:dyDescent="0.35">
      <c r="A402" s="47" t="s">
        <v>1368</v>
      </c>
      <c r="B402" s="43">
        <v>8471110</v>
      </c>
      <c r="C402" s="44" t="s">
        <v>227</v>
      </c>
      <c r="D402" s="43">
        <v>426610</v>
      </c>
      <c r="E402" s="44" t="s">
        <v>80</v>
      </c>
      <c r="F402" s="43">
        <v>847001</v>
      </c>
      <c r="G402" s="44" t="s">
        <v>24</v>
      </c>
      <c r="H402" s="44" t="s">
        <v>28</v>
      </c>
      <c r="I402" s="45" t="s">
        <v>29</v>
      </c>
      <c r="J402" s="45" t="s">
        <v>605</v>
      </c>
      <c r="K402" s="46" t="s">
        <v>574</v>
      </c>
      <c r="L402" s="47" t="s">
        <v>1385</v>
      </c>
    </row>
    <row r="403" spans="1:12" ht="14.5" x14ac:dyDescent="0.35">
      <c r="A403" s="47" t="s">
        <v>1368</v>
      </c>
      <c r="B403" s="43">
        <v>8471130</v>
      </c>
      <c r="C403" s="44" t="s">
        <v>197</v>
      </c>
      <c r="D403" s="43">
        <v>426610</v>
      </c>
      <c r="E403" s="44" t="s">
        <v>80</v>
      </c>
      <c r="F403" s="43">
        <v>847001</v>
      </c>
      <c r="G403" s="44" t="s">
        <v>24</v>
      </c>
      <c r="H403" s="44" t="s">
        <v>25</v>
      </c>
      <c r="I403" s="45" t="s">
        <v>26</v>
      </c>
      <c r="J403" s="45" t="s">
        <v>606</v>
      </c>
      <c r="K403" s="46" t="s">
        <v>574</v>
      </c>
      <c r="L403" s="47" t="s">
        <v>1385</v>
      </c>
    </row>
    <row r="404" spans="1:12" ht="14.5" x14ac:dyDescent="0.35">
      <c r="A404" s="47" t="s">
        <v>1368</v>
      </c>
      <c r="B404" s="43">
        <v>8471130</v>
      </c>
      <c r="C404" s="44" t="s">
        <v>197</v>
      </c>
      <c r="D404" s="43">
        <v>426610</v>
      </c>
      <c r="E404" s="44" t="s">
        <v>80</v>
      </c>
      <c r="F404" s="43">
        <v>847001</v>
      </c>
      <c r="G404" s="44" t="s">
        <v>24</v>
      </c>
      <c r="H404" s="44" t="s">
        <v>28</v>
      </c>
      <c r="I404" s="45" t="s">
        <v>29</v>
      </c>
      <c r="J404" s="45" t="s">
        <v>607</v>
      </c>
      <c r="K404" s="46" t="s">
        <v>574</v>
      </c>
      <c r="L404" s="47" t="s">
        <v>1385</v>
      </c>
    </row>
    <row r="405" spans="1:12" ht="14.5" x14ac:dyDescent="0.35">
      <c r="A405" s="47" t="s">
        <v>1368</v>
      </c>
      <c r="B405" s="43">
        <v>8471150</v>
      </c>
      <c r="C405" s="44" t="s">
        <v>212</v>
      </c>
      <c r="D405" s="43">
        <v>426610</v>
      </c>
      <c r="E405" s="44" t="s">
        <v>80</v>
      </c>
      <c r="F405" s="43">
        <v>847001</v>
      </c>
      <c r="G405" s="44" t="s">
        <v>24</v>
      </c>
      <c r="H405" s="44" t="s">
        <v>25</v>
      </c>
      <c r="I405" s="45" t="s">
        <v>26</v>
      </c>
      <c r="J405" s="45" t="s">
        <v>608</v>
      </c>
      <c r="K405" s="46" t="s">
        <v>574</v>
      </c>
      <c r="L405" s="47" t="s">
        <v>1385</v>
      </c>
    </row>
    <row r="406" spans="1:12" ht="14.5" x14ac:dyDescent="0.35">
      <c r="A406" s="47" t="s">
        <v>1368</v>
      </c>
      <c r="B406" s="43">
        <v>8471170</v>
      </c>
      <c r="C406" s="44" t="s">
        <v>203</v>
      </c>
      <c r="D406" s="43">
        <v>426610</v>
      </c>
      <c r="E406" s="44" t="s">
        <v>80</v>
      </c>
      <c r="F406" s="43">
        <v>847001</v>
      </c>
      <c r="G406" s="44" t="s">
        <v>24</v>
      </c>
      <c r="H406" s="44" t="s">
        <v>25</v>
      </c>
      <c r="I406" s="45" t="s">
        <v>26</v>
      </c>
      <c r="J406" s="45" t="s">
        <v>609</v>
      </c>
      <c r="K406" s="46" t="s">
        <v>574</v>
      </c>
      <c r="L406" s="47" t="s">
        <v>1385</v>
      </c>
    </row>
    <row r="407" spans="1:12" ht="14.5" x14ac:dyDescent="0.35">
      <c r="A407" s="47" t="s">
        <v>1368</v>
      </c>
      <c r="B407" s="43">
        <v>8471170</v>
      </c>
      <c r="C407" s="44" t="s">
        <v>203</v>
      </c>
      <c r="D407" s="43">
        <v>426610</v>
      </c>
      <c r="E407" s="44" t="s">
        <v>80</v>
      </c>
      <c r="F407" s="43">
        <v>847001</v>
      </c>
      <c r="G407" s="44" t="s">
        <v>24</v>
      </c>
      <c r="H407" s="44" t="s">
        <v>28</v>
      </c>
      <c r="I407" s="45" t="s">
        <v>29</v>
      </c>
      <c r="J407" s="45" t="s">
        <v>610</v>
      </c>
      <c r="K407" s="46" t="s">
        <v>574</v>
      </c>
      <c r="L407" s="47" t="s">
        <v>1385</v>
      </c>
    </row>
    <row r="408" spans="1:12" ht="14.5" x14ac:dyDescent="0.35">
      <c r="A408" s="47" t="s">
        <v>1365</v>
      </c>
      <c r="B408" s="43">
        <v>8471210</v>
      </c>
      <c r="C408" s="44" t="s">
        <v>176</v>
      </c>
      <c r="D408" s="43">
        <v>426610</v>
      </c>
      <c r="E408" s="44" t="s">
        <v>80</v>
      </c>
      <c r="F408" s="43">
        <v>847001</v>
      </c>
      <c r="G408" s="44" t="s">
        <v>24</v>
      </c>
      <c r="H408" s="44" t="s">
        <v>25</v>
      </c>
      <c r="I408" s="45" t="s">
        <v>26</v>
      </c>
      <c r="J408" s="45" t="s">
        <v>611</v>
      </c>
      <c r="K408" s="46" t="s">
        <v>574</v>
      </c>
      <c r="L408" s="47" t="s">
        <v>1385</v>
      </c>
    </row>
    <row r="409" spans="1:12" ht="14.5" x14ac:dyDescent="0.35">
      <c r="A409" s="47" t="s">
        <v>1365</v>
      </c>
      <c r="B409" s="43">
        <v>8471210</v>
      </c>
      <c r="C409" s="44" t="s">
        <v>176</v>
      </c>
      <c r="D409" s="43">
        <v>426610</v>
      </c>
      <c r="E409" s="44" t="s">
        <v>80</v>
      </c>
      <c r="F409" s="43">
        <v>847001</v>
      </c>
      <c r="G409" s="44" t="s">
        <v>24</v>
      </c>
      <c r="H409" s="44" t="s">
        <v>28</v>
      </c>
      <c r="I409" s="45" t="s">
        <v>29</v>
      </c>
      <c r="J409" s="45" t="s">
        <v>612</v>
      </c>
      <c r="K409" s="46" t="s">
        <v>574</v>
      </c>
      <c r="L409" s="47" t="s">
        <v>1385</v>
      </c>
    </row>
    <row r="410" spans="1:12" ht="14.5" x14ac:dyDescent="0.35">
      <c r="A410" s="47" t="s">
        <v>1365</v>
      </c>
      <c r="B410" s="43">
        <v>8471230</v>
      </c>
      <c r="C410" s="44" t="s">
        <v>382</v>
      </c>
      <c r="D410" s="43">
        <v>426610</v>
      </c>
      <c r="E410" s="44" t="s">
        <v>80</v>
      </c>
      <c r="F410" s="43">
        <v>847001</v>
      </c>
      <c r="G410" s="44" t="s">
        <v>24</v>
      </c>
      <c r="H410" s="44" t="s">
        <v>25</v>
      </c>
      <c r="I410" s="45" t="s">
        <v>26</v>
      </c>
      <c r="J410" s="45" t="s">
        <v>613</v>
      </c>
      <c r="K410" s="46" t="s">
        <v>574</v>
      </c>
      <c r="L410" s="47" t="s">
        <v>1385</v>
      </c>
    </row>
    <row r="411" spans="1:12" ht="14.5" x14ac:dyDescent="0.35">
      <c r="A411" s="47" t="s">
        <v>1365</v>
      </c>
      <c r="B411" s="43">
        <v>8471250</v>
      </c>
      <c r="C411" s="44" t="s">
        <v>349</v>
      </c>
      <c r="D411" s="43">
        <v>426610</v>
      </c>
      <c r="E411" s="44" t="s">
        <v>80</v>
      </c>
      <c r="F411" s="43">
        <v>847001</v>
      </c>
      <c r="G411" s="44" t="s">
        <v>24</v>
      </c>
      <c r="H411" s="44" t="s">
        <v>25</v>
      </c>
      <c r="I411" s="45" t="s">
        <v>26</v>
      </c>
      <c r="J411" s="45" t="s">
        <v>614</v>
      </c>
      <c r="K411" s="46" t="s">
        <v>574</v>
      </c>
      <c r="L411" s="47" t="s">
        <v>1385</v>
      </c>
    </row>
    <row r="412" spans="1:12" ht="14.5" x14ac:dyDescent="0.35">
      <c r="A412" s="47" t="s">
        <v>1365</v>
      </c>
      <c r="B412" s="43">
        <v>8471250</v>
      </c>
      <c r="C412" s="44" t="s">
        <v>349</v>
      </c>
      <c r="D412" s="43">
        <v>426610</v>
      </c>
      <c r="E412" s="44" t="s">
        <v>80</v>
      </c>
      <c r="F412" s="43">
        <v>847001</v>
      </c>
      <c r="G412" s="44" t="s">
        <v>24</v>
      </c>
      <c r="H412" s="44" t="s">
        <v>28</v>
      </c>
      <c r="I412" s="45" t="s">
        <v>29</v>
      </c>
      <c r="J412" s="45" t="s">
        <v>615</v>
      </c>
      <c r="K412" s="46" t="s">
        <v>574</v>
      </c>
      <c r="L412" s="47" t="s">
        <v>1385</v>
      </c>
    </row>
    <row r="413" spans="1:12" ht="14.5" x14ac:dyDescent="0.35">
      <c r="A413" s="47" t="s">
        <v>1365</v>
      </c>
      <c r="B413" s="43">
        <v>8471280</v>
      </c>
      <c r="C413" s="44" t="s">
        <v>355</v>
      </c>
      <c r="D413" s="43">
        <v>426610</v>
      </c>
      <c r="E413" s="44" t="s">
        <v>80</v>
      </c>
      <c r="F413" s="43">
        <v>847001</v>
      </c>
      <c r="G413" s="44" t="s">
        <v>24</v>
      </c>
      <c r="H413" s="44" t="s">
        <v>25</v>
      </c>
      <c r="I413" s="45" t="s">
        <v>26</v>
      </c>
      <c r="J413" s="45" t="s">
        <v>616</v>
      </c>
      <c r="K413" s="46" t="s">
        <v>574</v>
      </c>
      <c r="L413" s="47" t="s">
        <v>1385</v>
      </c>
    </row>
    <row r="414" spans="1:12" ht="14.5" x14ac:dyDescent="0.35">
      <c r="A414" s="47" t="s">
        <v>1365</v>
      </c>
      <c r="B414" s="43">
        <v>8471280</v>
      </c>
      <c r="C414" s="44" t="s">
        <v>355</v>
      </c>
      <c r="D414" s="43">
        <v>426610</v>
      </c>
      <c r="E414" s="44" t="s">
        <v>80</v>
      </c>
      <c r="F414" s="43">
        <v>847001</v>
      </c>
      <c r="G414" s="44" t="s">
        <v>24</v>
      </c>
      <c r="H414" s="44" t="s">
        <v>28</v>
      </c>
      <c r="I414" s="45" t="s">
        <v>29</v>
      </c>
      <c r="J414" s="45" t="s">
        <v>617</v>
      </c>
      <c r="K414" s="46" t="s">
        <v>574</v>
      </c>
      <c r="L414" s="47" t="s">
        <v>1385</v>
      </c>
    </row>
    <row r="415" spans="1:12" ht="14.5" x14ac:dyDescent="0.35">
      <c r="A415" s="47" t="s">
        <v>1371</v>
      </c>
      <c r="B415" s="43">
        <v>8471305</v>
      </c>
      <c r="C415" s="44" t="s">
        <v>32</v>
      </c>
      <c r="D415" s="43">
        <v>426610</v>
      </c>
      <c r="E415" s="44" t="s">
        <v>80</v>
      </c>
      <c r="F415" s="43">
        <v>847001</v>
      </c>
      <c r="G415" s="44" t="s">
        <v>24</v>
      </c>
      <c r="H415" s="44" t="s">
        <v>25</v>
      </c>
      <c r="I415" s="45" t="s">
        <v>26</v>
      </c>
      <c r="J415" s="45" t="s">
        <v>81</v>
      </c>
      <c r="K415" s="46" t="s">
        <v>574</v>
      </c>
      <c r="L415" s="47" t="s">
        <v>1385</v>
      </c>
    </row>
    <row r="416" spans="1:12" ht="14.5" x14ac:dyDescent="0.35">
      <c r="A416" s="47" t="e">
        <v>#N/A</v>
      </c>
      <c r="B416" s="43">
        <v>8477110</v>
      </c>
      <c r="C416" s="44" t="s">
        <v>618</v>
      </c>
      <c r="D416" s="43">
        <v>426610</v>
      </c>
      <c r="E416" s="44" t="s">
        <v>80</v>
      </c>
      <c r="F416" s="43">
        <v>847078</v>
      </c>
      <c r="G416" s="44" t="s">
        <v>619</v>
      </c>
      <c r="H416" s="44" t="s">
        <v>28</v>
      </c>
      <c r="I416" s="45" t="s">
        <v>29</v>
      </c>
      <c r="J416" s="45" t="s">
        <v>620</v>
      </c>
      <c r="K416" s="46" t="s">
        <v>574</v>
      </c>
      <c r="L416" s="47" t="s">
        <v>1385</v>
      </c>
    </row>
    <row r="417" spans="1:12" ht="14.5" x14ac:dyDescent="0.35">
      <c r="A417" s="47" t="s">
        <v>1365</v>
      </c>
      <c r="B417" s="43">
        <v>8471210</v>
      </c>
      <c r="C417" s="44" t="s">
        <v>176</v>
      </c>
      <c r="D417" s="43">
        <v>426751</v>
      </c>
      <c r="E417" s="44" t="s">
        <v>621</v>
      </c>
      <c r="F417" s="43">
        <v>847001</v>
      </c>
      <c r="G417" s="44" t="s">
        <v>24</v>
      </c>
      <c r="H417" s="44" t="s">
        <v>28</v>
      </c>
      <c r="I417" s="45" t="s">
        <v>29</v>
      </c>
      <c r="J417" s="45" t="s">
        <v>622</v>
      </c>
      <c r="K417" s="46">
        <v>0</v>
      </c>
      <c r="L417" s="47" t="s">
        <v>1379</v>
      </c>
    </row>
    <row r="418" spans="1:12" ht="14.5" x14ac:dyDescent="0.35">
      <c r="A418" s="47" t="s">
        <v>1358</v>
      </c>
      <c r="B418" s="43">
        <v>8470530</v>
      </c>
      <c r="C418" s="44" t="s">
        <v>165</v>
      </c>
      <c r="D418" s="43">
        <v>426800</v>
      </c>
      <c r="E418" s="44" t="s">
        <v>623</v>
      </c>
      <c r="F418" s="43">
        <v>847010</v>
      </c>
      <c r="G418" s="44" t="s">
        <v>167</v>
      </c>
      <c r="H418" s="44" t="s">
        <v>25</v>
      </c>
      <c r="I418" s="45" t="s">
        <v>26</v>
      </c>
      <c r="J418" s="45" t="s">
        <v>624</v>
      </c>
      <c r="K418" s="46" t="s">
        <v>571</v>
      </c>
      <c r="L418" s="47" t="s">
        <v>1379</v>
      </c>
    </row>
    <row r="419" spans="1:12" ht="14.5" x14ac:dyDescent="0.35">
      <c r="A419" s="47" t="s">
        <v>1358</v>
      </c>
      <c r="B419" s="43">
        <v>8470530</v>
      </c>
      <c r="C419" s="44" t="s">
        <v>165</v>
      </c>
      <c r="D419" s="43">
        <v>426800</v>
      </c>
      <c r="E419" s="44" t="s">
        <v>623</v>
      </c>
      <c r="F419" s="43">
        <v>847010</v>
      </c>
      <c r="G419" s="44" t="s">
        <v>167</v>
      </c>
      <c r="H419" s="44" t="s">
        <v>28</v>
      </c>
      <c r="I419" s="45" t="s">
        <v>29</v>
      </c>
      <c r="J419" s="45" t="s">
        <v>625</v>
      </c>
      <c r="K419" s="46" t="s">
        <v>571</v>
      </c>
      <c r="L419" s="47" t="s">
        <v>1379</v>
      </c>
    </row>
    <row r="420" spans="1:12" ht="14.5" x14ac:dyDescent="0.35">
      <c r="A420" s="47" t="s">
        <v>1358</v>
      </c>
      <c r="B420" s="43">
        <v>8470530</v>
      </c>
      <c r="C420" s="44" t="s">
        <v>165</v>
      </c>
      <c r="D420" s="43">
        <v>426800</v>
      </c>
      <c r="E420" s="44" t="s">
        <v>623</v>
      </c>
      <c r="F420" s="43">
        <v>847020</v>
      </c>
      <c r="G420" s="44" t="s">
        <v>170</v>
      </c>
      <c r="H420" s="44" t="s">
        <v>25</v>
      </c>
      <c r="I420" s="45" t="s">
        <v>26</v>
      </c>
      <c r="J420" s="45" t="s">
        <v>626</v>
      </c>
      <c r="K420" s="46" t="s">
        <v>571</v>
      </c>
      <c r="L420" s="47" t="s">
        <v>1379</v>
      </c>
    </row>
    <row r="421" spans="1:12" ht="14.5" x14ac:dyDescent="0.35">
      <c r="A421" s="47" t="s">
        <v>1358</v>
      </c>
      <c r="B421" s="43">
        <v>8470530</v>
      </c>
      <c r="C421" s="44" t="s">
        <v>165</v>
      </c>
      <c r="D421" s="43">
        <v>426800</v>
      </c>
      <c r="E421" s="44" t="s">
        <v>623</v>
      </c>
      <c r="F421" s="43">
        <v>847020</v>
      </c>
      <c r="G421" s="44" t="s">
        <v>170</v>
      </c>
      <c r="H421" s="44" t="s">
        <v>28</v>
      </c>
      <c r="I421" s="45" t="s">
        <v>29</v>
      </c>
      <c r="J421" s="45" t="s">
        <v>627</v>
      </c>
      <c r="K421" s="46" t="s">
        <v>571</v>
      </c>
      <c r="L421" s="47" t="s">
        <v>1379</v>
      </c>
    </row>
    <row r="422" spans="1:12" ht="14.5" x14ac:dyDescent="0.35">
      <c r="A422" s="47" t="s">
        <v>1358</v>
      </c>
      <c r="B422" s="43">
        <v>8470530</v>
      </c>
      <c r="C422" s="44" t="s">
        <v>165</v>
      </c>
      <c r="D422" s="43">
        <v>426900</v>
      </c>
      <c r="E422" s="44" t="s">
        <v>628</v>
      </c>
      <c r="F422" s="43">
        <v>847010</v>
      </c>
      <c r="G422" s="44" t="s">
        <v>167</v>
      </c>
      <c r="H422" s="44" t="s">
        <v>25</v>
      </c>
      <c r="I422" s="45" t="s">
        <v>26</v>
      </c>
      <c r="J422" s="45" t="s">
        <v>629</v>
      </c>
      <c r="K422" s="46" t="s">
        <v>39</v>
      </c>
      <c r="L422" s="47" t="s">
        <v>1379</v>
      </c>
    </row>
    <row r="423" spans="1:12" ht="14.5" x14ac:dyDescent="0.35">
      <c r="A423" s="47" t="s">
        <v>1358</v>
      </c>
      <c r="B423" s="43">
        <v>8470530</v>
      </c>
      <c r="C423" s="44" t="s">
        <v>165</v>
      </c>
      <c r="D423" s="43">
        <v>426900</v>
      </c>
      <c r="E423" s="44" t="s">
        <v>628</v>
      </c>
      <c r="F423" s="43">
        <v>847020</v>
      </c>
      <c r="G423" s="44" t="s">
        <v>170</v>
      </c>
      <c r="H423" s="44" t="s">
        <v>28</v>
      </c>
      <c r="I423" s="45" t="s">
        <v>29</v>
      </c>
      <c r="J423" s="45" t="s">
        <v>630</v>
      </c>
      <c r="K423" s="46" t="s">
        <v>39</v>
      </c>
      <c r="L423" s="47" t="s">
        <v>1379</v>
      </c>
    </row>
    <row r="424" spans="1:12" ht="14.5" x14ac:dyDescent="0.35">
      <c r="A424" s="47" t="s">
        <v>1367</v>
      </c>
      <c r="B424" s="43">
        <v>8470720</v>
      </c>
      <c r="C424" s="44" t="s">
        <v>221</v>
      </c>
      <c r="D424" s="43">
        <v>426900</v>
      </c>
      <c r="E424" s="44" t="s">
        <v>628</v>
      </c>
      <c r="F424" s="43">
        <v>847001</v>
      </c>
      <c r="G424" s="44" t="s">
        <v>24</v>
      </c>
      <c r="H424" s="44" t="s">
        <v>25</v>
      </c>
      <c r="I424" s="45" t="s">
        <v>26</v>
      </c>
      <c r="J424" s="45" t="s">
        <v>631</v>
      </c>
      <c r="K424" s="46" t="s">
        <v>39</v>
      </c>
      <c r="L424" s="47" t="s">
        <v>1379</v>
      </c>
    </row>
    <row r="425" spans="1:12" ht="14.5" x14ac:dyDescent="0.35">
      <c r="A425" s="47" t="s">
        <v>1367</v>
      </c>
      <c r="B425" s="43">
        <v>8470720</v>
      </c>
      <c r="C425" s="44" t="s">
        <v>221</v>
      </c>
      <c r="D425" s="43">
        <v>426900</v>
      </c>
      <c r="E425" s="44" t="s">
        <v>628</v>
      </c>
      <c r="F425" s="43">
        <v>847001</v>
      </c>
      <c r="G425" s="44" t="s">
        <v>24</v>
      </c>
      <c r="H425" s="44" t="s">
        <v>28</v>
      </c>
      <c r="I425" s="45" t="s">
        <v>29</v>
      </c>
      <c r="J425" s="45" t="s">
        <v>632</v>
      </c>
      <c r="K425" s="46" t="s">
        <v>39</v>
      </c>
      <c r="L425" s="47" t="s">
        <v>1379</v>
      </c>
    </row>
    <row r="426" spans="1:12" ht="14.5" x14ac:dyDescent="0.35">
      <c r="A426" s="47" t="s">
        <v>1368</v>
      </c>
      <c r="B426" s="43">
        <v>8471130</v>
      </c>
      <c r="C426" s="44" t="s">
        <v>197</v>
      </c>
      <c r="D426" s="43">
        <v>426900</v>
      </c>
      <c r="E426" s="44" t="s">
        <v>628</v>
      </c>
      <c r="F426" s="43">
        <v>847001</v>
      </c>
      <c r="G426" s="44" t="s">
        <v>24</v>
      </c>
      <c r="H426" s="44" t="s">
        <v>28</v>
      </c>
      <c r="I426" s="45" t="s">
        <v>29</v>
      </c>
      <c r="J426" s="45" t="s">
        <v>633</v>
      </c>
      <c r="K426" s="46" t="s">
        <v>39</v>
      </c>
      <c r="L426" s="47" t="s">
        <v>1379</v>
      </c>
    </row>
    <row r="427" spans="1:12" ht="14.5" x14ac:dyDescent="0.35">
      <c r="A427" s="47" t="s">
        <v>1365</v>
      </c>
      <c r="B427" s="43">
        <v>8471220</v>
      </c>
      <c r="C427" s="44" t="s">
        <v>344</v>
      </c>
      <c r="D427" s="43">
        <v>426900</v>
      </c>
      <c r="E427" s="44" t="s">
        <v>628</v>
      </c>
      <c r="F427" s="43">
        <v>847001</v>
      </c>
      <c r="G427" s="44" t="s">
        <v>24</v>
      </c>
      <c r="H427" s="44" t="s">
        <v>25</v>
      </c>
      <c r="I427" s="45" t="s">
        <v>26</v>
      </c>
      <c r="J427" s="45" t="s">
        <v>634</v>
      </c>
      <c r="K427" s="46" t="s">
        <v>39</v>
      </c>
      <c r="L427" s="47" t="s">
        <v>1379</v>
      </c>
    </row>
    <row r="428" spans="1:12" ht="14.5" x14ac:dyDescent="0.35">
      <c r="A428" s="47" t="s">
        <v>1359</v>
      </c>
      <c r="B428" s="43">
        <v>8470140</v>
      </c>
      <c r="C428" s="44" t="s">
        <v>231</v>
      </c>
      <c r="D428" s="43">
        <v>427100</v>
      </c>
      <c r="E428" s="44" t="s">
        <v>635</v>
      </c>
      <c r="F428" s="43">
        <v>847001</v>
      </c>
      <c r="G428" s="44" t="s">
        <v>24</v>
      </c>
      <c r="H428" s="44" t="s">
        <v>25</v>
      </c>
      <c r="I428" s="45" t="s">
        <v>26</v>
      </c>
      <c r="J428" s="45" t="s">
        <v>636</v>
      </c>
      <c r="K428" s="46" t="s">
        <v>1079</v>
      </c>
      <c r="L428" s="47" t="s">
        <v>1386</v>
      </c>
    </row>
    <row r="429" spans="1:12" ht="14.5" x14ac:dyDescent="0.35">
      <c r="A429" s="47" t="s">
        <v>1359</v>
      </c>
      <c r="B429" s="43">
        <v>8470140</v>
      </c>
      <c r="C429" s="44" t="s">
        <v>231</v>
      </c>
      <c r="D429" s="43">
        <v>427100</v>
      </c>
      <c r="E429" s="44" t="s">
        <v>635</v>
      </c>
      <c r="F429" s="43">
        <v>847001</v>
      </c>
      <c r="G429" s="44" t="s">
        <v>24</v>
      </c>
      <c r="H429" s="44" t="s">
        <v>28</v>
      </c>
      <c r="I429" s="45" t="s">
        <v>29</v>
      </c>
      <c r="J429" s="45" t="s">
        <v>637</v>
      </c>
      <c r="K429" s="46" t="s">
        <v>1079</v>
      </c>
      <c r="L429" s="47" t="s">
        <v>1386</v>
      </c>
    </row>
    <row r="430" spans="1:12" ht="14.5" x14ac:dyDescent="0.35">
      <c r="A430" s="47" t="s">
        <v>1367</v>
      </c>
      <c r="B430" s="43">
        <v>8470730</v>
      </c>
      <c r="C430" s="44" t="s">
        <v>223</v>
      </c>
      <c r="D430" s="43">
        <v>427100</v>
      </c>
      <c r="E430" s="44" t="s">
        <v>635</v>
      </c>
      <c r="F430" s="43">
        <v>847001</v>
      </c>
      <c r="G430" s="44" t="s">
        <v>24</v>
      </c>
      <c r="H430" s="44" t="s">
        <v>28</v>
      </c>
      <c r="I430" s="45" t="s">
        <v>29</v>
      </c>
      <c r="J430" s="45" t="s">
        <v>638</v>
      </c>
      <c r="K430" s="46" t="s">
        <v>1079</v>
      </c>
      <c r="L430" s="47" t="s">
        <v>1386</v>
      </c>
    </row>
    <row r="431" spans="1:12" ht="14.5" x14ac:dyDescent="0.35">
      <c r="A431" s="47" t="s">
        <v>1359</v>
      </c>
      <c r="B431" s="43">
        <v>8470140</v>
      </c>
      <c r="C431" s="44" t="s">
        <v>231</v>
      </c>
      <c r="D431" s="43">
        <v>427200</v>
      </c>
      <c r="E431" s="44" t="s">
        <v>82</v>
      </c>
      <c r="F431" s="43">
        <v>847001</v>
      </c>
      <c r="G431" s="44" t="s">
        <v>24</v>
      </c>
      <c r="H431" s="44" t="s">
        <v>25</v>
      </c>
      <c r="I431" s="45" t="s">
        <v>26</v>
      </c>
      <c r="J431" s="45" t="s">
        <v>639</v>
      </c>
      <c r="K431" s="46" t="s">
        <v>1079</v>
      </c>
      <c r="L431" s="47" t="s">
        <v>1379</v>
      </c>
    </row>
    <row r="432" spans="1:12" ht="14.5" x14ac:dyDescent="0.35">
      <c r="A432" s="47" t="s">
        <v>1367</v>
      </c>
      <c r="B432" s="43">
        <v>8470730</v>
      </c>
      <c r="C432" s="44" t="s">
        <v>223</v>
      </c>
      <c r="D432" s="43">
        <v>427200</v>
      </c>
      <c r="E432" s="44" t="s">
        <v>82</v>
      </c>
      <c r="F432" s="43">
        <v>847001</v>
      </c>
      <c r="G432" s="44" t="s">
        <v>24</v>
      </c>
      <c r="H432" s="44" t="s">
        <v>25</v>
      </c>
      <c r="I432" s="45" t="s">
        <v>26</v>
      </c>
      <c r="J432" s="45" t="s">
        <v>640</v>
      </c>
      <c r="K432" s="46" t="s">
        <v>1079</v>
      </c>
      <c r="L432" s="47" t="s">
        <v>1379</v>
      </c>
    </row>
    <row r="433" spans="1:12" ht="14.5" x14ac:dyDescent="0.35">
      <c r="A433" s="47" t="s">
        <v>1368</v>
      </c>
      <c r="B433" s="43">
        <v>8471140</v>
      </c>
      <c r="C433" s="44" t="s">
        <v>339</v>
      </c>
      <c r="D433" s="43">
        <v>427200</v>
      </c>
      <c r="E433" s="44" t="s">
        <v>82</v>
      </c>
      <c r="F433" s="43">
        <v>847001</v>
      </c>
      <c r="G433" s="44" t="s">
        <v>24</v>
      </c>
      <c r="H433" s="44" t="s">
        <v>25</v>
      </c>
      <c r="I433" s="45" t="s">
        <v>26</v>
      </c>
      <c r="J433" s="45" t="s">
        <v>641</v>
      </c>
      <c r="K433" s="46" t="s">
        <v>1079</v>
      </c>
      <c r="L433" s="47" t="s">
        <v>1379</v>
      </c>
    </row>
    <row r="434" spans="1:12" ht="14.5" x14ac:dyDescent="0.35">
      <c r="A434" s="47" t="s">
        <v>1365</v>
      </c>
      <c r="B434" s="43">
        <v>8471210</v>
      </c>
      <c r="C434" s="44" t="s">
        <v>176</v>
      </c>
      <c r="D434" s="43">
        <v>427200</v>
      </c>
      <c r="E434" s="44" t="s">
        <v>82</v>
      </c>
      <c r="F434" s="43">
        <v>847001</v>
      </c>
      <c r="G434" s="44" t="s">
        <v>24</v>
      </c>
      <c r="H434" s="44" t="s">
        <v>28</v>
      </c>
      <c r="I434" s="45" t="s">
        <v>29</v>
      </c>
      <c r="J434" s="45" t="s">
        <v>642</v>
      </c>
      <c r="K434" s="46" t="s">
        <v>1079</v>
      </c>
      <c r="L434" s="47" t="s">
        <v>1379</v>
      </c>
    </row>
    <row r="435" spans="1:12" ht="14.5" x14ac:dyDescent="0.35">
      <c r="A435" s="47" t="s">
        <v>1371</v>
      </c>
      <c r="B435" s="43">
        <v>8471305</v>
      </c>
      <c r="C435" s="44" t="s">
        <v>32</v>
      </c>
      <c r="D435" s="43">
        <v>427200</v>
      </c>
      <c r="E435" s="44" t="s">
        <v>82</v>
      </c>
      <c r="F435" s="43">
        <v>847001</v>
      </c>
      <c r="G435" s="44" t="s">
        <v>24</v>
      </c>
      <c r="H435" s="44" t="s">
        <v>25</v>
      </c>
      <c r="I435" s="45" t="s">
        <v>26</v>
      </c>
      <c r="J435" s="45" t="s">
        <v>83</v>
      </c>
      <c r="K435" s="46" t="s">
        <v>1079</v>
      </c>
      <c r="L435" s="47" t="s">
        <v>1379</v>
      </c>
    </row>
    <row r="436" spans="1:12" ht="14.5" x14ac:dyDescent="0.35">
      <c r="A436" s="47" t="s">
        <v>1359</v>
      </c>
      <c r="B436" s="43">
        <v>8470110</v>
      </c>
      <c r="C436" s="44" t="s">
        <v>180</v>
      </c>
      <c r="D436" s="43">
        <v>427710</v>
      </c>
      <c r="E436" s="44" t="s">
        <v>84</v>
      </c>
      <c r="F436" s="43">
        <v>847001</v>
      </c>
      <c r="G436" s="44" t="s">
        <v>24</v>
      </c>
      <c r="H436" s="44" t="s">
        <v>25</v>
      </c>
      <c r="I436" s="45" t="s">
        <v>26</v>
      </c>
      <c r="J436" s="45" t="s">
        <v>643</v>
      </c>
      <c r="K436" s="46" t="s">
        <v>31</v>
      </c>
      <c r="L436" s="47" t="s">
        <v>1379</v>
      </c>
    </row>
    <row r="437" spans="1:12" ht="14.5" x14ac:dyDescent="0.35">
      <c r="A437" s="47" t="s">
        <v>1357</v>
      </c>
      <c r="B437" s="43">
        <v>8470410</v>
      </c>
      <c r="C437" s="44" t="s">
        <v>421</v>
      </c>
      <c r="D437" s="43">
        <v>427710</v>
      </c>
      <c r="E437" s="44" t="s">
        <v>84</v>
      </c>
      <c r="F437" s="43">
        <v>847001</v>
      </c>
      <c r="G437" s="44" t="s">
        <v>24</v>
      </c>
      <c r="H437" s="44" t="s">
        <v>28</v>
      </c>
      <c r="I437" s="45" t="s">
        <v>29</v>
      </c>
      <c r="J437" s="45" t="s">
        <v>644</v>
      </c>
      <c r="K437" s="46" t="s">
        <v>31</v>
      </c>
      <c r="L437" s="47" t="s">
        <v>1379</v>
      </c>
    </row>
    <row r="438" spans="1:12" ht="14.5" x14ac:dyDescent="0.35">
      <c r="A438" s="47" t="s">
        <v>1358</v>
      </c>
      <c r="B438" s="43">
        <v>8470520</v>
      </c>
      <c r="C438" s="44" t="s">
        <v>253</v>
      </c>
      <c r="D438" s="43">
        <v>427710</v>
      </c>
      <c r="E438" s="44" t="s">
        <v>84</v>
      </c>
      <c r="F438" s="43">
        <v>847001</v>
      </c>
      <c r="G438" s="44" t="s">
        <v>24</v>
      </c>
      <c r="H438" s="44" t="s">
        <v>25</v>
      </c>
      <c r="I438" s="45" t="s">
        <v>26</v>
      </c>
      <c r="J438" s="45" t="s">
        <v>645</v>
      </c>
      <c r="K438" s="46" t="s">
        <v>31</v>
      </c>
      <c r="L438" s="47" t="s">
        <v>1379</v>
      </c>
    </row>
    <row r="439" spans="1:12" ht="14.5" x14ac:dyDescent="0.35">
      <c r="A439" s="47" t="s">
        <v>1367</v>
      </c>
      <c r="B439" s="43">
        <v>8470730</v>
      </c>
      <c r="C439" s="44" t="s">
        <v>223</v>
      </c>
      <c r="D439" s="43">
        <v>427710</v>
      </c>
      <c r="E439" s="44" t="s">
        <v>84</v>
      </c>
      <c r="F439" s="43">
        <v>847001</v>
      </c>
      <c r="G439" s="44" t="s">
        <v>24</v>
      </c>
      <c r="H439" s="44" t="s">
        <v>25</v>
      </c>
      <c r="I439" s="45" t="s">
        <v>26</v>
      </c>
      <c r="J439" s="45" t="s">
        <v>646</v>
      </c>
      <c r="K439" s="46" t="s">
        <v>31</v>
      </c>
      <c r="L439" s="47" t="s">
        <v>1379</v>
      </c>
    </row>
    <row r="440" spans="1:12" ht="14.5" x14ac:dyDescent="0.35">
      <c r="A440" s="47" t="s">
        <v>1368</v>
      </c>
      <c r="B440" s="43">
        <v>8471110</v>
      </c>
      <c r="C440" s="44" t="s">
        <v>227</v>
      </c>
      <c r="D440" s="43">
        <v>427710</v>
      </c>
      <c r="E440" s="44" t="s">
        <v>84</v>
      </c>
      <c r="F440" s="43">
        <v>847001</v>
      </c>
      <c r="G440" s="44" t="s">
        <v>24</v>
      </c>
      <c r="H440" s="44" t="s">
        <v>25</v>
      </c>
      <c r="I440" s="45" t="s">
        <v>26</v>
      </c>
      <c r="J440" s="45" t="s">
        <v>647</v>
      </c>
      <c r="K440" s="46" t="s">
        <v>31</v>
      </c>
      <c r="L440" s="47" t="s">
        <v>1379</v>
      </c>
    </row>
    <row r="441" spans="1:12" ht="14.5" x14ac:dyDescent="0.35">
      <c r="A441" s="47" t="s">
        <v>1368</v>
      </c>
      <c r="B441" s="43">
        <v>8471110</v>
      </c>
      <c r="C441" s="44" t="s">
        <v>227</v>
      </c>
      <c r="D441" s="43">
        <v>427710</v>
      </c>
      <c r="E441" s="44" t="s">
        <v>84</v>
      </c>
      <c r="F441" s="43">
        <v>847001</v>
      </c>
      <c r="G441" s="44" t="s">
        <v>24</v>
      </c>
      <c r="H441" s="44" t="s">
        <v>28</v>
      </c>
      <c r="I441" s="45" t="s">
        <v>29</v>
      </c>
      <c r="J441" s="45" t="s">
        <v>648</v>
      </c>
      <c r="K441" s="46" t="s">
        <v>31</v>
      </c>
      <c r="L441" s="47" t="s">
        <v>1379</v>
      </c>
    </row>
    <row r="442" spans="1:12" ht="14.5" x14ac:dyDescent="0.35">
      <c r="A442" s="47" t="s">
        <v>1365</v>
      </c>
      <c r="B442" s="43">
        <v>8471270</v>
      </c>
      <c r="C442" s="44" t="s">
        <v>353</v>
      </c>
      <c r="D442" s="43">
        <v>427710</v>
      </c>
      <c r="E442" s="44" t="s">
        <v>84</v>
      </c>
      <c r="F442" s="43">
        <v>847001</v>
      </c>
      <c r="G442" s="44" t="s">
        <v>24</v>
      </c>
      <c r="H442" s="44" t="s">
        <v>28</v>
      </c>
      <c r="I442" s="45" t="s">
        <v>29</v>
      </c>
      <c r="J442" s="45" t="s">
        <v>649</v>
      </c>
      <c r="K442" s="46" t="s">
        <v>31</v>
      </c>
      <c r="L442" s="47" t="s">
        <v>1379</v>
      </c>
    </row>
    <row r="443" spans="1:12" ht="14.5" x14ac:dyDescent="0.35">
      <c r="A443" s="47" t="s">
        <v>1371</v>
      </c>
      <c r="B443" s="43">
        <v>8471305</v>
      </c>
      <c r="C443" s="44" t="s">
        <v>32</v>
      </c>
      <c r="D443" s="43">
        <v>427710</v>
      </c>
      <c r="E443" s="44" t="s">
        <v>84</v>
      </c>
      <c r="F443" s="43">
        <v>847001</v>
      </c>
      <c r="G443" s="44" t="s">
        <v>24</v>
      </c>
      <c r="H443" s="44" t="s">
        <v>25</v>
      </c>
      <c r="I443" s="45" t="s">
        <v>26</v>
      </c>
      <c r="J443" s="45" t="s">
        <v>85</v>
      </c>
      <c r="K443" s="46" t="s">
        <v>31</v>
      </c>
      <c r="L443" s="47" t="s">
        <v>1379</v>
      </c>
    </row>
    <row r="444" spans="1:12" ht="14.5" x14ac:dyDescent="0.35">
      <c r="A444" s="47" t="s">
        <v>1364</v>
      </c>
      <c r="B444" s="43">
        <v>8470810</v>
      </c>
      <c r="C444" s="44" t="s">
        <v>200</v>
      </c>
      <c r="D444" s="43">
        <v>427810</v>
      </c>
      <c r="E444" s="44" t="s">
        <v>650</v>
      </c>
      <c r="F444" s="43">
        <v>847001</v>
      </c>
      <c r="G444" s="44" t="s">
        <v>24</v>
      </c>
      <c r="H444" s="44" t="s">
        <v>25</v>
      </c>
      <c r="I444" s="45" t="s">
        <v>26</v>
      </c>
      <c r="J444" s="45" t="s">
        <v>651</v>
      </c>
      <c r="K444" s="46" t="s">
        <v>574</v>
      </c>
      <c r="L444" s="47" t="s">
        <v>1379</v>
      </c>
    </row>
    <row r="445" spans="1:12" ht="14.5" x14ac:dyDescent="0.35">
      <c r="A445" s="47" t="s">
        <v>1364</v>
      </c>
      <c r="B445" s="43">
        <v>8470810</v>
      </c>
      <c r="C445" s="44" t="s">
        <v>200</v>
      </c>
      <c r="D445" s="43">
        <v>427810</v>
      </c>
      <c r="E445" s="44" t="s">
        <v>650</v>
      </c>
      <c r="F445" s="43">
        <v>847001</v>
      </c>
      <c r="G445" s="44" t="s">
        <v>24</v>
      </c>
      <c r="H445" s="44" t="s">
        <v>28</v>
      </c>
      <c r="I445" s="45" t="s">
        <v>29</v>
      </c>
      <c r="J445" s="45" t="s">
        <v>652</v>
      </c>
      <c r="K445" s="46" t="s">
        <v>574</v>
      </c>
      <c r="L445" s="47" t="s">
        <v>1379</v>
      </c>
    </row>
    <row r="446" spans="1:12" ht="14.5" x14ac:dyDescent="0.35">
      <c r="A446" s="47" t="s">
        <v>1365</v>
      </c>
      <c r="B446" s="43">
        <v>8471210</v>
      </c>
      <c r="C446" s="44" t="s">
        <v>176</v>
      </c>
      <c r="D446" s="43">
        <v>427810</v>
      </c>
      <c r="E446" s="44" t="s">
        <v>650</v>
      </c>
      <c r="F446" s="43">
        <v>847001</v>
      </c>
      <c r="G446" s="44" t="s">
        <v>24</v>
      </c>
      <c r="H446" s="44" t="s">
        <v>28</v>
      </c>
      <c r="I446" s="45" t="s">
        <v>29</v>
      </c>
      <c r="J446" s="45" t="s">
        <v>653</v>
      </c>
      <c r="K446" s="46" t="s">
        <v>574</v>
      </c>
      <c r="L446" s="47" t="s">
        <v>1379</v>
      </c>
    </row>
    <row r="447" spans="1:12" ht="14.5" x14ac:dyDescent="0.35">
      <c r="A447" s="47" t="s">
        <v>1365</v>
      </c>
      <c r="B447" s="43">
        <v>8471260</v>
      </c>
      <c r="C447" s="44" t="s">
        <v>178</v>
      </c>
      <c r="D447" s="43">
        <v>427810</v>
      </c>
      <c r="E447" s="44" t="s">
        <v>650</v>
      </c>
      <c r="F447" s="43">
        <v>847001</v>
      </c>
      <c r="G447" s="44" t="s">
        <v>24</v>
      </c>
      <c r="H447" s="44" t="s">
        <v>25</v>
      </c>
      <c r="I447" s="45" t="s">
        <v>26</v>
      </c>
      <c r="J447" s="45" t="s">
        <v>654</v>
      </c>
      <c r="K447" s="46" t="s">
        <v>574</v>
      </c>
      <c r="L447" s="47" t="s">
        <v>1379</v>
      </c>
    </row>
    <row r="448" spans="1:12" ht="14.5" x14ac:dyDescent="0.35">
      <c r="A448" s="47" t="s">
        <v>1364</v>
      </c>
      <c r="B448" s="43">
        <v>8470810</v>
      </c>
      <c r="C448" s="44" t="s">
        <v>200</v>
      </c>
      <c r="D448" s="43">
        <v>427850</v>
      </c>
      <c r="E448" s="44" t="s">
        <v>655</v>
      </c>
      <c r="F448" s="43">
        <v>847001</v>
      </c>
      <c r="G448" s="44" t="s">
        <v>24</v>
      </c>
      <c r="H448" s="44" t="s">
        <v>25</v>
      </c>
      <c r="I448" s="45" t="s">
        <v>26</v>
      </c>
      <c r="J448" s="45" t="s">
        <v>656</v>
      </c>
      <c r="K448" s="46" t="s">
        <v>574</v>
      </c>
      <c r="L448" s="47" t="s">
        <v>1379</v>
      </c>
    </row>
    <row r="449" spans="1:12" ht="14.5" x14ac:dyDescent="0.35">
      <c r="A449" s="47" t="s">
        <v>1364</v>
      </c>
      <c r="B449" s="43">
        <v>8470810</v>
      </c>
      <c r="C449" s="44" t="s">
        <v>200</v>
      </c>
      <c r="D449" s="43">
        <v>427850</v>
      </c>
      <c r="E449" s="44" t="s">
        <v>655</v>
      </c>
      <c r="F449" s="43">
        <v>847001</v>
      </c>
      <c r="G449" s="44" t="s">
        <v>24</v>
      </c>
      <c r="H449" s="44" t="s">
        <v>28</v>
      </c>
      <c r="I449" s="45" t="s">
        <v>29</v>
      </c>
      <c r="J449" s="45" t="s">
        <v>657</v>
      </c>
      <c r="K449" s="46" t="s">
        <v>574</v>
      </c>
      <c r="L449" s="47" t="s">
        <v>1379</v>
      </c>
    </row>
    <row r="450" spans="1:12" ht="14.5" x14ac:dyDescent="0.35">
      <c r="A450" s="47" t="s">
        <v>1365</v>
      </c>
      <c r="B450" s="43">
        <v>8471210</v>
      </c>
      <c r="C450" s="44" t="s">
        <v>176</v>
      </c>
      <c r="D450" s="43">
        <v>427850</v>
      </c>
      <c r="E450" s="44" t="s">
        <v>655</v>
      </c>
      <c r="F450" s="43">
        <v>847001</v>
      </c>
      <c r="G450" s="44" t="s">
        <v>24</v>
      </c>
      <c r="H450" s="44" t="s">
        <v>28</v>
      </c>
      <c r="I450" s="45" t="s">
        <v>29</v>
      </c>
      <c r="J450" s="45" t="s">
        <v>658</v>
      </c>
      <c r="K450" s="46" t="s">
        <v>574</v>
      </c>
      <c r="L450" s="47" t="s">
        <v>1379</v>
      </c>
    </row>
    <row r="451" spans="1:12" ht="14.5" x14ac:dyDescent="0.35">
      <c r="A451" s="47" t="s">
        <v>1365</v>
      </c>
      <c r="B451" s="43">
        <v>8471260</v>
      </c>
      <c r="C451" s="44" t="s">
        <v>178</v>
      </c>
      <c r="D451" s="43">
        <v>427850</v>
      </c>
      <c r="E451" s="44" t="s">
        <v>655</v>
      </c>
      <c r="F451" s="43">
        <v>847001</v>
      </c>
      <c r="G451" s="44" t="s">
        <v>24</v>
      </c>
      <c r="H451" s="44" t="s">
        <v>25</v>
      </c>
      <c r="I451" s="45" t="s">
        <v>26</v>
      </c>
      <c r="J451" s="45" t="s">
        <v>659</v>
      </c>
      <c r="K451" s="46" t="s">
        <v>574</v>
      </c>
      <c r="L451" s="47" t="s">
        <v>1379</v>
      </c>
    </row>
    <row r="452" spans="1:12" ht="14.5" x14ac:dyDescent="0.35">
      <c r="A452" s="47" t="s">
        <v>1359</v>
      </c>
      <c r="B452" s="43">
        <v>8470110</v>
      </c>
      <c r="C452" s="44" t="s">
        <v>180</v>
      </c>
      <c r="D452" s="43">
        <v>427900</v>
      </c>
      <c r="E452" s="44" t="s">
        <v>660</v>
      </c>
      <c r="F452" s="43">
        <v>847001</v>
      </c>
      <c r="G452" s="44" t="s">
        <v>24</v>
      </c>
      <c r="H452" s="44" t="s">
        <v>28</v>
      </c>
      <c r="I452" s="45" t="s">
        <v>29</v>
      </c>
      <c r="J452" s="45" t="s">
        <v>661</v>
      </c>
      <c r="K452" s="46" t="s">
        <v>27</v>
      </c>
      <c r="L452" s="47" t="s">
        <v>1379</v>
      </c>
    </row>
    <row r="453" spans="1:12" ht="14.5" x14ac:dyDescent="0.35">
      <c r="A453" s="47" t="s">
        <v>1367</v>
      </c>
      <c r="B453" s="43">
        <v>8470730</v>
      </c>
      <c r="C453" s="44" t="s">
        <v>223</v>
      </c>
      <c r="D453" s="43">
        <v>427900</v>
      </c>
      <c r="E453" s="44" t="s">
        <v>660</v>
      </c>
      <c r="F453" s="43">
        <v>847001</v>
      </c>
      <c r="G453" s="44" t="s">
        <v>24</v>
      </c>
      <c r="H453" s="44" t="s">
        <v>28</v>
      </c>
      <c r="I453" s="45" t="s">
        <v>29</v>
      </c>
      <c r="J453" s="45" t="s">
        <v>662</v>
      </c>
      <c r="K453" s="46" t="s">
        <v>27</v>
      </c>
      <c r="L453" s="47" t="s">
        <v>1379</v>
      </c>
    </row>
    <row r="454" spans="1:12" ht="14.5" x14ac:dyDescent="0.35">
      <c r="A454" s="47" t="s">
        <v>1368</v>
      </c>
      <c r="B454" s="43">
        <v>8471130</v>
      </c>
      <c r="C454" s="44" t="s">
        <v>197</v>
      </c>
      <c r="D454" s="43">
        <v>427900</v>
      </c>
      <c r="E454" s="44" t="s">
        <v>660</v>
      </c>
      <c r="F454" s="43">
        <v>847001</v>
      </c>
      <c r="G454" s="44" t="s">
        <v>24</v>
      </c>
      <c r="H454" s="44" t="s">
        <v>28</v>
      </c>
      <c r="I454" s="45" t="s">
        <v>29</v>
      </c>
      <c r="J454" s="45" t="s">
        <v>663</v>
      </c>
      <c r="K454" s="46" t="s">
        <v>27</v>
      </c>
      <c r="L454" s="47" t="s">
        <v>1379</v>
      </c>
    </row>
    <row r="455" spans="1:12" ht="14.5" x14ac:dyDescent="0.35">
      <c r="A455" s="47" t="s">
        <v>1359</v>
      </c>
      <c r="B455" s="43">
        <v>8470110</v>
      </c>
      <c r="C455" s="44" t="s">
        <v>180</v>
      </c>
      <c r="D455" s="43">
        <v>428090</v>
      </c>
      <c r="E455" s="44" t="s">
        <v>86</v>
      </c>
      <c r="F455" s="43">
        <v>847001</v>
      </c>
      <c r="G455" s="44" t="s">
        <v>24</v>
      </c>
      <c r="H455" s="44" t="s">
        <v>25</v>
      </c>
      <c r="I455" s="45" t="s">
        <v>26</v>
      </c>
      <c r="J455" s="45" t="s">
        <v>664</v>
      </c>
      <c r="K455" s="46" t="s">
        <v>1081</v>
      </c>
      <c r="L455" s="47" t="s">
        <v>1379</v>
      </c>
    </row>
    <row r="456" spans="1:12" ht="14.5" x14ac:dyDescent="0.35">
      <c r="A456" s="47" t="s">
        <v>1359</v>
      </c>
      <c r="B456" s="43">
        <v>8470110</v>
      </c>
      <c r="C456" s="44" t="s">
        <v>180</v>
      </c>
      <c r="D456" s="43">
        <v>428090</v>
      </c>
      <c r="E456" s="44" t="s">
        <v>86</v>
      </c>
      <c r="F456" s="43">
        <v>847001</v>
      </c>
      <c r="G456" s="44" t="s">
        <v>24</v>
      </c>
      <c r="H456" s="44" t="s">
        <v>28</v>
      </c>
      <c r="I456" s="45" t="s">
        <v>29</v>
      </c>
      <c r="J456" s="45" t="s">
        <v>665</v>
      </c>
      <c r="K456" s="46" t="s">
        <v>1081</v>
      </c>
      <c r="L456" s="47" t="s">
        <v>1379</v>
      </c>
    </row>
    <row r="457" spans="1:12" ht="14.5" x14ac:dyDescent="0.35">
      <c r="A457" s="47" t="s">
        <v>1359</v>
      </c>
      <c r="B457" s="43">
        <v>8470120</v>
      </c>
      <c r="C457" s="44" t="s">
        <v>157</v>
      </c>
      <c r="D457" s="43">
        <v>428090</v>
      </c>
      <c r="E457" s="44" t="s">
        <v>86</v>
      </c>
      <c r="F457" s="43">
        <v>847001</v>
      </c>
      <c r="G457" s="44" t="s">
        <v>24</v>
      </c>
      <c r="H457" s="44" t="s">
        <v>28</v>
      </c>
      <c r="I457" s="45" t="s">
        <v>29</v>
      </c>
      <c r="J457" s="45" t="s">
        <v>666</v>
      </c>
      <c r="K457" s="46" t="s">
        <v>1081</v>
      </c>
      <c r="L457" s="47" t="s">
        <v>1379</v>
      </c>
    </row>
    <row r="458" spans="1:12" ht="14.5" x14ac:dyDescent="0.35">
      <c r="A458" s="47" t="s">
        <v>1359</v>
      </c>
      <c r="B458" s="43">
        <v>8470140</v>
      </c>
      <c r="C458" s="44" t="s">
        <v>231</v>
      </c>
      <c r="D458" s="43">
        <v>428090</v>
      </c>
      <c r="E458" s="44" t="s">
        <v>86</v>
      </c>
      <c r="F458" s="43">
        <v>847001</v>
      </c>
      <c r="G458" s="44" t="s">
        <v>24</v>
      </c>
      <c r="H458" s="44" t="s">
        <v>28</v>
      </c>
      <c r="I458" s="45" t="s">
        <v>29</v>
      </c>
      <c r="J458" s="45" t="s">
        <v>667</v>
      </c>
      <c r="K458" s="46" t="s">
        <v>1081</v>
      </c>
      <c r="L458" s="47" t="s">
        <v>1379</v>
      </c>
    </row>
    <row r="459" spans="1:12" ht="14.5" x14ac:dyDescent="0.35">
      <c r="A459" s="47" t="s">
        <v>1366</v>
      </c>
      <c r="B459" s="43">
        <v>8470230</v>
      </c>
      <c r="C459" s="44" t="s">
        <v>183</v>
      </c>
      <c r="D459" s="43">
        <v>428090</v>
      </c>
      <c r="E459" s="44" t="s">
        <v>86</v>
      </c>
      <c r="F459" s="43">
        <v>847001</v>
      </c>
      <c r="G459" s="44" t="s">
        <v>24</v>
      </c>
      <c r="H459" s="44" t="s">
        <v>25</v>
      </c>
      <c r="I459" s="45" t="s">
        <v>26</v>
      </c>
      <c r="J459" s="45" t="s">
        <v>668</v>
      </c>
      <c r="K459" s="46" t="s">
        <v>1081</v>
      </c>
      <c r="L459" s="47" t="s">
        <v>1379</v>
      </c>
    </row>
    <row r="460" spans="1:12" ht="14.5" x14ac:dyDescent="0.35">
      <c r="A460" s="47" t="s">
        <v>1366</v>
      </c>
      <c r="B460" s="43">
        <v>8470230</v>
      </c>
      <c r="C460" s="44" t="s">
        <v>183</v>
      </c>
      <c r="D460" s="43">
        <v>428090</v>
      </c>
      <c r="E460" s="44" t="s">
        <v>86</v>
      </c>
      <c r="F460" s="43">
        <v>847001</v>
      </c>
      <c r="G460" s="44" t="s">
        <v>24</v>
      </c>
      <c r="H460" s="44" t="s">
        <v>28</v>
      </c>
      <c r="I460" s="45" t="s">
        <v>29</v>
      </c>
      <c r="J460" s="45" t="s">
        <v>669</v>
      </c>
      <c r="K460" s="46" t="s">
        <v>1081</v>
      </c>
      <c r="L460" s="47" t="s">
        <v>1379</v>
      </c>
    </row>
    <row r="461" spans="1:12" ht="14.5" x14ac:dyDescent="0.35">
      <c r="A461" s="47" t="s">
        <v>1363</v>
      </c>
      <c r="B461" s="43">
        <v>8470305</v>
      </c>
      <c r="C461" s="44" t="s">
        <v>193</v>
      </c>
      <c r="D461" s="43">
        <v>428090</v>
      </c>
      <c r="E461" s="44" t="s">
        <v>86</v>
      </c>
      <c r="F461" s="43">
        <v>847001</v>
      </c>
      <c r="G461" s="44" t="s">
        <v>24</v>
      </c>
      <c r="H461" s="44" t="s">
        <v>28</v>
      </c>
      <c r="I461" s="45" t="s">
        <v>29</v>
      </c>
      <c r="J461" s="45" t="s">
        <v>670</v>
      </c>
      <c r="K461" s="46" t="s">
        <v>1081</v>
      </c>
      <c r="L461" s="47" t="s">
        <v>1379</v>
      </c>
    </row>
    <row r="462" spans="1:12" ht="14.5" x14ac:dyDescent="0.35">
      <c r="A462" s="47" t="s">
        <v>1363</v>
      </c>
      <c r="B462" s="43">
        <v>8470315</v>
      </c>
      <c r="C462" s="44" t="s">
        <v>311</v>
      </c>
      <c r="D462" s="43">
        <v>428090</v>
      </c>
      <c r="E462" s="44" t="s">
        <v>86</v>
      </c>
      <c r="F462" s="43">
        <v>847001</v>
      </c>
      <c r="G462" s="44" t="s">
        <v>24</v>
      </c>
      <c r="H462" s="44" t="s">
        <v>25</v>
      </c>
      <c r="I462" s="45" t="s">
        <v>26</v>
      </c>
      <c r="J462" s="45" t="s">
        <v>671</v>
      </c>
      <c r="K462" s="46" t="s">
        <v>1081</v>
      </c>
      <c r="L462" s="47" t="s">
        <v>1379</v>
      </c>
    </row>
    <row r="463" spans="1:12" ht="14.5" x14ac:dyDescent="0.35">
      <c r="A463" s="47" t="s">
        <v>1363</v>
      </c>
      <c r="B463" s="43">
        <v>8470320</v>
      </c>
      <c r="C463" s="44" t="s">
        <v>443</v>
      </c>
      <c r="D463" s="43">
        <v>428090</v>
      </c>
      <c r="E463" s="44" t="s">
        <v>86</v>
      </c>
      <c r="F463" s="43">
        <v>847001</v>
      </c>
      <c r="G463" s="44" t="s">
        <v>24</v>
      </c>
      <c r="H463" s="44" t="s">
        <v>25</v>
      </c>
      <c r="I463" s="45" t="s">
        <v>26</v>
      </c>
      <c r="J463" s="45" t="s">
        <v>672</v>
      </c>
      <c r="K463" s="46" t="s">
        <v>1081</v>
      </c>
      <c r="L463" s="47" t="s">
        <v>1379</v>
      </c>
    </row>
    <row r="464" spans="1:12" ht="14.5" x14ac:dyDescent="0.35">
      <c r="A464" s="47" t="s">
        <v>1363</v>
      </c>
      <c r="B464" s="43">
        <v>8470320</v>
      </c>
      <c r="C464" s="44" t="s">
        <v>443</v>
      </c>
      <c r="D464" s="43">
        <v>428090</v>
      </c>
      <c r="E464" s="44" t="s">
        <v>86</v>
      </c>
      <c r="F464" s="43">
        <v>847001</v>
      </c>
      <c r="G464" s="44" t="s">
        <v>24</v>
      </c>
      <c r="H464" s="44" t="s">
        <v>28</v>
      </c>
      <c r="I464" s="45" t="s">
        <v>29</v>
      </c>
      <c r="J464" s="45" t="s">
        <v>673</v>
      </c>
      <c r="K464" s="46" t="s">
        <v>1081</v>
      </c>
      <c r="L464" s="47" t="s">
        <v>1379</v>
      </c>
    </row>
    <row r="465" spans="1:12" ht="14.5" x14ac:dyDescent="0.35">
      <c r="A465" s="47" t="s">
        <v>1363</v>
      </c>
      <c r="B465" s="43">
        <v>8470325</v>
      </c>
      <c r="C465" s="44" t="s">
        <v>186</v>
      </c>
      <c r="D465" s="43">
        <v>428090</v>
      </c>
      <c r="E465" s="44" t="s">
        <v>86</v>
      </c>
      <c r="F465" s="43">
        <v>847001</v>
      </c>
      <c r="G465" s="44" t="s">
        <v>24</v>
      </c>
      <c r="H465" s="44" t="s">
        <v>25</v>
      </c>
      <c r="I465" s="45" t="s">
        <v>26</v>
      </c>
      <c r="J465" s="45" t="s">
        <v>674</v>
      </c>
      <c r="K465" s="46" t="s">
        <v>1081</v>
      </c>
      <c r="L465" s="47" t="s">
        <v>1379</v>
      </c>
    </row>
    <row r="466" spans="1:12" ht="14.5" x14ac:dyDescent="0.35">
      <c r="A466" s="47" t="s">
        <v>1363</v>
      </c>
      <c r="B466" s="43">
        <v>8470325</v>
      </c>
      <c r="C466" s="44" t="s">
        <v>186</v>
      </c>
      <c r="D466" s="43">
        <v>428090</v>
      </c>
      <c r="E466" s="44" t="s">
        <v>86</v>
      </c>
      <c r="F466" s="43">
        <v>847001</v>
      </c>
      <c r="G466" s="44" t="s">
        <v>24</v>
      </c>
      <c r="H466" s="44" t="s">
        <v>28</v>
      </c>
      <c r="I466" s="45" t="s">
        <v>29</v>
      </c>
      <c r="J466" s="45" t="s">
        <v>675</v>
      </c>
      <c r="K466" s="46" t="s">
        <v>1081</v>
      </c>
      <c r="L466" s="47" t="s">
        <v>1379</v>
      </c>
    </row>
    <row r="467" spans="1:12" ht="14.5" x14ac:dyDescent="0.35">
      <c r="A467" s="47" t="s">
        <v>1363</v>
      </c>
      <c r="B467" s="43">
        <v>8470330</v>
      </c>
      <c r="C467" s="44" t="s">
        <v>268</v>
      </c>
      <c r="D467" s="43">
        <v>428090</v>
      </c>
      <c r="E467" s="44" t="s">
        <v>86</v>
      </c>
      <c r="F467" s="43">
        <v>847001</v>
      </c>
      <c r="G467" s="44" t="s">
        <v>24</v>
      </c>
      <c r="H467" s="44" t="s">
        <v>25</v>
      </c>
      <c r="I467" s="45" t="s">
        <v>26</v>
      </c>
      <c r="J467" s="45" t="s">
        <v>676</v>
      </c>
      <c r="K467" s="46" t="s">
        <v>1081</v>
      </c>
      <c r="L467" s="47" t="s">
        <v>1379</v>
      </c>
    </row>
    <row r="468" spans="1:12" ht="14.5" x14ac:dyDescent="0.35">
      <c r="A468" s="47" t="s">
        <v>1363</v>
      </c>
      <c r="B468" s="43">
        <v>8470330</v>
      </c>
      <c r="C468" s="44" t="s">
        <v>268</v>
      </c>
      <c r="D468" s="43">
        <v>428090</v>
      </c>
      <c r="E468" s="44" t="s">
        <v>86</v>
      </c>
      <c r="F468" s="43">
        <v>847001</v>
      </c>
      <c r="G468" s="44" t="s">
        <v>24</v>
      </c>
      <c r="H468" s="44" t="s">
        <v>28</v>
      </c>
      <c r="I468" s="45" t="s">
        <v>29</v>
      </c>
      <c r="J468" s="45" t="s">
        <v>677</v>
      </c>
      <c r="K468" s="46" t="s">
        <v>1081</v>
      </c>
      <c r="L468" s="47" t="s">
        <v>1379</v>
      </c>
    </row>
    <row r="469" spans="1:12" ht="14.5" x14ac:dyDescent="0.35">
      <c r="A469" s="47" t="s">
        <v>1363</v>
      </c>
      <c r="B469" s="43">
        <v>8470335</v>
      </c>
      <c r="C469" s="44" t="s">
        <v>317</v>
      </c>
      <c r="D469" s="43">
        <v>428090</v>
      </c>
      <c r="E469" s="44" t="s">
        <v>86</v>
      </c>
      <c r="F469" s="43">
        <v>847001</v>
      </c>
      <c r="G469" s="44" t="s">
        <v>24</v>
      </c>
      <c r="H469" s="44" t="s">
        <v>25</v>
      </c>
      <c r="I469" s="45" t="s">
        <v>26</v>
      </c>
      <c r="J469" s="45" t="s">
        <v>678</v>
      </c>
      <c r="K469" s="46" t="s">
        <v>1081</v>
      </c>
      <c r="L469" s="47" t="s">
        <v>1379</v>
      </c>
    </row>
    <row r="470" spans="1:12" ht="14.5" x14ac:dyDescent="0.35">
      <c r="A470" s="47" t="s">
        <v>1363</v>
      </c>
      <c r="B470" s="43">
        <v>8470335</v>
      </c>
      <c r="C470" s="44" t="s">
        <v>317</v>
      </c>
      <c r="D470" s="43">
        <v>428090</v>
      </c>
      <c r="E470" s="44" t="s">
        <v>86</v>
      </c>
      <c r="F470" s="43">
        <v>847001</v>
      </c>
      <c r="G470" s="44" t="s">
        <v>24</v>
      </c>
      <c r="H470" s="44" t="s">
        <v>28</v>
      </c>
      <c r="I470" s="45" t="s">
        <v>29</v>
      </c>
      <c r="J470" s="45" t="s">
        <v>679</v>
      </c>
      <c r="K470" s="46" t="s">
        <v>1081</v>
      </c>
      <c r="L470" s="47" t="s">
        <v>1379</v>
      </c>
    </row>
    <row r="471" spans="1:12" ht="14.5" x14ac:dyDescent="0.35">
      <c r="A471" s="47" t="s">
        <v>1363</v>
      </c>
      <c r="B471" s="43">
        <v>8470340</v>
      </c>
      <c r="C471" s="44" t="s">
        <v>234</v>
      </c>
      <c r="D471" s="43">
        <v>428090</v>
      </c>
      <c r="E471" s="44" t="s">
        <v>86</v>
      </c>
      <c r="F471" s="43">
        <v>847001</v>
      </c>
      <c r="G471" s="44" t="s">
        <v>24</v>
      </c>
      <c r="H471" s="44" t="s">
        <v>25</v>
      </c>
      <c r="I471" s="45" t="s">
        <v>26</v>
      </c>
      <c r="J471" s="45" t="s">
        <v>680</v>
      </c>
      <c r="K471" s="46" t="s">
        <v>1081</v>
      </c>
      <c r="L471" s="47" t="s">
        <v>1379</v>
      </c>
    </row>
    <row r="472" spans="1:12" ht="14.5" x14ac:dyDescent="0.35">
      <c r="A472" s="47" t="s">
        <v>1363</v>
      </c>
      <c r="B472" s="43">
        <v>8470340</v>
      </c>
      <c r="C472" s="44" t="s">
        <v>234</v>
      </c>
      <c r="D472" s="43">
        <v>428090</v>
      </c>
      <c r="E472" s="44" t="s">
        <v>86</v>
      </c>
      <c r="F472" s="43">
        <v>847001</v>
      </c>
      <c r="G472" s="44" t="s">
        <v>24</v>
      </c>
      <c r="H472" s="44" t="s">
        <v>28</v>
      </c>
      <c r="I472" s="45" t="s">
        <v>29</v>
      </c>
      <c r="J472" s="45" t="s">
        <v>681</v>
      </c>
      <c r="K472" s="46" t="s">
        <v>1081</v>
      </c>
      <c r="L472" s="47" t="s">
        <v>1379</v>
      </c>
    </row>
    <row r="473" spans="1:12" ht="14.5" x14ac:dyDescent="0.35">
      <c r="A473" s="47" t="s">
        <v>1363</v>
      </c>
      <c r="B473" s="43">
        <v>8470345</v>
      </c>
      <c r="C473" s="44" t="s">
        <v>188</v>
      </c>
      <c r="D473" s="43">
        <v>428090</v>
      </c>
      <c r="E473" s="44" t="s">
        <v>86</v>
      </c>
      <c r="F473" s="43">
        <v>847001</v>
      </c>
      <c r="G473" s="44" t="s">
        <v>24</v>
      </c>
      <c r="H473" s="44" t="s">
        <v>25</v>
      </c>
      <c r="I473" s="45" t="s">
        <v>26</v>
      </c>
      <c r="J473" s="45" t="s">
        <v>682</v>
      </c>
      <c r="K473" s="46" t="s">
        <v>1081</v>
      </c>
      <c r="L473" s="47" t="s">
        <v>1379</v>
      </c>
    </row>
    <row r="474" spans="1:12" ht="14.5" x14ac:dyDescent="0.35">
      <c r="A474" s="47" t="s">
        <v>1363</v>
      </c>
      <c r="B474" s="43">
        <v>8470345</v>
      </c>
      <c r="C474" s="44" t="s">
        <v>188</v>
      </c>
      <c r="D474" s="43">
        <v>428090</v>
      </c>
      <c r="E474" s="44" t="s">
        <v>86</v>
      </c>
      <c r="F474" s="43">
        <v>847001</v>
      </c>
      <c r="G474" s="44" t="s">
        <v>24</v>
      </c>
      <c r="H474" s="44" t="s">
        <v>28</v>
      </c>
      <c r="I474" s="45" t="s">
        <v>29</v>
      </c>
      <c r="J474" s="45" t="s">
        <v>683</v>
      </c>
      <c r="K474" s="46" t="s">
        <v>1081</v>
      </c>
      <c r="L474" s="47" t="s">
        <v>1379</v>
      </c>
    </row>
    <row r="475" spans="1:12" ht="14.5" x14ac:dyDescent="0.35">
      <c r="A475" s="47" t="s">
        <v>1363</v>
      </c>
      <c r="B475" s="43">
        <v>8470350</v>
      </c>
      <c r="C475" s="44" t="s">
        <v>191</v>
      </c>
      <c r="D475" s="43">
        <v>428090</v>
      </c>
      <c r="E475" s="44" t="s">
        <v>86</v>
      </c>
      <c r="F475" s="43">
        <v>847001</v>
      </c>
      <c r="G475" s="44" t="s">
        <v>24</v>
      </c>
      <c r="H475" s="44" t="s">
        <v>25</v>
      </c>
      <c r="I475" s="45" t="s">
        <v>26</v>
      </c>
      <c r="J475" s="45" t="s">
        <v>684</v>
      </c>
      <c r="K475" s="46" t="s">
        <v>1081</v>
      </c>
      <c r="L475" s="47" t="s">
        <v>1379</v>
      </c>
    </row>
    <row r="476" spans="1:12" ht="14.5" x14ac:dyDescent="0.35">
      <c r="A476" s="47" t="s">
        <v>1363</v>
      </c>
      <c r="B476" s="43">
        <v>8470350</v>
      </c>
      <c r="C476" s="44" t="s">
        <v>191</v>
      </c>
      <c r="D476" s="43">
        <v>428090</v>
      </c>
      <c r="E476" s="44" t="s">
        <v>86</v>
      </c>
      <c r="F476" s="43">
        <v>847001</v>
      </c>
      <c r="G476" s="44" t="s">
        <v>24</v>
      </c>
      <c r="H476" s="44" t="s">
        <v>28</v>
      </c>
      <c r="I476" s="45" t="s">
        <v>29</v>
      </c>
      <c r="J476" s="45" t="s">
        <v>685</v>
      </c>
      <c r="K476" s="46" t="s">
        <v>1081</v>
      </c>
      <c r="L476" s="47" t="s">
        <v>1379</v>
      </c>
    </row>
    <row r="477" spans="1:12" ht="14.5" x14ac:dyDescent="0.35">
      <c r="A477" s="47" t="s">
        <v>1357</v>
      </c>
      <c r="B477" s="43">
        <v>8470405</v>
      </c>
      <c r="C477" s="44" t="s">
        <v>270</v>
      </c>
      <c r="D477" s="43">
        <v>428090</v>
      </c>
      <c r="E477" s="44" t="s">
        <v>86</v>
      </c>
      <c r="F477" s="43">
        <v>847001</v>
      </c>
      <c r="G477" s="44" t="s">
        <v>24</v>
      </c>
      <c r="H477" s="44" t="s">
        <v>25</v>
      </c>
      <c r="I477" s="45" t="s">
        <v>26</v>
      </c>
      <c r="J477" s="45" t="s">
        <v>686</v>
      </c>
      <c r="K477" s="46" t="s">
        <v>1081</v>
      </c>
      <c r="L477" s="47" t="s">
        <v>1379</v>
      </c>
    </row>
    <row r="478" spans="1:12" ht="14.5" x14ac:dyDescent="0.35">
      <c r="A478" s="47" t="s">
        <v>1357</v>
      </c>
      <c r="B478" s="43">
        <v>8470405</v>
      </c>
      <c r="C478" s="44" t="s">
        <v>270</v>
      </c>
      <c r="D478" s="43">
        <v>428090</v>
      </c>
      <c r="E478" s="44" t="s">
        <v>86</v>
      </c>
      <c r="F478" s="43">
        <v>847001</v>
      </c>
      <c r="G478" s="44" t="s">
        <v>24</v>
      </c>
      <c r="H478" s="44" t="s">
        <v>28</v>
      </c>
      <c r="I478" s="45" t="s">
        <v>29</v>
      </c>
      <c r="J478" s="45" t="s">
        <v>687</v>
      </c>
      <c r="K478" s="46" t="s">
        <v>1081</v>
      </c>
      <c r="L478" s="47" t="s">
        <v>1379</v>
      </c>
    </row>
    <row r="479" spans="1:12" ht="14.5" x14ac:dyDescent="0.35">
      <c r="A479" s="47" t="s">
        <v>1357</v>
      </c>
      <c r="B479" s="43">
        <v>8470410</v>
      </c>
      <c r="C479" s="44" t="s">
        <v>421</v>
      </c>
      <c r="D479" s="43">
        <v>428090</v>
      </c>
      <c r="E479" s="44" t="s">
        <v>86</v>
      </c>
      <c r="F479" s="43">
        <v>847001</v>
      </c>
      <c r="G479" s="44" t="s">
        <v>24</v>
      </c>
      <c r="H479" s="44" t="s">
        <v>25</v>
      </c>
      <c r="I479" s="45" t="s">
        <v>26</v>
      </c>
      <c r="J479" s="45" t="s">
        <v>688</v>
      </c>
      <c r="K479" s="46" t="s">
        <v>1081</v>
      </c>
      <c r="L479" s="47" t="s">
        <v>1379</v>
      </c>
    </row>
    <row r="480" spans="1:12" ht="14.5" x14ac:dyDescent="0.35">
      <c r="A480" s="47" t="s">
        <v>1357</v>
      </c>
      <c r="B480" s="43">
        <v>8470415</v>
      </c>
      <c r="C480" s="44" t="s">
        <v>362</v>
      </c>
      <c r="D480" s="43">
        <v>428090</v>
      </c>
      <c r="E480" s="44" t="s">
        <v>86</v>
      </c>
      <c r="F480" s="43">
        <v>847001</v>
      </c>
      <c r="G480" s="44" t="s">
        <v>24</v>
      </c>
      <c r="H480" s="44" t="s">
        <v>25</v>
      </c>
      <c r="I480" s="45" t="s">
        <v>26</v>
      </c>
      <c r="J480" s="45" t="s">
        <v>689</v>
      </c>
      <c r="K480" s="46" t="s">
        <v>1081</v>
      </c>
      <c r="L480" s="47" t="s">
        <v>1379</v>
      </c>
    </row>
    <row r="481" spans="1:12" ht="14.5" x14ac:dyDescent="0.35">
      <c r="A481" s="47" t="e">
        <v>#N/A</v>
      </c>
      <c r="B481" s="43">
        <v>8470420</v>
      </c>
      <c r="C481" s="44" t="s">
        <v>326</v>
      </c>
      <c r="D481" s="43">
        <v>428090</v>
      </c>
      <c r="E481" s="44" t="s">
        <v>86</v>
      </c>
      <c r="F481" s="43">
        <v>847001</v>
      </c>
      <c r="G481" s="44" t="s">
        <v>24</v>
      </c>
      <c r="H481" s="44" t="s">
        <v>25</v>
      </c>
      <c r="I481" s="45" t="s">
        <v>26</v>
      </c>
      <c r="J481" s="45" t="s">
        <v>690</v>
      </c>
      <c r="K481" s="46" t="s">
        <v>1081</v>
      </c>
      <c r="L481" s="47" t="s">
        <v>1379</v>
      </c>
    </row>
    <row r="482" spans="1:12" ht="14.5" x14ac:dyDescent="0.35">
      <c r="A482" s="47" t="e">
        <v>#N/A</v>
      </c>
      <c r="B482" s="43">
        <v>8470420</v>
      </c>
      <c r="C482" s="44" t="s">
        <v>326</v>
      </c>
      <c r="D482" s="43">
        <v>428090</v>
      </c>
      <c r="E482" s="44" t="s">
        <v>86</v>
      </c>
      <c r="F482" s="43">
        <v>847001</v>
      </c>
      <c r="G482" s="44" t="s">
        <v>24</v>
      </c>
      <c r="H482" s="44" t="s">
        <v>28</v>
      </c>
      <c r="I482" s="45" t="s">
        <v>29</v>
      </c>
      <c r="J482" s="45" t="s">
        <v>691</v>
      </c>
      <c r="K482" s="46" t="s">
        <v>1081</v>
      </c>
      <c r="L482" s="47" t="s">
        <v>1379</v>
      </c>
    </row>
    <row r="483" spans="1:12" ht="14.5" x14ac:dyDescent="0.35">
      <c r="A483" s="47" t="s">
        <v>1357</v>
      </c>
      <c r="B483" s="43">
        <v>8470435</v>
      </c>
      <c r="C483" s="44" t="s">
        <v>364</v>
      </c>
      <c r="D483" s="43">
        <v>428090</v>
      </c>
      <c r="E483" s="44" t="s">
        <v>86</v>
      </c>
      <c r="F483" s="43">
        <v>847001</v>
      </c>
      <c r="G483" s="44" t="s">
        <v>24</v>
      </c>
      <c r="H483" s="44" t="s">
        <v>28</v>
      </c>
      <c r="I483" s="45" t="s">
        <v>29</v>
      </c>
      <c r="J483" s="45" t="s">
        <v>692</v>
      </c>
      <c r="K483" s="46" t="s">
        <v>1081</v>
      </c>
      <c r="L483" s="47" t="s">
        <v>1379</v>
      </c>
    </row>
    <row r="484" spans="1:12" ht="14.5" x14ac:dyDescent="0.35">
      <c r="A484" s="47" t="s">
        <v>1357</v>
      </c>
      <c r="B484" s="43">
        <v>8470440</v>
      </c>
      <c r="C484" s="44" t="s">
        <v>426</v>
      </c>
      <c r="D484" s="43">
        <v>428090</v>
      </c>
      <c r="E484" s="44" t="s">
        <v>86</v>
      </c>
      <c r="F484" s="43">
        <v>847001</v>
      </c>
      <c r="G484" s="44" t="s">
        <v>24</v>
      </c>
      <c r="H484" s="44" t="s">
        <v>25</v>
      </c>
      <c r="I484" s="45" t="s">
        <v>26</v>
      </c>
      <c r="J484" s="45" t="s">
        <v>693</v>
      </c>
      <c r="K484" s="46" t="s">
        <v>1081</v>
      </c>
      <c r="L484" s="47" t="s">
        <v>1379</v>
      </c>
    </row>
    <row r="485" spans="1:12" ht="14.5" x14ac:dyDescent="0.35">
      <c r="A485" s="47" t="s">
        <v>1357</v>
      </c>
      <c r="B485" s="43">
        <v>8470450</v>
      </c>
      <c r="C485" s="44" t="s">
        <v>275</v>
      </c>
      <c r="D485" s="43">
        <v>428090</v>
      </c>
      <c r="E485" s="44" t="s">
        <v>86</v>
      </c>
      <c r="F485" s="43">
        <v>847001</v>
      </c>
      <c r="G485" s="44" t="s">
        <v>24</v>
      </c>
      <c r="H485" s="44" t="s">
        <v>28</v>
      </c>
      <c r="I485" s="45" t="s">
        <v>29</v>
      </c>
      <c r="J485" s="45" t="s">
        <v>694</v>
      </c>
      <c r="K485" s="46" t="s">
        <v>1081</v>
      </c>
      <c r="L485" s="47" t="s">
        <v>1379</v>
      </c>
    </row>
    <row r="486" spans="1:12" ht="14.5" x14ac:dyDescent="0.35">
      <c r="A486" s="47" t="e">
        <v>#N/A</v>
      </c>
      <c r="B486" s="43">
        <v>8470510</v>
      </c>
      <c r="C486" s="44" t="s">
        <v>695</v>
      </c>
      <c r="D486" s="43">
        <v>428090</v>
      </c>
      <c r="E486" s="44" t="s">
        <v>86</v>
      </c>
      <c r="F486" s="43">
        <v>847001</v>
      </c>
      <c r="G486" s="44" t="s">
        <v>24</v>
      </c>
      <c r="H486" s="44" t="s">
        <v>28</v>
      </c>
      <c r="I486" s="45" t="s">
        <v>29</v>
      </c>
      <c r="J486" s="45" t="s">
        <v>696</v>
      </c>
      <c r="K486" s="46" t="s">
        <v>1081</v>
      </c>
      <c r="L486" s="47" t="s">
        <v>1379</v>
      </c>
    </row>
    <row r="487" spans="1:12" ht="14.5" x14ac:dyDescent="0.35">
      <c r="A487" s="47" t="s">
        <v>1358</v>
      </c>
      <c r="B487" s="43">
        <v>8470530</v>
      </c>
      <c r="C487" s="44" t="s">
        <v>165</v>
      </c>
      <c r="D487" s="43">
        <v>428090</v>
      </c>
      <c r="E487" s="44" t="s">
        <v>86</v>
      </c>
      <c r="F487" s="43">
        <v>847010</v>
      </c>
      <c r="G487" s="44" t="s">
        <v>167</v>
      </c>
      <c r="H487" s="44" t="s">
        <v>25</v>
      </c>
      <c r="I487" s="45" t="s">
        <v>26</v>
      </c>
      <c r="J487" s="45" t="s">
        <v>697</v>
      </c>
      <c r="K487" s="46" t="s">
        <v>1081</v>
      </c>
      <c r="L487" s="47" t="s">
        <v>1379</v>
      </c>
    </row>
    <row r="488" spans="1:12" ht="14.5" x14ac:dyDescent="0.35">
      <c r="A488" s="47" t="s">
        <v>1362</v>
      </c>
      <c r="B488" s="43">
        <v>8470620</v>
      </c>
      <c r="C488" s="44" t="s">
        <v>161</v>
      </c>
      <c r="D488" s="43">
        <v>428090</v>
      </c>
      <c r="E488" s="44" t="s">
        <v>86</v>
      </c>
      <c r="F488" s="43">
        <v>847001</v>
      </c>
      <c r="G488" s="44" t="s">
        <v>24</v>
      </c>
      <c r="H488" s="44" t="s">
        <v>25</v>
      </c>
      <c r="I488" s="45" t="s">
        <v>26</v>
      </c>
      <c r="J488" s="45" t="s">
        <v>698</v>
      </c>
      <c r="K488" s="46" t="s">
        <v>1081</v>
      </c>
      <c r="L488" s="47" t="s">
        <v>1379</v>
      </c>
    </row>
    <row r="489" spans="1:12" ht="14.5" x14ac:dyDescent="0.35">
      <c r="A489" s="47" t="s">
        <v>1362</v>
      </c>
      <c r="B489" s="43">
        <v>8470620</v>
      </c>
      <c r="C489" s="44" t="s">
        <v>161</v>
      </c>
      <c r="D489" s="43">
        <v>428090</v>
      </c>
      <c r="E489" s="44" t="s">
        <v>86</v>
      </c>
      <c r="F489" s="43">
        <v>847001</v>
      </c>
      <c r="G489" s="44" t="s">
        <v>24</v>
      </c>
      <c r="H489" s="44" t="s">
        <v>28</v>
      </c>
      <c r="I489" s="45" t="s">
        <v>29</v>
      </c>
      <c r="J489" s="45" t="s">
        <v>699</v>
      </c>
      <c r="K489" s="46" t="s">
        <v>1081</v>
      </c>
      <c r="L489" s="47" t="s">
        <v>1379</v>
      </c>
    </row>
    <row r="490" spans="1:12" ht="14.5" x14ac:dyDescent="0.35">
      <c r="A490" s="47" t="s">
        <v>1362</v>
      </c>
      <c r="B490" s="43">
        <v>8470630</v>
      </c>
      <c r="C490" s="44" t="s">
        <v>700</v>
      </c>
      <c r="D490" s="43">
        <v>428090</v>
      </c>
      <c r="E490" s="44" t="s">
        <v>86</v>
      </c>
      <c r="F490" s="43">
        <v>847001</v>
      </c>
      <c r="G490" s="44" t="s">
        <v>24</v>
      </c>
      <c r="H490" s="44" t="s">
        <v>25</v>
      </c>
      <c r="I490" s="45" t="s">
        <v>26</v>
      </c>
      <c r="J490" s="45" t="s">
        <v>701</v>
      </c>
      <c r="K490" s="46" t="s">
        <v>1081</v>
      </c>
      <c r="L490" s="47" t="s">
        <v>1379</v>
      </c>
    </row>
    <row r="491" spans="1:12" ht="14.5" x14ac:dyDescent="0.35">
      <c r="A491" s="47" t="s">
        <v>1367</v>
      </c>
      <c r="B491" s="43">
        <v>8470730</v>
      </c>
      <c r="C491" s="44" t="s">
        <v>223</v>
      </c>
      <c r="D491" s="43">
        <v>428090</v>
      </c>
      <c r="E491" s="44" t="s">
        <v>86</v>
      </c>
      <c r="F491" s="43">
        <v>847001</v>
      </c>
      <c r="G491" s="44" t="s">
        <v>24</v>
      </c>
      <c r="H491" s="44" t="s">
        <v>25</v>
      </c>
      <c r="I491" s="45" t="s">
        <v>26</v>
      </c>
      <c r="J491" s="45" t="s">
        <v>702</v>
      </c>
      <c r="K491" s="46" t="s">
        <v>1081</v>
      </c>
      <c r="L491" s="47" t="s">
        <v>1379</v>
      </c>
    </row>
    <row r="492" spans="1:12" ht="14.5" x14ac:dyDescent="0.35">
      <c r="A492" s="47" t="s">
        <v>1367</v>
      </c>
      <c r="B492" s="43">
        <v>8470730</v>
      </c>
      <c r="C492" s="44" t="s">
        <v>223</v>
      </c>
      <c r="D492" s="43">
        <v>428090</v>
      </c>
      <c r="E492" s="44" t="s">
        <v>86</v>
      </c>
      <c r="F492" s="43">
        <v>847001</v>
      </c>
      <c r="G492" s="44" t="s">
        <v>24</v>
      </c>
      <c r="H492" s="44" t="s">
        <v>28</v>
      </c>
      <c r="I492" s="45" t="s">
        <v>29</v>
      </c>
      <c r="J492" s="45" t="s">
        <v>703</v>
      </c>
      <c r="K492" s="46" t="s">
        <v>1081</v>
      </c>
      <c r="L492" s="47" t="s">
        <v>1379</v>
      </c>
    </row>
    <row r="493" spans="1:12" ht="14.5" x14ac:dyDescent="0.35">
      <c r="A493" s="47" t="s">
        <v>1364</v>
      </c>
      <c r="B493" s="43">
        <v>8470810</v>
      </c>
      <c r="C493" s="44" t="s">
        <v>200</v>
      </c>
      <c r="D493" s="43">
        <v>428090</v>
      </c>
      <c r="E493" s="44" t="s">
        <v>86</v>
      </c>
      <c r="F493" s="43">
        <v>847001</v>
      </c>
      <c r="G493" s="44" t="s">
        <v>24</v>
      </c>
      <c r="H493" s="44" t="s">
        <v>25</v>
      </c>
      <c r="I493" s="45" t="s">
        <v>26</v>
      </c>
      <c r="J493" s="45" t="s">
        <v>704</v>
      </c>
      <c r="K493" s="46" t="s">
        <v>1081</v>
      </c>
      <c r="L493" s="47" t="s">
        <v>1379</v>
      </c>
    </row>
    <row r="494" spans="1:12" ht="14.5" x14ac:dyDescent="0.35">
      <c r="A494" s="47" t="s">
        <v>1364</v>
      </c>
      <c r="B494" s="43">
        <v>8470810</v>
      </c>
      <c r="C494" s="44" t="s">
        <v>200</v>
      </c>
      <c r="D494" s="43">
        <v>428090</v>
      </c>
      <c r="E494" s="44" t="s">
        <v>86</v>
      </c>
      <c r="F494" s="43">
        <v>847001</v>
      </c>
      <c r="G494" s="44" t="s">
        <v>24</v>
      </c>
      <c r="H494" s="44" t="s">
        <v>28</v>
      </c>
      <c r="I494" s="45" t="s">
        <v>29</v>
      </c>
      <c r="J494" s="45" t="s">
        <v>705</v>
      </c>
      <c r="K494" s="46" t="s">
        <v>1081</v>
      </c>
      <c r="L494" s="47" t="s">
        <v>1379</v>
      </c>
    </row>
    <row r="495" spans="1:12" ht="14.5" x14ac:dyDescent="0.35">
      <c r="A495" s="47" t="s">
        <v>1372</v>
      </c>
      <c r="B495" s="43">
        <v>8470910</v>
      </c>
      <c r="C495" s="44" t="s">
        <v>210</v>
      </c>
      <c r="D495" s="43">
        <v>428090</v>
      </c>
      <c r="E495" s="44" t="s">
        <v>86</v>
      </c>
      <c r="F495" s="43">
        <v>847001</v>
      </c>
      <c r="G495" s="44" t="s">
        <v>24</v>
      </c>
      <c r="H495" s="44" t="s">
        <v>28</v>
      </c>
      <c r="I495" s="45" t="s">
        <v>29</v>
      </c>
      <c r="J495" s="45" t="s">
        <v>706</v>
      </c>
      <c r="K495" s="46" t="s">
        <v>1081</v>
      </c>
      <c r="L495" s="47" t="s">
        <v>1379</v>
      </c>
    </row>
    <row r="496" spans="1:12" ht="14.5" x14ac:dyDescent="0.35">
      <c r="A496" s="47" t="s">
        <v>1368</v>
      </c>
      <c r="B496" s="43">
        <v>8471110</v>
      </c>
      <c r="C496" s="44" t="s">
        <v>227</v>
      </c>
      <c r="D496" s="43">
        <v>428090</v>
      </c>
      <c r="E496" s="44" t="s">
        <v>86</v>
      </c>
      <c r="F496" s="43">
        <v>847001</v>
      </c>
      <c r="G496" s="44" t="s">
        <v>24</v>
      </c>
      <c r="H496" s="44" t="s">
        <v>25</v>
      </c>
      <c r="I496" s="45" t="s">
        <v>26</v>
      </c>
      <c r="J496" s="45" t="s">
        <v>707</v>
      </c>
      <c r="K496" s="46" t="s">
        <v>1081</v>
      </c>
      <c r="L496" s="47" t="s">
        <v>1379</v>
      </c>
    </row>
    <row r="497" spans="1:12" ht="14.5" x14ac:dyDescent="0.35">
      <c r="A497" s="47" t="s">
        <v>1368</v>
      </c>
      <c r="B497" s="43">
        <v>8471110</v>
      </c>
      <c r="C497" s="44" t="s">
        <v>227</v>
      </c>
      <c r="D497" s="43">
        <v>428090</v>
      </c>
      <c r="E497" s="44" t="s">
        <v>86</v>
      </c>
      <c r="F497" s="43">
        <v>847001</v>
      </c>
      <c r="G497" s="44" t="s">
        <v>24</v>
      </c>
      <c r="H497" s="44" t="s">
        <v>28</v>
      </c>
      <c r="I497" s="45" t="s">
        <v>29</v>
      </c>
      <c r="J497" s="45" t="s">
        <v>708</v>
      </c>
      <c r="K497" s="46" t="s">
        <v>1081</v>
      </c>
      <c r="L497" s="47" t="s">
        <v>1379</v>
      </c>
    </row>
    <row r="498" spans="1:12" ht="14.5" x14ac:dyDescent="0.35">
      <c r="A498" s="47" t="s">
        <v>1368</v>
      </c>
      <c r="B498" s="43">
        <v>8471120</v>
      </c>
      <c r="C498" s="44" t="s">
        <v>539</v>
      </c>
      <c r="D498" s="43">
        <v>428090</v>
      </c>
      <c r="E498" s="44" t="s">
        <v>86</v>
      </c>
      <c r="F498" s="43">
        <v>847001</v>
      </c>
      <c r="G498" s="44" t="s">
        <v>24</v>
      </c>
      <c r="H498" s="44" t="s">
        <v>25</v>
      </c>
      <c r="I498" s="45" t="s">
        <v>26</v>
      </c>
      <c r="J498" s="45" t="s">
        <v>709</v>
      </c>
      <c r="K498" s="46" t="s">
        <v>1081</v>
      </c>
      <c r="L498" s="47" t="s">
        <v>1379</v>
      </c>
    </row>
    <row r="499" spans="1:12" ht="14.5" x14ac:dyDescent="0.35">
      <c r="A499" s="47" t="s">
        <v>1368</v>
      </c>
      <c r="B499" s="43">
        <v>8471120</v>
      </c>
      <c r="C499" s="44" t="s">
        <v>539</v>
      </c>
      <c r="D499" s="43">
        <v>428090</v>
      </c>
      <c r="E499" s="44" t="s">
        <v>86</v>
      </c>
      <c r="F499" s="43">
        <v>847001</v>
      </c>
      <c r="G499" s="44" t="s">
        <v>24</v>
      </c>
      <c r="H499" s="44" t="s">
        <v>28</v>
      </c>
      <c r="I499" s="45" t="s">
        <v>29</v>
      </c>
      <c r="J499" s="45" t="s">
        <v>710</v>
      </c>
      <c r="K499" s="46" t="s">
        <v>1081</v>
      </c>
      <c r="L499" s="47" t="s">
        <v>1379</v>
      </c>
    </row>
    <row r="500" spans="1:12" ht="14.5" x14ac:dyDescent="0.35">
      <c r="A500" s="47" t="s">
        <v>1368</v>
      </c>
      <c r="B500" s="43">
        <v>8471130</v>
      </c>
      <c r="C500" s="44" t="s">
        <v>197</v>
      </c>
      <c r="D500" s="43">
        <v>428090</v>
      </c>
      <c r="E500" s="44" t="s">
        <v>86</v>
      </c>
      <c r="F500" s="43">
        <v>847001</v>
      </c>
      <c r="G500" s="44" t="s">
        <v>24</v>
      </c>
      <c r="H500" s="44" t="s">
        <v>25</v>
      </c>
      <c r="I500" s="45" t="s">
        <v>26</v>
      </c>
      <c r="J500" s="45" t="s">
        <v>711</v>
      </c>
      <c r="K500" s="46" t="s">
        <v>1081</v>
      </c>
      <c r="L500" s="47" t="s">
        <v>1379</v>
      </c>
    </row>
    <row r="501" spans="1:12" ht="14.5" x14ac:dyDescent="0.35">
      <c r="A501" s="47" t="s">
        <v>1368</v>
      </c>
      <c r="B501" s="43">
        <v>8471130</v>
      </c>
      <c r="C501" s="44" t="s">
        <v>197</v>
      </c>
      <c r="D501" s="43">
        <v>428090</v>
      </c>
      <c r="E501" s="44" t="s">
        <v>86</v>
      </c>
      <c r="F501" s="43">
        <v>847001</v>
      </c>
      <c r="G501" s="44" t="s">
        <v>24</v>
      </c>
      <c r="H501" s="44" t="s">
        <v>28</v>
      </c>
      <c r="I501" s="45" t="s">
        <v>29</v>
      </c>
      <c r="J501" s="45" t="s">
        <v>712</v>
      </c>
      <c r="K501" s="46" t="s">
        <v>1081</v>
      </c>
      <c r="L501" s="47" t="s">
        <v>1379</v>
      </c>
    </row>
    <row r="502" spans="1:12" ht="14.5" x14ac:dyDescent="0.35">
      <c r="A502" s="47" t="s">
        <v>1368</v>
      </c>
      <c r="B502" s="43">
        <v>8471140</v>
      </c>
      <c r="C502" s="44" t="s">
        <v>339</v>
      </c>
      <c r="D502" s="43">
        <v>428090</v>
      </c>
      <c r="E502" s="44" t="s">
        <v>86</v>
      </c>
      <c r="F502" s="43">
        <v>847001</v>
      </c>
      <c r="G502" s="44" t="s">
        <v>24</v>
      </c>
      <c r="H502" s="44" t="s">
        <v>25</v>
      </c>
      <c r="I502" s="45" t="s">
        <v>26</v>
      </c>
      <c r="J502" s="45" t="s">
        <v>713</v>
      </c>
      <c r="K502" s="46" t="s">
        <v>1081</v>
      </c>
      <c r="L502" s="47" t="s">
        <v>1379</v>
      </c>
    </row>
    <row r="503" spans="1:12" ht="14.5" x14ac:dyDescent="0.35">
      <c r="A503" s="47" t="s">
        <v>1368</v>
      </c>
      <c r="B503" s="43">
        <v>8471140</v>
      </c>
      <c r="C503" s="44" t="s">
        <v>339</v>
      </c>
      <c r="D503" s="43">
        <v>428090</v>
      </c>
      <c r="E503" s="44" t="s">
        <v>86</v>
      </c>
      <c r="F503" s="43">
        <v>847001</v>
      </c>
      <c r="G503" s="44" t="s">
        <v>24</v>
      </c>
      <c r="H503" s="44" t="s">
        <v>28</v>
      </c>
      <c r="I503" s="45" t="s">
        <v>29</v>
      </c>
      <c r="J503" s="45" t="s">
        <v>714</v>
      </c>
      <c r="K503" s="46" t="s">
        <v>1081</v>
      </c>
      <c r="L503" s="47" t="s">
        <v>1379</v>
      </c>
    </row>
    <row r="504" spans="1:12" ht="14.5" x14ac:dyDescent="0.35">
      <c r="A504" s="47" t="s">
        <v>1368</v>
      </c>
      <c r="B504" s="43">
        <v>8471150</v>
      </c>
      <c r="C504" s="44" t="s">
        <v>212</v>
      </c>
      <c r="D504" s="43">
        <v>428090</v>
      </c>
      <c r="E504" s="44" t="s">
        <v>86</v>
      </c>
      <c r="F504" s="43">
        <v>847001</v>
      </c>
      <c r="G504" s="44" t="s">
        <v>24</v>
      </c>
      <c r="H504" s="44" t="s">
        <v>25</v>
      </c>
      <c r="I504" s="45" t="s">
        <v>26</v>
      </c>
      <c r="J504" s="45" t="s">
        <v>715</v>
      </c>
      <c r="K504" s="46" t="s">
        <v>1081</v>
      </c>
      <c r="L504" s="47" t="s">
        <v>1379</v>
      </c>
    </row>
    <row r="505" spans="1:12" ht="14.5" x14ac:dyDescent="0.35">
      <c r="A505" s="47" t="s">
        <v>1368</v>
      </c>
      <c r="B505" s="43">
        <v>8471150</v>
      </c>
      <c r="C505" s="44" t="s">
        <v>212</v>
      </c>
      <c r="D505" s="43">
        <v>428090</v>
      </c>
      <c r="E505" s="44" t="s">
        <v>86</v>
      </c>
      <c r="F505" s="43">
        <v>847001</v>
      </c>
      <c r="G505" s="44" t="s">
        <v>24</v>
      </c>
      <c r="H505" s="44" t="s">
        <v>28</v>
      </c>
      <c r="I505" s="45" t="s">
        <v>29</v>
      </c>
      <c r="J505" s="45" t="s">
        <v>716</v>
      </c>
      <c r="K505" s="46" t="s">
        <v>1081</v>
      </c>
      <c r="L505" s="47" t="s">
        <v>1379</v>
      </c>
    </row>
    <row r="506" spans="1:12" ht="14.5" x14ac:dyDescent="0.35">
      <c r="A506" s="47" t="s">
        <v>1368</v>
      </c>
      <c r="B506" s="43">
        <v>8471170</v>
      </c>
      <c r="C506" s="44" t="s">
        <v>203</v>
      </c>
      <c r="D506" s="43">
        <v>428090</v>
      </c>
      <c r="E506" s="44" t="s">
        <v>86</v>
      </c>
      <c r="F506" s="43">
        <v>847001</v>
      </c>
      <c r="G506" s="44" t="s">
        <v>24</v>
      </c>
      <c r="H506" s="44" t="s">
        <v>25</v>
      </c>
      <c r="I506" s="45" t="s">
        <v>26</v>
      </c>
      <c r="J506" s="45" t="s">
        <v>717</v>
      </c>
      <c r="K506" s="46" t="s">
        <v>1081</v>
      </c>
      <c r="L506" s="47" t="s">
        <v>1379</v>
      </c>
    </row>
    <row r="507" spans="1:12" ht="14.5" x14ac:dyDescent="0.35">
      <c r="A507" s="47" t="s">
        <v>1368</v>
      </c>
      <c r="B507" s="43">
        <v>8471170</v>
      </c>
      <c r="C507" s="44" t="s">
        <v>203</v>
      </c>
      <c r="D507" s="43">
        <v>428090</v>
      </c>
      <c r="E507" s="44" t="s">
        <v>86</v>
      </c>
      <c r="F507" s="43">
        <v>847001</v>
      </c>
      <c r="G507" s="44" t="s">
        <v>24</v>
      </c>
      <c r="H507" s="44" t="s">
        <v>28</v>
      </c>
      <c r="I507" s="45" t="s">
        <v>29</v>
      </c>
      <c r="J507" s="45" t="s">
        <v>718</v>
      </c>
      <c r="K507" s="46" t="s">
        <v>1081</v>
      </c>
      <c r="L507" s="47" t="s">
        <v>1379</v>
      </c>
    </row>
    <row r="508" spans="1:12" ht="14.5" x14ac:dyDescent="0.35">
      <c r="A508" s="47" t="s">
        <v>1365</v>
      </c>
      <c r="B508" s="43">
        <v>8471210</v>
      </c>
      <c r="C508" s="44" t="s">
        <v>176</v>
      </c>
      <c r="D508" s="43">
        <v>428090</v>
      </c>
      <c r="E508" s="44" t="s">
        <v>86</v>
      </c>
      <c r="F508" s="43">
        <v>847001</v>
      </c>
      <c r="G508" s="44" t="s">
        <v>24</v>
      </c>
      <c r="H508" s="44" t="s">
        <v>25</v>
      </c>
      <c r="I508" s="45" t="s">
        <v>26</v>
      </c>
      <c r="J508" s="45" t="s">
        <v>719</v>
      </c>
      <c r="K508" s="46" t="s">
        <v>1081</v>
      </c>
      <c r="L508" s="47" t="s">
        <v>1379</v>
      </c>
    </row>
    <row r="509" spans="1:12" ht="14.5" x14ac:dyDescent="0.35">
      <c r="A509" s="47" t="s">
        <v>1365</v>
      </c>
      <c r="B509" s="43">
        <v>8471210</v>
      </c>
      <c r="C509" s="44" t="s">
        <v>176</v>
      </c>
      <c r="D509" s="43">
        <v>428090</v>
      </c>
      <c r="E509" s="44" t="s">
        <v>86</v>
      </c>
      <c r="F509" s="43">
        <v>847001</v>
      </c>
      <c r="G509" s="44" t="s">
        <v>24</v>
      </c>
      <c r="H509" s="44" t="s">
        <v>28</v>
      </c>
      <c r="I509" s="45" t="s">
        <v>29</v>
      </c>
      <c r="J509" s="45" t="s">
        <v>720</v>
      </c>
      <c r="K509" s="46" t="s">
        <v>1081</v>
      </c>
      <c r="L509" s="47" t="s">
        <v>1379</v>
      </c>
    </row>
    <row r="510" spans="1:12" ht="14.5" x14ac:dyDescent="0.35">
      <c r="A510" s="47" t="s">
        <v>1365</v>
      </c>
      <c r="B510" s="43">
        <v>8471230</v>
      </c>
      <c r="C510" s="44" t="s">
        <v>382</v>
      </c>
      <c r="D510" s="43">
        <v>428090</v>
      </c>
      <c r="E510" s="44" t="s">
        <v>86</v>
      </c>
      <c r="F510" s="43">
        <v>847001</v>
      </c>
      <c r="G510" s="44" t="s">
        <v>24</v>
      </c>
      <c r="H510" s="44" t="s">
        <v>28</v>
      </c>
      <c r="I510" s="45" t="s">
        <v>29</v>
      </c>
      <c r="J510" s="45" t="s">
        <v>721</v>
      </c>
      <c r="K510" s="46" t="s">
        <v>1081</v>
      </c>
      <c r="L510" s="47" t="s">
        <v>1379</v>
      </c>
    </row>
    <row r="511" spans="1:12" ht="14.5" x14ac:dyDescent="0.35">
      <c r="A511" s="47" t="s">
        <v>1365</v>
      </c>
      <c r="B511" s="43">
        <v>8471270</v>
      </c>
      <c r="C511" s="44" t="s">
        <v>353</v>
      </c>
      <c r="D511" s="43">
        <v>428090</v>
      </c>
      <c r="E511" s="44" t="s">
        <v>86</v>
      </c>
      <c r="F511" s="43">
        <v>847001</v>
      </c>
      <c r="G511" s="44" t="s">
        <v>24</v>
      </c>
      <c r="H511" s="44" t="s">
        <v>25</v>
      </c>
      <c r="I511" s="45" t="s">
        <v>26</v>
      </c>
      <c r="J511" s="45" t="s">
        <v>722</v>
      </c>
      <c r="K511" s="46" t="s">
        <v>1081</v>
      </c>
      <c r="L511" s="47" t="s">
        <v>1379</v>
      </c>
    </row>
    <row r="512" spans="1:12" ht="14.5" x14ac:dyDescent="0.35">
      <c r="A512" s="47" t="s">
        <v>1371</v>
      </c>
      <c r="B512" s="43">
        <v>8471305</v>
      </c>
      <c r="C512" s="44" t="s">
        <v>32</v>
      </c>
      <c r="D512" s="43">
        <v>428090</v>
      </c>
      <c r="E512" s="44" t="s">
        <v>86</v>
      </c>
      <c r="F512" s="43">
        <v>847001</v>
      </c>
      <c r="G512" s="44" t="s">
        <v>24</v>
      </c>
      <c r="H512" s="44" t="s">
        <v>25</v>
      </c>
      <c r="I512" s="45" t="s">
        <v>26</v>
      </c>
      <c r="J512" s="45" t="s">
        <v>87</v>
      </c>
      <c r="K512" s="46" t="s">
        <v>1081</v>
      </c>
      <c r="L512" s="47" t="s">
        <v>1379</v>
      </c>
    </row>
    <row r="513" spans="1:12" ht="14.5" x14ac:dyDescent="0.35">
      <c r="A513" s="47" t="s">
        <v>1371</v>
      </c>
      <c r="B513" s="43">
        <v>8471305</v>
      </c>
      <c r="C513" s="44" t="s">
        <v>32</v>
      </c>
      <c r="D513" s="43">
        <v>428090</v>
      </c>
      <c r="E513" s="44" t="s">
        <v>86</v>
      </c>
      <c r="F513" s="43">
        <v>847001</v>
      </c>
      <c r="G513" s="44" t="s">
        <v>24</v>
      </c>
      <c r="H513" s="44" t="s">
        <v>28</v>
      </c>
      <c r="I513" s="45" t="s">
        <v>29</v>
      </c>
      <c r="J513" s="45" t="s">
        <v>88</v>
      </c>
      <c r="K513" s="46" t="s">
        <v>1081</v>
      </c>
      <c r="L513" s="47" t="s">
        <v>1379</v>
      </c>
    </row>
    <row r="514" spans="1:12" ht="14.5" x14ac:dyDescent="0.35">
      <c r="A514" s="47" t="s">
        <v>1358</v>
      </c>
      <c r="B514" s="43">
        <v>8470530</v>
      </c>
      <c r="C514" s="44" t="s">
        <v>165</v>
      </c>
      <c r="D514" s="43">
        <v>428111</v>
      </c>
      <c r="E514" s="44" t="s">
        <v>723</v>
      </c>
      <c r="F514" s="43">
        <v>847010</v>
      </c>
      <c r="G514" s="44" t="s">
        <v>167</v>
      </c>
      <c r="H514" s="44" t="s">
        <v>25</v>
      </c>
      <c r="I514" s="45" t="s">
        <v>26</v>
      </c>
      <c r="J514" s="45" t="s">
        <v>724</v>
      </c>
      <c r="K514" s="46" t="s">
        <v>571</v>
      </c>
      <c r="L514" s="47" t="s">
        <v>1379</v>
      </c>
    </row>
    <row r="515" spans="1:12" ht="14.5" x14ac:dyDescent="0.35">
      <c r="A515" s="47" t="s">
        <v>1358</v>
      </c>
      <c r="B515" s="43">
        <v>8470530</v>
      </c>
      <c r="C515" s="44" t="s">
        <v>165</v>
      </c>
      <c r="D515" s="43">
        <v>428111</v>
      </c>
      <c r="E515" s="44" t="s">
        <v>723</v>
      </c>
      <c r="F515" s="43">
        <v>847010</v>
      </c>
      <c r="G515" s="44" t="s">
        <v>167</v>
      </c>
      <c r="H515" s="44" t="s">
        <v>28</v>
      </c>
      <c r="I515" s="45" t="s">
        <v>29</v>
      </c>
      <c r="J515" s="45" t="s">
        <v>725</v>
      </c>
      <c r="K515" s="46" t="s">
        <v>571</v>
      </c>
      <c r="L515" s="47" t="s">
        <v>1379</v>
      </c>
    </row>
    <row r="516" spans="1:12" ht="14.5" x14ac:dyDescent="0.35">
      <c r="A516" s="47" t="s">
        <v>1358</v>
      </c>
      <c r="B516" s="43">
        <v>8470530</v>
      </c>
      <c r="C516" s="44" t="s">
        <v>165</v>
      </c>
      <c r="D516" s="43">
        <v>428111</v>
      </c>
      <c r="E516" s="44" t="s">
        <v>723</v>
      </c>
      <c r="F516" s="43">
        <v>847015</v>
      </c>
      <c r="G516" s="44" t="s">
        <v>726</v>
      </c>
      <c r="H516" s="44" t="s">
        <v>25</v>
      </c>
      <c r="I516" s="45" t="s">
        <v>26</v>
      </c>
      <c r="J516" s="45" t="s">
        <v>727</v>
      </c>
      <c r="K516" s="46" t="s">
        <v>571</v>
      </c>
      <c r="L516" s="47" t="s">
        <v>1379</v>
      </c>
    </row>
    <row r="517" spans="1:12" ht="14.5" x14ac:dyDescent="0.35">
      <c r="A517" s="47" t="s">
        <v>1358</v>
      </c>
      <c r="B517" s="43">
        <v>8470530</v>
      </c>
      <c r="C517" s="44" t="s">
        <v>165</v>
      </c>
      <c r="D517" s="43">
        <v>428111</v>
      </c>
      <c r="E517" s="44" t="s">
        <v>723</v>
      </c>
      <c r="F517" s="43">
        <v>847020</v>
      </c>
      <c r="G517" s="44" t="s">
        <v>170</v>
      </c>
      <c r="H517" s="44" t="s">
        <v>25</v>
      </c>
      <c r="I517" s="45" t="s">
        <v>26</v>
      </c>
      <c r="J517" s="45" t="s">
        <v>728</v>
      </c>
      <c r="K517" s="46" t="s">
        <v>571</v>
      </c>
      <c r="L517" s="47" t="s">
        <v>1379</v>
      </c>
    </row>
    <row r="518" spans="1:12" ht="14.5" x14ac:dyDescent="0.35">
      <c r="A518" s="47" t="s">
        <v>1358</v>
      </c>
      <c r="B518" s="43">
        <v>8470530</v>
      </c>
      <c r="C518" s="44" t="s">
        <v>165</v>
      </c>
      <c r="D518" s="43">
        <v>428111</v>
      </c>
      <c r="E518" s="44" t="s">
        <v>723</v>
      </c>
      <c r="F518" s="43">
        <v>847020</v>
      </c>
      <c r="G518" s="44" t="s">
        <v>170</v>
      </c>
      <c r="H518" s="44" t="s">
        <v>28</v>
      </c>
      <c r="I518" s="45" t="s">
        <v>29</v>
      </c>
      <c r="J518" s="45" t="s">
        <v>729</v>
      </c>
      <c r="K518" s="46" t="s">
        <v>571</v>
      </c>
      <c r="L518" s="47" t="s">
        <v>1379</v>
      </c>
    </row>
    <row r="519" spans="1:12" ht="14.5" x14ac:dyDescent="0.35">
      <c r="A519" s="47" t="s">
        <v>1358</v>
      </c>
      <c r="B519" s="43">
        <v>8470530</v>
      </c>
      <c r="C519" s="44" t="s">
        <v>165</v>
      </c>
      <c r="D519" s="43">
        <v>428111</v>
      </c>
      <c r="E519" s="44" t="s">
        <v>723</v>
      </c>
      <c r="F519" s="43">
        <v>847030</v>
      </c>
      <c r="G519" s="44" t="s">
        <v>173</v>
      </c>
      <c r="H519" s="44" t="s">
        <v>25</v>
      </c>
      <c r="I519" s="45" t="s">
        <v>26</v>
      </c>
      <c r="J519" s="45" t="s">
        <v>730</v>
      </c>
      <c r="K519" s="46" t="s">
        <v>571</v>
      </c>
      <c r="L519" s="47" t="s">
        <v>1379</v>
      </c>
    </row>
    <row r="520" spans="1:12" ht="14.5" x14ac:dyDescent="0.35">
      <c r="A520" s="47" t="s">
        <v>1358</v>
      </c>
      <c r="B520" s="43">
        <v>8470530</v>
      </c>
      <c r="C520" s="44" t="s">
        <v>165</v>
      </c>
      <c r="D520" s="43">
        <v>428111</v>
      </c>
      <c r="E520" s="44" t="s">
        <v>723</v>
      </c>
      <c r="F520" s="43">
        <v>847030</v>
      </c>
      <c r="G520" s="44" t="s">
        <v>173</v>
      </c>
      <c r="H520" s="44" t="s">
        <v>28</v>
      </c>
      <c r="I520" s="45" t="s">
        <v>29</v>
      </c>
      <c r="J520" s="45" t="s">
        <v>731</v>
      </c>
      <c r="K520" s="46" t="s">
        <v>571</v>
      </c>
      <c r="L520" s="47" t="s">
        <v>1379</v>
      </c>
    </row>
    <row r="521" spans="1:12" ht="14.5" x14ac:dyDescent="0.35">
      <c r="A521" s="47" t="s">
        <v>1365</v>
      </c>
      <c r="B521" s="43">
        <v>8471210</v>
      </c>
      <c r="C521" s="44" t="s">
        <v>176</v>
      </c>
      <c r="D521" s="43">
        <v>428111</v>
      </c>
      <c r="E521" s="44" t="s">
        <v>723</v>
      </c>
      <c r="F521" s="43">
        <v>847001</v>
      </c>
      <c r="G521" s="44" t="s">
        <v>24</v>
      </c>
      <c r="H521" s="44" t="s">
        <v>28</v>
      </c>
      <c r="I521" s="45" t="s">
        <v>29</v>
      </c>
      <c r="J521" s="45" t="s">
        <v>732</v>
      </c>
      <c r="K521" s="46" t="s">
        <v>571</v>
      </c>
      <c r="L521" s="47" t="s">
        <v>1379</v>
      </c>
    </row>
    <row r="522" spans="1:12" ht="14.5" x14ac:dyDescent="0.35">
      <c r="A522" s="47" t="s">
        <v>1365</v>
      </c>
      <c r="B522" s="43">
        <v>8471260</v>
      </c>
      <c r="C522" s="44" t="s">
        <v>178</v>
      </c>
      <c r="D522" s="43">
        <v>428111</v>
      </c>
      <c r="E522" s="44" t="s">
        <v>723</v>
      </c>
      <c r="F522" s="43">
        <v>847001</v>
      </c>
      <c r="G522" s="44" t="s">
        <v>24</v>
      </c>
      <c r="H522" s="44" t="s">
        <v>25</v>
      </c>
      <c r="I522" s="45" t="s">
        <v>26</v>
      </c>
      <c r="J522" s="45" t="s">
        <v>733</v>
      </c>
      <c r="K522" s="46" t="s">
        <v>571</v>
      </c>
      <c r="L522" s="47" t="s">
        <v>1379</v>
      </c>
    </row>
    <row r="523" spans="1:12" ht="14.5" x14ac:dyDescent="0.35">
      <c r="A523" s="47" t="s">
        <v>1358</v>
      </c>
      <c r="B523" s="43">
        <v>8470530</v>
      </c>
      <c r="C523" s="44" t="s">
        <v>165</v>
      </c>
      <c r="D523" s="43">
        <v>428112</v>
      </c>
      <c r="E523" s="44" t="s">
        <v>734</v>
      </c>
      <c r="F523" s="43">
        <v>847010</v>
      </c>
      <c r="G523" s="44" t="s">
        <v>167</v>
      </c>
      <c r="H523" s="44" t="s">
        <v>25</v>
      </c>
      <c r="I523" s="45" t="s">
        <v>26</v>
      </c>
      <c r="J523" s="45" t="s">
        <v>735</v>
      </c>
      <c r="K523" s="46" t="s">
        <v>571</v>
      </c>
      <c r="L523" s="47" t="s">
        <v>1379</v>
      </c>
    </row>
    <row r="524" spans="1:12" ht="14.5" x14ac:dyDescent="0.35">
      <c r="A524" s="47" t="s">
        <v>1358</v>
      </c>
      <c r="B524" s="43">
        <v>8470530</v>
      </c>
      <c r="C524" s="44" t="s">
        <v>165</v>
      </c>
      <c r="D524" s="43">
        <v>428112</v>
      </c>
      <c r="E524" s="44" t="s">
        <v>734</v>
      </c>
      <c r="F524" s="43">
        <v>847015</v>
      </c>
      <c r="G524" s="44" t="s">
        <v>726</v>
      </c>
      <c r="H524" s="44" t="s">
        <v>25</v>
      </c>
      <c r="I524" s="45" t="s">
        <v>26</v>
      </c>
      <c r="J524" s="45" t="s">
        <v>736</v>
      </c>
      <c r="K524" s="46" t="s">
        <v>571</v>
      </c>
      <c r="L524" s="47" t="s">
        <v>1379</v>
      </c>
    </row>
    <row r="525" spans="1:12" ht="14.5" x14ac:dyDescent="0.35">
      <c r="A525" s="47" t="s">
        <v>1358</v>
      </c>
      <c r="B525" s="43">
        <v>8470530</v>
      </c>
      <c r="C525" s="44" t="s">
        <v>165</v>
      </c>
      <c r="D525" s="43">
        <v>428112</v>
      </c>
      <c r="E525" s="44" t="s">
        <v>734</v>
      </c>
      <c r="F525" s="43">
        <v>847020</v>
      </c>
      <c r="G525" s="44" t="s">
        <v>170</v>
      </c>
      <c r="H525" s="44" t="s">
        <v>25</v>
      </c>
      <c r="I525" s="45" t="s">
        <v>26</v>
      </c>
      <c r="J525" s="45" t="s">
        <v>737</v>
      </c>
      <c r="K525" s="46" t="s">
        <v>571</v>
      </c>
      <c r="L525" s="47" t="s">
        <v>1379</v>
      </c>
    </row>
    <row r="526" spans="1:12" ht="14.5" x14ac:dyDescent="0.35">
      <c r="A526" s="47" t="s">
        <v>1365</v>
      </c>
      <c r="B526" s="43">
        <v>8471260</v>
      </c>
      <c r="C526" s="44" t="s">
        <v>178</v>
      </c>
      <c r="D526" s="43">
        <v>428112</v>
      </c>
      <c r="E526" s="44" t="s">
        <v>734</v>
      </c>
      <c r="F526" s="43">
        <v>847001</v>
      </c>
      <c r="G526" s="44" t="s">
        <v>24</v>
      </c>
      <c r="H526" s="44" t="s">
        <v>25</v>
      </c>
      <c r="I526" s="45" t="s">
        <v>26</v>
      </c>
      <c r="J526" s="45" t="s">
        <v>738</v>
      </c>
      <c r="K526" s="46" t="s">
        <v>571</v>
      </c>
      <c r="L526" s="47" t="s">
        <v>1379</v>
      </c>
    </row>
    <row r="527" spans="1:12" ht="14.5" x14ac:dyDescent="0.35">
      <c r="A527" s="47" t="s">
        <v>1358</v>
      </c>
      <c r="B527" s="43">
        <v>8470520</v>
      </c>
      <c r="C527" s="44" t="s">
        <v>253</v>
      </c>
      <c r="D527" s="43">
        <v>428200</v>
      </c>
      <c r="E527" s="44" t="s">
        <v>739</v>
      </c>
      <c r="F527" s="43">
        <v>847001</v>
      </c>
      <c r="G527" s="44" t="s">
        <v>24</v>
      </c>
      <c r="H527" s="44" t="s">
        <v>25</v>
      </c>
      <c r="I527" s="45" t="s">
        <v>26</v>
      </c>
      <c r="J527" s="45" t="s">
        <v>740</v>
      </c>
      <c r="K527" s="46" t="s">
        <v>571</v>
      </c>
      <c r="L527" s="47" t="s">
        <v>1379</v>
      </c>
    </row>
    <row r="528" spans="1:12" ht="14.5" x14ac:dyDescent="0.35">
      <c r="A528" s="47" t="s">
        <v>1358</v>
      </c>
      <c r="B528" s="43">
        <v>8470520</v>
      </c>
      <c r="C528" s="44" t="s">
        <v>253</v>
      </c>
      <c r="D528" s="43">
        <v>428200</v>
      </c>
      <c r="E528" s="44" t="s">
        <v>739</v>
      </c>
      <c r="F528" s="43">
        <v>847001</v>
      </c>
      <c r="G528" s="44" t="s">
        <v>24</v>
      </c>
      <c r="H528" s="44" t="s">
        <v>28</v>
      </c>
      <c r="I528" s="45" t="s">
        <v>29</v>
      </c>
      <c r="J528" s="45" t="s">
        <v>741</v>
      </c>
      <c r="K528" s="46" t="s">
        <v>571</v>
      </c>
      <c r="L528" s="47" t="s">
        <v>1379</v>
      </c>
    </row>
    <row r="529" spans="1:12" ht="14.5" x14ac:dyDescent="0.35">
      <c r="A529" s="47" t="s">
        <v>1358</v>
      </c>
      <c r="B529" s="43">
        <v>8470520</v>
      </c>
      <c r="C529" s="44" t="s">
        <v>253</v>
      </c>
      <c r="D529" s="43">
        <v>428200</v>
      </c>
      <c r="E529" s="44" t="s">
        <v>739</v>
      </c>
      <c r="F529" s="43">
        <v>847951</v>
      </c>
      <c r="G529" s="44" t="s">
        <v>331</v>
      </c>
      <c r="H529" s="44" t="s">
        <v>25</v>
      </c>
      <c r="I529" s="45" t="s">
        <v>26</v>
      </c>
      <c r="J529" s="45" t="s">
        <v>742</v>
      </c>
      <c r="K529" s="46" t="s">
        <v>571</v>
      </c>
      <c r="L529" s="47" t="s">
        <v>1379</v>
      </c>
    </row>
    <row r="530" spans="1:12" ht="14.5" x14ac:dyDescent="0.35">
      <c r="A530" s="47" t="s">
        <v>1358</v>
      </c>
      <c r="B530" s="43">
        <v>8470530</v>
      </c>
      <c r="C530" s="44" t="s">
        <v>165</v>
      </c>
      <c r="D530" s="43">
        <v>428200</v>
      </c>
      <c r="E530" s="44" t="s">
        <v>739</v>
      </c>
      <c r="F530" s="43">
        <v>847010</v>
      </c>
      <c r="G530" s="44" t="s">
        <v>167</v>
      </c>
      <c r="H530" s="44" t="s">
        <v>25</v>
      </c>
      <c r="I530" s="45" t="s">
        <v>26</v>
      </c>
      <c r="J530" s="45" t="s">
        <v>743</v>
      </c>
      <c r="K530" s="46" t="s">
        <v>571</v>
      </c>
      <c r="L530" s="47" t="s">
        <v>1379</v>
      </c>
    </row>
    <row r="531" spans="1:12" ht="14.5" x14ac:dyDescent="0.35">
      <c r="A531" s="47" t="s">
        <v>1358</v>
      </c>
      <c r="B531" s="43">
        <v>8470530</v>
      </c>
      <c r="C531" s="44" t="s">
        <v>165</v>
      </c>
      <c r="D531" s="43">
        <v>428200</v>
      </c>
      <c r="E531" s="44" t="s">
        <v>739</v>
      </c>
      <c r="F531" s="43">
        <v>847010</v>
      </c>
      <c r="G531" s="44" t="s">
        <v>167</v>
      </c>
      <c r="H531" s="44" t="s">
        <v>28</v>
      </c>
      <c r="I531" s="45" t="s">
        <v>29</v>
      </c>
      <c r="J531" s="45" t="s">
        <v>744</v>
      </c>
      <c r="K531" s="46" t="s">
        <v>571</v>
      </c>
      <c r="L531" s="47" t="s">
        <v>1379</v>
      </c>
    </row>
    <row r="532" spans="1:12" ht="14.5" x14ac:dyDescent="0.35">
      <c r="A532" s="47" t="s">
        <v>1367</v>
      </c>
      <c r="B532" s="43">
        <v>8470720</v>
      </c>
      <c r="C532" s="44" t="s">
        <v>221</v>
      </c>
      <c r="D532" s="43">
        <v>428200</v>
      </c>
      <c r="E532" s="44" t="s">
        <v>739</v>
      </c>
      <c r="F532" s="43">
        <v>847001</v>
      </c>
      <c r="G532" s="44" t="s">
        <v>24</v>
      </c>
      <c r="H532" s="44" t="s">
        <v>25</v>
      </c>
      <c r="I532" s="45" t="s">
        <v>26</v>
      </c>
      <c r="J532" s="45" t="s">
        <v>745</v>
      </c>
      <c r="K532" s="46" t="s">
        <v>571</v>
      </c>
      <c r="L532" s="47" t="s">
        <v>1379</v>
      </c>
    </row>
    <row r="533" spans="1:12" ht="14.5" x14ac:dyDescent="0.35">
      <c r="A533" s="47" t="s">
        <v>1359</v>
      </c>
      <c r="B533" s="43">
        <v>8470110</v>
      </c>
      <c r="C533" s="44" t="s">
        <v>180</v>
      </c>
      <c r="D533" s="43">
        <v>428400</v>
      </c>
      <c r="E533" s="44" t="s">
        <v>746</v>
      </c>
      <c r="F533" s="43">
        <v>847001</v>
      </c>
      <c r="G533" s="44" t="s">
        <v>24</v>
      </c>
      <c r="H533" s="44" t="s">
        <v>25</v>
      </c>
      <c r="I533" s="45" t="s">
        <v>26</v>
      </c>
      <c r="J533" s="45" t="s">
        <v>747</v>
      </c>
      <c r="K533" s="46" t="s">
        <v>1082</v>
      </c>
      <c r="L533" s="47" t="s">
        <v>1379</v>
      </c>
    </row>
    <row r="534" spans="1:12" ht="14.5" x14ac:dyDescent="0.35">
      <c r="A534" s="47" t="s">
        <v>1359</v>
      </c>
      <c r="B534" s="43">
        <v>8470110</v>
      </c>
      <c r="C534" s="44" t="s">
        <v>180</v>
      </c>
      <c r="D534" s="43">
        <v>428400</v>
      </c>
      <c r="E534" s="44" t="s">
        <v>746</v>
      </c>
      <c r="F534" s="43">
        <v>847001</v>
      </c>
      <c r="G534" s="44" t="s">
        <v>24</v>
      </c>
      <c r="H534" s="44" t="s">
        <v>28</v>
      </c>
      <c r="I534" s="45" t="s">
        <v>29</v>
      </c>
      <c r="J534" s="45" t="s">
        <v>748</v>
      </c>
      <c r="K534" s="46" t="s">
        <v>1082</v>
      </c>
      <c r="L534" s="47" t="s">
        <v>1379</v>
      </c>
    </row>
    <row r="535" spans="1:12" ht="14.5" x14ac:dyDescent="0.35">
      <c r="A535" s="47" t="s">
        <v>1368</v>
      </c>
      <c r="B535" s="43">
        <v>8471130</v>
      </c>
      <c r="C535" s="44" t="s">
        <v>197</v>
      </c>
      <c r="D535" s="43">
        <v>428400</v>
      </c>
      <c r="E535" s="44" t="s">
        <v>746</v>
      </c>
      <c r="F535" s="43">
        <v>847001</v>
      </c>
      <c r="G535" s="44" t="s">
        <v>24</v>
      </c>
      <c r="H535" s="44" t="s">
        <v>25</v>
      </c>
      <c r="I535" s="45" t="s">
        <v>26</v>
      </c>
      <c r="J535" s="45" t="s">
        <v>749</v>
      </c>
      <c r="K535" s="46" t="s">
        <v>1082</v>
      </c>
      <c r="L535" s="47" t="s">
        <v>1379</v>
      </c>
    </row>
    <row r="536" spans="1:12" ht="14.5" x14ac:dyDescent="0.35">
      <c r="A536" s="47" t="s">
        <v>1359</v>
      </c>
      <c r="B536" s="43">
        <v>8470140</v>
      </c>
      <c r="C536" s="44" t="s">
        <v>231</v>
      </c>
      <c r="D536" s="43">
        <v>428640</v>
      </c>
      <c r="E536" s="44" t="s">
        <v>89</v>
      </c>
      <c r="F536" s="43">
        <v>847001</v>
      </c>
      <c r="G536" s="44" t="s">
        <v>24</v>
      </c>
      <c r="H536" s="44" t="s">
        <v>28</v>
      </c>
      <c r="I536" s="45" t="s">
        <v>29</v>
      </c>
      <c r="J536" s="45" t="s">
        <v>750</v>
      </c>
      <c r="K536" s="46" t="s">
        <v>1079</v>
      </c>
      <c r="L536" s="47" t="s">
        <v>1387</v>
      </c>
    </row>
    <row r="537" spans="1:12" ht="14.5" x14ac:dyDescent="0.35">
      <c r="A537" s="47" t="s">
        <v>1366</v>
      </c>
      <c r="B537" s="43">
        <v>8470230</v>
      </c>
      <c r="C537" s="44" t="s">
        <v>183</v>
      </c>
      <c r="D537" s="43">
        <v>428640</v>
      </c>
      <c r="E537" s="44" t="s">
        <v>89</v>
      </c>
      <c r="F537" s="43">
        <v>847001</v>
      </c>
      <c r="G537" s="44" t="s">
        <v>24</v>
      </c>
      <c r="H537" s="44" t="s">
        <v>25</v>
      </c>
      <c r="I537" s="45" t="s">
        <v>26</v>
      </c>
      <c r="J537" s="45" t="s">
        <v>751</v>
      </c>
      <c r="K537" s="46" t="s">
        <v>1079</v>
      </c>
      <c r="L537" s="47" t="s">
        <v>1387</v>
      </c>
    </row>
    <row r="538" spans="1:12" ht="14.5" x14ac:dyDescent="0.35">
      <c r="A538" s="47" t="s">
        <v>1366</v>
      </c>
      <c r="B538" s="43">
        <v>8470230</v>
      </c>
      <c r="C538" s="44" t="s">
        <v>183</v>
      </c>
      <c r="D538" s="43">
        <v>428640</v>
      </c>
      <c r="E538" s="44" t="s">
        <v>89</v>
      </c>
      <c r="F538" s="43">
        <v>847001</v>
      </c>
      <c r="G538" s="44" t="s">
        <v>24</v>
      </c>
      <c r="H538" s="44" t="s">
        <v>28</v>
      </c>
      <c r="I538" s="45" t="s">
        <v>29</v>
      </c>
      <c r="J538" s="45" t="s">
        <v>752</v>
      </c>
      <c r="K538" s="46" t="s">
        <v>1079</v>
      </c>
      <c r="L538" s="47" t="s">
        <v>1387</v>
      </c>
    </row>
    <row r="539" spans="1:12" ht="14.5" x14ac:dyDescent="0.35">
      <c r="A539" s="47" t="s">
        <v>1363</v>
      </c>
      <c r="B539" s="43">
        <v>8470305</v>
      </c>
      <c r="C539" s="44" t="s">
        <v>193</v>
      </c>
      <c r="D539" s="43">
        <v>428640</v>
      </c>
      <c r="E539" s="44" t="s">
        <v>89</v>
      </c>
      <c r="F539" s="43">
        <v>847001</v>
      </c>
      <c r="G539" s="44" t="s">
        <v>24</v>
      </c>
      <c r="H539" s="44" t="s">
        <v>25</v>
      </c>
      <c r="I539" s="45" t="s">
        <v>26</v>
      </c>
      <c r="J539" s="45" t="s">
        <v>753</v>
      </c>
      <c r="K539" s="46" t="s">
        <v>1079</v>
      </c>
      <c r="L539" s="47" t="s">
        <v>1387</v>
      </c>
    </row>
    <row r="540" spans="1:12" ht="14.5" x14ac:dyDescent="0.35">
      <c r="A540" s="47" t="s">
        <v>1357</v>
      </c>
      <c r="B540" s="43">
        <v>8470415</v>
      </c>
      <c r="C540" s="44" t="s">
        <v>362</v>
      </c>
      <c r="D540" s="43">
        <v>428640</v>
      </c>
      <c r="E540" s="44" t="s">
        <v>89</v>
      </c>
      <c r="F540" s="43">
        <v>847001</v>
      </c>
      <c r="G540" s="44" t="s">
        <v>24</v>
      </c>
      <c r="H540" s="44" t="s">
        <v>25</v>
      </c>
      <c r="I540" s="45" t="s">
        <v>26</v>
      </c>
      <c r="J540" s="45" t="s">
        <v>754</v>
      </c>
      <c r="K540" s="46" t="s">
        <v>1079</v>
      </c>
      <c r="L540" s="47" t="s">
        <v>1387</v>
      </c>
    </row>
    <row r="541" spans="1:12" ht="14.5" x14ac:dyDescent="0.35">
      <c r="A541" s="47" t="s">
        <v>1365</v>
      </c>
      <c r="B541" s="43">
        <v>8471240</v>
      </c>
      <c r="C541" s="44" t="s">
        <v>346</v>
      </c>
      <c r="D541" s="43">
        <v>428640</v>
      </c>
      <c r="E541" s="44" t="s">
        <v>89</v>
      </c>
      <c r="F541" s="43">
        <v>847001</v>
      </c>
      <c r="G541" s="44" t="s">
        <v>24</v>
      </c>
      <c r="H541" s="44" t="s">
        <v>25</v>
      </c>
      <c r="I541" s="45" t="s">
        <v>26</v>
      </c>
      <c r="J541" s="45" t="s">
        <v>755</v>
      </c>
      <c r="K541" s="46" t="s">
        <v>1079</v>
      </c>
      <c r="L541" s="47" t="s">
        <v>1387</v>
      </c>
    </row>
    <row r="542" spans="1:12" ht="14.5" x14ac:dyDescent="0.35">
      <c r="A542" s="47" t="s">
        <v>1365</v>
      </c>
      <c r="B542" s="43">
        <v>8471240</v>
      </c>
      <c r="C542" s="44" t="s">
        <v>346</v>
      </c>
      <c r="D542" s="43">
        <v>428640</v>
      </c>
      <c r="E542" s="44" t="s">
        <v>89</v>
      </c>
      <c r="F542" s="43">
        <v>847001</v>
      </c>
      <c r="G542" s="44" t="s">
        <v>24</v>
      </c>
      <c r="H542" s="44" t="s">
        <v>28</v>
      </c>
      <c r="I542" s="45" t="s">
        <v>29</v>
      </c>
      <c r="J542" s="45" t="s">
        <v>756</v>
      </c>
      <c r="K542" s="46" t="s">
        <v>1079</v>
      </c>
      <c r="L542" s="47" t="s">
        <v>1387</v>
      </c>
    </row>
    <row r="543" spans="1:12" ht="14.5" x14ac:dyDescent="0.35">
      <c r="A543" s="47" t="s">
        <v>1365</v>
      </c>
      <c r="B543" s="43">
        <v>8471280</v>
      </c>
      <c r="C543" s="44" t="s">
        <v>355</v>
      </c>
      <c r="D543" s="43">
        <v>428640</v>
      </c>
      <c r="E543" s="44" t="s">
        <v>89</v>
      </c>
      <c r="F543" s="43">
        <v>847001</v>
      </c>
      <c r="G543" s="44" t="s">
        <v>24</v>
      </c>
      <c r="H543" s="44" t="s">
        <v>25</v>
      </c>
      <c r="I543" s="45" t="s">
        <v>26</v>
      </c>
      <c r="J543" s="45" t="s">
        <v>757</v>
      </c>
      <c r="K543" s="46" t="s">
        <v>1079</v>
      </c>
      <c r="L543" s="47" t="s">
        <v>1387</v>
      </c>
    </row>
    <row r="544" spans="1:12" ht="14.5" x14ac:dyDescent="0.35">
      <c r="A544" s="47" t="s">
        <v>1371</v>
      </c>
      <c r="B544" s="43">
        <v>8471305</v>
      </c>
      <c r="C544" s="44" t="s">
        <v>32</v>
      </c>
      <c r="D544" s="43">
        <v>428640</v>
      </c>
      <c r="E544" s="44" t="s">
        <v>89</v>
      </c>
      <c r="F544" s="43">
        <v>847001</v>
      </c>
      <c r="G544" s="44" t="s">
        <v>24</v>
      </c>
      <c r="H544" s="44" t="s">
        <v>25</v>
      </c>
      <c r="I544" s="45" t="s">
        <v>26</v>
      </c>
      <c r="J544" s="45" t="s">
        <v>91</v>
      </c>
      <c r="K544" s="46" t="s">
        <v>1079</v>
      </c>
      <c r="L544" s="47" t="s">
        <v>1387</v>
      </c>
    </row>
    <row r="545" spans="1:12" ht="14.5" x14ac:dyDescent="0.35">
      <c r="A545" s="47" t="s">
        <v>1358</v>
      </c>
      <c r="B545" s="43">
        <v>8470530</v>
      </c>
      <c r="C545" s="44" t="s">
        <v>165</v>
      </c>
      <c r="D545" s="43">
        <v>429900</v>
      </c>
      <c r="E545" s="44" t="s">
        <v>758</v>
      </c>
      <c r="F545" s="43">
        <v>847010</v>
      </c>
      <c r="G545" s="44" t="s">
        <v>167</v>
      </c>
      <c r="H545" s="44" t="s">
        <v>25</v>
      </c>
      <c r="I545" s="45" t="s">
        <v>26</v>
      </c>
      <c r="J545" s="45" t="s">
        <v>759</v>
      </c>
      <c r="K545" s="46" t="s">
        <v>27</v>
      </c>
      <c r="L545" s="47" t="s">
        <v>1379</v>
      </c>
    </row>
    <row r="546" spans="1:12" ht="14.5" x14ac:dyDescent="0.35">
      <c r="A546" s="47" t="s">
        <v>1363</v>
      </c>
      <c r="B546" s="43">
        <v>8470310</v>
      </c>
      <c r="C546" s="44" t="s">
        <v>309</v>
      </c>
      <c r="D546" s="43">
        <v>430120</v>
      </c>
      <c r="E546" s="44" t="s">
        <v>760</v>
      </c>
      <c r="F546" s="43">
        <v>847001</v>
      </c>
      <c r="G546" s="44" t="s">
        <v>24</v>
      </c>
      <c r="H546" s="44" t="s">
        <v>25</v>
      </c>
      <c r="I546" s="45" t="s">
        <v>26</v>
      </c>
      <c r="J546" s="45" t="s">
        <v>761</v>
      </c>
      <c r="K546" s="46" t="s">
        <v>1083</v>
      </c>
      <c r="L546" s="47" t="s">
        <v>1379</v>
      </c>
    </row>
    <row r="547" spans="1:12" ht="14.5" x14ac:dyDescent="0.35">
      <c r="A547" s="47" t="s">
        <v>1364</v>
      </c>
      <c r="B547" s="43">
        <v>8470810</v>
      </c>
      <c r="C547" s="44" t="s">
        <v>200</v>
      </c>
      <c r="D547" s="43">
        <v>430230</v>
      </c>
      <c r="E547" s="44" t="s">
        <v>762</v>
      </c>
      <c r="F547" s="43">
        <v>847001</v>
      </c>
      <c r="G547" s="44" t="s">
        <v>24</v>
      </c>
      <c r="H547" s="44" t="s">
        <v>25</v>
      </c>
      <c r="I547" s="45" t="s">
        <v>26</v>
      </c>
      <c r="J547" s="45" t="s">
        <v>763</v>
      </c>
      <c r="K547" s="46" t="s">
        <v>574</v>
      </c>
      <c r="L547" s="47" t="s">
        <v>1388</v>
      </c>
    </row>
    <row r="548" spans="1:12" ht="14.5" x14ac:dyDescent="0.35">
      <c r="A548" s="47" t="s">
        <v>1364</v>
      </c>
      <c r="B548" s="43">
        <v>8470810</v>
      </c>
      <c r="C548" s="44" t="s">
        <v>200</v>
      </c>
      <c r="D548" s="43">
        <v>430230</v>
      </c>
      <c r="E548" s="44" t="s">
        <v>762</v>
      </c>
      <c r="F548" s="43">
        <v>847001</v>
      </c>
      <c r="G548" s="44" t="s">
        <v>24</v>
      </c>
      <c r="H548" s="44" t="s">
        <v>28</v>
      </c>
      <c r="I548" s="45" t="s">
        <v>29</v>
      </c>
      <c r="J548" s="45" t="s">
        <v>764</v>
      </c>
      <c r="K548" s="46" t="s">
        <v>574</v>
      </c>
      <c r="L548" s="47" t="s">
        <v>1388</v>
      </c>
    </row>
    <row r="549" spans="1:12" ht="14.5" x14ac:dyDescent="0.35">
      <c r="A549" s="47" t="s">
        <v>1365</v>
      </c>
      <c r="B549" s="43">
        <v>8471210</v>
      </c>
      <c r="C549" s="44" t="s">
        <v>176</v>
      </c>
      <c r="D549" s="43">
        <v>430230</v>
      </c>
      <c r="E549" s="44" t="s">
        <v>762</v>
      </c>
      <c r="F549" s="43">
        <v>847001</v>
      </c>
      <c r="G549" s="44" t="s">
        <v>24</v>
      </c>
      <c r="H549" s="44" t="s">
        <v>28</v>
      </c>
      <c r="I549" s="45" t="s">
        <v>29</v>
      </c>
      <c r="J549" s="45" t="s">
        <v>765</v>
      </c>
      <c r="K549" s="46" t="s">
        <v>574</v>
      </c>
      <c r="L549" s="47" t="s">
        <v>1388</v>
      </c>
    </row>
    <row r="550" spans="1:12" ht="14.5" x14ac:dyDescent="0.35">
      <c r="A550" s="47" t="s">
        <v>1365</v>
      </c>
      <c r="B550" s="43">
        <v>8471260</v>
      </c>
      <c r="C550" s="44" t="s">
        <v>178</v>
      </c>
      <c r="D550" s="43">
        <v>430230</v>
      </c>
      <c r="E550" s="44" t="s">
        <v>762</v>
      </c>
      <c r="F550" s="43">
        <v>847001</v>
      </c>
      <c r="G550" s="44" t="s">
        <v>24</v>
      </c>
      <c r="H550" s="44" t="s">
        <v>25</v>
      </c>
      <c r="I550" s="45" t="s">
        <v>26</v>
      </c>
      <c r="J550" s="45" t="s">
        <v>766</v>
      </c>
      <c r="K550" s="46" t="s">
        <v>574</v>
      </c>
      <c r="L550" s="47" t="s">
        <v>1388</v>
      </c>
    </row>
    <row r="551" spans="1:12" ht="14.5" x14ac:dyDescent="0.35">
      <c r="A551" s="47" t="s">
        <v>1358</v>
      </c>
      <c r="B551" s="43">
        <v>8470530</v>
      </c>
      <c r="C551" s="44" t="s">
        <v>165</v>
      </c>
      <c r="D551" s="43">
        <v>430330</v>
      </c>
      <c r="E551" s="44" t="s">
        <v>767</v>
      </c>
      <c r="F551" s="43">
        <v>847010</v>
      </c>
      <c r="G551" s="44" t="s">
        <v>167</v>
      </c>
      <c r="H551" s="44" t="s">
        <v>25</v>
      </c>
      <c r="I551" s="45" t="s">
        <v>26</v>
      </c>
      <c r="J551" s="45" t="s">
        <v>768</v>
      </c>
      <c r="K551" s="46" t="s">
        <v>571</v>
      </c>
      <c r="L551" s="47" t="s">
        <v>1379</v>
      </c>
    </row>
    <row r="552" spans="1:12" ht="14.5" x14ac:dyDescent="0.35">
      <c r="A552" s="47" t="s">
        <v>1358</v>
      </c>
      <c r="B552" s="43">
        <v>8470530</v>
      </c>
      <c r="C552" s="44" t="s">
        <v>165</v>
      </c>
      <c r="D552" s="43">
        <v>430330</v>
      </c>
      <c r="E552" s="44" t="s">
        <v>767</v>
      </c>
      <c r="F552" s="43">
        <v>847010</v>
      </c>
      <c r="G552" s="44" t="s">
        <v>167</v>
      </c>
      <c r="H552" s="44" t="s">
        <v>28</v>
      </c>
      <c r="I552" s="45" t="s">
        <v>29</v>
      </c>
      <c r="J552" s="45" t="s">
        <v>769</v>
      </c>
      <c r="K552" s="46" t="s">
        <v>571</v>
      </c>
      <c r="L552" s="47" t="s">
        <v>1379</v>
      </c>
    </row>
    <row r="553" spans="1:12" ht="14.5" x14ac:dyDescent="0.35">
      <c r="A553" s="47" t="s">
        <v>1358</v>
      </c>
      <c r="B553" s="43">
        <v>8470530</v>
      </c>
      <c r="C553" s="44" t="s">
        <v>165</v>
      </c>
      <c r="D553" s="43">
        <v>430330</v>
      </c>
      <c r="E553" s="44" t="s">
        <v>767</v>
      </c>
      <c r="F553" s="43">
        <v>847020</v>
      </c>
      <c r="G553" s="44" t="s">
        <v>170</v>
      </c>
      <c r="H553" s="44" t="s">
        <v>25</v>
      </c>
      <c r="I553" s="45" t="s">
        <v>26</v>
      </c>
      <c r="J553" s="45" t="s">
        <v>770</v>
      </c>
      <c r="K553" s="46" t="s">
        <v>571</v>
      </c>
      <c r="L553" s="47" t="s">
        <v>1379</v>
      </c>
    </row>
    <row r="554" spans="1:12" ht="14.5" x14ac:dyDescent="0.35">
      <c r="A554" s="47" t="s">
        <v>1358</v>
      </c>
      <c r="B554" s="43">
        <v>8470530</v>
      </c>
      <c r="C554" s="44" t="s">
        <v>165</v>
      </c>
      <c r="D554" s="43">
        <v>430330</v>
      </c>
      <c r="E554" s="44" t="s">
        <v>767</v>
      </c>
      <c r="F554" s="43">
        <v>847030</v>
      </c>
      <c r="G554" s="44" t="s">
        <v>173</v>
      </c>
      <c r="H554" s="44" t="s">
        <v>28</v>
      </c>
      <c r="I554" s="45" t="s">
        <v>29</v>
      </c>
      <c r="J554" s="45" t="s">
        <v>771</v>
      </c>
      <c r="K554" s="46" t="s">
        <v>571</v>
      </c>
      <c r="L554" s="47" t="s">
        <v>1379</v>
      </c>
    </row>
    <row r="555" spans="1:12" ht="14.5" x14ac:dyDescent="0.35">
      <c r="A555" s="47" t="s">
        <v>1362</v>
      </c>
      <c r="B555" s="43">
        <v>8470620</v>
      </c>
      <c r="C555" s="44" t="s">
        <v>161</v>
      </c>
      <c r="D555" s="43">
        <v>430330</v>
      </c>
      <c r="E555" s="44" t="s">
        <v>767</v>
      </c>
      <c r="F555" s="43">
        <v>847001</v>
      </c>
      <c r="G555" s="44" t="s">
        <v>24</v>
      </c>
      <c r="H555" s="44" t="s">
        <v>28</v>
      </c>
      <c r="I555" s="45" t="s">
        <v>29</v>
      </c>
      <c r="J555" s="45" t="s">
        <v>772</v>
      </c>
      <c r="K555" s="46" t="s">
        <v>571</v>
      </c>
      <c r="L555" s="47" t="s">
        <v>1379</v>
      </c>
    </row>
    <row r="556" spans="1:12" ht="14.5" x14ac:dyDescent="0.35">
      <c r="A556" s="47" t="s">
        <v>1368</v>
      </c>
      <c r="B556" s="43">
        <v>8471160</v>
      </c>
      <c r="C556" s="44" t="s">
        <v>281</v>
      </c>
      <c r="D556" s="43">
        <v>430330</v>
      </c>
      <c r="E556" s="44" t="s">
        <v>767</v>
      </c>
      <c r="F556" s="43">
        <v>847001</v>
      </c>
      <c r="G556" s="44" t="s">
        <v>24</v>
      </c>
      <c r="H556" s="44" t="s">
        <v>25</v>
      </c>
      <c r="I556" s="45" t="s">
        <v>26</v>
      </c>
      <c r="J556" s="45" t="s">
        <v>773</v>
      </c>
      <c r="K556" s="46" t="s">
        <v>571</v>
      </c>
      <c r="L556" s="47" t="s">
        <v>1379</v>
      </c>
    </row>
    <row r="557" spans="1:12" ht="14.5" x14ac:dyDescent="0.35">
      <c r="A557" s="47" t="s">
        <v>1368</v>
      </c>
      <c r="B557" s="43">
        <v>8471160</v>
      </c>
      <c r="C557" s="44" t="s">
        <v>281</v>
      </c>
      <c r="D557" s="43">
        <v>430330</v>
      </c>
      <c r="E557" s="44" t="s">
        <v>767</v>
      </c>
      <c r="F557" s="43">
        <v>847001</v>
      </c>
      <c r="G557" s="44" t="s">
        <v>24</v>
      </c>
      <c r="H557" s="44" t="s">
        <v>28</v>
      </c>
      <c r="I557" s="45" t="s">
        <v>29</v>
      </c>
      <c r="J557" s="45" t="s">
        <v>774</v>
      </c>
      <c r="K557" s="46" t="s">
        <v>571</v>
      </c>
      <c r="L557" s="47" t="s">
        <v>1379</v>
      </c>
    </row>
    <row r="558" spans="1:12" ht="14.5" x14ac:dyDescent="0.35">
      <c r="A558" s="47" t="s">
        <v>1363</v>
      </c>
      <c r="B558" s="43">
        <v>8470350</v>
      </c>
      <c r="C558" s="44" t="s">
        <v>191</v>
      </c>
      <c r="D558" s="43">
        <v>432120</v>
      </c>
      <c r="E558" s="44" t="s">
        <v>775</v>
      </c>
      <c r="F558" s="43">
        <v>847001</v>
      </c>
      <c r="G558" s="44" t="s">
        <v>24</v>
      </c>
      <c r="H558" s="44" t="s">
        <v>28</v>
      </c>
      <c r="I558" s="45" t="s">
        <v>29</v>
      </c>
      <c r="J558" s="45" t="s">
        <v>776</v>
      </c>
      <c r="K558" s="46" t="s">
        <v>571</v>
      </c>
      <c r="L558" s="47" t="s">
        <v>1379</v>
      </c>
    </row>
    <row r="559" spans="1:12" ht="14.5" x14ac:dyDescent="0.35">
      <c r="A559" s="47" t="s">
        <v>1357</v>
      </c>
      <c r="B559" s="43">
        <v>8470450</v>
      </c>
      <c r="C559" s="44" t="s">
        <v>275</v>
      </c>
      <c r="D559" s="43">
        <v>432120</v>
      </c>
      <c r="E559" s="44" t="s">
        <v>775</v>
      </c>
      <c r="F559" s="43">
        <v>847001</v>
      </c>
      <c r="G559" s="44" t="s">
        <v>24</v>
      </c>
      <c r="H559" s="44" t="s">
        <v>28</v>
      </c>
      <c r="I559" s="45" t="s">
        <v>29</v>
      </c>
      <c r="J559" s="45" t="s">
        <v>777</v>
      </c>
      <c r="K559" s="46" t="s">
        <v>571</v>
      </c>
      <c r="L559" s="47" t="s">
        <v>1379</v>
      </c>
    </row>
    <row r="560" spans="1:12" ht="14.5" x14ac:dyDescent="0.35">
      <c r="A560" s="47" t="s">
        <v>1358</v>
      </c>
      <c r="B560" s="43">
        <v>8470520</v>
      </c>
      <c r="C560" s="44" t="s">
        <v>253</v>
      </c>
      <c r="D560" s="43">
        <v>432120</v>
      </c>
      <c r="E560" s="44" t="s">
        <v>775</v>
      </c>
      <c r="F560" s="43">
        <v>847001</v>
      </c>
      <c r="G560" s="44" t="s">
        <v>24</v>
      </c>
      <c r="H560" s="44" t="s">
        <v>28</v>
      </c>
      <c r="I560" s="45" t="s">
        <v>29</v>
      </c>
      <c r="J560" s="45" t="s">
        <v>778</v>
      </c>
      <c r="K560" s="46" t="s">
        <v>571</v>
      </c>
      <c r="L560" s="47" t="s">
        <v>1379</v>
      </c>
    </row>
    <row r="561" spans="1:12" ht="14.5" x14ac:dyDescent="0.35">
      <c r="A561" s="47" t="s">
        <v>1358</v>
      </c>
      <c r="B561" s="43">
        <v>8470530</v>
      </c>
      <c r="C561" s="44" t="s">
        <v>165</v>
      </c>
      <c r="D561" s="43">
        <v>432120</v>
      </c>
      <c r="E561" s="44" t="s">
        <v>775</v>
      </c>
      <c r="F561" s="43">
        <v>847010</v>
      </c>
      <c r="G561" s="44" t="s">
        <v>167</v>
      </c>
      <c r="H561" s="44" t="s">
        <v>25</v>
      </c>
      <c r="I561" s="45" t="s">
        <v>26</v>
      </c>
      <c r="J561" s="45" t="s">
        <v>779</v>
      </c>
      <c r="K561" s="46" t="s">
        <v>571</v>
      </c>
      <c r="L561" s="47" t="s">
        <v>1379</v>
      </c>
    </row>
    <row r="562" spans="1:12" ht="14.5" x14ac:dyDescent="0.35">
      <c r="A562" s="47" t="s">
        <v>1358</v>
      </c>
      <c r="B562" s="43">
        <v>8470530</v>
      </c>
      <c r="C562" s="44" t="s">
        <v>165</v>
      </c>
      <c r="D562" s="43">
        <v>432120</v>
      </c>
      <c r="E562" s="44" t="s">
        <v>775</v>
      </c>
      <c r="F562" s="43">
        <v>847010</v>
      </c>
      <c r="G562" s="44" t="s">
        <v>167</v>
      </c>
      <c r="H562" s="44" t="s">
        <v>28</v>
      </c>
      <c r="I562" s="45" t="s">
        <v>29</v>
      </c>
      <c r="J562" s="45" t="s">
        <v>780</v>
      </c>
      <c r="K562" s="46" t="s">
        <v>571</v>
      </c>
      <c r="L562" s="47" t="s">
        <v>1379</v>
      </c>
    </row>
    <row r="563" spans="1:12" ht="14.5" x14ac:dyDescent="0.35">
      <c r="A563" s="47" t="s">
        <v>1358</v>
      </c>
      <c r="B563" s="43">
        <v>8470530</v>
      </c>
      <c r="C563" s="44" t="s">
        <v>165</v>
      </c>
      <c r="D563" s="43">
        <v>432120</v>
      </c>
      <c r="E563" s="44" t="s">
        <v>775</v>
      </c>
      <c r="F563" s="43">
        <v>847015</v>
      </c>
      <c r="G563" s="44" t="s">
        <v>726</v>
      </c>
      <c r="H563" s="44" t="s">
        <v>25</v>
      </c>
      <c r="I563" s="45" t="s">
        <v>26</v>
      </c>
      <c r="J563" s="45" t="s">
        <v>781</v>
      </c>
      <c r="K563" s="46" t="s">
        <v>571</v>
      </c>
      <c r="L563" s="47" t="s">
        <v>1379</v>
      </c>
    </row>
    <row r="564" spans="1:12" ht="14.5" x14ac:dyDescent="0.35">
      <c r="A564" s="47" t="s">
        <v>1358</v>
      </c>
      <c r="B564" s="43">
        <v>8470530</v>
      </c>
      <c r="C564" s="44" t="s">
        <v>165</v>
      </c>
      <c r="D564" s="43">
        <v>432120</v>
      </c>
      <c r="E564" s="44" t="s">
        <v>775</v>
      </c>
      <c r="F564" s="43">
        <v>847020</v>
      </c>
      <c r="G564" s="44" t="s">
        <v>170</v>
      </c>
      <c r="H564" s="44" t="s">
        <v>25</v>
      </c>
      <c r="I564" s="45" t="s">
        <v>26</v>
      </c>
      <c r="J564" s="45" t="s">
        <v>782</v>
      </c>
      <c r="K564" s="46" t="s">
        <v>571</v>
      </c>
      <c r="L564" s="47" t="s">
        <v>1379</v>
      </c>
    </row>
    <row r="565" spans="1:12" ht="14.5" x14ac:dyDescent="0.35">
      <c r="A565" s="47" t="s">
        <v>1358</v>
      </c>
      <c r="B565" s="43">
        <v>8470530</v>
      </c>
      <c r="C565" s="44" t="s">
        <v>165</v>
      </c>
      <c r="D565" s="43">
        <v>432120</v>
      </c>
      <c r="E565" s="44" t="s">
        <v>775</v>
      </c>
      <c r="F565" s="43">
        <v>847020</v>
      </c>
      <c r="G565" s="44" t="s">
        <v>170</v>
      </c>
      <c r="H565" s="44" t="s">
        <v>28</v>
      </c>
      <c r="I565" s="45" t="s">
        <v>29</v>
      </c>
      <c r="J565" s="45" t="s">
        <v>783</v>
      </c>
      <c r="K565" s="46" t="s">
        <v>571</v>
      </c>
      <c r="L565" s="47" t="s">
        <v>1379</v>
      </c>
    </row>
    <row r="566" spans="1:12" ht="14.5" x14ac:dyDescent="0.35">
      <c r="A566" s="47" t="s">
        <v>1358</v>
      </c>
      <c r="B566" s="43">
        <v>8470530</v>
      </c>
      <c r="C566" s="44" t="s">
        <v>165</v>
      </c>
      <c r="D566" s="43">
        <v>432120</v>
      </c>
      <c r="E566" s="44" t="s">
        <v>775</v>
      </c>
      <c r="F566" s="43">
        <v>847030</v>
      </c>
      <c r="G566" s="44" t="s">
        <v>173</v>
      </c>
      <c r="H566" s="44" t="s">
        <v>25</v>
      </c>
      <c r="I566" s="45" t="s">
        <v>26</v>
      </c>
      <c r="J566" s="45" t="s">
        <v>784</v>
      </c>
      <c r="K566" s="46" t="s">
        <v>571</v>
      </c>
      <c r="L566" s="47" t="s">
        <v>1379</v>
      </c>
    </row>
    <row r="567" spans="1:12" ht="14.5" x14ac:dyDescent="0.35">
      <c r="A567" s="47" t="s">
        <v>1358</v>
      </c>
      <c r="B567" s="43">
        <v>8470530</v>
      </c>
      <c r="C567" s="44" t="s">
        <v>165</v>
      </c>
      <c r="D567" s="43">
        <v>432120</v>
      </c>
      <c r="E567" s="44" t="s">
        <v>775</v>
      </c>
      <c r="F567" s="43">
        <v>847030</v>
      </c>
      <c r="G567" s="44" t="s">
        <v>173</v>
      </c>
      <c r="H567" s="44" t="s">
        <v>28</v>
      </c>
      <c r="I567" s="45" t="s">
        <v>29</v>
      </c>
      <c r="J567" s="45" t="s">
        <v>785</v>
      </c>
      <c r="K567" s="46" t="s">
        <v>571</v>
      </c>
      <c r="L567" s="47" t="s">
        <v>1379</v>
      </c>
    </row>
    <row r="568" spans="1:12" ht="14.5" x14ac:dyDescent="0.35">
      <c r="A568" s="47" t="s">
        <v>1358</v>
      </c>
      <c r="B568" s="43">
        <v>8470540</v>
      </c>
      <c r="C568" s="44" t="s">
        <v>786</v>
      </c>
      <c r="D568" s="43">
        <v>432120</v>
      </c>
      <c r="E568" s="44" t="s">
        <v>775</v>
      </c>
      <c r="F568" s="43">
        <v>847010</v>
      </c>
      <c r="G568" s="44" t="s">
        <v>167</v>
      </c>
      <c r="H568" s="44" t="s">
        <v>25</v>
      </c>
      <c r="I568" s="45" t="s">
        <v>26</v>
      </c>
      <c r="J568" s="45" t="s">
        <v>787</v>
      </c>
      <c r="K568" s="46" t="s">
        <v>571</v>
      </c>
      <c r="L568" s="47" t="s">
        <v>1379</v>
      </c>
    </row>
    <row r="569" spans="1:12" ht="14.5" x14ac:dyDescent="0.35">
      <c r="A569" s="47" t="s">
        <v>1358</v>
      </c>
      <c r="B569" s="43">
        <v>8470540</v>
      </c>
      <c r="C569" s="44" t="s">
        <v>786</v>
      </c>
      <c r="D569" s="43">
        <v>432120</v>
      </c>
      <c r="E569" s="44" t="s">
        <v>775</v>
      </c>
      <c r="F569" s="43">
        <v>847020</v>
      </c>
      <c r="G569" s="44" t="s">
        <v>170</v>
      </c>
      <c r="H569" s="44" t="s">
        <v>25</v>
      </c>
      <c r="I569" s="45" t="s">
        <v>26</v>
      </c>
      <c r="J569" s="45" t="s">
        <v>788</v>
      </c>
      <c r="K569" s="46" t="s">
        <v>571</v>
      </c>
      <c r="L569" s="47" t="s">
        <v>1379</v>
      </c>
    </row>
    <row r="570" spans="1:12" ht="14.5" x14ac:dyDescent="0.35">
      <c r="A570" s="47" t="s">
        <v>1364</v>
      </c>
      <c r="B570" s="43">
        <v>8470810</v>
      </c>
      <c r="C570" s="44" t="s">
        <v>200</v>
      </c>
      <c r="D570" s="43">
        <v>432120</v>
      </c>
      <c r="E570" s="44" t="s">
        <v>775</v>
      </c>
      <c r="F570" s="43">
        <v>847001</v>
      </c>
      <c r="G570" s="44" t="s">
        <v>24</v>
      </c>
      <c r="H570" s="44" t="s">
        <v>28</v>
      </c>
      <c r="I570" s="45" t="s">
        <v>29</v>
      </c>
      <c r="J570" s="45" t="s">
        <v>789</v>
      </c>
      <c r="K570" s="46" t="s">
        <v>571</v>
      </c>
      <c r="L570" s="47" t="s">
        <v>1379</v>
      </c>
    </row>
    <row r="571" spans="1:12" ht="14.5" x14ac:dyDescent="0.35">
      <c r="A571" s="47" t="s">
        <v>1368</v>
      </c>
      <c r="B571" s="43">
        <v>8471160</v>
      </c>
      <c r="C571" s="44" t="s">
        <v>281</v>
      </c>
      <c r="D571" s="43">
        <v>432120</v>
      </c>
      <c r="E571" s="44" t="s">
        <v>775</v>
      </c>
      <c r="F571" s="43">
        <v>847001</v>
      </c>
      <c r="G571" s="44" t="s">
        <v>24</v>
      </c>
      <c r="H571" s="44" t="s">
        <v>25</v>
      </c>
      <c r="I571" s="45" t="s">
        <v>26</v>
      </c>
      <c r="J571" s="45" t="s">
        <v>790</v>
      </c>
      <c r="K571" s="46" t="s">
        <v>571</v>
      </c>
      <c r="L571" s="47" t="s">
        <v>1379</v>
      </c>
    </row>
    <row r="572" spans="1:12" ht="14.5" x14ac:dyDescent="0.35">
      <c r="A572" s="47" t="s">
        <v>1368</v>
      </c>
      <c r="B572" s="43">
        <v>8471160</v>
      </c>
      <c r="C572" s="44" t="s">
        <v>281</v>
      </c>
      <c r="D572" s="43">
        <v>432120</v>
      </c>
      <c r="E572" s="44" t="s">
        <v>775</v>
      </c>
      <c r="F572" s="43">
        <v>847001</v>
      </c>
      <c r="G572" s="44" t="s">
        <v>24</v>
      </c>
      <c r="H572" s="44" t="s">
        <v>28</v>
      </c>
      <c r="I572" s="45" t="s">
        <v>29</v>
      </c>
      <c r="J572" s="45" t="s">
        <v>791</v>
      </c>
      <c r="K572" s="46" t="s">
        <v>571</v>
      </c>
      <c r="L572" s="47" t="s">
        <v>1379</v>
      </c>
    </row>
    <row r="573" spans="1:12" ht="14.5" x14ac:dyDescent="0.35">
      <c r="A573" s="47" t="s">
        <v>1365</v>
      </c>
      <c r="B573" s="43">
        <v>8471210</v>
      </c>
      <c r="C573" s="44" t="s">
        <v>176</v>
      </c>
      <c r="D573" s="43">
        <v>432120</v>
      </c>
      <c r="E573" s="44" t="s">
        <v>775</v>
      </c>
      <c r="F573" s="43">
        <v>847001</v>
      </c>
      <c r="G573" s="44" t="s">
        <v>24</v>
      </c>
      <c r="H573" s="44" t="s">
        <v>28</v>
      </c>
      <c r="I573" s="45" t="s">
        <v>29</v>
      </c>
      <c r="J573" s="45" t="s">
        <v>792</v>
      </c>
      <c r="K573" s="46" t="s">
        <v>571</v>
      </c>
      <c r="L573" s="47" t="s">
        <v>1379</v>
      </c>
    </row>
    <row r="574" spans="1:12" ht="14.5" x14ac:dyDescent="0.35">
      <c r="A574" s="47" t="s">
        <v>1365</v>
      </c>
      <c r="B574" s="43">
        <v>8471260</v>
      </c>
      <c r="C574" s="44" t="s">
        <v>178</v>
      </c>
      <c r="D574" s="43">
        <v>432120</v>
      </c>
      <c r="E574" s="44" t="s">
        <v>775</v>
      </c>
      <c r="F574" s="43">
        <v>847001</v>
      </c>
      <c r="G574" s="44" t="s">
        <v>24</v>
      </c>
      <c r="H574" s="44" t="s">
        <v>25</v>
      </c>
      <c r="I574" s="45" t="s">
        <v>26</v>
      </c>
      <c r="J574" s="45" t="s">
        <v>793</v>
      </c>
      <c r="K574" s="46" t="s">
        <v>571</v>
      </c>
      <c r="L574" s="47" t="s">
        <v>1379</v>
      </c>
    </row>
    <row r="575" spans="1:12" ht="14.5" x14ac:dyDescent="0.35">
      <c r="A575" s="47" t="s">
        <v>1358</v>
      </c>
      <c r="B575" s="43">
        <v>8470530</v>
      </c>
      <c r="C575" s="44" t="s">
        <v>165</v>
      </c>
      <c r="D575" s="43">
        <v>432170</v>
      </c>
      <c r="E575" s="44" t="s">
        <v>794</v>
      </c>
      <c r="F575" s="43">
        <v>847010</v>
      </c>
      <c r="G575" s="44" t="s">
        <v>167</v>
      </c>
      <c r="H575" s="44" t="s">
        <v>25</v>
      </c>
      <c r="I575" s="45" t="s">
        <v>26</v>
      </c>
      <c r="J575" s="45" t="s">
        <v>795</v>
      </c>
      <c r="K575" s="46" t="s">
        <v>1083</v>
      </c>
      <c r="L575" s="47" t="s">
        <v>1379</v>
      </c>
    </row>
    <row r="576" spans="1:12" ht="14.5" x14ac:dyDescent="0.35">
      <c r="A576" s="47" t="s">
        <v>1358</v>
      </c>
      <c r="B576" s="43">
        <v>8470530</v>
      </c>
      <c r="C576" s="44" t="s">
        <v>165</v>
      </c>
      <c r="D576" s="43">
        <v>432170</v>
      </c>
      <c r="E576" s="44" t="s">
        <v>794</v>
      </c>
      <c r="F576" s="43">
        <v>847010</v>
      </c>
      <c r="G576" s="44" t="s">
        <v>167</v>
      </c>
      <c r="H576" s="44" t="s">
        <v>28</v>
      </c>
      <c r="I576" s="45" t="s">
        <v>29</v>
      </c>
      <c r="J576" s="45" t="s">
        <v>796</v>
      </c>
      <c r="K576" s="46" t="s">
        <v>1083</v>
      </c>
      <c r="L576" s="47" t="s">
        <v>1379</v>
      </c>
    </row>
    <row r="577" spans="1:12" ht="14.5" x14ac:dyDescent="0.35">
      <c r="A577" s="47" t="s">
        <v>1358</v>
      </c>
      <c r="B577" s="43">
        <v>8470530</v>
      </c>
      <c r="C577" s="44" t="s">
        <v>165</v>
      </c>
      <c r="D577" s="43">
        <v>432170</v>
      </c>
      <c r="E577" s="44" t="s">
        <v>794</v>
      </c>
      <c r="F577" s="43">
        <v>847020</v>
      </c>
      <c r="G577" s="44" t="s">
        <v>170</v>
      </c>
      <c r="H577" s="44" t="s">
        <v>28</v>
      </c>
      <c r="I577" s="45" t="s">
        <v>29</v>
      </c>
      <c r="J577" s="45" t="s">
        <v>797</v>
      </c>
      <c r="K577" s="46" t="s">
        <v>1083</v>
      </c>
      <c r="L577" s="47" t="s">
        <v>1379</v>
      </c>
    </row>
    <row r="578" spans="1:12" ht="14.5" x14ac:dyDescent="0.35">
      <c r="A578" s="47" t="s">
        <v>1358</v>
      </c>
      <c r="B578" s="43">
        <v>8470530</v>
      </c>
      <c r="C578" s="44" t="s">
        <v>165</v>
      </c>
      <c r="D578" s="43">
        <v>432170</v>
      </c>
      <c r="E578" s="44" t="s">
        <v>794</v>
      </c>
      <c r="F578" s="43">
        <v>847030</v>
      </c>
      <c r="G578" s="44" t="s">
        <v>173</v>
      </c>
      <c r="H578" s="44" t="s">
        <v>25</v>
      </c>
      <c r="I578" s="45" t="s">
        <v>26</v>
      </c>
      <c r="J578" s="45" t="s">
        <v>798</v>
      </c>
      <c r="K578" s="46" t="s">
        <v>1083</v>
      </c>
      <c r="L578" s="47" t="s">
        <v>1379</v>
      </c>
    </row>
    <row r="579" spans="1:12" ht="14.5" x14ac:dyDescent="0.35">
      <c r="A579" s="47" t="s">
        <v>1358</v>
      </c>
      <c r="B579" s="43">
        <v>8470530</v>
      </c>
      <c r="C579" s="44" t="s">
        <v>165</v>
      </c>
      <c r="D579" s="43">
        <v>432170</v>
      </c>
      <c r="E579" s="44" t="s">
        <v>794</v>
      </c>
      <c r="F579" s="43">
        <v>847030</v>
      </c>
      <c r="G579" s="44" t="s">
        <v>173</v>
      </c>
      <c r="H579" s="44" t="s">
        <v>28</v>
      </c>
      <c r="I579" s="45" t="s">
        <v>29</v>
      </c>
      <c r="J579" s="45" t="s">
        <v>799</v>
      </c>
      <c r="K579" s="46" t="s">
        <v>1083</v>
      </c>
      <c r="L579" s="47" t="s">
        <v>1379</v>
      </c>
    </row>
    <row r="580" spans="1:12" ht="14.5" x14ac:dyDescent="0.35">
      <c r="A580" s="47" t="s">
        <v>1365</v>
      </c>
      <c r="B580" s="43">
        <v>8471280</v>
      </c>
      <c r="C580" s="44" t="s">
        <v>355</v>
      </c>
      <c r="D580" s="43">
        <v>432170</v>
      </c>
      <c r="E580" s="44" t="s">
        <v>794</v>
      </c>
      <c r="F580" s="43">
        <v>847001</v>
      </c>
      <c r="G580" s="44" t="s">
        <v>24</v>
      </c>
      <c r="H580" s="44" t="s">
        <v>25</v>
      </c>
      <c r="I580" s="45" t="s">
        <v>26</v>
      </c>
      <c r="J580" s="45" t="s">
        <v>800</v>
      </c>
      <c r="K580" s="46" t="s">
        <v>1083</v>
      </c>
      <c r="L580" s="47" t="s">
        <v>1379</v>
      </c>
    </row>
    <row r="581" spans="1:12" ht="14.5" x14ac:dyDescent="0.35">
      <c r="A581" s="47" t="s">
        <v>1367</v>
      </c>
      <c r="B581" s="43">
        <v>8470730</v>
      </c>
      <c r="C581" s="44" t="s">
        <v>223</v>
      </c>
      <c r="D581" s="43">
        <v>432205</v>
      </c>
      <c r="E581" s="44" t="s">
        <v>92</v>
      </c>
      <c r="F581" s="43">
        <v>847001</v>
      </c>
      <c r="G581" s="44" t="s">
        <v>24</v>
      </c>
      <c r="H581" s="44" t="s">
        <v>25</v>
      </c>
      <c r="I581" s="45" t="s">
        <v>26</v>
      </c>
      <c r="J581" s="45" t="s">
        <v>801</v>
      </c>
      <c r="K581" s="46" t="s">
        <v>574</v>
      </c>
      <c r="L581" s="47" t="s">
        <v>1389</v>
      </c>
    </row>
    <row r="582" spans="1:12" ht="14.5" x14ac:dyDescent="0.35">
      <c r="A582" s="47" t="s">
        <v>1364</v>
      </c>
      <c r="B582" s="43">
        <v>8470810</v>
      </c>
      <c r="C582" s="44" t="s">
        <v>200</v>
      </c>
      <c r="D582" s="43">
        <v>432205</v>
      </c>
      <c r="E582" s="44" t="s">
        <v>92</v>
      </c>
      <c r="F582" s="43">
        <v>847001</v>
      </c>
      <c r="G582" s="44" t="s">
        <v>24</v>
      </c>
      <c r="H582" s="44" t="s">
        <v>25</v>
      </c>
      <c r="I582" s="45" t="s">
        <v>26</v>
      </c>
      <c r="J582" s="45" t="s">
        <v>802</v>
      </c>
      <c r="K582" s="46" t="s">
        <v>574</v>
      </c>
      <c r="L582" s="47" t="s">
        <v>1389</v>
      </c>
    </row>
    <row r="583" spans="1:12" ht="14.5" x14ac:dyDescent="0.35">
      <c r="A583" s="47" t="s">
        <v>1364</v>
      </c>
      <c r="B583" s="43">
        <v>8470810</v>
      </c>
      <c r="C583" s="44" t="s">
        <v>200</v>
      </c>
      <c r="D583" s="43">
        <v>432205</v>
      </c>
      <c r="E583" s="44" t="s">
        <v>92</v>
      </c>
      <c r="F583" s="43">
        <v>847001</v>
      </c>
      <c r="G583" s="44" t="s">
        <v>24</v>
      </c>
      <c r="H583" s="44" t="s">
        <v>28</v>
      </c>
      <c r="I583" s="45" t="s">
        <v>29</v>
      </c>
      <c r="J583" s="45" t="s">
        <v>803</v>
      </c>
      <c r="K583" s="46" t="s">
        <v>574</v>
      </c>
      <c r="L583" s="47" t="s">
        <v>1389</v>
      </c>
    </row>
    <row r="584" spans="1:12" ht="14.5" x14ac:dyDescent="0.35">
      <c r="A584" s="47" t="s">
        <v>1371</v>
      </c>
      <c r="B584" s="43">
        <v>8471305</v>
      </c>
      <c r="C584" s="44" t="s">
        <v>32</v>
      </c>
      <c r="D584" s="43">
        <v>432205</v>
      </c>
      <c r="E584" s="44" t="s">
        <v>92</v>
      </c>
      <c r="F584" s="43">
        <v>847001</v>
      </c>
      <c r="G584" s="44" t="s">
        <v>24</v>
      </c>
      <c r="H584" s="44" t="s">
        <v>25</v>
      </c>
      <c r="I584" s="45" t="s">
        <v>26</v>
      </c>
      <c r="J584" s="45" t="s">
        <v>93</v>
      </c>
      <c r="K584" s="46" t="s">
        <v>574</v>
      </c>
      <c r="L584" s="47" t="s">
        <v>1389</v>
      </c>
    </row>
    <row r="585" spans="1:12" ht="14.5" x14ac:dyDescent="0.35">
      <c r="A585" s="47" t="s">
        <v>1363</v>
      </c>
      <c r="B585" s="43">
        <v>8470305</v>
      </c>
      <c r="C585" s="44" t="s">
        <v>193</v>
      </c>
      <c r="D585" s="43">
        <v>432209</v>
      </c>
      <c r="E585" s="44" t="s">
        <v>94</v>
      </c>
      <c r="F585" s="43">
        <v>847001</v>
      </c>
      <c r="G585" s="44" t="s">
        <v>24</v>
      </c>
      <c r="H585" s="44" t="s">
        <v>25</v>
      </c>
      <c r="I585" s="45" t="s">
        <v>26</v>
      </c>
      <c r="J585" s="45" t="s">
        <v>804</v>
      </c>
      <c r="K585" s="46" t="s">
        <v>31</v>
      </c>
      <c r="L585" s="47" t="s">
        <v>1379</v>
      </c>
    </row>
    <row r="586" spans="1:12" ht="14.5" x14ac:dyDescent="0.35">
      <c r="A586" s="47" t="s">
        <v>1363</v>
      </c>
      <c r="B586" s="43">
        <v>8470305</v>
      </c>
      <c r="C586" s="44" t="s">
        <v>193</v>
      </c>
      <c r="D586" s="43">
        <v>432209</v>
      </c>
      <c r="E586" s="44" t="s">
        <v>94</v>
      </c>
      <c r="F586" s="43">
        <v>847001</v>
      </c>
      <c r="G586" s="44" t="s">
        <v>24</v>
      </c>
      <c r="H586" s="44" t="s">
        <v>28</v>
      </c>
      <c r="I586" s="45" t="s">
        <v>29</v>
      </c>
      <c r="J586" s="45" t="s">
        <v>805</v>
      </c>
      <c r="K586" s="46" t="s">
        <v>31</v>
      </c>
      <c r="L586" s="47" t="s">
        <v>1379</v>
      </c>
    </row>
    <row r="587" spans="1:12" ht="14.5" x14ac:dyDescent="0.35">
      <c r="A587" s="47" t="s">
        <v>1363</v>
      </c>
      <c r="B587" s="43">
        <v>8470315</v>
      </c>
      <c r="C587" s="44" t="s">
        <v>311</v>
      </c>
      <c r="D587" s="43">
        <v>432209</v>
      </c>
      <c r="E587" s="44" t="s">
        <v>94</v>
      </c>
      <c r="F587" s="43">
        <v>847001</v>
      </c>
      <c r="G587" s="44" t="s">
        <v>24</v>
      </c>
      <c r="H587" s="44" t="s">
        <v>25</v>
      </c>
      <c r="I587" s="45" t="s">
        <v>26</v>
      </c>
      <c r="J587" s="45" t="s">
        <v>806</v>
      </c>
      <c r="K587" s="46" t="s">
        <v>31</v>
      </c>
      <c r="L587" s="47" t="s">
        <v>1379</v>
      </c>
    </row>
    <row r="588" spans="1:12" ht="14.5" x14ac:dyDescent="0.35">
      <c r="A588" s="47" t="s">
        <v>1363</v>
      </c>
      <c r="B588" s="43">
        <v>8470350</v>
      </c>
      <c r="C588" s="44" t="s">
        <v>191</v>
      </c>
      <c r="D588" s="43">
        <v>432209</v>
      </c>
      <c r="E588" s="44" t="s">
        <v>94</v>
      </c>
      <c r="F588" s="43">
        <v>847001</v>
      </c>
      <c r="G588" s="44" t="s">
        <v>24</v>
      </c>
      <c r="H588" s="44" t="s">
        <v>25</v>
      </c>
      <c r="I588" s="45" t="s">
        <v>26</v>
      </c>
      <c r="J588" s="45" t="s">
        <v>807</v>
      </c>
      <c r="K588" s="46" t="s">
        <v>31</v>
      </c>
      <c r="L588" s="47" t="s">
        <v>1379</v>
      </c>
    </row>
    <row r="589" spans="1:12" ht="14.5" x14ac:dyDescent="0.35">
      <c r="A589" s="47" t="s">
        <v>1363</v>
      </c>
      <c r="B589" s="43">
        <v>8470350</v>
      </c>
      <c r="C589" s="44" t="s">
        <v>191</v>
      </c>
      <c r="D589" s="43">
        <v>432209</v>
      </c>
      <c r="E589" s="44" t="s">
        <v>94</v>
      </c>
      <c r="F589" s="43">
        <v>847001</v>
      </c>
      <c r="G589" s="44" t="s">
        <v>24</v>
      </c>
      <c r="H589" s="44" t="s">
        <v>28</v>
      </c>
      <c r="I589" s="45" t="s">
        <v>29</v>
      </c>
      <c r="J589" s="45" t="s">
        <v>808</v>
      </c>
      <c r="K589" s="46" t="s">
        <v>31</v>
      </c>
      <c r="L589" s="47" t="s">
        <v>1379</v>
      </c>
    </row>
    <row r="590" spans="1:12" ht="14.5" x14ac:dyDescent="0.35">
      <c r="A590" s="47" t="s">
        <v>1357</v>
      </c>
      <c r="B590" s="43">
        <v>8470405</v>
      </c>
      <c r="C590" s="44" t="s">
        <v>270</v>
      </c>
      <c r="D590" s="43">
        <v>432209</v>
      </c>
      <c r="E590" s="44" t="s">
        <v>94</v>
      </c>
      <c r="F590" s="43">
        <v>847001</v>
      </c>
      <c r="G590" s="44" t="s">
        <v>24</v>
      </c>
      <c r="H590" s="44" t="s">
        <v>25</v>
      </c>
      <c r="I590" s="45" t="s">
        <v>26</v>
      </c>
      <c r="J590" s="45" t="s">
        <v>809</v>
      </c>
      <c r="K590" s="46" t="s">
        <v>31</v>
      </c>
      <c r="L590" s="47" t="s">
        <v>1379</v>
      </c>
    </row>
    <row r="591" spans="1:12" ht="14.5" x14ac:dyDescent="0.35">
      <c r="A591" s="47" t="s">
        <v>1357</v>
      </c>
      <c r="B591" s="43">
        <v>8470405</v>
      </c>
      <c r="C591" s="44" t="s">
        <v>270</v>
      </c>
      <c r="D591" s="43">
        <v>432209</v>
      </c>
      <c r="E591" s="44" t="s">
        <v>94</v>
      </c>
      <c r="F591" s="43">
        <v>847001</v>
      </c>
      <c r="G591" s="44" t="s">
        <v>24</v>
      </c>
      <c r="H591" s="44" t="s">
        <v>28</v>
      </c>
      <c r="I591" s="45" t="s">
        <v>29</v>
      </c>
      <c r="J591" s="45" t="s">
        <v>810</v>
      </c>
      <c r="K591" s="46" t="s">
        <v>31</v>
      </c>
      <c r="L591" s="47" t="s">
        <v>1379</v>
      </c>
    </row>
    <row r="592" spans="1:12" ht="14.5" x14ac:dyDescent="0.35">
      <c r="A592" s="47" t="s">
        <v>1357</v>
      </c>
      <c r="B592" s="43">
        <v>8470415</v>
      </c>
      <c r="C592" s="44" t="s">
        <v>362</v>
      </c>
      <c r="D592" s="43">
        <v>432209</v>
      </c>
      <c r="E592" s="44" t="s">
        <v>94</v>
      </c>
      <c r="F592" s="43">
        <v>847001</v>
      </c>
      <c r="G592" s="44" t="s">
        <v>24</v>
      </c>
      <c r="H592" s="44" t="s">
        <v>25</v>
      </c>
      <c r="I592" s="45" t="s">
        <v>26</v>
      </c>
      <c r="J592" s="45" t="s">
        <v>811</v>
      </c>
      <c r="K592" s="46" t="s">
        <v>31</v>
      </c>
      <c r="L592" s="47" t="s">
        <v>1379</v>
      </c>
    </row>
    <row r="593" spans="1:12" ht="14.5" x14ac:dyDescent="0.35">
      <c r="A593" s="47" t="s">
        <v>1357</v>
      </c>
      <c r="B593" s="43">
        <v>8470450</v>
      </c>
      <c r="C593" s="44" t="s">
        <v>275</v>
      </c>
      <c r="D593" s="43">
        <v>432209</v>
      </c>
      <c r="E593" s="44" t="s">
        <v>94</v>
      </c>
      <c r="F593" s="43">
        <v>847001</v>
      </c>
      <c r="G593" s="44" t="s">
        <v>24</v>
      </c>
      <c r="H593" s="44" t="s">
        <v>25</v>
      </c>
      <c r="I593" s="45" t="s">
        <v>26</v>
      </c>
      <c r="J593" s="45" t="s">
        <v>812</v>
      </c>
      <c r="K593" s="46" t="s">
        <v>31</v>
      </c>
      <c r="L593" s="47" t="s">
        <v>1379</v>
      </c>
    </row>
    <row r="594" spans="1:12" ht="14.5" x14ac:dyDescent="0.35">
      <c r="A594" s="47" t="s">
        <v>1357</v>
      </c>
      <c r="B594" s="43">
        <v>8470450</v>
      </c>
      <c r="C594" s="44" t="s">
        <v>275</v>
      </c>
      <c r="D594" s="43">
        <v>432209</v>
      </c>
      <c r="E594" s="44" t="s">
        <v>94</v>
      </c>
      <c r="F594" s="43">
        <v>847001</v>
      </c>
      <c r="G594" s="44" t="s">
        <v>24</v>
      </c>
      <c r="H594" s="44" t="s">
        <v>28</v>
      </c>
      <c r="I594" s="45" t="s">
        <v>29</v>
      </c>
      <c r="J594" s="45" t="s">
        <v>813</v>
      </c>
      <c r="K594" s="46" t="s">
        <v>31</v>
      </c>
      <c r="L594" s="47" t="s">
        <v>1379</v>
      </c>
    </row>
    <row r="595" spans="1:12" ht="14.5" x14ac:dyDescent="0.35">
      <c r="A595" s="47" t="s">
        <v>1368</v>
      </c>
      <c r="B595" s="43">
        <v>8471160</v>
      </c>
      <c r="C595" s="44" t="s">
        <v>281</v>
      </c>
      <c r="D595" s="43">
        <v>432209</v>
      </c>
      <c r="E595" s="44" t="s">
        <v>94</v>
      </c>
      <c r="F595" s="43">
        <v>847001</v>
      </c>
      <c r="G595" s="44" t="s">
        <v>24</v>
      </c>
      <c r="H595" s="44" t="s">
        <v>25</v>
      </c>
      <c r="I595" s="45" t="s">
        <v>26</v>
      </c>
      <c r="J595" s="45" t="s">
        <v>814</v>
      </c>
      <c r="K595" s="46" t="s">
        <v>31</v>
      </c>
      <c r="L595" s="47" t="s">
        <v>1379</v>
      </c>
    </row>
    <row r="596" spans="1:12" ht="14.5" x14ac:dyDescent="0.35">
      <c r="A596" s="47" t="s">
        <v>1368</v>
      </c>
      <c r="B596" s="43">
        <v>8471160</v>
      </c>
      <c r="C596" s="44" t="s">
        <v>281</v>
      </c>
      <c r="D596" s="43">
        <v>432209</v>
      </c>
      <c r="E596" s="44" t="s">
        <v>94</v>
      </c>
      <c r="F596" s="43">
        <v>847001</v>
      </c>
      <c r="G596" s="44" t="s">
        <v>24</v>
      </c>
      <c r="H596" s="44" t="s">
        <v>28</v>
      </c>
      <c r="I596" s="45" t="s">
        <v>29</v>
      </c>
      <c r="J596" s="45" t="s">
        <v>815</v>
      </c>
      <c r="K596" s="46" t="s">
        <v>31</v>
      </c>
      <c r="L596" s="47" t="s">
        <v>1379</v>
      </c>
    </row>
    <row r="597" spans="1:12" ht="14.5" x14ac:dyDescent="0.35">
      <c r="A597" s="47" t="s">
        <v>1371</v>
      </c>
      <c r="B597" s="43">
        <v>8471305</v>
      </c>
      <c r="C597" s="44" t="s">
        <v>32</v>
      </c>
      <c r="D597" s="43">
        <v>432209</v>
      </c>
      <c r="E597" s="44" t="s">
        <v>94</v>
      </c>
      <c r="F597" s="43">
        <v>847001</v>
      </c>
      <c r="G597" s="44" t="s">
        <v>24</v>
      </c>
      <c r="H597" s="44" t="s">
        <v>25</v>
      </c>
      <c r="I597" s="45" t="s">
        <v>26</v>
      </c>
      <c r="J597" s="45" t="s">
        <v>95</v>
      </c>
      <c r="K597" s="46" t="s">
        <v>31</v>
      </c>
      <c r="L597" s="47" t="s">
        <v>1379</v>
      </c>
    </row>
    <row r="598" spans="1:12" ht="14.5" x14ac:dyDescent="0.35">
      <c r="A598" s="47" t="s">
        <v>1358</v>
      </c>
      <c r="B598" s="43">
        <v>8470530</v>
      </c>
      <c r="C598" s="44" t="s">
        <v>165</v>
      </c>
      <c r="D598" s="43">
        <v>432320</v>
      </c>
      <c r="E598" s="44" t="s">
        <v>816</v>
      </c>
      <c r="F598" s="43">
        <v>847010</v>
      </c>
      <c r="G598" s="44" t="s">
        <v>167</v>
      </c>
      <c r="H598" s="44" t="s">
        <v>25</v>
      </c>
      <c r="I598" s="45" t="s">
        <v>26</v>
      </c>
      <c r="J598" s="45" t="s">
        <v>817</v>
      </c>
      <c r="K598" s="46" t="s">
        <v>571</v>
      </c>
      <c r="L598" s="47" t="s">
        <v>1379</v>
      </c>
    </row>
    <row r="599" spans="1:12" ht="14.5" x14ac:dyDescent="0.35">
      <c r="A599" s="47" t="s">
        <v>1358</v>
      </c>
      <c r="B599" s="43">
        <v>8470530</v>
      </c>
      <c r="C599" s="44" t="s">
        <v>165</v>
      </c>
      <c r="D599" s="43">
        <v>432540</v>
      </c>
      <c r="E599" s="44" t="s">
        <v>818</v>
      </c>
      <c r="F599" s="43">
        <v>847010</v>
      </c>
      <c r="G599" s="44" t="s">
        <v>167</v>
      </c>
      <c r="H599" s="44" t="s">
        <v>25</v>
      </c>
      <c r="I599" s="45" t="s">
        <v>26</v>
      </c>
      <c r="J599" s="45" t="s">
        <v>819</v>
      </c>
      <c r="K599" s="46" t="s">
        <v>571</v>
      </c>
      <c r="L599" s="47" t="s">
        <v>1379</v>
      </c>
    </row>
    <row r="600" spans="1:12" ht="14.5" x14ac:dyDescent="0.35">
      <c r="A600" s="47" t="s">
        <v>1358</v>
      </c>
      <c r="B600" s="43">
        <v>8470530</v>
      </c>
      <c r="C600" s="44" t="s">
        <v>165</v>
      </c>
      <c r="D600" s="43">
        <v>432540</v>
      </c>
      <c r="E600" s="44" t="s">
        <v>818</v>
      </c>
      <c r="F600" s="43">
        <v>847010</v>
      </c>
      <c r="G600" s="44" t="s">
        <v>167</v>
      </c>
      <c r="H600" s="44" t="s">
        <v>28</v>
      </c>
      <c r="I600" s="45" t="s">
        <v>29</v>
      </c>
      <c r="J600" s="45" t="s">
        <v>820</v>
      </c>
      <c r="K600" s="46" t="s">
        <v>571</v>
      </c>
      <c r="L600" s="47" t="s">
        <v>1379</v>
      </c>
    </row>
    <row r="601" spans="1:12" ht="14.5" x14ac:dyDescent="0.35">
      <c r="A601" s="47" t="s">
        <v>1358</v>
      </c>
      <c r="B601" s="43">
        <v>8470530</v>
      </c>
      <c r="C601" s="44" t="s">
        <v>165</v>
      </c>
      <c r="D601" s="43">
        <v>432540</v>
      </c>
      <c r="E601" s="44" t="s">
        <v>818</v>
      </c>
      <c r="F601" s="43">
        <v>847020</v>
      </c>
      <c r="G601" s="44" t="s">
        <v>170</v>
      </c>
      <c r="H601" s="44" t="s">
        <v>25</v>
      </c>
      <c r="I601" s="45" t="s">
        <v>26</v>
      </c>
      <c r="J601" s="45" t="s">
        <v>821</v>
      </c>
      <c r="K601" s="46" t="s">
        <v>571</v>
      </c>
      <c r="L601" s="47" t="s">
        <v>1379</v>
      </c>
    </row>
    <row r="602" spans="1:12" ht="14.5" x14ac:dyDescent="0.35">
      <c r="A602" s="47" t="s">
        <v>1358</v>
      </c>
      <c r="B602" s="43">
        <v>8470530</v>
      </c>
      <c r="C602" s="44" t="s">
        <v>165</v>
      </c>
      <c r="D602" s="43">
        <v>432540</v>
      </c>
      <c r="E602" s="44" t="s">
        <v>818</v>
      </c>
      <c r="F602" s="43">
        <v>847020</v>
      </c>
      <c r="G602" s="44" t="s">
        <v>170</v>
      </c>
      <c r="H602" s="44" t="s">
        <v>28</v>
      </c>
      <c r="I602" s="45" t="s">
        <v>29</v>
      </c>
      <c r="J602" s="45" t="s">
        <v>822</v>
      </c>
      <c r="K602" s="46" t="s">
        <v>571</v>
      </c>
      <c r="L602" s="47" t="s">
        <v>1379</v>
      </c>
    </row>
    <row r="603" spans="1:12" ht="14.5" x14ac:dyDescent="0.35">
      <c r="A603" s="47" t="s">
        <v>1363</v>
      </c>
      <c r="B603" s="43">
        <v>8470305</v>
      </c>
      <c r="C603" s="44" t="s">
        <v>193</v>
      </c>
      <c r="D603" s="43">
        <v>432690</v>
      </c>
      <c r="E603" s="44" t="s">
        <v>823</v>
      </c>
      <c r="F603" s="43">
        <v>847001</v>
      </c>
      <c r="G603" s="44" t="s">
        <v>24</v>
      </c>
      <c r="H603" s="44" t="s">
        <v>25</v>
      </c>
      <c r="I603" s="45" t="s">
        <v>26</v>
      </c>
      <c r="J603" s="45" t="s">
        <v>824</v>
      </c>
      <c r="K603" s="46">
        <v>0</v>
      </c>
      <c r="L603" s="47" t="s">
        <v>1379</v>
      </c>
    </row>
    <row r="604" spans="1:12" ht="14.5" x14ac:dyDescent="0.35">
      <c r="A604" s="47" t="s">
        <v>1363</v>
      </c>
      <c r="B604" s="43">
        <v>8470305</v>
      </c>
      <c r="C604" s="44" t="s">
        <v>193</v>
      </c>
      <c r="D604" s="43">
        <v>432690</v>
      </c>
      <c r="E604" s="44" t="s">
        <v>823</v>
      </c>
      <c r="F604" s="43">
        <v>847001</v>
      </c>
      <c r="G604" s="44" t="s">
        <v>24</v>
      </c>
      <c r="H604" s="44" t="s">
        <v>28</v>
      </c>
      <c r="I604" s="45" t="s">
        <v>29</v>
      </c>
      <c r="J604" s="45" t="s">
        <v>825</v>
      </c>
      <c r="K604" s="46">
        <v>0</v>
      </c>
      <c r="L604" s="47" t="s">
        <v>1379</v>
      </c>
    </row>
    <row r="605" spans="1:12" ht="14.5" x14ac:dyDescent="0.35">
      <c r="A605" s="47" t="s">
        <v>1358</v>
      </c>
      <c r="B605" s="43">
        <v>8470530</v>
      </c>
      <c r="C605" s="44" t="s">
        <v>165</v>
      </c>
      <c r="D605" s="43">
        <v>432690</v>
      </c>
      <c r="E605" s="44" t="s">
        <v>823</v>
      </c>
      <c r="F605" s="43">
        <v>847010</v>
      </c>
      <c r="G605" s="44" t="s">
        <v>167</v>
      </c>
      <c r="H605" s="44" t="s">
        <v>28</v>
      </c>
      <c r="I605" s="45" t="s">
        <v>29</v>
      </c>
      <c r="J605" s="45" t="s">
        <v>826</v>
      </c>
      <c r="K605" s="46">
        <v>0</v>
      </c>
      <c r="L605" s="47" t="s">
        <v>1379</v>
      </c>
    </row>
    <row r="606" spans="1:12" ht="14.5" x14ac:dyDescent="0.35">
      <c r="A606" s="47" t="s">
        <v>1359</v>
      </c>
      <c r="B606" s="43">
        <v>8470110</v>
      </c>
      <c r="C606" s="44" t="s">
        <v>180</v>
      </c>
      <c r="D606" s="43">
        <v>435310</v>
      </c>
      <c r="E606" s="44" t="s">
        <v>96</v>
      </c>
      <c r="F606" s="43">
        <v>847001</v>
      </c>
      <c r="G606" s="44" t="s">
        <v>24</v>
      </c>
      <c r="H606" s="44" t="s">
        <v>25</v>
      </c>
      <c r="I606" s="45" t="s">
        <v>26</v>
      </c>
      <c r="J606" s="45" t="s">
        <v>827</v>
      </c>
      <c r="K606" s="46" t="s">
        <v>27</v>
      </c>
      <c r="L606" s="47" t="s">
        <v>1390</v>
      </c>
    </row>
    <row r="607" spans="1:12" ht="14.5" x14ac:dyDescent="0.35">
      <c r="A607" s="47" t="s">
        <v>1359</v>
      </c>
      <c r="B607" s="43">
        <v>8470110</v>
      </c>
      <c r="C607" s="44" t="s">
        <v>180</v>
      </c>
      <c r="D607" s="43">
        <v>435310</v>
      </c>
      <c r="E607" s="44" t="s">
        <v>96</v>
      </c>
      <c r="F607" s="43">
        <v>847001</v>
      </c>
      <c r="G607" s="44" t="s">
        <v>24</v>
      </c>
      <c r="H607" s="44" t="s">
        <v>28</v>
      </c>
      <c r="I607" s="45" t="s">
        <v>29</v>
      </c>
      <c r="J607" s="45" t="s">
        <v>828</v>
      </c>
      <c r="K607" s="46" t="s">
        <v>27</v>
      </c>
      <c r="L607" s="47" t="s">
        <v>1390</v>
      </c>
    </row>
    <row r="608" spans="1:12" ht="14.5" x14ac:dyDescent="0.35">
      <c r="A608" s="47" t="s">
        <v>1359</v>
      </c>
      <c r="B608" s="43">
        <v>8470140</v>
      </c>
      <c r="C608" s="44" t="s">
        <v>231</v>
      </c>
      <c r="D608" s="43">
        <v>435310</v>
      </c>
      <c r="E608" s="44" t="s">
        <v>96</v>
      </c>
      <c r="F608" s="43">
        <v>847001</v>
      </c>
      <c r="G608" s="44" t="s">
        <v>24</v>
      </c>
      <c r="H608" s="44" t="s">
        <v>25</v>
      </c>
      <c r="I608" s="45" t="s">
        <v>26</v>
      </c>
      <c r="J608" s="45" t="s">
        <v>829</v>
      </c>
      <c r="K608" s="46" t="s">
        <v>27</v>
      </c>
      <c r="L608" s="47" t="s">
        <v>1390</v>
      </c>
    </row>
    <row r="609" spans="1:12" ht="14.5" x14ac:dyDescent="0.35">
      <c r="A609" s="47" t="s">
        <v>1359</v>
      </c>
      <c r="B609" s="43">
        <v>8470140</v>
      </c>
      <c r="C609" s="44" t="s">
        <v>231</v>
      </c>
      <c r="D609" s="43">
        <v>435310</v>
      </c>
      <c r="E609" s="44" t="s">
        <v>96</v>
      </c>
      <c r="F609" s="43">
        <v>847001</v>
      </c>
      <c r="G609" s="44" t="s">
        <v>24</v>
      </c>
      <c r="H609" s="44" t="s">
        <v>28</v>
      </c>
      <c r="I609" s="45" t="s">
        <v>29</v>
      </c>
      <c r="J609" s="45" t="s">
        <v>830</v>
      </c>
      <c r="K609" s="46" t="s">
        <v>27</v>
      </c>
      <c r="L609" s="47" t="s">
        <v>1390</v>
      </c>
    </row>
    <row r="610" spans="1:12" ht="14.5" x14ac:dyDescent="0.35">
      <c r="A610" s="47" t="s">
        <v>1358</v>
      </c>
      <c r="B610" s="43">
        <v>8470530</v>
      </c>
      <c r="C610" s="44" t="s">
        <v>165</v>
      </c>
      <c r="D610" s="43">
        <v>435310</v>
      </c>
      <c r="E610" s="44" t="s">
        <v>96</v>
      </c>
      <c r="F610" s="43">
        <v>847010</v>
      </c>
      <c r="G610" s="44" t="s">
        <v>167</v>
      </c>
      <c r="H610" s="44" t="s">
        <v>28</v>
      </c>
      <c r="I610" s="45" t="s">
        <v>29</v>
      </c>
      <c r="J610" s="45" t="s">
        <v>831</v>
      </c>
      <c r="K610" s="46" t="s">
        <v>27</v>
      </c>
      <c r="L610" s="47" t="s">
        <v>1390</v>
      </c>
    </row>
    <row r="611" spans="1:12" ht="14.5" x14ac:dyDescent="0.35">
      <c r="A611" s="47" t="s">
        <v>1358</v>
      </c>
      <c r="B611" s="43">
        <v>8470530</v>
      </c>
      <c r="C611" s="44" t="s">
        <v>165</v>
      </c>
      <c r="D611" s="43">
        <v>435310</v>
      </c>
      <c r="E611" s="44" t="s">
        <v>96</v>
      </c>
      <c r="F611" s="43">
        <v>847020</v>
      </c>
      <c r="G611" s="44" t="s">
        <v>170</v>
      </c>
      <c r="H611" s="44" t="s">
        <v>28</v>
      </c>
      <c r="I611" s="45" t="s">
        <v>29</v>
      </c>
      <c r="J611" s="45" t="s">
        <v>832</v>
      </c>
      <c r="K611" s="46" t="s">
        <v>27</v>
      </c>
      <c r="L611" s="47" t="s">
        <v>1390</v>
      </c>
    </row>
    <row r="612" spans="1:12" ht="14.5" x14ac:dyDescent="0.35">
      <c r="A612" s="47" t="s">
        <v>1358</v>
      </c>
      <c r="B612" s="43">
        <v>8470530</v>
      </c>
      <c r="C612" s="44" t="s">
        <v>165</v>
      </c>
      <c r="D612" s="43">
        <v>435310</v>
      </c>
      <c r="E612" s="44" t="s">
        <v>96</v>
      </c>
      <c r="F612" s="43">
        <v>847030</v>
      </c>
      <c r="G612" s="44" t="s">
        <v>173</v>
      </c>
      <c r="H612" s="44" t="s">
        <v>28</v>
      </c>
      <c r="I612" s="45" t="s">
        <v>29</v>
      </c>
      <c r="J612" s="45" t="s">
        <v>833</v>
      </c>
      <c r="K612" s="46" t="s">
        <v>27</v>
      </c>
      <c r="L612" s="47" t="s">
        <v>1390</v>
      </c>
    </row>
    <row r="613" spans="1:12" ht="14.5" x14ac:dyDescent="0.35">
      <c r="A613" s="47" t="s">
        <v>1362</v>
      </c>
      <c r="B613" s="43">
        <v>8470620</v>
      </c>
      <c r="C613" s="44" t="s">
        <v>161</v>
      </c>
      <c r="D613" s="43">
        <v>435310</v>
      </c>
      <c r="E613" s="44" t="s">
        <v>96</v>
      </c>
      <c r="F613" s="43">
        <v>847001</v>
      </c>
      <c r="G613" s="44" t="s">
        <v>24</v>
      </c>
      <c r="H613" s="44" t="s">
        <v>28</v>
      </c>
      <c r="I613" s="45" t="s">
        <v>29</v>
      </c>
      <c r="J613" s="45" t="s">
        <v>834</v>
      </c>
      <c r="K613" s="46" t="s">
        <v>27</v>
      </c>
      <c r="L613" s="47" t="s">
        <v>1390</v>
      </c>
    </row>
    <row r="614" spans="1:12" ht="14.5" x14ac:dyDescent="0.35">
      <c r="A614" s="47" t="s">
        <v>1368</v>
      </c>
      <c r="B614" s="43">
        <v>8471110</v>
      </c>
      <c r="C614" s="44" t="s">
        <v>227</v>
      </c>
      <c r="D614" s="43">
        <v>435310</v>
      </c>
      <c r="E614" s="44" t="s">
        <v>96</v>
      </c>
      <c r="F614" s="43">
        <v>847001</v>
      </c>
      <c r="G614" s="44" t="s">
        <v>24</v>
      </c>
      <c r="H614" s="44" t="s">
        <v>28</v>
      </c>
      <c r="I614" s="45" t="s">
        <v>29</v>
      </c>
      <c r="J614" s="45" t="s">
        <v>835</v>
      </c>
      <c r="K614" s="46" t="s">
        <v>27</v>
      </c>
      <c r="L614" s="47" t="s">
        <v>1390</v>
      </c>
    </row>
    <row r="615" spans="1:12" ht="14.5" x14ac:dyDescent="0.35">
      <c r="A615" s="47" t="s">
        <v>1368</v>
      </c>
      <c r="B615" s="43">
        <v>8471150</v>
      </c>
      <c r="C615" s="44" t="s">
        <v>212</v>
      </c>
      <c r="D615" s="43">
        <v>435310</v>
      </c>
      <c r="E615" s="44" t="s">
        <v>96</v>
      </c>
      <c r="F615" s="43">
        <v>847001</v>
      </c>
      <c r="G615" s="44" t="s">
        <v>24</v>
      </c>
      <c r="H615" s="44" t="s">
        <v>25</v>
      </c>
      <c r="I615" s="45" t="s">
        <v>26</v>
      </c>
      <c r="J615" s="45" t="s">
        <v>836</v>
      </c>
      <c r="K615" s="46" t="s">
        <v>27</v>
      </c>
      <c r="L615" s="47" t="s">
        <v>1390</v>
      </c>
    </row>
    <row r="616" spans="1:12" ht="14.5" x14ac:dyDescent="0.35">
      <c r="A616" s="47" t="s">
        <v>1368</v>
      </c>
      <c r="B616" s="43">
        <v>8471150</v>
      </c>
      <c r="C616" s="44" t="s">
        <v>212</v>
      </c>
      <c r="D616" s="43">
        <v>435310</v>
      </c>
      <c r="E616" s="44" t="s">
        <v>96</v>
      </c>
      <c r="F616" s="43">
        <v>847001</v>
      </c>
      <c r="G616" s="44" t="s">
        <v>24</v>
      </c>
      <c r="H616" s="44" t="s">
        <v>28</v>
      </c>
      <c r="I616" s="45" t="s">
        <v>29</v>
      </c>
      <c r="J616" s="45" t="s">
        <v>837</v>
      </c>
      <c r="K616" s="46" t="s">
        <v>27</v>
      </c>
      <c r="L616" s="47" t="s">
        <v>1390</v>
      </c>
    </row>
    <row r="617" spans="1:12" ht="14.5" x14ac:dyDescent="0.35">
      <c r="A617" s="47" t="s">
        <v>1365</v>
      </c>
      <c r="B617" s="43">
        <v>8471270</v>
      </c>
      <c r="C617" s="44" t="s">
        <v>353</v>
      </c>
      <c r="D617" s="43">
        <v>435310</v>
      </c>
      <c r="E617" s="44" t="s">
        <v>96</v>
      </c>
      <c r="F617" s="43">
        <v>847001</v>
      </c>
      <c r="G617" s="44" t="s">
        <v>24</v>
      </c>
      <c r="H617" s="44" t="s">
        <v>25</v>
      </c>
      <c r="I617" s="45" t="s">
        <v>26</v>
      </c>
      <c r="J617" s="45" t="s">
        <v>838</v>
      </c>
      <c r="K617" s="46" t="s">
        <v>27</v>
      </c>
      <c r="L617" s="47" t="s">
        <v>1390</v>
      </c>
    </row>
    <row r="618" spans="1:12" ht="14.5" x14ac:dyDescent="0.35">
      <c r="A618" s="47" t="s">
        <v>1365</v>
      </c>
      <c r="B618" s="43">
        <v>8471270</v>
      </c>
      <c r="C618" s="44" t="s">
        <v>353</v>
      </c>
      <c r="D618" s="43">
        <v>435310</v>
      </c>
      <c r="E618" s="44" t="s">
        <v>96</v>
      </c>
      <c r="F618" s="43">
        <v>847001</v>
      </c>
      <c r="G618" s="44" t="s">
        <v>24</v>
      </c>
      <c r="H618" s="44" t="s">
        <v>28</v>
      </c>
      <c r="I618" s="45" t="s">
        <v>29</v>
      </c>
      <c r="J618" s="45" t="s">
        <v>839</v>
      </c>
      <c r="K618" s="46" t="s">
        <v>27</v>
      </c>
      <c r="L618" s="47" t="s">
        <v>1390</v>
      </c>
    </row>
    <row r="619" spans="1:12" ht="14.5" x14ac:dyDescent="0.35">
      <c r="A619" s="47" t="s">
        <v>1371</v>
      </c>
      <c r="B619" s="43">
        <v>8471305</v>
      </c>
      <c r="C619" s="44" t="s">
        <v>32</v>
      </c>
      <c r="D619" s="43">
        <v>435310</v>
      </c>
      <c r="E619" s="44" t="s">
        <v>96</v>
      </c>
      <c r="F619" s="43">
        <v>847001</v>
      </c>
      <c r="G619" s="44" t="s">
        <v>24</v>
      </c>
      <c r="H619" s="44" t="s">
        <v>25</v>
      </c>
      <c r="I619" s="45" t="s">
        <v>26</v>
      </c>
      <c r="J619" s="45" t="s">
        <v>97</v>
      </c>
      <c r="K619" s="46" t="s">
        <v>27</v>
      </c>
      <c r="L619" s="47" t="s">
        <v>1390</v>
      </c>
    </row>
    <row r="620" spans="1:12" ht="14.5" x14ac:dyDescent="0.35">
      <c r="A620" s="47" t="s">
        <v>1365</v>
      </c>
      <c r="B620" s="43">
        <v>8471270</v>
      </c>
      <c r="C620" s="44" t="s">
        <v>353</v>
      </c>
      <c r="D620" s="43">
        <v>435330</v>
      </c>
      <c r="E620" s="44" t="s">
        <v>98</v>
      </c>
      <c r="F620" s="43">
        <v>847001</v>
      </c>
      <c r="G620" s="44" t="s">
        <v>24</v>
      </c>
      <c r="H620" s="44" t="s">
        <v>25</v>
      </c>
      <c r="I620" s="45" t="s">
        <v>26</v>
      </c>
      <c r="J620" s="45" t="s">
        <v>840</v>
      </c>
      <c r="K620" s="46" t="s">
        <v>31</v>
      </c>
      <c r="L620" s="47" t="s">
        <v>1379</v>
      </c>
    </row>
    <row r="621" spans="1:12" ht="14.5" x14ac:dyDescent="0.35">
      <c r="A621" s="47" t="s">
        <v>1365</v>
      </c>
      <c r="B621" s="43">
        <v>8471270</v>
      </c>
      <c r="C621" s="44" t="s">
        <v>353</v>
      </c>
      <c r="D621" s="43">
        <v>435330</v>
      </c>
      <c r="E621" s="44" t="s">
        <v>98</v>
      </c>
      <c r="F621" s="43">
        <v>847001</v>
      </c>
      <c r="G621" s="44" t="s">
        <v>24</v>
      </c>
      <c r="H621" s="44" t="s">
        <v>28</v>
      </c>
      <c r="I621" s="45" t="s">
        <v>29</v>
      </c>
      <c r="J621" s="45" t="s">
        <v>841</v>
      </c>
      <c r="K621" s="46" t="s">
        <v>31</v>
      </c>
      <c r="L621" s="47" t="s">
        <v>1379</v>
      </c>
    </row>
    <row r="622" spans="1:12" ht="14.5" x14ac:dyDescent="0.35">
      <c r="A622" s="47" t="s">
        <v>1371</v>
      </c>
      <c r="B622" s="43">
        <v>8471305</v>
      </c>
      <c r="C622" s="44" t="s">
        <v>32</v>
      </c>
      <c r="D622" s="43">
        <v>435330</v>
      </c>
      <c r="E622" s="44" t="s">
        <v>98</v>
      </c>
      <c r="F622" s="43">
        <v>847001</v>
      </c>
      <c r="G622" s="44" t="s">
        <v>24</v>
      </c>
      <c r="H622" s="44" t="s">
        <v>25</v>
      </c>
      <c r="I622" s="45" t="s">
        <v>26</v>
      </c>
      <c r="J622" s="45" t="s">
        <v>99</v>
      </c>
      <c r="K622" s="46" t="s">
        <v>31</v>
      </c>
      <c r="L622" s="47" t="s">
        <v>1379</v>
      </c>
    </row>
    <row r="623" spans="1:12" ht="14.5" x14ac:dyDescent="0.35">
      <c r="A623" s="47" t="s">
        <v>1366</v>
      </c>
      <c r="B623" s="43">
        <v>8470230</v>
      </c>
      <c r="C623" s="44" t="s">
        <v>183</v>
      </c>
      <c r="D623" s="43">
        <v>435340</v>
      </c>
      <c r="E623" s="44" t="s">
        <v>100</v>
      </c>
      <c r="F623" s="43">
        <v>847001</v>
      </c>
      <c r="G623" s="44" t="s">
        <v>24</v>
      </c>
      <c r="H623" s="44" t="s">
        <v>28</v>
      </c>
      <c r="I623" s="45" t="s">
        <v>29</v>
      </c>
      <c r="J623" s="45" t="s">
        <v>842</v>
      </c>
      <c r="K623" s="46" t="s">
        <v>31</v>
      </c>
      <c r="L623" s="47" t="s">
        <v>1379</v>
      </c>
    </row>
    <row r="624" spans="1:12" ht="14.5" x14ac:dyDescent="0.35">
      <c r="A624" s="47" t="s">
        <v>1363</v>
      </c>
      <c r="B624" s="43">
        <v>8470305</v>
      </c>
      <c r="C624" s="44" t="s">
        <v>193</v>
      </c>
      <c r="D624" s="43">
        <v>435340</v>
      </c>
      <c r="E624" s="44" t="s">
        <v>100</v>
      </c>
      <c r="F624" s="43">
        <v>847001</v>
      </c>
      <c r="G624" s="44" t="s">
        <v>24</v>
      </c>
      <c r="H624" s="44" t="s">
        <v>28</v>
      </c>
      <c r="I624" s="45" t="s">
        <v>29</v>
      </c>
      <c r="J624" s="45" t="s">
        <v>843</v>
      </c>
      <c r="K624" s="46" t="s">
        <v>31</v>
      </c>
      <c r="L624" s="47" t="s">
        <v>1379</v>
      </c>
    </row>
    <row r="625" spans="1:12" ht="14.5" x14ac:dyDescent="0.35">
      <c r="A625" s="47" t="s">
        <v>1363</v>
      </c>
      <c r="B625" s="43">
        <v>8470330</v>
      </c>
      <c r="C625" s="44" t="s">
        <v>268</v>
      </c>
      <c r="D625" s="43">
        <v>435340</v>
      </c>
      <c r="E625" s="44" t="s">
        <v>100</v>
      </c>
      <c r="F625" s="43">
        <v>847001</v>
      </c>
      <c r="G625" s="44" t="s">
        <v>24</v>
      </c>
      <c r="H625" s="44" t="s">
        <v>25</v>
      </c>
      <c r="I625" s="45" t="s">
        <v>26</v>
      </c>
      <c r="J625" s="45" t="s">
        <v>844</v>
      </c>
      <c r="K625" s="46" t="s">
        <v>31</v>
      </c>
      <c r="L625" s="47" t="s">
        <v>1379</v>
      </c>
    </row>
    <row r="626" spans="1:12" ht="14.5" x14ac:dyDescent="0.35">
      <c r="A626" s="47" t="s">
        <v>1363</v>
      </c>
      <c r="B626" s="43">
        <v>8470350</v>
      </c>
      <c r="C626" s="44" t="s">
        <v>191</v>
      </c>
      <c r="D626" s="43">
        <v>435340</v>
      </c>
      <c r="E626" s="44" t="s">
        <v>100</v>
      </c>
      <c r="F626" s="43">
        <v>847001</v>
      </c>
      <c r="G626" s="44" t="s">
        <v>24</v>
      </c>
      <c r="H626" s="44" t="s">
        <v>28</v>
      </c>
      <c r="I626" s="45" t="s">
        <v>29</v>
      </c>
      <c r="J626" s="45" t="s">
        <v>845</v>
      </c>
      <c r="K626" s="46" t="s">
        <v>31</v>
      </c>
      <c r="L626" s="47" t="s">
        <v>1379</v>
      </c>
    </row>
    <row r="627" spans="1:12" ht="14.5" x14ac:dyDescent="0.35">
      <c r="A627" s="47" t="s">
        <v>1365</v>
      </c>
      <c r="B627" s="43">
        <v>8471220</v>
      </c>
      <c r="C627" s="44" t="s">
        <v>344</v>
      </c>
      <c r="D627" s="43">
        <v>435340</v>
      </c>
      <c r="E627" s="44" t="s">
        <v>100</v>
      </c>
      <c r="F627" s="43">
        <v>847001</v>
      </c>
      <c r="G627" s="44" t="s">
        <v>24</v>
      </c>
      <c r="H627" s="44" t="s">
        <v>25</v>
      </c>
      <c r="I627" s="45" t="s">
        <v>26</v>
      </c>
      <c r="J627" s="45" t="s">
        <v>846</v>
      </c>
      <c r="K627" s="46" t="s">
        <v>31</v>
      </c>
      <c r="L627" s="47" t="s">
        <v>1379</v>
      </c>
    </row>
    <row r="628" spans="1:12" ht="14.5" x14ac:dyDescent="0.35">
      <c r="A628" s="47" t="s">
        <v>1365</v>
      </c>
      <c r="B628" s="43">
        <v>8471220</v>
      </c>
      <c r="C628" s="44" t="s">
        <v>344</v>
      </c>
      <c r="D628" s="43">
        <v>435340</v>
      </c>
      <c r="E628" s="44" t="s">
        <v>100</v>
      </c>
      <c r="F628" s="43">
        <v>847001</v>
      </c>
      <c r="G628" s="44" t="s">
        <v>24</v>
      </c>
      <c r="H628" s="44" t="s">
        <v>28</v>
      </c>
      <c r="I628" s="45" t="s">
        <v>29</v>
      </c>
      <c r="J628" s="45" t="s">
        <v>847</v>
      </c>
      <c r="K628" s="46" t="s">
        <v>31</v>
      </c>
      <c r="L628" s="47" t="s">
        <v>1379</v>
      </c>
    </row>
    <row r="629" spans="1:12" ht="14.5" x14ac:dyDescent="0.35">
      <c r="A629" s="47" t="s">
        <v>1371</v>
      </c>
      <c r="B629" s="43">
        <v>8471305</v>
      </c>
      <c r="C629" s="44" t="s">
        <v>32</v>
      </c>
      <c r="D629" s="43">
        <v>435340</v>
      </c>
      <c r="E629" s="44" t="s">
        <v>100</v>
      </c>
      <c r="F629" s="43">
        <v>847001</v>
      </c>
      <c r="G629" s="44" t="s">
        <v>24</v>
      </c>
      <c r="H629" s="44" t="s">
        <v>25</v>
      </c>
      <c r="I629" s="45" t="s">
        <v>26</v>
      </c>
      <c r="J629" s="45" t="s">
        <v>101</v>
      </c>
      <c r="K629" s="46" t="s">
        <v>31</v>
      </c>
      <c r="L629" s="47" t="s">
        <v>1379</v>
      </c>
    </row>
    <row r="630" spans="1:12" ht="14.5" x14ac:dyDescent="0.35">
      <c r="A630" s="47" t="s">
        <v>1363</v>
      </c>
      <c r="B630" s="43">
        <v>8470305</v>
      </c>
      <c r="C630" s="44" t="s">
        <v>193</v>
      </c>
      <c r="D630" s="43">
        <v>435350</v>
      </c>
      <c r="E630" s="44" t="s">
        <v>848</v>
      </c>
      <c r="F630" s="43">
        <v>847001</v>
      </c>
      <c r="G630" s="44" t="s">
        <v>24</v>
      </c>
      <c r="H630" s="44" t="s">
        <v>25</v>
      </c>
      <c r="I630" s="45" t="s">
        <v>26</v>
      </c>
      <c r="J630" s="45" t="s">
        <v>849</v>
      </c>
      <c r="K630" s="46" t="s">
        <v>31</v>
      </c>
      <c r="L630" s="47" t="s">
        <v>1379</v>
      </c>
    </row>
    <row r="631" spans="1:12" ht="14.5" x14ac:dyDescent="0.35">
      <c r="A631" s="47" t="s">
        <v>1363</v>
      </c>
      <c r="B631" s="43">
        <v>8470310</v>
      </c>
      <c r="C631" s="44" t="s">
        <v>309</v>
      </c>
      <c r="D631" s="43">
        <v>435350</v>
      </c>
      <c r="E631" s="44" t="s">
        <v>848</v>
      </c>
      <c r="F631" s="43">
        <v>847001</v>
      </c>
      <c r="G631" s="44" t="s">
        <v>24</v>
      </c>
      <c r="H631" s="44" t="s">
        <v>25</v>
      </c>
      <c r="I631" s="45" t="s">
        <v>26</v>
      </c>
      <c r="J631" s="45" t="s">
        <v>850</v>
      </c>
      <c r="K631" s="46" t="s">
        <v>31</v>
      </c>
      <c r="L631" s="47" t="s">
        <v>1379</v>
      </c>
    </row>
    <row r="632" spans="1:12" ht="14.5" x14ac:dyDescent="0.35">
      <c r="A632" s="47" t="s">
        <v>1363</v>
      </c>
      <c r="B632" s="43">
        <v>8470315</v>
      </c>
      <c r="C632" s="44" t="s">
        <v>311</v>
      </c>
      <c r="D632" s="43">
        <v>435350</v>
      </c>
      <c r="E632" s="44" t="s">
        <v>848</v>
      </c>
      <c r="F632" s="43">
        <v>847001</v>
      </c>
      <c r="G632" s="44" t="s">
        <v>24</v>
      </c>
      <c r="H632" s="44" t="s">
        <v>28</v>
      </c>
      <c r="I632" s="45" t="s">
        <v>29</v>
      </c>
      <c r="J632" s="45" t="s">
        <v>851</v>
      </c>
      <c r="K632" s="46" t="s">
        <v>31</v>
      </c>
      <c r="L632" s="47" t="s">
        <v>1379</v>
      </c>
    </row>
    <row r="633" spans="1:12" ht="14.5" x14ac:dyDescent="0.35">
      <c r="A633" s="47" t="s">
        <v>1363</v>
      </c>
      <c r="B633" s="43">
        <v>8470320</v>
      </c>
      <c r="C633" s="44" t="s">
        <v>443</v>
      </c>
      <c r="D633" s="43">
        <v>435350</v>
      </c>
      <c r="E633" s="44" t="s">
        <v>848</v>
      </c>
      <c r="F633" s="43">
        <v>847001</v>
      </c>
      <c r="G633" s="44" t="s">
        <v>24</v>
      </c>
      <c r="H633" s="44" t="s">
        <v>25</v>
      </c>
      <c r="I633" s="45" t="s">
        <v>26</v>
      </c>
      <c r="J633" s="45" t="s">
        <v>852</v>
      </c>
      <c r="K633" s="46" t="s">
        <v>31</v>
      </c>
      <c r="L633" s="47" t="s">
        <v>1379</v>
      </c>
    </row>
    <row r="634" spans="1:12" ht="14.5" x14ac:dyDescent="0.35">
      <c r="A634" s="47" t="s">
        <v>1363</v>
      </c>
      <c r="B634" s="43">
        <v>8470320</v>
      </c>
      <c r="C634" s="44" t="s">
        <v>443</v>
      </c>
      <c r="D634" s="43">
        <v>435350</v>
      </c>
      <c r="E634" s="44" t="s">
        <v>848</v>
      </c>
      <c r="F634" s="43">
        <v>847001</v>
      </c>
      <c r="G634" s="44" t="s">
        <v>24</v>
      </c>
      <c r="H634" s="44" t="s">
        <v>28</v>
      </c>
      <c r="I634" s="45" t="s">
        <v>29</v>
      </c>
      <c r="J634" s="45" t="s">
        <v>853</v>
      </c>
      <c r="K634" s="46" t="s">
        <v>31</v>
      </c>
      <c r="L634" s="47" t="s">
        <v>1379</v>
      </c>
    </row>
    <row r="635" spans="1:12" ht="14.5" x14ac:dyDescent="0.35">
      <c r="A635" s="47" t="s">
        <v>1363</v>
      </c>
      <c r="B635" s="43">
        <v>8470330</v>
      </c>
      <c r="C635" s="44" t="s">
        <v>268</v>
      </c>
      <c r="D635" s="43">
        <v>435350</v>
      </c>
      <c r="E635" s="44" t="s">
        <v>848</v>
      </c>
      <c r="F635" s="43">
        <v>847001</v>
      </c>
      <c r="G635" s="44" t="s">
        <v>24</v>
      </c>
      <c r="H635" s="44" t="s">
        <v>25</v>
      </c>
      <c r="I635" s="45" t="s">
        <v>26</v>
      </c>
      <c r="J635" s="45" t="s">
        <v>854</v>
      </c>
      <c r="K635" s="46" t="s">
        <v>31</v>
      </c>
      <c r="L635" s="47" t="s">
        <v>1379</v>
      </c>
    </row>
    <row r="636" spans="1:12" ht="14.5" x14ac:dyDescent="0.35">
      <c r="A636" s="47" t="s">
        <v>1363</v>
      </c>
      <c r="B636" s="43">
        <v>8470330</v>
      </c>
      <c r="C636" s="44" t="s">
        <v>268</v>
      </c>
      <c r="D636" s="43">
        <v>435350</v>
      </c>
      <c r="E636" s="44" t="s">
        <v>848</v>
      </c>
      <c r="F636" s="43">
        <v>847001</v>
      </c>
      <c r="G636" s="44" t="s">
        <v>24</v>
      </c>
      <c r="H636" s="44" t="s">
        <v>28</v>
      </c>
      <c r="I636" s="45" t="s">
        <v>29</v>
      </c>
      <c r="J636" s="45" t="s">
        <v>855</v>
      </c>
      <c r="K636" s="46" t="s">
        <v>31</v>
      </c>
      <c r="L636" s="47" t="s">
        <v>1379</v>
      </c>
    </row>
    <row r="637" spans="1:12" ht="14.5" x14ac:dyDescent="0.35">
      <c r="A637" s="47" t="s">
        <v>1363</v>
      </c>
      <c r="B637" s="43">
        <v>8470335</v>
      </c>
      <c r="C637" s="44" t="s">
        <v>317</v>
      </c>
      <c r="D637" s="43">
        <v>435350</v>
      </c>
      <c r="E637" s="44" t="s">
        <v>848</v>
      </c>
      <c r="F637" s="43">
        <v>847001</v>
      </c>
      <c r="G637" s="44" t="s">
        <v>24</v>
      </c>
      <c r="H637" s="44" t="s">
        <v>25</v>
      </c>
      <c r="I637" s="45" t="s">
        <v>26</v>
      </c>
      <c r="J637" s="45" t="s">
        <v>856</v>
      </c>
      <c r="K637" s="46" t="s">
        <v>31</v>
      </c>
      <c r="L637" s="47" t="s">
        <v>1379</v>
      </c>
    </row>
    <row r="638" spans="1:12" ht="14.5" x14ac:dyDescent="0.35">
      <c r="A638" s="47" t="s">
        <v>1363</v>
      </c>
      <c r="B638" s="43">
        <v>8470340</v>
      </c>
      <c r="C638" s="44" t="s">
        <v>234</v>
      </c>
      <c r="D638" s="43">
        <v>435350</v>
      </c>
      <c r="E638" s="44" t="s">
        <v>848</v>
      </c>
      <c r="F638" s="43">
        <v>847001</v>
      </c>
      <c r="G638" s="44" t="s">
        <v>24</v>
      </c>
      <c r="H638" s="44" t="s">
        <v>25</v>
      </c>
      <c r="I638" s="45" t="s">
        <v>26</v>
      </c>
      <c r="J638" s="45" t="s">
        <v>857</v>
      </c>
      <c r="K638" s="46" t="s">
        <v>31</v>
      </c>
      <c r="L638" s="47" t="s">
        <v>1379</v>
      </c>
    </row>
    <row r="639" spans="1:12" ht="14.5" x14ac:dyDescent="0.35">
      <c r="A639" s="47" t="s">
        <v>1363</v>
      </c>
      <c r="B639" s="43">
        <v>8470345</v>
      </c>
      <c r="C639" s="44" t="s">
        <v>188</v>
      </c>
      <c r="D639" s="43">
        <v>435350</v>
      </c>
      <c r="E639" s="44" t="s">
        <v>848</v>
      </c>
      <c r="F639" s="43">
        <v>847001</v>
      </c>
      <c r="G639" s="44" t="s">
        <v>24</v>
      </c>
      <c r="H639" s="44" t="s">
        <v>25</v>
      </c>
      <c r="I639" s="45" t="s">
        <v>26</v>
      </c>
      <c r="J639" s="45" t="s">
        <v>858</v>
      </c>
      <c r="K639" s="46" t="s">
        <v>31</v>
      </c>
      <c r="L639" s="47" t="s">
        <v>1379</v>
      </c>
    </row>
    <row r="640" spans="1:12" ht="14.5" x14ac:dyDescent="0.35">
      <c r="A640" s="47" t="s">
        <v>1363</v>
      </c>
      <c r="B640" s="43">
        <v>8470350</v>
      </c>
      <c r="C640" s="44" t="s">
        <v>191</v>
      </c>
      <c r="D640" s="43">
        <v>435350</v>
      </c>
      <c r="E640" s="44" t="s">
        <v>848</v>
      </c>
      <c r="F640" s="43">
        <v>847001</v>
      </c>
      <c r="G640" s="44" t="s">
        <v>24</v>
      </c>
      <c r="H640" s="44" t="s">
        <v>25</v>
      </c>
      <c r="I640" s="45" t="s">
        <v>26</v>
      </c>
      <c r="J640" s="45" t="s">
        <v>859</v>
      </c>
      <c r="K640" s="46" t="s">
        <v>31</v>
      </c>
      <c r="L640" s="47" t="s">
        <v>1379</v>
      </c>
    </row>
    <row r="641" spans="1:12" ht="14.5" x14ac:dyDescent="0.35">
      <c r="A641" s="47" t="s">
        <v>1357</v>
      </c>
      <c r="B641" s="43">
        <v>8470405</v>
      </c>
      <c r="C641" s="44" t="s">
        <v>270</v>
      </c>
      <c r="D641" s="43">
        <v>435350</v>
      </c>
      <c r="E641" s="44" t="s">
        <v>848</v>
      </c>
      <c r="F641" s="43">
        <v>847001</v>
      </c>
      <c r="G641" s="44" t="s">
        <v>24</v>
      </c>
      <c r="H641" s="44" t="s">
        <v>25</v>
      </c>
      <c r="I641" s="45" t="s">
        <v>26</v>
      </c>
      <c r="J641" s="45" t="s">
        <v>860</v>
      </c>
      <c r="K641" s="46" t="s">
        <v>31</v>
      </c>
      <c r="L641" s="47" t="s">
        <v>1379</v>
      </c>
    </row>
    <row r="642" spans="1:12" ht="14.5" x14ac:dyDescent="0.35">
      <c r="A642" s="47" t="s">
        <v>1357</v>
      </c>
      <c r="B642" s="43">
        <v>8470405</v>
      </c>
      <c r="C642" s="44" t="s">
        <v>270</v>
      </c>
      <c r="D642" s="43">
        <v>435350</v>
      </c>
      <c r="E642" s="44" t="s">
        <v>848</v>
      </c>
      <c r="F642" s="43">
        <v>847001</v>
      </c>
      <c r="G642" s="44" t="s">
        <v>24</v>
      </c>
      <c r="H642" s="44" t="s">
        <v>28</v>
      </c>
      <c r="I642" s="45" t="s">
        <v>29</v>
      </c>
      <c r="J642" s="45" t="s">
        <v>861</v>
      </c>
      <c r="K642" s="46" t="s">
        <v>31</v>
      </c>
      <c r="L642" s="47" t="s">
        <v>1379</v>
      </c>
    </row>
    <row r="643" spans="1:12" ht="14.5" x14ac:dyDescent="0.35">
      <c r="A643" s="47" t="s">
        <v>1357</v>
      </c>
      <c r="B643" s="43">
        <v>8470415</v>
      </c>
      <c r="C643" s="44" t="s">
        <v>362</v>
      </c>
      <c r="D643" s="43">
        <v>435350</v>
      </c>
      <c r="E643" s="44" t="s">
        <v>848</v>
      </c>
      <c r="F643" s="43">
        <v>847001</v>
      </c>
      <c r="G643" s="44" t="s">
        <v>24</v>
      </c>
      <c r="H643" s="44" t="s">
        <v>25</v>
      </c>
      <c r="I643" s="45" t="s">
        <v>26</v>
      </c>
      <c r="J643" s="45" t="s">
        <v>862</v>
      </c>
      <c r="K643" s="46" t="s">
        <v>31</v>
      </c>
      <c r="L643" s="47" t="s">
        <v>1379</v>
      </c>
    </row>
    <row r="644" spans="1:12" ht="14.5" x14ac:dyDescent="0.35">
      <c r="A644" s="47" t="s">
        <v>1357</v>
      </c>
      <c r="B644" s="43">
        <v>8470415</v>
      </c>
      <c r="C644" s="44" t="s">
        <v>362</v>
      </c>
      <c r="D644" s="43">
        <v>435350</v>
      </c>
      <c r="E644" s="44" t="s">
        <v>848</v>
      </c>
      <c r="F644" s="43">
        <v>847001</v>
      </c>
      <c r="G644" s="44" t="s">
        <v>24</v>
      </c>
      <c r="H644" s="44" t="s">
        <v>28</v>
      </c>
      <c r="I644" s="45" t="s">
        <v>29</v>
      </c>
      <c r="J644" s="45" t="s">
        <v>863</v>
      </c>
      <c r="K644" s="46" t="s">
        <v>31</v>
      </c>
      <c r="L644" s="47" t="s">
        <v>1379</v>
      </c>
    </row>
    <row r="645" spans="1:12" ht="14.5" x14ac:dyDescent="0.35">
      <c r="A645" s="47" t="e">
        <v>#N/A</v>
      </c>
      <c r="B645" s="43">
        <v>8470420</v>
      </c>
      <c r="C645" s="44" t="s">
        <v>326</v>
      </c>
      <c r="D645" s="43">
        <v>435350</v>
      </c>
      <c r="E645" s="44" t="s">
        <v>848</v>
      </c>
      <c r="F645" s="43">
        <v>847001</v>
      </c>
      <c r="G645" s="44" t="s">
        <v>24</v>
      </c>
      <c r="H645" s="44" t="s">
        <v>28</v>
      </c>
      <c r="I645" s="45" t="s">
        <v>29</v>
      </c>
      <c r="J645" s="45" t="s">
        <v>864</v>
      </c>
      <c r="K645" s="46" t="s">
        <v>31</v>
      </c>
      <c r="L645" s="47" t="s">
        <v>1379</v>
      </c>
    </row>
    <row r="646" spans="1:12" ht="14.5" x14ac:dyDescent="0.35">
      <c r="A646" s="47" t="s">
        <v>1357</v>
      </c>
      <c r="B646" s="43">
        <v>8470425</v>
      </c>
      <c r="C646" s="44" t="s">
        <v>272</v>
      </c>
      <c r="D646" s="43">
        <v>435350</v>
      </c>
      <c r="E646" s="44" t="s">
        <v>848</v>
      </c>
      <c r="F646" s="43">
        <v>847001</v>
      </c>
      <c r="G646" s="44" t="s">
        <v>24</v>
      </c>
      <c r="H646" s="44" t="s">
        <v>25</v>
      </c>
      <c r="I646" s="45" t="s">
        <v>26</v>
      </c>
      <c r="J646" s="45" t="s">
        <v>865</v>
      </c>
      <c r="K646" s="46" t="s">
        <v>31</v>
      </c>
      <c r="L646" s="47" t="s">
        <v>1379</v>
      </c>
    </row>
    <row r="647" spans="1:12" ht="14.5" x14ac:dyDescent="0.35">
      <c r="A647" s="47" t="s">
        <v>1357</v>
      </c>
      <c r="B647" s="43">
        <v>8470440</v>
      </c>
      <c r="C647" s="44" t="s">
        <v>426</v>
      </c>
      <c r="D647" s="43">
        <v>435350</v>
      </c>
      <c r="E647" s="44" t="s">
        <v>848</v>
      </c>
      <c r="F647" s="43">
        <v>847001</v>
      </c>
      <c r="G647" s="44" t="s">
        <v>24</v>
      </c>
      <c r="H647" s="44" t="s">
        <v>28</v>
      </c>
      <c r="I647" s="45" t="s">
        <v>29</v>
      </c>
      <c r="J647" s="45" t="s">
        <v>866</v>
      </c>
      <c r="K647" s="46" t="s">
        <v>31</v>
      </c>
      <c r="L647" s="47" t="s">
        <v>1379</v>
      </c>
    </row>
    <row r="648" spans="1:12" ht="14.5" x14ac:dyDescent="0.35">
      <c r="A648" s="47" t="s">
        <v>1357</v>
      </c>
      <c r="B648" s="43">
        <v>8470450</v>
      </c>
      <c r="C648" s="44" t="s">
        <v>275</v>
      </c>
      <c r="D648" s="43">
        <v>435350</v>
      </c>
      <c r="E648" s="44" t="s">
        <v>848</v>
      </c>
      <c r="F648" s="43">
        <v>847001</v>
      </c>
      <c r="G648" s="44" t="s">
        <v>24</v>
      </c>
      <c r="H648" s="44" t="s">
        <v>25</v>
      </c>
      <c r="I648" s="45" t="s">
        <v>26</v>
      </c>
      <c r="J648" s="45" t="s">
        <v>867</v>
      </c>
      <c r="K648" s="46" t="s">
        <v>31</v>
      </c>
      <c r="L648" s="47" t="s">
        <v>1379</v>
      </c>
    </row>
    <row r="649" spans="1:12" ht="14.5" x14ac:dyDescent="0.35">
      <c r="A649" s="47" t="s">
        <v>1357</v>
      </c>
      <c r="B649" s="43">
        <v>8470450</v>
      </c>
      <c r="C649" s="44" t="s">
        <v>275</v>
      </c>
      <c r="D649" s="43">
        <v>435350</v>
      </c>
      <c r="E649" s="44" t="s">
        <v>848</v>
      </c>
      <c r="F649" s="43">
        <v>847001</v>
      </c>
      <c r="G649" s="44" t="s">
        <v>24</v>
      </c>
      <c r="H649" s="44" t="s">
        <v>28</v>
      </c>
      <c r="I649" s="45" t="s">
        <v>29</v>
      </c>
      <c r="J649" s="45" t="s">
        <v>868</v>
      </c>
      <c r="K649" s="46" t="s">
        <v>31</v>
      </c>
      <c r="L649" s="47" t="s">
        <v>1379</v>
      </c>
    </row>
    <row r="650" spans="1:12" ht="14.5" x14ac:dyDescent="0.35">
      <c r="A650" s="47" t="s">
        <v>1359</v>
      </c>
      <c r="B650" s="43">
        <v>8470110</v>
      </c>
      <c r="C650" s="44" t="s">
        <v>180</v>
      </c>
      <c r="D650" s="43">
        <v>435410</v>
      </c>
      <c r="E650" s="44" t="s">
        <v>102</v>
      </c>
      <c r="F650" s="43">
        <v>847001</v>
      </c>
      <c r="G650" s="44" t="s">
        <v>24</v>
      </c>
      <c r="H650" s="44" t="s">
        <v>28</v>
      </c>
      <c r="I650" s="45" t="s">
        <v>29</v>
      </c>
      <c r="J650" s="45" t="s">
        <v>869</v>
      </c>
      <c r="K650" s="46" t="s">
        <v>27</v>
      </c>
      <c r="L650" s="47" t="s">
        <v>1379</v>
      </c>
    </row>
    <row r="651" spans="1:12" ht="14.5" x14ac:dyDescent="0.35">
      <c r="A651" s="47" t="s">
        <v>1358</v>
      </c>
      <c r="B651" s="43">
        <v>8470530</v>
      </c>
      <c r="C651" s="44" t="s">
        <v>165</v>
      </c>
      <c r="D651" s="43">
        <v>435410</v>
      </c>
      <c r="E651" s="44" t="s">
        <v>102</v>
      </c>
      <c r="F651" s="43">
        <v>847020</v>
      </c>
      <c r="G651" s="44" t="s">
        <v>170</v>
      </c>
      <c r="H651" s="44" t="s">
        <v>28</v>
      </c>
      <c r="I651" s="45" t="s">
        <v>29</v>
      </c>
      <c r="J651" s="45" t="s">
        <v>870</v>
      </c>
      <c r="K651" s="46" t="s">
        <v>27</v>
      </c>
      <c r="L651" s="47" t="s">
        <v>1379</v>
      </c>
    </row>
    <row r="652" spans="1:12" ht="14.5" x14ac:dyDescent="0.35">
      <c r="A652" s="47" t="s">
        <v>1367</v>
      </c>
      <c r="B652" s="43">
        <v>8470720</v>
      </c>
      <c r="C652" s="44" t="s">
        <v>221</v>
      </c>
      <c r="D652" s="43">
        <v>435410</v>
      </c>
      <c r="E652" s="44" t="s">
        <v>102</v>
      </c>
      <c r="F652" s="43">
        <v>847001</v>
      </c>
      <c r="G652" s="44" t="s">
        <v>24</v>
      </c>
      <c r="H652" s="44" t="s">
        <v>25</v>
      </c>
      <c r="I652" s="45" t="s">
        <v>26</v>
      </c>
      <c r="J652" s="45" t="s">
        <v>871</v>
      </c>
      <c r="K652" s="46" t="s">
        <v>27</v>
      </c>
      <c r="L652" s="47" t="s">
        <v>1379</v>
      </c>
    </row>
    <row r="653" spans="1:12" ht="14.5" x14ac:dyDescent="0.35">
      <c r="A653" s="47" t="s">
        <v>1367</v>
      </c>
      <c r="B653" s="43">
        <v>8470720</v>
      </c>
      <c r="C653" s="44" t="s">
        <v>221</v>
      </c>
      <c r="D653" s="43">
        <v>435410</v>
      </c>
      <c r="E653" s="44" t="s">
        <v>102</v>
      </c>
      <c r="F653" s="43">
        <v>847001</v>
      </c>
      <c r="G653" s="44" t="s">
        <v>24</v>
      </c>
      <c r="H653" s="44" t="s">
        <v>28</v>
      </c>
      <c r="I653" s="45" t="s">
        <v>29</v>
      </c>
      <c r="J653" s="45" t="s">
        <v>872</v>
      </c>
      <c r="K653" s="46" t="s">
        <v>27</v>
      </c>
      <c r="L653" s="47" t="s">
        <v>1379</v>
      </c>
    </row>
    <row r="654" spans="1:12" ht="14.5" x14ac:dyDescent="0.35">
      <c r="A654" s="47" t="s">
        <v>1365</v>
      </c>
      <c r="B654" s="43">
        <v>8471210</v>
      </c>
      <c r="C654" s="44" t="s">
        <v>176</v>
      </c>
      <c r="D654" s="43">
        <v>435410</v>
      </c>
      <c r="E654" s="44" t="s">
        <v>102</v>
      </c>
      <c r="F654" s="43">
        <v>847001</v>
      </c>
      <c r="G654" s="44" t="s">
        <v>24</v>
      </c>
      <c r="H654" s="44" t="s">
        <v>28</v>
      </c>
      <c r="I654" s="45" t="s">
        <v>29</v>
      </c>
      <c r="J654" s="45" t="s">
        <v>873</v>
      </c>
      <c r="K654" s="46" t="s">
        <v>27</v>
      </c>
      <c r="L654" s="47" t="s">
        <v>1379</v>
      </c>
    </row>
    <row r="655" spans="1:12" ht="14.5" x14ac:dyDescent="0.35">
      <c r="A655" s="47" t="s">
        <v>1365</v>
      </c>
      <c r="B655" s="43">
        <v>8471260</v>
      </c>
      <c r="C655" s="44" t="s">
        <v>178</v>
      </c>
      <c r="D655" s="43">
        <v>435410</v>
      </c>
      <c r="E655" s="44" t="s">
        <v>102</v>
      </c>
      <c r="F655" s="43">
        <v>847001</v>
      </c>
      <c r="G655" s="44" t="s">
        <v>24</v>
      </c>
      <c r="H655" s="44" t="s">
        <v>25</v>
      </c>
      <c r="I655" s="45" t="s">
        <v>26</v>
      </c>
      <c r="J655" s="45" t="s">
        <v>874</v>
      </c>
      <c r="K655" s="46" t="s">
        <v>27</v>
      </c>
      <c r="L655" s="47" t="s">
        <v>1379</v>
      </c>
    </row>
    <row r="656" spans="1:12" ht="14.5" x14ac:dyDescent="0.35">
      <c r="A656" s="47" t="s">
        <v>1371</v>
      </c>
      <c r="B656" s="43">
        <v>8471305</v>
      </c>
      <c r="C656" s="44" t="s">
        <v>32</v>
      </c>
      <c r="D656" s="43">
        <v>435410</v>
      </c>
      <c r="E656" s="44" t="s">
        <v>102</v>
      </c>
      <c r="F656" s="43">
        <v>847001</v>
      </c>
      <c r="G656" s="44" t="s">
        <v>24</v>
      </c>
      <c r="H656" s="44" t="s">
        <v>25</v>
      </c>
      <c r="I656" s="45" t="s">
        <v>26</v>
      </c>
      <c r="J656" s="45" t="s">
        <v>103</v>
      </c>
      <c r="K656" s="46" t="s">
        <v>27</v>
      </c>
      <c r="L656" s="47" t="s">
        <v>1379</v>
      </c>
    </row>
    <row r="657" spans="1:12" ht="14.5" x14ac:dyDescent="0.35">
      <c r="A657" s="47" t="e">
        <v>#N/A</v>
      </c>
      <c r="B657" s="43">
        <v>8431020</v>
      </c>
      <c r="C657" s="44" t="s">
        <v>875</v>
      </c>
      <c r="D657" s="43">
        <v>435508</v>
      </c>
      <c r="E657" s="44" t="s">
        <v>104</v>
      </c>
      <c r="F657" s="43">
        <v>843006</v>
      </c>
      <c r="G657" s="44" t="s">
        <v>876</v>
      </c>
      <c r="H657" s="44" t="s">
        <v>28</v>
      </c>
      <c r="I657" s="45" t="s">
        <v>29</v>
      </c>
      <c r="J657" s="45" t="s">
        <v>877</v>
      </c>
      <c r="K657" s="46" t="s">
        <v>31</v>
      </c>
      <c r="L657" s="47" t="s">
        <v>1379</v>
      </c>
    </row>
    <row r="658" spans="1:12" ht="14.5" x14ac:dyDescent="0.35">
      <c r="A658" s="47" t="s">
        <v>1363</v>
      </c>
      <c r="B658" s="43">
        <v>8470305</v>
      </c>
      <c r="C658" s="44" t="s">
        <v>193</v>
      </c>
      <c r="D658" s="43">
        <v>435508</v>
      </c>
      <c r="E658" s="44" t="s">
        <v>104</v>
      </c>
      <c r="F658" s="43">
        <v>847001</v>
      </c>
      <c r="G658" s="44" t="s">
        <v>24</v>
      </c>
      <c r="H658" s="44" t="s">
        <v>25</v>
      </c>
      <c r="I658" s="45" t="s">
        <v>26</v>
      </c>
      <c r="J658" s="45" t="s">
        <v>878</v>
      </c>
      <c r="K658" s="46" t="s">
        <v>31</v>
      </c>
      <c r="L658" s="47" t="s">
        <v>1379</v>
      </c>
    </row>
    <row r="659" spans="1:12" ht="14.5" x14ac:dyDescent="0.35">
      <c r="A659" s="47" t="s">
        <v>1363</v>
      </c>
      <c r="B659" s="43">
        <v>8470310</v>
      </c>
      <c r="C659" s="44" t="s">
        <v>309</v>
      </c>
      <c r="D659" s="43">
        <v>435508</v>
      </c>
      <c r="E659" s="44" t="s">
        <v>104</v>
      </c>
      <c r="F659" s="43">
        <v>847001</v>
      </c>
      <c r="G659" s="44" t="s">
        <v>24</v>
      </c>
      <c r="H659" s="44" t="s">
        <v>25</v>
      </c>
      <c r="I659" s="45" t="s">
        <v>26</v>
      </c>
      <c r="J659" s="45" t="s">
        <v>879</v>
      </c>
      <c r="K659" s="46" t="s">
        <v>31</v>
      </c>
      <c r="L659" s="47" t="s">
        <v>1379</v>
      </c>
    </row>
    <row r="660" spans="1:12" ht="14.5" x14ac:dyDescent="0.35">
      <c r="A660" s="47" t="s">
        <v>1363</v>
      </c>
      <c r="B660" s="43">
        <v>8470310</v>
      </c>
      <c r="C660" s="44" t="s">
        <v>309</v>
      </c>
      <c r="D660" s="43">
        <v>435508</v>
      </c>
      <c r="E660" s="44" t="s">
        <v>104</v>
      </c>
      <c r="F660" s="43">
        <v>847001</v>
      </c>
      <c r="G660" s="44" t="s">
        <v>24</v>
      </c>
      <c r="H660" s="44" t="s">
        <v>28</v>
      </c>
      <c r="I660" s="45" t="s">
        <v>29</v>
      </c>
      <c r="J660" s="45" t="s">
        <v>880</v>
      </c>
      <c r="K660" s="46" t="s">
        <v>31</v>
      </c>
      <c r="L660" s="47" t="s">
        <v>1379</v>
      </c>
    </row>
    <row r="661" spans="1:12" ht="14.5" x14ac:dyDescent="0.35">
      <c r="A661" s="47" t="s">
        <v>1363</v>
      </c>
      <c r="B661" s="43">
        <v>8470315</v>
      </c>
      <c r="C661" s="44" t="s">
        <v>311</v>
      </c>
      <c r="D661" s="43">
        <v>435508</v>
      </c>
      <c r="E661" s="44" t="s">
        <v>104</v>
      </c>
      <c r="F661" s="43">
        <v>847001</v>
      </c>
      <c r="G661" s="44" t="s">
        <v>24</v>
      </c>
      <c r="H661" s="44" t="s">
        <v>25</v>
      </c>
      <c r="I661" s="45" t="s">
        <v>26</v>
      </c>
      <c r="J661" s="45" t="s">
        <v>881</v>
      </c>
      <c r="K661" s="46" t="s">
        <v>31</v>
      </c>
      <c r="L661" s="47" t="s">
        <v>1379</v>
      </c>
    </row>
    <row r="662" spans="1:12" ht="14.5" x14ac:dyDescent="0.35">
      <c r="A662" s="47" t="s">
        <v>1363</v>
      </c>
      <c r="B662" s="43">
        <v>8470315</v>
      </c>
      <c r="C662" s="44" t="s">
        <v>311</v>
      </c>
      <c r="D662" s="43">
        <v>435508</v>
      </c>
      <c r="E662" s="44" t="s">
        <v>104</v>
      </c>
      <c r="F662" s="43">
        <v>847001</v>
      </c>
      <c r="G662" s="44" t="s">
        <v>24</v>
      </c>
      <c r="H662" s="44" t="s">
        <v>28</v>
      </c>
      <c r="I662" s="45" t="s">
        <v>29</v>
      </c>
      <c r="J662" s="45" t="s">
        <v>882</v>
      </c>
      <c r="K662" s="46" t="s">
        <v>31</v>
      </c>
      <c r="L662" s="47" t="s">
        <v>1379</v>
      </c>
    </row>
    <row r="663" spans="1:12" ht="14.5" x14ac:dyDescent="0.35">
      <c r="A663" s="47" t="s">
        <v>1363</v>
      </c>
      <c r="B663" s="43">
        <v>8470320</v>
      </c>
      <c r="C663" s="44" t="s">
        <v>443</v>
      </c>
      <c r="D663" s="43">
        <v>435508</v>
      </c>
      <c r="E663" s="44" t="s">
        <v>104</v>
      </c>
      <c r="F663" s="43">
        <v>847001</v>
      </c>
      <c r="G663" s="44" t="s">
        <v>24</v>
      </c>
      <c r="H663" s="44" t="s">
        <v>25</v>
      </c>
      <c r="I663" s="45" t="s">
        <v>26</v>
      </c>
      <c r="J663" s="45" t="s">
        <v>883</v>
      </c>
      <c r="K663" s="46" t="s">
        <v>31</v>
      </c>
      <c r="L663" s="47" t="s">
        <v>1379</v>
      </c>
    </row>
    <row r="664" spans="1:12" ht="14.5" x14ac:dyDescent="0.35">
      <c r="A664" s="47" t="s">
        <v>1363</v>
      </c>
      <c r="B664" s="43">
        <v>8470320</v>
      </c>
      <c r="C664" s="44" t="s">
        <v>443</v>
      </c>
      <c r="D664" s="43">
        <v>435508</v>
      </c>
      <c r="E664" s="44" t="s">
        <v>104</v>
      </c>
      <c r="F664" s="43">
        <v>847001</v>
      </c>
      <c r="G664" s="44" t="s">
        <v>24</v>
      </c>
      <c r="H664" s="44" t="s">
        <v>28</v>
      </c>
      <c r="I664" s="45" t="s">
        <v>29</v>
      </c>
      <c r="J664" s="45" t="s">
        <v>884</v>
      </c>
      <c r="K664" s="46" t="s">
        <v>31</v>
      </c>
      <c r="L664" s="47" t="s">
        <v>1379</v>
      </c>
    </row>
    <row r="665" spans="1:12" ht="14.5" x14ac:dyDescent="0.35">
      <c r="A665" s="47" t="s">
        <v>1363</v>
      </c>
      <c r="B665" s="43">
        <v>8470325</v>
      </c>
      <c r="C665" s="44" t="s">
        <v>186</v>
      </c>
      <c r="D665" s="43">
        <v>435508</v>
      </c>
      <c r="E665" s="44" t="s">
        <v>104</v>
      </c>
      <c r="F665" s="43">
        <v>847001</v>
      </c>
      <c r="G665" s="44" t="s">
        <v>24</v>
      </c>
      <c r="H665" s="44" t="s">
        <v>25</v>
      </c>
      <c r="I665" s="45" t="s">
        <v>26</v>
      </c>
      <c r="J665" s="45" t="s">
        <v>885</v>
      </c>
      <c r="K665" s="46" t="s">
        <v>31</v>
      </c>
      <c r="L665" s="47" t="s">
        <v>1379</v>
      </c>
    </row>
    <row r="666" spans="1:12" ht="14.5" x14ac:dyDescent="0.35">
      <c r="A666" s="47" t="s">
        <v>1363</v>
      </c>
      <c r="B666" s="43">
        <v>8470325</v>
      </c>
      <c r="C666" s="44" t="s">
        <v>186</v>
      </c>
      <c r="D666" s="43">
        <v>435508</v>
      </c>
      <c r="E666" s="44" t="s">
        <v>104</v>
      </c>
      <c r="F666" s="43">
        <v>847001</v>
      </c>
      <c r="G666" s="44" t="s">
        <v>24</v>
      </c>
      <c r="H666" s="44" t="s">
        <v>28</v>
      </c>
      <c r="I666" s="45" t="s">
        <v>29</v>
      </c>
      <c r="J666" s="45" t="s">
        <v>886</v>
      </c>
      <c r="K666" s="46" t="s">
        <v>31</v>
      </c>
      <c r="L666" s="47" t="s">
        <v>1379</v>
      </c>
    </row>
    <row r="667" spans="1:12" ht="14.5" x14ac:dyDescent="0.35">
      <c r="A667" s="47" t="s">
        <v>1363</v>
      </c>
      <c r="B667" s="43">
        <v>8470330</v>
      </c>
      <c r="C667" s="44" t="s">
        <v>268</v>
      </c>
      <c r="D667" s="43">
        <v>435508</v>
      </c>
      <c r="E667" s="44" t="s">
        <v>104</v>
      </c>
      <c r="F667" s="43">
        <v>847001</v>
      </c>
      <c r="G667" s="44" t="s">
        <v>24</v>
      </c>
      <c r="H667" s="44" t="s">
        <v>25</v>
      </c>
      <c r="I667" s="45" t="s">
        <v>26</v>
      </c>
      <c r="J667" s="45" t="s">
        <v>887</v>
      </c>
      <c r="K667" s="46" t="s">
        <v>31</v>
      </c>
      <c r="L667" s="47" t="s">
        <v>1379</v>
      </c>
    </row>
    <row r="668" spans="1:12" ht="14.5" x14ac:dyDescent="0.35">
      <c r="A668" s="47" t="s">
        <v>1363</v>
      </c>
      <c r="B668" s="43">
        <v>8470330</v>
      </c>
      <c r="C668" s="44" t="s">
        <v>268</v>
      </c>
      <c r="D668" s="43">
        <v>435508</v>
      </c>
      <c r="E668" s="44" t="s">
        <v>104</v>
      </c>
      <c r="F668" s="43">
        <v>847001</v>
      </c>
      <c r="G668" s="44" t="s">
        <v>24</v>
      </c>
      <c r="H668" s="44" t="s">
        <v>28</v>
      </c>
      <c r="I668" s="45" t="s">
        <v>29</v>
      </c>
      <c r="J668" s="45" t="s">
        <v>888</v>
      </c>
      <c r="K668" s="46" t="s">
        <v>31</v>
      </c>
      <c r="L668" s="47" t="s">
        <v>1379</v>
      </c>
    </row>
    <row r="669" spans="1:12" ht="14.5" x14ac:dyDescent="0.35">
      <c r="A669" s="47" t="s">
        <v>1363</v>
      </c>
      <c r="B669" s="43">
        <v>8470335</v>
      </c>
      <c r="C669" s="44" t="s">
        <v>317</v>
      </c>
      <c r="D669" s="43">
        <v>435508</v>
      </c>
      <c r="E669" s="44" t="s">
        <v>104</v>
      </c>
      <c r="F669" s="43">
        <v>847001</v>
      </c>
      <c r="G669" s="44" t="s">
        <v>24</v>
      </c>
      <c r="H669" s="44" t="s">
        <v>25</v>
      </c>
      <c r="I669" s="45" t="s">
        <v>26</v>
      </c>
      <c r="J669" s="45" t="s">
        <v>889</v>
      </c>
      <c r="K669" s="46" t="s">
        <v>31</v>
      </c>
      <c r="L669" s="47" t="s">
        <v>1379</v>
      </c>
    </row>
    <row r="670" spans="1:12" ht="14.5" x14ac:dyDescent="0.35">
      <c r="A670" s="47" t="s">
        <v>1363</v>
      </c>
      <c r="B670" s="43">
        <v>8470335</v>
      </c>
      <c r="C670" s="44" t="s">
        <v>317</v>
      </c>
      <c r="D670" s="43">
        <v>435508</v>
      </c>
      <c r="E670" s="44" t="s">
        <v>104</v>
      </c>
      <c r="F670" s="43">
        <v>847001</v>
      </c>
      <c r="G670" s="44" t="s">
        <v>24</v>
      </c>
      <c r="H670" s="44" t="s">
        <v>28</v>
      </c>
      <c r="I670" s="45" t="s">
        <v>29</v>
      </c>
      <c r="J670" s="45" t="s">
        <v>890</v>
      </c>
      <c r="K670" s="46" t="s">
        <v>31</v>
      </c>
      <c r="L670" s="47" t="s">
        <v>1379</v>
      </c>
    </row>
    <row r="671" spans="1:12" ht="14.5" x14ac:dyDescent="0.35">
      <c r="A671" s="47" t="s">
        <v>1363</v>
      </c>
      <c r="B671" s="43">
        <v>8470340</v>
      </c>
      <c r="C671" s="44" t="s">
        <v>234</v>
      </c>
      <c r="D671" s="43">
        <v>435508</v>
      </c>
      <c r="E671" s="44" t="s">
        <v>104</v>
      </c>
      <c r="F671" s="43">
        <v>847001</v>
      </c>
      <c r="G671" s="44" t="s">
        <v>24</v>
      </c>
      <c r="H671" s="44" t="s">
        <v>25</v>
      </c>
      <c r="I671" s="45" t="s">
        <v>26</v>
      </c>
      <c r="J671" s="45" t="s">
        <v>891</v>
      </c>
      <c r="K671" s="46" t="s">
        <v>31</v>
      </c>
      <c r="L671" s="47" t="s">
        <v>1379</v>
      </c>
    </row>
    <row r="672" spans="1:12" ht="14.5" x14ac:dyDescent="0.35">
      <c r="A672" s="47" t="s">
        <v>1363</v>
      </c>
      <c r="B672" s="43">
        <v>8470340</v>
      </c>
      <c r="C672" s="44" t="s">
        <v>234</v>
      </c>
      <c r="D672" s="43">
        <v>435508</v>
      </c>
      <c r="E672" s="44" t="s">
        <v>104</v>
      </c>
      <c r="F672" s="43">
        <v>847001</v>
      </c>
      <c r="G672" s="44" t="s">
        <v>24</v>
      </c>
      <c r="H672" s="44" t="s">
        <v>28</v>
      </c>
      <c r="I672" s="45" t="s">
        <v>29</v>
      </c>
      <c r="J672" s="45" t="s">
        <v>892</v>
      </c>
      <c r="K672" s="46" t="s">
        <v>31</v>
      </c>
      <c r="L672" s="47" t="s">
        <v>1379</v>
      </c>
    </row>
    <row r="673" spans="1:12" ht="14.5" x14ac:dyDescent="0.35">
      <c r="A673" s="47" t="s">
        <v>1363</v>
      </c>
      <c r="B673" s="43">
        <v>8470345</v>
      </c>
      <c r="C673" s="44" t="s">
        <v>188</v>
      </c>
      <c r="D673" s="43">
        <v>435508</v>
      </c>
      <c r="E673" s="44" t="s">
        <v>104</v>
      </c>
      <c r="F673" s="43">
        <v>847001</v>
      </c>
      <c r="G673" s="44" t="s">
        <v>24</v>
      </c>
      <c r="H673" s="44" t="s">
        <v>25</v>
      </c>
      <c r="I673" s="45" t="s">
        <v>26</v>
      </c>
      <c r="J673" s="45" t="s">
        <v>893</v>
      </c>
      <c r="K673" s="46" t="s">
        <v>31</v>
      </c>
      <c r="L673" s="47" t="s">
        <v>1379</v>
      </c>
    </row>
    <row r="674" spans="1:12" ht="14.5" x14ac:dyDescent="0.35">
      <c r="A674" s="47" t="s">
        <v>1363</v>
      </c>
      <c r="B674" s="43">
        <v>8470345</v>
      </c>
      <c r="C674" s="44" t="s">
        <v>188</v>
      </c>
      <c r="D674" s="43">
        <v>435508</v>
      </c>
      <c r="E674" s="44" t="s">
        <v>104</v>
      </c>
      <c r="F674" s="43">
        <v>847001</v>
      </c>
      <c r="G674" s="44" t="s">
        <v>24</v>
      </c>
      <c r="H674" s="44" t="s">
        <v>28</v>
      </c>
      <c r="I674" s="45" t="s">
        <v>29</v>
      </c>
      <c r="J674" s="45" t="s">
        <v>894</v>
      </c>
      <c r="K674" s="46" t="s">
        <v>31</v>
      </c>
      <c r="L674" s="47" t="s">
        <v>1379</v>
      </c>
    </row>
    <row r="675" spans="1:12" ht="14.5" x14ac:dyDescent="0.35">
      <c r="A675" s="47" t="s">
        <v>1363</v>
      </c>
      <c r="B675" s="43">
        <v>8470350</v>
      </c>
      <c r="C675" s="44" t="s">
        <v>191</v>
      </c>
      <c r="D675" s="43">
        <v>435508</v>
      </c>
      <c r="E675" s="44" t="s">
        <v>104</v>
      </c>
      <c r="F675" s="43">
        <v>847001</v>
      </c>
      <c r="G675" s="44" t="s">
        <v>24</v>
      </c>
      <c r="H675" s="44" t="s">
        <v>25</v>
      </c>
      <c r="I675" s="45" t="s">
        <v>26</v>
      </c>
      <c r="J675" s="45" t="s">
        <v>895</v>
      </c>
      <c r="K675" s="46" t="s">
        <v>31</v>
      </c>
      <c r="L675" s="47" t="s">
        <v>1379</v>
      </c>
    </row>
    <row r="676" spans="1:12" ht="14.5" x14ac:dyDescent="0.35">
      <c r="A676" s="47" t="s">
        <v>1363</v>
      </c>
      <c r="B676" s="43">
        <v>8470350</v>
      </c>
      <c r="C676" s="44" t="s">
        <v>191</v>
      </c>
      <c r="D676" s="43">
        <v>435508</v>
      </c>
      <c r="E676" s="44" t="s">
        <v>104</v>
      </c>
      <c r="F676" s="43">
        <v>847001</v>
      </c>
      <c r="G676" s="44" t="s">
        <v>24</v>
      </c>
      <c r="H676" s="44" t="s">
        <v>28</v>
      </c>
      <c r="I676" s="45" t="s">
        <v>29</v>
      </c>
      <c r="J676" s="45" t="s">
        <v>896</v>
      </c>
      <c r="K676" s="46" t="s">
        <v>31</v>
      </c>
      <c r="L676" s="47" t="s">
        <v>1379</v>
      </c>
    </row>
    <row r="677" spans="1:12" ht="14.5" x14ac:dyDescent="0.35">
      <c r="A677" s="47" t="s">
        <v>1357</v>
      </c>
      <c r="B677" s="43">
        <v>8470405</v>
      </c>
      <c r="C677" s="44" t="s">
        <v>270</v>
      </c>
      <c r="D677" s="43">
        <v>435508</v>
      </c>
      <c r="E677" s="44" t="s">
        <v>104</v>
      </c>
      <c r="F677" s="43">
        <v>847001</v>
      </c>
      <c r="G677" s="44" t="s">
        <v>24</v>
      </c>
      <c r="H677" s="44" t="s">
        <v>28</v>
      </c>
      <c r="I677" s="45" t="s">
        <v>29</v>
      </c>
      <c r="J677" s="45" t="s">
        <v>897</v>
      </c>
      <c r="K677" s="46" t="s">
        <v>31</v>
      </c>
      <c r="L677" s="47" t="s">
        <v>1379</v>
      </c>
    </row>
    <row r="678" spans="1:12" ht="14.5" x14ac:dyDescent="0.35">
      <c r="A678" s="47" t="s">
        <v>1357</v>
      </c>
      <c r="B678" s="43">
        <v>8470415</v>
      </c>
      <c r="C678" s="44" t="s">
        <v>362</v>
      </c>
      <c r="D678" s="43">
        <v>435508</v>
      </c>
      <c r="E678" s="44" t="s">
        <v>104</v>
      </c>
      <c r="F678" s="43">
        <v>847001</v>
      </c>
      <c r="G678" s="44" t="s">
        <v>24</v>
      </c>
      <c r="H678" s="44" t="s">
        <v>25</v>
      </c>
      <c r="I678" s="45" t="s">
        <v>26</v>
      </c>
      <c r="J678" s="45" t="s">
        <v>898</v>
      </c>
      <c r="K678" s="46" t="s">
        <v>31</v>
      </c>
      <c r="L678" s="47" t="s">
        <v>1379</v>
      </c>
    </row>
    <row r="679" spans="1:12" ht="14.5" x14ac:dyDescent="0.35">
      <c r="A679" s="47" t="s">
        <v>1357</v>
      </c>
      <c r="B679" s="43">
        <v>8470415</v>
      </c>
      <c r="C679" s="44" t="s">
        <v>362</v>
      </c>
      <c r="D679" s="43">
        <v>435508</v>
      </c>
      <c r="E679" s="44" t="s">
        <v>104</v>
      </c>
      <c r="F679" s="43">
        <v>847001</v>
      </c>
      <c r="G679" s="44" t="s">
        <v>24</v>
      </c>
      <c r="H679" s="44" t="s">
        <v>28</v>
      </c>
      <c r="I679" s="45" t="s">
        <v>29</v>
      </c>
      <c r="J679" s="45" t="s">
        <v>899</v>
      </c>
      <c r="K679" s="46" t="s">
        <v>31</v>
      </c>
      <c r="L679" s="47" t="s">
        <v>1379</v>
      </c>
    </row>
    <row r="680" spans="1:12" ht="14.5" x14ac:dyDescent="0.35">
      <c r="A680" s="47" t="s">
        <v>1357</v>
      </c>
      <c r="B680" s="43">
        <v>8470425</v>
      </c>
      <c r="C680" s="44" t="s">
        <v>272</v>
      </c>
      <c r="D680" s="43">
        <v>435508</v>
      </c>
      <c r="E680" s="44" t="s">
        <v>104</v>
      </c>
      <c r="F680" s="43">
        <v>847001</v>
      </c>
      <c r="G680" s="44" t="s">
        <v>24</v>
      </c>
      <c r="H680" s="44" t="s">
        <v>25</v>
      </c>
      <c r="I680" s="45" t="s">
        <v>26</v>
      </c>
      <c r="J680" s="45" t="s">
        <v>900</v>
      </c>
      <c r="K680" s="46" t="s">
        <v>31</v>
      </c>
      <c r="L680" s="47" t="s">
        <v>1379</v>
      </c>
    </row>
    <row r="681" spans="1:12" ht="14.5" x14ac:dyDescent="0.35">
      <c r="A681" s="47" t="s">
        <v>1357</v>
      </c>
      <c r="B681" s="43">
        <v>8470430</v>
      </c>
      <c r="C681" s="44" t="s">
        <v>424</v>
      </c>
      <c r="D681" s="43">
        <v>435508</v>
      </c>
      <c r="E681" s="44" t="s">
        <v>104</v>
      </c>
      <c r="F681" s="43">
        <v>847001</v>
      </c>
      <c r="G681" s="44" t="s">
        <v>24</v>
      </c>
      <c r="H681" s="44" t="s">
        <v>25</v>
      </c>
      <c r="I681" s="45" t="s">
        <v>26</v>
      </c>
      <c r="J681" s="45" t="s">
        <v>901</v>
      </c>
      <c r="K681" s="46" t="s">
        <v>31</v>
      </c>
      <c r="L681" s="47" t="s">
        <v>1379</v>
      </c>
    </row>
    <row r="682" spans="1:12" ht="14.5" x14ac:dyDescent="0.35">
      <c r="A682" s="47" t="s">
        <v>1357</v>
      </c>
      <c r="B682" s="43">
        <v>8470430</v>
      </c>
      <c r="C682" s="44" t="s">
        <v>424</v>
      </c>
      <c r="D682" s="43">
        <v>435508</v>
      </c>
      <c r="E682" s="44" t="s">
        <v>104</v>
      </c>
      <c r="F682" s="43">
        <v>847001</v>
      </c>
      <c r="G682" s="44" t="s">
        <v>24</v>
      </c>
      <c r="H682" s="44" t="s">
        <v>28</v>
      </c>
      <c r="I682" s="45" t="s">
        <v>29</v>
      </c>
      <c r="J682" s="45" t="s">
        <v>902</v>
      </c>
      <c r="K682" s="46" t="s">
        <v>31</v>
      </c>
      <c r="L682" s="47" t="s">
        <v>1379</v>
      </c>
    </row>
    <row r="683" spans="1:12" ht="14.5" x14ac:dyDescent="0.35">
      <c r="A683" s="47" t="s">
        <v>1357</v>
      </c>
      <c r="B683" s="43">
        <v>8470450</v>
      </c>
      <c r="C683" s="44" t="s">
        <v>275</v>
      </c>
      <c r="D683" s="43">
        <v>435508</v>
      </c>
      <c r="E683" s="44" t="s">
        <v>104</v>
      </c>
      <c r="F683" s="43">
        <v>847001</v>
      </c>
      <c r="G683" s="44" t="s">
        <v>24</v>
      </c>
      <c r="H683" s="44" t="s">
        <v>25</v>
      </c>
      <c r="I683" s="45" t="s">
        <v>26</v>
      </c>
      <c r="J683" s="45" t="s">
        <v>903</v>
      </c>
      <c r="K683" s="46" t="s">
        <v>31</v>
      </c>
      <c r="L683" s="47" t="s">
        <v>1379</v>
      </c>
    </row>
    <row r="684" spans="1:12" ht="14.5" x14ac:dyDescent="0.35">
      <c r="A684" s="47" t="s">
        <v>1357</v>
      </c>
      <c r="B684" s="43">
        <v>8470450</v>
      </c>
      <c r="C684" s="44" t="s">
        <v>275</v>
      </c>
      <c r="D684" s="43">
        <v>435508</v>
      </c>
      <c r="E684" s="44" t="s">
        <v>104</v>
      </c>
      <c r="F684" s="43">
        <v>847001</v>
      </c>
      <c r="G684" s="44" t="s">
        <v>24</v>
      </c>
      <c r="H684" s="44" t="s">
        <v>28</v>
      </c>
      <c r="I684" s="45" t="s">
        <v>29</v>
      </c>
      <c r="J684" s="45" t="s">
        <v>904</v>
      </c>
      <c r="K684" s="46" t="s">
        <v>31</v>
      </c>
      <c r="L684" s="47" t="s">
        <v>1379</v>
      </c>
    </row>
    <row r="685" spans="1:12" ht="14.5" x14ac:dyDescent="0.35">
      <c r="A685" s="47" t="s">
        <v>1358</v>
      </c>
      <c r="B685" s="43">
        <v>8470530</v>
      </c>
      <c r="C685" s="44" t="s">
        <v>165</v>
      </c>
      <c r="D685" s="43">
        <v>435508</v>
      </c>
      <c r="E685" s="44" t="s">
        <v>104</v>
      </c>
      <c r="F685" s="43">
        <v>847010</v>
      </c>
      <c r="G685" s="44" t="s">
        <v>167</v>
      </c>
      <c r="H685" s="44" t="s">
        <v>28</v>
      </c>
      <c r="I685" s="45" t="s">
        <v>29</v>
      </c>
      <c r="J685" s="45" t="s">
        <v>905</v>
      </c>
      <c r="K685" s="46" t="s">
        <v>31</v>
      </c>
      <c r="L685" s="47" t="s">
        <v>1379</v>
      </c>
    </row>
    <row r="686" spans="1:12" ht="14.5" x14ac:dyDescent="0.35">
      <c r="A686" s="47" t="s">
        <v>1358</v>
      </c>
      <c r="B686" s="43">
        <v>8470530</v>
      </c>
      <c r="C686" s="44" t="s">
        <v>165</v>
      </c>
      <c r="D686" s="43">
        <v>435508</v>
      </c>
      <c r="E686" s="44" t="s">
        <v>104</v>
      </c>
      <c r="F686" s="43">
        <v>847020</v>
      </c>
      <c r="G686" s="44" t="s">
        <v>170</v>
      </c>
      <c r="H686" s="44" t="s">
        <v>25</v>
      </c>
      <c r="I686" s="45" t="s">
        <v>26</v>
      </c>
      <c r="J686" s="45" t="s">
        <v>906</v>
      </c>
      <c r="K686" s="46" t="s">
        <v>31</v>
      </c>
      <c r="L686" s="47" t="s">
        <v>1379</v>
      </c>
    </row>
    <row r="687" spans="1:12" ht="14.5" x14ac:dyDescent="0.35">
      <c r="A687" s="47" t="s">
        <v>1358</v>
      </c>
      <c r="B687" s="43">
        <v>8470530</v>
      </c>
      <c r="C687" s="44" t="s">
        <v>165</v>
      </c>
      <c r="D687" s="43">
        <v>435508</v>
      </c>
      <c r="E687" s="44" t="s">
        <v>104</v>
      </c>
      <c r="F687" s="43">
        <v>847030</v>
      </c>
      <c r="G687" s="44" t="s">
        <v>173</v>
      </c>
      <c r="H687" s="44" t="s">
        <v>25</v>
      </c>
      <c r="I687" s="45" t="s">
        <v>26</v>
      </c>
      <c r="J687" s="45" t="s">
        <v>907</v>
      </c>
      <c r="K687" s="46" t="s">
        <v>31</v>
      </c>
      <c r="L687" s="47" t="s">
        <v>1379</v>
      </c>
    </row>
    <row r="688" spans="1:12" ht="14.5" x14ac:dyDescent="0.35">
      <c r="A688" s="47" t="s">
        <v>1368</v>
      </c>
      <c r="B688" s="43">
        <v>8471110</v>
      </c>
      <c r="C688" s="44" t="s">
        <v>227</v>
      </c>
      <c r="D688" s="43">
        <v>435508</v>
      </c>
      <c r="E688" s="44" t="s">
        <v>104</v>
      </c>
      <c r="F688" s="43">
        <v>847001</v>
      </c>
      <c r="G688" s="44" t="s">
        <v>24</v>
      </c>
      <c r="H688" s="44" t="s">
        <v>28</v>
      </c>
      <c r="I688" s="45" t="s">
        <v>29</v>
      </c>
      <c r="J688" s="45" t="s">
        <v>908</v>
      </c>
      <c r="K688" s="46" t="s">
        <v>31</v>
      </c>
      <c r="L688" s="47" t="s">
        <v>1379</v>
      </c>
    </row>
    <row r="689" spans="1:12" ht="14.5" x14ac:dyDescent="0.35">
      <c r="A689" s="47" t="s">
        <v>1368</v>
      </c>
      <c r="B689" s="43">
        <v>8471130</v>
      </c>
      <c r="C689" s="44" t="s">
        <v>197</v>
      </c>
      <c r="D689" s="43">
        <v>435508</v>
      </c>
      <c r="E689" s="44" t="s">
        <v>104</v>
      </c>
      <c r="F689" s="43">
        <v>847001</v>
      </c>
      <c r="G689" s="44" t="s">
        <v>24</v>
      </c>
      <c r="H689" s="44" t="s">
        <v>28</v>
      </c>
      <c r="I689" s="45" t="s">
        <v>29</v>
      </c>
      <c r="J689" s="45" t="s">
        <v>909</v>
      </c>
      <c r="K689" s="46" t="s">
        <v>31</v>
      </c>
      <c r="L689" s="47" t="s">
        <v>1379</v>
      </c>
    </row>
    <row r="690" spans="1:12" ht="14.5" x14ac:dyDescent="0.35">
      <c r="A690" s="47" t="s">
        <v>1368</v>
      </c>
      <c r="B690" s="43">
        <v>8471160</v>
      </c>
      <c r="C690" s="44" t="s">
        <v>281</v>
      </c>
      <c r="D690" s="43">
        <v>435508</v>
      </c>
      <c r="E690" s="44" t="s">
        <v>104</v>
      </c>
      <c r="F690" s="43">
        <v>847001</v>
      </c>
      <c r="G690" s="44" t="s">
        <v>24</v>
      </c>
      <c r="H690" s="44" t="s">
        <v>25</v>
      </c>
      <c r="I690" s="45" t="s">
        <v>26</v>
      </c>
      <c r="J690" s="45" t="s">
        <v>910</v>
      </c>
      <c r="K690" s="46" t="s">
        <v>31</v>
      </c>
      <c r="L690" s="47" t="s">
        <v>1379</v>
      </c>
    </row>
    <row r="691" spans="1:12" ht="14.5" x14ac:dyDescent="0.35">
      <c r="A691" s="47" t="s">
        <v>1368</v>
      </c>
      <c r="B691" s="43">
        <v>8471160</v>
      </c>
      <c r="C691" s="44" t="s">
        <v>281</v>
      </c>
      <c r="D691" s="43">
        <v>435508</v>
      </c>
      <c r="E691" s="44" t="s">
        <v>104</v>
      </c>
      <c r="F691" s="43">
        <v>847001</v>
      </c>
      <c r="G691" s="44" t="s">
        <v>24</v>
      </c>
      <c r="H691" s="44" t="s">
        <v>28</v>
      </c>
      <c r="I691" s="45" t="s">
        <v>29</v>
      </c>
      <c r="J691" s="45" t="s">
        <v>911</v>
      </c>
      <c r="K691" s="46" t="s">
        <v>31</v>
      </c>
      <c r="L691" s="47" t="s">
        <v>1379</v>
      </c>
    </row>
    <row r="692" spans="1:12" ht="14.5" x14ac:dyDescent="0.35">
      <c r="A692" s="47" t="s">
        <v>1365</v>
      </c>
      <c r="B692" s="43">
        <v>8471240</v>
      </c>
      <c r="C692" s="44" t="s">
        <v>346</v>
      </c>
      <c r="D692" s="43">
        <v>435508</v>
      </c>
      <c r="E692" s="44" t="s">
        <v>104</v>
      </c>
      <c r="F692" s="43">
        <v>847001</v>
      </c>
      <c r="G692" s="44" t="s">
        <v>24</v>
      </c>
      <c r="H692" s="44" t="s">
        <v>28</v>
      </c>
      <c r="I692" s="45" t="s">
        <v>29</v>
      </c>
      <c r="J692" s="45" t="s">
        <v>912</v>
      </c>
      <c r="K692" s="46" t="s">
        <v>31</v>
      </c>
      <c r="L692" s="47" t="s">
        <v>1379</v>
      </c>
    </row>
    <row r="693" spans="1:12" ht="14.5" x14ac:dyDescent="0.35">
      <c r="A693" s="47" t="s">
        <v>1371</v>
      </c>
      <c r="B693" s="43">
        <v>8471305</v>
      </c>
      <c r="C693" s="44" t="s">
        <v>32</v>
      </c>
      <c r="D693" s="43">
        <v>435508</v>
      </c>
      <c r="E693" s="44" t="s">
        <v>104</v>
      </c>
      <c r="F693" s="43">
        <v>847001</v>
      </c>
      <c r="G693" s="44" t="s">
        <v>24</v>
      </c>
      <c r="H693" s="44" t="s">
        <v>25</v>
      </c>
      <c r="I693" s="45" t="s">
        <v>26</v>
      </c>
      <c r="J693" s="45" t="s">
        <v>105</v>
      </c>
      <c r="K693" s="46" t="s">
        <v>31</v>
      </c>
      <c r="L693" s="47" t="s">
        <v>1379</v>
      </c>
    </row>
    <row r="694" spans="1:12" ht="14.5" x14ac:dyDescent="0.35">
      <c r="A694" s="47" t="s">
        <v>1371</v>
      </c>
      <c r="B694" s="43">
        <v>8471305</v>
      </c>
      <c r="C694" s="44" t="s">
        <v>32</v>
      </c>
      <c r="D694" s="43">
        <v>435508</v>
      </c>
      <c r="E694" s="44" t="s">
        <v>104</v>
      </c>
      <c r="F694" s="43">
        <v>847001</v>
      </c>
      <c r="G694" s="44" t="s">
        <v>24</v>
      </c>
      <c r="H694" s="44" t="s">
        <v>28</v>
      </c>
      <c r="I694" s="45" t="s">
        <v>29</v>
      </c>
      <c r="J694" s="45" t="s">
        <v>106</v>
      </c>
      <c r="K694" s="46" t="s">
        <v>31</v>
      </c>
      <c r="L694" s="47" t="s">
        <v>1379</v>
      </c>
    </row>
    <row r="695" spans="1:12" ht="14.5" x14ac:dyDescent="0.35">
      <c r="A695" s="47" t="s">
        <v>1358</v>
      </c>
      <c r="B695" s="43">
        <v>8470530</v>
      </c>
      <c r="C695" s="44" t="s">
        <v>165</v>
      </c>
      <c r="D695" s="43">
        <v>435510</v>
      </c>
      <c r="E695" s="44" t="s">
        <v>913</v>
      </c>
      <c r="F695" s="43">
        <v>847010</v>
      </c>
      <c r="G695" s="44" t="s">
        <v>167</v>
      </c>
      <c r="H695" s="44" t="s">
        <v>25</v>
      </c>
      <c r="I695" s="45" t="s">
        <v>26</v>
      </c>
      <c r="J695" s="45" t="s">
        <v>914</v>
      </c>
      <c r="K695" s="46" t="s">
        <v>571</v>
      </c>
      <c r="L695" s="47" t="s">
        <v>1379</v>
      </c>
    </row>
    <row r="696" spans="1:12" ht="14.5" x14ac:dyDescent="0.35">
      <c r="A696" s="47" t="s">
        <v>1358</v>
      </c>
      <c r="B696" s="43">
        <v>8470530</v>
      </c>
      <c r="C696" s="44" t="s">
        <v>165</v>
      </c>
      <c r="D696" s="43">
        <v>435510</v>
      </c>
      <c r="E696" s="44" t="s">
        <v>913</v>
      </c>
      <c r="F696" s="43">
        <v>847010</v>
      </c>
      <c r="G696" s="44" t="s">
        <v>167</v>
      </c>
      <c r="H696" s="44" t="s">
        <v>28</v>
      </c>
      <c r="I696" s="45" t="s">
        <v>29</v>
      </c>
      <c r="J696" s="45" t="s">
        <v>915</v>
      </c>
      <c r="K696" s="46" t="s">
        <v>571</v>
      </c>
      <c r="L696" s="47" t="s">
        <v>1379</v>
      </c>
    </row>
    <row r="697" spans="1:12" ht="14.5" x14ac:dyDescent="0.35">
      <c r="A697" s="47" t="s">
        <v>1358</v>
      </c>
      <c r="B697" s="43">
        <v>8470530</v>
      </c>
      <c r="C697" s="44" t="s">
        <v>165</v>
      </c>
      <c r="D697" s="43">
        <v>435510</v>
      </c>
      <c r="E697" s="44" t="s">
        <v>913</v>
      </c>
      <c r="F697" s="43">
        <v>847020</v>
      </c>
      <c r="G697" s="44" t="s">
        <v>170</v>
      </c>
      <c r="H697" s="44" t="s">
        <v>25</v>
      </c>
      <c r="I697" s="45" t="s">
        <v>26</v>
      </c>
      <c r="J697" s="45" t="s">
        <v>916</v>
      </c>
      <c r="K697" s="46" t="s">
        <v>571</v>
      </c>
      <c r="L697" s="47" t="s">
        <v>1379</v>
      </c>
    </row>
    <row r="698" spans="1:12" ht="14.5" x14ac:dyDescent="0.35">
      <c r="A698" s="47" t="s">
        <v>1358</v>
      </c>
      <c r="B698" s="43">
        <v>8470530</v>
      </c>
      <c r="C698" s="44" t="s">
        <v>165</v>
      </c>
      <c r="D698" s="43">
        <v>435510</v>
      </c>
      <c r="E698" s="44" t="s">
        <v>913</v>
      </c>
      <c r="F698" s="43">
        <v>847020</v>
      </c>
      <c r="G698" s="44" t="s">
        <v>170</v>
      </c>
      <c r="H698" s="44" t="s">
        <v>28</v>
      </c>
      <c r="I698" s="45" t="s">
        <v>29</v>
      </c>
      <c r="J698" s="45" t="s">
        <v>917</v>
      </c>
      <c r="K698" s="46" t="s">
        <v>571</v>
      </c>
      <c r="L698" s="47" t="s">
        <v>1379</v>
      </c>
    </row>
    <row r="699" spans="1:12" ht="14.5" x14ac:dyDescent="0.35">
      <c r="A699" s="47" t="s">
        <v>1358</v>
      </c>
      <c r="B699" s="43">
        <v>8470530</v>
      </c>
      <c r="C699" s="44" t="s">
        <v>165</v>
      </c>
      <c r="D699" s="43">
        <v>435510</v>
      </c>
      <c r="E699" s="44" t="s">
        <v>913</v>
      </c>
      <c r="F699" s="43">
        <v>847030</v>
      </c>
      <c r="G699" s="44" t="s">
        <v>173</v>
      </c>
      <c r="H699" s="44" t="s">
        <v>25</v>
      </c>
      <c r="I699" s="45" t="s">
        <v>26</v>
      </c>
      <c r="J699" s="45" t="s">
        <v>918</v>
      </c>
      <c r="K699" s="46" t="s">
        <v>571</v>
      </c>
      <c r="L699" s="47" t="s">
        <v>1379</v>
      </c>
    </row>
    <row r="700" spans="1:12" ht="14.5" x14ac:dyDescent="0.35">
      <c r="A700" s="47" t="s">
        <v>1359</v>
      </c>
      <c r="B700" s="43">
        <v>8470140</v>
      </c>
      <c r="C700" s="44" t="s">
        <v>231</v>
      </c>
      <c r="D700" s="43">
        <v>435519</v>
      </c>
      <c r="E700" s="44" t="s">
        <v>107</v>
      </c>
      <c r="F700" s="43">
        <v>847001</v>
      </c>
      <c r="G700" s="44" t="s">
        <v>24</v>
      </c>
      <c r="H700" s="44" t="s">
        <v>25</v>
      </c>
      <c r="I700" s="45" t="s">
        <v>26</v>
      </c>
      <c r="J700" s="45" t="s">
        <v>919</v>
      </c>
      <c r="K700" s="46" t="s">
        <v>1079</v>
      </c>
      <c r="L700" s="47" t="s">
        <v>1391</v>
      </c>
    </row>
    <row r="701" spans="1:12" ht="14.5" x14ac:dyDescent="0.35">
      <c r="A701" s="47" t="s">
        <v>1371</v>
      </c>
      <c r="B701" s="43">
        <v>8471305</v>
      </c>
      <c r="C701" s="44" t="s">
        <v>32</v>
      </c>
      <c r="D701" s="43">
        <v>435519</v>
      </c>
      <c r="E701" s="44" t="s">
        <v>107</v>
      </c>
      <c r="F701" s="43">
        <v>847001</v>
      </c>
      <c r="G701" s="44" t="s">
        <v>24</v>
      </c>
      <c r="H701" s="44" t="s">
        <v>25</v>
      </c>
      <c r="I701" s="45" t="s">
        <v>26</v>
      </c>
      <c r="J701" s="45" t="s">
        <v>108</v>
      </c>
      <c r="K701" s="46" t="s">
        <v>1079</v>
      </c>
      <c r="L701" s="47" t="s">
        <v>1391</v>
      </c>
    </row>
    <row r="702" spans="1:12" ht="14.5" x14ac:dyDescent="0.35">
      <c r="A702" s="47" t="s">
        <v>1372</v>
      </c>
      <c r="B702" s="43">
        <v>8470910</v>
      </c>
      <c r="C702" s="44" t="s">
        <v>210</v>
      </c>
      <c r="D702" s="43">
        <v>435523</v>
      </c>
      <c r="E702" s="44" t="s">
        <v>920</v>
      </c>
      <c r="F702" s="43">
        <v>847001</v>
      </c>
      <c r="G702" s="44" t="s">
        <v>24</v>
      </c>
      <c r="H702" s="44" t="s">
        <v>28</v>
      </c>
      <c r="I702" s="45" t="s">
        <v>29</v>
      </c>
      <c r="J702" s="45" t="s">
        <v>921</v>
      </c>
      <c r="K702" s="46" t="s">
        <v>1082</v>
      </c>
      <c r="L702" s="47" t="s">
        <v>1379</v>
      </c>
    </row>
    <row r="703" spans="1:12" ht="14.5" x14ac:dyDescent="0.35">
      <c r="A703" s="47" t="s">
        <v>1368</v>
      </c>
      <c r="B703" s="43">
        <v>8471130</v>
      </c>
      <c r="C703" s="44" t="s">
        <v>197</v>
      </c>
      <c r="D703" s="43">
        <v>435523</v>
      </c>
      <c r="E703" s="44" t="s">
        <v>920</v>
      </c>
      <c r="F703" s="43">
        <v>847001</v>
      </c>
      <c r="G703" s="44" t="s">
        <v>24</v>
      </c>
      <c r="H703" s="44" t="s">
        <v>25</v>
      </c>
      <c r="I703" s="45" t="s">
        <v>26</v>
      </c>
      <c r="J703" s="45" t="s">
        <v>922</v>
      </c>
      <c r="K703" s="46" t="s">
        <v>1082</v>
      </c>
      <c r="L703" s="47" t="s">
        <v>1379</v>
      </c>
    </row>
    <row r="704" spans="1:12" ht="14.5" x14ac:dyDescent="0.35">
      <c r="A704" s="47" t="s">
        <v>1368</v>
      </c>
      <c r="B704" s="43">
        <v>8471130</v>
      </c>
      <c r="C704" s="44" t="s">
        <v>197</v>
      </c>
      <c r="D704" s="43">
        <v>435523</v>
      </c>
      <c r="E704" s="44" t="s">
        <v>920</v>
      </c>
      <c r="F704" s="43">
        <v>847001</v>
      </c>
      <c r="G704" s="44" t="s">
        <v>24</v>
      </c>
      <c r="H704" s="44" t="s">
        <v>28</v>
      </c>
      <c r="I704" s="45" t="s">
        <v>29</v>
      </c>
      <c r="J704" s="45" t="s">
        <v>923</v>
      </c>
      <c r="K704" s="46" t="s">
        <v>1082</v>
      </c>
      <c r="L704" s="47" t="s">
        <v>1379</v>
      </c>
    </row>
    <row r="705" spans="1:12" ht="14.5" x14ac:dyDescent="0.35">
      <c r="A705" s="47" t="s">
        <v>1368</v>
      </c>
      <c r="B705" s="43">
        <v>8471140</v>
      </c>
      <c r="C705" s="44" t="s">
        <v>339</v>
      </c>
      <c r="D705" s="43">
        <v>435523</v>
      </c>
      <c r="E705" s="44" t="s">
        <v>920</v>
      </c>
      <c r="F705" s="43">
        <v>847001</v>
      </c>
      <c r="G705" s="44" t="s">
        <v>24</v>
      </c>
      <c r="H705" s="44" t="s">
        <v>25</v>
      </c>
      <c r="I705" s="45" t="s">
        <v>26</v>
      </c>
      <c r="J705" s="45" t="s">
        <v>924</v>
      </c>
      <c r="K705" s="46" t="s">
        <v>1082</v>
      </c>
      <c r="L705" s="47" t="s">
        <v>1379</v>
      </c>
    </row>
    <row r="706" spans="1:12" ht="14.5" x14ac:dyDescent="0.35">
      <c r="A706" s="47" t="e">
        <v>#N/A</v>
      </c>
      <c r="B706" s="43">
        <v>8477010</v>
      </c>
      <c r="C706" s="44" t="s">
        <v>925</v>
      </c>
      <c r="D706" s="43">
        <v>435523</v>
      </c>
      <c r="E706" s="44" t="s">
        <v>920</v>
      </c>
      <c r="F706" s="43">
        <v>847040</v>
      </c>
      <c r="G706" s="44" t="s">
        <v>926</v>
      </c>
      <c r="H706" s="44" t="s">
        <v>28</v>
      </c>
      <c r="I706" s="45" t="s">
        <v>29</v>
      </c>
      <c r="J706" s="45" t="s">
        <v>927</v>
      </c>
      <c r="K706" s="46" t="s">
        <v>1082</v>
      </c>
      <c r="L706" s="47" t="s">
        <v>1379</v>
      </c>
    </row>
    <row r="707" spans="1:12" ht="14.5" x14ac:dyDescent="0.35">
      <c r="A707" s="47" t="s">
        <v>1365</v>
      </c>
      <c r="B707" s="43">
        <v>8471280</v>
      </c>
      <c r="C707" s="44" t="s">
        <v>355</v>
      </c>
      <c r="D707" s="43">
        <v>435530</v>
      </c>
      <c r="E707" s="44" t="s">
        <v>109</v>
      </c>
      <c r="F707" s="43">
        <v>847001</v>
      </c>
      <c r="G707" s="44" t="s">
        <v>24</v>
      </c>
      <c r="H707" s="44" t="s">
        <v>25</v>
      </c>
      <c r="I707" s="45" t="s">
        <v>26</v>
      </c>
      <c r="J707" s="45" t="s">
        <v>928</v>
      </c>
      <c r="K707" s="46" t="s">
        <v>31</v>
      </c>
      <c r="L707" s="47" t="s">
        <v>1379</v>
      </c>
    </row>
    <row r="708" spans="1:12" ht="14.5" x14ac:dyDescent="0.35">
      <c r="A708" s="47" t="s">
        <v>1365</v>
      </c>
      <c r="B708" s="43">
        <v>8471280</v>
      </c>
      <c r="C708" s="44" t="s">
        <v>355</v>
      </c>
      <c r="D708" s="43">
        <v>435530</v>
      </c>
      <c r="E708" s="44" t="s">
        <v>109</v>
      </c>
      <c r="F708" s="43">
        <v>847001</v>
      </c>
      <c r="G708" s="44" t="s">
        <v>24</v>
      </c>
      <c r="H708" s="44" t="s">
        <v>28</v>
      </c>
      <c r="I708" s="45" t="s">
        <v>29</v>
      </c>
      <c r="J708" s="45" t="s">
        <v>929</v>
      </c>
      <c r="K708" s="46" t="s">
        <v>31</v>
      </c>
      <c r="L708" s="47" t="s">
        <v>1379</v>
      </c>
    </row>
    <row r="709" spans="1:12" ht="14.5" x14ac:dyDescent="0.35">
      <c r="A709" s="47" t="s">
        <v>1371</v>
      </c>
      <c r="B709" s="43">
        <v>8471305</v>
      </c>
      <c r="C709" s="44" t="s">
        <v>32</v>
      </c>
      <c r="D709" s="43">
        <v>435530</v>
      </c>
      <c r="E709" s="44" t="s">
        <v>109</v>
      </c>
      <c r="F709" s="43">
        <v>847001</v>
      </c>
      <c r="G709" s="44" t="s">
        <v>24</v>
      </c>
      <c r="H709" s="44" t="s">
        <v>25</v>
      </c>
      <c r="I709" s="45" t="s">
        <v>26</v>
      </c>
      <c r="J709" s="45" t="s">
        <v>110</v>
      </c>
      <c r="K709" s="46" t="s">
        <v>31</v>
      </c>
      <c r="L709" s="47" t="s">
        <v>1379</v>
      </c>
    </row>
    <row r="710" spans="1:12" ht="14.5" x14ac:dyDescent="0.35">
      <c r="A710" s="47" t="s">
        <v>1358</v>
      </c>
      <c r="B710" s="43">
        <v>8470530</v>
      </c>
      <c r="C710" s="44" t="s">
        <v>165</v>
      </c>
      <c r="D710" s="43">
        <v>435740</v>
      </c>
      <c r="E710" s="44" t="s">
        <v>930</v>
      </c>
      <c r="F710" s="43">
        <v>847010</v>
      </c>
      <c r="G710" s="44" t="s">
        <v>167</v>
      </c>
      <c r="H710" s="44" t="s">
        <v>25</v>
      </c>
      <c r="I710" s="45" t="s">
        <v>26</v>
      </c>
      <c r="J710" s="45" t="s">
        <v>931</v>
      </c>
      <c r="K710" s="46" t="s">
        <v>571</v>
      </c>
      <c r="L710" s="47" t="s">
        <v>1379</v>
      </c>
    </row>
    <row r="711" spans="1:12" ht="14.5" x14ac:dyDescent="0.35">
      <c r="A711" s="47" t="s">
        <v>1358</v>
      </c>
      <c r="B711" s="43">
        <v>8470530</v>
      </c>
      <c r="C711" s="44" t="s">
        <v>165</v>
      </c>
      <c r="D711" s="43">
        <v>435740</v>
      </c>
      <c r="E711" s="44" t="s">
        <v>930</v>
      </c>
      <c r="F711" s="43">
        <v>847010</v>
      </c>
      <c r="G711" s="44" t="s">
        <v>167</v>
      </c>
      <c r="H711" s="44" t="s">
        <v>28</v>
      </c>
      <c r="I711" s="45" t="s">
        <v>29</v>
      </c>
      <c r="J711" s="45" t="s">
        <v>932</v>
      </c>
      <c r="K711" s="46" t="s">
        <v>571</v>
      </c>
      <c r="L711" s="47" t="s">
        <v>1379</v>
      </c>
    </row>
    <row r="712" spans="1:12" ht="14.5" x14ac:dyDescent="0.35">
      <c r="A712" s="47" t="s">
        <v>1358</v>
      </c>
      <c r="B712" s="43">
        <v>8470530</v>
      </c>
      <c r="C712" s="44" t="s">
        <v>165</v>
      </c>
      <c r="D712" s="43">
        <v>435740</v>
      </c>
      <c r="E712" s="44" t="s">
        <v>930</v>
      </c>
      <c r="F712" s="43">
        <v>847020</v>
      </c>
      <c r="G712" s="44" t="s">
        <v>170</v>
      </c>
      <c r="H712" s="44" t="s">
        <v>25</v>
      </c>
      <c r="I712" s="45" t="s">
        <v>26</v>
      </c>
      <c r="J712" s="45" t="s">
        <v>933</v>
      </c>
      <c r="K712" s="46" t="s">
        <v>571</v>
      </c>
      <c r="L712" s="47" t="s">
        <v>1379</v>
      </c>
    </row>
    <row r="713" spans="1:12" ht="14.5" x14ac:dyDescent="0.35">
      <c r="A713" s="47" t="s">
        <v>1358</v>
      </c>
      <c r="B713" s="43">
        <v>8470530</v>
      </c>
      <c r="C713" s="44" t="s">
        <v>165</v>
      </c>
      <c r="D713" s="43">
        <v>435740</v>
      </c>
      <c r="E713" s="44" t="s">
        <v>930</v>
      </c>
      <c r="F713" s="43">
        <v>847020</v>
      </c>
      <c r="G713" s="44" t="s">
        <v>170</v>
      </c>
      <c r="H713" s="44" t="s">
        <v>28</v>
      </c>
      <c r="I713" s="45" t="s">
        <v>29</v>
      </c>
      <c r="J713" s="45" t="s">
        <v>934</v>
      </c>
      <c r="K713" s="46" t="s">
        <v>571</v>
      </c>
      <c r="L713" s="47" t="s">
        <v>1379</v>
      </c>
    </row>
    <row r="714" spans="1:12" ht="14.5" x14ac:dyDescent="0.35">
      <c r="A714" s="47" t="s">
        <v>1358</v>
      </c>
      <c r="B714" s="43">
        <v>8470530</v>
      </c>
      <c r="C714" s="44" t="s">
        <v>165</v>
      </c>
      <c r="D714" s="43">
        <v>435740</v>
      </c>
      <c r="E714" s="44" t="s">
        <v>930</v>
      </c>
      <c r="F714" s="43">
        <v>847030</v>
      </c>
      <c r="G714" s="44" t="s">
        <v>173</v>
      </c>
      <c r="H714" s="44" t="s">
        <v>28</v>
      </c>
      <c r="I714" s="45" t="s">
        <v>29</v>
      </c>
      <c r="J714" s="45" t="s">
        <v>935</v>
      </c>
      <c r="K714" s="46" t="s">
        <v>571</v>
      </c>
      <c r="L714" s="47" t="s">
        <v>1379</v>
      </c>
    </row>
    <row r="715" spans="1:12" ht="14.5" x14ac:dyDescent="0.35">
      <c r="A715" s="47" t="s">
        <v>1359</v>
      </c>
      <c r="B715" s="43">
        <v>8470140</v>
      </c>
      <c r="C715" s="44" t="s">
        <v>231</v>
      </c>
      <c r="D715" s="43">
        <v>436110</v>
      </c>
      <c r="E715" s="44" t="s">
        <v>111</v>
      </c>
      <c r="F715" s="43">
        <v>847001</v>
      </c>
      <c r="G715" s="44" t="s">
        <v>24</v>
      </c>
      <c r="H715" s="44" t="s">
        <v>28</v>
      </c>
      <c r="I715" s="45" t="s">
        <v>29</v>
      </c>
      <c r="J715" s="45" t="s">
        <v>936</v>
      </c>
      <c r="K715" s="46" t="s">
        <v>27</v>
      </c>
      <c r="L715" s="47" t="s">
        <v>1379</v>
      </c>
    </row>
    <row r="716" spans="1:12" ht="14.5" x14ac:dyDescent="0.35">
      <c r="A716" s="47" t="s">
        <v>1366</v>
      </c>
      <c r="B716" s="43">
        <v>8470230</v>
      </c>
      <c r="C716" s="44" t="s">
        <v>183</v>
      </c>
      <c r="D716" s="43">
        <v>436110</v>
      </c>
      <c r="E716" s="44" t="s">
        <v>111</v>
      </c>
      <c r="F716" s="43">
        <v>847001</v>
      </c>
      <c r="G716" s="44" t="s">
        <v>24</v>
      </c>
      <c r="H716" s="44" t="s">
        <v>25</v>
      </c>
      <c r="I716" s="45" t="s">
        <v>26</v>
      </c>
      <c r="J716" s="45" t="s">
        <v>937</v>
      </c>
      <c r="K716" s="46" t="s">
        <v>27</v>
      </c>
      <c r="L716" s="47" t="s">
        <v>1379</v>
      </c>
    </row>
    <row r="717" spans="1:12" ht="14.5" x14ac:dyDescent="0.35">
      <c r="A717" s="47" t="s">
        <v>1366</v>
      </c>
      <c r="B717" s="43">
        <v>8470230</v>
      </c>
      <c r="C717" s="44" t="s">
        <v>183</v>
      </c>
      <c r="D717" s="43">
        <v>436110</v>
      </c>
      <c r="E717" s="44" t="s">
        <v>111</v>
      </c>
      <c r="F717" s="43">
        <v>847001</v>
      </c>
      <c r="G717" s="44" t="s">
        <v>24</v>
      </c>
      <c r="H717" s="44" t="s">
        <v>28</v>
      </c>
      <c r="I717" s="45" t="s">
        <v>29</v>
      </c>
      <c r="J717" s="45" t="s">
        <v>938</v>
      </c>
      <c r="K717" s="46" t="s">
        <v>27</v>
      </c>
      <c r="L717" s="47" t="s">
        <v>1379</v>
      </c>
    </row>
    <row r="718" spans="1:12" ht="14.5" x14ac:dyDescent="0.35">
      <c r="A718" s="47" t="s">
        <v>1363</v>
      </c>
      <c r="B718" s="43">
        <v>8470310</v>
      </c>
      <c r="C718" s="44" t="s">
        <v>309</v>
      </c>
      <c r="D718" s="43">
        <v>436110</v>
      </c>
      <c r="E718" s="44" t="s">
        <v>111</v>
      </c>
      <c r="F718" s="43">
        <v>847001</v>
      </c>
      <c r="G718" s="44" t="s">
        <v>24</v>
      </c>
      <c r="H718" s="44" t="s">
        <v>28</v>
      </c>
      <c r="I718" s="45" t="s">
        <v>29</v>
      </c>
      <c r="J718" s="45" t="s">
        <v>939</v>
      </c>
      <c r="K718" s="46" t="s">
        <v>27</v>
      </c>
      <c r="L718" s="47" t="s">
        <v>1379</v>
      </c>
    </row>
    <row r="719" spans="1:12" ht="14.5" x14ac:dyDescent="0.35">
      <c r="A719" s="47" t="s">
        <v>1363</v>
      </c>
      <c r="B719" s="43">
        <v>8470325</v>
      </c>
      <c r="C719" s="44" t="s">
        <v>186</v>
      </c>
      <c r="D719" s="43">
        <v>436110</v>
      </c>
      <c r="E719" s="44" t="s">
        <v>111</v>
      </c>
      <c r="F719" s="43">
        <v>847001</v>
      </c>
      <c r="G719" s="44" t="s">
        <v>24</v>
      </c>
      <c r="H719" s="44" t="s">
        <v>25</v>
      </c>
      <c r="I719" s="45" t="s">
        <v>26</v>
      </c>
      <c r="J719" s="45" t="s">
        <v>940</v>
      </c>
      <c r="K719" s="46" t="s">
        <v>27</v>
      </c>
      <c r="L719" s="47" t="s">
        <v>1379</v>
      </c>
    </row>
    <row r="720" spans="1:12" ht="14.5" x14ac:dyDescent="0.35">
      <c r="A720" s="47" t="s">
        <v>1363</v>
      </c>
      <c r="B720" s="43">
        <v>8470335</v>
      </c>
      <c r="C720" s="44" t="s">
        <v>317</v>
      </c>
      <c r="D720" s="43">
        <v>436110</v>
      </c>
      <c r="E720" s="44" t="s">
        <v>111</v>
      </c>
      <c r="F720" s="43">
        <v>847001</v>
      </c>
      <c r="G720" s="44" t="s">
        <v>24</v>
      </c>
      <c r="H720" s="44" t="s">
        <v>25</v>
      </c>
      <c r="I720" s="45" t="s">
        <v>26</v>
      </c>
      <c r="J720" s="45" t="s">
        <v>941</v>
      </c>
      <c r="K720" s="46" t="s">
        <v>27</v>
      </c>
      <c r="L720" s="47" t="s">
        <v>1379</v>
      </c>
    </row>
    <row r="721" spans="1:12" ht="14.5" x14ac:dyDescent="0.35">
      <c r="A721" s="47" t="s">
        <v>1363</v>
      </c>
      <c r="B721" s="43">
        <v>8470345</v>
      </c>
      <c r="C721" s="44" t="s">
        <v>188</v>
      </c>
      <c r="D721" s="43">
        <v>436110</v>
      </c>
      <c r="E721" s="44" t="s">
        <v>111</v>
      </c>
      <c r="F721" s="43">
        <v>847001</v>
      </c>
      <c r="G721" s="44" t="s">
        <v>24</v>
      </c>
      <c r="H721" s="44" t="s">
        <v>25</v>
      </c>
      <c r="I721" s="45" t="s">
        <v>26</v>
      </c>
      <c r="J721" s="45" t="s">
        <v>942</v>
      </c>
      <c r="K721" s="46" t="s">
        <v>27</v>
      </c>
      <c r="L721" s="47" t="s">
        <v>1379</v>
      </c>
    </row>
    <row r="722" spans="1:12" ht="14.5" x14ac:dyDescent="0.35">
      <c r="A722" s="47" t="s">
        <v>1363</v>
      </c>
      <c r="B722" s="43">
        <v>8470350</v>
      </c>
      <c r="C722" s="44" t="s">
        <v>191</v>
      </c>
      <c r="D722" s="43">
        <v>436110</v>
      </c>
      <c r="E722" s="44" t="s">
        <v>111</v>
      </c>
      <c r="F722" s="43">
        <v>847001</v>
      </c>
      <c r="G722" s="44" t="s">
        <v>24</v>
      </c>
      <c r="H722" s="44" t="s">
        <v>25</v>
      </c>
      <c r="I722" s="45" t="s">
        <v>26</v>
      </c>
      <c r="J722" s="45" t="s">
        <v>943</v>
      </c>
      <c r="K722" s="46" t="s">
        <v>27</v>
      </c>
      <c r="L722" s="47" t="s">
        <v>1379</v>
      </c>
    </row>
    <row r="723" spans="1:12" ht="14.5" x14ac:dyDescent="0.35">
      <c r="A723" s="47" t="s">
        <v>1357</v>
      </c>
      <c r="B723" s="43">
        <v>8470415</v>
      </c>
      <c r="C723" s="44" t="s">
        <v>362</v>
      </c>
      <c r="D723" s="43">
        <v>436110</v>
      </c>
      <c r="E723" s="44" t="s">
        <v>111</v>
      </c>
      <c r="F723" s="43">
        <v>847001</v>
      </c>
      <c r="G723" s="44" t="s">
        <v>24</v>
      </c>
      <c r="H723" s="44" t="s">
        <v>28</v>
      </c>
      <c r="I723" s="45" t="s">
        <v>29</v>
      </c>
      <c r="J723" s="45" t="s">
        <v>944</v>
      </c>
      <c r="K723" s="46" t="s">
        <v>27</v>
      </c>
      <c r="L723" s="47" t="s">
        <v>1379</v>
      </c>
    </row>
    <row r="724" spans="1:12" ht="14.5" x14ac:dyDescent="0.35">
      <c r="A724" s="47" t="s">
        <v>1358</v>
      </c>
      <c r="B724" s="43">
        <v>8470530</v>
      </c>
      <c r="C724" s="44" t="s">
        <v>165</v>
      </c>
      <c r="D724" s="43">
        <v>436110</v>
      </c>
      <c r="E724" s="44" t="s">
        <v>111</v>
      </c>
      <c r="F724" s="43">
        <v>847010</v>
      </c>
      <c r="G724" s="44" t="s">
        <v>167</v>
      </c>
      <c r="H724" s="44" t="s">
        <v>25</v>
      </c>
      <c r="I724" s="45" t="s">
        <v>26</v>
      </c>
      <c r="J724" s="45" t="s">
        <v>945</v>
      </c>
      <c r="K724" s="46" t="s">
        <v>27</v>
      </c>
      <c r="L724" s="47" t="s">
        <v>1379</v>
      </c>
    </row>
    <row r="725" spans="1:12" ht="14.5" x14ac:dyDescent="0.35">
      <c r="A725" s="47" t="s">
        <v>1358</v>
      </c>
      <c r="B725" s="43">
        <v>8470530</v>
      </c>
      <c r="C725" s="44" t="s">
        <v>165</v>
      </c>
      <c r="D725" s="43">
        <v>436110</v>
      </c>
      <c r="E725" s="44" t="s">
        <v>111</v>
      </c>
      <c r="F725" s="43">
        <v>847020</v>
      </c>
      <c r="G725" s="44" t="s">
        <v>170</v>
      </c>
      <c r="H725" s="44" t="s">
        <v>25</v>
      </c>
      <c r="I725" s="45" t="s">
        <v>26</v>
      </c>
      <c r="J725" s="45" t="s">
        <v>946</v>
      </c>
      <c r="K725" s="46" t="s">
        <v>27</v>
      </c>
      <c r="L725" s="47" t="s">
        <v>1379</v>
      </c>
    </row>
    <row r="726" spans="1:12" ht="14.5" x14ac:dyDescent="0.35">
      <c r="A726" s="47" t="s">
        <v>1362</v>
      </c>
      <c r="B726" s="43">
        <v>8470620</v>
      </c>
      <c r="C726" s="44" t="s">
        <v>161</v>
      </c>
      <c r="D726" s="43">
        <v>436110</v>
      </c>
      <c r="E726" s="44" t="s">
        <v>111</v>
      </c>
      <c r="F726" s="43">
        <v>847001</v>
      </c>
      <c r="G726" s="44" t="s">
        <v>24</v>
      </c>
      <c r="H726" s="44" t="s">
        <v>25</v>
      </c>
      <c r="I726" s="45" t="s">
        <v>26</v>
      </c>
      <c r="J726" s="45" t="s">
        <v>947</v>
      </c>
      <c r="K726" s="46" t="s">
        <v>27</v>
      </c>
      <c r="L726" s="47" t="s">
        <v>1379</v>
      </c>
    </row>
    <row r="727" spans="1:12" ht="14.5" x14ac:dyDescent="0.35">
      <c r="A727" s="47" t="s">
        <v>1362</v>
      </c>
      <c r="B727" s="43">
        <v>8470620</v>
      </c>
      <c r="C727" s="44" t="s">
        <v>161</v>
      </c>
      <c r="D727" s="43">
        <v>436110</v>
      </c>
      <c r="E727" s="44" t="s">
        <v>111</v>
      </c>
      <c r="F727" s="43">
        <v>847001</v>
      </c>
      <c r="G727" s="44" t="s">
        <v>24</v>
      </c>
      <c r="H727" s="44" t="s">
        <v>28</v>
      </c>
      <c r="I727" s="45" t="s">
        <v>29</v>
      </c>
      <c r="J727" s="45" t="s">
        <v>948</v>
      </c>
      <c r="K727" s="46" t="s">
        <v>27</v>
      </c>
      <c r="L727" s="47" t="s">
        <v>1379</v>
      </c>
    </row>
    <row r="728" spans="1:12" ht="14.5" x14ac:dyDescent="0.35">
      <c r="A728" s="47" t="s">
        <v>1367</v>
      </c>
      <c r="B728" s="43">
        <v>8470720</v>
      </c>
      <c r="C728" s="44" t="s">
        <v>221</v>
      </c>
      <c r="D728" s="43">
        <v>436110</v>
      </c>
      <c r="E728" s="44" t="s">
        <v>111</v>
      </c>
      <c r="F728" s="43">
        <v>847001</v>
      </c>
      <c r="G728" s="44" t="s">
        <v>24</v>
      </c>
      <c r="H728" s="44" t="s">
        <v>25</v>
      </c>
      <c r="I728" s="45" t="s">
        <v>26</v>
      </c>
      <c r="J728" s="45" t="s">
        <v>949</v>
      </c>
      <c r="K728" s="46" t="s">
        <v>27</v>
      </c>
      <c r="L728" s="47" t="s">
        <v>1379</v>
      </c>
    </row>
    <row r="729" spans="1:12" ht="14.5" x14ac:dyDescent="0.35">
      <c r="A729" s="47" t="s">
        <v>1367</v>
      </c>
      <c r="B729" s="43">
        <v>8470720</v>
      </c>
      <c r="C729" s="44" t="s">
        <v>221</v>
      </c>
      <c r="D729" s="43">
        <v>436110</v>
      </c>
      <c r="E729" s="44" t="s">
        <v>111</v>
      </c>
      <c r="F729" s="43">
        <v>847001</v>
      </c>
      <c r="G729" s="44" t="s">
        <v>24</v>
      </c>
      <c r="H729" s="44" t="s">
        <v>28</v>
      </c>
      <c r="I729" s="45" t="s">
        <v>29</v>
      </c>
      <c r="J729" s="45" t="s">
        <v>950</v>
      </c>
      <c r="K729" s="46" t="s">
        <v>27</v>
      </c>
      <c r="L729" s="47" t="s">
        <v>1379</v>
      </c>
    </row>
    <row r="730" spans="1:12" ht="14.5" x14ac:dyDescent="0.35">
      <c r="A730" s="47" t="s">
        <v>1367</v>
      </c>
      <c r="B730" s="43">
        <v>8470730</v>
      </c>
      <c r="C730" s="44" t="s">
        <v>223</v>
      </c>
      <c r="D730" s="43">
        <v>436110</v>
      </c>
      <c r="E730" s="44" t="s">
        <v>111</v>
      </c>
      <c r="F730" s="43">
        <v>847001</v>
      </c>
      <c r="G730" s="44" t="s">
        <v>24</v>
      </c>
      <c r="H730" s="44" t="s">
        <v>25</v>
      </c>
      <c r="I730" s="45" t="s">
        <v>26</v>
      </c>
      <c r="J730" s="45" t="s">
        <v>951</v>
      </c>
      <c r="K730" s="46" t="s">
        <v>27</v>
      </c>
      <c r="L730" s="47" t="s">
        <v>1379</v>
      </c>
    </row>
    <row r="731" spans="1:12" ht="14.5" x14ac:dyDescent="0.35">
      <c r="A731" s="47" t="s">
        <v>1367</v>
      </c>
      <c r="B731" s="43">
        <v>8470730</v>
      </c>
      <c r="C731" s="44" t="s">
        <v>223</v>
      </c>
      <c r="D731" s="43">
        <v>436110</v>
      </c>
      <c r="E731" s="44" t="s">
        <v>111</v>
      </c>
      <c r="F731" s="43">
        <v>847001</v>
      </c>
      <c r="G731" s="44" t="s">
        <v>24</v>
      </c>
      <c r="H731" s="44" t="s">
        <v>28</v>
      </c>
      <c r="I731" s="45" t="s">
        <v>29</v>
      </c>
      <c r="J731" s="45" t="s">
        <v>952</v>
      </c>
      <c r="K731" s="46" t="s">
        <v>27</v>
      </c>
      <c r="L731" s="47" t="s">
        <v>1379</v>
      </c>
    </row>
    <row r="732" spans="1:12" ht="14.5" x14ac:dyDescent="0.35">
      <c r="A732" s="47" t="s">
        <v>1365</v>
      </c>
      <c r="B732" s="43">
        <v>8471210</v>
      </c>
      <c r="C732" s="44" t="s">
        <v>176</v>
      </c>
      <c r="D732" s="43">
        <v>436110</v>
      </c>
      <c r="E732" s="44" t="s">
        <v>111</v>
      </c>
      <c r="F732" s="43">
        <v>847001</v>
      </c>
      <c r="G732" s="44" t="s">
        <v>24</v>
      </c>
      <c r="H732" s="44" t="s">
        <v>28</v>
      </c>
      <c r="I732" s="45" t="s">
        <v>29</v>
      </c>
      <c r="J732" s="45" t="s">
        <v>953</v>
      </c>
      <c r="K732" s="46" t="s">
        <v>27</v>
      </c>
      <c r="L732" s="47" t="s">
        <v>1379</v>
      </c>
    </row>
    <row r="733" spans="1:12" ht="14.5" x14ac:dyDescent="0.35">
      <c r="A733" s="47" t="s">
        <v>1365</v>
      </c>
      <c r="B733" s="43">
        <v>8471220</v>
      </c>
      <c r="C733" s="44" t="s">
        <v>344</v>
      </c>
      <c r="D733" s="43">
        <v>436110</v>
      </c>
      <c r="E733" s="44" t="s">
        <v>111</v>
      </c>
      <c r="F733" s="43">
        <v>847001</v>
      </c>
      <c r="G733" s="44" t="s">
        <v>24</v>
      </c>
      <c r="H733" s="44" t="s">
        <v>25</v>
      </c>
      <c r="I733" s="45" t="s">
        <v>26</v>
      </c>
      <c r="J733" s="45" t="s">
        <v>954</v>
      </c>
      <c r="K733" s="46" t="s">
        <v>27</v>
      </c>
      <c r="L733" s="47" t="s">
        <v>1379</v>
      </c>
    </row>
    <row r="734" spans="1:12" ht="14.5" x14ac:dyDescent="0.35">
      <c r="A734" s="47" t="s">
        <v>1365</v>
      </c>
      <c r="B734" s="43">
        <v>8471240</v>
      </c>
      <c r="C734" s="44" t="s">
        <v>346</v>
      </c>
      <c r="D734" s="43">
        <v>436110</v>
      </c>
      <c r="E734" s="44" t="s">
        <v>111</v>
      </c>
      <c r="F734" s="43">
        <v>847001</v>
      </c>
      <c r="G734" s="44" t="s">
        <v>24</v>
      </c>
      <c r="H734" s="44" t="s">
        <v>25</v>
      </c>
      <c r="I734" s="45" t="s">
        <v>26</v>
      </c>
      <c r="J734" s="45" t="s">
        <v>955</v>
      </c>
      <c r="K734" s="46" t="s">
        <v>27</v>
      </c>
      <c r="L734" s="47" t="s">
        <v>1379</v>
      </c>
    </row>
    <row r="735" spans="1:12" ht="14.5" x14ac:dyDescent="0.35">
      <c r="A735" s="47" t="s">
        <v>1365</v>
      </c>
      <c r="B735" s="43">
        <v>8471240</v>
      </c>
      <c r="C735" s="44" t="s">
        <v>346</v>
      </c>
      <c r="D735" s="43">
        <v>436110</v>
      </c>
      <c r="E735" s="44" t="s">
        <v>111</v>
      </c>
      <c r="F735" s="43">
        <v>847001</v>
      </c>
      <c r="G735" s="44" t="s">
        <v>24</v>
      </c>
      <c r="H735" s="44" t="s">
        <v>28</v>
      </c>
      <c r="I735" s="45" t="s">
        <v>29</v>
      </c>
      <c r="J735" s="45" t="s">
        <v>956</v>
      </c>
      <c r="K735" s="46" t="s">
        <v>27</v>
      </c>
      <c r="L735" s="47" t="s">
        <v>1379</v>
      </c>
    </row>
    <row r="736" spans="1:12" ht="14.5" x14ac:dyDescent="0.35">
      <c r="A736" s="47" t="s">
        <v>1365</v>
      </c>
      <c r="B736" s="43">
        <v>8471250</v>
      </c>
      <c r="C736" s="44" t="s">
        <v>349</v>
      </c>
      <c r="D736" s="43">
        <v>436110</v>
      </c>
      <c r="E736" s="44" t="s">
        <v>111</v>
      </c>
      <c r="F736" s="43">
        <v>847001</v>
      </c>
      <c r="G736" s="44" t="s">
        <v>24</v>
      </c>
      <c r="H736" s="44" t="s">
        <v>25</v>
      </c>
      <c r="I736" s="45" t="s">
        <v>26</v>
      </c>
      <c r="J736" s="45" t="s">
        <v>957</v>
      </c>
      <c r="K736" s="46" t="s">
        <v>27</v>
      </c>
      <c r="L736" s="47" t="s">
        <v>1379</v>
      </c>
    </row>
    <row r="737" spans="1:12" ht="14.5" x14ac:dyDescent="0.35">
      <c r="A737" s="47" t="s">
        <v>1365</v>
      </c>
      <c r="B737" s="43">
        <v>8471250</v>
      </c>
      <c r="C737" s="44" t="s">
        <v>349</v>
      </c>
      <c r="D737" s="43">
        <v>436110</v>
      </c>
      <c r="E737" s="44" t="s">
        <v>111</v>
      </c>
      <c r="F737" s="43">
        <v>847001</v>
      </c>
      <c r="G737" s="44" t="s">
        <v>24</v>
      </c>
      <c r="H737" s="44" t="s">
        <v>28</v>
      </c>
      <c r="I737" s="45" t="s">
        <v>29</v>
      </c>
      <c r="J737" s="45" t="s">
        <v>958</v>
      </c>
      <c r="K737" s="46" t="s">
        <v>27</v>
      </c>
      <c r="L737" s="47" t="s">
        <v>1379</v>
      </c>
    </row>
    <row r="738" spans="1:12" ht="14.5" x14ac:dyDescent="0.35">
      <c r="A738" s="47" t="s">
        <v>1365</v>
      </c>
      <c r="B738" s="43">
        <v>8471260</v>
      </c>
      <c r="C738" s="44" t="s">
        <v>178</v>
      </c>
      <c r="D738" s="43">
        <v>436110</v>
      </c>
      <c r="E738" s="44" t="s">
        <v>111</v>
      </c>
      <c r="F738" s="43">
        <v>847001</v>
      </c>
      <c r="G738" s="44" t="s">
        <v>24</v>
      </c>
      <c r="H738" s="44" t="s">
        <v>25</v>
      </c>
      <c r="I738" s="45" t="s">
        <v>26</v>
      </c>
      <c r="J738" s="45" t="s">
        <v>959</v>
      </c>
      <c r="K738" s="46" t="s">
        <v>27</v>
      </c>
      <c r="L738" s="47" t="s">
        <v>1379</v>
      </c>
    </row>
    <row r="739" spans="1:12" ht="14.5" x14ac:dyDescent="0.35">
      <c r="A739" s="47" t="s">
        <v>1365</v>
      </c>
      <c r="B739" s="43">
        <v>8471270</v>
      </c>
      <c r="C739" s="44" t="s">
        <v>353</v>
      </c>
      <c r="D739" s="43">
        <v>436110</v>
      </c>
      <c r="E739" s="44" t="s">
        <v>111</v>
      </c>
      <c r="F739" s="43">
        <v>847001</v>
      </c>
      <c r="G739" s="44" t="s">
        <v>24</v>
      </c>
      <c r="H739" s="44" t="s">
        <v>28</v>
      </c>
      <c r="I739" s="45" t="s">
        <v>29</v>
      </c>
      <c r="J739" s="45" t="s">
        <v>960</v>
      </c>
      <c r="K739" s="46" t="s">
        <v>27</v>
      </c>
      <c r="L739" s="47" t="s">
        <v>1379</v>
      </c>
    </row>
    <row r="740" spans="1:12" ht="14.5" x14ac:dyDescent="0.35">
      <c r="A740" s="47" t="s">
        <v>1371</v>
      </c>
      <c r="B740" s="43">
        <v>8471305</v>
      </c>
      <c r="C740" s="44" t="s">
        <v>32</v>
      </c>
      <c r="D740" s="43">
        <v>436110</v>
      </c>
      <c r="E740" s="44" t="s">
        <v>111</v>
      </c>
      <c r="F740" s="43">
        <v>847001</v>
      </c>
      <c r="G740" s="44" t="s">
        <v>24</v>
      </c>
      <c r="H740" s="44" t="s">
        <v>25</v>
      </c>
      <c r="I740" s="45" t="s">
        <v>26</v>
      </c>
      <c r="J740" s="45" t="s">
        <v>112</v>
      </c>
      <c r="K740" s="46" t="s">
        <v>27</v>
      </c>
      <c r="L740" s="47" t="s">
        <v>1379</v>
      </c>
    </row>
    <row r="741" spans="1:12" ht="14.5" x14ac:dyDescent="0.35">
      <c r="A741" s="47" t="s">
        <v>1358</v>
      </c>
      <c r="B741" s="43">
        <v>8470530</v>
      </c>
      <c r="C741" s="44" t="s">
        <v>165</v>
      </c>
      <c r="D741" s="43">
        <v>436120</v>
      </c>
      <c r="E741" s="44" t="s">
        <v>113</v>
      </c>
      <c r="F741" s="43">
        <v>847020</v>
      </c>
      <c r="G741" s="44" t="s">
        <v>170</v>
      </c>
      <c r="H741" s="44" t="s">
        <v>25</v>
      </c>
      <c r="I741" s="45" t="s">
        <v>26</v>
      </c>
      <c r="J741" s="45" t="s">
        <v>961</v>
      </c>
      <c r="K741" s="46" t="s">
        <v>27</v>
      </c>
      <c r="L741" s="47" t="s">
        <v>1379</v>
      </c>
    </row>
    <row r="742" spans="1:12" ht="14.5" x14ac:dyDescent="0.35">
      <c r="A742" s="47" t="s">
        <v>1358</v>
      </c>
      <c r="B742" s="43">
        <v>8470530</v>
      </c>
      <c r="C742" s="44" t="s">
        <v>165</v>
      </c>
      <c r="D742" s="43">
        <v>436120</v>
      </c>
      <c r="E742" s="44" t="s">
        <v>113</v>
      </c>
      <c r="F742" s="43">
        <v>847020</v>
      </c>
      <c r="G742" s="44" t="s">
        <v>170</v>
      </c>
      <c r="H742" s="44" t="s">
        <v>28</v>
      </c>
      <c r="I742" s="45" t="s">
        <v>29</v>
      </c>
      <c r="J742" s="45" t="s">
        <v>962</v>
      </c>
      <c r="K742" s="46" t="s">
        <v>27</v>
      </c>
      <c r="L742" s="47" t="s">
        <v>1379</v>
      </c>
    </row>
    <row r="743" spans="1:12" ht="14.5" x14ac:dyDescent="0.35">
      <c r="A743" s="47" t="s">
        <v>1362</v>
      </c>
      <c r="B743" s="43">
        <v>8470620</v>
      </c>
      <c r="C743" s="44" t="s">
        <v>161</v>
      </c>
      <c r="D743" s="43">
        <v>436120</v>
      </c>
      <c r="E743" s="44" t="s">
        <v>113</v>
      </c>
      <c r="F743" s="43">
        <v>847001</v>
      </c>
      <c r="G743" s="44" t="s">
        <v>24</v>
      </c>
      <c r="H743" s="44" t="s">
        <v>25</v>
      </c>
      <c r="I743" s="45" t="s">
        <v>26</v>
      </c>
      <c r="J743" s="45" t="s">
        <v>963</v>
      </c>
      <c r="K743" s="46" t="s">
        <v>27</v>
      </c>
      <c r="L743" s="47" t="s">
        <v>1379</v>
      </c>
    </row>
    <row r="744" spans="1:12" ht="14.5" x14ac:dyDescent="0.35">
      <c r="A744" s="47" t="s">
        <v>1362</v>
      </c>
      <c r="B744" s="43">
        <v>8470620</v>
      </c>
      <c r="C744" s="44" t="s">
        <v>161</v>
      </c>
      <c r="D744" s="43">
        <v>436120</v>
      </c>
      <c r="E744" s="44" t="s">
        <v>113</v>
      </c>
      <c r="F744" s="43">
        <v>847001</v>
      </c>
      <c r="G744" s="44" t="s">
        <v>24</v>
      </c>
      <c r="H744" s="44" t="s">
        <v>28</v>
      </c>
      <c r="I744" s="45" t="s">
        <v>29</v>
      </c>
      <c r="J744" s="45" t="s">
        <v>964</v>
      </c>
      <c r="K744" s="46" t="s">
        <v>27</v>
      </c>
      <c r="L744" s="47" t="s">
        <v>1379</v>
      </c>
    </row>
    <row r="745" spans="1:12" ht="14.5" x14ac:dyDescent="0.35">
      <c r="A745" s="47" t="s">
        <v>1367</v>
      </c>
      <c r="B745" s="43">
        <v>8470720</v>
      </c>
      <c r="C745" s="44" t="s">
        <v>221</v>
      </c>
      <c r="D745" s="43">
        <v>436120</v>
      </c>
      <c r="E745" s="44" t="s">
        <v>113</v>
      </c>
      <c r="F745" s="43">
        <v>847001</v>
      </c>
      <c r="G745" s="44" t="s">
        <v>24</v>
      </c>
      <c r="H745" s="44" t="s">
        <v>25</v>
      </c>
      <c r="I745" s="45" t="s">
        <v>26</v>
      </c>
      <c r="J745" s="45" t="s">
        <v>965</v>
      </c>
      <c r="K745" s="46" t="s">
        <v>27</v>
      </c>
      <c r="L745" s="47" t="s">
        <v>1379</v>
      </c>
    </row>
    <row r="746" spans="1:12" ht="14.5" x14ac:dyDescent="0.35">
      <c r="A746" s="47" t="s">
        <v>1367</v>
      </c>
      <c r="B746" s="43">
        <v>8470720</v>
      </c>
      <c r="C746" s="44" t="s">
        <v>221</v>
      </c>
      <c r="D746" s="43">
        <v>436120</v>
      </c>
      <c r="E746" s="44" t="s">
        <v>113</v>
      </c>
      <c r="F746" s="43">
        <v>847001</v>
      </c>
      <c r="G746" s="44" t="s">
        <v>24</v>
      </c>
      <c r="H746" s="44" t="s">
        <v>28</v>
      </c>
      <c r="I746" s="45" t="s">
        <v>29</v>
      </c>
      <c r="J746" s="45" t="s">
        <v>966</v>
      </c>
      <c r="K746" s="46" t="s">
        <v>27</v>
      </c>
      <c r="L746" s="47" t="s">
        <v>1379</v>
      </c>
    </row>
    <row r="747" spans="1:12" ht="14.5" x14ac:dyDescent="0.35">
      <c r="A747" s="47" t="s">
        <v>1364</v>
      </c>
      <c r="B747" s="43">
        <v>8470810</v>
      </c>
      <c r="C747" s="44" t="s">
        <v>200</v>
      </c>
      <c r="D747" s="43">
        <v>436120</v>
      </c>
      <c r="E747" s="44" t="s">
        <v>113</v>
      </c>
      <c r="F747" s="43">
        <v>847001</v>
      </c>
      <c r="G747" s="44" t="s">
        <v>24</v>
      </c>
      <c r="H747" s="44" t="s">
        <v>25</v>
      </c>
      <c r="I747" s="45" t="s">
        <v>26</v>
      </c>
      <c r="J747" s="45" t="s">
        <v>967</v>
      </c>
      <c r="K747" s="46" t="s">
        <v>27</v>
      </c>
      <c r="L747" s="47" t="s">
        <v>1379</v>
      </c>
    </row>
    <row r="748" spans="1:12" ht="14.5" x14ac:dyDescent="0.35">
      <c r="A748" s="47" t="s">
        <v>1364</v>
      </c>
      <c r="B748" s="43">
        <v>8470810</v>
      </c>
      <c r="C748" s="44" t="s">
        <v>200</v>
      </c>
      <c r="D748" s="43">
        <v>436120</v>
      </c>
      <c r="E748" s="44" t="s">
        <v>113</v>
      </c>
      <c r="F748" s="43">
        <v>847001</v>
      </c>
      <c r="G748" s="44" t="s">
        <v>24</v>
      </c>
      <c r="H748" s="44" t="s">
        <v>28</v>
      </c>
      <c r="I748" s="45" t="s">
        <v>29</v>
      </c>
      <c r="J748" s="45" t="s">
        <v>968</v>
      </c>
      <c r="K748" s="46" t="s">
        <v>27</v>
      </c>
      <c r="L748" s="47" t="s">
        <v>1379</v>
      </c>
    </row>
    <row r="749" spans="1:12" ht="14.5" x14ac:dyDescent="0.35">
      <c r="A749" s="47" t="s">
        <v>1368</v>
      </c>
      <c r="B749" s="43">
        <v>8471130</v>
      </c>
      <c r="C749" s="44" t="s">
        <v>197</v>
      </c>
      <c r="D749" s="43">
        <v>436120</v>
      </c>
      <c r="E749" s="44" t="s">
        <v>113</v>
      </c>
      <c r="F749" s="43">
        <v>847001</v>
      </c>
      <c r="G749" s="44" t="s">
        <v>24</v>
      </c>
      <c r="H749" s="44" t="s">
        <v>28</v>
      </c>
      <c r="I749" s="45" t="s">
        <v>29</v>
      </c>
      <c r="J749" s="45" t="s">
        <v>969</v>
      </c>
      <c r="K749" s="46" t="s">
        <v>27</v>
      </c>
      <c r="L749" s="47" t="s">
        <v>1379</v>
      </c>
    </row>
    <row r="750" spans="1:12" ht="14.5" x14ac:dyDescent="0.35">
      <c r="A750" s="47" t="s">
        <v>1365</v>
      </c>
      <c r="B750" s="43">
        <v>8471220</v>
      </c>
      <c r="C750" s="44" t="s">
        <v>344</v>
      </c>
      <c r="D750" s="43">
        <v>436120</v>
      </c>
      <c r="E750" s="44" t="s">
        <v>113</v>
      </c>
      <c r="F750" s="43">
        <v>847001</v>
      </c>
      <c r="G750" s="44" t="s">
        <v>24</v>
      </c>
      <c r="H750" s="44" t="s">
        <v>25</v>
      </c>
      <c r="I750" s="45" t="s">
        <v>26</v>
      </c>
      <c r="J750" s="45" t="s">
        <v>970</v>
      </c>
      <c r="K750" s="46" t="s">
        <v>27</v>
      </c>
      <c r="L750" s="47" t="s">
        <v>1379</v>
      </c>
    </row>
    <row r="751" spans="1:12" ht="14.5" x14ac:dyDescent="0.35">
      <c r="A751" s="47" t="s">
        <v>1365</v>
      </c>
      <c r="B751" s="43">
        <v>8471240</v>
      </c>
      <c r="C751" s="44" t="s">
        <v>346</v>
      </c>
      <c r="D751" s="43">
        <v>436120</v>
      </c>
      <c r="E751" s="44" t="s">
        <v>113</v>
      </c>
      <c r="F751" s="43">
        <v>847001</v>
      </c>
      <c r="G751" s="44" t="s">
        <v>24</v>
      </c>
      <c r="H751" s="44" t="s">
        <v>25</v>
      </c>
      <c r="I751" s="45" t="s">
        <v>26</v>
      </c>
      <c r="J751" s="45" t="s">
        <v>971</v>
      </c>
      <c r="K751" s="46" t="s">
        <v>27</v>
      </c>
      <c r="L751" s="47" t="s">
        <v>1379</v>
      </c>
    </row>
    <row r="752" spans="1:12" ht="14.5" x14ac:dyDescent="0.35">
      <c r="A752" s="47" t="s">
        <v>1365</v>
      </c>
      <c r="B752" s="43">
        <v>8471240</v>
      </c>
      <c r="C752" s="44" t="s">
        <v>346</v>
      </c>
      <c r="D752" s="43">
        <v>436120</v>
      </c>
      <c r="E752" s="44" t="s">
        <v>113</v>
      </c>
      <c r="F752" s="43">
        <v>847001</v>
      </c>
      <c r="G752" s="44" t="s">
        <v>24</v>
      </c>
      <c r="H752" s="44" t="s">
        <v>28</v>
      </c>
      <c r="I752" s="45" t="s">
        <v>29</v>
      </c>
      <c r="J752" s="45" t="s">
        <v>972</v>
      </c>
      <c r="K752" s="46" t="s">
        <v>27</v>
      </c>
      <c r="L752" s="47" t="s">
        <v>1379</v>
      </c>
    </row>
    <row r="753" spans="1:12" ht="14.5" x14ac:dyDescent="0.35">
      <c r="A753" s="47" t="s">
        <v>1365</v>
      </c>
      <c r="B753" s="43">
        <v>8471270</v>
      </c>
      <c r="C753" s="44" t="s">
        <v>353</v>
      </c>
      <c r="D753" s="43">
        <v>436120</v>
      </c>
      <c r="E753" s="44" t="s">
        <v>113</v>
      </c>
      <c r="F753" s="43">
        <v>847001</v>
      </c>
      <c r="G753" s="44" t="s">
        <v>24</v>
      </c>
      <c r="H753" s="44" t="s">
        <v>25</v>
      </c>
      <c r="I753" s="45" t="s">
        <v>26</v>
      </c>
      <c r="J753" s="45" t="s">
        <v>973</v>
      </c>
      <c r="K753" s="46" t="s">
        <v>27</v>
      </c>
      <c r="L753" s="47" t="s">
        <v>1379</v>
      </c>
    </row>
    <row r="754" spans="1:12" ht="14.5" x14ac:dyDescent="0.35">
      <c r="A754" s="47" t="s">
        <v>1365</v>
      </c>
      <c r="B754" s="43">
        <v>8471270</v>
      </c>
      <c r="C754" s="44" t="s">
        <v>353</v>
      </c>
      <c r="D754" s="43">
        <v>436120</v>
      </c>
      <c r="E754" s="44" t="s">
        <v>113</v>
      </c>
      <c r="F754" s="43">
        <v>847001</v>
      </c>
      <c r="G754" s="44" t="s">
        <v>24</v>
      </c>
      <c r="H754" s="44" t="s">
        <v>28</v>
      </c>
      <c r="I754" s="45" t="s">
        <v>29</v>
      </c>
      <c r="J754" s="45" t="s">
        <v>974</v>
      </c>
      <c r="K754" s="46" t="s">
        <v>27</v>
      </c>
      <c r="L754" s="47" t="s">
        <v>1379</v>
      </c>
    </row>
    <row r="755" spans="1:12" ht="14.5" x14ac:dyDescent="0.35">
      <c r="A755" s="47" t="s">
        <v>1371</v>
      </c>
      <c r="B755" s="43">
        <v>8471305</v>
      </c>
      <c r="C755" s="44" t="s">
        <v>32</v>
      </c>
      <c r="D755" s="43">
        <v>436120</v>
      </c>
      <c r="E755" s="44" t="s">
        <v>113</v>
      </c>
      <c r="F755" s="43">
        <v>847001</v>
      </c>
      <c r="G755" s="44" t="s">
        <v>24</v>
      </c>
      <c r="H755" s="44" t="s">
        <v>25</v>
      </c>
      <c r="I755" s="45" t="s">
        <v>26</v>
      </c>
      <c r="J755" s="45" t="s">
        <v>114</v>
      </c>
      <c r="K755" s="46" t="s">
        <v>27</v>
      </c>
      <c r="L755" s="47" t="s">
        <v>1379</v>
      </c>
    </row>
    <row r="756" spans="1:12" ht="14.5" x14ac:dyDescent="0.35">
      <c r="A756" s="47" t="s">
        <v>1358</v>
      </c>
      <c r="B756" s="43">
        <v>8470530</v>
      </c>
      <c r="C756" s="44" t="s">
        <v>165</v>
      </c>
      <c r="D756" s="43">
        <v>436220</v>
      </c>
      <c r="E756" s="44" t="s">
        <v>975</v>
      </c>
      <c r="F756" s="43">
        <v>847010</v>
      </c>
      <c r="G756" s="44" t="s">
        <v>167</v>
      </c>
      <c r="H756" s="44" t="s">
        <v>25</v>
      </c>
      <c r="I756" s="45" t="s">
        <v>26</v>
      </c>
      <c r="J756" s="45" t="s">
        <v>976</v>
      </c>
      <c r="K756" s="46">
        <v>0</v>
      </c>
      <c r="L756" s="47" t="s">
        <v>1379</v>
      </c>
    </row>
    <row r="757" spans="1:12" ht="14.5" x14ac:dyDescent="0.35">
      <c r="A757" s="47" t="s">
        <v>1359</v>
      </c>
      <c r="B757" s="43">
        <v>8470110</v>
      </c>
      <c r="C757" s="44" t="s">
        <v>180</v>
      </c>
      <c r="D757" s="43">
        <v>436600</v>
      </c>
      <c r="E757" s="44" t="s">
        <v>977</v>
      </c>
      <c r="F757" s="43">
        <v>847001</v>
      </c>
      <c r="G757" s="44" t="s">
        <v>24</v>
      </c>
      <c r="H757" s="44" t="s">
        <v>28</v>
      </c>
      <c r="I757" s="45" t="s">
        <v>29</v>
      </c>
      <c r="J757" s="45" t="s">
        <v>978</v>
      </c>
      <c r="K757" s="46" t="s">
        <v>31</v>
      </c>
      <c r="L757" s="47" t="s">
        <v>1379</v>
      </c>
    </row>
    <row r="758" spans="1:12" ht="14.5" x14ac:dyDescent="0.35">
      <c r="A758" s="47" t="s">
        <v>1363</v>
      </c>
      <c r="B758" s="43">
        <v>8470310</v>
      </c>
      <c r="C758" s="44" t="s">
        <v>309</v>
      </c>
      <c r="D758" s="43">
        <v>436600</v>
      </c>
      <c r="E758" s="44" t="s">
        <v>977</v>
      </c>
      <c r="F758" s="43">
        <v>847001</v>
      </c>
      <c r="G758" s="44" t="s">
        <v>24</v>
      </c>
      <c r="H758" s="44" t="s">
        <v>25</v>
      </c>
      <c r="I758" s="45" t="s">
        <v>26</v>
      </c>
      <c r="J758" s="45" t="s">
        <v>979</v>
      </c>
      <c r="K758" s="46" t="s">
        <v>31</v>
      </c>
      <c r="L758" s="47" t="s">
        <v>1379</v>
      </c>
    </row>
    <row r="759" spans="1:12" ht="14.5" x14ac:dyDescent="0.35">
      <c r="A759" s="47" t="s">
        <v>1363</v>
      </c>
      <c r="B759" s="43">
        <v>8470310</v>
      </c>
      <c r="C759" s="44" t="s">
        <v>309</v>
      </c>
      <c r="D759" s="43">
        <v>436600</v>
      </c>
      <c r="E759" s="44" t="s">
        <v>977</v>
      </c>
      <c r="F759" s="43">
        <v>847001</v>
      </c>
      <c r="G759" s="44" t="s">
        <v>24</v>
      </c>
      <c r="H759" s="44" t="s">
        <v>28</v>
      </c>
      <c r="I759" s="45" t="s">
        <v>29</v>
      </c>
      <c r="J759" s="45" t="s">
        <v>980</v>
      </c>
      <c r="K759" s="46" t="s">
        <v>31</v>
      </c>
      <c r="L759" s="47" t="s">
        <v>1379</v>
      </c>
    </row>
    <row r="760" spans="1:12" ht="14.5" x14ac:dyDescent="0.35">
      <c r="A760" s="47" t="s">
        <v>1363</v>
      </c>
      <c r="B760" s="43">
        <v>8470315</v>
      </c>
      <c r="C760" s="44" t="s">
        <v>311</v>
      </c>
      <c r="D760" s="43">
        <v>436600</v>
      </c>
      <c r="E760" s="44" t="s">
        <v>977</v>
      </c>
      <c r="F760" s="43">
        <v>847001</v>
      </c>
      <c r="G760" s="44" t="s">
        <v>24</v>
      </c>
      <c r="H760" s="44" t="s">
        <v>28</v>
      </c>
      <c r="I760" s="45" t="s">
        <v>29</v>
      </c>
      <c r="J760" s="45" t="s">
        <v>981</v>
      </c>
      <c r="K760" s="46" t="s">
        <v>31</v>
      </c>
      <c r="L760" s="47" t="s">
        <v>1379</v>
      </c>
    </row>
    <row r="761" spans="1:12" ht="14.5" x14ac:dyDescent="0.35">
      <c r="A761" s="47" t="s">
        <v>1363</v>
      </c>
      <c r="B761" s="43">
        <v>8470320</v>
      </c>
      <c r="C761" s="44" t="s">
        <v>443</v>
      </c>
      <c r="D761" s="43">
        <v>436600</v>
      </c>
      <c r="E761" s="44" t="s">
        <v>977</v>
      </c>
      <c r="F761" s="43">
        <v>847001</v>
      </c>
      <c r="G761" s="44" t="s">
        <v>24</v>
      </c>
      <c r="H761" s="44" t="s">
        <v>28</v>
      </c>
      <c r="I761" s="45" t="s">
        <v>29</v>
      </c>
      <c r="J761" s="45" t="s">
        <v>982</v>
      </c>
      <c r="K761" s="46" t="s">
        <v>31</v>
      </c>
      <c r="L761" s="47" t="s">
        <v>1379</v>
      </c>
    </row>
    <row r="762" spans="1:12" ht="14.5" x14ac:dyDescent="0.35">
      <c r="A762" s="47" t="s">
        <v>1363</v>
      </c>
      <c r="B762" s="43">
        <v>8470325</v>
      </c>
      <c r="C762" s="44" t="s">
        <v>186</v>
      </c>
      <c r="D762" s="43">
        <v>436600</v>
      </c>
      <c r="E762" s="44" t="s">
        <v>977</v>
      </c>
      <c r="F762" s="43">
        <v>847001</v>
      </c>
      <c r="G762" s="44" t="s">
        <v>24</v>
      </c>
      <c r="H762" s="44" t="s">
        <v>28</v>
      </c>
      <c r="I762" s="45" t="s">
        <v>29</v>
      </c>
      <c r="J762" s="45" t="s">
        <v>983</v>
      </c>
      <c r="K762" s="46" t="s">
        <v>31</v>
      </c>
      <c r="L762" s="47" t="s">
        <v>1379</v>
      </c>
    </row>
    <row r="763" spans="1:12" ht="14.5" x14ac:dyDescent="0.35">
      <c r="A763" s="47" t="s">
        <v>1363</v>
      </c>
      <c r="B763" s="43">
        <v>8470330</v>
      </c>
      <c r="C763" s="44" t="s">
        <v>268</v>
      </c>
      <c r="D763" s="43">
        <v>436600</v>
      </c>
      <c r="E763" s="44" t="s">
        <v>977</v>
      </c>
      <c r="F763" s="43">
        <v>847001</v>
      </c>
      <c r="G763" s="44" t="s">
        <v>24</v>
      </c>
      <c r="H763" s="44" t="s">
        <v>28</v>
      </c>
      <c r="I763" s="45" t="s">
        <v>29</v>
      </c>
      <c r="J763" s="45" t="s">
        <v>984</v>
      </c>
      <c r="K763" s="46" t="s">
        <v>31</v>
      </c>
      <c r="L763" s="47" t="s">
        <v>1379</v>
      </c>
    </row>
    <row r="764" spans="1:12" ht="14.5" x14ac:dyDescent="0.35">
      <c r="A764" s="47" t="s">
        <v>1363</v>
      </c>
      <c r="B764" s="43">
        <v>8470335</v>
      </c>
      <c r="C764" s="44" t="s">
        <v>317</v>
      </c>
      <c r="D764" s="43">
        <v>436600</v>
      </c>
      <c r="E764" s="44" t="s">
        <v>977</v>
      </c>
      <c r="F764" s="43">
        <v>847001</v>
      </c>
      <c r="G764" s="44" t="s">
        <v>24</v>
      </c>
      <c r="H764" s="44" t="s">
        <v>25</v>
      </c>
      <c r="I764" s="45" t="s">
        <v>26</v>
      </c>
      <c r="J764" s="45" t="s">
        <v>985</v>
      </c>
      <c r="K764" s="46" t="s">
        <v>31</v>
      </c>
      <c r="L764" s="47" t="s">
        <v>1379</v>
      </c>
    </row>
    <row r="765" spans="1:12" ht="14.5" x14ac:dyDescent="0.35">
      <c r="A765" s="47" t="s">
        <v>1363</v>
      </c>
      <c r="B765" s="43">
        <v>8470335</v>
      </c>
      <c r="C765" s="44" t="s">
        <v>317</v>
      </c>
      <c r="D765" s="43">
        <v>436600</v>
      </c>
      <c r="E765" s="44" t="s">
        <v>977</v>
      </c>
      <c r="F765" s="43">
        <v>847001</v>
      </c>
      <c r="G765" s="44" t="s">
        <v>24</v>
      </c>
      <c r="H765" s="44" t="s">
        <v>28</v>
      </c>
      <c r="I765" s="45" t="s">
        <v>29</v>
      </c>
      <c r="J765" s="45" t="s">
        <v>986</v>
      </c>
      <c r="K765" s="46" t="s">
        <v>31</v>
      </c>
      <c r="L765" s="47" t="s">
        <v>1379</v>
      </c>
    </row>
    <row r="766" spans="1:12" ht="14.5" x14ac:dyDescent="0.35">
      <c r="A766" s="47" t="s">
        <v>1363</v>
      </c>
      <c r="B766" s="43">
        <v>8470340</v>
      </c>
      <c r="C766" s="44" t="s">
        <v>234</v>
      </c>
      <c r="D766" s="43">
        <v>436600</v>
      </c>
      <c r="E766" s="44" t="s">
        <v>977</v>
      </c>
      <c r="F766" s="43">
        <v>847001</v>
      </c>
      <c r="G766" s="44" t="s">
        <v>24</v>
      </c>
      <c r="H766" s="44" t="s">
        <v>25</v>
      </c>
      <c r="I766" s="45" t="s">
        <v>26</v>
      </c>
      <c r="J766" s="45" t="s">
        <v>987</v>
      </c>
      <c r="K766" s="46" t="s">
        <v>31</v>
      </c>
      <c r="L766" s="47" t="s">
        <v>1379</v>
      </c>
    </row>
    <row r="767" spans="1:12" ht="14.5" x14ac:dyDescent="0.35">
      <c r="A767" s="47" t="s">
        <v>1363</v>
      </c>
      <c r="B767" s="43">
        <v>8470340</v>
      </c>
      <c r="C767" s="44" t="s">
        <v>234</v>
      </c>
      <c r="D767" s="43">
        <v>436600</v>
      </c>
      <c r="E767" s="44" t="s">
        <v>977</v>
      </c>
      <c r="F767" s="43">
        <v>847001</v>
      </c>
      <c r="G767" s="44" t="s">
        <v>24</v>
      </c>
      <c r="H767" s="44" t="s">
        <v>28</v>
      </c>
      <c r="I767" s="45" t="s">
        <v>29</v>
      </c>
      <c r="J767" s="45" t="s">
        <v>988</v>
      </c>
      <c r="K767" s="46" t="s">
        <v>31</v>
      </c>
      <c r="L767" s="47" t="s">
        <v>1379</v>
      </c>
    </row>
    <row r="768" spans="1:12" ht="14.5" x14ac:dyDescent="0.35">
      <c r="A768" s="47" t="s">
        <v>1363</v>
      </c>
      <c r="B768" s="43">
        <v>8470345</v>
      </c>
      <c r="C768" s="44" t="s">
        <v>188</v>
      </c>
      <c r="D768" s="43">
        <v>436600</v>
      </c>
      <c r="E768" s="44" t="s">
        <v>977</v>
      </c>
      <c r="F768" s="43">
        <v>847001</v>
      </c>
      <c r="G768" s="44" t="s">
        <v>24</v>
      </c>
      <c r="H768" s="44" t="s">
        <v>28</v>
      </c>
      <c r="I768" s="45" t="s">
        <v>29</v>
      </c>
      <c r="J768" s="45" t="s">
        <v>989</v>
      </c>
      <c r="K768" s="46" t="s">
        <v>31</v>
      </c>
      <c r="L768" s="47" t="s">
        <v>1379</v>
      </c>
    </row>
    <row r="769" spans="1:12" ht="14.5" x14ac:dyDescent="0.35">
      <c r="A769" s="47" t="s">
        <v>1363</v>
      </c>
      <c r="B769" s="43">
        <v>8470350</v>
      </c>
      <c r="C769" s="44" t="s">
        <v>191</v>
      </c>
      <c r="D769" s="43">
        <v>436600</v>
      </c>
      <c r="E769" s="44" t="s">
        <v>977</v>
      </c>
      <c r="F769" s="43">
        <v>847001</v>
      </c>
      <c r="G769" s="44" t="s">
        <v>24</v>
      </c>
      <c r="H769" s="44" t="s">
        <v>28</v>
      </c>
      <c r="I769" s="45" t="s">
        <v>29</v>
      </c>
      <c r="J769" s="45" t="s">
        <v>990</v>
      </c>
      <c r="K769" s="46" t="s">
        <v>31</v>
      </c>
      <c r="L769" s="47" t="s">
        <v>1379</v>
      </c>
    </row>
    <row r="770" spans="1:12" ht="14.5" x14ac:dyDescent="0.35">
      <c r="A770" s="47" t="s">
        <v>1357</v>
      </c>
      <c r="B770" s="43">
        <v>8470405</v>
      </c>
      <c r="C770" s="44" t="s">
        <v>270</v>
      </c>
      <c r="D770" s="43">
        <v>436600</v>
      </c>
      <c r="E770" s="44" t="s">
        <v>977</v>
      </c>
      <c r="F770" s="43">
        <v>847001</v>
      </c>
      <c r="G770" s="44" t="s">
        <v>24</v>
      </c>
      <c r="H770" s="44" t="s">
        <v>28</v>
      </c>
      <c r="I770" s="45" t="s">
        <v>29</v>
      </c>
      <c r="J770" s="45" t="s">
        <v>991</v>
      </c>
      <c r="K770" s="46" t="s">
        <v>31</v>
      </c>
      <c r="L770" s="47" t="s">
        <v>1379</v>
      </c>
    </row>
    <row r="771" spans="1:12" ht="14.5" x14ac:dyDescent="0.35">
      <c r="A771" s="47" t="s">
        <v>1357</v>
      </c>
      <c r="B771" s="43">
        <v>8470415</v>
      </c>
      <c r="C771" s="44" t="s">
        <v>362</v>
      </c>
      <c r="D771" s="43">
        <v>436600</v>
      </c>
      <c r="E771" s="44" t="s">
        <v>977</v>
      </c>
      <c r="F771" s="43">
        <v>847001</v>
      </c>
      <c r="G771" s="44" t="s">
        <v>24</v>
      </c>
      <c r="H771" s="44" t="s">
        <v>28</v>
      </c>
      <c r="I771" s="45" t="s">
        <v>29</v>
      </c>
      <c r="J771" s="45" t="s">
        <v>992</v>
      </c>
      <c r="K771" s="46" t="s">
        <v>31</v>
      </c>
      <c r="L771" s="47" t="s">
        <v>1379</v>
      </c>
    </row>
    <row r="772" spans="1:12" ht="14.5" x14ac:dyDescent="0.35">
      <c r="A772" s="47" t="s">
        <v>1357</v>
      </c>
      <c r="B772" s="43">
        <v>8470430</v>
      </c>
      <c r="C772" s="44" t="s">
        <v>424</v>
      </c>
      <c r="D772" s="43">
        <v>436600</v>
      </c>
      <c r="E772" s="44" t="s">
        <v>977</v>
      </c>
      <c r="F772" s="43">
        <v>847001</v>
      </c>
      <c r="G772" s="44" t="s">
        <v>24</v>
      </c>
      <c r="H772" s="44" t="s">
        <v>25</v>
      </c>
      <c r="I772" s="45" t="s">
        <v>26</v>
      </c>
      <c r="J772" s="45" t="s">
        <v>993</v>
      </c>
      <c r="K772" s="46" t="s">
        <v>31</v>
      </c>
      <c r="L772" s="47" t="s">
        <v>1379</v>
      </c>
    </row>
    <row r="773" spans="1:12" ht="14.5" x14ac:dyDescent="0.35">
      <c r="A773" s="47" t="s">
        <v>1357</v>
      </c>
      <c r="B773" s="43">
        <v>8470430</v>
      </c>
      <c r="C773" s="44" t="s">
        <v>424</v>
      </c>
      <c r="D773" s="43">
        <v>436600</v>
      </c>
      <c r="E773" s="44" t="s">
        <v>977</v>
      </c>
      <c r="F773" s="43">
        <v>847001</v>
      </c>
      <c r="G773" s="44" t="s">
        <v>24</v>
      </c>
      <c r="H773" s="44" t="s">
        <v>28</v>
      </c>
      <c r="I773" s="45" t="s">
        <v>29</v>
      </c>
      <c r="J773" s="45" t="s">
        <v>994</v>
      </c>
      <c r="K773" s="46" t="s">
        <v>31</v>
      </c>
      <c r="L773" s="47" t="s">
        <v>1379</v>
      </c>
    </row>
    <row r="774" spans="1:12" ht="14.5" x14ac:dyDescent="0.35">
      <c r="A774" s="47" t="s">
        <v>1357</v>
      </c>
      <c r="B774" s="43">
        <v>8470435</v>
      </c>
      <c r="C774" s="44" t="s">
        <v>364</v>
      </c>
      <c r="D774" s="43">
        <v>436600</v>
      </c>
      <c r="E774" s="44" t="s">
        <v>977</v>
      </c>
      <c r="F774" s="43">
        <v>847001</v>
      </c>
      <c r="G774" s="44" t="s">
        <v>24</v>
      </c>
      <c r="H774" s="44" t="s">
        <v>28</v>
      </c>
      <c r="I774" s="45" t="s">
        <v>29</v>
      </c>
      <c r="J774" s="45" t="s">
        <v>995</v>
      </c>
      <c r="K774" s="46" t="s">
        <v>31</v>
      </c>
      <c r="L774" s="47" t="s">
        <v>1379</v>
      </c>
    </row>
    <row r="775" spans="1:12" ht="14.5" x14ac:dyDescent="0.35">
      <c r="A775" s="47" t="s">
        <v>1357</v>
      </c>
      <c r="B775" s="43">
        <v>8470440</v>
      </c>
      <c r="C775" s="44" t="s">
        <v>426</v>
      </c>
      <c r="D775" s="43">
        <v>436600</v>
      </c>
      <c r="E775" s="44" t="s">
        <v>977</v>
      </c>
      <c r="F775" s="43">
        <v>847001</v>
      </c>
      <c r="G775" s="44" t="s">
        <v>24</v>
      </c>
      <c r="H775" s="44" t="s">
        <v>25</v>
      </c>
      <c r="I775" s="45" t="s">
        <v>26</v>
      </c>
      <c r="J775" s="45" t="s">
        <v>996</v>
      </c>
      <c r="K775" s="46" t="s">
        <v>31</v>
      </c>
      <c r="L775" s="47" t="s">
        <v>1379</v>
      </c>
    </row>
    <row r="776" spans="1:12" ht="14.5" x14ac:dyDescent="0.35">
      <c r="A776" s="47" t="s">
        <v>1357</v>
      </c>
      <c r="B776" s="43">
        <v>8470450</v>
      </c>
      <c r="C776" s="44" t="s">
        <v>275</v>
      </c>
      <c r="D776" s="43">
        <v>436600</v>
      </c>
      <c r="E776" s="44" t="s">
        <v>977</v>
      </c>
      <c r="F776" s="43">
        <v>847001</v>
      </c>
      <c r="G776" s="44" t="s">
        <v>24</v>
      </c>
      <c r="H776" s="44" t="s">
        <v>25</v>
      </c>
      <c r="I776" s="45" t="s">
        <v>26</v>
      </c>
      <c r="J776" s="45" t="s">
        <v>997</v>
      </c>
      <c r="K776" s="46" t="s">
        <v>31</v>
      </c>
      <c r="L776" s="47" t="s">
        <v>1379</v>
      </c>
    </row>
    <row r="777" spans="1:12" ht="14.5" x14ac:dyDescent="0.35">
      <c r="A777" s="47" t="s">
        <v>1357</v>
      </c>
      <c r="B777" s="43">
        <v>8470450</v>
      </c>
      <c r="C777" s="44" t="s">
        <v>275</v>
      </c>
      <c r="D777" s="43">
        <v>436600</v>
      </c>
      <c r="E777" s="44" t="s">
        <v>977</v>
      </c>
      <c r="F777" s="43">
        <v>847001</v>
      </c>
      <c r="G777" s="44" t="s">
        <v>24</v>
      </c>
      <c r="H777" s="44" t="s">
        <v>28</v>
      </c>
      <c r="I777" s="45" t="s">
        <v>29</v>
      </c>
      <c r="J777" s="45" t="s">
        <v>998</v>
      </c>
      <c r="K777" s="46" t="s">
        <v>31</v>
      </c>
      <c r="L777" s="47" t="s">
        <v>1379</v>
      </c>
    </row>
    <row r="778" spans="1:12" ht="14.5" x14ac:dyDescent="0.35">
      <c r="A778" s="47" t="s">
        <v>1363</v>
      </c>
      <c r="B778" s="43">
        <v>8470325</v>
      </c>
      <c r="C778" s="44" t="s">
        <v>186</v>
      </c>
      <c r="D778" s="43">
        <v>492200</v>
      </c>
      <c r="E778" s="44" t="s">
        <v>115</v>
      </c>
      <c r="F778" s="43">
        <v>847001</v>
      </c>
      <c r="G778" s="44" t="s">
        <v>24</v>
      </c>
      <c r="H778" s="44" t="s">
        <v>116</v>
      </c>
      <c r="I778" s="45" t="s">
        <v>117</v>
      </c>
      <c r="J778" s="45" t="s">
        <v>999</v>
      </c>
      <c r="K778" s="46">
        <v>0</v>
      </c>
      <c r="L778" s="47" t="s">
        <v>1392</v>
      </c>
    </row>
    <row r="779" spans="1:12" ht="14.5" x14ac:dyDescent="0.35">
      <c r="A779" s="47" t="s">
        <v>1358</v>
      </c>
      <c r="B779" s="43">
        <v>8470530</v>
      </c>
      <c r="C779" s="44" t="s">
        <v>165</v>
      </c>
      <c r="D779" s="43">
        <v>492200</v>
      </c>
      <c r="E779" s="44" t="s">
        <v>115</v>
      </c>
      <c r="F779" s="43">
        <v>847010</v>
      </c>
      <c r="G779" s="44" t="s">
        <v>167</v>
      </c>
      <c r="H779" s="44" t="s">
        <v>116</v>
      </c>
      <c r="I779" s="45" t="s">
        <v>117</v>
      </c>
      <c r="J779" s="45" t="s">
        <v>1000</v>
      </c>
      <c r="K779" s="46">
        <v>0</v>
      </c>
      <c r="L779" s="47" t="s">
        <v>1392</v>
      </c>
    </row>
    <row r="780" spans="1:12" ht="14.5" x14ac:dyDescent="0.35">
      <c r="A780" s="47" t="s">
        <v>1358</v>
      </c>
      <c r="B780" s="43">
        <v>8470530</v>
      </c>
      <c r="C780" s="44" t="s">
        <v>165</v>
      </c>
      <c r="D780" s="43">
        <v>492200</v>
      </c>
      <c r="E780" s="44" t="s">
        <v>115</v>
      </c>
      <c r="F780" s="43">
        <v>847010</v>
      </c>
      <c r="G780" s="44" t="s">
        <v>167</v>
      </c>
      <c r="H780" s="44" t="s">
        <v>28</v>
      </c>
      <c r="I780" s="45" t="s">
        <v>29</v>
      </c>
      <c r="J780" s="45" t="s">
        <v>1001</v>
      </c>
      <c r="K780" s="46">
        <v>0</v>
      </c>
      <c r="L780" s="47" t="s">
        <v>1392</v>
      </c>
    </row>
    <row r="781" spans="1:12" ht="14.5" x14ac:dyDescent="0.35">
      <c r="A781" s="47" t="s">
        <v>1358</v>
      </c>
      <c r="B781" s="43">
        <v>8470530</v>
      </c>
      <c r="C781" s="44" t="s">
        <v>165</v>
      </c>
      <c r="D781" s="43">
        <v>492200</v>
      </c>
      <c r="E781" s="44" t="s">
        <v>115</v>
      </c>
      <c r="F781" s="43">
        <v>847020</v>
      </c>
      <c r="G781" s="44" t="s">
        <v>170</v>
      </c>
      <c r="H781" s="44" t="s">
        <v>116</v>
      </c>
      <c r="I781" s="45" t="s">
        <v>117</v>
      </c>
      <c r="J781" s="45" t="s">
        <v>1002</v>
      </c>
      <c r="K781" s="46">
        <v>0</v>
      </c>
      <c r="L781" s="47" t="s">
        <v>1392</v>
      </c>
    </row>
    <row r="782" spans="1:12" ht="14.5" x14ac:dyDescent="0.35">
      <c r="A782" s="47" t="s">
        <v>1358</v>
      </c>
      <c r="B782" s="43">
        <v>8470530</v>
      </c>
      <c r="C782" s="44" t="s">
        <v>165</v>
      </c>
      <c r="D782" s="43">
        <v>492200</v>
      </c>
      <c r="E782" s="44" t="s">
        <v>115</v>
      </c>
      <c r="F782" s="43">
        <v>847020</v>
      </c>
      <c r="G782" s="44" t="s">
        <v>170</v>
      </c>
      <c r="H782" s="44" t="s">
        <v>28</v>
      </c>
      <c r="I782" s="45" t="s">
        <v>29</v>
      </c>
      <c r="J782" s="45" t="s">
        <v>1003</v>
      </c>
      <c r="K782" s="46">
        <v>0</v>
      </c>
      <c r="L782" s="47" t="s">
        <v>1392</v>
      </c>
    </row>
    <row r="783" spans="1:12" ht="14.5" x14ac:dyDescent="0.35">
      <c r="A783" s="47" t="s">
        <v>1358</v>
      </c>
      <c r="B783" s="43">
        <v>8470530</v>
      </c>
      <c r="C783" s="44" t="s">
        <v>165</v>
      </c>
      <c r="D783" s="43">
        <v>492200</v>
      </c>
      <c r="E783" s="44" t="s">
        <v>115</v>
      </c>
      <c r="F783" s="43">
        <v>847030</v>
      </c>
      <c r="G783" s="44" t="s">
        <v>173</v>
      </c>
      <c r="H783" s="44" t="s">
        <v>116</v>
      </c>
      <c r="I783" s="45" t="s">
        <v>117</v>
      </c>
      <c r="J783" s="45" t="s">
        <v>1004</v>
      </c>
      <c r="K783" s="46">
        <v>0</v>
      </c>
      <c r="L783" s="47" t="s">
        <v>1392</v>
      </c>
    </row>
    <row r="784" spans="1:12" ht="14.5" x14ac:dyDescent="0.35">
      <c r="A784" s="47" t="s">
        <v>1358</v>
      </c>
      <c r="B784" s="43">
        <v>8470530</v>
      </c>
      <c r="C784" s="44" t="s">
        <v>165</v>
      </c>
      <c r="D784" s="43">
        <v>492200</v>
      </c>
      <c r="E784" s="44" t="s">
        <v>115</v>
      </c>
      <c r="F784" s="43">
        <v>847030</v>
      </c>
      <c r="G784" s="44" t="s">
        <v>173</v>
      </c>
      <c r="H784" s="44" t="s">
        <v>28</v>
      </c>
      <c r="I784" s="45" t="s">
        <v>29</v>
      </c>
      <c r="J784" s="45" t="s">
        <v>1005</v>
      </c>
      <c r="K784" s="46">
        <v>0</v>
      </c>
      <c r="L784" s="47" t="s">
        <v>1392</v>
      </c>
    </row>
    <row r="785" spans="1:12" ht="14.5" x14ac:dyDescent="0.35">
      <c r="A785" s="47" t="s">
        <v>1365</v>
      </c>
      <c r="B785" s="43">
        <v>8471260</v>
      </c>
      <c r="C785" s="44" t="s">
        <v>178</v>
      </c>
      <c r="D785" s="43">
        <v>492200</v>
      </c>
      <c r="E785" s="44" t="s">
        <v>115</v>
      </c>
      <c r="F785" s="43">
        <v>847001</v>
      </c>
      <c r="G785" s="44" t="s">
        <v>24</v>
      </c>
      <c r="H785" s="44" t="s">
        <v>116</v>
      </c>
      <c r="I785" s="45" t="s">
        <v>117</v>
      </c>
      <c r="J785" s="45" t="s">
        <v>1006</v>
      </c>
      <c r="K785" s="46">
        <v>0</v>
      </c>
      <c r="L785" s="47" t="s">
        <v>1392</v>
      </c>
    </row>
    <row r="786" spans="1:12" ht="14.5" x14ac:dyDescent="0.35">
      <c r="A786" s="47" t="s">
        <v>1371</v>
      </c>
      <c r="B786" s="43">
        <v>8471305</v>
      </c>
      <c r="C786" s="44" t="s">
        <v>32</v>
      </c>
      <c r="D786" s="43">
        <v>492200</v>
      </c>
      <c r="E786" s="44" t="s">
        <v>115</v>
      </c>
      <c r="F786" s="43">
        <v>847001</v>
      </c>
      <c r="G786" s="44" t="s">
        <v>24</v>
      </c>
      <c r="H786" s="44" t="s">
        <v>116</v>
      </c>
      <c r="I786" s="45" t="s">
        <v>117</v>
      </c>
      <c r="J786" s="45" t="s">
        <v>118</v>
      </c>
      <c r="K786" s="46">
        <v>0</v>
      </c>
      <c r="L786" s="47" t="s">
        <v>1392</v>
      </c>
    </row>
    <row r="787" spans="1:12" ht="14.5" x14ac:dyDescent="0.35">
      <c r="A787" s="47" t="s">
        <v>1364</v>
      </c>
      <c r="B787" s="43">
        <v>8470810</v>
      </c>
      <c r="C787" s="44" t="s">
        <v>200</v>
      </c>
      <c r="D787" s="43">
        <v>492310</v>
      </c>
      <c r="E787" s="44" t="s">
        <v>119</v>
      </c>
      <c r="F787" s="43">
        <v>847001</v>
      </c>
      <c r="G787" s="44" t="s">
        <v>24</v>
      </c>
      <c r="H787" s="44" t="s">
        <v>116</v>
      </c>
      <c r="I787" s="45" t="s">
        <v>117</v>
      </c>
      <c r="J787" s="45" t="s">
        <v>1007</v>
      </c>
      <c r="K787" s="46">
        <v>0</v>
      </c>
      <c r="L787" s="47" t="s">
        <v>1379</v>
      </c>
    </row>
    <row r="788" spans="1:12" ht="14.5" x14ac:dyDescent="0.35">
      <c r="A788" s="47" t="s">
        <v>1364</v>
      </c>
      <c r="B788" s="43">
        <v>8470810</v>
      </c>
      <c r="C788" s="44" t="s">
        <v>200</v>
      </c>
      <c r="D788" s="43">
        <v>492310</v>
      </c>
      <c r="E788" s="44" t="s">
        <v>119</v>
      </c>
      <c r="F788" s="43">
        <v>847001</v>
      </c>
      <c r="G788" s="44" t="s">
        <v>24</v>
      </c>
      <c r="H788" s="44" t="s">
        <v>28</v>
      </c>
      <c r="I788" s="45" t="s">
        <v>29</v>
      </c>
      <c r="J788" s="45" t="s">
        <v>1008</v>
      </c>
      <c r="K788" s="46">
        <v>0</v>
      </c>
      <c r="L788" s="47" t="s">
        <v>1379</v>
      </c>
    </row>
    <row r="789" spans="1:12" ht="14.5" x14ac:dyDescent="0.35">
      <c r="A789" s="47" t="s">
        <v>1371</v>
      </c>
      <c r="B789" s="43">
        <v>8471305</v>
      </c>
      <c r="C789" s="44" t="s">
        <v>32</v>
      </c>
      <c r="D789" s="43">
        <v>492310</v>
      </c>
      <c r="E789" s="44" t="s">
        <v>119</v>
      </c>
      <c r="F789" s="43">
        <v>847001</v>
      </c>
      <c r="G789" s="44" t="s">
        <v>24</v>
      </c>
      <c r="H789" s="44" t="s">
        <v>116</v>
      </c>
      <c r="I789" s="45" t="s">
        <v>117</v>
      </c>
      <c r="J789" s="45" t="s">
        <v>120</v>
      </c>
      <c r="K789" s="46">
        <v>0</v>
      </c>
      <c r="L789" s="47" t="s">
        <v>1379</v>
      </c>
    </row>
    <row r="790" spans="1:12" ht="14.5" x14ac:dyDescent="0.35">
      <c r="A790" s="47" t="s">
        <v>1359</v>
      </c>
      <c r="B790" s="43">
        <v>8470110</v>
      </c>
      <c r="C790" s="44" t="s">
        <v>180</v>
      </c>
      <c r="D790" s="43">
        <v>492316</v>
      </c>
      <c r="E790" s="44" t="s">
        <v>94</v>
      </c>
      <c r="F790" s="43">
        <v>847001</v>
      </c>
      <c r="G790" s="44" t="s">
        <v>24</v>
      </c>
      <c r="H790" s="44" t="s">
        <v>116</v>
      </c>
      <c r="I790" s="45" t="s">
        <v>117</v>
      </c>
      <c r="J790" s="45" t="s">
        <v>1009</v>
      </c>
      <c r="K790" s="46">
        <v>0</v>
      </c>
      <c r="L790" s="47" t="s">
        <v>1379</v>
      </c>
    </row>
    <row r="791" spans="1:12" ht="14.5" x14ac:dyDescent="0.35">
      <c r="A791" s="47" t="s">
        <v>1359</v>
      </c>
      <c r="B791" s="43">
        <v>8470110</v>
      </c>
      <c r="C791" s="44" t="s">
        <v>180</v>
      </c>
      <c r="D791" s="43">
        <v>492316</v>
      </c>
      <c r="E791" s="44" t="s">
        <v>94</v>
      </c>
      <c r="F791" s="43">
        <v>847001</v>
      </c>
      <c r="G791" s="44" t="s">
        <v>24</v>
      </c>
      <c r="H791" s="44" t="s">
        <v>28</v>
      </c>
      <c r="I791" s="45" t="s">
        <v>29</v>
      </c>
      <c r="J791" s="45" t="s">
        <v>1010</v>
      </c>
      <c r="K791" s="46">
        <v>0</v>
      </c>
      <c r="L791" s="47" t="s">
        <v>1379</v>
      </c>
    </row>
    <row r="792" spans="1:12" ht="14.5" x14ac:dyDescent="0.35">
      <c r="A792" s="47" t="s">
        <v>1309</v>
      </c>
      <c r="B792" s="43">
        <v>8470220</v>
      </c>
      <c r="C792" s="44" t="s">
        <v>1011</v>
      </c>
      <c r="D792" s="43">
        <v>492316</v>
      </c>
      <c r="E792" s="44" t="s">
        <v>94</v>
      </c>
      <c r="F792" s="43">
        <v>847001</v>
      </c>
      <c r="G792" s="44" t="s">
        <v>24</v>
      </c>
      <c r="H792" s="44" t="s">
        <v>116</v>
      </c>
      <c r="I792" s="45" t="s">
        <v>117</v>
      </c>
      <c r="J792" s="45" t="s">
        <v>1012</v>
      </c>
      <c r="K792" s="46">
        <v>0</v>
      </c>
      <c r="L792" s="47" t="s">
        <v>1379</v>
      </c>
    </row>
    <row r="793" spans="1:12" ht="14.5" x14ac:dyDescent="0.35">
      <c r="A793" s="47" t="s">
        <v>1363</v>
      </c>
      <c r="B793" s="43">
        <v>8470305</v>
      </c>
      <c r="C793" s="44" t="s">
        <v>193</v>
      </c>
      <c r="D793" s="43">
        <v>492316</v>
      </c>
      <c r="E793" s="44" t="s">
        <v>94</v>
      </c>
      <c r="F793" s="43">
        <v>847001</v>
      </c>
      <c r="G793" s="44" t="s">
        <v>24</v>
      </c>
      <c r="H793" s="44" t="s">
        <v>116</v>
      </c>
      <c r="I793" s="45" t="s">
        <v>117</v>
      </c>
      <c r="J793" s="45" t="s">
        <v>1013</v>
      </c>
      <c r="K793" s="46">
        <v>0</v>
      </c>
      <c r="L793" s="47" t="s">
        <v>1379</v>
      </c>
    </row>
    <row r="794" spans="1:12" ht="14.5" x14ac:dyDescent="0.35">
      <c r="A794" s="47" t="s">
        <v>1363</v>
      </c>
      <c r="B794" s="43">
        <v>8470305</v>
      </c>
      <c r="C794" s="44" t="s">
        <v>193</v>
      </c>
      <c r="D794" s="43">
        <v>492316</v>
      </c>
      <c r="E794" s="44" t="s">
        <v>94</v>
      </c>
      <c r="F794" s="43">
        <v>847001</v>
      </c>
      <c r="G794" s="44" t="s">
        <v>24</v>
      </c>
      <c r="H794" s="44" t="s">
        <v>28</v>
      </c>
      <c r="I794" s="45" t="s">
        <v>29</v>
      </c>
      <c r="J794" s="45" t="s">
        <v>1014</v>
      </c>
      <c r="K794" s="46">
        <v>0</v>
      </c>
      <c r="L794" s="47" t="s">
        <v>1379</v>
      </c>
    </row>
    <row r="795" spans="1:12" ht="14.5" x14ac:dyDescent="0.35">
      <c r="A795" s="47" t="s">
        <v>1363</v>
      </c>
      <c r="B795" s="43">
        <v>8470310</v>
      </c>
      <c r="C795" s="44" t="s">
        <v>309</v>
      </c>
      <c r="D795" s="43">
        <v>492316</v>
      </c>
      <c r="E795" s="44" t="s">
        <v>94</v>
      </c>
      <c r="F795" s="43">
        <v>847001</v>
      </c>
      <c r="G795" s="44" t="s">
        <v>24</v>
      </c>
      <c r="H795" s="44" t="s">
        <v>116</v>
      </c>
      <c r="I795" s="45" t="s">
        <v>117</v>
      </c>
      <c r="J795" s="45" t="s">
        <v>1015</v>
      </c>
      <c r="K795" s="46">
        <v>0</v>
      </c>
      <c r="L795" s="47" t="s">
        <v>1379</v>
      </c>
    </row>
    <row r="796" spans="1:12" ht="14.5" x14ac:dyDescent="0.35">
      <c r="A796" s="47" t="s">
        <v>1363</v>
      </c>
      <c r="B796" s="43">
        <v>8470310</v>
      </c>
      <c r="C796" s="44" t="s">
        <v>309</v>
      </c>
      <c r="D796" s="43">
        <v>492316</v>
      </c>
      <c r="E796" s="44" t="s">
        <v>94</v>
      </c>
      <c r="F796" s="43">
        <v>847001</v>
      </c>
      <c r="G796" s="44" t="s">
        <v>24</v>
      </c>
      <c r="H796" s="44" t="s">
        <v>28</v>
      </c>
      <c r="I796" s="45" t="s">
        <v>29</v>
      </c>
      <c r="J796" s="45" t="s">
        <v>1016</v>
      </c>
      <c r="K796" s="46">
        <v>0</v>
      </c>
      <c r="L796" s="47" t="s">
        <v>1379</v>
      </c>
    </row>
    <row r="797" spans="1:12" ht="14.5" x14ac:dyDescent="0.35">
      <c r="A797" s="47" t="s">
        <v>1363</v>
      </c>
      <c r="B797" s="43">
        <v>8470315</v>
      </c>
      <c r="C797" s="44" t="s">
        <v>311</v>
      </c>
      <c r="D797" s="43">
        <v>492316</v>
      </c>
      <c r="E797" s="44" t="s">
        <v>94</v>
      </c>
      <c r="F797" s="43">
        <v>847001</v>
      </c>
      <c r="G797" s="44" t="s">
        <v>24</v>
      </c>
      <c r="H797" s="44" t="s">
        <v>116</v>
      </c>
      <c r="I797" s="45" t="s">
        <v>117</v>
      </c>
      <c r="J797" s="45" t="s">
        <v>1017</v>
      </c>
      <c r="K797" s="46">
        <v>0</v>
      </c>
      <c r="L797" s="47" t="s">
        <v>1379</v>
      </c>
    </row>
    <row r="798" spans="1:12" ht="14.5" x14ac:dyDescent="0.35">
      <c r="A798" s="47" t="s">
        <v>1363</v>
      </c>
      <c r="B798" s="43">
        <v>8470315</v>
      </c>
      <c r="C798" s="44" t="s">
        <v>311</v>
      </c>
      <c r="D798" s="43">
        <v>492316</v>
      </c>
      <c r="E798" s="44" t="s">
        <v>94</v>
      </c>
      <c r="F798" s="43">
        <v>847001</v>
      </c>
      <c r="G798" s="44" t="s">
        <v>24</v>
      </c>
      <c r="H798" s="44" t="s">
        <v>28</v>
      </c>
      <c r="I798" s="45" t="s">
        <v>29</v>
      </c>
      <c r="J798" s="45" t="s">
        <v>1018</v>
      </c>
      <c r="K798" s="46">
        <v>0</v>
      </c>
      <c r="L798" s="47" t="s">
        <v>1379</v>
      </c>
    </row>
    <row r="799" spans="1:12" ht="14.5" x14ac:dyDescent="0.35">
      <c r="A799" s="47" t="s">
        <v>1363</v>
      </c>
      <c r="B799" s="43">
        <v>8470320</v>
      </c>
      <c r="C799" s="44" t="s">
        <v>443</v>
      </c>
      <c r="D799" s="43">
        <v>492316</v>
      </c>
      <c r="E799" s="44" t="s">
        <v>94</v>
      </c>
      <c r="F799" s="43">
        <v>847001</v>
      </c>
      <c r="G799" s="44" t="s">
        <v>24</v>
      </c>
      <c r="H799" s="44" t="s">
        <v>116</v>
      </c>
      <c r="I799" s="45" t="s">
        <v>117</v>
      </c>
      <c r="J799" s="45" t="s">
        <v>1019</v>
      </c>
      <c r="K799" s="46">
        <v>0</v>
      </c>
      <c r="L799" s="47" t="s">
        <v>1379</v>
      </c>
    </row>
    <row r="800" spans="1:12" ht="14.5" x14ac:dyDescent="0.35">
      <c r="A800" s="47" t="s">
        <v>1363</v>
      </c>
      <c r="B800" s="43">
        <v>8470320</v>
      </c>
      <c r="C800" s="44" t="s">
        <v>443</v>
      </c>
      <c r="D800" s="43">
        <v>492316</v>
      </c>
      <c r="E800" s="44" t="s">
        <v>94</v>
      </c>
      <c r="F800" s="43">
        <v>847001</v>
      </c>
      <c r="G800" s="44" t="s">
        <v>24</v>
      </c>
      <c r="H800" s="44" t="s">
        <v>28</v>
      </c>
      <c r="I800" s="45" t="s">
        <v>29</v>
      </c>
      <c r="J800" s="45" t="s">
        <v>1020</v>
      </c>
      <c r="K800" s="46">
        <v>0</v>
      </c>
      <c r="L800" s="47" t="s">
        <v>1379</v>
      </c>
    </row>
    <row r="801" spans="1:12" ht="14.5" x14ac:dyDescent="0.35">
      <c r="A801" s="47" t="s">
        <v>1363</v>
      </c>
      <c r="B801" s="43">
        <v>8470325</v>
      </c>
      <c r="C801" s="44" t="s">
        <v>186</v>
      </c>
      <c r="D801" s="43">
        <v>492316</v>
      </c>
      <c r="E801" s="44" t="s">
        <v>94</v>
      </c>
      <c r="F801" s="43">
        <v>847001</v>
      </c>
      <c r="G801" s="44" t="s">
        <v>24</v>
      </c>
      <c r="H801" s="44" t="s">
        <v>116</v>
      </c>
      <c r="I801" s="45" t="s">
        <v>117</v>
      </c>
      <c r="J801" s="45" t="s">
        <v>1021</v>
      </c>
      <c r="K801" s="46">
        <v>0</v>
      </c>
      <c r="L801" s="47" t="s">
        <v>1379</v>
      </c>
    </row>
    <row r="802" spans="1:12" ht="14.5" x14ac:dyDescent="0.35">
      <c r="A802" s="47" t="s">
        <v>1363</v>
      </c>
      <c r="B802" s="43">
        <v>8470325</v>
      </c>
      <c r="C802" s="44" t="s">
        <v>186</v>
      </c>
      <c r="D802" s="43">
        <v>492316</v>
      </c>
      <c r="E802" s="44" t="s">
        <v>94</v>
      </c>
      <c r="F802" s="43">
        <v>847001</v>
      </c>
      <c r="G802" s="44" t="s">
        <v>24</v>
      </c>
      <c r="H802" s="44" t="s">
        <v>28</v>
      </c>
      <c r="I802" s="45" t="s">
        <v>29</v>
      </c>
      <c r="J802" s="45" t="s">
        <v>1022</v>
      </c>
      <c r="K802" s="46">
        <v>0</v>
      </c>
      <c r="L802" s="47" t="s">
        <v>1379</v>
      </c>
    </row>
    <row r="803" spans="1:12" ht="14.5" x14ac:dyDescent="0.35">
      <c r="A803" s="47" t="s">
        <v>1363</v>
      </c>
      <c r="B803" s="43">
        <v>8470330</v>
      </c>
      <c r="C803" s="44" t="s">
        <v>268</v>
      </c>
      <c r="D803" s="43">
        <v>492316</v>
      </c>
      <c r="E803" s="44" t="s">
        <v>94</v>
      </c>
      <c r="F803" s="43">
        <v>847001</v>
      </c>
      <c r="G803" s="44" t="s">
        <v>24</v>
      </c>
      <c r="H803" s="44" t="s">
        <v>116</v>
      </c>
      <c r="I803" s="45" t="s">
        <v>117</v>
      </c>
      <c r="J803" s="45" t="s">
        <v>1023</v>
      </c>
      <c r="K803" s="46">
        <v>0</v>
      </c>
      <c r="L803" s="47" t="s">
        <v>1379</v>
      </c>
    </row>
    <row r="804" spans="1:12" ht="14.5" x14ac:dyDescent="0.35">
      <c r="A804" s="47" t="s">
        <v>1363</v>
      </c>
      <c r="B804" s="43">
        <v>8470330</v>
      </c>
      <c r="C804" s="44" t="s">
        <v>268</v>
      </c>
      <c r="D804" s="43">
        <v>492316</v>
      </c>
      <c r="E804" s="44" t="s">
        <v>94</v>
      </c>
      <c r="F804" s="43">
        <v>847001</v>
      </c>
      <c r="G804" s="44" t="s">
        <v>24</v>
      </c>
      <c r="H804" s="44" t="s">
        <v>28</v>
      </c>
      <c r="I804" s="45" t="s">
        <v>29</v>
      </c>
      <c r="J804" s="45" t="s">
        <v>1024</v>
      </c>
      <c r="K804" s="46">
        <v>0</v>
      </c>
      <c r="L804" s="47" t="s">
        <v>1379</v>
      </c>
    </row>
    <row r="805" spans="1:12" ht="14.5" x14ac:dyDescent="0.35">
      <c r="A805" s="47" t="s">
        <v>1363</v>
      </c>
      <c r="B805" s="43">
        <v>8470335</v>
      </c>
      <c r="C805" s="44" t="s">
        <v>317</v>
      </c>
      <c r="D805" s="43">
        <v>492316</v>
      </c>
      <c r="E805" s="44" t="s">
        <v>94</v>
      </c>
      <c r="F805" s="43">
        <v>847001</v>
      </c>
      <c r="G805" s="44" t="s">
        <v>24</v>
      </c>
      <c r="H805" s="44" t="s">
        <v>116</v>
      </c>
      <c r="I805" s="45" t="s">
        <v>117</v>
      </c>
      <c r="J805" s="45" t="s">
        <v>1025</v>
      </c>
      <c r="K805" s="46">
        <v>0</v>
      </c>
      <c r="L805" s="47" t="s">
        <v>1379</v>
      </c>
    </row>
    <row r="806" spans="1:12" ht="14.5" x14ac:dyDescent="0.35">
      <c r="A806" s="47" t="s">
        <v>1363</v>
      </c>
      <c r="B806" s="43">
        <v>8470335</v>
      </c>
      <c r="C806" s="44" t="s">
        <v>317</v>
      </c>
      <c r="D806" s="43">
        <v>492316</v>
      </c>
      <c r="E806" s="44" t="s">
        <v>94</v>
      </c>
      <c r="F806" s="43">
        <v>847001</v>
      </c>
      <c r="G806" s="44" t="s">
        <v>24</v>
      </c>
      <c r="H806" s="44" t="s">
        <v>28</v>
      </c>
      <c r="I806" s="45" t="s">
        <v>29</v>
      </c>
      <c r="J806" s="45" t="s">
        <v>1026</v>
      </c>
      <c r="K806" s="46">
        <v>0</v>
      </c>
      <c r="L806" s="47" t="s">
        <v>1379</v>
      </c>
    </row>
    <row r="807" spans="1:12" ht="14.5" x14ac:dyDescent="0.35">
      <c r="A807" s="47" t="s">
        <v>1363</v>
      </c>
      <c r="B807" s="43">
        <v>8470340</v>
      </c>
      <c r="C807" s="44" t="s">
        <v>234</v>
      </c>
      <c r="D807" s="43">
        <v>492316</v>
      </c>
      <c r="E807" s="44" t="s">
        <v>94</v>
      </c>
      <c r="F807" s="43">
        <v>847001</v>
      </c>
      <c r="G807" s="44" t="s">
        <v>24</v>
      </c>
      <c r="H807" s="44" t="s">
        <v>116</v>
      </c>
      <c r="I807" s="45" t="s">
        <v>117</v>
      </c>
      <c r="J807" s="45" t="s">
        <v>1027</v>
      </c>
      <c r="K807" s="46">
        <v>0</v>
      </c>
      <c r="L807" s="47" t="s">
        <v>1379</v>
      </c>
    </row>
    <row r="808" spans="1:12" ht="14.5" x14ac:dyDescent="0.35">
      <c r="A808" s="47" t="s">
        <v>1363</v>
      </c>
      <c r="B808" s="43">
        <v>8470340</v>
      </c>
      <c r="C808" s="44" t="s">
        <v>234</v>
      </c>
      <c r="D808" s="43">
        <v>492316</v>
      </c>
      <c r="E808" s="44" t="s">
        <v>94</v>
      </c>
      <c r="F808" s="43">
        <v>847001</v>
      </c>
      <c r="G808" s="44" t="s">
        <v>24</v>
      </c>
      <c r="H808" s="44" t="s">
        <v>28</v>
      </c>
      <c r="I808" s="45" t="s">
        <v>29</v>
      </c>
      <c r="J808" s="45" t="s">
        <v>1028</v>
      </c>
      <c r="K808" s="46">
        <v>0</v>
      </c>
      <c r="L808" s="47" t="s">
        <v>1379</v>
      </c>
    </row>
    <row r="809" spans="1:12" ht="14.5" x14ac:dyDescent="0.35">
      <c r="A809" s="47" t="s">
        <v>1363</v>
      </c>
      <c r="B809" s="43">
        <v>8470345</v>
      </c>
      <c r="C809" s="44" t="s">
        <v>188</v>
      </c>
      <c r="D809" s="43">
        <v>492316</v>
      </c>
      <c r="E809" s="44" t="s">
        <v>94</v>
      </c>
      <c r="F809" s="43">
        <v>847001</v>
      </c>
      <c r="G809" s="44" t="s">
        <v>24</v>
      </c>
      <c r="H809" s="44" t="s">
        <v>116</v>
      </c>
      <c r="I809" s="45" t="s">
        <v>117</v>
      </c>
      <c r="J809" s="45" t="s">
        <v>1029</v>
      </c>
      <c r="K809" s="46">
        <v>0</v>
      </c>
      <c r="L809" s="47" t="s">
        <v>1379</v>
      </c>
    </row>
    <row r="810" spans="1:12" ht="14.5" x14ac:dyDescent="0.35">
      <c r="A810" s="47" t="s">
        <v>1363</v>
      </c>
      <c r="B810" s="43">
        <v>8470345</v>
      </c>
      <c r="C810" s="44" t="s">
        <v>188</v>
      </c>
      <c r="D810" s="43">
        <v>492316</v>
      </c>
      <c r="E810" s="44" t="s">
        <v>94</v>
      </c>
      <c r="F810" s="43">
        <v>847001</v>
      </c>
      <c r="G810" s="44" t="s">
        <v>24</v>
      </c>
      <c r="H810" s="44" t="s">
        <v>28</v>
      </c>
      <c r="I810" s="45" t="s">
        <v>29</v>
      </c>
      <c r="J810" s="45" t="s">
        <v>1030</v>
      </c>
      <c r="K810" s="46">
        <v>0</v>
      </c>
      <c r="L810" s="47" t="s">
        <v>1379</v>
      </c>
    </row>
    <row r="811" spans="1:12" ht="14.5" x14ac:dyDescent="0.35">
      <c r="A811" s="47" t="s">
        <v>1363</v>
      </c>
      <c r="B811" s="43">
        <v>8470350</v>
      </c>
      <c r="C811" s="44" t="s">
        <v>191</v>
      </c>
      <c r="D811" s="43">
        <v>492316</v>
      </c>
      <c r="E811" s="44" t="s">
        <v>94</v>
      </c>
      <c r="F811" s="43">
        <v>847001</v>
      </c>
      <c r="G811" s="44" t="s">
        <v>24</v>
      </c>
      <c r="H811" s="44" t="s">
        <v>116</v>
      </c>
      <c r="I811" s="45" t="s">
        <v>117</v>
      </c>
      <c r="J811" s="45" t="s">
        <v>1031</v>
      </c>
      <c r="K811" s="46">
        <v>0</v>
      </c>
      <c r="L811" s="47" t="s">
        <v>1379</v>
      </c>
    </row>
    <row r="812" spans="1:12" ht="14.5" x14ac:dyDescent="0.35">
      <c r="A812" s="47" t="s">
        <v>1363</v>
      </c>
      <c r="B812" s="43">
        <v>8470350</v>
      </c>
      <c r="C812" s="44" t="s">
        <v>191</v>
      </c>
      <c r="D812" s="43">
        <v>492316</v>
      </c>
      <c r="E812" s="44" t="s">
        <v>94</v>
      </c>
      <c r="F812" s="43">
        <v>847001</v>
      </c>
      <c r="G812" s="44" t="s">
        <v>24</v>
      </c>
      <c r="H812" s="44" t="s">
        <v>28</v>
      </c>
      <c r="I812" s="45" t="s">
        <v>29</v>
      </c>
      <c r="J812" s="45" t="s">
        <v>1032</v>
      </c>
      <c r="K812" s="46">
        <v>0</v>
      </c>
      <c r="L812" s="47" t="s">
        <v>1379</v>
      </c>
    </row>
    <row r="813" spans="1:12" ht="14.5" x14ac:dyDescent="0.35">
      <c r="A813" s="47" t="s">
        <v>1357</v>
      </c>
      <c r="B813" s="43">
        <v>8470405</v>
      </c>
      <c r="C813" s="44" t="s">
        <v>270</v>
      </c>
      <c r="D813" s="43">
        <v>492316</v>
      </c>
      <c r="E813" s="44" t="s">
        <v>94</v>
      </c>
      <c r="F813" s="43">
        <v>847001</v>
      </c>
      <c r="G813" s="44" t="s">
        <v>24</v>
      </c>
      <c r="H813" s="44" t="s">
        <v>116</v>
      </c>
      <c r="I813" s="45" t="s">
        <v>117</v>
      </c>
      <c r="J813" s="45" t="s">
        <v>1033</v>
      </c>
      <c r="K813" s="46">
        <v>0</v>
      </c>
      <c r="L813" s="47" t="s">
        <v>1379</v>
      </c>
    </row>
    <row r="814" spans="1:12" ht="14.5" x14ac:dyDescent="0.35">
      <c r="A814" s="47" t="s">
        <v>1357</v>
      </c>
      <c r="B814" s="43">
        <v>8470415</v>
      </c>
      <c r="C814" s="44" t="s">
        <v>362</v>
      </c>
      <c r="D814" s="43">
        <v>492316</v>
      </c>
      <c r="E814" s="44" t="s">
        <v>94</v>
      </c>
      <c r="F814" s="43">
        <v>847001</v>
      </c>
      <c r="G814" s="44" t="s">
        <v>24</v>
      </c>
      <c r="H814" s="44" t="s">
        <v>116</v>
      </c>
      <c r="I814" s="45" t="s">
        <v>117</v>
      </c>
      <c r="J814" s="45" t="s">
        <v>1034</v>
      </c>
      <c r="K814" s="46">
        <v>0</v>
      </c>
      <c r="L814" s="47" t="s">
        <v>1379</v>
      </c>
    </row>
    <row r="815" spans="1:12" ht="14.5" x14ac:dyDescent="0.35">
      <c r="A815" s="47" t="s">
        <v>1357</v>
      </c>
      <c r="B815" s="43">
        <v>8470415</v>
      </c>
      <c r="C815" s="44" t="s">
        <v>362</v>
      </c>
      <c r="D815" s="43">
        <v>492316</v>
      </c>
      <c r="E815" s="44" t="s">
        <v>94</v>
      </c>
      <c r="F815" s="43">
        <v>847001</v>
      </c>
      <c r="G815" s="44" t="s">
        <v>24</v>
      </c>
      <c r="H815" s="44" t="s">
        <v>28</v>
      </c>
      <c r="I815" s="45" t="s">
        <v>29</v>
      </c>
      <c r="J815" s="45" t="s">
        <v>1035</v>
      </c>
      <c r="K815" s="46">
        <v>0</v>
      </c>
      <c r="L815" s="47" t="s">
        <v>1379</v>
      </c>
    </row>
    <row r="816" spans="1:12" ht="14.5" x14ac:dyDescent="0.35">
      <c r="A816" s="47" t="e">
        <v>#N/A</v>
      </c>
      <c r="B816" s="43">
        <v>8470420</v>
      </c>
      <c r="C816" s="44" t="s">
        <v>326</v>
      </c>
      <c r="D816" s="43">
        <v>492316</v>
      </c>
      <c r="E816" s="44" t="s">
        <v>94</v>
      </c>
      <c r="F816" s="43">
        <v>847001</v>
      </c>
      <c r="G816" s="44" t="s">
        <v>24</v>
      </c>
      <c r="H816" s="44" t="s">
        <v>116</v>
      </c>
      <c r="I816" s="45" t="s">
        <v>117</v>
      </c>
      <c r="J816" s="45" t="s">
        <v>1036</v>
      </c>
      <c r="K816" s="46">
        <v>0</v>
      </c>
      <c r="L816" s="47" t="s">
        <v>1379</v>
      </c>
    </row>
    <row r="817" spans="1:12" ht="14.5" x14ac:dyDescent="0.35">
      <c r="A817" s="47" t="e">
        <v>#N/A</v>
      </c>
      <c r="B817" s="43">
        <v>8470420</v>
      </c>
      <c r="C817" s="44" t="s">
        <v>326</v>
      </c>
      <c r="D817" s="43">
        <v>492316</v>
      </c>
      <c r="E817" s="44" t="s">
        <v>94</v>
      </c>
      <c r="F817" s="43">
        <v>847001</v>
      </c>
      <c r="G817" s="44" t="s">
        <v>24</v>
      </c>
      <c r="H817" s="44" t="s">
        <v>28</v>
      </c>
      <c r="I817" s="45" t="s">
        <v>29</v>
      </c>
      <c r="J817" s="45" t="s">
        <v>1037</v>
      </c>
      <c r="K817" s="46">
        <v>0</v>
      </c>
      <c r="L817" s="47" t="s">
        <v>1379</v>
      </c>
    </row>
    <row r="818" spans="1:12" ht="14.5" x14ac:dyDescent="0.35">
      <c r="A818" s="47" t="s">
        <v>1357</v>
      </c>
      <c r="B818" s="43">
        <v>8470425</v>
      </c>
      <c r="C818" s="44" t="s">
        <v>272</v>
      </c>
      <c r="D818" s="43">
        <v>492316</v>
      </c>
      <c r="E818" s="44" t="s">
        <v>94</v>
      </c>
      <c r="F818" s="43">
        <v>847001</v>
      </c>
      <c r="G818" s="44" t="s">
        <v>24</v>
      </c>
      <c r="H818" s="44" t="s">
        <v>116</v>
      </c>
      <c r="I818" s="45" t="s">
        <v>117</v>
      </c>
      <c r="J818" s="45" t="s">
        <v>1038</v>
      </c>
      <c r="K818" s="46">
        <v>0</v>
      </c>
      <c r="L818" s="47" t="s">
        <v>1379</v>
      </c>
    </row>
    <row r="819" spans="1:12" ht="14.5" x14ac:dyDescent="0.35">
      <c r="A819" s="47" t="s">
        <v>1357</v>
      </c>
      <c r="B819" s="43">
        <v>8470425</v>
      </c>
      <c r="C819" s="44" t="s">
        <v>272</v>
      </c>
      <c r="D819" s="43">
        <v>492316</v>
      </c>
      <c r="E819" s="44" t="s">
        <v>94</v>
      </c>
      <c r="F819" s="43">
        <v>847001</v>
      </c>
      <c r="G819" s="44" t="s">
        <v>24</v>
      </c>
      <c r="H819" s="44" t="s">
        <v>28</v>
      </c>
      <c r="I819" s="45" t="s">
        <v>29</v>
      </c>
      <c r="J819" s="45" t="s">
        <v>1039</v>
      </c>
      <c r="K819" s="46">
        <v>0</v>
      </c>
      <c r="L819" s="47" t="s">
        <v>1379</v>
      </c>
    </row>
    <row r="820" spans="1:12" ht="14.5" x14ac:dyDescent="0.35">
      <c r="A820" s="47" t="s">
        <v>1357</v>
      </c>
      <c r="B820" s="43">
        <v>8470430</v>
      </c>
      <c r="C820" s="44" t="s">
        <v>424</v>
      </c>
      <c r="D820" s="43">
        <v>492316</v>
      </c>
      <c r="E820" s="44" t="s">
        <v>94</v>
      </c>
      <c r="F820" s="43">
        <v>847001</v>
      </c>
      <c r="G820" s="44" t="s">
        <v>24</v>
      </c>
      <c r="H820" s="44" t="s">
        <v>116</v>
      </c>
      <c r="I820" s="45" t="s">
        <v>117</v>
      </c>
      <c r="J820" s="45" t="s">
        <v>1040</v>
      </c>
      <c r="K820" s="46">
        <v>0</v>
      </c>
      <c r="L820" s="47" t="s">
        <v>1379</v>
      </c>
    </row>
    <row r="821" spans="1:12" ht="14.5" x14ac:dyDescent="0.35">
      <c r="A821" s="47" t="s">
        <v>1357</v>
      </c>
      <c r="B821" s="43">
        <v>8470430</v>
      </c>
      <c r="C821" s="44" t="s">
        <v>424</v>
      </c>
      <c r="D821" s="43">
        <v>492316</v>
      </c>
      <c r="E821" s="44" t="s">
        <v>94</v>
      </c>
      <c r="F821" s="43">
        <v>847001</v>
      </c>
      <c r="G821" s="44" t="s">
        <v>24</v>
      </c>
      <c r="H821" s="44" t="s">
        <v>28</v>
      </c>
      <c r="I821" s="45" t="s">
        <v>29</v>
      </c>
      <c r="J821" s="45" t="s">
        <v>1041</v>
      </c>
      <c r="K821" s="46">
        <v>0</v>
      </c>
      <c r="L821" s="47" t="s">
        <v>1379</v>
      </c>
    </row>
    <row r="822" spans="1:12" ht="14.5" x14ac:dyDescent="0.35">
      <c r="A822" s="47" t="s">
        <v>1357</v>
      </c>
      <c r="B822" s="43">
        <v>8470445</v>
      </c>
      <c r="C822" s="44" t="s">
        <v>410</v>
      </c>
      <c r="D822" s="43">
        <v>492316</v>
      </c>
      <c r="E822" s="44" t="s">
        <v>94</v>
      </c>
      <c r="F822" s="43">
        <v>847001</v>
      </c>
      <c r="G822" s="44" t="s">
        <v>24</v>
      </c>
      <c r="H822" s="44" t="s">
        <v>28</v>
      </c>
      <c r="I822" s="45" t="s">
        <v>29</v>
      </c>
      <c r="J822" s="45" t="s">
        <v>1042</v>
      </c>
      <c r="K822" s="46">
        <v>0</v>
      </c>
      <c r="L822" s="47" t="s">
        <v>1379</v>
      </c>
    </row>
    <row r="823" spans="1:12" ht="14.5" x14ac:dyDescent="0.35">
      <c r="A823" s="47" t="s">
        <v>1357</v>
      </c>
      <c r="B823" s="43">
        <v>8470450</v>
      </c>
      <c r="C823" s="44" t="s">
        <v>275</v>
      </c>
      <c r="D823" s="43">
        <v>492316</v>
      </c>
      <c r="E823" s="44" t="s">
        <v>94</v>
      </c>
      <c r="F823" s="43">
        <v>847001</v>
      </c>
      <c r="G823" s="44" t="s">
        <v>24</v>
      </c>
      <c r="H823" s="44" t="s">
        <v>28</v>
      </c>
      <c r="I823" s="45" t="s">
        <v>29</v>
      </c>
      <c r="J823" s="45" t="s">
        <v>1043</v>
      </c>
      <c r="K823" s="46">
        <v>0</v>
      </c>
      <c r="L823" s="47" t="s">
        <v>1379</v>
      </c>
    </row>
    <row r="824" spans="1:12" ht="14.5" x14ac:dyDescent="0.35">
      <c r="A824" s="47" t="s">
        <v>1358</v>
      </c>
      <c r="B824" s="43">
        <v>8470520</v>
      </c>
      <c r="C824" s="44" t="s">
        <v>253</v>
      </c>
      <c r="D824" s="43">
        <v>492316</v>
      </c>
      <c r="E824" s="44" t="s">
        <v>94</v>
      </c>
      <c r="F824" s="43">
        <v>847001</v>
      </c>
      <c r="G824" s="44" t="s">
        <v>24</v>
      </c>
      <c r="H824" s="44" t="s">
        <v>116</v>
      </c>
      <c r="I824" s="45" t="s">
        <v>117</v>
      </c>
      <c r="J824" s="45" t="s">
        <v>1044</v>
      </c>
      <c r="K824" s="46">
        <v>0</v>
      </c>
      <c r="L824" s="47" t="s">
        <v>1379</v>
      </c>
    </row>
    <row r="825" spans="1:12" ht="14.5" x14ac:dyDescent="0.35">
      <c r="A825" s="47" t="s">
        <v>1358</v>
      </c>
      <c r="B825" s="43">
        <v>8470530</v>
      </c>
      <c r="C825" s="44" t="s">
        <v>165</v>
      </c>
      <c r="D825" s="43">
        <v>492316</v>
      </c>
      <c r="E825" s="44" t="s">
        <v>94</v>
      </c>
      <c r="F825" s="43">
        <v>847010</v>
      </c>
      <c r="G825" s="44" t="s">
        <v>167</v>
      </c>
      <c r="H825" s="44" t="s">
        <v>28</v>
      </c>
      <c r="I825" s="45" t="s">
        <v>29</v>
      </c>
      <c r="J825" s="45" t="s">
        <v>1045</v>
      </c>
      <c r="K825" s="46">
        <v>0</v>
      </c>
      <c r="L825" s="47" t="s">
        <v>1379</v>
      </c>
    </row>
    <row r="826" spans="1:12" ht="14.5" x14ac:dyDescent="0.35">
      <c r="A826" s="47" t="s">
        <v>1358</v>
      </c>
      <c r="B826" s="43">
        <v>8470530</v>
      </c>
      <c r="C826" s="44" t="s">
        <v>165</v>
      </c>
      <c r="D826" s="43">
        <v>492316</v>
      </c>
      <c r="E826" s="44" t="s">
        <v>94</v>
      </c>
      <c r="F826" s="43">
        <v>847020</v>
      </c>
      <c r="G826" s="44" t="s">
        <v>170</v>
      </c>
      <c r="H826" s="44" t="s">
        <v>28</v>
      </c>
      <c r="I826" s="45" t="s">
        <v>29</v>
      </c>
      <c r="J826" s="45" t="s">
        <v>1046</v>
      </c>
      <c r="K826" s="46">
        <v>0</v>
      </c>
      <c r="L826" s="47" t="s">
        <v>1379</v>
      </c>
    </row>
    <row r="827" spans="1:12" ht="14.5" x14ac:dyDescent="0.35">
      <c r="A827" s="47" t="s">
        <v>1358</v>
      </c>
      <c r="B827" s="43">
        <v>8470530</v>
      </c>
      <c r="C827" s="44" t="s">
        <v>165</v>
      </c>
      <c r="D827" s="43">
        <v>492316</v>
      </c>
      <c r="E827" s="44" t="s">
        <v>94</v>
      </c>
      <c r="F827" s="43">
        <v>847030</v>
      </c>
      <c r="G827" s="44" t="s">
        <v>173</v>
      </c>
      <c r="H827" s="44" t="s">
        <v>116</v>
      </c>
      <c r="I827" s="45" t="s">
        <v>117</v>
      </c>
      <c r="J827" s="45" t="s">
        <v>1047</v>
      </c>
      <c r="K827" s="46">
        <v>0</v>
      </c>
      <c r="L827" s="47" t="s">
        <v>1379</v>
      </c>
    </row>
    <row r="828" spans="1:12" ht="14.5" x14ac:dyDescent="0.35">
      <c r="A828" s="47" t="s">
        <v>1362</v>
      </c>
      <c r="B828" s="43">
        <v>8470620</v>
      </c>
      <c r="C828" s="44" t="s">
        <v>161</v>
      </c>
      <c r="D828" s="43">
        <v>492316</v>
      </c>
      <c r="E828" s="44" t="s">
        <v>94</v>
      </c>
      <c r="F828" s="43">
        <v>847001</v>
      </c>
      <c r="G828" s="44" t="s">
        <v>24</v>
      </c>
      <c r="H828" s="44" t="s">
        <v>28</v>
      </c>
      <c r="I828" s="45" t="s">
        <v>29</v>
      </c>
      <c r="J828" s="45" t="s">
        <v>1048</v>
      </c>
      <c r="K828" s="46">
        <v>0</v>
      </c>
      <c r="L828" s="47" t="s">
        <v>1379</v>
      </c>
    </row>
    <row r="829" spans="1:12" ht="14.5" x14ac:dyDescent="0.35">
      <c r="A829" s="47" t="s">
        <v>1364</v>
      </c>
      <c r="B829" s="43">
        <v>8470810</v>
      </c>
      <c r="C829" s="44" t="s">
        <v>200</v>
      </c>
      <c r="D829" s="43">
        <v>492316</v>
      </c>
      <c r="E829" s="44" t="s">
        <v>94</v>
      </c>
      <c r="F829" s="43">
        <v>847001</v>
      </c>
      <c r="G829" s="44" t="s">
        <v>24</v>
      </c>
      <c r="H829" s="44" t="s">
        <v>116</v>
      </c>
      <c r="I829" s="45" t="s">
        <v>117</v>
      </c>
      <c r="J829" s="45" t="s">
        <v>1049</v>
      </c>
      <c r="K829" s="46">
        <v>0</v>
      </c>
      <c r="L829" s="47" t="s">
        <v>1379</v>
      </c>
    </row>
    <row r="830" spans="1:12" ht="14.5" x14ac:dyDescent="0.35">
      <c r="A830" s="47" t="s">
        <v>1364</v>
      </c>
      <c r="B830" s="43">
        <v>8470810</v>
      </c>
      <c r="C830" s="44" t="s">
        <v>200</v>
      </c>
      <c r="D830" s="43">
        <v>492316</v>
      </c>
      <c r="E830" s="44" t="s">
        <v>94</v>
      </c>
      <c r="F830" s="43">
        <v>847001</v>
      </c>
      <c r="G830" s="44" t="s">
        <v>24</v>
      </c>
      <c r="H830" s="44" t="s">
        <v>28</v>
      </c>
      <c r="I830" s="45" t="s">
        <v>29</v>
      </c>
      <c r="J830" s="45" t="s">
        <v>1050</v>
      </c>
      <c r="K830" s="46">
        <v>0</v>
      </c>
      <c r="L830" s="47" t="s">
        <v>1379</v>
      </c>
    </row>
    <row r="831" spans="1:12" ht="14.5" x14ac:dyDescent="0.35">
      <c r="A831" s="47" t="s">
        <v>1368</v>
      </c>
      <c r="B831" s="43">
        <v>8471110</v>
      </c>
      <c r="C831" s="44" t="s">
        <v>227</v>
      </c>
      <c r="D831" s="43">
        <v>492316</v>
      </c>
      <c r="E831" s="44" t="s">
        <v>94</v>
      </c>
      <c r="F831" s="43">
        <v>847001</v>
      </c>
      <c r="G831" s="44" t="s">
        <v>24</v>
      </c>
      <c r="H831" s="44" t="s">
        <v>116</v>
      </c>
      <c r="I831" s="45" t="s">
        <v>117</v>
      </c>
      <c r="J831" s="45" t="s">
        <v>1051</v>
      </c>
      <c r="K831" s="46">
        <v>0</v>
      </c>
      <c r="L831" s="47" t="s">
        <v>1379</v>
      </c>
    </row>
    <row r="832" spans="1:12" ht="14.5" x14ac:dyDescent="0.35">
      <c r="A832" s="47" t="s">
        <v>1368</v>
      </c>
      <c r="B832" s="43">
        <v>8471110</v>
      </c>
      <c r="C832" s="44" t="s">
        <v>227</v>
      </c>
      <c r="D832" s="43">
        <v>492316</v>
      </c>
      <c r="E832" s="44" t="s">
        <v>94</v>
      </c>
      <c r="F832" s="43">
        <v>847001</v>
      </c>
      <c r="G832" s="44" t="s">
        <v>24</v>
      </c>
      <c r="H832" s="44" t="s">
        <v>28</v>
      </c>
      <c r="I832" s="45" t="s">
        <v>29</v>
      </c>
      <c r="J832" s="45" t="s">
        <v>1052</v>
      </c>
      <c r="K832" s="46">
        <v>0</v>
      </c>
      <c r="L832" s="47" t="s">
        <v>1379</v>
      </c>
    </row>
    <row r="833" spans="1:12" ht="14.5" x14ac:dyDescent="0.35">
      <c r="A833" s="47" t="s">
        <v>1368</v>
      </c>
      <c r="B833" s="43">
        <v>8471130</v>
      </c>
      <c r="C833" s="44" t="s">
        <v>197</v>
      </c>
      <c r="D833" s="43">
        <v>492316</v>
      </c>
      <c r="E833" s="44" t="s">
        <v>94</v>
      </c>
      <c r="F833" s="43">
        <v>847001</v>
      </c>
      <c r="G833" s="44" t="s">
        <v>24</v>
      </c>
      <c r="H833" s="44" t="s">
        <v>116</v>
      </c>
      <c r="I833" s="45" t="s">
        <v>117</v>
      </c>
      <c r="J833" s="45" t="s">
        <v>1053</v>
      </c>
      <c r="K833" s="46">
        <v>0</v>
      </c>
      <c r="L833" s="47" t="s">
        <v>1379</v>
      </c>
    </row>
    <row r="834" spans="1:12" ht="14.5" x14ac:dyDescent="0.35">
      <c r="A834" s="47" t="s">
        <v>1368</v>
      </c>
      <c r="B834" s="43">
        <v>8471130</v>
      </c>
      <c r="C834" s="44" t="s">
        <v>197</v>
      </c>
      <c r="D834" s="43">
        <v>492316</v>
      </c>
      <c r="E834" s="44" t="s">
        <v>94</v>
      </c>
      <c r="F834" s="43">
        <v>847001</v>
      </c>
      <c r="G834" s="44" t="s">
        <v>24</v>
      </c>
      <c r="H834" s="44" t="s">
        <v>28</v>
      </c>
      <c r="I834" s="45" t="s">
        <v>29</v>
      </c>
      <c r="J834" s="45" t="s">
        <v>1054</v>
      </c>
      <c r="K834" s="46">
        <v>0</v>
      </c>
      <c r="L834" s="47" t="s">
        <v>1379</v>
      </c>
    </row>
    <row r="835" spans="1:12" ht="14.5" x14ac:dyDescent="0.35">
      <c r="A835" s="47" t="s">
        <v>1368</v>
      </c>
      <c r="B835" s="43">
        <v>8471140</v>
      </c>
      <c r="C835" s="44" t="s">
        <v>339</v>
      </c>
      <c r="D835" s="43">
        <v>492316</v>
      </c>
      <c r="E835" s="44" t="s">
        <v>94</v>
      </c>
      <c r="F835" s="43">
        <v>847001</v>
      </c>
      <c r="G835" s="44" t="s">
        <v>24</v>
      </c>
      <c r="H835" s="44" t="s">
        <v>116</v>
      </c>
      <c r="I835" s="45" t="s">
        <v>117</v>
      </c>
      <c r="J835" s="45" t="s">
        <v>1055</v>
      </c>
      <c r="K835" s="46">
        <v>0</v>
      </c>
      <c r="L835" s="47" t="s">
        <v>1379</v>
      </c>
    </row>
    <row r="836" spans="1:12" ht="14.5" x14ac:dyDescent="0.35">
      <c r="A836" s="47" t="s">
        <v>1368</v>
      </c>
      <c r="B836" s="43">
        <v>8471160</v>
      </c>
      <c r="C836" s="44" t="s">
        <v>281</v>
      </c>
      <c r="D836" s="43">
        <v>492316</v>
      </c>
      <c r="E836" s="44" t="s">
        <v>94</v>
      </c>
      <c r="F836" s="43">
        <v>847001</v>
      </c>
      <c r="G836" s="44" t="s">
        <v>24</v>
      </c>
      <c r="H836" s="44" t="s">
        <v>116</v>
      </c>
      <c r="I836" s="45" t="s">
        <v>117</v>
      </c>
      <c r="J836" s="45" t="s">
        <v>1056</v>
      </c>
      <c r="K836" s="46">
        <v>0</v>
      </c>
      <c r="L836" s="47" t="s">
        <v>1379</v>
      </c>
    </row>
    <row r="837" spans="1:12" ht="14.5" x14ac:dyDescent="0.35">
      <c r="A837" s="47" t="s">
        <v>1368</v>
      </c>
      <c r="B837" s="43">
        <v>8471160</v>
      </c>
      <c r="C837" s="44" t="s">
        <v>281</v>
      </c>
      <c r="D837" s="43">
        <v>492316</v>
      </c>
      <c r="E837" s="44" t="s">
        <v>94</v>
      </c>
      <c r="F837" s="43">
        <v>847001</v>
      </c>
      <c r="G837" s="44" t="s">
        <v>24</v>
      </c>
      <c r="H837" s="44" t="s">
        <v>28</v>
      </c>
      <c r="I837" s="45" t="s">
        <v>29</v>
      </c>
      <c r="J837" s="45" t="s">
        <v>1057</v>
      </c>
      <c r="K837" s="46">
        <v>0</v>
      </c>
      <c r="L837" s="47" t="s">
        <v>1379</v>
      </c>
    </row>
    <row r="838" spans="1:12" ht="14.5" x14ac:dyDescent="0.35">
      <c r="A838" s="47" t="s">
        <v>1368</v>
      </c>
      <c r="B838" s="43">
        <v>8471170</v>
      </c>
      <c r="C838" s="44" t="s">
        <v>203</v>
      </c>
      <c r="D838" s="43">
        <v>492316</v>
      </c>
      <c r="E838" s="44" t="s">
        <v>94</v>
      </c>
      <c r="F838" s="43">
        <v>847001</v>
      </c>
      <c r="G838" s="44" t="s">
        <v>24</v>
      </c>
      <c r="H838" s="44" t="s">
        <v>116</v>
      </c>
      <c r="I838" s="45" t="s">
        <v>117</v>
      </c>
      <c r="J838" s="45" t="s">
        <v>1058</v>
      </c>
      <c r="K838" s="46">
        <v>0</v>
      </c>
      <c r="L838" s="47" t="s">
        <v>1379</v>
      </c>
    </row>
    <row r="839" spans="1:12" ht="14.5" x14ac:dyDescent="0.35">
      <c r="A839" s="47" t="s">
        <v>1365</v>
      </c>
      <c r="B839" s="43">
        <v>8471210</v>
      </c>
      <c r="C839" s="44" t="s">
        <v>176</v>
      </c>
      <c r="D839" s="43">
        <v>492316</v>
      </c>
      <c r="E839" s="44" t="s">
        <v>94</v>
      </c>
      <c r="F839" s="43">
        <v>847001</v>
      </c>
      <c r="G839" s="44" t="s">
        <v>24</v>
      </c>
      <c r="H839" s="44" t="s">
        <v>28</v>
      </c>
      <c r="I839" s="45" t="s">
        <v>29</v>
      </c>
      <c r="J839" s="45" t="s">
        <v>1059</v>
      </c>
      <c r="K839" s="46">
        <v>0</v>
      </c>
      <c r="L839" s="47" t="s">
        <v>1379</v>
      </c>
    </row>
    <row r="840" spans="1:12" ht="14.5" x14ac:dyDescent="0.35">
      <c r="A840" s="47" t="s">
        <v>1365</v>
      </c>
      <c r="B840" s="43">
        <v>8471230</v>
      </c>
      <c r="C840" s="44" t="s">
        <v>382</v>
      </c>
      <c r="D840" s="43">
        <v>492316</v>
      </c>
      <c r="E840" s="44" t="s">
        <v>94</v>
      </c>
      <c r="F840" s="43">
        <v>847001</v>
      </c>
      <c r="G840" s="44" t="s">
        <v>24</v>
      </c>
      <c r="H840" s="44" t="s">
        <v>28</v>
      </c>
      <c r="I840" s="45" t="s">
        <v>29</v>
      </c>
      <c r="J840" s="45" t="s">
        <v>1060</v>
      </c>
      <c r="K840" s="46">
        <v>0</v>
      </c>
      <c r="L840" s="47" t="s">
        <v>1379</v>
      </c>
    </row>
    <row r="841" spans="1:12" ht="14.5" x14ac:dyDescent="0.35">
      <c r="A841" s="47" t="s">
        <v>1365</v>
      </c>
      <c r="B841" s="43">
        <v>8471270</v>
      </c>
      <c r="C841" s="44" t="s">
        <v>353</v>
      </c>
      <c r="D841" s="43">
        <v>492316</v>
      </c>
      <c r="E841" s="44" t="s">
        <v>94</v>
      </c>
      <c r="F841" s="43">
        <v>847001</v>
      </c>
      <c r="G841" s="44" t="s">
        <v>24</v>
      </c>
      <c r="H841" s="44" t="s">
        <v>28</v>
      </c>
      <c r="I841" s="45" t="s">
        <v>29</v>
      </c>
      <c r="J841" s="45" t="s">
        <v>1061</v>
      </c>
      <c r="K841" s="46">
        <v>0</v>
      </c>
      <c r="L841" s="47" t="s">
        <v>1379</v>
      </c>
    </row>
    <row r="842" spans="1:12" ht="14.5" x14ac:dyDescent="0.35">
      <c r="A842" s="47" t="s">
        <v>1371</v>
      </c>
      <c r="B842" s="43">
        <v>8471305</v>
      </c>
      <c r="C842" s="44" t="s">
        <v>32</v>
      </c>
      <c r="D842" s="43">
        <v>492316</v>
      </c>
      <c r="E842" s="44" t="s">
        <v>94</v>
      </c>
      <c r="F842" s="43">
        <v>847001</v>
      </c>
      <c r="G842" s="44" t="s">
        <v>24</v>
      </c>
      <c r="H842" s="44" t="s">
        <v>116</v>
      </c>
      <c r="I842" s="45" t="s">
        <v>117</v>
      </c>
      <c r="J842" s="45" t="s">
        <v>121</v>
      </c>
      <c r="K842" s="46">
        <v>0</v>
      </c>
      <c r="L842" s="47" t="s">
        <v>1379</v>
      </c>
    </row>
    <row r="843" spans="1:12" ht="14.5" x14ac:dyDescent="0.35">
      <c r="A843" s="47" t="s">
        <v>1371</v>
      </c>
      <c r="B843" s="43">
        <v>8471305</v>
      </c>
      <c r="C843" s="44" t="s">
        <v>32</v>
      </c>
      <c r="D843" s="43">
        <v>492316</v>
      </c>
      <c r="E843" s="44" t="s">
        <v>94</v>
      </c>
      <c r="F843" s="43">
        <v>847001</v>
      </c>
      <c r="G843" s="44" t="s">
        <v>24</v>
      </c>
      <c r="H843" s="44" t="s">
        <v>28</v>
      </c>
      <c r="I843" s="45" t="s">
        <v>29</v>
      </c>
      <c r="J843" s="45" t="s">
        <v>122</v>
      </c>
      <c r="K843" s="46">
        <v>0</v>
      </c>
      <c r="L843" s="47" t="s">
        <v>1379</v>
      </c>
    </row>
    <row r="844" spans="1:12" ht="14.5" x14ac:dyDescent="0.35">
      <c r="A844" s="47" t="e">
        <v>#N/A</v>
      </c>
      <c r="B844" s="43">
        <v>8477010</v>
      </c>
      <c r="C844" s="44" t="s">
        <v>925</v>
      </c>
      <c r="D844" s="43">
        <v>492316</v>
      </c>
      <c r="E844" s="44" t="s">
        <v>94</v>
      </c>
      <c r="F844" s="43">
        <v>847040</v>
      </c>
      <c r="G844" s="44" t="s">
        <v>926</v>
      </c>
      <c r="H844" s="44" t="s">
        <v>28</v>
      </c>
      <c r="I844" s="45" t="s">
        <v>29</v>
      </c>
      <c r="J844" s="45" t="s">
        <v>1062</v>
      </c>
      <c r="K844" s="46">
        <v>0</v>
      </c>
      <c r="L844" s="47" t="s">
        <v>1379</v>
      </c>
    </row>
    <row r="845" spans="1:12" ht="14.5" x14ac:dyDescent="0.35">
      <c r="A845" s="47" t="s">
        <v>1358</v>
      </c>
      <c r="B845" s="43">
        <v>8470530</v>
      </c>
      <c r="C845" s="44" t="s">
        <v>165</v>
      </c>
      <c r="D845" s="43">
        <v>492610</v>
      </c>
      <c r="E845" s="44" t="s">
        <v>123</v>
      </c>
      <c r="F845" s="43">
        <v>847010</v>
      </c>
      <c r="G845" s="44" t="s">
        <v>167</v>
      </c>
      <c r="H845" s="44" t="s">
        <v>116</v>
      </c>
      <c r="I845" s="45" t="s">
        <v>117</v>
      </c>
      <c r="J845" s="45" t="s">
        <v>1063</v>
      </c>
      <c r="K845" s="46">
        <v>0</v>
      </c>
      <c r="L845" s="47" t="s">
        <v>1393</v>
      </c>
    </row>
    <row r="846" spans="1:12" ht="14.5" x14ac:dyDescent="0.35">
      <c r="A846" s="47" t="s">
        <v>1358</v>
      </c>
      <c r="B846" s="43">
        <v>8470530</v>
      </c>
      <c r="C846" s="44" t="s">
        <v>165</v>
      </c>
      <c r="D846" s="43">
        <v>492610</v>
      </c>
      <c r="E846" s="44" t="s">
        <v>123</v>
      </c>
      <c r="F846" s="43">
        <v>847020</v>
      </c>
      <c r="G846" s="44" t="s">
        <v>170</v>
      </c>
      <c r="H846" s="44" t="s">
        <v>116</v>
      </c>
      <c r="I846" s="45" t="s">
        <v>117</v>
      </c>
      <c r="J846" s="45" t="s">
        <v>1064</v>
      </c>
      <c r="K846" s="46">
        <v>0</v>
      </c>
      <c r="L846" s="47" t="s">
        <v>1393</v>
      </c>
    </row>
    <row r="847" spans="1:12" ht="14.5" x14ac:dyDescent="0.35">
      <c r="A847" s="47" t="s">
        <v>1358</v>
      </c>
      <c r="B847" s="43">
        <v>8470530</v>
      </c>
      <c r="C847" s="44" t="s">
        <v>165</v>
      </c>
      <c r="D847" s="43">
        <v>492610</v>
      </c>
      <c r="E847" s="44" t="s">
        <v>123</v>
      </c>
      <c r="F847" s="43">
        <v>847020</v>
      </c>
      <c r="G847" s="44" t="s">
        <v>170</v>
      </c>
      <c r="H847" s="44" t="s">
        <v>28</v>
      </c>
      <c r="I847" s="45" t="s">
        <v>29</v>
      </c>
      <c r="J847" s="45" t="s">
        <v>1065</v>
      </c>
      <c r="K847" s="46">
        <v>0</v>
      </c>
      <c r="L847" s="47" t="s">
        <v>1393</v>
      </c>
    </row>
    <row r="848" spans="1:12" ht="14.5" x14ac:dyDescent="0.35">
      <c r="A848" s="47" t="s">
        <v>1358</v>
      </c>
      <c r="B848" s="43">
        <v>8470530</v>
      </c>
      <c r="C848" s="44" t="s">
        <v>165</v>
      </c>
      <c r="D848" s="43">
        <v>492610</v>
      </c>
      <c r="E848" s="44" t="s">
        <v>123</v>
      </c>
      <c r="F848" s="43">
        <v>847030</v>
      </c>
      <c r="G848" s="44" t="s">
        <v>173</v>
      </c>
      <c r="H848" s="44" t="s">
        <v>116</v>
      </c>
      <c r="I848" s="45" t="s">
        <v>117</v>
      </c>
      <c r="J848" s="45" t="s">
        <v>1066</v>
      </c>
      <c r="K848" s="46">
        <v>0</v>
      </c>
      <c r="L848" s="47" t="s">
        <v>1393</v>
      </c>
    </row>
    <row r="849" spans="1:12" ht="14.5" x14ac:dyDescent="0.35">
      <c r="A849" s="47" t="s">
        <v>1358</v>
      </c>
      <c r="B849" s="43">
        <v>8470530</v>
      </c>
      <c r="C849" s="44" t="s">
        <v>165</v>
      </c>
      <c r="D849" s="43">
        <v>492610</v>
      </c>
      <c r="E849" s="44" t="s">
        <v>123</v>
      </c>
      <c r="F849" s="43">
        <v>847030</v>
      </c>
      <c r="G849" s="44" t="s">
        <v>173</v>
      </c>
      <c r="H849" s="44" t="s">
        <v>28</v>
      </c>
      <c r="I849" s="45" t="s">
        <v>29</v>
      </c>
      <c r="J849" s="45" t="s">
        <v>1067</v>
      </c>
      <c r="K849" s="46">
        <v>0</v>
      </c>
      <c r="L849" s="47" t="s">
        <v>1393</v>
      </c>
    </row>
    <row r="850" spans="1:12" ht="14.5" x14ac:dyDescent="0.35">
      <c r="A850" s="47" t="s">
        <v>1365</v>
      </c>
      <c r="B850" s="43">
        <v>8471260</v>
      </c>
      <c r="C850" s="44" t="s">
        <v>178</v>
      </c>
      <c r="D850" s="43">
        <v>492610</v>
      </c>
      <c r="E850" s="44" t="s">
        <v>123</v>
      </c>
      <c r="F850" s="43">
        <v>847001</v>
      </c>
      <c r="G850" s="44" t="s">
        <v>24</v>
      </c>
      <c r="H850" s="44" t="s">
        <v>116</v>
      </c>
      <c r="I850" s="45" t="s">
        <v>117</v>
      </c>
      <c r="J850" s="45" t="s">
        <v>1068</v>
      </c>
      <c r="K850" s="46">
        <v>0</v>
      </c>
      <c r="L850" s="47" t="s">
        <v>1393</v>
      </c>
    </row>
    <row r="851" spans="1:12" ht="14.5" x14ac:dyDescent="0.35">
      <c r="A851" s="47" t="s">
        <v>1371</v>
      </c>
      <c r="B851" s="43">
        <v>8471305</v>
      </c>
      <c r="C851" s="44" t="s">
        <v>32</v>
      </c>
      <c r="D851" s="43">
        <v>492610</v>
      </c>
      <c r="E851" s="44" t="s">
        <v>123</v>
      </c>
      <c r="F851" s="43">
        <v>847001</v>
      </c>
      <c r="G851" s="44" t="s">
        <v>24</v>
      </c>
      <c r="H851" s="44" t="s">
        <v>116</v>
      </c>
      <c r="I851" s="45" t="s">
        <v>117</v>
      </c>
      <c r="J851" s="45" t="s">
        <v>124</v>
      </c>
      <c r="K851" s="46">
        <v>0</v>
      </c>
      <c r="L851" s="47" t="s">
        <v>1393</v>
      </c>
    </row>
    <row r="852" spans="1:12" ht="14.5" x14ac:dyDescent="0.35">
      <c r="A852" s="47" t="s">
        <v>1363</v>
      </c>
      <c r="B852" s="43">
        <v>8470325</v>
      </c>
      <c r="C852" s="44" t="s">
        <v>186</v>
      </c>
      <c r="D852" s="43">
        <v>495140</v>
      </c>
      <c r="E852" s="44" t="s">
        <v>1069</v>
      </c>
      <c r="F852" s="43">
        <v>847001</v>
      </c>
      <c r="G852" s="44" t="s">
        <v>24</v>
      </c>
      <c r="H852" s="44" t="s">
        <v>28</v>
      </c>
      <c r="I852" s="45" t="s">
        <v>29</v>
      </c>
      <c r="J852" s="45" t="s">
        <v>1070</v>
      </c>
      <c r="K852" s="46">
        <v>0</v>
      </c>
      <c r="L852" s="47" t="s">
        <v>1394</v>
      </c>
    </row>
    <row r="853" spans="1:12" ht="14.5" x14ac:dyDescent="0.35">
      <c r="A853" s="47" t="s">
        <v>1363</v>
      </c>
      <c r="B853" s="43">
        <v>8470340</v>
      </c>
      <c r="C853" s="44" t="s">
        <v>234</v>
      </c>
      <c r="D853" s="43">
        <v>495140</v>
      </c>
      <c r="E853" s="44" t="s">
        <v>1069</v>
      </c>
      <c r="F853" s="43">
        <v>847001</v>
      </c>
      <c r="G853" s="44" t="s">
        <v>24</v>
      </c>
      <c r="H853" s="44" t="s">
        <v>116</v>
      </c>
      <c r="I853" s="45" t="s">
        <v>117</v>
      </c>
      <c r="J853" s="45" t="s">
        <v>1071</v>
      </c>
      <c r="K853" s="46">
        <v>0</v>
      </c>
      <c r="L853" s="47" t="s">
        <v>1394</v>
      </c>
    </row>
    <row r="854" spans="1:12" ht="14.5" x14ac:dyDescent="0.35">
      <c r="A854" s="47" t="s">
        <v>1363</v>
      </c>
      <c r="B854" s="43">
        <v>8470340</v>
      </c>
      <c r="C854" s="44" t="s">
        <v>234</v>
      </c>
      <c r="D854" s="43">
        <v>495140</v>
      </c>
      <c r="E854" s="44" t="s">
        <v>1069</v>
      </c>
      <c r="F854" s="43">
        <v>847001</v>
      </c>
      <c r="G854" s="44" t="s">
        <v>24</v>
      </c>
      <c r="H854" s="44" t="s">
        <v>28</v>
      </c>
      <c r="I854" s="45" t="s">
        <v>29</v>
      </c>
      <c r="J854" s="45" t="s">
        <v>1072</v>
      </c>
      <c r="K854" s="46">
        <v>0</v>
      </c>
      <c r="L854" s="47" t="s">
        <v>1394</v>
      </c>
    </row>
    <row r="855" spans="1:12" ht="14.5" x14ac:dyDescent="0.35">
      <c r="A855" s="47" t="s">
        <v>1357</v>
      </c>
      <c r="B855" s="43">
        <v>8470440</v>
      </c>
      <c r="C855" s="44" t="s">
        <v>426</v>
      </c>
      <c r="D855" s="43">
        <v>495140</v>
      </c>
      <c r="E855" s="44" t="s">
        <v>1069</v>
      </c>
      <c r="F855" s="43">
        <v>847001</v>
      </c>
      <c r="G855" s="44" t="s">
        <v>24</v>
      </c>
      <c r="H855" s="44" t="s">
        <v>116</v>
      </c>
      <c r="I855" s="45" t="s">
        <v>117</v>
      </c>
      <c r="J855" s="45" t="s">
        <v>1073</v>
      </c>
      <c r="K855" s="46">
        <v>0</v>
      </c>
      <c r="L855" s="47" t="s">
        <v>1394</v>
      </c>
    </row>
    <row r="856" spans="1:12" ht="14.5" x14ac:dyDescent="0.35">
      <c r="A856" s="47" t="s">
        <v>1358</v>
      </c>
      <c r="B856" s="43">
        <v>8470530</v>
      </c>
      <c r="C856" s="44" t="s">
        <v>165</v>
      </c>
      <c r="D856" s="43">
        <v>495140</v>
      </c>
      <c r="E856" s="44" t="s">
        <v>1069</v>
      </c>
      <c r="F856" s="43">
        <v>847010</v>
      </c>
      <c r="G856" s="44" t="s">
        <v>167</v>
      </c>
      <c r="H856" s="44" t="s">
        <v>116</v>
      </c>
      <c r="I856" s="45" t="s">
        <v>117</v>
      </c>
      <c r="J856" s="45" t="s">
        <v>1074</v>
      </c>
      <c r="K856" s="46">
        <v>0</v>
      </c>
      <c r="L856" s="47" t="s">
        <v>1394</v>
      </c>
    </row>
    <row r="857" spans="1:12" ht="14.5" x14ac:dyDescent="0.35">
      <c r="A857" s="47" t="s">
        <v>1362</v>
      </c>
      <c r="B857" s="43">
        <v>8470620</v>
      </c>
      <c r="C857" s="44" t="s">
        <v>161</v>
      </c>
      <c r="D857" s="43">
        <v>495140</v>
      </c>
      <c r="E857" s="44" t="s">
        <v>1069</v>
      </c>
      <c r="F857" s="43">
        <v>847001</v>
      </c>
      <c r="G857" s="44" t="s">
        <v>24</v>
      </c>
      <c r="H857" s="44" t="s">
        <v>28</v>
      </c>
      <c r="I857" s="45" t="s">
        <v>29</v>
      </c>
      <c r="J857" s="45" t="s">
        <v>1075</v>
      </c>
      <c r="K857" s="46">
        <v>0</v>
      </c>
      <c r="L857" s="47" t="s">
        <v>1394</v>
      </c>
    </row>
    <row r="858" spans="1:12" ht="14.5" x14ac:dyDescent="0.35">
      <c r="A858" s="47" t="s">
        <v>1367</v>
      </c>
      <c r="B858" s="43">
        <v>8470730</v>
      </c>
      <c r="C858" s="44" t="s">
        <v>223</v>
      </c>
      <c r="D858" s="43">
        <v>495140</v>
      </c>
      <c r="E858" s="44" t="s">
        <v>1069</v>
      </c>
      <c r="F858" s="43">
        <v>847001</v>
      </c>
      <c r="G858" s="44" t="s">
        <v>24</v>
      </c>
      <c r="H858" s="44" t="s">
        <v>116</v>
      </c>
      <c r="I858" s="45" t="s">
        <v>117</v>
      </c>
      <c r="J858" s="45" t="s">
        <v>1076</v>
      </c>
      <c r="K858" s="46">
        <v>0</v>
      </c>
      <c r="L858" s="47" t="s">
        <v>1394</v>
      </c>
    </row>
    <row r="859" spans="1:12" ht="14.5" x14ac:dyDescent="0.35">
      <c r="A859" s="47" t="s">
        <v>1364</v>
      </c>
      <c r="B859" s="43">
        <v>8470810</v>
      </c>
      <c r="C859" s="44" t="s">
        <v>200</v>
      </c>
      <c r="D859" s="43">
        <v>495140</v>
      </c>
      <c r="E859" s="44" t="s">
        <v>1069</v>
      </c>
      <c r="F859" s="43">
        <v>847001</v>
      </c>
      <c r="G859" s="44" t="s">
        <v>24</v>
      </c>
      <c r="H859" s="44" t="s">
        <v>28</v>
      </c>
      <c r="I859" s="45" t="s">
        <v>29</v>
      </c>
      <c r="J859" s="45" t="s">
        <v>1077</v>
      </c>
      <c r="K859" s="46">
        <v>0</v>
      </c>
      <c r="L859" s="47" t="s">
        <v>1394</v>
      </c>
    </row>
    <row r="860" spans="1:12" ht="14.5" x14ac:dyDescent="0.35">
      <c r="A860" s="47" t="s">
        <v>1368</v>
      </c>
      <c r="B860" s="43">
        <v>8471130</v>
      </c>
      <c r="C860" s="44" t="s">
        <v>197</v>
      </c>
      <c r="D860" s="43">
        <v>495140</v>
      </c>
      <c r="E860" s="44" t="s">
        <v>1069</v>
      </c>
      <c r="F860" s="43">
        <v>847001</v>
      </c>
      <c r="G860" s="44" t="s">
        <v>24</v>
      </c>
      <c r="H860" s="44" t="s">
        <v>116</v>
      </c>
      <c r="I860" s="45" t="s">
        <v>117</v>
      </c>
      <c r="J860" s="45" t="s">
        <v>1078</v>
      </c>
      <c r="K860" s="46">
        <v>0</v>
      </c>
      <c r="L860" s="47" t="s">
        <v>1394</v>
      </c>
    </row>
    <row r="861" spans="1:12" ht="14.5" x14ac:dyDescent="0.35">
      <c r="A861" s="47" t="s">
        <v>1359</v>
      </c>
      <c r="B861" s="84">
        <v>8470110</v>
      </c>
      <c r="C861" s="85" t="str">
        <f>VLOOKUP(B861,'[1]KUST cost center'!$B:$C,2,FALSE)</f>
        <v>KUST - Office of the President</v>
      </c>
      <c r="D861" s="84">
        <v>420570</v>
      </c>
      <c r="E861" s="85" t="str">
        <f>VLOOKUP(D861,'[1]KUST Account Code'!$A:$B,2,FALSE)</f>
        <v>Academic Collaborative Partnership Services</v>
      </c>
      <c r="F861" s="84">
        <v>847001</v>
      </c>
      <c r="G861" s="85" t="str">
        <f>VLOOKUP(F861,[2]Sheet1!$F:$G,2,FALSE)</f>
        <v>KUST - General</v>
      </c>
      <c r="H861" s="85" t="s">
        <v>25</v>
      </c>
      <c r="I861" s="84">
        <v>200179</v>
      </c>
      <c r="J861" s="80" t="s">
        <v>1084</v>
      </c>
      <c r="K861" s="46" t="s">
        <v>31</v>
      </c>
      <c r="L861" s="47" t="s">
        <v>1379</v>
      </c>
    </row>
    <row r="862" spans="1:12" ht="14.5" x14ac:dyDescent="0.35">
      <c r="A862" s="47" t="s">
        <v>1359</v>
      </c>
      <c r="B862" s="84">
        <v>8470110</v>
      </c>
      <c r="C862" s="85" t="str">
        <f>VLOOKUP(B862,'[1]KUST cost center'!$B:$C,2,FALSE)</f>
        <v>KUST - Office of the President</v>
      </c>
      <c r="D862" s="84">
        <v>421700</v>
      </c>
      <c r="E862" s="85" t="str">
        <f>VLOOKUP(D862,'[1]KUST Account Code'!$A:$B,2,FALSE)</f>
        <v>Standards certification (e.g. ISO)</v>
      </c>
      <c r="F862" s="84">
        <v>847001</v>
      </c>
      <c r="G862" s="85" t="str">
        <f>VLOOKUP(F862,[2]Sheet1!$F:$G,2,FALSE)</f>
        <v>KUST - General</v>
      </c>
      <c r="H862" s="85" t="s">
        <v>25</v>
      </c>
      <c r="I862" s="84">
        <v>200179</v>
      </c>
      <c r="J862" s="8" t="s">
        <v>1085</v>
      </c>
      <c r="K862" s="46" t="s">
        <v>31</v>
      </c>
      <c r="L862" s="47" t="s">
        <v>1379</v>
      </c>
    </row>
    <row r="863" spans="1:12" ht="14.5" x14ac:dyDescent="0.35">
      <c r="A863" s="47" t="s">
        <v>1359</v>
      </c>
      <c r="B863" s="84">
        <v>8470110</v>
      </c>
      <c r="C863" s="85" t="str">
        <f>VLOOKUP(B863,'[1]KUST cost center'!$B:$C,2,FALSE)</f>
        <v>KUST - Office of the President</v>
      </c>
      <c r="D863" s="84">
        <v>425100</v>
      </c>
      <c r="E863" s="85" t="str">
        <f>VLOOKUP(D863,'[1]KUST Account Code'!$A:$B,2,FALSE)</f>
        <v>Advertising</v>
      </c>
      <c r="F863" s="84">
        <v>847001</v>
      </c>
      <c r="G863" s="85" t="str">
        <f>VLOOKUP(F863,[2]Sheet1!$F:$G,2,FALSE)</f>
        <v>KUST - General</v>
      </c>
      <c r="H863" s="85" t="s">
        <v>25</v>
      </c>
      <c r="I863" s="84">
        <v>200179</v>
      </c>
      <c r="J863" s="81" t="s">
        <v>1086</v>
      </c>
      <c r="K863" s="46" t="s">
        <v>1079</v>
      </c>
      <c r="L863" s="47" t="s">
        <v>44</v>
      </c>
    </row>
    <row r="864" spans="1:12" ht="14.5" x14ac:dyDescent="0.35">
      <c r="A864" s="47" t="s">
        <v>1359</v>
      </c>
      <c r="B864" s="84">
        <v>8470110</v>
      </c>
      <c r="C864" s="85" t="str">
        <f>VLOOKUP(B864,'[1]KUST cost center'!$B:$C,2,FALSE)</f>
        <v>KUST - Office of the President</v>
      </c>
      <c r="D864" s="84">
        <v>425550</v>
      </c>
      <c r="E864" s="85" t="str">
        <f>VLOOKUP(D864,'[1]KUST Account Code'!$A:$B,2,FALSE)</f>
        <v>Conferences, seminars and exhibitions and other events: - Overseas event</v>
      </c>
      <c r="F864" s="84">
        <v>847001</v>
      </c>
      <c r="G864" s="85" t="str">
        <f>VLOOKUP(F864,[2]Sheet1!$F:$G,2,FALSE)</f>
        <v>KUST - General</v>
      </c>
      <c r="H864" s="85" t="s">
        <v>25</v>
      </c>
      <c r="I864" s="84">
        <v>200179</v>
      </c>
      <c r="J864" s="8" t="s">
        <v>1087</v>
      </c>
      <c r="K864" s="46" t="s">
        <v>1079</v>
      </c>
      <c r="L864" s="47" t="s">
        <v>1379</v>
      </c>
    </row>
    <row r="865" spans="1:12" ht="14.5" x14ac:dyDescent="0.35">
      <c r="A865" s="47" t="s">
        <v>1359</v>
      </c>
      <c r="B865" s="84">
        <v>8470110</v>
      </c>
      <c r="C865" s="85" t="str">
        <f>VLOOKUP(B865,'[1]KUST cost center'!$B:$C,2,FALSE)</f>
        <v>KUST - Office of the President</v>
      </c>
      <c r="D865" s="84">
        <v>427900</v>
      </c>
      <c r="E865" s="85" t="str">
        <f>VLOOKUP(D865,'[1]KUST Account Code'!$A:$B,2,FALSE)</f>
        <v>Translation and interpretation service</v>
      </c>
      <c r="F865" s="84">
        <v>847001</v>
      </c>
      <c r="G865" s="85" t="str">
        <f>VLOOKUP(F865,[2]Sheet1!$F:$G,2,FALSE)</f>
        <v>KUST - General</v>
      </c>
      <c r="H865" s="44" t="s">
        <v>25</v>
      </c>
      <c r="I865" s="84">
        <v>200179</v>
      </c>
      <c r="J865" s="81" t="s">
        <v>1088</v>
      </c>
      <c r="K865" s="46" t="s">
        <v>27</v>
      </c>
      <c r="L865" s="47" t="s">
        <v>1379</v>
      </c>
    </row>
    <row r="866" spans="1:12" ht="14.5" x14ac:dyDescent="0.35">
      <c r="A866" s="47" t="s">
        <v>1359</v>
      </c>
      <c r="B866" s="84">
        <v>8470110</v>
      </c>
      <c r="C866" s="85" t="str">
        <f>VLOOKUP(B866,'[1]KUST cost center'!$B:$C,2,FALSE)</f>
        <v>KUST - Office of the President</v>
      </c>
      <c r="D866" s="84">
        <v>428640</v>
      </c>
      <c r="E866" s="85" t="str">
        <f>VLOOKUP(D866,'[1]KUST Account Code'!$A:$B,2,FALSE)</f>
        <v>Events - Awards, prizes &amp; gifts</v>
      </c>
      <c r="F866" s="84">
        <v>847001</v>
      </c>
      <c r="G866" s="85" t="str">
        <f>VLOOKUP(F866,[2]Sheet1!$F:$G,2,FALSE)</f>
        <v>KUST - General</v>
      </c>
      <c r="H866" s="85" t="s">
        <v>25</v>
      </c>
      <c r="I866" s="84">
        <v>200179</v>
      </c>
      <c r="J866" s="8" t="s">
        <v>1089</v>
      </c>
      <c r="K866" s="46" t="s">
        <v>1079</v>
      </c>
      <c r="L866" s="47" t="s">
        <v>1387</v>
      </c>
    </row>
    <row r="867" spans="1:12" ht="14.5" x14ac:dyDescent="0.35">
      <c r="A867" s="47" t="s">
        <v>1359</v>
      </c>
      <c r="B867" s="84">
        <v>8470110</v>
      </c>
      <c r="C867" s="85" t="str">
        <f>VLOOKUP(B867,'[1]KUST cost center'!$B:$C,2,FALSE)</f>
        <v>KUST - Office of the President</v>
      </c>
      <c r="D867" s="84">
        <v>430330</v>
      </c>
      <c r="E867" s="85" t="str">
        <f>VLOOKUP(D867,'[1]KUST Account Code'!$A:$B,2,FALSE)</f>
        <v>Rental - Motor vehicles</v>
      </c>
      <c r="F867" s="84">
        <v>847001</v>
      </c>
      <c r="G867" s="85" t="str">
        <f>VLOOKUP(F867,[2]Sheet1!$F:$G,2,FALSE)</f>
        <v>KUST - General</v>
      </c>
      <c r="H867" s="85" t="s">
        <v>25</v>
      </c>
      <c r="I867" s="84">
        <v>200179</v>
      </c>
      <c r="J867" s="81" t="s">
        <v>1090</v>
      </c>
      <c r="K867" s="46" t="s">
        <v>571</v>
      </c>
      <c r="L867" s="47" t="s">
        <v>1379</v>
      </c>
    </row>
    <row r="868" spans="1:12" ht="14.5" x14ac:dyDescent="0.35">
      <c r="A868" s="47" t="s">
        <v>1359</v>
      </c>
      <c r="B868" s="84">
        <v>8470110</v>
      </c>
      <c r="C868" s="85" t="str">
        <f>VLOOKUP(B868,'[1]KUST cost center'!$B:$C,2,FALSE)</f>
        <v>KUST - Office of the President</v>
      </c>
      <c r="D868" s="84">
        <v>435410</v>
      </c>
      <c r="E868" s="85" t="str">
        <f>VLOOKUP(D868,'[1]KUST Account Code'!$A:$B,2,FALSE)</f>
        <v>Catering supplies: Offices</v>
      </c>
      <c r="F868" s="84">
        <v>847001</v>
      </c>
      <c r="G868" s="85" t="str">
        <f>VLOOKUP(F868,[2]Sheet1!$F:$G,2,FALSE)</f>
        <v>KUST - General</v>
      </c>
      <c r="H868" s="85" t="s">
        <v>25</v>
      </c>
      <c r="I868" s="84">
        <v>200179</v>
      </c>
      <c r="J868" s="8" t="s">
        <v>1091</v>
      </c>
      <c r="K868" s="46" t="s">
        <v>27</v>
      </c>
      <c r="L868" s="47" t="s">
        <v>1379</v>
      </c>
    </row>
    <row r="869" spans="1:12" ht="14.5" x14ac:dyDescent="0.35">
      <c r="A869" s="47" t="s">
        <v>1359</v>
      </c>
      <c r="B869" s="84">
        <v>8470110</v>
      </c>
      <c r="C869" s="85" t="str">
        <f>VLOOKUP(B869,'[1]KUST cost center'!$B:$C,2,FALSE)</f>
        <v>KUST - Office of the President</v>
      </c>
      <c r="D869" s="84">
        <v>435519</v>
      </c>
      <c r="E869" s="85" t="str">
        <f>VLOOKUP(D869,'[1]KUST Account Code'!$A:$B,2,FALSE)</f>
        <v>Photography - Consumable materials /Tools</v>
      </c>
      <c r="F869" s="84">
        <v>847001</v>
      </c>
      <c r="G869" s="85" t="str">
        <f>VLOOKUP(F869,[2]Sheet1!$F:$G,2,FALSE)</f>
        <v>KUST - General</v>
      </c>
      <c r="H869" s="85" t="s">
        <v>25</v>
      </c>
      <c r="I869" s="84">
        <v>200179</v>
      </c>
      <c r="J869" s="81" t="s">
        <v>1092</v>
      </c>
      <c r="K869" s="46" t="s">
        <v>1079</v>
      </c>
      <c r="L869" s="47" t="s">
        <v>1391</v>
      </c>
    </row>
    <row r="870" spans="1:12" ht="14.5" x14ac:dyDescent="0.35">
      <c r="A870" s="47" t="s">
        <v>1359</v>
      </c>
      <c r="B870" s="84">
        <v>8470110</v>
      </c>
      <c r="C870" s="85" t="str">
        <f>VLOOKUP(B870,'[1]KUST cost center'!$B:$C,2,FALSE)</f>
        <v>KUST - Office of the President</v>
      </c>
      <c r="D870" s="84">
        <v>435530</v>
      </c>
      <c r="E870" s="85" t="str">
        <f>VLOOKUP(D870,'[1]KUST Account Code'!$A:$B,2,FALSE)</f>
        <v>School consumables, not specifically mentioned elsewhere</v>
      </c>
      <c r="F870" s="84">
        <v>847001</v>
      </c>
      <c r="G870" s="85" t="str">
        <f>VLOOKUP(F870,[2]Sheet1!$F:$G,2,FALSE)</f>
        <v>KUST - General</v>
      </c>
      <c r="H870" s="85" t="s">
        <v>25</v>
      </c>
      <c r="I870" s="84">
        <v>200179</v>
      </c>
      <c r="J870" s="8" t="s">
        <v>1093</v>
      </c>
      <c r="K870" s="46" t="s">
        <v>31</v>
      </c>
      <c r="L870" s="47" t="s">
        <v>1379</v>
      </c>
    </row>
    <row r="871" spans="1:12" ht="14.5" x14ac:dyDescent="0.35">
      <c r="A871" s="47" t="s">
        <v>1359</v>
      </c>
      <c r="B871" s="84">
        <v>8470110</v>
      </c>
      <c r="C871" s="85" t="str">
        <f>VLOOKUP(B871,'[1]KUST cost center'!$B:$C,2,FALSE)</f>
        <v>KUST - Office of the President</v>
      </c>
      <c r="D871" s="84">
        <v>436110</v>
      </c>
      <c r="E871" s="85" t="str">
        <f>VLOOKUP(D871,'[1]KUST Account Code'!$A:$B,2,FALSE)</f>
        <v>Printing supplies</v>
      </c>
      <c r="F871" s="84">
        <v>847001</v>
      </c>
      <c r="G871" s="85" t="str">
        <f>VLOOKUP(F871,[2]Sheet1!$F:$G,2,FALSE)</f>
        <v>KUST - General</v>
      </c>
      <c r="H871" s="85" t="s">
        <v>25</v>
      </c>
      <c r="I871" s="84">
        <v>200179</v>
      </c>
      <c r="J871" s="81" t="s">
        <v>1094</v>
      </c>
      <c r="K871" s="46" t="s">
        <v>27</v>
      </c>
      <c r="L871" s="47" t="s">
        <v>1379</v>
      </c>
    </row>
    <row r="872" spans="1:12" ht="14.5" x14ac:dyDescent="0.35">
      <c r="A872" s="47" t="s">
        <v>1359</v>
      </c>
      <c r="B872" s="84">
        <v>8470130</v>
      </c>
      <c r="C872" s="85" t="str">
        <f>VLOOKUP(B872,'[1]KUST cost center'!$B:$C,2,FALSE)</f>
        <v>KUST - Institutional Research &amp; Planning</v>
      </c>
      <c r="D872" s="84">
        <v>428090</v>
      </c>
      <c r="E872" s="85" t="str">
        <f>VLOOKUP(D872,'[1]KUST Account Code'!$A:$B,2,FALSE)</f>
        <v>Business Travel - Combined expenses</v>
      </c>
      <c r="F872" s="84">
        <v>847001</v>
      </c>
      <c r="G872" s="85" t="str">
        <f>VLOOKUP(F872,[2]Sheet1!$F:$G,2,FALSE)</f>
        <v>KUST - General</v>
      </c>
      <c r="H872" s="85" t="s">
        <v>25</v>
      </c>
      <c r="I872" s="84">
        <v>200179</v>
      </c>
      <c r="J872" s="8" t="s">
        <v>1095</v>
      </c>
      <c r="K872" s="46" t="s">
        <v>1081</v>
      </c>
      <c r="L872" s="47" t="s">
        <v>1379</v>
      </c>
    </row>
    <row r="873" spans="1:12" ht="14.5" x14ac:dyDescent="0.35">
      <c r="A873" s="47" t="s">
        <v>1359</v>
      </c>
      <c r="B873" s="84">
        <v>8470140</v>
      </c>
      <c r="C873" s="85" t="str">
        <f>VLOOKUP(B873,'[1]KUST cost center'!$B:$C,2,FALSE)</f>
        <v>KUST - Communication</v>
      </c>
      <c r="D873" s="84">
        <v>428640</v>
      </c>
      <c r="E873" s="85" t="str">
        <f>VLOOKUP(D873,'[1]KUST Account Code'!$A:$B,2,FALSE)</f>
        <v>Events - Awards, prizes &amp; gifts</v>
      </c>
      <c r="F873" s="84">
        <v>847001</v>
      </c>
      <c r="G873" s="85" t="str">
        <f>VLOOKUP(F873,[2]Sheet1!$F:$G,2,FALSE)</f>
        <v>KUST - General</v>
      </c>
      <c r="H873" s="85" t="s">
        <v>25</v>
      </c>
      <c r="I873" s="84">
        <v>200179</v>
      </c>
      <c r="J873" s="81" t="s">
        <v>1096</v>
      </c>
      <c r="K873" s="46" t="s">
        <v>1079</v>
      </c>
      <c r="L873" s="47" t="s">
        <v>1387</v>
      </c>
    </row>
    <row r="874" spans="1:12" ht="14.5" x14ac:dyDescent="0.35">
      <c r="A874" s="47" t="s">
        <v>1359</v>
      </c>
      <c r="B874" s="84">
        <v>8470150</v>
      </c>
      <c r="C874" s="85" t="str">
        <f>VLOOKUP(B874,'[1]KUST cost center'!$B:$C,2,FALSE)</f>
        <v>KUST - General Counsel</v>
      </c>
      <c r="D874" s="84">
        <v>425900</v>
      </c>
      <c r="E874" s="85" t="str">
        <f>VLOOKUP(D874,'[1]KUST Account Code'!$A:$B,2,FALSE)</f>
        <v>Entertainment and hospitality</v>
      </c>
      <c r="F874" s="84">
        <v>847001</v>
      </c>
      <c r="G874" s="85" t="str">
        <f>VLOOKUP(F874,[2]Sheet1!$F:$G,2,FALSE)</f>
        <v>KUST - General</v>
      </c>
      <c r="H874" s="85" t="s">
        <v>25</v>
      </c>
      <c r="I874" s="84">
        <v>200179</v>
      </c>
      <c r="J874" s="8" t="s">
        <v>1097</v>
      </c>
      <c r="K874" s="46" t="s">
        <v>27</v>
      </c>
      <c r="L874" s="47" t="s">
        <v>1379</v>
      </c>
    </row>
    <row r="875" spans="1:12" ht="14.5" x14ac:dyDescent="0.35">
      <c r="A875" s="47" t="s">
        <v>1366</v>
      </c>
      <c r="B875" s="84">
        <v>8470230</v>
      </c>
      <c r="C875" s="85" t="str">
        <f>VLOOKUP(B875,'[1]KUST cost center'!$B:$C,2,FALSE)</f>
        <v>KUST - Graduate Studies</v>
      </c>
      <c r="D875" s="84">
        <v>425744</v>
      </c>
      <c r="E875" s="85" t="str">
        <f>VLOOKUP(D875,'[1]KUST Account Code'!$A:$B,2,FALSE)</f>
        <v>Student medical insurance</v>
      </c>
      <c r="F875" s="84">
        <v>847001</v>
      </c>
      <c r="G875" s="85" t="str">
        <f>VLOOKUP(F875,[2]Sheet1!$F:$G,2,FALSE)</f>
        <v>KUST - General</v>
      </c>
      <c r="H875" s="85" t="s">
        <v>25</v>
      </c>
      <c r="I875" s="84">
        <v>200179</v>
      </c>
      <c r="J875" s="81" t="s">
        <v>1098</v>
      </c>
      <c r="K875" s="46" t="s">
        <v>90</v>
      </c>
      <c r="L875" s="47" t="s">
        <v>1379</v>
      </c>
    </row>
    <row r="876" spans="1:12" ht="14.5" x14ac:dyDescent="0.35">
      <c r="A876" s="47" t="s">
        <v>1366</v>
      </c>
      <c r="B876" s="84">
        <v>8470230</v>
      </c>
      <c r="C876" s="85" t="str">
        <f>VLOOKUP(B876,'[1]KUST cost center'!$B:$C,2,FALSE)</f>
        <v>KUST - Graduate Studies</v>
      </c>
      <c r="D876" s="84">
        <v>425762</v>
      </c>
      <c r="E876" s="85" t="str">
        <f>VLOOKUP(D876,'[1]KUST Account Code'!$A:$B,2,FALSE)</f>
        <v>Student Internship</v>
      </c>
      <c r="F876" s="84">
        <v>847001</v>
      </c>
      <c r="G876" s="85" t="str">
        <f>VLOOKUP(F876,[2]Sheet1!$F:$G,2,FALSE)</f>
        <v>KUST - General</v>
      </c>
      <c r="H876" s="85" t="s">
        <v>25</v>
      </c>
      <c r="I876" s="84">
        <v>200179</v>
      </c>
      <c r="J876" s="8" t="s">
        <v>1099</v>
      </c>
      <c r="K876" s="46" t="s">
        <v>90</v>
      </c>
      <c r="L876" s="47" t="s">
        <v>1379</v>
      </c>
    </row>
    <row r="877" spans="1:12" ht="14.5" x14ac:dyDescent="0.35">
      <c r="A877" s="47" t="s">
        <v>1366</v>
      </c>
      <c r="B877" s="84">
        <v>8470230</v>
      </c>
      <c r="C877" s="85" t="str">
        <f>VLOOKUP(B877,'[1]KUST cost center'!$B:$C,2,FALSE)</f>
        <v>KUST - Graduate Studies</v>
      </c>
      <c r="D877" s="84">
        <v>426610</v>
      </c>
      <c r="E877" s="85" t="str">
        <f>VLOOKUP(D877,'[1]KUST Account Code'!$A:$B,2,FALSE)</f>
        <v>Computer software licenses</v>
      </c>
      <c r="F877" s="84">
        <v>847001</v>
      </c>
      <c r="G877" s="85" t="str">
        <f>VLOOKUP(F877,[2]Sheet1!$F:$G,2,FALSE)</f>
        <v>KUST - General</v>
      </c>
      <c r="H877" s="85" t="s">
        <v>25</v>
      </c>
      <c r="I877" s="84">
        <v>200179</v>
      </c>
      <c r="J877" s="81" t="s">
        <v>1100</v>
      </c>
      <c r="K877" s="46" t="s">
        <v>574</v>
      </c>
      <c r="L877" s="47" t="s">
        <v>1385</v>
      </c>
    </row>
    <row r="878" spans="1:12" ht="14.5" x14ac:dyDescent="0.35">
      <c r="A878" s="47" t="s">
        <v>1363</v>
      </c>
      <c r="B878" s="84">
        <v>8470305</v>
      </c>
      <c r="C878" s="85" t="str">
        <f>VLOOKUP(B878,'[1]KUST cost center'!$B:$C,2,FALSE)</f>
        <v>KUST - Dean Of Engineering</v>
      </c>
      <c r="D878" s="84">
        <v>420550</v>
      </c>
      <c r="E878" s="85" t="str">
        <f>VLOOKUP(D878,'[1]KUST Account Code'!$A:$B,2,FALSE)</f>
        <v>Academic Advisory Service</v>
      </c>
      <c r="F878" s="84">
        <v>847001</v>
      </c>
      <c r="G878" s="85" t="str">
        <f>VLOOKUP(F878,[2]Sheet1!$F:$G,2,FALSE)</f>
        <v>KUST - General</v>
      </c>
      <c r="H878" s="85" t="s">
        <v>25</v>
      </c>
      <c r="I878" s="84">
        <v>200179</v>
      </c>
      <c r="J878" s="8" t="s">
        <v>1101</v>
      </c>
      <c r="K878" s="46" t="s">
        <v>31</v>
      </c>
      <c r="L878" s="47" t="s">
        <v>1379</v>
      </c>
    </row>
    <row r="879" spans="1:12" ht="14.5" x14ac:dyDescent="0.35">
      <c r="A879" s="47" t="s">
        <v>1363</v>
      </c>
      <c r="B879" s="84">
        <v>8470305</v>
      </c>
      <c r="C879" s="85" t="str">
        <f>VLOOKUP(B879,'[1]KUST cost center'!$B:$C,2,FALSE)</f>
        <v>KUST - Dean Of Engineering</v>
      </c>
      <c r="D879" s="84">
        <v>425762</v>
      </c>
      <c r="E879" s="85" t="str">
        <f>VLOOKUP(D879,'[1]KUST Account Code'!$A:$B,2,FALSE)</f>
        <v>Student Internship</v>
      </c>
      <c r="F879" s="84">
        <v>847001</v>
      </c>
      <c r="G879" s="85" t="str">
        <f>VLOOKUP(F879,[2]Sheet1!$F:$G,2,FALSE)</f>
        <v>KUST - General</v>
      </c>
      <c r="H879" s="85" t="s">
        <v>25</v>
      </c>
      <c r="I879" s="84">
        <v>200179</v>
      </c>
      <c r="J879" s="81" t="s">
        <v>1102</v>
      </c>
      <c r="K879" s="46" t="s">
        <v>90</v>
      </c>
      <c r="L879" s="47" t="s">
        <v>1379</v>
      </c>
    </row>
    <row r="880" spans="1:12" ht="14.5" x14ac:dyDescent="0.35">
      <c r="A880" s="47" t="s">
        <v>1363</v>
      </c>
      <c r="B880" s="84">
        <v>8470305</v>
      </c>
      <c r="C880" s="85" t="str">
        <f>VLOOKUP(B880,'[1]KUST cost center'!$B:$C,2,FALSE)</f>
        <v>KUST - Dean Of Engineering</v>
      </c>
      <c r="D880" s="84">
        <v>428090</v>
      </c>
      <c r="E880" s="85" t="str">
        <f>VLOOKUP(D880,'[1]KUST Account Code'!$A:$B,2,FALSE)</f>
        <v>Business Travel - Combined expenses</v>
      </c>
      <c r="F880" s="84">
        <v>847001</v>
      </c>
      <c r="G880" s="85" t="str">
        <f>VLOOKUP(F880,[2]Sheet1!$F:$G,2,FALSE)</f>
        <v>KUST - General</v>
      </c>
      <c r="H880" s="85" t="s">
        <v>25</v>
      </c>
      <c r="I880" s="84">
        <v>200179</v>
      </c>
      <c r="J880" s="8" t="s">
        <v>1103</v>
      </c>
      <c r="K880" s="46" t="s">
        <v>1081</v>
      </c>
      <c r="L880" s="47" t="s">
        <v>1379</v>
      </c>
    </row>
    <row r="881" spans="1:12" ht="14.5" x14ac:dyDescent="0.35">
      <c r="A881" s="47" t="s">
        <v>1363</v>
      </c>
      <c r="B881" s="84">
        <v>8470305</v>
      </c>
      <c r="C881" s="85" t="str">
        <f>VLOOKUP(B881,'[1]KUST cost center'!$B:$C,2,FALSE)</f>
        <v>KUST - Dean Of Engineering</v>
      </c>
      <c r="D881" s="84">
        <v>428400</v>
      </c>
      <c r="E881" s="85" t="str">
        <f>VLOOKUP(D881,'[1]KUST Account Code'!$A:$B,2,FALSE)</f>
        <v>Sponsorship expenses/contributions</v>
      </c>
      <c r="F881" s="84">
        <v>847001</v>
      </c>
      <c r="G881" s="85" t="str">
        <f>VLOOKUP(F881,[2]Sheet1!$F:$G,2,FALSE)</f>
        <v>KUST - General</v>
      </c>
      <c r="H881" s="85" t="s">
        <v>25</v>
      </c>
      <c r="I881" s="84">
        <v>200179</v>
      </c>
      <c r="J881" s="81" t="s">
        <v>1104</v>
      </c>
      <c r="K881" s="46" t="s">
        <v>1082</v>
      </c>
      <c r="L881" s="47" t="s">
        <v>1379</v>
      </c>
    </row>
    <row r="882" spans="1:12" ht="14.5" x14ac:dyDescent="0.35">
      <c r="A882" s="47" t="s">
        <v>1363</v>
      </c>
      <c r="B882" s="84">
        <v>8470305</v>
      </c>
      <c r="C882" s="85" t="str">
        <f>VLOOKUP(B882,'[1]KUST cost center'!$B:$C,2,FALSE)</f>
        <v>KUST - Dean Of Engineering</v>
      </c>
      <c r="D882" s="84">
        <v>430330</v>
      </c>
      <c r="E882" s="85" t="str">
        <f>VLOOKUP(D882,'[1]KUST Account Code'!$A:$B,2,FALSE)</f>
        <v>Rental - Motor vehicles</v>
      </c>
      <c r="F882" s="84">
        <v>847001</v>
      </c>
      <c r="G882" s="85" t="str">
        <f>VLOOKUP(F882,[2]Sheet1!$F:$G,2,FALSE)</f>
        <v>KUST - General</v>
      </c>
      <c r="H882" s="85" t="s">
        <v>25</v>
      </c>
      <c r="I882" s="84">
        <v>200179</v>
      </c>
      <c r="J882" s="8" t="s">
        <v>1105</v>
      </c>
      <c r="K882" s="46" t="s">
        <v>571</v>
      </c>
      <c r="L882" s="47" t="s">
        <v>1379</v>
      </c>
    </row>
    <row r="883" spans="1:12" ht="14.5" x14ac:dyDescent="0.35">
      <c r="A883" s="47" t="s">
        <v>1363</v>
      </c>
      <c r="B883" s="84">
        <v>8470305</v>
      </c>
      <c r="C883" s="85" t="str">
        <f>VLOOKUP(B883,'[1]KUST cost center'!$B:$C,2,FALSE)</f>
        <v>KUST - Dean Of Engineering</v>
      </c>
      <c r="D883" s="84">
        <v>435530</v>
      </c>
      <c r="E883" s="85" t="str">
        <f>VLOOKUP(D883,'[1]KUST Account Code'!$A:$B,2,FALSE)</f>
        <v>School consumables, not specifically mentioned elsewhere</v>
      </c>
      <c r="F883" s="84">
        <v>847001</v>
      </c>
      <c r="G883" s="85" t="str">
        <f>VLOOKUP(F883,[2]Sheet1!$F:$G,2,FALSE)</f>
        <v>KUST - General</v>
      </c>
      <c r="H883" s="85" t="s">
        <v>25</v>
      </c>
      <c r="I883" s="84">
        <v>200179</v>
      </c>
      <c r="J883" s="81" t="s">
        <v>1106</v>
      </c>
      <c r="K883" s="46" t="s">
        <v>31</v>
      </c>
      <c r="L883" s="47" t="s">
        <v>1379</v>
      </c>
    </row>
    <row r="884" spans="1:12" ht="14.5" x14ac:dyDescent="0.35">
      <c r="A884" s="47" t="s">
        <v>1363</v>
      </c>
      <c r="B884" s="84">
        <v>8470305</v>
      </c>
      <c r="C884" s="85" t="str">
        <f>VLOOKUP(B884,'[1]KUST cost center'!$B:$C,2,FALSE)</f>
        <v>KUST - Dean Of Engineering</v>
      </c>
      <c r="D884" s="84">
        <v>436110</v>
      </c>
      <c r="E884" s="85" t="str">
        <f>VLOOKUP(D884,'[1]KUST Account Code'!$A:$B,2,FALSE)</f>
        <v>Printing supplies</v>
      </c>
      <c r="F884" s="84">
        <v>847001</v>
      </c>
      <c r="G884" s="85" t="str">
        <f>VLOOKUP(F884,[2]Sheet1!$F:$G,2,FALSE)</f>
        <v>KUST - General</v>
      </c>
      <c r="H884" s="85" t="s">
        <v>25</v>
      </c>
      <c r="I884" s="84">
        <v>200179</v>
      </c>
      <c r="J884" s="8" t="s">
        <v>1107</v>
      </c>
      <c r="K884" s="46" t="s">
        <v>27</v>
      </c>
      <c r="L884" s="47" t="s">
        <v>1379</v>
      </c>
    </row>
    <row r="885" spans="1:12" ht="14.5" x14ac:dyDescent="0.35">
      <c r="A885" s="47" t="s">
        <v>1363</v>
      </c>
      <c r="B885" s="84">
        <v>8470305</v>
      </c>
      <c r="C885" s="85" t="str">
        <f>VLOOKUP(B885,'[1]KUST cost center'!$B:$C,2,FALSE)</f>
        <v>KUST - Dean Of Engineering</v>
      </c>
      <c r="D885" s="84">
        <v>436600</v>
      </c>
      <c r="E885" s="85" t="str">
        <f>VLOOKUP(D885,'[1]KUST Account Code'!$A:$B,2,FALSE)</f>
        <v>Training/Teaching equipment and other educational aid</v>
      </c>
      <c r="F885" s="84">
        <v>847001</v>
      </c>
      <c r="G885" s="85" t="str">
        <f>VLOOKUP(F885,[2]Sheet1!$F:$G,2,FALSE)</f>
        <v>KUST - General</v>
      </c>
      <c r="H885" s="85" t="s">
        <v>25</v>
      </c>
      <c r="I885" s="84">
        <v>200179</v>
      </c>
      <c r="J885" s="81" t="s">
        <v>1108</v>
      </c>
      <c r="K885" s="46" t="s">
        <v>31</v>
      </c>
      <c r="L885" s="47" t="s">
        <v>1379</v>
      </c>
    </row>
    <row r="886" spans="1:12" ht="14.5" x14ac:dyDescent="0.35">
      <c r="A886" s="47" t="s">
        <v>1363</v>
      </c>
      <c r="B886" s="84">
        <v>8470310</v>
      </c>
      <c r="C886" s="85" t="str">
        <f>VLOOKUP(B886,'[1]KUST cost center'!$B:$C,2,FALSE)</f>
        <v>KUST - Aerospace Engineering</v>
      </c>
      <c r="D886" s="84">
        <v>420550</v>
      </c>
      <c r="E886" s="85" t="str">
        <f>VLOOKUP(D886,'[1]KUST Account Code'!$A:$B,2,FALSE)</f>
        <v>Academic Advisory Service</v>
      </c>
      <c r="F886" s="84">
        <v>847001</v>
      </c>
      <c r="G886" s="85" t="str">
        <f>VLOOKUP(F886,[2]Sheet1!$F:$G,2,FALSE)</f>
        <v>KUST - General</v>
      </c>
      <c r="H886" s="85" t="s">
        <v>25</v>
      </c>
      <c r="I886" s="84">
        <v>200179</v>
      </c>
      <c r="J886" s="8" t="s">
        <v>1109</v>
      </c>
      <c r="K886" s="46" t="s">
        <v>31</v>
      </c>
      <c r="L886" s="47" t="s">
        <v>1379</v>
      </c>
    </row>
    <row r="887" spans="1:12" ht="14.5" x14ac:dyDescent="0.35">
      <c r="A887" s="47" t="s">
        <v>1363</v>
      </c>
      <c r="B887" s="84">
        <v>8470310</v>
      </c>
      <c r="C887" s="85" t="str">
        <f>VLOOKUP(B887,'[1]KUST cost center'!$B:$C,2,FALSE)</f>
        <v>KUST - Aerospace Engineering</v>
      </c>
      <c r="D887" s="84">
        <v>428090</v>
      </c>
      <c r="E887" s="85" t="str">
        <f>VLOOKUP(D887,'[1]KUST Account Code'!$A:$B,2,FALSE)</f>
        <v>Business Travel - Combined expenses</v>
      </c>
      <c r="F887" s="84">
        <v>847001</v>
      </c>
      <c r="G887" s="85" t="str">
        <f>VLOOKUP(F887,[2]Sheet1!$F:$G,2,FALSE)</f>
        <v>KUST - General</v>
      </c>
      <c r="H887" s="85" t="s">
        <v>25</v>
      </c>
      <c r="I887" s="84">
        <v>200179</v>
      </c>
      <c r="J887" s="81" t="s">
        <v>1110</v>
      </c>
      <c r="K887" s="46" t="s">
        <v>1081</v>
      </c>
      <c r="L887" s="47" t="s">
        <v>1379</v>
      </c>
    </row>
    <row r="888" spans="1:12" ht="14.5" x14ac:dyDescent="0.35">
      <c r="A888" s="47" t="s">
        <v>1363</v>
      </c>
      <c r="B888" s="84">
        <v>8470310</v>
      </c>
      <c r="C888" s="85" t="str">
        <f>VLOOKUP(B888,'[1]KUST cost center'!$B:$C,2,FALSE)</f>
        <v>KUST - Aerospace Engineering</v>
      </c>
      <c r="D888" s="84">
        <v>436110</v>
      </c>
      <c r="E888" s="85" t="str">
        <f>VLOOKUP(D888,'[1]KUST Account Code'!$A:$B,2,FALSE)</f>
        <v>Printing supplies</v>
      </c>
      <c r="F888" s="84">
        <v>847001</v>
      </c>
      <c r="G888" s="85" t="str">
        <f>VLOOKUP(F888,[2]Sheet1!$F:$G,2,FALSE)</f>
        <v>KUST - General</v>
      </c>
      <c r="H888" s="85" t="s">
        <v>25</v>
      </c>
      <c r="I888" s="84">
        <v>200179</v>
      </c>
      <c r="J888" s="8" t="s">
        <v>1111</v>
      </c>
      <c r="K888" s="46" t="s">
        <v>27</v>
      </c>
      <c r="L888" s="47" t="s">
        <v>1379</v>
      </c>
    </row>
    <row r="889" spans="1:12" ht="14.5" x14ac:dyDescent="0.35">
      <c r="A889" s="47" t="s">
        <v>1363</v>
      </c>
      <c r="B889" s="84">
        <v>8470315</v>
      </c>
      <c r="C889" s="85" t="str">
        <f>VLOOKUP(B889,'[1]KUST cost center'!$B:$C,2,FALSE)</f>
        <v>KUST - Biomedical Engineering</v>
      </c>
      <c r="D889" s="84">
        <v>420550</v>
      </c>
      <c r="E889" s="85" t="str">
        <f>VLOOKUP(D889,'[1]KUST Account Code'!$A:$B,2,FALSE)</f>
        <v>Academic Advisory Service</v>
      </c>
      <c r="F889" s="84">
        <v>847001</v>
      </c>
      <c r="G889" s="85" t="str">
        <f>VLOOKUP(F889,[2]Sheet1!$F:$G,2,FALSE)</f>
        <v>KUST - General</v>
      </c>
      <c r="H889" s="85" t="s">
        <v>25</v>
      </c>
      <c r="I889" s="84">
        <v>200179</v>
      </c>
      <c r="J889" s="81" t="s">
        <v>1112</v>
      </c>
      <c r="K889" s="46" t="s">
        <v>31</v>
      </c>
      <c r="L889" s="47" t="s">
        <v>1379</v>
      </c>
    </row>
    <row r="890" spans="1:12" ht="14.5" x14ac:dyDescent="0.35">
      <c r="A890" s="47" t="s">
        <v>1363</v>
      </c>
      <c r="B890" s="84">
        <v>8470315</v>
      </c>
      <c r="C890" s="85" t="str">
        <f>VLOOKUP(B890,'[1]KUST cost center'!$B:$C,2,FALSE)</f>
        <v>KUST - Biomedical Engineering</v>
      </c>
      <c r="D890" s="84">
        <v>435350</v>
      </c>
      <c r="E890" s="85" t="str">
        <f>VLOOKUP(D890,'[1]KUST Account Code'!$A:$B,2,FALSE)</f>
        <v>Academic Publications</v>
      </c>
      <c r="F890" s="84">
        <v>847001</v>
      </c>
      <c r="G890" s="85" t="str">
        <f>VLOOKUP(F890,[2]Sheet1!$F:$G,2,FALSE)</f>
        <v>KUST - General</v>
      </c>
      <c r="H890" s="85" t="s">
        <v>25</v>
      </c>
      <c r="I890" s="84">
        <v>200179</v>
      </c>
      <c r="J890" s="8" t="s">
        <v>1113</v>
      </c>
      <c r="K890" s="46" t="s">
        <v>31</v>
      </c>
      <c r="L890" s="47" t="s">
        <v>1379</v>
      </c>
    </row>
    <row r="891" spans="1:12" ht="14.5" x14ac:dyDescent="0.35">
      <c r="A891" s="47" t="s">
        <v>1363</v>
      </c>
      <c r="B891" s="84">
        <v>8470315</v>
      </c>
      <c r="C891" s="85" t="str">
        <f>VLOOKUP(B891,'[1]KUST cost center'!$B:$C,2,FALSE)</f>
        <v>KUST - Biomedical Engineering</v>
      </c>
      <c r="D891" s="84">
        <v>436110</v>
      </c>
      <c r="E891" s="85" t="str">
        <f>VLOOKUP(D891,'[1]KUST Account Code'!$A:$B,2,FALSE)</f>
        <v>Printing supplies</v>
      </c>
      <c r="F891" s="84">
        <v>847001</v>
      </c>
      <c r="G891" s="85" t="str">
        <f>VLOOKUP(F891,[2]Sheet1!$F:$G,2,FALSE)</f>
        <v>KUST - General</v>
      </c>
      <c r="H891" s="85" t="s">
        <v>25</v>
      </c>
      <c r="I891" s="84">
        <v>200179</v>
      </c>
      <c r="J891" s="81" t="s">
        <v>1114</v>
      </c>
      <c r="K891" s="46" t="s">
        <v>27</v>
      </c>
      <c r="L891" s="47" t="s">
        <v>1379</v>
      </c>
    </row>
    <row r="892" spans="1:12" ht="14.5" x14ac:dyDescent="0.35">
      <c r="A892" s="47" t="s">
        <v>1363</v>
      </c>
      <c r="B892" s="84">
        <v>8470315</v>
      </c>
      <c r="C892" s="85" t="str">
        <f>VLOOKUP(B892,'[1]KUST cost center'!$B:$C,2,FALSE)</f>
        <v>KUST - Biomedical Engineering</v>
      </c>
      <c r="D892" s="84">
        <v>436600</v>
      </c>
      <c r="E892" s="85" t="str">
        <f>VLOOKUP(D892,'[1]KUST Account Code'!$A:$B,2,FALSE)</f>
        <v>Training/Teaching equipment and other educational aid</v>
      </c>
      <c r="F892" s="84">
        <v>847001</v>
      </c>
      <c r="G892" s="85" t="str">
        <f>VLOOKUP(F892,[2]Sheet1!$F:$G,2,FALSE)</f>
        <v>KUST - General</v>
      </c>
      <c r="H892" s="85" t="s">
        <v>25</v>
      </c>
      <c r="I892" s="84">
        <v>200179</v>
      </c>
      <c r="J892" s="8" t="s">
        <v>1115</v>
      </c>
      <c r="K892" s="46" t="s">
        <v>31</v>
      </c>
      <c r="L892" s="47" t="s">
        <v>1379</v>
      </c>
    </row>
    <row r="893" spans="1:12" ht="14.5" x14ac:dyDescent="0.35">
      <c r="A893" s="47" t="s">
        <v>1363</v>
      </c>
      <c r="B893" s="84">
        <v>8470320</v>
      </c>
      <c r="C893" s="85" t="str">
        <f>VLOOKUP(B893,'[1]KUST cost center'!$B:$C,2,FALSE)</f>
        <v>KUST - Chemical Engineering</v>
      </c>
      <c r="D893" s="84">
        <v>420550</v>
      </c>
      <c r="E893" s="85" t="str">
        <f>VLOOKUP(D893,'[1]KUST Account Code'!$A:$B,2,FALSE)</f>
        <v>Academic Advisory Service</v>
      </c>
      <c r="F893" s="84">
        <v>847001</v>
      </c>
      <c r="G893" s="85" t="str">
        <f>VLOOKUP(F893,[2]Sheet1!$F:$G,2,FALSE)</f>
        <v>KUST - General</v>
      </c>
      <c r="H893" s="85" t="s">
        <v>25</v>
      </c>
      <c r="I893" s="84">
        <v>200179</v>
      </c>
      <c r="J893" s="81" t="s">
        <v>1116</v>
      </c>
      <c r="K893" s="46" t="s">
        <v>31</v>
      </c>
      <c r="L893" s="47" t="s">
        <v>1379</v>
      </c>
    </row>
    <row r="894" spans="1:12" ht="14.5" x14ac:dyDescent="0.35">
      <c r="A894" s="47" t="s">
        <v>1363</v>
      </c>
      <c r="B894" s="84">
        <v>8470320</v>
      </c>
      <c r="C894" s="85" t="str">
        <f>VLOOKUP(B894,'[1]KUST cost center'!$B:$C,2,FALSE)</f>
        <v>KUST - Chemical Engineering</v>
      </c>
      <c r="D894" s="84">
        <v>425510</v>
      </c>
      <c r="E894" s="85" t="str">
        <f>VLOOKUP(D894,'[1]KUST Account Code'!$A:$B,2,FALSE)</f>
        <v>Conferences, seminars and exhibitions and other events: - Local Events</v>
      </c>
      <c r="F894" s="84">
        <v>847001</v>
      </c>
      <c r="G894" s="85" t="str">
        <f>VLOOKUP(F894,[2]Sheet1!$F:$G,2,FALSE)</f>
        <v>KUST - General</v>
      </c>
      <c r="H894" s="85" t="s">
        <v>25</v>
      </c>
      <c r="I894" s="84">
        <v>200179</v>
      </c>
      <c r="J894" s="8" t="s">
        <v>1117</v>
      </c>
      <c r="K894" s="46" t="s">
        <v>1079</v>
      </c>
      <c r="L894" s="47" t="s">
        <v>1383</v>
      </c>
    </row>
    <row r="895" spans="1:12" ht="14.5" x14ac:dyDescent="0.35">
      <c r="A895" s="47" t="s">
        <v>1363</v>
      </c>
      <c r="B895" s="84">
        <v>8470320</v>
      </c>
      <c r="C895" s="85" t="str">
        <f>VLOOKUP(B895,'[1]KUST cost center'!$B:$C,2,FALSE)</f>
        <v>KUST - Chemical Engineering</v>
      </c>
      <c r="D895" s="84">
        <v>425760</v>
      </c>
      <c r="E895" s="85" t="str">
        <f>VLOOKUP(D895,'[1]KUST Account Code'!$A:$B,2,FALSE)</f>
        <v>Student activities &amp; field trip expenses</v>
      </c>
      <c r="F895" s="84">
        <v>847001</v>
      </c>
      <c r="G895" s="85" t="str">
        <f>VLOOKUP(F895,[2]Sheet1!$F:$G,2,FALSE)</f>
        <v>KUST - General</v>
      </c>
      <c r="H895" s="85" t="s">
        <v>25</v>
      </c>
      <c r="I895" s="84">
        <v>200179</v>
      </c>
      <c r="J895" s="81" t="s">
        <v>1118</v>
      </c>
      <c r="K895" s="46" t="s">
        <v>90</v>
      </c>
      <c r="L895" s="47" t="s">
        <v>1384</v>
      </c>
    </row>
    <row r="896" spans="1:12" ht="14.5" x14ac:dyDescent="0.35">
      <c r="A896" s="47" t="s">
        <v>1363</v>
      </c>
      <c r="B896" s="84">
        <v>8470320</v>
      </c>
      <c r="C896" s="85" t="str">
        <f>VLOOKUP(B896,'[1]KUST cost center'!$B:$C,2,FALSE)</f>
        <v>KUST - Chemical Engineering</v>
      </c>
      <c r="D896" s="84">
        <v>436110</v>
      </c>
      <c r="E896" s="85" t="str">
        <f>VLOOKUP(D896,'[1]KUST Account Code'!$A:$B,2,FALSE)</f>
        <v>Printing supplies</v>
      </c>
      <c r="F896" s="84">
        <v>847001</v>
      </c>
      <c r="G896" s="85" t="str">
        <f>VLOOKUP(F896,[2]Sheet1!$F:$G,2,FALSE)</f>
        <v>KUST - General</v>
      </c>
      <c r="H896" s="85" t="s">
        <v>25</v>
      </c>
      <c r="I896" s="84">
        <v>200179</v>
      </c>
      <c r="J896" s="8" t="s">
        <v>1119</v>
      </c>
      <c r="K896" s="46" t="s">
        <v>27</v>
      </c>
      <c r="L896" s="47" t="s">
        <v>1379</v>
      </c>
    </row>
    <row r="897" spans="1:12" ht="14.5" x14ac:dyDescent="0.35">
      <c r="A897" s="47" t="s">
        <v>1363</v>
      </c>
      <c r="B897" s="84">
        <v>8470320</v>
      </c>
      <c r="C897" s="85" t="str">
        <f>VLOOKUP(B897,'[1]KUST cost center'!$B:$C,2,FALSE)</f>
        <v>KUST - Chemical Engineering</v>
      </c>
      <c r="D897" s="84">
        <v>436600</v>
      </c>
      <c r="E897" s="85" t="str">
        <f>VLOOKUP(D897,'[1]KUST Account Code'!$A:$B,2,FALSE)</f>
        <v>Training/Teaching equipment and other educational aid</v>
      </c>
      <c r="F897" s="84">
        <v>847001</v>
      </c>
      <c r="G897" s="85" t="str">
        <f>VLOOKUP(F897,[2]Sheet1!$F:$G,2,FALSE)</f>
        <v>KUST - General</v>
      </c>
      <c r="H897" s="85" t="s">
        <v>25</v>
      </c>
      <c r="I897" s="84">
        <v>200179</v>
      </c>
      <c r="J897" s="81" t="s">
        <v>1120</v>
      </c>
      <c r="K897" s="46" t="s">
        <v>31</v>
      </c>
      <c r="L897" s="47" t="s">
        <v>1379</v>
      </c>
    </row>
    <row r="898" spans="1:12" ht="14.5" x14ac:dyDescent="0.35">
      <c r="A898" s="47" t="s">
        <v>1363</v>
      </c>
      <c r="B898" s="84">
        <v>8470325</v>
      </c>
      <c r="C898" s="85" t="str">
        <f>VLOOKUP(B898,'[1]KUST cost center'!$B:$C,2,FALSE)</f>
        <v>KUST - Civil Engineering</v>
      </c>
      <c r="D898" s="84">
        <v>435350</v>
      </c>
      <c r="E898" s="85" t="str">
        <f>VLOOKUP(D898,'[1]KUST Account Code'!$A:$B,2,FALSE)</f>
        <v>Academic Publications</v>
      </c>
      <c r="F898" s="84">
        <v>847001</v>
      </c>
      <c r="G898" s="85" t="str">
        <f>VLOOKUP(F898,[2]Sheet1!$F:$G,2,FALSE)</f>
        <v>KUST - General</v>
      </c>
      <c r="H898" s="85" t="s">
        <v>25</v>
      </c>
      <c r="I898" s="84">
        <v>200179</v>
      </c>
      <c r="J898" s="8" t="s">
        <v>1121</v>
      </c>
      <c r="K898" s="46" t="s">
        <v>31</v>
      </c>
      <c r="L898" s="47" t="s">
        <v>1379</v>
      </c>
    </row>
    <row r="899" spans="1:12" ht="14.5" x14ac:dyDescent="0.35">
      <c r="A899" s="47" t="s">
        <v>1363</v>
      </c>
      <c r="B899" s="84">
        <v>8470325</v>
      </c>
      <c r="C899" s="85" t="str">
        <f>VLOOKUP(B899,'[1]KUST cost center'!$B:$C,2,FALSE)</f>
        <v>KUST - Civil Engineering</v>
      </c>
      <c r="D899" s="84">
        <v>436600</v>
      </c>
      <c r="E899" s="85" t="str">
        <f>VLOOKUP(D899,'[1]KUST Account Code'!$A:$B,2,FALSE)</f>
        <v>Training/Teaching equipment and other educational aid</v>
      </c>
      <c r="F899" s="84">
        <v>847001</v>
      </c>
      <c r="G899" s="85" t="str">
        <f>VLOOKUP(F899,[2]Sheet1!$F:$G,2,FALSE)</f>
        <v>KUST - General</v>
      </c>
      <c r="H899" s="85" t="s">
        <v>25</v>
      </c>
      <c r="I899" s="84">
        <v>200179</v>
      </c>
      <c r="J899" s="81" t="s">
        <v>1122</v>
      </c>
      <c r="K899" s="46" t="s">
        <v>31</v>
      </c>
      <c r="L899" s="47" t="s">
        <v>1379</v>
      </c>
    </row>
    <row r="900" spans="1:12" ht="14.5" x14ac:dyDescent="0.35">
      <c r="A900" s="47" t="s">
        <v>1363</v>
      </c>
      <c r="B900" s="84">
        <v>8470330</v>
      </c>
      <c r="C900" s="85" t="str">
        <f>VLOOKUP(B900,'[1]KUST cost center'!$B:$C,2,FALSE)</f>
        <v>KUST - Electrical &amp; Computer Engineering</v>
      </c>
      <c r="D900" s="84">
        <v>428640</v>
      </c>
      <c r="E900" s="85" t="str">
        <f>VLOOKUP(D900,'[1]KUST Account Code'!$A:$B,2,FALSE)</f>
        <v>Events - Awards, prizes &amp; gifts</v>
      </c>
      <c r="F900" s="84">
        <v>847001</v>
      </c>
      <c r="G900" s="85" t="str">
        <f>VLOOKUP(F900,[2]Sheet1!$F:$G,2,FALSE)</f>
        <v>KUST - General</v>
      </c>
      <c r="H900" s="85" t="s">
        <v>25</v>
      </c>
      <c r="I900" s="84">
        <v>200179</v>
      </c>
      <c r="J900" s="8" t="s">
        <v>1123</v>
      </c>
      <c r="K900" s="46" t="s">
        <v>1079</v>
      </c>
      <c r="L900" s="47" t="s">
        <v>1387</v>
      </c>
    </row>
    <row r="901" spans="1:12" ht="14.5" x14ac:dyDescent="0.35">
      <c r="A901" s="47" t="s">
        <v>1363</v>
      </c>
      <c r="B901" s="84">
        <v>8470330</v>
      </c>
      <c r="C901" s="85" t="str">
        <f>VLOOKUP(B901,'[1]KUST cost center'!$B:$C,2,FALSE)</f>
        <v>KUST - Electrical &amp; Computer Engineering</v>
      </c>
      <c r="D901" s="84">
        <v>436110</v>
      </c>
      <c r="E901" s="85" t="str">
        <f>VLOOKUP(D901,'[1]KUST Account Code'!$A:$B,2,FALSE)</f>
        <v>Printing supplies</v>
      </c>
      <c r="F901" s="84">
        <v>847001</v>
      </c>
      <c r="G901" s="85" t="str">
        <f>VLOOKUP(F901,[2]Sheet1!$F:$G,2,FALSE)</f>
        <v>KUST - General</v>
      </c>
      <c r="H901" s="85" t="s">
        <v>25</v>
      </c>
      <c r="I901" s="84">
        <v>200179</v>
      </c>
      <c r="J901" s="81" t="s">
        <v>1124</v>
      </c>
      <c r="K901" s="46" t="s">
        <v>27</v>
      </c>
      <c r="L901" s="47" t="s">
        <v>1379</v>
      </c>
    </row>
    <row r="902" spans="1:12" ht="14.5" x14ac:dyDescent="0.35">
      <c r="A902" s="47" t="s">
        <v>1363</v>
      </c>
      <c r="B902" s="84">
        <v>8470330</v>
      </c>
      <c r="C902" s="85" t="str">
        <f>VLOOKUP(B902,'[1]KUST cost center'!$B:$C,2,FALSE)</f>
        <v>KUST - Electrical &amp; Computer Engineering</v>
      </c>
      <c r="D902" s="84">
        <v>436600</v>
      </c>
      <c r="E902" s="85" t="str">
        <f>VLOOKUP(D902,'[1]KUST Account Code'!$A:$B,2,FALSE)</f>
        <v>Training/Teaching equipment and other educational aid</v>
      </c>
      <c r="F902" s="84">
        <v>847001</v>
      </c>
      <c r="G902" s="85" t="str">
        <f>VLOOKUP(F902,[2]Sheet1!$F:$G,2,FALSE)</f>
        <v>KUST - General</v>
      </c>
      <c r="H902" s="85" t="s">
        <v>25</v>
      </c>
      <c r="I902" s="84">
        <v>200179</v>
      </c>
      <c r="J902" s="8" t="s">
        <v>1125</v>
      </c>
      <c r="K902" s="46" t="s">
        <v>31</v>
      </c>
      <c r="L902" s="47" t="s">
        <v>1379</v>
      </c>
    </row>
    <row r="903" spans="1:12" ht="14.5" x14ac:dyDescent="0.35">
      <c r="A903" s="47" t="s">
        <v>1363</v>
      </c>
      <c r="B903" s="84">
        <v>8470335</v>
      </c>
      <c r="C903" s="85" t="s">
        <v>317</v>
      </c>
      <c r="D903" s="84">
        <v>420550</v>
      </c>
      <c r="E903" s="85" t="str">
        <f>VLOOKUP(D903,'[1]KUST Account Code'!$A:$B,2,FALSE)</f>
        <v>Academic Advisory Service</v>
      </c>
      <c r="F903" s="84">
        <v>847001</v>
      </c>
      <c r="G903" s="85" t="str">
        <f>VLOOKUP(F903,[2]Sheet1!$F:$G,2,FALSE)</f>
        <v>KUST - General</v>
      </c>
      <c r="H903" s="85" t="s">
        <v>25</v>
      </c>
      <c r="I903" s="84">
        <v>200179</v>
      </c>
      <c r="J903" s="81" t="s">
        <v>1126</v>
      </c>
      <c r="K903" s="46" t="s">
        <v>31</v>
      </c>
      <c r="L903" s="47" t="s">
        <v>1379</v>
      </c>
    </row>
    <row r="904" spans="1:12" ht="14.5" x14ac:dyDescent="0.35">
      <c r="A904" s="47" t="s">
        <v>1363</v>
      </c>
      <c r="B904" s="84">
        <v>8470340</v>
      </c>
      <c r="C904" s="85" t="str">
        <f>VLOOKUP(B904,'[1]KUST cost center'!$B:$C,2,FALSE)</f>
        <v>KUST - Mechanical Engineering</v>
      </c>
      <c r="D904" s="84">
        <v>420550</v>
      </c>
      <c r="E904" s="85" t="str">
        <f>VLOOKUP(D904,'[1]KUST Account Code'!$A:$B,2,FALSE)</f>
        <v>Academic Advisory Service</v>
      </c>
      <c r="F904" s="84">
        <v>847001</v>
      </c>
      <c r="G904" s="85" t="str">
        <f>VLOOKUP(F904,[2]Sheet1!$F:$G,2,FALSE)</f>
        <v>KUST - General</v>
      </c>
      <c r="H904" s="85" t="s">
        <v>25</v>
      </c>
      <c r="I904" s="84">
        <v>200179</v>
      </c>
      <c r="J904" s="8" t="s">
        <v>1127</v>
      </c>
      <c r="K904" s="46" t="s">
        <v>31</v>
      </c>
      <c r="L904" s="47" t="s">
        <v>1379</v>
      </c>
    </row>
    <row r="905" spans="1:12" ht="14.5" x14ac:dyDescent="0.35">
      <c r="A905" s="47" t="s">
        <v>1363</v>
      </c>
      <c r="B905" s="84">
        <v>8470340</v>
      </c>
      <c r="C905" s="85" t="str">
        <f>VLOOKUP(B905,'[1]KUST cost center'!$B:$C,2,FALSE)</f>
        <v>KUST - Mechanical Engineering</v>
      </c>
      <c r="D905" s="84">
        <v>436110</v>
      </c>
      <c r="E905" s="85" t="str">
        <f>VLOOKUP(D905,'[1]KUST Account Code'!$A:$B,2,FALSE)</f>
        <v>Printing supplies</v>
      </c>
      <c r="F905" s="84">
        <v>847001</v>
      </c>
      <c r="G905" s="85" t="str">
        <f>VLOOKUP(F905,[2]Sheet1!$F:$G,2,FALSE)</f>
        <v>KUST - General</v>
      </c>
      <c r="H905" s="85" t="s">
        <v>25</v>
      </c>
      <c r="I905" s="84">
        <v>200179</v>
      </c>
      <c r="J905" s="81" t="s">
        <v>1128</v>
      </c>
      <c r="K905" s="46" t="s">
        <v>27</v>
      </c>
      <c r="L905" s="47" t="s">
        <v>1379</v>
      </c>
    </row>
    <row r="906" spans="1:12" ht="14.5" x14ac:dyDescent="0.35">
      <c r="A906" s="47" t="s">
        <v>1363</v>
      </c>
      <c r="B906" s="84">
        <v>8470345</v>
      </c>
      <c r="C906" s="85" t="str">
        <f>VLOOKUP(B906,'[1]KUST cost center'!$B:$C,2,FALSE)</f>
        <v>KUST - Nuclear Engineering</v>
      </c>
      <c r="D906" s="84">
        <v>425510</v>
      </c>
      <c r="E906" s="85" t="str">
        <f>VLOOKUP(D906,'[1]KUST Account Code'!$A:$B,2,FALSE)</f>
        <v>Conferences, seminars and exhibitions and other events: - Local Events</v>
      </c>
      <c r="F906" s="84">
        <v>847001</v>
      </c>
      <c r="G906" s="85" t="str">
        <f>VLOOKUP(F906,[2]Sheet1!$F:$G,2,FALSE)</f>
        <v>KUST - General</v>
      </c>
      <c r="H906" s="85" t="s">
        <v>25</v>
      </c>
      <c r="I906" s="84">
        <v>200179</v>
      </c>
      <c r="J906" s="8" t="s">
        <v>1129</v>
      </c>
      <c r="K906" s="46" t="s">
        <v>1079</v>
      </c>
      <c r="L906" s="47" t="s">
        <v>1383</v>
      </c>
    </row>
    <row r="907" spans="1:12" ht="14.5" x14ac:dyDescent="0.35">
      <c r="A907" s="47" t="s">
        <v>1363</v>
      </c>
      <c r="B907" s="84">
        <v>8470345</v>
      </c>
      <c r="C907" s="85" t="str">
        <f>VLOOKUP(B907,'[1]KUST cost center'!$B:$C,2,FALSE)</f>
        <v>KUST - Nuclear Engineering</v>
      </c>
      <c r="D907" s="84">
        <v>425760</v>
      </c>
      <c r="E907" s="85" t="str">
        <f>VLOOKUP(D907,'[1]KUST Account Code'!$A:$B,2,FALSE)</f>
        <v>Student activities &amp; field trip expenses</v>
      </c>
      <c r="F907" s="84">
        <v>847001</v>
      </c>
      <c r="G907" s="85" t="str">
        <f>VLOOKUP(F907,[2]Sheet1!$F:$G,2,FALSE)</f>
        <v>KUST - General</v>
      </c>
      <c r="H907" s="85" t="s">
        <v>25</v>
      </c>
      <c r="I907" s="84">
        <v>200179</v>
      </c>
      <c r="J907" s="81" t="s">
        <v>1130</v>
      </c>
      <c r="K907" s="46" t="s">
        <v>90</v>
      </c>
      <c r="L907" s="47" t="s">
        <v>1384</v>
      </c>
    </row>
    <row r="908" spans="1:12" ht="14.5" x14ac:dyDescent="0.35">
      <c r="A908" s="47" t="s">
        <v>1363</v>
      </c>
      <c r="B908" s="84">
        <v>8470345</v>
      </c>
      <c r="C908" s="85" t="str">
        <f>VLOOKUP(B908,'[1]KUST cost center'!$B:$C,2,FALSE)</f>
        <v>KUST - Nuclear Engineering</v>
      </c>
      <c r="D908" s="84">
        <v>436600</v>
      </c>
      <c r="E908" s="85" t="str">
        <f>VLOOKUP(D908,'[1]KUST Account Code'!$A:$B,2,FALSE)</f>
        <v>Training/Teaching equipment and other educational aid</v>
      </c>
      <c r="F908" s="84">
        <v>847001</v>
      </c>
      <c r="G908" s="85" t="str">
        <f>VLOOKUP(F908,[2]Sheet1!$F:$G,2,FALSE)</f>
        <v>KUST - General</v>
      </c>
      <c r="H908" s="85" t="s">
        <v>25</v>
      </c>
      <c r="I908" s="84">
        <v>200179</v>
      </c>
      <c r="J908" s="8" t="s">
        <v>1131</v>
      </c>
      <c r="K908" s="46" t="s">
        <v>31</v>
      </c>
      <c r="L908" s="47" t="s">
        <v>1379</v>
      </c>
    </row>
    <row r="909" spans="1:12" ht="14.5" x14ac:dyDescent="0.35">
      <c r="A909" s="47" t="s">
        <v>1363</v>
      </c>
      <c r="B909" s="84">
        <v>8470350</v>
      </c>
      <c r="C909" s="85" t="str">
        <f>VLOOKUP(B909,'[1]KUST cost center'!$B:$C,2,FALSE)</f>
        <v>KUST - Petroleum Engineering</v>
      </c>
      <c r="D909" s="84">
        <v>420550</v>
      </c>
      <c r="E909" s="85" t="str">
        <f>VLOOKUP(D909,'[1]KUST Account Code'!$A:$B,2,FALSE)</f>
        <v>Academic Advisory Service</v>
      </c>
      <c r="F909" s="84">
        <v>847001</v>
      </c>
      <c r="G909" s="85" t="str">
        <f>VLOOKUP(F909,[2]Sheet1!$F:$G,2,FALSE)</f>
        <v>KUST - General</v>
      </c>
      <c r="H909" s="85" t="s">
        <v>25</v>
      </c>
      <c r="I909" s="84">
        <v>200179</v>
      </c>
      <c r="J909" s="81" t="s">
        <v>1132</v>
      </c>
      <c r="K909" s="46" t="s">
        <v>31</v>
      </c>
      <c r="L909" s="47" t="s">
        <v>1379</v>
      </c>
    </row>
    <row r="910" spans="1:12" ht="14.5" x14ac:dyDescent="0.35">
      <c r="A910" s="47" t="s">
        <v>1363</v>
      </c>
      <c r="B910" s="84">
        <v>8470350</v>
      </c>
      <c r="C910" s="85" t="str">
        <f>VLOOKUP(B910,'[1]KUST cost center'!$B:$C,2,FALSE)</f>
        <v>KUST - Petroleum Engineering</v>
      </c>
      <c r="D910" s="84">
        <v>435340</v>
      </c>
      <c r="E910" s="85" t="str">
        <f>VLOOKUP(D910,'[1]KUST Account Code'!$A:$B,2,FALSE)</f>
        <v>Text books and library books</v>
      </c>
      <c r="F910" s="84">
        <v>847001</v>
      </c>
      <c r="G910" s="85" t="str">
        <f>VLOOKUP(F910,[2]Sheet1!$F:$G,2,FALSE)</f>
        <v>KUST - General</v>
      </c>
      <c r="H910" s="85" t="s">
        <v>25</v>
      </c>
      <c r="I910" s="84">
        <v>200179</v>
      </c>
      <c r="J910" s="8" t="s">
        <v>1133</v>
      </c>
      <c r="K910" s="46" t="s">
        <v>31</v>
      </c>
      <c r="L910" s="47" t="s">
        <v>1379</v>
      </c>
    </row>
    <row r="911" spans="1:12" ht="14.5" x14ac:dyDescent="0.35">
      <c r="A911" s="47" t="s">
        <v>1363</v>
      </c>
      <c r="B911" s="84">
        <v>8470350</v>
      </c>
      <c r="C911" s="85" t="str">
        <f>VLOOKUP(B911,'[1]KUST cost center'!$B:$C,2,FALSE)</f>
        <v>KUST - Petroleum Engineering</v>
      </c>
      <c r="D911" s="84">
        <v>436600</v>
      </c>
      <c r="E911" s="85" t="str">
        <f>VLOOKUP(D911,'[1]KUST Account Code'!$A:$B,2,FALSE)</f>
        <v>Training/Teaching equipment and other educational aid</v>
      </c>
      <c r="F911" s="84">
        <v>847001</v>
      </c>
      <c r="G911" s="85" t="str">
        <f>VLOOKUP(F911,[2]Sheet1!$F:$G,2,FALSE)</f>
        <v>KUST - General</v>
      </c>
      <c r="H911" s="85" t="s">
        <v>25</v>
      </c>
      <c r="I911" s="84">
        <v>200179</v>
      </c>
      <c r="J911" s="81" t="s">
        <v>1134</v>
      </c>
      <c r="K911" s="46" t="s">
        <v>31</v>
      </c>
      <c r="L911" s="47" t="s">
        <v>1379</v>
      </c>
    </row>
    <row r="912" spans="1:12" ht="14.5" x14ac:dyDescent="0.35">
      <c r="A912" s="47" t="s">
        <v>1357</v>
      </c>
      <c r="B912" s="84">
        <v>8470410</v>
      </c>
      <c r="C912" s="85" t="str">
        <f>VLOOKUP(B912,'[1]KUST cost center'!$B:$C,2,FALSE)</f>
        <v>KUST - Institute of International &amp; Civil Security</v>
      </c>
      <c r="D912" s="84">
        <v>420570</v>
      </c>
      <c r="E912" s="85" t="str">
        <f>VLOOKUP(D912,'[1]KUST Account Code'!$A:$B,2,FALSE)</f>
        <v>Academic Collaborative Partnership Services</v>
      </c>
      <c r="F912" s="84">
        <v>847001</v>
      </c>
      <c r="G912" s="85" t="str">
        <f>VLOOKUP(F912,[2]Sheet1!$F:$G,2,FALSE)</f>
        <v>KUST - General</v>
      </c>
      <c r="H912" s="85" t="s">
        <v>25</v>
      </c>
      <c r="I912" s="84">
        <v>200179</v>
      </c>
      <c r="J912" s="8" t="s">
        <v>1135</v>
      </c>
      <c r="K912" s="46" t="s">
        <v>31</v>
      </c>
      <c r="L912" s="47" t="s">
        <v>1379</v>
      </c>
    </row>
    <row r="913" spans="1:12" ht="14.5" x14ac:dyDescent="0.35">
      <c r="A913" s="47" t="s">
        <v>1357</v>
      </c>
      <c r="B913" s="84">
        <v>8470410</v>
      </c>
      <c r="C913" s="85" t="str">
        <f>VLOOKUP(B913,'[1]KUST cost center'!$B:$C,2,FALSE)</f>
        <v>KUST - Institute of International &amp; Civil Security</v>
      </c>
      <c r="D913" s="84">
        <v>425100</v>
      </c>
      <c r="E913" s="85" t="str">
        <f>VLOOKUP(D913,'[1]KUST Account Code'!$A:$B,2,FALSE)</f>
        <v>Advertising</v>
      </c>
      <c r="F913" s="84">
        <v>847001</v>
      </c>
      <c r="G913" s="85" t="str">
        <f>VLOOKUP(F913,[2]Sheet1!$F:$G,2,FALSE)</f>
        <v>KUST - General</v>
      </c>
      <c r="H913" s="85" t="s">
        <v>25</v>
      </c>
      <c r="I913" s="84">
        <v>200179</v>
      </c>
      <c r="J913" s="81" t="s">
        <v>1136</v>
      </c>
      <c r="K913" s="46" t="s">
        <v>1079</v>
      </c>
      <c r="L913" s="47" t="s">
        <v>44</v>
      </c>
    </row>
    <row r="914" spans="1:12" ht="14.5" x14ac:dyDescent="0.35">
      <c r="A914" s="47" t="s">
        <v>1357</v>
      </c>
      <c r="B914" s="84">
        <v>8470410</v>
      </c>
      <c r="C914" s="85" t="str">
        <f>VLOOKUP(B914,'[1]KUST cost center'!$B:$C,2,FALSE)</f>
        <v>KUST - Institute of International &amp; Civil Security</v>
      </c>
      <c r="D914" s="84">
        <v>426610</v>
      </c>
      <c r="E914" s="85" t="str">
        <f>VLOOKUP(D914,'[1]KUST Account Code'!$A:$B,2,FALSE)</f>
        <v>Computer software licenses</v>
      </c>
      <c r="F914" s="84">
        <v>847001</v>
      </c>
      <c r="G914" s="85" t="str">
        <f>VLOOKUP(F914,[2]Sheet1!$F:$G,2,FALSE)</f>
        <v>KUST - General</v>
      </c>
      <c r="H914" s="85" t="s">
        <v>25</v>
      </c>
      <c r="I914" s="84">
        <v>200179</v>
      </c>
      <c r="J914" s="8" t="s">
        <v>1137</v>
      </c>
      <c r="K914" s="46" t="s">
        <v>574</v>
      </c>
      <c r="L914" s="47" t="s">
        <v>1385</v>
      </c>
    </row>
    <row r="915" spans="1:12" ht="14.5" x14ac:dyDescent="0.35">
      <c r="A915" s="47" t="s">
        <v>1357</v>
      </c>
      <c r="B915" s="84">
        <v>8470410</v>
      </c>
      <c r="C915" s="85" t="str">
        <f>VLOOKUP(B915,'[1]KUST cost center'!$B:$C,2,FALSE)</f>
        <v>KUST - Institute of International &amp; Civil Security</v>
      </c>
      <c r="D915" s="84">
        <v>428640</v>
      </c>
      <c r="E915" s="85" t="str">
        <f>VLOOKUP(D915,'[1]KUST Account Code'!$A:$B,2,FALSE)</f>
        <v>Events - Awards, prizes &amp; gifts</v>
      </c>
      <c r="F915" s="84">
        <v>847001</v>
      </c>
      <c r="G915" s="85" t="str">
        <f>VLOOKUP(F915,[2]Sheet1!$F:$G,2,FALSE)</f>
        <v>KUST - General</v>
      </c>
      <c r="H915" s="85" t="s">
        <v>25</v>
      </c>
      <c r="I915" s="84">
        <v>200179</v>
      </c>
      <c r="J915" s="81" t="s">
        <v>1138</v>
      </c>
      <c r="K915" s="46" t="s">
        <v>1079</v>
      </c>
      <c r="L915" s="47" t="s">
        <v>1387</v>
      </c>
    </row>
    <row r="916" spans="1:12" ht="14.5" x14ac:dyDescent="0.35">
      <c r="A916" s="47" t="s">
        <v>1357</v>
      </c>
      <c r="B916" s="84">
        <v>8470415</v>
      </c>
      <c r="C916" s="85" t="str">
        <f>VLOOKUP(B916,'[1]KUST cost center'!$B:$C,2,FALSE)</f>
        <v>KUST - Chemistry</v>
      </c>
      <c r="D916" s="84">
        <v>425510</v>
      </c>
      <c r="E916" s="85" t="str">
        <f>VLOOKUP(D916,'[1]KUST Account Code'!$A:$B,2,FALSE)</f>
        <v>Conferences, seminars and exhibitions and other events: - Local Events</v>
      </c>
      <c r="F916" s="84">
        <v>847001</v>
      </c>
      <c r="G916" s="85" t="str">
        <f>VLOOKUP(F916,[2]Sheet1!$F:$G,2,FALSE)</f>
        <v>KUST - General</v>
      </c>
      <c r="H916" s="85" t="s">
        <v>25</v>
      </c>
      <c r="I916" s="84">
        <v>200179</v>
      </c>
      <c r="J916" s="8" t="s">
        <v>1139</v>
      </c>
      <c r="K916" s="46" t="s">
        <v>1079</v>
      </c>
      <c r="L916" s="47" t="s">
        <v>1383</v>
      </c>
    </row>
    <row r="917" spans="1:12" ht="14.5" x14ac:dyDescent="0.35">
      <c r="A917" s="47" t="s">
        <v>1357</v>
      </c>
      <c r="B917" s="84">
        <v>8470415</v>
      </c>
      <c r="C917" s="85" t="str">
        <f>VLOOKUP(B917,'[1]KUST cost center'!$B:$C,2,FALSE)</f>
        <v>KUST - Chemistry</v>
      </c>
      <c r="D917" s="84">
        <v>425760</v>
      </c>
      <c r="E917" s="85" t="str">
        <f>VLOOKUP(D917,'[1]KUST Account Code'!$A:$B,2,FALSE)</f>
        <v>Student activities &amp; field trip expenses</v>
      </c>
      <c r="F917" s="84">
        <v>847001</v>
      </c>
      <c r="G917" s="85" t="str">
        <f>VLOOKUP(F917,[2]Sheet1!$F:$G,2,FALSE)</f>
        <v>KUST - General</v>
      </c>
      <c r="H917" s="85" t="s">
        <v>25</v>
      </c>
      <c r="I917" s="84">
        <v>200179</v>
      </c>
      <c r="J917" s="81" t="s">
        <v>1140</v>
      </c>
      <c r="K917" s="46" t="s">
        <v>90</v>
      </c>
      <c r="L917" s="47" t="s">
        <v>1384</v>
      </c>
    </row>
    <row r="918" spans="1:12" ht="14.5" x14ac:dyDescent="0.35">
      <c r="A918" s="47" t="s">
        <v>1357</v>
      </c>
      <c r="B918" s="84">
        <v>8470415</v>
      </c>
      <c r="C918" s="85" t="str">
        <f>VLOOKUP(B918,'[1]KUST cost center'!$B:$C,2,FALSE)</f>
        <v>KUST - Chemistry</v>
      </c>
      <c r="D918" s="84">
        <v>435519</v>
      </c>
      <c r="E918" s="85" t="str">
        <f>VLOOKUP(D918,'[1]KUST Account Code'!$A:$B,2,FALSE)</f>
        <v>Photography - Consumable materials /Tools</v>
      </c>
      <c r="F918" s="84">
        <v>847001</v>
      </c>
      <c r="G918" s="85" t="str">
        <f>VLOOKUP(F918,[2]Sheet1!$F:$G,2,FALSE)</f>
        <v>KUST - General</v>
      </c>
      <c r="H918" s="85" t="s">
        <v>25</v>
      </c>
      <c r="I918" s="84">
        <v>200179</v>
      </c>
      <c r="J918" s="8" t="s">
        <v>1141</v>
      </c>
      <c r="K918" s="46" t="s">
        <v>1079</v>
      </c>
      <c r="L918" s="47" t="s">
        <v>1391</v>
      </c>
    </row>
    <row r="919" spans="1:12" ht="14.5" x14ac:dyDescent="0.35">
      <c r="A919" s="47" t="s">
        <v>1357</v>
      </c>
      <c r="B919" s="84">
        <v>8470415</v>
      </c>
      <c r="C919" s="85" t="str">
        <f>VLOOKUP(B919,'[1]KUST cost center'!$B:$C,2,FALSE)</f>
        <v>KUST - Chemistry</v>
      </c>
      <c r="D919" s="84">
        <v>436110</v>
      </c>
      <c r="E919" s="85" t="str">
        <f>VLOOKUP(D919,'[1]KUST Account Code'!$A:$B,2,FALSE)</f>
        <v>Printing supplies</v>
      </c>
      <c r="F919" s="84">
        <v>847001</v>
      </c>
      <c r="G919" s="85" t="str">
        <f>VLOOKUP(F919,[2]Sheet1!$F:$G,2,FALSE)</f>
        <v>KUST - General</v>
      </c>
      <c r="H919" s="85" t="s">
        <v>25</v>
      </c>
      <c r="I919" s="84">
        <v>200179</v>
      </c>
      <c r="J919" s="81" t="s">
        <v>1142</v>
      </c>
      <c r="K919" s="46" t="s">
        <v>27</v>
      </c>
      <c r="L919" s="47" t="s">
        <v>1379</v>
      </c>
    </row>
    <row r="920" spans="1:12" ht="14.5" x14ac:dyDescent="0.35">
      <c r="A920" s="47" t="s">
        <v>1357</v>
      </c>
      <c r="B920" s="84">
        <v>8470415</v>
      </c>
      <c r="C920" s="85" t="str">
        <f>VLOOKUP(B920,'[1]KUST cost center'!$B:$C,2,FALSE)</f>
        <v>KUST - Chemistry</v>
      </c>
      <c r="D920" s="84">
        <v>495140</v>
      </c>
      <c r="E920" s="85" t="str">
        <f>VLOOKUP(D920,'[1]KUST Account Code'!$A:$B,2,FALSE)</f>
        <v>Copyrights, patents and licenses</v>
      </c>
      <c r="F920" s="84">
        <v>847001</v>
      </c>
      <c r="G920" s="85" t="str">
        <f>VLOOKUP(F920,[2]Sheet1!$F:$G,2,FALSE)</f>
        <v>KUST - General</v>
      </c>
      <c r="H920" s="85" t="s">
        <v>116</v>
      </c>
      <c r="I920" s="84">
        <v>300180</v>
      </c>
      <c r="J920" s="8" t="s">
        <v>1143</v>
      </c>
      <c r="K920" s="46">
        <v>0</v>
      </c>
      <c r="L920" s="47" t="s">
        <v>1394</v>
      </c>
    </row>
    <row r="921" spans="1:12" ht="14.5" x14ac:dyDescent="0.35">
      <c r="A921" s="47" t="s">
        <v>1357</v>
      </c>
      <c r="B921" s="84">
        <v>8470425</v>
      </c>
      <c r="C921" s="85" t="str">
        <f>VLOOKUP(B921,'[1]KUST cost center'!$B:$C,2,FALSE)</f>
        <v>KUST - Physics</v>
      </c>
      <c r="D921" s="84">
        <v>420550</v>
      </c>
      <c r="E921" s="85" t="str">
        <f>VLOOKUP(D921,'[1]KUST Account Code'!$A:$B,2,FALSE)</f>
        <v>Academic Advisory Service</v>
      </c>
      <c r="F921" s="84">
        <v>847001</v>
      </c>
      <c r="G921" s="85" t="str">
        <f>VLOOKUP(F921,[2]Sheet1!$F:$G,2,FALSE)</f>
        <v>KUST - General</v>
      </c>
      <c r="H921" s="85" t="s">
        <v>25</v>
      </c>
      <c r="I921" s="84">
        <v>200179</v>
      </c>
      <c r="J921" s="81" t="s">
        <v>1144</v>
      </c>
      <c r="K921" s="46" t="s">
        <v>31</v>
      </c>
      <c r="L921" s="47" t="s">
        <v>1379</v>
      </c>
    </row>
    <row r="922" spans="1:12" ht="14.5" x14ac:dyDescent="0.35">
      <c r="A922" s="47" t="s">
        <v>1357</v>
      </c>
      <c r="B922" s="84">
        <v>8470425</v>
      </c>
      <c r="C922" s="85" t="str">
        <f>VLOOKUP(B922,'[1]KUST cost center'!$B:$C,2,FALSE)</f>
        <v>KUST - Physics</v>
      </c>
      <c r="D922" s="84">
        <v>425510</v>
      </c>
      <c r="E922" s="85" t="str">
        <f>VLOOKUP(D922,'[1]KUST Account Code'!$A:$B,2,FALSE)</f>
        <v>Conferences, seminars and exhibitions and other events: - Local Events</v>
      </c>
      <c r="F922" s="84">
        <v>847001</v>
      </c>
      <c r="G922" s="85" t="str">
        <f>VLOOKUP(F922,[2]Sheet1!$F:$G,2,FALSE)</f>
        <v>KUST - General</v>
      </c>
      <c r="H922" s="85" t="s">
        <v>25</v>
      </c>
      <c r="I922" s="84">
        <v>200179</v>
      </c>
      <c r="J922" s="8" t="s">
        <v>1145</v>
      </c>
      <c r="K922" s="46" t="s">
        <v>1079</v>
      </c>
      <c r="L922" s="47" t="s">
        <v>1383</v>
      </c>
    </row>
    <row r="923" spans="1:12" ht="14.5" x14ac:dyDescent="0.35">
      <c r="A923" s="47" t="s">
        <v>1357</v>
      </c>
      <c r="B923" s="84">
        <v>8470425</v>
      </c>
      <c r="C923" s="85" t="str">
        <f>VLOOKUP(B923,'[1]KUST cost center'!$B:$C,2,FALSE)</f>
        <v>KUST - Physics</v>
      </c>
      <c r="D923" s="84">
        <v>428090</v>
      </c>
      <c r="E923" s="85" t="str">
        <f>VLOOKUP(D923,'[1]KUST Account Code'!$A:$B,2,FALSE)</f>
        <v>Business Travel - Combined expenses</v>
      </c>
      <c r="F923" s="84">
        <v>847001</v>
      </c>
      <c r="G923" s="85" t="str">
        <f>VLOOKUP(F923,[2]Sheet1!$F:$G,2,FALSE)</f>
        <v>KUST - General</v>
      </c>
      <c r="H923" s="85" t="s">
        <v>25</v>
      </c>
      <c r="I923" s="84">
        <v>200179</v>
      </c>
      <c r="J923" s="81" t="s">
        <v>1146</v>
      </c>
      <c r="K923" s="46" t="s">
        <v>1081</v>
      </c>
      <c r="L923" s="47" t="s">
        <v>1379</v>
      </c>
    </row>
    <row r="924" spans="1:12" ht="14.5" x14ac:dyDescent="0.35">
      <c r="A924" s="47" t="s">
        <v>1357</v>
      </c>
      <c r="B924" s="84">
        <v>8470430</v>
      </c>
      <c r="C924" s="85" t="str">
        <f>VLOOKUP(B924,'[1]KUST cost center'!$B:$C,2,FALSE)</f>
        <v>KUST - Preparatory Program</v>
      </c>
      <c r="D924" s="84">
        <v>425746</v>
      </c>
      <c r="E924" s="85" t="str">
        <f>VLOOKUP(D924,'[1]KUST Account Code'!$A:$B,2,FALSE)</f>
        <v>Student Transport</v>
      </c>
      <c r="F924" s="84">
        <v>847001</v>
      </c>
      <c r="G924" s="85" t="str">
        <f>VLOOKUP(F924,[2]Sheet1!$F:$G,2,FALSE)</f>
        <v>KUST - General</v>
      </c>
      <c r="H924" s="85" t="s">
        <v>25</v>
      </c>
      <c r="I924" s="84">
        <v>200179</v>
      </c>
      <c r="J924" s="8" t="s">
        <v>1147</v>
      </c>
      <c r="K924" s="46" t="s">
        <v>90</v>
      </c>
      <c r="L924" s="47" t="s">
        <v>1379</v>
      </c>
    </row>
    <row r="925" spans="1:12" ht="14.5" x14ac:dyDescent="0.35">
      <c r="A925" s="47" t="s">
        <v>1357</v>
      </c>
      <c r="B925" s="84">
        <v>8470430</v>
      </c>
      <c r="C925" s="85" t="str">
        <f>VLOOKUP(B925,'[1]KUST cost center'!$B:$C,2,FALSE)</f>
        <v>KUST - Preparatory Program</v>
      </c>
      <c r="D925" s="84">
        <v>425761</v>
      </c>
      <c r="E925" s="85" t="str">
        <f>VLOOKUP(D925,'[1]KUST Account Code'!$A:$B,2,FALSE)</f>
        <v>Student Field trips</v>
      </c>
      <c r="F925" s="84">
        <v>847001</v>
      </c>
      <c r="G925" s="85" t="str">
        <f>VLOOKUP(F925,[2]Sheet1!$F:$G,2,FALSE)</f>
        <v>KUST - General</v>
      </c>
      <c r="H925" s="85" t="s">
        <v>25</v>
      </c>
      <c r="I925" s="84">
        <v>200179</v>
      </c>
      <c r="J925" s="81" t="s">
        <v>1148</v>
      </c>
      <c r="K925" s="46" t="s">
        <v>31</v>
      </c>
      <c r="L925" s="47" t="s">
        <v>1379</v>
      </c>
    </row>
    <row r="926" spans="1:12" ht="14.5" x14ac:dyDescent="0.35">
      <c r="A926" s="47" t="s">
        <v>1357</v>
      </c>
      <c r="B926" s="84">
        <v>8470430</v>
      </c>
      <c r="C926" s="85" t="str">
        <f>VLOOKUP(B926,'[1]KUST cost center'!$B:$C,2,FALSE)</f>
        <v>KUST - Preparatory Program</v>
      </c>
      <c r="D926" s="84">
        <v>428640</v>
      </c>
      <c r="E926" s="85" t="str">
        <f>VLOOKUP(D926,'[1]KUST Account Code'!$A:$B,2,FALSE)</f>
        <v>Events - Awards, prizes &amp; gifts</v>
      </c>
      <c r="F926" s="84">
        <v>847001</v>
      </c>
      <c r="G926" s="85" t="str">
        <f>VLOOKUP(F926,[2]Sheet1!$F:$G,2,FALSE)</f>
        <v>KUST - General</v>
      </c>
      <c r="H926" s="85" t="s">
        <v>25</v>
      </c>
      <c r="I926" s="84">
        <v>200179</v>
      </c>
      <c r="J926" s="8" t="s">
        <v>1149</v>
      </c>
      <c r="K926" s="46" t="s">
        <v>1079</v>
      </c>
      <c r="L926" s="47" t="s">
        <v>1387</v>
      </c>
    </row>
    <row r="927" spans="1:12" ht="14.5" x14ac:dyDescent="0.35">
      <c r="A927" s="47" t="s">
        <v>1357</v>
      </c>
      <c r="B927" s="84">
        <v>8470435</v>
      </c>
      <c r="C927" s="85" t="str">
        <f>VLOOKUP(B927,'[1]KUST cost center'!$B:$C,2,FALSE)</f>
        <v>KUST - Department of English</v>
      </c>
      <c r="D927" s="84">
        <v>425510</v>
      </c>
      <c r="E927" s="85" t="str">
        <f>VLOOKUP(D927,'[1]KUST Account Code'!$A:$B,2,FALSE)</f>
        <v>Conferences, seminars and exhibitions and other events: - Local Events</v>
      </c>
      <c r="F927" s="84">
        <v>847001</v>
      </c>
      <c r="G927" s="85" t="str">
        <f>VLOOKUP(F927,[2]Sheet1!$F:$G,2,FALSE)</f>
        <v>KUST - General</v>
      </c>
      <c r="H927" s="85" t="s">
        <v>25</v>
      </c>
      <c r="I927" s="84">
        <v>200179</v>
      </c>
      <c r="J927" s="81" t="s">
        <v>1150</v>
      </c>
      <c r="K927" s="46" t="s">
        <v>1079</v>
      </c>
      <c r="L927" s="47" t="s">
        <v>1383</v>
      </c>
    </row>
    <row r="928" spans="1:12" ht="14.5" x14ac:dyDescent="0.35">
      <c r="A928" s="47" t="s">
        <v>1357</v>
      </c>
      <c r="B928" s="84">
        <v>8470435</v>
      </c>
      <c r="C928" s="85" t="str">
        <f>VLOOKUP(B928,'[1]KUST cost center'!$B:$C,2,FALSE)</f>
        <v>KUST - Department of English</v>
      </c>
      <c r="D928" s="84">
        <v>425761</v>
      </c>
      <c r="E928" s="85" t="str">
        <f>VLOOKUP(D928,'[1]KUST Account Code'!$A:$B,2,FALSE)</f>
        <v>Student Field trips</v>
      </c>
      <c r="F928" s="84">
        <v>847001</v>
      </c>
      <c r="G928" s="85" t="str">
        <f>VLOOKUP(F928,[2]Sheet1!$F:$G,2,FALSE)</f>
        <v>KUST - General</v>
      </c>
      <c r="H928" s="85" t="s">
        <v>25</v>
      </c>
      <c r="I928" s="84">
        <v>200179</v>
      </c>
      <c r="J928" s="8" t="s">
        <v>1151</v>
      </c>
      <c r="K928" s="46" t="s">
        <v>31</v>
      </c>
      <c r="L928" s="47" t="s">
        <v>1379</v>
      </c>
    </row>
    <row r="929" spans="1:12" ht="14.5" x14ac:dyDescent="0.35">
      <c r="A929" s="47" t="s">
        <v>1357</v>
      </c>
      <c r="B929" s="84">
        <v>8470435</v>
      </c>
      <c r="C929" s="85" t="str">
        <f>VLOOKUP(B929,'[1]KUST cost center'!$B:$C,2,FALSE)</f>
        <v>KUST - Department of English</v>
      </c>
      <c r="D929" s="84">
        <v>425900</v>
      </c>
      <c r="E929" s="85" t="str">
        <f>VLOOKUP(D929,'[1]KUST Account Code'!$A:$B,2,FALSE)</f>
        <v>Entertainment and hospitality</v>
      </c>
      <c r="F929" s="84">
        <v>847001</v>
      </c>
      <c r="G929" s="85" t="str">
        <f>VLOOKUP(F929,[2]Sheet1!$F:$G,2,FALSE)</f>
        <v>KUST - General</v>
      </c>
      <c r="H929" s="85" t="s">
        <v>25</v>
      </c>
      <c r="I929" s="84">
        <v>200179</v>
      </c>
      <c r="J929" s="81" t="s">
        <v>1152</v>
      </c>
      <c r="K929" s="46" t="s">
        <v>27</v>
      </c>
      <c r="L929" s="47" t="s">
        <v>1379</v>
      </c>
    </row>
    <row r="930" spans="1:12" ht="14.5" x14ac:dyDescent="0.35">
      <c r="A930" s="47" t="s">
        <v>1357</v>
      </c>
      <c r="B930" s="84">
        <v>8470435</v>
      </c>
      <c r="C930" s="85" t="str">
        <f>VLOOKUP(B930,'[1]KUST cost center'!$B:$C,2,FALSE)</f>
        <v>KUST - Department of English</v>
      </c>
      <c r="D930" s="84">
        <v>426610</v>
      </c>
      <c r="E930" s="85" t="str">
        <f>VLOOKUP(D930,'[1]KUST Account Code'!$A:$B,2,FALSE)</f>
        <v>Computer software licenses</v>
      </c>
      <c r="F930" s="84">
        <v>847001</v>
      </c>
      <c r="G930" s="85" t="str">
        <f>VLOOKUP(F930,[2]Sheet1!$F:$G,2,FALSE)</f>
        <v>KUST - General</v>
      </c>
      <c r="H930" s="85" t="s">
        <v>25</v>
      </c>
      <c r="I930" s="84">
        <v>200179</v>
      </c>
      <c r="J930" s="8" t="s">
        <v>1153</v>
      </c>
      <c r="K930" s="46" t="s">
        <v>574</v>
      </c>
      <c r="L930" s="47" t="s">
        <v>1385</v>
      </c>
    </row>
    <row r="931" spans="1:12" ht="14.5" x14ac:dyDescent="0.35">
      <c r="A931" s="47" t="s">
        <v>1357</v>
      </c>
      <c r="B931" s="84">
        <v>8470435</v>
      </c>
      <c r="C931" s="85" t="str">
        <f>VLOOKUP(B931,'[1]KUST cost center'!$B:$C,2,FALSE)</f>
        <v>KUST - Department of English</v>
      </c>
      <c r="D931" s="84">
        <v>427710</v>
      </c>
      <c r="E931" s="85" t="str">
        <f>VLOOKUP(D931,'[1]KUST Account Code'!$A:$B,2,FALSE)</f>
        <v>Subscriptions and membership fees: Trade organisations</v>
      </c>
      <c r="F931" s="84">
        <v>847001</v>
      </c>
      <c r="G931" s="85" t="str">
        <f>VLOOKUP(F931,[2]Sheet1!$F:$G,2,FALSE)</f>
        <v>KUST - General</v>
      </c>
      <c r="H931" s="85" t="s">
        <v>25</v>
      </c>
      <c r="I931" s="84">
        <v>200179</v>
      </c>
      <c r="J931" s="81" t="s">
        <v>1154</v>
      </c>
      <c r="K931" s="46" t="s">
        <v>31</v>
      </c>
      <c r="L931" s="47" t="s">
        <v>1379</v>
      </c>
    </row>
    <row r="932" spans="1:12" ht="14.5" x14ac:dyDescent="0.35">
      <c r="A932" s="47" t="s">
        <v>1357</v>
      </c>
      <c r="B932" s="84">
        <v>8470435</v>
      </c>
      <c r="C932" s="85" t="str">
        <f>VLOOKUP(B932,'[1]KUST cost center'!$B:$C,2,FALSE)</f>
        <v>KUST - Department of English</v>
      </c>
      <c r="D932" s="84">
        <v>428090</v>
      </c>
      <c r="E932" s="85" t="str">
        <f>VLOOKUP(D932,'[1]KUST Account Code'!$A:$B,2,FALSE)</f>
        <v>Business Travel - Combined expenses</v>
      </c>
      <c r="F932" s="84">
        <v>847001</v>
      </c>
      <c r="G932" s="85" t="str">
        <f>VLOOKUP(F932,[2]Sheet1!$F:$G,2,FALSE)</f>
        <v>KUST - General</v>
      </c>
      <c r="H932" s="85" t="s">
        <v>25</v>
      </c>
      <c r="I932" s="84">
        <v>200179</v>
      </c>
      <c r="J932" s="8" t="s">
        <v>1155</v>
      </c>
      <c r="K932" s="46" t="s">
        <v>1081</v>
      </c>
      <c r="L932" s="47" t="s">
        <v>1379</v>
      </c>
    </row>
    <row r="933" spans="1:12" ht="14.5" x14ac:dyDescent="0.35">
      <c r="A933" s="47" t="s">
        <v>1357</v>
      </c>
      <c r="B933" s="84">
        <v>8470435</v>
      </c>
      <c r="C933" s="85" t="str">
        <f>VLOOKUP(B933,'[1]KUST cost center'!$B:$C,2,FALSE)</f>
        <v>KUST - Department of English</v>
      </c>
      <c r="D933" s="84">
        <v>435340</v>
      </c>
      <c r="E933" s="85" t="str">
        <f>VLOOKUP(D933,'[1]KUST Account Code'!$A:$B,2,FALSE)</f>
        <v>Text books and library books</v>
      </c>
      <c r="F933" s="84">
        <v>847001</v>
      </c>
      <c r="G933" s="85" t="str">
        <f>VLOOKUP(F933,[2]Sheet1!$F:$G,2,FALSE)</f>
        <v>KUST - General</v>
      </c>
      <c r="H933" s="85" t="s">
        <v>25</v>
      </c>
      <c r="I933" s="84">
        <v>200179</v>
      </c>
      <c r="J933" s="81" t="s">
        <v>1156</v>
      </c>
      <c r="K933" s="46" t="s">
        <v>31</v>
      </c>
      <c r="L933" s="47" t="s">
        <v>1379</v>
      </c>
    </row>
    <row r="934" spans="1:12" ht="14.5" x14ac:dyDescent="0.35">
      <c r="A934" s="47" t="s">
        <v>1357</v>
      </c>
      <c r="B934" s="84">
        <v>8470435</v>
      </c>
      <c r="C934" s="85" t="str">
        <f>VLOOKUP(B934,'[1]KUST cost center'!$B:$C,2,FALSE)</f>
        <v>KUST - Department of English</v>
      </c>
      <c r="D934" s="84">
        <v>436600</v>
      </c>
      <c r="E934" s="85" t="str">
        <f>VLOOKUP(D934,'[1]KUST Account Code'!$A:$B,2,FALSE)</f>
        <v>Training/Teaching equipment and other educational aid</v>
      </c>
      <c r="F934" s="84">
        <v>847001</v>
      </c>
      <c r="G934" s="85" t="str">
        <f>VLOOKUP(F934,[2]Sheet1!$F:$G,2,FALSE)</f>
        <v>KUST - General</v>
      </c>
      <c r="H934" s="85" t="s">
        <v>25</v>
      </c>
      <c r="I934" s="84">
        <v>200179</v>
      </c>
      <c r="J934" s="8" t="s">
        <v>1157</v>
      </c>
      <c r="K934" s="46" t="s">
        <v>31</v>
      </c>
      <c r="L934" s="47" t="s">
        <v>1379</v>
      </c>
    </row>
    <row r="935" spans="1:12" ht="14.5" x14ac:dyDescent="0.35">
      <c r="A935" s="47" t="s">
        <v>1357</v>
      </c>
      <c r="B935" s="84">
        <v>8470435</v>
      </c>
      <c r="C935" s="85" t="str">
        <f>VLOOKUP(B935,'[1]KUST cost center'!$B:$C,2,FALSE)</f>
        <v>KUST - Department of English</v>
      </c>
      <c r="D935" s="84">
        <v>492316</v>
      </c>
      <c r="E935" s="85" t="str">
        <f>VLOOKUP(D935,'[1]KUST Account Code'!$A:$B,2,FALSE)</f>
        <v>Laboratory equipment</v>
      </c>
      <c r="F935" s="84">
        <v>847001</v>
      </c>
      <c r="G935" s="85" t="str">
        <f>VLOOKUP(F935,[2]Sheet1!$F:$G,2,FALSE)</f>
        <v>KUST - General</v>
      </c>
      <c r="H935" s="85" t="s">
        <v>116</v>
      </c>
      <c r="I935" s="84">
        <v>300180</v>
      </c>
      <c r="J935" s="81" t="s">
        <v>1158</v>
      </c>
      <c r="K935" s="46">
        <v>0</v>
      </c>
      <c r="L935" s="47" t="s">
        <v>1379</v>
      </c>
    </row>
    <row r="936" spans="1:12" ht="14.5" x14ac:dyDescent="0.35">
      <c r="A936" s="47" t="s">
        <v>1357</v>
      </c>
      <c r="B936" s="84">
        <v>8470440</v>
      </c>
      <c r="C936" s="85" t="str">
        <f>VLOOKUP(B936,'[1]KUST cost center'!$B:$C,2,FALSE)</f>
        <v>KUST - Humanities &amp; Social Sciences</v>
      </c>
      <c r="D936" s="84">
        <v>420570</v>
      </c>
      <c r="E936" s="85" t="str">
        <f>VLOOKUP(D936,'[1]KUST Account Code'!$A:$B,2,FALSE)</f>
        <v>Academic Collaborative Partnership Services</v>
      </c>
      <c r="F936" s="84">
        <v>847001</v>
      </c>
      <c r="G936" s="85" t="str">
        <f>VLOOKUP(F936,[2]Sheet1!$F:$G,2,FALSE)</f>
        <v>KUST - General</v>
      </c>
      <c r="H936" s="85" t="s">
        <v>25</v>
      </c>
      <c r="I936" s="84">
        <v>200179</v>
      </c>
      <c r="J936" s="8" t="s">
        <v>1159</v>
      </c>
      <c r="K936" s="46" t="s">
        <v>31</v>
      </c>
      <c r="L936" s="47" t="s">
        <v>1379</v>
      </c>
    </row>
    <row r="937" spans="1:12" ht="14.5" x14ac:dyDescent="0.35">
      <c r="A937" s="47" t="s">
        <v>1357</v>
      </c>
      <c r="B937" s="84">
        <v>8470440</v>
      </c>
      <c r="C937" s="85" t="str">
        <f>VLOOKUP(B937,'[1]KUST cost center'!$B:$C,2,FALSE)</f>
        <v>KUST - Humanities &amp; Social Sciences</v>
      </c>
      <c r="D937" s="84">
        <v>428640</v>
      </c>
      <c r="E937" s="85" t="str">
        <f>VLOOKUP(D937,'[1]KUST Account Code'!$A:$B,2,FALSE)</f>
        <v>Events - Awards, prizes &amp; gifts</v>
      </c>
      <c r="F937" s="84">
        <v>847001</v>
      </c>
      <c r="G937" s="85" t="str">
        <f>VLOOKUP(F937,[2]Sheet1!$F:$G,2,FALSE)</f>
        <v>KUST - General</v>
      </c>
      <c r="H937" s="85" t="s">
        <v>25</v>
      </c>
      <c r="I937" s="84">
        <v>200179</v>
      </c>
      <c r="J937" s="81" t="s">
        <v>1160</v>
      </c>
      <c r="K937" s="46" t="s">
        <v>1079</v>
      </c>
      <c r="L937" s="47" t="s">
        <v>1387</v>
      </c>
    </row>
    <row r="938" spans="1:12" ht="14.5" x14ac:dyDescent="0.35">
      <c r="A938" s="47" t="s">
        <v>1357</v>
      </c>
      <c r="B938" s="84">
        <v>8470440</v>
      </c>
      <c r="C938" s="85" t="str">
        <f>VLOOKUP(B938,'[1]KUST cost center'!$B:$C,2,FALSE)</f>
        <v>KUST - Humanities &amp; Social Sciences</v>
      </c>
      <c r="D938" s="84">
        <v>435340</v>
      </c>
      <c r="E938" s="85" t="str">
        <f>VLOOKUP(D938,'[1]KUST Account Code'!$A:$B,2,FALSE)</f>
        <v>Text books and library books</v>
      </c>
      <c r="F938" s="84">
        <v>847001</v>
      </c>
      <c r="G938" s="85" t="str">
        <f>VLOOKUP(F938,[2]Sheet1!$F:$G,2,FALSE)</f>
        <v>KUST - General</v>
      </c>
      <c r="H938" s="85" t="s">
        <v>25</v>
      </c>
      <c r="I938" s="84">
        <v>200179</v>
      </c>
      <c r="J938" s="8" t="s">
        <v>1161</v>
      </c>
      <c r="K938" s="46" t="s">
        <v>31</v>
      </c>
      <c r="L938" s="47" t="s">
        <v>1379</v>
      </c>
    </row>
    <row r="939" spans="1:12" ht="14.5" x14ac:dyDescent="0.35">
      <c r="A939" s="47" t="s">
        <v>1357</v>
      </c>
      <c r="B939" s="84">
        <v>8470440</v>
      </c>
      <c r="C939" s="85" t="str">
        <f>VLOOKUP(B939,'[1]KUST cost center'!$B:$C,2,FALSE)</f>
        <v>KUST - Humanities &amp; Social Sciences</v>
      </c>
      <c r="D939" s="84">
        <v>435350</v>
      </c>
      <c r="E939" s="85" t="str">
        <f>VLOOKUP(D939,'[1]KUST Account Code'!$A:$B,2,FALSE)</f>
        <v>Academic Publications</v>
      </c>
      <c r="F939" s="84">
        <v>847001</v>
      </c>
      <c r="G939" s="85" t="str">
        <f>VLOOKUP(F939,[2]Sheet1!$F:$G,2,FALSE)</f>
        <v>KUST - General</v>
      </c>
      <c r="H939" s="85" t="s">
        <v>25</v>
      </c>
      <c r="I939" s="84">
        <v>200179</v>
      </c>
      <c r="J939" s="81" t="s">
        <v>1162</v>
      </c>
      <c r="K939" s="46" t="s">
        <v>31</v>
      </c>
      <c r="L939" s="47" t="s">
        <v>1379</v>
      </c>
    </row>
    <row r="940" spans="1:12" ht="14.5" x14ac:dyDescent="0.35">
      <c r="A940" s="47" t="s">
        <v>1357</v>
      </c>
      <c r="B940" s="84">
        <v>8470445</v>
      </c>
      <c r="C940" s="85" t="str">
        <f>VLOOKUP(B940,'[1]KUST cost center'!$B:$C,2,FALSE)</f>
        <v>KUST - Mathematics</v>
      </c>
      <c r="D940" s="84">
        <v>426610</v>
      </c>
      <c r="E940" s="85" t="str">
        <f>VLOOKUP(D940,'[1]KUST Account Code'!$A:$B,2,FALSE)</f>
        <v>Computer software licenses</v>
      </c>
      <c r="F940" s="84">
        <v>847001</v>
      </c>
      <c r="G940" s="85" t="str">
        <f>VLOOKUP(F940,[2]Sheet1!$F:$G,2,FALSE)</f>
        <v>KUST - General</v>
      </c>
      <c r="H940" s="85" t="s">
        <v>25</v>
      </c>
      <c r="I940" s="84">
        <v>200179</v>
      </c>
      <c r="J940" s="8" t="s">
        <v>1163</v>
      </c>
      <c r="K940" s="46" t="s">
        <v>574</v>
      </c>
      <c r="L940" s="47" t="s">
        <v>1385</v>
      </c>
    </row>
    <row r="941" spans="1:12" ht="14.5" x14ac:dyDescent="0.35">
      <c r="A941" s="47" t="s">
        <v>1357</v>
      </c>
      <c r="B941" s="84">
        <v>8470450</v>
      </c>
      <c r="C941" s="85" t="str">
        <f>VLOOKUP(B941,'[1]KUST cost center'!$B:$C,2,FALSE)</f>
        <v>KUST - Earth Science</v>
      </c>
      <c r="D941" s="84">
        <v>492316</v>
      </c>
      <c r="E941" s="85" t="str">
        <f>VLOOKUP(D941,'[1]KUST Account Code'!$A:$B,2,FALSE)</f>
        <v>Laboratory equipment</v>
      </c>
      <c r="F941" s="84">
        <v>847001</v>
      </c>
      <c r="G941" s="85" t="str">
        <f>VLOOKUP(F941,[2]Sheet1!$F:$G,2,FALSE)</f>
        <v>KUST - General</v>
      </c>
      <c r="H941" s="85" t="s">
        <v>116</v>
      </c>
      <c r="I941" s="84">
        <v>300180</v>
      </c>
      <c r="J941" s="81" t="s">
        <v>1164</v>
      </c>
      <c r="K941" s="46">
        <v>0</v>
      </c>
      <c r="L941" s="47" t="s">
        <v>1379</v>
      </c>
    </row>
    <row r="942" spans="1:12" ht="14.5" x14ac:dyDescent="0.35">
      <c r="A942" s="47" t="s">
        <v>1358</v>
      </c>
      <c r="B942" s="84">
        <v>8470520</v>
      </c>
      <c r="C942" s="85" t="str">
        <f>VLOOKUP(B942,'[1]KUST cost center'!$B:$C,2,FALSE)</f>
        <v>KUST - Environment, Health &amp; Safety</v>
      </c>
      <c r="D942" s="84">
        <v>426100</v>
      </c>
      <c r="E942" s="85" t="str">
        <f>VLOOKUP(D942,'[1]KUST Account Code'!$A:$B,2,FALSE)</f>
        <v>Freight and shipping costs, not included elsewhere under purchase costs</v>
      </c>
      <c r="F942" s="84">
        <v>847001</v>
      </c>
      <c r="G942" s="85" t="str">
        <f>VLOOKUP(F942,[2]Sheet1!$F:$G,2,FALSE)</f>
        <v>KUST - General</v>
      </c>
      <c r="H942" s="85" t="s">
        <v>25</v>
      </c>
      <c r="I942" s="84">
        <v>200179</v>
      </c>
      <c r="J942" s="8" t="s">
        <v>1165</v>
      </c>
      <c r="K942" s="46" t="s">
        <v>571</v>
      </c>
      <c r="L942" s="47" t="s">
        <v>1379</v>
      </c>
    </row>
    <row r="943" spans="1:12" ht="14.5" x14ac:dyDescent="0.35">
      <c r="A943" s="47" t="s">
        <v>1358</v>
      </c>
      <c r="B943" s="84">
        <v>8470530</v>
      </c>
      <c r="C943" s="85" t="str">
        <f>VLOOKUP(B943,'[1]KUST cost center'!$B:$C,2,FALSE)</f>
        <v>KUST - Facilities Management</v>
      </c>
      <c r="D943" s="84">
        <v>435410</v>
      </c>
      <c r="E943" s="85" t="str">
        <f>VLOOKUP(D943,'[1]KUST Account Code'!$A:$B,2,FALSE)</f>
        <v>Catering supplies: Offices</v>
      </c>
      <c r="F943" s="84">
        <v>847020</v>
      </c>
      <c r="G943" s="85" t="str">
        <f>VLOOKUP(F943,[2]Sheet1!$F:$G,2,FALSE)</f>
        <v>KUST- Sas Al Nakhl Campus</v>
      </c>
      <c r="H943" s="85" t="s">
        <v>25</v>
      </c>
      <c r="I943" s="84">
        <v>200179</v>
      </c>
      <c r="J943" s="81" t="s">
        <v>1166</v>
      </c>
      <c r="K943" s="46" t="s">
        <v>27</v>
      </c>
      <c r="L943" s="47" t="s">
        <v>1379</v>
      </c>
    </row>
    <row r="944" spans="1:12" ht="14.5" x14ac:dyDescent="0.35">
      <c r="A944" s="47" t="s">
        <v>1362</v>
      </c>
      <c r="B944" s="84">
        <v>8470620</v>
      </c>
      <c r="C944" s="85" t="str">
        <f>VLOOKUP(B944,'[1]KUST cost center'!$B:$C,2,FALSE)</f>
        <v>KUST - Finance Operations</v>
      </c>
      <c r="D944" s="84">
        <v>426210</v>
      </c>
      <c r="E944" s="85" t="str">
        <f>VLOOKUP(D944,'[1]KUST Account Code'!$A:$B,2,FALSE)</f>
        <v>Insurance - Cash and fidelity</v>
      </c>
      <c r="F944" s="84">
        <v>847001</v>
      </c>
      <c r="G944" s="85" t="str">
        <f>VLOOKUP(F944,[2]Sheet1!$F:$G,2,FALSE)</f>
        <v>KUST - General</v>
      </c>
      <c r="H944" s="85" t="s">
        <v>25</v>
      </c>
      <c r="I944" s="84">
        <v>200179</v>
      </c>
      <c r="J944" s="8" t="s">
        <v>1167</v>
      </c>
      <c r="K944" s="46" t="s">
        <v>571</v>
      </c>
      <c r="L944" s="47" t="s">
        <v>1379</v>
      </c>
    </row>
    <row r="945" spans="1:12" ht="14.5" x14ac:dyDescent="0.35">
      <c r="A945" s="47" t="s">
        <v>1362</v>
      </c>
      <c r="B945" s="84">
        <v>8470620</v>
      </c>
      <c r="C945" s="85" t="str">
        <f>VLOOKUP(B945,'[1]KUST cost center'!$B:$C,2,FALSE)</f>
        <v>KUST - Finance Operations</v>
      </c>
      <c r="D945" s="84">
        <v>426220</v>
      </c>
      <c r="E945" s="85" t="str">
        <f>VLOOKUP(D945,'[1]KUST Account Code'!$A:$B,2,FALSE)</f>
        <v>Insurance - Fire and allied perils</v>
      </c>
      <c r="F945" s="84">
        <v>847001</v>
      </c>
      <c r="G945" s="85" t="str">
        <f>VLOOKUP(F945,[2]Sheet1!$F:$G,2,FALSE)</f>
        <v>KUST - General</v>
      </c>
      <c r="H945" s="85" t="s">
        <v>25</v>
      </c>
      <c r="I945" s="84">
        <v>200179</v>
      </c>
      <c r="J945" s="81" t="s">
        <v>1168</v>
      </c>
      <c r="K945" s="46" t="s">
        <v>571</v>
      </c>
      <c r="L945" s="47" t="s">
        <v>1379</v>
      </c>
    </row>
    <row r="946" spans="1:12" ht="14.5" x14ac:dyDescent="0.35">
      <c r="A946" s="47" t="s">
        <v>1362</v>
      </c>
      <c r="B946" s="84">
        <v>8470620</v>
      </c>
      <c r="C946" s="85" t="str">
        <f>VLOOKUP(B946,'[1]KUST cost center'!$B:$C,2,FALSE)</f>
        <v>KUST - Finance Operations</v>
      </c>
      <c r="D946" s="84">
        <v>426250</v>
      </c>
      <c r="E946" s="85" t="str">
        <f>VLOOKUP(D946,'[1]KUST Account Code'!$A:$B,2,FALSE)</f>
        <v>Insurance - Motor vehicles</v>
      </c>
      <c r="F946" s="84">
        <v>847001</v>
      </c>
      <c r="G946" s="85" t="str">
        <f>VLOOKUP(F946,[2]Sheet1!$F:$G,2,FALSE)</f>
        <v>KUST - General</v>
      </c>
      <c r="H946" s="85" t="s">
        <v>25</v>
      </c>
      <c r="I946" s="84">
        <v>200179</v>
      </c>
      <c r="J946" s="8" t="s">
        <v>1169</v>
      </c>
      <c r="K946" s="46" t="s">
        <v>571</v>
      </c>
      <c r="L946" s="47" t="s">
        <v>1379</v>
      </c>
    </row>
    <row r="947" spans="1:12" ht="14.5" x14ac:dyDescent="0.35">
      <c r="A947" s="47" t="s">
        <v>1362</v>
      </c>
      <c r="B947" s="84">
        <v>8470620</v>
      </c>
      <c r="C947" s="85" t="str">
        <f>VLOOKUP(B947,'[1]KUST cost center'!$B:$C,2,FALSE)</f>
        <v>KUST - Finance Operations</v>
      </c>
      <c r="D947" s="84">
        <v>427900</v>
      </c>
      <c r="E947" s="85" t="str">
        <f>VLOOKUP(D947,'[1]KUST Account Code'!$A:$B,2,FALSE)</f>
        <v>Translation and interpretation service</v>
      </c>
      <c r="F947" s="84">
        <v>847001</v>
      </c>
      <c r="G947" s="85" t="str">
        <f>VLOOKUP(F947,[2]Sheet1!$F:$G,2,FALSE)</f>
        <v>KUST - General</v>
      </c>
      <c r="H947" s="85" t="s">
        <v>25</v>
      </c>
      <c r="I947" s="84">
        <v>200179</v>
      </c>
      <c r="J947" s="81" t="s">
        <v>1170</v>
      </c>
      <c r="K947" s="46" t="s">
        <v>27</v>
      </c>
      <c r="L947" s="47" t="s">
        <v>1379</v>
      </c>
    </row>
    <row r="948" spans="1:12" ht="14.5" x14ac:dyDescent="0.35">
      <c r="A948" s="47" t="s">
        <v>1362</v>
      </c>
      <c r="B948" s="84">
        <v>8470620</v>
      </c>
      <c r="C948" s="85" t="str">
        <f>VLOOKUP(B948,'[1]KUST cost center'!$B:$C,2,FALSE)</f>
        <v>KUST - Finance Operations</v>
      </c>
      <c r="D948" s="84">
        <v>430330</v>
      </c>
      <c r="E948" s="85" t="str">
        <f>VLOOKUP(D948,'[1]KUST Account Code'!$A:$B,2,FALSE)</f>
        <v>Rental - Motor vehicles</v>
      </c>
      <c r="F948" s="84">
        <v>847001</v>
      </c>
      <c r="G948" s="85" t="str">
        <f>VLOOKUP(F948,[2]Sheet1!$F:$G,2,FALSE)</f>
        <v>KUST - General</v>
      </c>
      <c r="H948" s="85" t="s">
        <v>25</v>
      </c>
      <c r="I948" s="84">
        <v>200179</v>
      </c>
      <c r="J948" s="8" t="s">
        <v>1171</v>
      </c>
      <c r="K948" s="46" t="s">
        <v>571</v>
      </c>
      <c r="L948" s="47" t="s">
        <v>1379</v>
      </c>
    </row>
    <row r="949" spans="1:12" ht="14.5" x14ac:dyDescent="0.35">
      <c r="A949" s="47" t="s">
        <v>1362</v>
      </c>
      <c r="B949" s="84">
        <v>8470630</v>
      </c>
      <c r="C949" s="85" t="str">
        <f>VLOOKUP(B949,'[1]KUST cost center'!$B:$C,2,FALSE)</f>
        <v>KUST - Business Development</v>
      </c>
      <c r="D949" s="84">
        <v>429900</v>
      </c>
      <c r="E949" s="85" t="s">
        <v>1398</v>
      </c>
      <c r="F949" s="84">
        <v>847001</v>
      </c>
      <c r="G949" s="85" t="str">
        <f>VLOOKUP(F949,[2]Sheet1!$F:$G,2,FALSE)</f>
        <v>KUST - General</v>
      </c>
      <c r="H949" s="85" t="s">
        <v>25</v>
      </c>
      <c r="I949" s="84">
        <v>200179</v>
      </c>
      <c r="J949" s="81" t="s">
        <v>1172</v>
      </c>
      <c r="K949" s="46" t="s">
        <v>27</v>
      </c>
      <c r="L949" s="47" t="s">
        <v>1379</v>
      </c>
    </row>
    <row r="950" spans="1:12" ht="14.5" x14ac:dyDescent="0.35">
      <c r="A950" s="47" t="s">
        <v>1364</v>
      </c>
      <c r="B950" s="84">
        <v>8470810</v>
      </c>
      <c r="C950" s="85" t="str">
        <f>VLOOKUP(B950,'[1]KUST cost center'!$B:$C,2,FALSE)</f>
        <v>KUST - Ankabut office</v>
      </c>
      <c r="D950" s="84">
        <v>495110</v>
      </c>
      <c r="E950" s="85" t="s">
        <v>1395</v>
      </c>
      <c r="F950" s="84">
        <v>847001</v>
      </c>
      <c r="G950" s="85" t="str">
        <f>VLOOKUP(F950,[2]Sheet1!$F:$G,2,FALSE)</f>
        <v>KUST - General</v>
      </c>
      <c r="H950" s="85" t="s">
        <v>116</v>
      </c>
      <c r="I950" s="84">
        <v>300180</v>
      </c>
      <c r="J950" s="8" t="s">
        <v>1173</v>
      </c>
      <c r="K950" s="46">
        <v>0</v>
      </c>
      <c r="L950" s="47" t="s">
        <v>1379</v>
      </c>
    </row>
    <row r="951" spans="1:12" ht="14.5" x14ac:dyDescent="0.35">
      <c r="A951" s="47" t="s">
        <v>1372</v>
      </c>
      <c r="B951" s="84">
        <v>8470910</v>
      </c>
      <c r="C951" s="85" t="str">
        <f>VLOOKUP(B951,'[1]KUST cost center'!$B:$C,2,FALSE)</f>
        <v>KUST - Executive Vice President Office</v>
      </c>
      <c r="D951" s="84">
        <v>432205</v>
      </c>
      <c r="E951" s="85" t="str">
        <f>VLOOKUP(D951,'[1]KUST Account Code'!$A:$B,2,FALSE)</f>
        <v>Computers and peripherals</v>
      </c>
      <c r="F951" s="84">
        <v>847001</v>
      </c>
      <c r="G951" s="85" t="str">
        <f>VLOOKUP(F951,[2]Sheet1!$F:$G,2,FALSE)</f>
        <v>KUST - General</v>
      </c>
      <c r="H951" s="85" t="s">
        <v>25</v>
      </c>
      <c r="I951" s="84">
        <v>200179</v>
      </c>
      <c r="J951" s="81" t="s">
        <v>1174</v>
      </c>
      <c r="K951" s="46" t="s">
        <v>574</v>
      </c>
      <c r="L951" s="47" t="s">
        <v>1389</v>
      </c>
    </row>
    <row r="952" spans="1:12" ht="14.5" x14ac:dyDescent="0.35">
      <c r="A952" s="47" t="s">
        <v>1372</v>
      </c>
      <c r="B952" s="84">
        <v>8470910</v>
      </c>
      <c r="C952" s="85" t="str">
        <f>VLOOKUP(B952,'[1]KUST cost center'!$B:$C,2,FALSE)</f>
        <v>KUST - Executive Vice President Office</v>
      </c>
      <c r="D952" s="84">
        <v>492316</v>
      </c>
      <c r="E952" s="85" t="str">
        <f>VLOOKUP(D952,'[1]KUST Account Code'!$A:$B,2,FALSE)</f>
        <v>Laboratory equipment</v>
      </c>
      <c r="F952" s="84">
        <v>847001</v>
      </c>
      <c r="G952" s="85" t="str">
        <f>VLOOKUP(F952,[2]Sheet1!$F:$G,2,FALSE)</f>
        <v>KUST - General</v>
      </c>
      <c r="H952" s="85" t="s">
        <v>116</v>
      </c>
      <c r="I952" s="84">
        <v>300180</v>
      </c>
      <c r="J952" s="8" t="s">
        <v>1175</v>
      </c>
      <c r="K952" s="46">
        <v>0</v>
      </c>
      <c r="L952" s="47" t="s">
        <v>1379</v>
      </c>
    </row>
    <row r="953" spans="1:12" ht="14.5" x14ac:dyDescent="0.35">
      <c r="A953" s="47" t="s">
        <v>1368</v>
      </c>
      <c r="B953" s="84">
        <v>8471120</v>
      </c>
      <c r="C953" s="85" t="str">
        <f>VLOOKUP(B953,'[1]KUST cost center'!$B:$C,2,FALSE)</f>
        <v>KUST - Institute for Automation, Information Science &amp; Communication</v>
      </c>
      <c r="D953" s="84">
        <v>429900</v>
      </c>
      <c r="E953" s="85" t="s">
        <v>1398</v>
      </c>
      <c r="F953" s="84">
        <v>847001</v>
      </c>
      <c r="G953" s="85" t="str">
        <f>VLOOKUP(F953,[2]Sheet1!$F:$G,2,FALSE)</f>
        <v>KUST - General</v>
      </c>
      <c r="H953" s="85" t="s">
        <v>25</v>
      </c>
      <c r="I953" s="84">
        <v>200179</v>
      </c>
      <c r="J953" s="81" t="s">
        <v>1176</v>
      </c>
      <c r="K953" s="46" t="s">
        <v>27</v>
      </c>
      <c r="L953" s="47" t="s">
        <v>1379</v>
      </c>
    </row>
    <row r="954" spans="1:12" ht="14.5" x14ac:dyDescent="0.35">
      <c r="A954" s="47" t="s">
        <v>1368</v>
      </c>
      <c r="B954" s="84">
        <v>8471121</v>
      </c>
      <c r="C954" s="44" t="s">
        <v>1370</v>
      </c>
      <c r="D954" s="84">
        <v>425900</v>
      </c>
      <c r="E954" s="85" t="str">
        <f>VLOOKUP(D954,'[1]KUST Account Code'!$A:$B,2,FALSE)</f>
        <v>Entertainment and hospitality</v>
      </c>
      <c r="F954" s="84">
        <v>847001</v>
      </c>
      <c r="G954" s="85" t="str">
        <f>VLOOKUP(F954,[2]Sheet1!$F:$G,2,FALSE)</f>
        <v>KUST - General</v>
      </c>
      <c r="H954" s="85" t="s">
        <v>25</v>
      </c>
      <c r="I954" s="84">
        <v>200179</v>
      </c>
      <c r="J954" s="8" t="s">
        <v>1177</v>
      </c>
      <c r="K954" s="46" t="s">
        <v>27</v>
      </c>
      <c r="L954" s="47" t="s">
        <v>1379</v>
      </c>
    </row>
    <row r="955" spans="1:12" ht="14.5" x14ac:dyDescent="0.35">
      <c r="A955" s="47" t="s">
        <v>1368</v>
      </c>
      <c r="B955" s="84">
        <v>8471121</v>
      </c>
      <c r="C955" s="44" t="s">
        <v>1370</v>
      </c>
      <c r="D955" s="84">
        <v>428090</v>
      </c>
      <c r="E955" s="85" t="str">
        <f>VLOOKUP(D955,'[1]KUST Account Code'!$A:$B,2,FALSE)</f>
        <v>Business Travel - Combined expenses</v>
      </c>
      <c r="F955" s="84">
        <v>847001</v>
      </c>
      <c r="G955" s="85" t="str">
        <f>VLOOKUP(F955,[2]Sheet1!$F:$G,2,FALSE)</f>
        <v>KUST - General</v>
      </c>
      <c r="H955" s="85" t="s">
        <v>25</v>
      </c>
      <c r="I955" s="84">
        <v>200179</v>
      </c>
      <c r="J955" s="81" t="s">
        <v>1178</v>
      </c>
      <c r="K955" s="46" t="s">
        <v>1081</v>
      </c>
      <c r="L955" s="47" t="s">
        <v>1379</v>
      </c>
    </row>
    <row r="956" spans="1:12" ht="14.5" x14ac:dyDescent="0.35">
      <c r="A956" s="47" t="s">
        <v>1368</v>
      </c>
      <c r="B956" s="84">
        <v>8471121</v>
      </c>
      <c r="C956" s="44" t="s">
        <v>1370</v>
      </c>
      <c r="D956" s="84">
        <v>429900</v>
      </c>
      <c r="E956" s="85" t="s">
        <v>1398</v>
      </c>
      <c r="F956" s="84">
        <v>847001</v>
      </c>
      <c r="G956" s="85" t="str">
        <f>VLOOKUP(F956,[2]Sheet1!$F:$G,2,FALSE)</f>
        <v>KUST - General</v>
      </c>
      <c r="H956" s="85" t="s">
        <v>25</v>
      </c>
      <c r="I956" s="84">
        <v>200179</v>
      </c>
      <c r="J956" s="8" t="s">
        <v>1179</v>
      </c>
      <c r="K956" s="46" t="s">
        <v>27</v>
      </c>
      <c r="L956" s="47" t="s">
        <v>1379</v>
      </c>
    </row>
    <row r="957" spans="1:12" ht="14.5" x14ac:dyDescent="0.35">
      <c r="A957" s="47" t="s">
        <v>1368</v>
      </c>
      <c r="B957" s="84">
        <v>8471122</v>
      </c>
      <c r="C957" s="85" t="str">
        <f>VLOOKUP(B957,'[1]KUST cost center'!$B:$C,2,FALSE)</f>
        <v>KUST - Masdar Institute</v>
      </c>
      <c r="D957" s="84">
        <v>425900</v>
      </c>
      <c r="E957" s="85" t="str">
        <f>VLOOKUP(D957,'[1]KUST Account Code'!$A:$B,2,FALSE)</f>
        <v>Entertainment and hospitality</v>
      </c>
      <c r="F957" s="84">
        <v>847001</v>
      </c>
      <c r="G957" s="85" t="str">
        <f>VLOOKUP(F957,[2]Sheet1!$F:$G,2,FALSE)</f>
        <v>KUST - General</v>
      </c>
      <c r="H957" s="85" t="s">
        <v>25</v>
      </c>
      <c r="I957" s="84">
        <v>200179</v>
      </c>
      <c r="J957" s="81" t="s">
        <v>1180</v>
      </c>
      <c r="K957" s="46" t="s">
        <v>27</v>
      </c>
      <c r="L957" s="47" t="s">
        <v>1379</v>
      </c>
    </row>
    <row r="958" spans="1:12" ht="14.5" x14ac:dyDescent="0.35">
      <c r="A958" s="47" t="s">
        <v>1368</v>
      </c>
      <c r="B958" s="84">
        <v>8471122</v>
      </c>
      <c r="C958" s="85" t="str">
        <f>VLOOKUP(B958,'[1]KUST cost center'!$B:$C,2,FALSE)</f>
        <v>KUST - Masdar Institute</v>
      </c>
      <c r="D958" s="84">
        <v>428090</v>
      </c>
      <c r="E958" s="85" t="str">
        <f>VLOOKUP(D958,'[1]KUST Account Code'!$A:$B,2,FALSE)</f>
        <v>Business Travel - Combined expenses</v>
      </c>
      <c r="F958" s="84">
        <v>847001</v>
      </c>
      <c r="G958" s="85" t="str">
        <f>VLOOKUP(F958,[2]Sheet1!$F:$G,2,FALSE)</f>
        <v>KUST - General</v>
      </c>
      <c r="H958" s="85" t="s">
        <v>25</v>
      </c>
      <c r="I958" s="84">
        <v>200179</v>
      </c>
      <c r="J958" s="8" t="s">
        <v>1181</v>
      </c>
      <c r="K958" s="46" t="s">
        <v>1081</v>
      </c>
      <c r="L958" s="47" t="s">
        <v>1379</v>
      </c>
    </row>
    <row r="959" spans="1:12" ht="14.5" x14ac:dyDescent="0.35">
      <c r="A959" s="47" t="s">
        <v>1368</v>
      </c>
      <c r="B959" s="84">
        <v>8471122</v>
      </c>
      <c r="C959" s="85" t="str">
        <f>VLOOKUP(B959,'[1]KUST cost center'!$B:$C,2,FALSE)</f>
        <v>KUST - Masdar Institute</v>
      </c>
      <c r="D959" s="84">
        <v>429900</v>
      </c>
      <c r="E959" s="85" t="s">
        <v>1398</v>
      </c>
      <c r="F959" s="84">
        <v>847001</v>
      </c>
      <c r="G959" s="85" t="str">
        <f>VLOOKUP(F959,[2]Sheet1!$F:$G,2,FALSE)</f>
        <v>KUST - General</v>
      </c>
      <c r="H959" s="85" t="s">
        <v>25</v>
      </c>
      <c r="I959" s="84">
        <v>200179</v>
      </c>
      <c r="J959" s="81" t="s">
        <v>1182</v>
      </c>
      <c r="K959" s="46" t="s">
        <v>27</v>
      </c>
      <c r="L959" s="47" t="s">
        <v>1379</v>
      </c>
    </row>
    <row r="960" spans="1:12" ht="14.5" x14ac:dyDescent="0.35">
      <c r="A960" s="47" t="s">
        <v>1368</v>
      </c>
      <c r="B960" s="84">
        <v>8471130</v>
      </c>
      <c r="C960" s="85" t="str">
        <f>VLOOKUP(B960,'[1]KUST cost center'!$B:$C,2,FALSE)</f>
        <v>KUST - Research Service</v>
      </c>
      <c r="D960" s="84">
        <v>426900</v>
      </c>
      <c r="E960" s="85" t="str">
        <f>VLOOKUP(D960,'[1]KUST Account Code'!$A:$B,2,FALSE)</f>
        <v>Postal, courier and other document delivery expenses</v>
      </c>
      <c r="F960" s="84">
        <v>847001</v>
      </c>
      <c r="G960" s="85" t="str">
        <f>VLOOKUP(F960,[2]Sheet1!$F:$G,2,FALSE)</f>
        <v>KUST - General</v>
      </c>
      <c r="H960" s="85" t="s">
        <v>25</v>
      </c>
      <c r="I960" s="84">
        <v>200179</v>
      </c>
      <c r="J960" s="8" t="s">
        <v>1183</v>
      </c>
      <c r="K960" s="46" t="s">
        <v>39</v>
      </c>
      <c r="L960" s="47" t="s">
        <v>1379</v>
      </c>
    </row>
    <row r="961" spans="1:12" ht="14.5" x14ac:dyDescent="0.35">
      <c r="A961" s="47" t="s">
        <v>1368</v>
      </c>
      <c r="B961" s="84">
        <v>8471130</v>
      </c>
      <c r="C961" s="85" t="str">
        <f>VLOOKUP(B961,'[1]KUST cost center'!$B:$C,2,FALSE)</f>
        <v>KUST - Research Service</v>
      </c>
      <c r="D961" s="84">
        <v>427710</v>
      </c>
      <c r="E961" s="85" t="str">
        <f>VLOOKUP(D961,'[1]KUST Account Code'!$A:$B,2,FALSE)</f>
        <v>Subscriptions and membership fees: Trade organisations</v>
      </c>
      <c r="F961" s="84">
        <v>847001</v>
      </c>
      <c r="G961" s="85" t="str">
        <f>VLOOKUP(F961,[2]Sheet1!$F:$G,2,FALSE)</f>
        <v>KUST - General</v>
      </c>
      <c r="H961" s="85" t="s">
        <v>25</v>
      </c>
      <c r="I961" s="84">
        <v>200179</v>
      </c>
      <c r="J961" s="81" t="s">
        <v>1184</v>
      </c>
      <c r="K961" s="46" t="s">
        <v>31</v>
      </c>
      <c r="L961" s="47" t="s">
        <v>1379</v>
      </c>
    </row>
    <row r="962" spans="1:12" ht="14.5" x14ac:dyDescent="0.35">
      <c r="A962" s="47" t="s">
        <v>1368</v>
      </c>
      <c r="B962" s="84">
        <v>8471130</v>
      </c>
      <c r="C962" s="85" t="str">
        <f>VLOOKUP(B962,'[1]KUST cost center'!$B:$C,2,FALSE)</f>
        <v>KUST - Research Service</v>
      </c>
      <c r="D962" s="84">
        <v>427900</v>
      </c>
      <c r="E962" s="85" t="str">
        <f>VLOOKUP(D962,'[1]KUST Account Code'!$A:$B,2,FALSE)</f>
        <v>Translation and interpretation service</v>
      </c>
      <c r="F962" s="84">
        <v>847001</v>
      </c>
      <c r="G962" s="85" t="str">
        <f>VLOOKUP(F962,[2]Sheet1!$F:$G,2,FALSE)</f>
        <v>KUST - General</v>
      </c>
      <c r="H962" s="85" t="s">
        <v>25</v>
      </c>
      <c r="I962" s="84">
        <v>200179</v>
      </c>
      <c r="J962" s="8" t="s">
        <v>1185</v>
      </c>
      <c r="K962" s="46" t="s">
        <v>27</v>
      </c>
      <c r="L962" s="47" t="s">
        <v>1379</v>
      </c>
    </row>
    <row r="963" spans="1:12" ht="14.5" x14ac:dyDescent="0.35">
      <c r="A963" s="47" t="s">
        <v>1368</v>
      </c>
      <c r="B963" s="84">
        <v>8471130</v>
      </c>
      <c r="C963" s="85" t="str">
        <f>VLOOKUP(B963,'[1]KUST cost center'!$B:$C,2,FALSE)</f>
        <v>KUST - Research Service</v>
      </c>
      <c r="D963" s="84">
        <v>428111</v>
      </c>
      <c r="E963" s="85" t="str">
        <f>VLOOKUP(D963,'[1]KUST Account Code'!$A:$B,2,FALSE)</f>
        <v>Electricity consumption charges</v>
      </c>
      <c r="F963" s="84">
        <v>847001</v>
      </c>
      <c r="G963" s="85" t="str">
        <f>VLOOKUP(F963,[2]Sheet1!$F:$G,2,FALSE)</f>
        <v>KUST - General</v>
      </c>
      <c r="H963" s="85" t="s">
        <v>25</v>
      </c>
      <c r="I963" s="84">
        <v>200179</v>
      </c>
      <c r="J963" s="81" t="s">
        <v>1186</v>
      </c>
      <c r="K963" s="46" t="s">
        <v>571</v>
      </c>
      <c r="L963" s="47" t="s">
        <v>1379</v>
      </c>
    </row>
    <row r="964" spans="1:12" ht="14.5" x14ac:dyDescent="0.35">
      <c r="A964" s="47" t="s">
        <v>1368</v>
      </c>
      <c r="B964" s="84">
        <v>8471130</v>
      </c>
      <c r="C964" s="85" t="str">
        <f>VLOOKUP(B964,'[1]KUST cost center'!$B:$C,2,FALSE)</f>
        <v>KUST - Research Service</v>
      </c>
      <c r="D964" s="84">
        <v>436120</v>
      </c>
      <c r="E964" s="85" t="str">
        <f>VLOOKUP(D964,'[1]KUST Account Code'!$A:$B,2,FALSE)</f>
        <v>Stationery</v>
      </c>
      <c r="F964" s="84">
        <v>847001</v>
      </c>
      <c r="G964" s="85" t="str">
        <f>VLOOKUP(F964,[2]Sheet1!$F:$G,2,FALSE)</f>
        <v>KUST - General</v>
      </c>
      <c r="H964" s="85" t="s">
        <v>25</v>
      </c>
      <c r="I964" s="84">
        <v>200179</v>
      </c>
      <c r="J964" s="8" t="s">
        <v>1187</v>
      </c>
      <c r="K964" s="46" t="s">
        <v>27</v>
      </c>
      <c r="L964" s="47" t="s">
        <v>1379</v>
      </c>
    </row>
    <row r="965" spans="1:12" ht="14.5" x14ac:dyDescent="0.35">
      <c r="A965" s="47" t="s">
        <v>1368</v>
      </c>
      <c r="B965" s="84">
        <v>8471130</v>
      </c>
      <c r="C965" s="85" t="str">
        <f>VLOOKUP(B965,'[1]KUST cost center'!$B:$C,2,FALSE)</f>
        <v>KUST - Research Service</v>
      </c>
      <c r="D965" s="84">
        <v>492200</v>
      </c>
      <c r="E965" s="85" t="str">
        <f>VLOOKUP(D965,'[1]KUST Account Code'!$A:$B,2,FALSE)</f>
        <v>Capital expense - Buildings</v>
      </c>
      <c r="F965" s="84">
        <v>847001</v>
      </c>
      <c r="G965" s="85" t="str">
        <f>VLOOKUP(F965,[2]Sheet1!$F:$G,2,FALSE)</f>
        <v>KUST - General</v>
      </c>
      <c r="H965" s="85" t="s">
        <v>116</v>
      </c>
      <c r="I965" s="84">
        <v>300180</v>
      </c>
      <c r="J965" s="81" t="s">
        <v>1188</v>
      </c>
      <c r="K965" s="46">
        <v>0</v>
      </c>
      <c r="L965" s="47" t="s">
        <v>1392</v>
      </c>
    </row>
    <row r="966" spans="1:12" ht="14.5" x14ac:dyDescent="0.35">
      <c r="A966" s="47" t="s">
        <v>1368</v>
      </c>
      <c r="B966" s="84">
        <v>8471140</v>
      </c>
      <c r="C966" s="85" t="str">
        <f>VLOOKUP(B966,'[1]KUST cost center'!$B:$C,2,FALSE)</f>
        <v>KUST - University Sponsored Research</v>
      </c>
      <c r="D966" s="84">
        <v>426900</v>
      </c>
      <c r="E966" s="85" t="str">
        <f>VLOOKUP(D966,'[1]KUST Account Code'!$A:$B,2,FALSE)</f>
        <v>Postal, courier and other document delivery expenses</v>
      </c>
      <c r="F966" s="84">
        <v>847001</v>
      </c>
      <c r="G966" s="85" t="str">
        <f>VLOOKUP(F966,[2]Sheet1!$F:$G,2,FALSE)</f>
        <v>KUST - General</v>
      </c>
      <c r="H966" s="85" t="s">
        <v>25</v>
      </c>
      <c r="I966" s="84">
        <v>200179</v>
      </c>
      <c r="J966" s="8" t="s">
        <v>1189</v>
      </c>
      <c r="K966" s="46" t="s">
        <v>39</v>
      </c>
      <c r="L966" s="47" t="s">
        <v>1379</v>
      </c>
    </row>
    <row r="967" spans="1:12" ht="14.5" x14ac:dyDescent="0.35">
      <c r="A967" s="47" t="s">
        <v>1368</v>
      </c>
      <c r="B967" s="84">
        <v>8471140</v>
      </c>
      <c r="C967" s="85" t="str">
        <f>VLOOKUP(B967,'[1]KUST cost center'!$B:$C,2,FALSE)</f>
        <v>KUST - University Sponsored Research</v>
      </c>
      <c r="D967" s="84">
        <v>428640</v>
      </c>
      <c r="E967" s="85" t="str">
        <f>VLOOKUP(D967,'[1]KUST Account Code'!$A:$B,2,FALSE)</f>
        <v>Events - Awards, prizes &amp; gifts</v>
      </c>
      <c r="F967" s="84">
        <v>847001</v>
      </c>
      <c r="G967" s="85" t="str">
        <f>VLOOKUP(F967,[2]Sheet1!$F:$G,2,FALSE)</f>
        <v>KUST - General</v>
      </c>
      <c r="H967" s="85" t="s">
        <v>25</v>
      </c>
      <c r="I967" s="84">
        <v>200179</v>
      </c>
      <c r="J967" s="81" t="s">
        <v>1190</v>
      </c>
      <c r="K967" s="46" t="s">
        <v>1079</v>
      </c>
      <c r="L967" s="47" t="s">
        <v>1387</v>
      </c>
    </row>
    <row r="968" spans="1:12" ht="14.5" x14ac:dyDescent="0.35">
      <c r="A968" s="47" t="s">
        <v>1368</v>
      </c>
      <c r="B968" s="84">
        <v>8471150</v>
      </c>
      <c r="C968" s="85" t="str">
        <f>VLOOKUP(B968,'[1]KUST cost center'!$B:$C,2,FALSE)</f>
        <v>KUST - Technology Management &amp; Innovation</v>
      </c>
      <c r="D968" s="84">
        <v>425510</v>
      </c>
      <c r="E968" s="85" t="str">
        <f>VLOOKUP(D968,'[1]KUST Account Code'!$A:$B,2,FALSE)</f>
        <v>Conferences, seminars and exhibitions and other events: - Local Events</v>
      </c>
      <c r="F968" s="84">
        <v>847001</v>
      </c>
      <c r="G968" s="85" t="str">
        <f>VLOOKUP(F968,[2]Sheet1!$F:$G,2,FALSE)</f>
        <v>KUST - General</v>
      </c>
      <c r="H968" s="85" t="s">
        <v>25</v>
      </c>
      <c r="I968" s="84">
        <v>200179</v>
      </c>
      <c r="J968" s="8" t="s">
        <v>1191</v>
      </c>
      <c r="K968" s="46" t="s">
        <v>1079</v>
      </c>
      <c r="L968" s="47" t="s">
        <v>1383</v>
      </c>
    </row>
    <row r="969" spans="1:12" ht="14.5" x14ac:dyDescent="0.35">
      <c r="A969" s="47" t="s">
        <v>1368</v>
      </c>
      <c r="B969" s="84">
        <v>8471150</v>
      </c>
      <c r="C969" s="85" t="str">
        <f>VLOOKUP(B969,'[1]KUST cost center'!$B:$C,2,FALSE)</f>
        <v>KUST - Technology Management &amp; Innovation</v>
      </c>
      <c r="D969" s="84">
        <v>425550</v>
      </c>
      <c r="E969" s="85" t="str">
        <f>VLOOKUP(D969,'[1]KUST Account Code'!$A:$B,2,FALSE)</f>
        <v>Conferences, seminars and exhibitions and other events: - Overseas event</v>
      </c>
      <c r="F969" s="84">
        <v>847001</v>
      </c>
      <c r="G969" s="85" t="str">
        <f>VLOOKUP(F969,[2]Sheet1!$F:$G,2,FALSE)</f>
        <v>KUST - General</v>
      </c>
      <c r="H969" s="85" t="s">
        <v>25</v>
      </c>
      <c r="I969" s="84">
        <v>200179</v>
      </c>
      <c r="J969" s="81" t="s">
        <v>1192</v>
      </c>
      <c r="K969" s="46" t="s">
        <v>1079</v>
      </c>
      <c r="L969" s="47" t="s">
        <v>1379</v>
      </c>
    </row>
    <row r="970" spans="1:12" ht="14.5" x14ac:dyDescent="0.35">
      <c r="A970" s="47" t="s">
        <v>1368</v>
      </c>
      <c r="B970" s="84">
        <v>8471160</v>
      </c>
      <c r="C970" s="85" t="str">
        <f>VLOOKUP(B970,'[1]KUST cost center'!$B:$C,2,FALSE)</f>
        <v>KUST - Research Laboratories</v>
      </c>
      <c r="D970" s="84">
        <v>426610</v>
      </c>
      <c r="E970" s="85" t="str">
        <f>VLOOKUP(D970,'[1]KUST Account Code'!$A:$B,2,FALSE)</f>
        <v>Computer software licenses</v>
      </c>
      <c r="F970" s="84">
        <v>847001</v>
      </c>
      <c r="G970" s="85" t="str">
        <f>VLOOKUP(F970,[2]Sheet1!$F:$G,2,FALSE)</f>
        <v>KUST - General</v>
      </c>
      <c r="H970" s="85" t="s">
        <v>25</v>
      </c>
      <c r="I970" s="84">
        <v>200179</v>
      </c>
      <c r="J970" s="8" t="s">
        <v>1193</v>
      </c>
      <c r="K970" s="46" t="s">
        <v>574</v>
      </c>
      <c r="L970" s="47" t="s">
        <v>1385</v>
      </c>
    </row>
    <row r="971" spans="1:12" ht="14.5" x14ac:dyDescent="0.35">
      <c r="A971" s="47" t="s">
        <v>1368</v>
      </c>
      <c r="B971" s="84">
        <v>8471170</v>
      </c>
      <c r="C971" s="85" t="str">
        <f>VLOOKUP(B971,'[1]KUST cost center'!$B:$C,2,FALSE)</f>
        <v>KUST - Research Computing</v>
      </c>
      <c r="D971" s="84">
        <v>425900</v>
      </c>
      <c r="E971" s="85" t="str">
        <f>VLOOKUP(D971,'[1]KUST Account Code'!$A:$B,2,FALSE)</f>
        <v>Entertainment and hospitality</v>
      </c>
      <c r="F971" s="84">
        <v>847001</v>
      </c>
      <c r="G971" s="85" t="str">
        <f>VLOOKUP(F971,[2]Sheet1!$F:$G,2,FALSE)</f>
        <v>KUST - General</v>
      </c>
      <c r="H971" s="85" t="s">
        <v>25</v>
      </c>
      <c r="I971" s="84">
        <v>200179</v>
      </c>
      <c r="J971" s="81" t="s">
        <v>1194</v>
      </c>
      <c r="K971" s="46" t="s">
        <v>27</v>
      </c>
      <c r="L971" s="47" t="s">
        <v>1379</v>
      </c>
    </row>
    <row r="972" spans="1:12" ht="14.5" x14ac:dyDescent="0.35">
      <c r="A972" s="47" t="s">
        <v>1365</v>
      </c>
      <c r="B972" s="84">
        <v>8471210</v>
      </c>
      <c r="C972" s="85" t="str">
        <f>VLOOKUP(B972,'[1]KUST cost center'!$B:$C,2,FALSE)</f>
        <v>KUST - SVP/ Academic &amp; Student Services Office</v>
      </c>
      <c r="D972" s="84">
        <v>425100</v>
      </c>
      <c r="E972" s="85" t="str">
        <f>VLOOKUP(D972,'[1]KUST Account Code'!$A:$B,2,FALSE)</f>
        <v>Advertising</v>
      </c>
      <c r="F972" s="84">
        <v>847001</v>
      </c>
      <c r="G972" s="85" t="str">
        <f>VLOOKUP(F972,[2]Sheet1!$F:$G,2,FALSE)</f>
        <v>KUST - General</v>
      </c>
      <c r="H972" s="85" t="s">
        <v>25</v>
      </c>
      <c r="I972" s="84">
        <v>200179</v>
      </c>
      <c r="J972" s="8" t="s">
        <v>1195</v>
      </c>
      <c r="K972" s="46" t="s">
        <v>1079</v>
      </c>
      <c r="L972" s="47" t="s">
        <v>44</v>
      </c>
    </row>
    <row r="973" spans="1:12" ht="14.5" x14ac:dyDescent="0.35">
      <c r="A973" s="47" t="s">
        <v>1365</v>
      </c>
      <c r="B973" s="84">
        <v>8471210</v>
      </c>
      <c r="C973" s="85" t="str">
        <f>VLOOKUP(B973,'[1]KUST cost center'!$B:$C,2,FALSE)</f>
        <v>KUST - SVP/ Academic &amp; Student Services Office</v>
      </c>
      <c r="D973" s="84">
        <v>427100</v>
      </c>
      <c r="E973" s="85" t="str">
        <f>VLOOKUP(D973,'[1]KUST Account Code'!$A:$B,2,FALSE)</f>
        <v>Public relations</v>
      </c>
      <c r="F973" s="84">
        <v>847001</v>
      </c>
      <c r="G973" s="85" t="str">
        <f>VLOOKUP(F973,[2]Sheet1!$F:$G,2,FALSE)</f>
        <v>KUST - General</v>
      </c>
      <c r="H973" s="85" t="s">
        <v>25</v>
      </c>
      <c r="I973" s="84">
        <v>200179</v>
      </c>
      <c r="J973" s="81" t="s">
        <v>1196</v>
      </c>
      <c r="K973" s="46" t="s">
        <v>1079</v>
      </c>
      <c r="L973" s="47" t="s">
        <v>1386</v>
      </c>
    </row>
    <row r="974" spans="1:12" ht="14.5" x14ac:dyDescent="0.35">
      <c r="A974" s="47" t="s">
        <v>1365</v>
      </c>
      <c r="B974" s="84">
        <v>8471210</v>
      </c>
      <c r="C974" s="85" t="str">
        <f>VLOOKUP(B974,'[1]KUST cost center'!$B:$C,2,FALSE)</f>
        <v>KUST - SVP/ Academic &amp; Student Services Office</v>
      </c>
      <c r="D974" s="84">
        <v>428640</v>
      </c>
      <c r="E974" s="85" t="str">
        <f>VLOOKUP(D974,'[1]KUST Account Code'!$A:$B,2,FALSE)</f>
        <v>Events - Awards, prizes &amp; gifts</v>
      </c>
      <c r="F974" s="84">
        <v>847001</v>
      </c>
      <c r="G974" s="85" t="str">
        <f>VLOOKUP(F974,[2]Sheet1!$F:$G,2,FALSE)</f>
        <v>KUST - General</v>
      </c>
      <c r="H974" s="85" t="s">
        <v>25</v>
      </c>
      <c r="I974" s="84">
        <v>200179</v>
      </c>
      <c r="J974" s="8" t="s">
        <v>1197</v>
      </c>
      <c r="K974" s="46" t="s">
        <v>1079</v>
      </c>
      <c r="L974" s="47" t="s">
        <v>1387</v>
      </c>
    </row>
    <row r="975" spans="1:12" ht="14.5" x14ac:dyDescent="0.35">
      <c r="A975" s="47" t="s">
        <v>1365</v>
      </c>
      <c r="B975" s="84">
        <v>8471210</v>
      </c>
      <c r="C975" s="85" t="str">
        <f>VLOOKUP(B975,'[1]KUST cost center'!$B:$C,2,FALSE)</f>
        <v>KUST - SVP/ Academic &amp; Student Services Office</v>
      </c>
      <c r="D975" s="84">
        <v>435530</v>
      </c>
      <c r="E975" s="85" t="str">
        <f>VLOOKUP(D975,'[1]KUST Account Code'!$A:$B,2,FALSE)</f>
        <v>School consumables, not specifically mentioned elsewhere</v>
      </c>
      <c r="F975" s="84">
        <v>847001</v>
      </c>
      <c r="G975" s="85" t="str">
        <f>VLOOKUP(F975,[2]Sheet1!$F:$G,2,FALSE)</f>
        <v>KUST - General</v>
      </c>
      <c r="H975" s="85" t="s">
        <v>25</v>
      </c>
      <c r="I975" s="84">
        <v>200179</v>
      </c>
      <c r="J975" s="81" t="s">
        <v>1198</v>
      </c>
      <c r="K975" s="46" t="s">
        <v>31</v>
      </c>
      <c r="L975" s="47" t="s">
        <v>1379</v>
      </c>
    </row>
    <row r="976" spans="1:12" ht="14.5" x14ac:dyDescent="0.35">
      <c r="A976" s="47" t="s">
        <v>1365</v>
      </c>
      <c r="B976" s="84">
        <v>8471220</v>
      </c>
      <c r="C976" s="85" t="str">
        <f>VLOOKUP(B976,'[1]KUST cost center'!$B:$C,2,FALSE)</f>
        <v>KUST - Registrar</v>
      </c>
      <c r="D976" s="84">
        <v>425550</v>
      </c>
      <c r="E976" s="85" t="str">
        <f>VLOOKUP(D976,'[1]KUST Account Code'!$A:$B,2,FALSE)</f>
        <v>Conferences, seminars and exhibitions and other events: - Overseas event</v>
      </c>
      <c r="F976" s="84">
        <v>847001</v>
      </c>
      <c r="G976" s="85" t="str">
        <f>VLOOKUP(F976,[2]Sheet1!$F:$G,2,FALSE)</f>
        <v>KUST - General</v>
      </c>
      <c r="H976" s="85" t="s">
        <v>25</v>
      </c>
      <c r="I976" s="84">
        <v>200179</v>
      </c>
      <c r="J976" s="8" t="s">
        <v>1199</v>
      </c>
      <c r="K976" s="46" t="s">
        <v>1079</v>
      </c>
      <c r="L976" s="47" t="s">
        <v>1379</v>
      </c>
    </row>
    <row r="977" spans="1:12" ht="14.5" x14ac:dyDescent="0.35">
      <c r="A977" s="47" t="s">
        <v>1365</v>
      </c>
      <c r="B977" s="84">
        <v>8471220</v>
      </c>
      <c r="C977" s="85" t="str">
        <f>VLOOKUP(B977,'[1]KUST cost center'!$B:$C,2,FALSE)</f>
        <v>KUST - Registrar</v>
      </c>
      <c r="D977" s="84">
        <v>425900</v>
      </c>
      <c r="E977" s="85" t="str">
        <f>VLOOKUP(D977,'[1]KUST Account Code'!$A:$B,2,FALSE)</f>
        <v>Entertainment and hospitality</v>
      </c>
      <c r="F977" s="84">
        <v>847001</v>
      </c>
      <c r="G977" s="85" t="str">
        <f>VLOOKUP(F977,[2]Sheet1!$F:$G,2,FALSE)</f>
        <v>KUST - General</v>
      </c>
      <c r="H977" s="85" t="s">
        <v>25</v>
      </c>
      <c r="I977" s="84">
        <v>200179</v>
      </c>
      <c r="J977" s="81" t="s">
        <v>1200</v>
      </c>
      <c r="K977" s="46" t="s">
        <v>27</v>
      </c>
      <c r="L977" s="47" t="s">
        <v>1379</v>
      </c>
    </row>
    <row r="978" spans="1:12" ht="14.5" x14ac:dyDescent="0.35">
      <c r="A978" s="47" t="s">
        <v>1365</v>
      </c>
      <c r="B978" s="84">
        <v>8471240</v>
      </c>
      <c r="C978" s="85" t="str">
        <f>VLOOKUP(B978,'[1]KUST cost center'!$B:$C,2,FALSE)</f>
        <v>KUST - Student Success</v>
      </c>
      <c r="D978" s="84">
        <v>426610</v>
      </c>
      <c r="E978" s="85" t="str">
        <f>VLOOKUP(D978,'[1]KUST Account Code'!$A:$B,2,FALSE)</f>
        <v>Computer software licenses</v>
      </c>
      <c r="F978" s="84">
        <v>847001</v>
      </c>
      <c r="G978" s="85" t="str">
        <f>VLOOKUP(F978,[2]Sheet1!$F:$G,2,FALSE)</f>
        <v>KUST - General</v>
      </c>
      <c r="H978" s="85" t="s">
        <v>25</v>
      </c>
      <c r="I978" s="84">
        <v>200179</v>
      </c>
      <c r="J978" s="8" t="s">
        <v>1201</v>
      </c>
      <c r="K978" s="46" t="s">
        <v>574</v>
      </c>
      <c r="L978" s="47" t="s">
        <v>1385</v>
      </c>
    </row>
    <row r="979" spans="1:12" ht="14.5" x14ac:dyDescent="0.35">
      <c r="A979" s="47" t="s">
        <v>1365</v>
      </c>
      <c r="B979" s="84">
        <v>8471240</v>
      </c>
      <c r="C979" s="85" t="str">
        <f>VLOOKUP(B979,'[1]KUST cost center'!$B:$C,2,FALSE)</f>
        <v>KUST - Student Success</v>
      </c>
      <c r="D979" s="84">
        <v>428090</v>
      </c>
      <c r="E979" s="85" t="str">
        <f>VLOOKUP(D979,'[1]KUST Account Code'!$A:$B,2,FALSE)</f>
        <v>Business Travel - Combined expenses</v>
      </c>
      <c r="F979" s="84">
        <v>847001</v>
      </c>
      <c r="G979" s="85" t="str">
        <f>VLOOKUP(F979,[2]Sheet1!$F:$G,2,FALSE)</f>
        <v>KUST - General</v>
      </c>
      <c r="H979" s="85" t="s">
        <v>25</v>
      </c>
      <c r="I979" s="84">
        <v>200179</v>
      </c>
      <c r="J979" s="81" t="s">
        <v>1202</v>
      </c>
      <c r="K979" s="46" t="s">
        <v>1081</v>
      </c>
      <c r="L979" s="47" t="s">
        <v>1379</v>
      </c>
    </row>
    <row r="980" spans="1:12" ht="14.5" x14ac:dyDescent="0.35">
      <c r="A980" s="47" t="s">
        <v>1365</v>
      </c>
      <c r="B980" s="84">
        <v>8471240</v>
      </c>
      <c r="C980" s="85" t="str">
        <f>VLOOKUP(B980,'[1]KUST cost center'!$B:$C,2,FALSE)</f>
        <v>KUST - Student Success</v>
      </c>
      <c r="D980" s="84">
        <v>435330</v>
      </c>
      <c r="E980" s="85" t="str">
        <f>VLOOKUP(D980,'[1]KUST Account Code'!$A:$B,2,FALSE)</f>
        <v>Library books</v>
      </c>
      <c r="F980" s="84">
        <v>847001</v>
      </c>
      <c r="G980" s="85" t="str">
        <f>VLOOKUP(F980,[2]Sheet1!$F:$G,2,FALSE)</f>
        <v>KUST - General</v>
      </c>
      <c r="H980" s="85" t="s">
        <v>25</v>
      </c>
      <c r="I980" s="84">
        <v>200179</v>
      </c>
      <c r="J980" s="8" t="s">
        <v>1203</v>
      </c>
      <c r="K980" s="46" t="s">
        <v>31</v>
      </c>
      <c r="L980" s="47" t="s">
        <v>1379</v>
      </c>
    </row>
    <row r="981" spans="1:12" ht="14.5" x14ac:dyDescent="0.35">
      <c r="A981" s="47" t="s">
        <v>1365</v>
      </c>
      <c r="B981" s="84">
        <v>8471250</v>
      </c>
      <c r="C981" s="85" t="str">
        <f>VLOOKUP(B981,'[1]KUST cost center'!$B:$C,2,FALSE)</f>
        <v>KUST - Career Services</v>
      </c>
      <c r="D981" s="84">
        <v>425741</v>
      </c>
      <c r="E981" s="85" t="str">
        <f>VLOOKUP(D981,'[1]KUST Account Code'!$A:$B,2,FALSE)</f>
        <v>Student stipend</v>
      </c>
      <c r="F981" s="84">
        <v>847001</v>
      </c>
      <c r="G981" s="85" t="str">
        <f>VLOOKUP(F981,[2]Sheet1!$F:$G,2,FALSE)</f>
        <v>KUST - General</v>
      </c>
      <c r="H981" s="85" t="s">
        <v>25</v>
      </c>
      <c r="I981" s="84">
        <v>200179</v>
      </c>
      <c r="J981" s="81" t="s">
        <v>1204</v>
      </c>
      <c r="K981" s="46" t="s">
        <v>90</v>
      </c>
      <c r="L981" s="47" t="s">
        <v>1379</v>
      </c>
    </row>
    <row r="982" spans="1:12" ht="14.5" x14ac:dyDescent="0.35">
      <c r="A982" s="47" t="s">
        <v>1365</v>
      </c>
      <c r="B982" s="84">
        <v>8471250</v>
      </c>
      <c r="C982" s="85" t="str">
        <f>VLOOKUP(B982,'[1]KUST cost center'!$B:$C,2,FALSE)</f>
        <v>KUST - Career Services</v>
      </c>
      <c r="D982" s="84">
        <v>425750</v>
      </c>
      <c r="E982" s="85" t="str">
        <f>VLOOKUP(D982,'[1]KUST Account Code'!$A:$B,2,FALSE)</f>
        <v>Skill assessment service</v>
      </c>
      <c r="F982" s="84">
        <v>847001</v>
      </c>
      <c r="G982" s="85" t="str">
        <f>VLOOKUP(F982,[2]Sheet1!$F:$G,2,FALSE)</f>
        <v>KUST - General</v>
      </c>
      <c r="H982" s="85" t="s">
        <v>25</v>
      </c>
      <c r="I982" s="84">
        <v>200179</v>
      </c>
      <c r="J982" s="8" t="s">
        <v>1205</v>
      </c>
      <c r="K982" s="46" t="s">
        <v>90</v>
      </c>
      <c r="L982" s="47" t="s">
        <v>1379</v>
      </c>
    </row>
    <row r="983" spans="1:12" ht="14.5" x14ac:dyDescent="0.35">
      <c r="A983" s="47" t="s">
        <v>1365</v>
      </c>
      <c r="B983" s="84">
        <v>8471250</v>
      </c>
      <c r="C983" s="85" t="str">
        <f>VLOOKUP(B983,'[1]KUST cost center'!$B:$C,2,FALSE)</f>
        <v>KUST - Career Services</v>
      </c>
      <c r="D983" s="84">
        <v>428090</v>
      </c>
      <c r="E983" s="85" t="str">
        <f>VLOOKUP(D983,'[1]KUST Account Code'!$A:$B,2,FALSE)</f>
        <v>Business Travel - Combined expenses</v>
      </c>
      <c r="F983" s="84">
        <v>847001</v>
      </c>
      <c r="G983" s="85" t="str">
        <f>VLOOKUP(F983,[2]Sheet1!$F:$G,2,FALSE)</f>
        <v>KUST - General</v>
      </c>
      <c r="H983" s="85" t="s">
        <v>25</v>
      </c>
      <c r="I983" s="84">
        <v>200179</v>
      </c>
      <c r="J983" s="81" t="s">
        <v>1206</v>
      </c>
      <c r="K983" s="46" t="s">
        <v>1081</v>
      </c>
      <c r="L983" s="47" t="s">
        <v>1379</v>
      </c>
    </row>
    <row r="984" spans="1:12" ht="14.5" x14ac:dyDescent="0.35">
      <c r="A984" s="47" t="s">
        <v>1365</v>
      </c>
      <c r="B984" s="84">
        <v>8471250</v>
      </c>
      <c r="C984" s="85" t="str">
        <f>VLOOKUP(B984,'[1]KUST cost center'!$B:$C,2,FALSE)</f>
        <v>KUST - Career Services</v>
      </c>
      <c r="D984" s="84">
        <v>428640</v>
      </c>
      <c r="E984" s="85" t="str">
        <f>VLOOKUP(D984,'[1]KUST Account Code'!$A:$B,2,FALSE)</f>
        <v>Events - Awards, prizes &amp; gifts</v>
      </c>
      <c r="F984" s="84">
        <v>847001</v>
      </c>
      <c r="G984" s="85" t="str">
        <f>VLOOKUP(F984,[2]Sheet1!$F:$G,2,FALSE)</f>
        <v>KUST - General</v>
      </c>
      <c r="H984" s="85" t="s">
        <v>25</v>
      </c>
      <c r="I984" s="84">
        <v>200179</v>
      </c>
      <c r="J984" s="8" t="s">
        <v>1207</v>
      </c>
      <c r="K984" s="46" t="s">
        <v>1079</v>
      </c>
      <c r="L984" s="47" t="s">
        <v>1387</v>
      </c>
    </row>
    <row r="985" spans="1:12" ht="14.5" x14ac:dyDescent="0.35">
      <c r="A985" s="47" t="s">
        <v>1365</v>
      </c>
      <c r="B985" s="84">
        <v>8471260</v>
      </c>
      <c r="C985" s="85" t="str">
        <f>VLOOKUP(B985,'[1]KUST cost center'!$B:$C,2,FALSE)</f>
        <v>KUST - Student Life</v>
      </c>
      <c r="D985" s="84">
        <v>422100</v>
      </c>
      <c r="E985" s="85" t="str">
        <f>VLOOKUP(D985,'[1]KUST Account Code'!$A:$B,2,FALSE)</f>
        <v>Waste management service</v>
      </c>
      <c r="F985" s="84">
        <v>847001</v>
      </c>
      <c r="G985" s="85" t="str">
        <f>VLOOKUP(F985,[2]Sheet1!$F:$G,2,FALSE)</f>
        <v>KUST - General</v>
      </c>
      <c r="H985" s="85" t="s">
        <v>25</v>
      </c>
      <c r="I985" s="84">
        <v>200179</v>
      </c>
      <c r="J985" s="81" t="s">
        <v>1208</v>
      </c>
      <c r="K985" s="46" t="s">
        <v>571</v>
      </c>
      <c r="L985" s="47" t="s">
        <v>1379</v>
      </c>
    </row>
    <row r="986" spans="1:12" ht="14.5" x14ac:dyDescent="0.35">
      <c r="A986" s="47" t="s">
        <v>1365</v>
      </c>
      <c r="B986" s="84">
        <v>8471260</v>
      </c>
      <c r="C986" s="85" t="str">
        <f>VLOOKUP(B986,'[1]KUST cost center'!$B:$C,2,FALSE)</f>
        <v>KUST - Student Life</v>
      </c>
      <c r="D986" s="84">
        <v>425100</v>
      </c>
      <c r="E986" s="85" t="str">
        <f>VLOOKUP(D986,'[1]KUST Account Code'!$A:$B,2,FALSE)</f>
        <v>Advertising</v>
      </c>
      <c r="F986" s="84">
        <v>847001</v>
      </c>
      <c r="G986" s="85" t="str">
        <f>VLOOKUP(F986,[2]Sheet1!$F:$G,2,FALSE)</f>
        <v>KUST - General</v>
      </c>
      <c r="H986" s="85" t="s">
        <v>25</v>
      </c>
      <c r="I986" s="84">
        <v>200179</v>
      </c>
      <c r="J986" s="8" t="s">
        <v>1209</v>
      </c>
      <c r="K986" s="46" t="s">
        <v>1079</v>
      </c>
      <c r="L986" s="47" t="s">
        <v>44</v>
      </c>
    </row>
    <row r="987" spans="1:12" ht="14.5" x14ac:dyDescent="0.35">
      <c r="A987" s="47" t="s">
        <v>1365</v>
      </c>
      <c r="B987" s="84">
        <v>8471260</v>
      </c>
      <c r="C987" s="85" t="str">
        <f>VLOOKUP(B987,'[1]KUST cost center'!$B:$C,2,FALSE)</f>
        <v>KUST - Student Life</v>
      </c>
      <c r="D987" s="84">
        <v>425740</v>
      </c>
      <c r="E987" s="85" t="str">
        <f>VLOOKUP(D987,'[1]KUST Account Code'!$A:$B,2,FALSE)</f>
        <v>Scholarships &amp; other financial aid</v>
      </c>
      <c r="F987" s="84">
        <v>847001</v>
      </c>
      <c r="G987" s="85" t="str">
        <f>VLOOKUP(F987,[2]Sheet1!$F:$G,2,FALSE)</f>
        <v>KUST - General</v>
      </c>
      <c r="H987" s="85" t="s">
        <v>25</v>
      </c>
      <c r="I987" s="84">
        <v>200179</v>
      </c>
      <c r="J987" s="81" t="s">
        <v>1210</v>
      </c>
      <c r="K987" s="46">
        <v>0</v>
      </c>
      <c r="L987" s="47" t="s">
        <v>1379</v>
      </c>
    </row>
    <row r="988" spans="1:12" ht="14.5" x14ac:dyDescent="0.35">
      <c r="A988" s="47" t="s">
        <v>1365</v>
      </c>
      <c r="B988" s="84">
        <v>8471260</v>
      </c>
      <c r="C988" s="85" t="str">
        <f>VLOOKUP(B988,'[1]KUST cost center'!$B:$C,2,FALSE)</f>
        <v>KUST - Student Life</v>
      </c>
      <c r="D988" s="84">
        <v>426610</v>
      </c>
      <c r="E988" s="85" t="str">
        <f>VLOOKUP(D988,'[1]KUST Account Code'!$A:$B,2,FALSE)</f>
        <v>Computer software licenses</v>
      </c>
      <c r="F988" s="84">
        <v>847001</v>
      </c>
      <c r="G988" s="85" t="str">
        <f>VLOOKUP(F988,[2]Sheet1!$F:$G,2,FALSE)</f>
        <v>KUST - General</v>
      </c>
      <c r="H988" s="85" t="s">
        <v>25</v>
      </c>
      <c r="I988" s="84">
        <v>200179</v>
      </c>
      <c r="J988" s="8" t="s">
        <v>1211</v>
      </c>
      <c r="K988" s="46" t="s">
        <v>574</v>
      </c>
      <c r="L988" s="47" t="s">
        <v>1385</v>
      </c>
    </row>
    <row r="989" spans="1:12" ht="14.5" x14ac:dyDescent="0.35">
      <c r="A989" s="47" t="s">
        <v>1365</v>
      </c>
      <c r="B989" s="84">
        <v>8471260</v>
      </c>
      <c r="C989" s="85" t="str">
        <f>VLOOKUP(B989,'[1]KUST cost center'!$B:$C,2,FALSE)</f>
        <v>KUST - Student Life</v>
      </c>
      <c r="D989" s="84">
        <v>427100</v>
      </c>
      <c r="E989" s="85" t="str">
        <f>VLOOKUP(D989,'[1]KUST Account Code'!$A:$B,2,FALSE)</f>
        <v>Public relations</v>
      </c>
      <c r="F989" s="84">
        <v>847001</v>
      </c>
      <c r="G989" s="85" t="str">
        <f>VLOOKUP(F989,[2]Sheet1!$F:$G,2,FALSE)</f>
        <v>KUST - General</v>
      </c>
      <c r="H989" s="85" t="s">
        <v>25</v>
      </c>
      <c r="I989" s="84">
        <v>200179</v>
      </c>
      <c r="J989" s="81" t="s">
        <v>1212</v>
      </c>
      <c r="K989" s="46" t="s">
        <v>1079</v>
      </c>
      <c r="L989" s="47" t="s">
        <v>1386</v>
      </c>
    </row>
    <row r="990" spans="1:12" ht="14.5" x14ac:dyDescent="0.35">
      <c r="A990" s="47" t="s">
        <v>1365</v>
      </c>
      <c r="B990" s="84">
        <v>8471260</v>
      </c>
      <c r="C990" s="85" t="str">
        <f>VLOOKUP(B990,'[1]KUST cost center'!$B:$C,2,FALSE)</f>
        <v>KUST - Student Life</v>
      </c>
      <c r="D990" s="84">
        <v>428090</v>
      </c>
      <c r="E990" s="85" t="str">
        <f>VLOOKUP(D990,'[1]KUST Account Code'!$A:$B,2,FALSE)</f>
        <v>Business Travel - Combined expenses</v>
      </c>
      <c r="F990" s="84">
        <v>847001</v>
      </c>
      <c r="G990" s="85" t="str">
        <f>VLOOKUP(F990,[2]Sheet1!$F:$G,2,FALSE)</f>
        <v>KUST - General</v>
      </c>
      <c r="H990" s="85" t="s">
        <v>25</v>
      </c>
      <c r="I990" s="84">
        <v>200179</v>
      </c>
      <c r="J990" s="8" t="s">
        <v>1213</v>
      </c>
      <c r="K990" s="46" t="s">
        <v>1081</v>
      </c>
      <c r="L990" s="47" t="s">
        <v>1379</v>
      </c>
    </row>
    <row r="991" spans="1:12" ht="14.5" x14ac:dyDescent="0.35">
      <c r="A991" s="47" t="s">
        <v>1365</v>
      </c>
      <c r="B991" s="84">
        <v>8471260</v>
      </c>
      <c r="C991" s="85" t="str">
        <f>VLOOKUP(B991,'[1]KUST cost center'!$B:$C,2,FALSE)</f>
        <v>KUST - Student Life</v>
      </c>
      <c r="D991" s="84">
        <v>428640</v>
      </c>
      <c r="E991" s="85" t="str">
        <f>VLOOKUP(D991,'[1]KUST Account Code'!$A:$B,2,FALSE)</f>
        <v>Events - Awards, prizes &amp; gifts</v>
      </c>
      <c r="F991" s="84">
        <v>847001</v>
      </c>
      <c r="G991" s="85" t="str">
        <f>VLOOKUP(F991,[2]Sheet1!$F:$G,2,FALSE)</f>
        <v>KUST - General</v>
      </c>
      <c r="H991" s="85" t="s">
        <v>25</v>
      </c>
      <c r="I991" s="84">
        <v>200179</v>
      </c>
      <c r="J991" s="81" t="s">
        <v>1214</v>
      </c>
      <c r="K991" s="46" t="s">
        <v>1079</v>
      </c>
      <c r="L991" s="47" t="s">
        <v>1387</v>
      </c>
    </row>
    <row r="992" spans="1:12" ht="14.5" x14ac:dyDescent="0.35">
      <c r="A992" s="47" t="s">
        <v>1365</v>
      </c>
      <c r="B992" s="84">
        <v>8471260</v>
      </c>
      <c r="C992" s="85" t="str">
        <f>VLOOKUP(B992,'[1]KUST cost center'!$B:$C,2,FALSE)</f>
        <v>KUST - Student Life</v>
      </c>
      <c r="D992" s="84">
        <v>432209</v>
      </c>
      <c r="E992" s="85" t="str">
        <f>VLOOKUP(D992,'[1]KUST Account Code'!$A:$B,2,FALSE)</f>
        <v>Laboratory equipment</v>
      </c>
      <c r="F992" s="84">
        <v>847001</v>
      </c>
      <c r="G992" s="85" t="str">
        <f>VLOOKUP(F992,[2]Sheet1!$F:$G,2,FALSE)</f>
        <v>KUST - General</v>
      </c>
      <c r="H992" s="85" t="s">
        <v>25</v>
      </c>
      <c r="I992" s="84">
        <v>200179</v>
      </c>
      <c r="J992" s="8" t="s">
        <v>1215</v>
      </c>
      <c r="K992" s="46" t="s">
        <v>31</v>
      </c>
      <c r="L992" s="47" t="s">
        <v>1379</v>
      </c>
    </row>
    <row r="993" spans="1:12" ht="14.5" x14ac:dyDescent="0.35">
      <c r="A993" s="47" t="s">
        <v>1365</v>
      </c>
      <c r="B993" s="84">
        <v>8471260</v>
      </c>
      <c r="C993" s="85" t="str">
        <f>VLOOKUP(B993,'[1]KUST cost center'!$B:$C,2,FALSE)</f>
        <v>KUST - Student Life</v>
      </c>
      <c r="D993" s="84">
        <v>435530</v>
      </c>
      <c r="E993" s="85" t="str">
        <f>VLOOKUP(D993,'[1]KUST Account Code'!$A:$B,2,FALSE)</f>
        <v>School consumables, not specifically mentioned elsewhere</v>
      </c>
      <c r="F993" s="84">
        <v>847001</v>
      </c>
      <c r="G993" s="85" t="str">
        <f>VLOOKUP(F993,[2]Sheet1!$F:$G,2,FALSE)</f>
        <v>KUST - General</v>
      </c>
      <c r="H993" s="85" t="s">
        <v>25</v>
      </c>
      <c r="I993" s="84">
        <v>200179</v>
      </c>
      <c r="J993" s="81" t="s">
        <v>1216</v>
      </c>
      <c r="K993" s="46" t="s">
        <v>31</v>
      </c>
      <c r="L993" s="47" t="s">
        <v>1379</v>
      </c>
    </row>
    <row r="994" spans="1:12" ht="14.5" x14ac:dyDescent="0.35">
      <c r="A994" s="47" t="s">
        <v>1365</v>
      </c>
      <c r="B994" s="84">
        <v>8471260</v>
      </c>
      <c r="C994" s="85" t="str">
        <f>VLOOKUP(B994,'[1]KUST cost center'!$B:$C,2,FALSE)</f>
        <v>KUST - Student Life</v>
      </c>
      <c r="D994" s="84">
        <v>436120</v>
      </c>
      <c r="E994" s="85" t="str">
        <f>VLOOKUP(D994,'[1]KUST Account Code'!$A:$B,2,FALSE)</f>
        <v>Stationery</v>
      </c>
      <c r="F994" s="84">
        <v>847001</v>
      </c>
      <c r="G994" s="85" t="str">
        <f>VLOOKUP(F994,[2]Sheet1!$F:$G,2,FALSE)</f>
        <v>KUST - General</v>
      </c>
      <c r="H994" s="85" t="s">
        <v>25</v>
      </c>
      <c r="I994" s="84">
        <v>200179</v>
      </c>
      <c r="J994" s="8" t="s">
        <v>1217</v>
      </c>
      <c r="K994" s="46" t="s">
        <v>27</v>
      </c>
      <c r="L994" s="47" t="s">
        <v>1379</v>
      </c>
    </row>
    <row r="995" spans="1:12" ht="14.5" x14ac:dyDescent="0.35">
      <c r="A995" s="47" t="s">
        <v>1365</v>
      </c>
      <c r="B995" s="84">
        <v>8471270</v>
      </c>
      <c r="C995" s="85" t="str">
        <f>VLOOKUP(B995,'[1]KUST cost center'!$B:$C,2,FALSE)</f>
        <v>KUST - Libraries</v>
      </c>
      <c r="D995" s="84">
        <v>436110</v>
      </c>
      <c r="E995" s="85" t="str">
        <f>VLOOKUP(D995,'[1]KUST Account Code'!$A:$B,2,FALSE)</f>
        <v>Printing supplies</v>
      </c>
      <c r="F995" s="84">
        <v>847001</v>
      </c>
      <c r="G995" s="85" t="str">
        <f>VLOOKUP(F995,[2]Sheet1!$F:$G,2,FALSE)</f>
        <v>KUST - General</v>
      </c>
      <c r="H995" s="85" t="s">
        <v>25</v>
      </c>
      <c r="I995" s="84">
        <v>200179</v>
      </c>
      <c r="J995" s="81" t="s">
        <v>1218</v>
      </c>
      <c r="K995" s="46" t="s">
        <v>27</v>
      </c>
      <c r="L995" s="47" t="s">
        <v>1379</v>
      </c>
    </row>
    <row r="996" spans="1:12" ht="14.5" x14ac:dyDescent="0.35">
      <c r="A996" s="47" t="s">
        <v>1365</v>
      </c>
      <c r="B996" s="84">
        <v>8471280</v>
      </c>
      <c r="C996" s="85" t="str">
        <f>VLOOKUP(B996,'[1]KUST cost center'!$B:$C,2,FALSE)</f>
        <v>KUST - Center for Teaching &amp; Learning</v>
      </c>
      <c r="D996" s="84">
        <v>425100</v>
      </c>
      <c r="E996" s="85" t="str">
        <f>VLOOKUP(D996,'[1]KUST Account Code'!$A:$B,2,FALSE)</f>
        <v>Advertising</v>
      </c>
      <c r="F996" s="84">
        <v>847001</v>
      </c>
      <c r="G996" s="85" t="str">
        <f>VLOOKUP(F996,[2]Sheet1!$F:$G,2,FALSE)</f>
        <v>KUST - General</v>
      </c>
      <c r="H996" s="85" t="s">
        <v>25</v>
      </c>
      <c r="I996" s="84">
        <v>200179</v>
      </c>
      <c r="J996" s="8" t="s">
        <v>1219</v>
      </c>
      <c r="K996" s="46" t="s">
        <v>1079</v>
      </c>
      <c r="L996" s="47" t="s">
        <v>44</v>
      </c>
    </row>
    <row r="997" spans="1:12" ht="14.5" x14ac:dyDescent="0.35">
      <c r="A997" s="47" t="s">
        <v>1365</v>
      </c>
      <c r="B997" s="84">
        <v>8471280</v>
      </c>
      <c r="C997" s="85" t="str">
        <f>VLOOKUP(B997,'[1]KUST cost center'!$B:$C,2,FALSE)</f>
        <v>KUST - Center for Teaching &amp; Learning</v>
      </c>
      <c r="D997" s="84">
        <v>425550</v>
      </c>
      <c r="E997" s="85" t="str">
        <f>VLOOKUP(D997,'[1]KUST Account Code'!$A:$B,2,FALSE)</f>
        <v>Conferences, seminars and exhibitions and other events: - Overseas event</v>
      </c>
      <c r="F997" s="84">
        <v>847001</v>
      </c>
      <c r="G997" s="85" t="str">
        <f>VLOOKUP(F997,[2]Sheet1!$F:$G,2,FALSE)</f>
        <v>KUST - General</v>
      </c>
      <c r="H997" s="85" t="s">
        <v>25</v>
      </c>
      <c r="I997" s="84">
        <v>200179</v>
      </c>
      <c r="J997" s="81" t="s">
        <v>1220</v>
      </c>
      <c r="K997" s="46" t="s">
        <v>1079</v>
      </c>
      <c r="L997" s="47" t="s">
        <v>1379</v>
      </c>
    </row>
    <row r="998" spans="1:12" ht="14.5" x14ac:dyDescent="0.35">
      <c r="A998" s="47" t="s">
        <v>1365</v>
      </c>
      <c r="B998" s="84">
        <v>8471280</v>
      </c>
      <c r="C998" s="85" t="str">
        <f>VLOOKUP(B998,'[1]KUST cost center'!$B:$C,2,FALSE)</f>
        <v>KUST - Center for Teaching &amp; Learning</v>
      </c>
      <c r="D998" s="84">
        <v>425760</v>
      </c>
      <c r="E998" s="85" t="str">
        <f>VLOOKUP(D998,'[1]KUST Account Code'!$A:$B,2,FALSE)</f>
        <v>Student activities &amp; field trip expenses</v>
      </c>
      <c r="F998" s="84">
        <v>847001</v>
      </c>
      <c r="G998" s="85" t="str">
        <f>VLOOKUP(F998,[2]Sheet1!$F:$G,2,FALSE)</f>
        <v>KUST - General</v>
      </c>
      <c r="H998" s="85" t="s">
        <v>25</v>
      </c>
      <c r="I998" s="84">
        <v>200179</v>
      </c>
      <c r="J998" s="8" t="s">
        <v>1221</v>
      </c>
      <c r="K998" s="46" t="s">
        <v>90</v>
      </c>
      <c r="L998" s="47" t="s">
        <v>1384</v>
      </c>
    </row>
    <row r="999" spans="1:12" ht="14.5" x14ac:dyDescent="0.35">
      <c r="A999" s="47" t="s">
        <v>1365</v>
      </c>
      <c r="B999" s="84">
        <v>8471280</v>
      </c>
      <c r="C999" s="85" t="str">
        <f>VLOOKUP(B999,'[1]KUST cost center'!$B:$C,2,FALSE)</f>
        <v>KUST - Center for Teaching &amp; Learning</v>
      </c>
      <c r="D999" s="84">
        <v>435340</v>
      </c>
      <c r="E999" s="85" t="str">
        <f>VLOOKUP(D999,'[1]KUST Account Code'!$A:$B,2,FALSE)</f>
        <v>Text books and library books</v>
      </c>
      <c r="F999" s="84">
        <v>847001</v>
      </c>
      <c r="G999" s="85" t="str">
        <f>VLOOKUP(F999,[2]Sheet1!$F:$G,2,FALSE)</f>
        <v>KUST - General</v>
      </c>
      <c r="H999" s="85" t="s">
        <v>25</v>
      </c>
      <c r="I999" s="84">
        <v>200179</v>
      </c>
      <c r="J999" s="81" t="s">
        <v>1222</v>
      </c>
      <c r="K999" s="46" t="s">
        <v>31</v>
      </c>
      <c r="L999" s="47" t="s">
        <v>1379</v>
      </c>
    </row>
    <row r="1000" spans="1:12" ht="14.5" x14ac:dyDescent="0.35">
      <c r="A1000" s="47" t="s">
        <v>1365</v>
      </c>
      <c r="B1000" s="84">
        <v>8471280</v>
      </c>
      <c r="C1000" s="85" t="str">
        <f>VLOOKUP(B1000,'[1]KUST cost center'!$B:$C,2,FALSE)</f>
        <v>KUST - Center for Teaching &amp; Learning</v>
      </c>
      <c r="D1000" s="84">
        <v>492316</v>
      </c>
      <c r="E1000" s="85" t="str">
        <f>VLOOKUP(D1000,'[1]KUST Account Code'!$A:$B,2,FALSE)</f>
        <v>Laboratory equipment</v>
      </c>
      <c r="F1000" s="84">
        <v>847001</v>
      </c>
      <c r="G1000" s="85" t="str">
        <f>VLOOKUP(F1000,[2]Sheet1!$F:$G,2,FALSE)</f>
        <v>KUST - General</v>
      </c>
      <c r="H1000" s="85" t="s">
        <v>116</v>
      </c>
      <c r="I1000" s="84">
        <v>300180</v>
      </c>
      <c r="J1000" s="8" t="s">
        <v>1223</v>
      </c>
      <c r="K1000" s="46">
        <v>0</v>
      </c>
      <c r="L1000" s="47" t="s">
        <v>1379</v>
      </c>
    </row>
    <row r="1001" spans="1:12" ht="14.5" x14ac:dyDescent="0.35">
      <c r="A1001" s="47" t="s">
        <v>1371</v>
      </c>
      <c r="B1001" s="84">
        <v>8471305</v>
      </c>
      <c r="C1001" s="85" t="str">
        <f>VLOOKUP(B1001,'[1]KUST cost center'!$B:$C,2,FALSE)</f>
        <v>KUST - Dean Of Medicine</v>
      </c>
      <c r="D1001" s="84">
        <v>420570</v>
      </c>
      <c r="E1001" s="85" t="str">
        <f>VLOOKUP(D1001,'[1]KUST Account Code'!$A:$B,2,FALSE)</f>
        <v>Academic Collaborative Partnership Services</v>
      </c>
      <c r="F1001" s="84">
        <v>847001</v>
      </c>
      <c r="G1001" s="85" t="str">
        <f>VLOOKUP(F1001,[2]Sheet1!$F:$G,2,FALSE)</f>
        <v>KUST - General</v>
      </c>
      <c r="H1001" s="85" t="s">
        <v>25</v>
      </c>
      <c r="I1001" s="84">
        <v>200179</v>
      </c>
      <c r="J1001" s="81" t="s">
        <v>1224</v>
      </c>
      <c r="K1001" s="46" t="s">
        <v>31</v>
      </c>
      <c r="L1001" s="47" t="s">
        <v>1379</v>
      </c>
    </row>
    <row r="1002" spans="1:12" ht="14.5" x14ac:dyDescent="0.35">
      <c r="A1002" s="47" t="s">
        <v>1371</v>
      </c>
      <c r="B1002" s="84">
        <v>8471305</v>
      </c>
      <c r="C1002" s="85" t="str">
        <f>VLOOKUP(B1002,'[1]KUST cost center'!$B:$C,2,FALSE)</f>
        <v>KUST - Dean Of Medicine</v>
      </c>
      <c r="D1002" s="84">
        <v>422100</v>
      </c>
      <c r="E1002" s="85" t="str">
        <f>VLOOKUP(D1002,'[1]KUST Account Code'!$A:$B,2,FALSE)</f>
        <v>Waste management service</v>
      </c>
      <c r="F1002" s="84">
        <v>847001</v>
      </c>
      <c r="G1002" s="85" t="str">
        <f>VLOOKUP(F1002,[2]Sheet1!$F:$G,2,FALSE)</f>
        <v>KUST - General</v>
      </c>
      <c r="H1002" s="85" t="s">
        <v>25</v>
      </c>
      <c r="I1002" s="84">
        <v>200179</v>
      </c>
      <c r="J1002" s="8" t="s">
        <v>1225</v>
      </c>
      <c r="K1002" s="46" t="s">
        <v>571</v>
      </c>
      <c r="L1002" s="47" t="s">
        <v>1379</v>
      </c>
    </row>
    <row r="1003" spans="1:12" ht="14.5" x14ac:dyDescent="0.35">
      <c r="A1003" s="47" t="s">
        <v>1371</v>
      </c>
      <c r="B1003" s="84">
        <v>8471305</v>
      </c>
      <c r="C1003" s="85" t="str">
        <f>VLOOKUP(B1003,'[1]KUST cost center'!$B:$C,2,FALSE)</f>
        <v>KUST - Dean Of Medicine</v>
      </c>
      <c r="D1003" s="84">
        <v>425746</v>
      </c>
      <c r="E1003" s="85" t="str">
        <f>VLOOKUP(D1003,'[1]KUST Account Code'!$A:$B,2,FALSE)</f>
        <v>Student Transport</v>
      </c>
      <c r="F1003" s="84">
        <v>847001</v>
      </c>
      <c r="G1003" s="85" t="str">
        <f>VLOOKUP(F1003,[2]Sheet1!$F:$G,2,FALSE)</f>
        <v>KUST - General</v>
      </c>
      <c r="H1003" s="85" t="s">
        <v>25</v>
      </c>
      <c r="I1003" s="84">
        <v>200179</v>
      </c>
      <c r="J1003" s="81" t="s">
        <v>1226</v>
      </c>
      <c r="K1003" s="46" t="s">
        <v>90</v>
      </c>
      <c r="L1003" s="47" t="s">
        <v>1379</v>
      </c>
    </row>
    <row r="1004" spans="1:12" ht="14.5" x14ac:dyDescent="0.35">
      <c r="A1004" s="47" t="s">
        <v>1371</v>
      </c>
      <c r="B1004" s="84">
        <v>8471305</v>
      </c>
      <c r="C1004" s="85" t="str">
        <f>VLOOKUP(B1004,'[1]KUST cost center'!$B:$C,2,FALSE)</f>
        <v>KUST - Dean Of Medicine</v>
      </c>
      <c r="D1004" s="84">
        <v>426900</v>
      </c>
      <c r="E1004" s="85" t="str">
        <f>VLOOKUP(D1004,'[1]KUST Account Code'!$A:$B,2,FALSE)</f>
        <v>Postal, courier and other document delivery expenses</v>
      </c>
      <c r="F1004" s="84">
        <v>847001</v>
      </c>
      <c r="G1004" s="85" t="str">
        <f>VLOOKUP(F1004,[2]Sheet1!$F:$G,2,FALSE)</f>
        <v>KUST - General</v>
      </c>
      <c r="H1004" s="85" t="s">
        <v>25</v>
      </c>
      <c r="I1004" s="84">
        <v>200179</v>
      </c>
      <c r="J1004" s="8" t="s">
        <v>1227</v>
      </c>
      <c r="K1004" s="46" t="s">
        <v>39</v>
      </c>
      <c r="L1004" s="47" t="s">
        <v>1379</v>
      </c>
    </row>
    <row r="1005" spans="1:12" ht="14.5" x14ac:dyDescent="0.35">
      <c r="A1005" s="47" t="s">
        <v>1371</v>
      </c>
      <c r="B1005" s="84">
        <v>8471305</v>
      </c>
      <c r="C1005" s="85" t="str">
        <f>VLOOKUP(B1005,'[1]KUST cost center'!$B:$C,2,FALSE)</f>
        <v>KUST - Dean Of Medicine</v>
      </c>
      <c r="D1005" s="84">
        <v>427100</v>
      </c>
      <c r="E1005" s="85" t="str">
        <f>VLOOKUP(D1005,'[1]KUST Account Code'!$A:$B,2,FALSE)</f>
        <v>Public relations</v>
      </c>
      <c r="F1005" s="84">
        <v>847001</v>
      </c>
      <c r="G1005" s="85" t="str">
        <f>VLOOKUP(F1005,[2]Sheet1!$F:$G,2,FALSE)</f>
        <v>KUST - General</v>
      </c>
      <c r="H1005" s="85" t="s">
        <v>25</v>
      </c>
      <c r="I1005" s="84">
        <v>200179</v>
      </c>
      <c r="J1005" s="81" t="s">
        <v>1228</v>
      </c>
      <c r="K1005" s="46" t="s">
        <v>1079</v>
      </c>
      <c r="L1005" s="47" t="s">
        <v>1386</v>
      </c>
    </row>
    <row r="1006" spans="1:12" ht="14.5" x14ac:dyDescent="0.35">
      <c r="A1006" s="47" t="s">
        <v>1371</v>
      </c>
      <c r="B1006" s="84">
        <v>8471305</v>
      </c>
      <c r="C1006" s="85" t="str">
        <f>VLOOKUP(B1006,'[1]KUST cost center'!$B:$C,2,FALSE)</f>
        <v>KUST - Dean Of Medicine</v>
      </c>
      <c r="D1006" s="84">
        <v>427810</v>
      </c>
      <c r="E1006" s="85" t="str">
        <f>VLOOKUP(D1006,'[1]KUST Account Code'!$A:$B,2,FALSE)</f>
        <v>Telephone and telefax charges</v>
      </c>
      <c r="F1006" s="84">
        <v>847001</v>
      </c>
      <c r="G1006" s="85" t="str">
        <f>VLOOKUP(F1006,[2]Sheet1!$F:$G,2,FALSE)</f>
        <v>KUST - General</v>
      </c>
      <c r="H1006" s="85" t="s">
        <v>25</v>
      </c>
      <c r="I1006" s="84">
        <v>200179</v>
      </c>
      <c r="J1006" s="8" t="s">
        <v>1229</v>
      </c>
      <c r="K1006" s="46" t="s">
        <v>574</v>
      </c>
      <c r="L1006" s="47" t="s">
        <v>1379</v>
      </c>
    </row>
    <row r="1007" spans="1:12" ht="14.5" x14ac:dyDescent="0.35">
      <c r="A1007" s="47" t="s">
        <v>1371</v>
      </c>
      <c r="B1007" s="84">
        <v>8471305</v>
      </c>
      <c r="C1007" s="85" t="str">
        <f>VLOOKUP(B1007,'[1]KUST cost center'!$B:$C,2,FALSE)</f>
        <v>KUST - Dean Of Medicine</v>
      </c>
      <c r="D1007" s="84">
        <v>428400</v>
      </c>
      <c r="E1007" s="85" t="str">
        <f>VLOOKUP(D1007,'[1]KUST Account Code'!$A:$B,2,FALSE)</f>
        <v>Sponsorship expenses/contributions</v>
      </c>
      <c r="F1007" s="84">
        <v>847001</v>
      </c>
      <c r="G1007" s="85" t="str">
        <f>VLOOKUP(F1007,[2]Sheet1!$F:$G,2,FALSE)</f>
        <v>KUST - General</v>
      </c>
      <c r="H1007" s="85" t="s">
        <v>25</v>
      </c>
      <c r="I1007" s="84">
        <v>200179</v>
      </c>
      <c r="J1007" s="81" t="s">
        <v>1230</v>
      </c>
      <c r="K1007" s="46" t="s">
        <v>1082</v>
      </c>
      <c r="L1007" s="47" t="s">
        <v>1379</v>
      </c>
    </row>
    <row r="1008" spans="1:12" ht="14.5" x14ac:dyDescent="0.35">
      <c r="A1008" s="47" t="s">
        <v>1359</v>
      </c>
      <c r="B1008" s="84">
        <v>8470130</v>
      </c>
      <c r="C1008" s="85" t="str">
        <f>VLOOKUP(B1008,'[1]KUST cost center'!$B:$C,2,FALSE)</f>
        <v>KUST - Institutional Research &amp; Planning</v>
      </c>
      <c r="D1008" s="84">
        <v>427710</v>
      </c>
      <c r="E1008" s="85" t="str">
        <f>VLOOKUP(D1008,'[1]KUST Account Code'!$A:$B,2,FALSE)</f>
        <v>Subscriptions and membership fees: Trade organisations</v>
      </c>
      <c r="F1008" s="84">
        <v>847001</v>
      </c>
      <c r="G1008" s="85" t="str">
        <f>VLOOKUP(F1008,[2]Sheet1!$F:$G,2,FALSE)</f>
        <v>KUST - General</v>
      </c>
      <c r="H1008" s="85" t="s">
        <v>25</v>
      </c>
      <c r="I1008" s="84">
        <v>200179</v>
      </c>
      <c r="J1008" s="8" t="s">
        <v>1231</v>
      </c>
      <c r="K1008" s="46" t="s">
        <v>31</v>
      </c>
      <c r="L1008" s="47" t="s">
        <v>1379</v>
      </c>
    </row>
    <row r="1009" spans="1:12" ht="14.5" x14ac:dyDescent="0.35">
      <c r="A1009" s="47" t="s">
        <v>1359</v>
      </c>
      <c r="B1009" s="84">
        <v>8470140</v>
      </c>
      <c r="C1009" s="85" t="str">
        <f>VLOOKUP(B1009,'[1]KUST cost center'!$B:$C,2,FALSE)</f>
        <v>KUST - Communication</v>
      </c>
      <c r="D1009" s="84">
        <v>492310</v>
      </c>
      <c r="E1009" s="85" t="str">
        <f>VLOOKUP(D1009,'[1]KUST Account Code'!$A:$B,2,FALSE)</f>
        <v>Hardware &amp; peripherals</v>
      </c>
      <c r="F1009" s="84">
        <v>847001</v>
      </c>
      <c r="G1009" s="85" t="str">
        <f>VLOOKUP(F1009,[2]Sheet1!$F:$G,2,FALSE)</f>
        <v>KUST - General</v>
      </c>
      <c r="H1009" s="85" t="s">
        <v>116</v>
      </c>
      <c r="I1009" s="84">
        <v>300180</v>
      </c>
      <c r="J1009" s="81" t="s">
        <v>1232</v>
      </c>
      <c r="K1009" s="46">
        <v>0</v>
      </c>
      <c r="L1009" s="47" t="s">
        <v>1379</v>
      </c>
    </row>
    <row r="1010" spans="1:12" ht="14.5" x14ac:dyDescent="0.35">
      <c r="A1010" s="47" t="s">
        <v>1363</v>
      </c>
      <c r="B1010" s="84">
        <v>8470315</v>
      </c>
      <c r="C1010" s="85" t="str">
        <f>VLOOKUP(B1010,'[1]KUST cost center'!$B:$C,2,FALSE)</f>
        <v>KUST - Biomedical Engineering</v>
      </c>
      <c r="D1010" s="84">
        <v>435508</v>
      </c>
      <c r="E1010" s="85" t="str">
        <f>VLOOKUP(D1010,'[1]KUST Account Code'!$A:$B,2,FALSE)</f>
        <v>Laboratory - Scientific</v>
      </c>
      <c r="F1010" s="84">
        <v>847951</v>
      </c>
      <c r="G1010" s="85" t="str">
        <f>VLOOKUP(F1010,[2]Sheet1!$F:$G,2,FALSE)</f>
        <v>COVID-19 Pandemic</v>
      </c>
      <c r="H1010" s="85" t="s">
        <v>25</v>
      </c>
      <c r="I1010" s="84">
        <v>200179</v>
      </c>
      <c r="J1010" s="8" t="s">
        <v>1233</v>
      </c>
      <c r="K1010" s="46" t="s">
        <v>31</v>
      </c>
      <c r="L1010" s="47" t="s">
        <v>1379</v>
      </c>
    </row>
    <row r="1011" spans="1:12" ht="14.5" x14ac:dyDescent="0.35">
      <c r="A1011" s="47" t="s">
        <v>1363</v>
      </c>
      <c r="B1011" s="84">
        <v>8470325</v>
      </c>
      <c r="C1011" s="85" t="str">
        <f>VLOOKUP(B1011,'[1]KUST cost center'!$B:$C,2,FALSE)</f>
        <v>KUST - Civil Engineering</v>
      </c>
      <c r="D1011" s="84">
        <v>435509</v>
      </c>
      <c r="E1011" s="85" t="s">
        <v>1396</v>
      </c>
      <c r="F1011" s="84">
        <v>847001</v>
      </c>
      <c r="G1011" s="85" t="str">
        <f>VLOOKUP(F1011,[2]Sheet1!$F:$G,2,FALSE)</f>
        <v>KUST - General</v>
      </c>
      <c r="H1011" s="85" t="s">
        <v>25</v>
      </c>
      <c r="I1011" s="84">
        <v>200179</v>
      </c>
      <c r="J1011" s="81" t="s">
        <v>1234</v>
      </c>
      <c r="K1011" s="46">
        <v>0</v>
      </c>
      <c r="L1011" s="47" t="s">
        <v>1379</v>
      </c>
    </row>
    <row r="1012" spans="1:12" ht="14.5" x14ac:dyDescent="0.35">
      <c r="A1012" s="47" t="s">
        <v>1363</v>
      </c>
      <c r="B1012" s="84">
        <v>8470340</v>
      </c>
      <c r="C1012" s="85" t="str">
        <f>VLOOKUP(B1012,'[1]KUST cost center'!$B:$C,2,FALSE)</f>
        <v>KUST - Mechanical Engineering</v>
      </c>
      <c r="D1012" s="84">
        <v>432209</v>
      </c>
      <c r="E1012" s="85" t="str">
        <f>VLOOKUP(D1012,'[1]KUST Account Code'!$A:$B,2,FALSE)</f>
        <v>Laboratory equipment</v>
      </c>
      <c r="F1012" s="84">
        <v>847001</v>
      </c>
      <c r="G1012" s="85" t="str">
        <f>VLOOKUP(F1012,[2]Sheet1!$F:$G,2,FALSE)</f>
        <v>KUST - General</v>
      </c>
      <c r="H1012" s="85" t="s">
        <v>25</v>
      </c>
      <c r="I1012" s="84">
        <v>200179</v>
      </c>
      <c r="J1012" s="8" t="s">
        <v>1235</v>
      </c>
      <c r="K1012" s="46" t="s">
        <v>31</v>
      </c>
      <c r="L1012" s="47" t="s">
        <v>1379</v>
      </c>
    </row>
    <row r="1013" spans="1:12" ht="14.5" x14ac:dyDescent="0.35">
      <c r="A1013" s="47" t="s">
        <v>1357</v>
      </c>
      <c r="B1013" s="84">
        <v>8470405</v>
      </c>
      <c r="C1013" s="85" t="str">
        <f>VLOOKUP(B1013,'[1]KUST cost center'!$B:$C,2,FALSE)</f>
        <v>KUST - Dean Of Arts &amp; Science</v>
      </c>
      <c r="D1013" s="84">
        <v>427710</v>
      </c>
      <c r="E1013" s="85" t="str">
        <f>VLOOKUP(D1013,'[1]KUST Account Code'!$A:$B,2,FALSE)</f>
        <v>Subscriptions and membership fees: Trade organisations</v>
      </c>
      <c r="F1013" s="84">
        <v>847001</v>
      </c>
      <c r="G1013" s="85" t="str">
        <f>VLOOKUP(F1013,[2]Sheet1!$F:$G,2,FALSE)</f>
        <v>KUST - General</v>
      </c>
      <c r="H1013" s="85" t="s">
        <v>25</v>
      </c>
      <c r="I1013" s="84">
        <v>200179</v>
      </c>
      <c r="J1013" s="81" t="s">
        <v>1236</v>
      </c>
      <c r="K1013" s="46" t="s">
        <v>31</v>
      </c>
      <c r="L1013" s="47" t="s">
        <v>1379</v>
      </c>
    </row>
    <row r="1014" spans="1:12" ht="14.5" x14ac:dyDescent="0.35">
      <c r="A1014" s="47" t="s">
        <v>1357</v>
      </c>
      <c r="B1014" s="84">
        <v>8470425</v>
      </c>
      <c r="C1014" s="85" t="str">
        <f>VLOOKUP(B1014,'[1]KUST cost center'!$B:$C,2,FALSE)</f>
        <v>KUST - Physics</v>
      </c>
      <c r="D1014" s="84">
        <v>426610</v>
      </c>
      <c r="E1014" s="85" t="str">
        <f>VLOOKUP(D1014,'[1]KUST Account Code'!$A:$B,2,FALSE)</f>
        <v>Computer software licenses</v>
      </c>
      <c r="F1014" s="84">
        <v>847001</v>
      </c>
      <c r="G1014" s="85" t="str">
        <f>VLOOKUP(F1014,[2]Sheet1!$F:$G,2,FALSE)</f>
        <v>KUST - General</v>
      </c>
      <c r="H1014" s="85" t="s">
        <v>25</v>
      </c>
      <c r="I1014" s="84">
        <v>200179</v>
      </c>
      <c r="J1014" s="8" t="s">
        <v>1237</v>
      </c>
      <c r="K1014" s="46" t="s">
        <v>574</v>
      </c>
      <c r="L1014" s="47" t="s">
        <v>1385</v>
      </c>
    </row>
    <row r="1015" spans="1:12" ht="14.5" x14ac:dyDescent="0.35">
      <c r="A1015" s="47" t="s">
        <v>1358</v>
      </c>
      <c r="B1015" s="84">
        <v>8470530</v>
      </c>
      <c r="C1015" s="85" t="str">
        <f>VLOOKUP(B1015,'[1]KUST cost center'!$B:$C,2,FALSE)</f>
        <v>KUST - Facilities Management</v>
      </c>
      <c r="D1015" s="84">
        <v>420310</v>
      </c>
      <c r="E1015" s="85" t="str">
        <f>VLOOKUP(D1015,'[1]KUST Account Code'!$A:$B,2,FALSE)</f>
        <v>Cleaning: Business premises</v>
      </c>
      <c r="F1015" s="84">
        <v>847015</v>
      </c>
      <c r="G1015" s="85" t="str">
        <f>VLOOKUP(F1015,[2]Sheet1!$F:$G,2,FALSE)</f>
        <v>Student Related Costs</v>
      </c>
      <c r="H1015" s="85" t="s">
        <v>25</v>
      </c>
      <c r="I1015" s="84">
        <v>200179</v>
      </c>
      <c r="J1015" s="81" t="s">
        <v>1238</v>
      </c>
      <c r="K1015" s="46" t="s">
        <v>571</v>
      </c>
      <c r="L1015" s="47" t="s">
        <v>1379</v>
      </c>
    </row>
    <row r="1016" spans="1:12" ht="14.5" x14ac:dyDescent="0.35">
      <c r="A1016" s="47" t="s">
        <v>1358</v>
      </c>
      <c r="B1016" s="84">
        <v>8470530</v>
      </c>
      <c r="C1016" s="85" t="str">
        <f>VLOOKUP(B1016,'[1]KUST cost center'!$B:$C,2,FALSE)</f>
        <v>KUST - Facilities Management</v>
      </c>
      <c r="D1016" s="84">
        <v>421600</v>
      </c>
      <c r="E1016" s="85" t="str">
        <f>VLOOKUP(D1016,'[1]KUST Account Code'!$A:$B,2,FALSE)</f>
        <v>Security service</v>
      </c>
      <c r="F1016" s="84">
        <v>847015</v>
      </c>
      <c r="G1016" s="85" t="str">
        <f>VLOOKUP(F1016,[2]Sheet1!$F:$G,2,FALSE)</f>
        <v>Student Related Costs</v>
      </c>
      <c r="H1016" s="85" t="s">
        <v>25</v>
      </c>
      <c r="I1016" s="84">
        <v>200179</v>
      </c>
      <c r="J1016" s="8" t="s">
        <v>1239</v>
      </c>
      <c r="K1016" s="46" t="s">
        <v>571</v>
      </c>
      <c r="L1016" s="47" t="s">
        <v>1379</v>
      </c>
    </row>
    <row r="1017" spans="1:12" ht="14.5" x14ac:dyDescent="0.35">
      <c r="A1017" s="47" t="s">
        <v>1358</v>
      </c>
      <c r="B1017" s="84">
        <v>8470530</v>
      </c>
      <c r="C1017" s="85" t="str">
        <f>VLOOKUP(B1017,'[1]KUST cost center'!$B:$C,2,FALSE)</f>
        <v>KUST - Facilities Management</v>
      </c>
      <c r="D1017" s="84">
        <v>428112</v>
      </c>
      <c r="E1017" s="85" t="str">
        <f>VLOOKUP(D1017,'[1]KUST Account Code'!$A:$B,2,FALSE)</f>
        <v>Water consumption charges</v>
      </c>
      <c r="F1017" s="84">
        <v>847030</v>
      </c>
      <c r="G1017" s="85" t="str">
        <f>VLOOKUP(F1017,[2]Sheet1!$F:$G,2,FALSE)</f>
        <v>KUST- Masdar city campus</v>
      </c>
      <c r="H1017" s="85" t="s">
        <v>25</v>
      </c>
      <c r="I1017" s="84">
        <v>200179</v>
      </c>
      <c r="J1017" s="81" t="s">
        <v>1240</v>
      </c>
      <c r="K1017" s="46" t="s">
        <v>571</v>
      </c>
      <c r="L1017" s="47" t="s">
        <v>1379</v>
      </c>
    </row>
    <row r="1018" spans="1:12" ht="14.5" x14ac:dyDescent="0.35">
      <c r="A1018" s="47" t="s">
        <v>1358</v>
      </c>
      <c r="B1018" s="84">
        <v>8470530</v>
      </c>
      <c r="C1018" s="85" t="str">
        <f>VLOOKUP(B1018,'[1]KUST cost center'!$B:$C,2,FALSE)</f>
        <v>KUST - Facilities Management</v>
      </c>
      <c r="D1018" s="84">
        <v>432120</v>
      </c>
      <c r="E1018" s="85" t="str">
        <f>VLOOKUP(D1018,'[1]KUST Account Code'!$A:$B,2,FALSE)</f>
        <v>Bldg maintenance-Business premises</v>
      </c>
      <c r="F1018" s="84">
        <v>847951</v>
      </c>
      <c r="G1018" s="85" t="str">
        <f>VLOOKUP(F1018,[2]Sheet1!$F:$G,2,FALSE)</f>
        <v>COVID-19 Pandemic</v>
      </c>
      <c r="H1018" s="85" t="s">
        <v>25</v>
      </c>
      <c r="I1018" s="84">
        <v>200179</v>
      </c>
      <c r="J1018" s="8" t="s">
        <v>1241</v>
      </c>
      <c r="K1018" s="46" t="s">
        <v>571</v>
      </c>
      <c r="L1018" s="47" t="s">
        <v>1379</v>
      </c>
    </row>
    <row r="1019" spans="1:12" ht="14.5" x14ac:dyDescent="0.35">
      <c r="A1019" s="47" t="s">
        <v>1358</v>
      </c>
      <c r="B1019" s="84">
        <v>8470530</v>
      </c>
      <c r="C1019" s="85" t="str">
        <f>VLOOKUP(B1019,'[1]KUST cost center'!$B:$C,2,FALSE)</f>
        <v>KUST - Facilities Management</v>
      </c>
      <c r="D1019" s="84">
        <v>432540</v>
      </c>
      <c r="E1019" s="85" t="str">
        <f>VLOOKUP(D1019,'[1]KUST Account Code'!$A:$B,2,FALSE)</f>
        <v>Motor vehicles (non-military)</v>
      </c>
      <c r="F1019" s="84">
        <v>847001</v>
      </c>
      <c r="G1019" s="85" t="str">
        <f>VLOOKUP(F1019,[2]Sheet1!$F:$G,2,FALSE)</f>
        <v>KUST - General</v>
      </c>
      <c r="H1019" s="85" t="s">
        <v>25</v>
      </c>
      <c r="I1019" s="84">
        <v>200179</v>
      </c>
      <c r="J1019" s="81" t="s">
        <v>1242</v>
      </c>
      <c r="K1019" s="46" t="s">
        <v>571</v>
      </c>
      <c r="L1019" s="47" t="s">
        <v>1379</v>
      </c>
    </row>
    <row r="1020" spans="1:12" ht="14.5" x14ac:dyDescent="0.35">
      <c r="A1020" s="47" t="s">
        <v>1358</v>
      </c>
      <c r="B1020" s="84">
        <v>8470530</v>
      </c>
      <c r="C1020" s="85" t="str">
        <f>VLOOKUP(B1020,'[1]KUST cost center'!$B:$C,2,FALSE)</f>
        <v>KUST - Facilities Management</v>
      </c>
      <c r="D1020" s="84">
        <v>436110</v>
      </c>
      <c r="E1020" s="85" t="str">
        <f>VLOOKUP(D1020,'[1]KUST Account Code'!$A:$B,2,FALSE)</f>
        <v>Printing supplies</v>
      </c>
      <c r="F1020" s="84">
        <v>847001</v>
      </c>
      <c r="G1020" s="85" t="str">
        <f>VLOOKUP(F1020,[2]Sheet1!$F:$G,2,FALSE)</f>
        <v>KUST - General</v>
      </c>
      <c r="H1020" s="85" t="s">
        <v>25</v>
      </c>
      <c r="I1020" s="84">
        <v>200179</v>
      </c>
      <c r="J1020" s="8" t="s">
        <v>1243</v>
      </c>
      <c r="K1020" s="46" t="s">
        <v>27</v>
      </c>
      <c r="L1020" s="47" t="s">
        <v>1379</v>
      </c>
    </row>
    <row r="1021" spans="1:12" ht="14.5" x14ac:dyDescent="0.35">
      <c r="A1021" s="47" t="s">
        <v>1358</v>
      </c>
      <c r="B1021" s="84">
        <v>8470530</v>
      </c>
      <c r="C1021" s="85" t="str">
        <f>VLOOKUP(B1021,'[1]KUST cost center'!$B:$C,2,FALSE)</f>
        <v>KUST - Facilities Management</v>
      </c>
      <c r="D1021" s="84">
        <v>436220</v>
      </c>
      <c r="E1021" s="85" t="str">
        <f>VLOOKUP(D1021,'[1]KUST Account Code'!$A:$B,2,FALSE)</f>
        <v>Road signs</v>
      </c>
      <c r="F1021" s="84">
        <v>847020</v>
      </c>
      <c r="G1021" s="85" t="str">
        <f>VLOOKUP(F1021,[2]Sheet1!$F:$G,2,FALSE)</f>
        <v>KUST- Sas Al Nakhl Campus</v>
      </c>
      <c r="H1021" s="85" t="s">
        <v>25</v>
      </c>
      <c r="I1021" s="84">
        <v>200179</v>
      </c>
      <c r="J1021" s="81" t="s">
        <v>1244</v>
      </c>
      <c r="K1021" s="46">
        <v>0</v>
      </c>
      <c r="L1021" s="47" t="s">
        <v>1379</v>
      </c>
    </row>
    <row r="1022" spans="1:12" ht="14.5" x14ac:dyDescent="0.35">
      <c r="A1022" s="47" t="s">
        <v>1358</v>
      </c>
      <c r="B1022" s="84">
        <v>8470530</v>
      </c>
      <c r="C1022" s="85" t="str">
        <f>VLOOKUP(B1022,'[1]KUST cost center'!$B:$C,2,FALSE)</f>
        <v>KUST - Facilities Management</v>
      </c>
      <c r="D1022" s="84">
        <v>492200</v>
      </c>
      <c r="E1022" s="85" t="str">
        <f>VLOOKUP(D1022,'[1]KUST Account Code'!$A:$B,2,FALSE)</f>
        <v>Capital expense - Buildings</v>
      </c>
      <c r="F1022" s="84">
        <v>847001</v>
      </c>
      <c r="G1022" s="85" t="str">
        <f>VLOOKUP(F1022,[2]Sheet1!$F:$G,2,FALSE)</f>
        <v>KUST - General</v>
      </c>
      <c r="H1022" s="85" t="s">
        <v>116</v>
      </c>
      <c r="I1022" s="84">
        <v>300180</v>
      </c>
      <c r="J1022" s="8" t="s">
        <v>1245</v>
      </c>
      <c r="K1022" s="46">
        <v>0</v>
      </c>
      <c r="L1022" s="47" t="s">
        <v>1392</v>
      </c>
    </row>
    <row r="1023" spans="1:12" ht="14.5" x14ac:dyDescent="0.35">
      <c r="A1023" s="47" t="s">
        <v>1358</v>
      </c>
      <c r="B1023" s="84">
        <v>8470530</v>
      </c>
      <c r="C1023" s="85" t="str">
        <f>VLOOKUP(B1023,'[1]KUST cost center'!$B:$C,2,FALSE)</f>
        <v>KUST - Facilities Management</v>
      </c>
      <c r="D1023" s="84">
        <v>492200</v>
      </c>
      <c r="E1023" s="85" t="str">
        <f>VLOOKUP(D1023,'[1]KUST Account Code'!$A:$B,2,FALSE)</f>
        <v>Capital expense - Buildings</v>
      </c>
      <c r="F1023" s="84">
        <v>847015</v>
      </c>
      <c r="G1023" s="85" t="str">
        <f>VLOOKUP(F1023,[2]Sheet1!$F:$G,2,FALSE)</f>
        <v>Student Related Costs</v>
      </c>
      <c r="H1023" s="85" t="s">
        <v>116</v>
      </c>
      <c r="I1023" s="84">
        <v>300180</v>
      </c>
      <c r="J1023" s="81" t="s">
        <v>1246</v>
      </c>
      <c r="K1023" s="46">
        <v>0</v>
      </c>
      <c r="L1023" s="47" t="s">
        <v>1392</v>
      </c>
    </row>
    <row r="1024" spans="1:12" ht="14.5" x14ac:dyDescent="0.35">
      <c r="A1024" s="47" t="s">
        <v>1358</v>
      </c>
      <c r="B1024" s="84">
        <v>8470530</v>
      </c>
      <c r="C1024" s="85" t="str">
        <f>VLOOKUP(B1024,'[1]KUST cost center'!$B:$C,2,FALSE)</f>
        <v>KUST - Facilities Management</v>
      </c>
      <c r="D1024" s="84">
        <v>492200</v>
      </c>
      <c r="E1024" s="85" t="str">
        <f>VLOOKUP(D1024,'[1]KUST Account Code'!$A:$B,2,FALSE)</f>
        <v>Capital expense - Buildings</v>
      </c>
      <c r="F1024" s="84">
        <v>847951</v>
      </c>
      <c r="G1024" s="85" t="str">
        <f>VLOOKUP(F1024,[2]Sheet1!$F:$G,2,FALSE)</f>
        <v>COVID-19 Pandemic</v>
      </c>
      <c r="H1024" s="85" t="s">
        <v>116</v>
      </c>
      <c r="I1024" s="84">
        <v>300180</v>
      </c>
      <c r="J1024" s="8" t="s">
        <v>1247</v>
      </c>
      <c r="K1024" s="46">
        <v>0</v>
      </c>
      <c r="L1024" s="47" t="s">
        <v>1392</v>
      </c>
    </row>
    <row r="1025" spans="1:12" ht="14.5" x14ac:dyDescent="0.35">
      <c r="A1025" s="47" t="s">
        <v>1358</v>
      </c>
      <c r="B1025" s="84">
        <v>8470530</v>
      </c>
      <c r="C1025" s="85" t="str">
        <f>VLOOKUP(B1025,'[1]KUST cost center'!$B:$C,2,FALSE)</f>
        <v>KUST - Facilities Management</v>
      </c>
      <c r="D1025" s="84">
        <v>492316</v>
      </c>
      <c r="E1025" s="85" t="str">
        <f>VLOOKUP(D1025,'[1]KUST Account Code'!$A:$B,2,FALSE)</f>
        <v>Laboratory equipment</v>
      </c>
      <c r="F1025" s="84">
        <v>847010</v>
      </c>
      <c r="G1025" s="85" t="str">
        <f>VLOOKUP(F1025,[2]Sheet1!$F:$G,2,FALSE)</f>
        <v>KUST - Main Campus</v>
      </c>
      <c r="H1025" s="85" t="s">
        <v>116</v>
      </c>
      <c r="I1025" s="84">
        <v>300180</v>
      </c>
      <c r="J1025" s="81" t="s">
        <v>1248</v>
      </c>
      <c r="K1025" s="46">
        <v>0</v>
      </c>
      <c r="L1025" s="47" t="s">
        <v>1379</v>
      </c>
    </row>
    <row r="1026" spans="1:12" ht="14.5" x14ac:dyDescent="0.35">
      <c r="A1026" s="47" t="s">
        <v>1358</v>
      </c>
      <c r="B1026" s="84">
        <v>8470530</v>
      </c>
      <c r="C1026" s="85" t="str">
        <f>VLOOKUP(B1026,'[1]KUST cost center'!$B:$C,2,FALSE)</f>
        <v>KUST - Facilities Management</v>
      </c>
      <c r="D1026" s="84">
        <v>492610</v>
      </c>
      <c r="E1026" s="85" t="str">
        <f>VLOOKUP(D1026,'[1]KUST Account Code'!$A:$B,2,FALSE)</f>
        <v>Furniture &amp; Fixtures - Offices</v>
      </c>
      <c r="F1026" s="84">
        <v>847015</v>
      </c>
      <c r="G1026" s="85" t="str">
        <f>VLOOKUP(F1026,[2]Sheet1!$F:$G,2,FALSE)</f>
        <v>Student Related Costs</v>
      </c>
      <c r="H1026" s="85" t="s">
        <v>116</v>
      </c>
      <c r="I1026" s="84">
        <v>300180</v>
      </c>
      <c r="J1026" s="8" t="s">
        <v>1249</v>
      </c>
      <c r="K1026" s="46">
        <v>0</v>
      </c>
      <c r="L1026" s="47" t="s">
        <v>1393</v>
      </c>
    </row>
    <row r="1027" spans="1:12" ht="14.5" x14ac:dyDescent="0.35">
      <c r="A1027" s="47" t="s">
        <v>1358</v>
      </c>
      <c r="B1027" s="84">
        <v>8470540</v>
      </c>
      <c r="C1027" s="85" t="str">
        <f>VLOOKUP(B1027,'[1]KUST cost center'!$B:$C,2,FALSE)</f>
        <v>KUST - Administration</v>
      </c>
      <c r="D1027" s="84">
        <v>421100</v>
      </c>
      <c r="E1027" s="85" t="str">
        <f>VLOOKUP(D1027,'[1]KUST Account Code'!$A:$B,2,FALSE)</f>
        <v>Manpower supply</v>
      </c>
      <c r="F1027" s="84">
        <v>847010</v>
      </c>
      <c r="G1027" s="85" t="str">
        <f>VLOOKUP(F1027,[2]Sheet1!$F:$G,2,FALSE)</f>
        <v>KUST - Main Campus</v>
      </c>
      <c r="H1027" s="85" t="s">
        <v>25</v>
      </c>
      <c r="I1027" s="84">
        <v>200179</v>
      </c>
      <c r="J1027" s="81" t="s">
        <v>1250</v>
      </c>
      <c r="K1027" s="46" t="s">
        <v>39</v>
      </c>
      <c r="L1027" s="47" t="s">
        <v>1382</v>
      </c>
    </row>
    <row r="1028" spans="1:12" ht="14.5" x14ac:dyDescent="0.35">
      <c r="A1028" s="47" t="s">
        <v>1358</v>
      </c>
      <c r="B1028" s="84">
        <v>8470540</v>
      </c>
      <c r="C1028" s="85" t="str">
        <f>VLOOKUP(B1028,'[1]KUST cost center'!$B:$C,2,FALSE)</f>
        <v>KUST - Administration</v>
      </c>
      <c r="D1028" s="84">
        <v>432540</v>
      </c>
      <c r="E1028" s="85" t="str">
        <f>VLOOKUP(D1028,'[1]KUST Account Code'!$A:$B,2,FALSE)</f>
        <v>Motor vehicles (non-military)</v>
      </c>
      <c r="F1028" s="84">
        <v>847010</v>
      </c>
      <c r="G1028" s="85" t="str">
        <f>VLOOKUP(F1028,[2]Sheet1!$F:$G,2,FALSE)</f>
        <v>KUST - Main Campus</v>
      </c>
      <c r="H1028" s="85" t="s">
        <v>25</v>
      </c>
      <c r="I1028" s="84">
        <v>200179</v>
      </c>
      <c r="J1028" s="8" t="s">
        <v>1251</v>
      </c>
      <c r="K1028" s="46" t="s">
        <v>571</v>
      </c>
      <c r="L1028" s="47" t="s">
        <v>1379</v>
      </c>
    </row>
    <row r="1029" spans="1:12" ht="14.5" x14ac:dyDescent="0.35">
      <c r="A1029" s="47" t="s">
        <v>1358</v>
      </c>
      <c r="B1029" s="84">
        <v>8470540</v>
      </c>
      <c r="C1029" s="85" t="str">
        <f>VLOOKUP(B1029,'[1]KUST cost center'!$B:$C,2,FALSE)</f>
        <v>KUST - Administration</v>
      </c>
      <c r="D1029" s="84">
        <v>435410</v>
      </c>
      <c r="E1029" s="85" t="str">
        <f>VLOOKUP(D1029,'[1]KUST Account Code'!$A:$B,2,FALSE)</f>
        <v>Catering supplies: Offices</v>
      </c>
      <c r="F1029" s="84">
        <v>847020</v>
      </c>
      <c r="G1029" s="85" t="str">
        <f>VLOOKUP(F1029,[2]Sheet1!$F:$G,2,FALSE)</f>
        <v>KUST- Sas Al Nakhl Campus</v>
      </c>
      <c r="H1029" s="85" t="s">
        <v>25</v>
      </c>
      <c r="I1029" s="84">
        <v>200179</v>
      </c>
      <c r="J1029" s="81" t="s">
        <v>1252</v>
      </c>
      <c r="K1029" s="46" t="s">
        <v>27</v>
      </c>
      <c r="L1029" s="47" t="s">
        <v>1379</v>
      </c>
    </row>
    <row r="1030" spans="1:12" ht="14.5" x14ac:dyDescent="0.35">
      <c r="A1030" s="47" t="s">
        <v>1367</v>
      </c>
      <c r="B1030" s="84">
        <v>8470730</v>
      </c>
      <c r="C1030" s="85" t="str">
        <f>VLOOKUP(B1030,'[1]KUST cost center'!$B:$C,2,FALSE)</f>
        <v>KUST - Human Resources</v>
      </c>
      <c r="D1030" s="84">
        <v>427900</v>
      </c>
      <c r="E1030" s="85" t="str">
        <f>VLOOKUP(D1030,'[1]KUST Account Code'!$A:$B,2,FALSE)</f>
        <v>Translation and interpretation service</v>
      </c>
      <c r="F1030" s="84">
        <v>847001</v>
      </c>
      <c r="G1030" s="85" t="str">
        <f>VLOOKUP(F1030,[2]Sheet1!$F:$G,2,FALSE)</f>
        <v>KUST - General</v>
      </c>
      <c r="H1030" s="85" t="s">
        <v>25</v>
      </c>
      <c r="I1030" s="84">
        <v>200179</v>
      </c>
      <c r="J1030" s="8" t="s">
        <v>1253</v>
      </c>
      <c r="K1030" s="46" t="s">
        <v>27</v>
      </c>
      <c r="L1030" s="47" t="s">
        <v>1379</v>
      </c>
    </row>
    <row r="1031" spans="1:12" ht="14.5" x14ac:dyDescent="0.35">
      <c r="A1031" s="47" t="s">
        <v>1367</v>
      </c>
      <c r="B1031" s="84">
        <v>8470730</v>
      </c>
      <c r="C1031" s="85" t="str">
        <f>VLOOKUP(B1031,'[1]KUST cost center'!$B:$C,2,FALSE)</f>
        <v>KUST - Human Resources</v>
      </c>
      <c r="D1031" s="84">
        <v>428640</v>
      </c>
      <c r="E1031" s="85" t="str">
        <f>VLOOKUP(D1031,'[1]KUST Account Code'!$A:$B,2,FALSE)</f>
        <v>Events - Awards, prizes &amp; gifts</v>
      </c>
      <c r="F1031" s="84">
        <v>847001</v>
      </c>
      <c r="G1031" s="85" t="str">
        <f>VLOOKUP(F1031,[2]Sheet1!$F:$G,2,FALSE)</f>
        <v>KUST - General</v>
      </c>
      <c r="H1031" s="85" t="s">
        <v>25</v>
      </c>
      <c r="I1031" s="84">
        <v>200179</v>
      </c>
      <c r="J1031" s="81" t="s">
        <v>1254</v>
      </c>
      <c r="K1031" s="46" t="s">
        <v>1079</v>
      </c>
      <c r="L1031" s="47" t="s">
        <v>1387</v>
      </c>
    </row>
    <row r="1032" spans="1:12" ht="14.5" x14ac:dyDescent="0.35">
      <c r="A1032" s="47" t="s">
        <v>1364</v>
      </c>
      <c r="B1032" s="84">
        <v>8470810</v>
      </c>
      <c r="C1032" s="85" t="str">
        <f>VLOOKUP(B1032,'[1]KUST cost center'!$B:$C,2,FALSE)</f>
        <v>KUST - Ankabut office</v>
      </c>
      <c r="D1032" s="84">
        <v>427850</v>
      </c>
      <c r="E1032" s="85" t="str">
        <f>VLOOKUP(D1032,'[1]KUST Account Code'!$A:$B,2,FALSE)</f>
        <v>Data Transmission charges</v>
      </c>
      <c r="F1032" s="84">
        <v>847951</v>
      </c>
      <c r="G1032" s="85" t="str">
        <f>VLOOKUP(F1032,[2]Sheet1!$F:$G,2,FALSE)</f>
        <v>COVID-19 Pandemic</v>
      </c>
      <c r="H1032" s="85" t="s">
        <v>25</v>
      </c>
      <c r="I1032" s="84">
        <v>200179</v>
      </c>
      <c r="J1032" s="8" t="s">
        <v>1255</v>
      </c>
      <c r="K1032" s="46" t="s">
        <v>574</v>
      </c>
      <c r="L1032" s="47" t="s">
        <v>1379</v>
      </c>
    </row>
    <row r="1033" spans="1:12" ht="14.5" x14ac:dyDescent="0.35">
      <c r="A1033" s="47" t="s">
        <v>1360</v>
      </c>
      <c r="B1033" s="84">
        <v>8471010</v>
      </c>
      <c r="C1033" s="85" t="str">
        <f>VLOOKUP(B1033,'[1]KUST cost center'!$B:$C,2,FALSE)</f>
        <v>KUST - Continuing Education Office</v>
      </c>
      <c r="D1033" s="84">
        <v>425100</v>
      </c>
      <c r="E1033" s="85" t="str">
        <f>VLOOKUP(D1033,'[1]KUST Account Code'!$A:$B,2,FALSE)</f>
        <v>Advertising</v>
      </c>
      <c r="F1033" s="84">
        <v>847001</v>
      </c>
      <c r="G1033" s="85" t="str">
        <f>VLOOKUP(F1033,[2]Sheet1!$F:$G,2,FALSE)</f>
        <v>KUST - General</v>
      </c>
      <c r="H1033" s="85" t="s">
        <v>25</v>
      </c>
      <c r="I1033" s="84">
        <v>200179</v>
      </c>
      <c r="J1033" s="81" t="s">
        <v>1256</v>
      </c>
      <c r="K1033" s="46" t="s">
        <v>1079</v>
      </c>
      <c r="L1033" s="47" t="s">
        <v>44</v>
      </c>
    </row>
    <row r="1034" spans="1:12" ht="14.5" x14ac:dyDescent="0.35">
      <c r="A1034" s="47" t="s">
        <v>1360</v>
      </c>
      <c r="B1034" s="84">
        <v>8471010</v>
      </c>
      <c r="C1034" s="85" t="str">
        <f>VLOOKUP(B1034,'[1]KUST cost center'!$B:$C,2,FALSE)</f>
        <v>KUST - Continuing Education Office</v>
      </c>
      <c r="D1034" s="84">
        <v>425510</v>
      </c>
      <c r="E1034" s="85" t="str">
        <f>VLOOKUP(D1034,'[1]KUST Account Code'!$A:$B,2,FALSE)</f>
        <v>Conferences, seminars and exhibitions and other events: - Local Events</v>
      </c>
      <c r="F1034" s="84">
        <v>847001</v>
      </c>
      <c r="G1034" s="85" t="str">
        <f>VLOOKUP(F1034,[2]Sheet1!$F:$G,2,FALSE)</f>
        <v>KUST - General</v>
      </c>
      <c r="H1034" s="85" t="s">
        <v>25</v>
      </c>
      <c r="I1034" s="84">
        <v>200179</v>
      </c>
      <c r="J1034" s="8" t="s">
        <v>1257</v>
      </c>
      <c r="K1034" s="46" t="s">
        <v>1079</v>
      </c>
      <c r="L1034" s="47" t="s">
        <v>1383</v>
      </c>
    </row>
    <row r="1035" spans="1:12" ht="14.5" x14ac:dyDescent="0.35">
      <c r="A1035" s="47" t="s">
        <v>1360</v>
      </c>
      <c r="B1035" s="84">
        <v>8471010</v>
      </c>
      <c r="C1035" s="85" t="str">
        <f>VLOOKUP(B1035,'[1]KUST cost center'!$B:$C,2,FALSE)</f>
        <v>KUST - Continuing Education Office</v>
      </c>
      <c r="D1035" s="84">
        <v>425550</v>
      </c>
      <c r="E1035" s="85" t="str">
        <f>VLOOKUP(D1035,'[1]KUST Account Code'!$A:$B,2,FALSE)</f>
        <v>Conferences, seminars and exhibitions and other events: - Overseas event</v>
      </c>
      <c r="F1035" s="84">
        <v>847001</v>
      </c>
      <c r="G1035" s="85" t="str">
        <f>VLOOKUP(F1035,[2]Sheet1!$F:$G,2,FALSE)</f>
        <v>KUST - General</v>
      </c>
      <c r="H1035" s="85" t="s">
        <v>25</v>
      </c>
      <c r="I1035" s="84">
        <v>200179</v>
      </c>
      <c r="J1035" s="81" t="s">
        <v>1258</v>
      </c>
      <c r="K1035" s="46" t="s">
        <v>1079</v>
      </c>
      <c r="L1035" s="47" t="s">
        <v>1379</v>
      </c>
    </row>
    <row r="1036" spans="1:12" ht="14.5" x14ac:dyDescent="0.35">
      <c r="A1036" s="47" t="s">
        <v>1360</v>
      </c>
      <c r="B1036" s="84">
        <v>8471010</v>
      </c>
      <c r="C1036" s="85" t="str">
        <f>VLOOKUP(B1036,'[1]KUST cost center'!$B:$C,2,FALSE)</f>
        <v>KUST - Continuing Education Office</v>
      </c>
      <c r="D1036" s="84">
        <v>425900</v>
      </c>
      <c r="E1036" s="85" t="str">
        <f>VLOOKUP(D1036,'[1]KUST Account Code'!$A:$B,2,FALSE)</f>
        <v>Entertainment and hospitality</v>
      </c>
      <c r="F1036" s="84">
        <v>847001</v>
      </c>
      <c r="G1036" s="85" t="str">
        <f>VLOOKUP(F1036,[2]Sheet1!$F:$G,2,FALSE)</f>
        <v>KUST - General</v>
      </c>
      <c r="H1036" s="85" t="s">
        <v>25</v>
      </c>
      <c r="I1036" s="84">
        <v>200179</v>
      </c>
      <c r="J1036" s="8" t="s">
        <v>1259</v>
      </c>
      <c r="K1036" s="46" t="s">
        <v>27</v>
      </c>
      <c r="L1036" s="47" t="s">
        <v>1379</v>
      </c>
    </row>
    <row r="1037" spans="1:12" ht="14.5" x14ac:dyDescent="0.35">
      <c r="A1037" s="47" t="s">
        <v>1360</v>
      </c>
      <c r="B1037" s="84">
        <v>8471010</v>
      </c>
      <c r="C1037" s="85" t="str">
        <f>VLOOKUP(B1037,'[1]KUST cost center'!$B:$C,2,FALSE)</f>
        <v>KUST - Continuing Education Office</v>
      </c>
      <c r="D1037" s="84">
        <v>436110</v>
      </c>
      <c r="E1037" s="85" t="str">
        <f>VLOOKUP(D1037,'[1]KUST Account Code'!$A:$B,2,FALSE)</f>
        <v>Printing supplies</v>
      </c>
      <c r="F1037" s="84">
        <v>847001</v>
      </c>
      <c r="G1037" s="85" t="str">
        <f>VLOOKUP(F1037,[2]Sheet1!$F:$G,2,FALSE)</f>
        <v>KUST - General</v>
      </c>
      <c r="H1037" s="85" t="s">
        <v>25</v>
      </c>
      <c r="I1037" s="84">
        <v>200179</v>
      </c>
      <c r="J1037" s="81" t="s">
        <v>1260</v>
      </c>
      <c r="K1037" s="46" t="s">
        <v>27</v>
      </c>
      <c r="L1037" s="47" t="s">
        <v>1379</v>
      </c>
    </row>
    <row r="1038" spans="1:12" ht="14.5" x14ac:dyDescent="0.35">
      <c r="A1038" s="47" t="s">
        <v>1360</v>
      </c>
      <c r="B1038" s="84">
        <v>8471010</v>
      </c>
      <c r="C1038" s="85" t="str">
        <f>VLOOKUP(B1038,'[1]KUST cost center'!$B:$C,2,FALSE)</f>
        <v>KUST - Continuing Education Office</v>
      </c>
      <c r="D1038" s="84">
        <v>436120</v>
      </c>
      <c r="E1038" s="85" t="str">
        <f>VLOOKUP(D1038,'[1]KUST Account Code'!$A:$B,2,FALSE)</f>
        <v>Stationery</v>
      </c>
      <c r="F1038" s="84">
        <v>847001</v>
      </c>
      <c r="G1038" s="85" t="str">
        <f>VLOOKUP(F1038,[2]Sheet1!$F:$G,2,FALSE)</f>
        <v>KUST - General</v>
      </c>
      <c r="H1038" s="85" t="s">
        <v>25</v>
      </c>
      <c r="I1038" s="84">
        <v>200179</v>
      </c>
      <c r="J1038" s="8" t="s">
        <v>1261</v>
      </c>
      <c r="K1038" s="46" t="s">
        <v>27</v>
      </c>
      <c r="L1038" s="47" t="s">
        <v>1379</v>
      </c>
    </row>
    <row r="1039" spans="1:12" ht="14.5" x14ac:dyDescent="0.35">
      <c r="A1039" s="47" t="s">
        <v>1368</v>
      </c>
      <c r="B1039" s="84">
        <v>8471121</v>
      </c>
      <c r="C1039" s="44" t="s">
        <v>1370</v>
      </c>
      <c r="D1039" s="84">
        <v>435523</v>
      </c>
      <c r="E1039" s="85" t="str">
        <f>VLOOKUP(D1039,'[1]KUST Account Code'!$A:$B,2,FALSE)</f>
        <v>Scientific</v>
      </c>
      <c r="F1039" s="84">
        <v>847001</v>
      </c>
      <c r="G1039" s="85" t="str">
        <f>VLOOKUP(F1039,[2]Sheet1!$F:$G,2,FALSE)</f>
        <v>KUST - General</v>
      </c>
      <c r="H1039" s="85" t="s">
        <v>25</v>
      </c>
      <c r="I1039" s="84">
        <v>200179</v>
      </c>
      <c r="J1039" s="81" t="s">
        <v>1262</v>
      </c>
      <c r="K1039" s="46" t="s">
        <v>1082</v>
      </c>
      <c r="L1039" s="47" t="s">
        <v>1379</v>
      </c>
    </row>
    <row r="1040" spans="1:12" ht="14.5" x14ac:dyDescent="0.35">
      <c r="A1040" s="47" t="s">
        <v>1368</v>
      </c>
      <c r="B1040" s="84">
        <v>8471140</v>
      </c>
      <c r="C1040" s="85" t="str">
        <f>VLOOKUP(B1040,'[1]KUST cost center'!$B:$C,2,FALSE)</f>
        <v>KUST - University Sponsored Research</v>
      </c>
      <c r="D1040" s="84">
        <v>420570</v>
      </c>
      <c r="E1040" s="85" t="str">
        <f>VLOOKUP(D1040,'[1]KUST Account Code'!$A:$B,2,FALSE)</f>
        <v>Academic Collaborative Partnership Services</v>
      </c>
      <c r="F1040" s="84">
        <v>847001</v>
      </c>
      <c r="G1040" s="85" t="str">
        <f>VLOOKUP(F1040,[2]Sheet1!$F:$G,2,FALSE)</f>
        <v>KUST - General</v>
      </c>
      <c r="H1040" s="85" t="s">
        <v>25</v>
      </c>
      <c r="I1040" s="84">
        <v>200179</v>
      </c>
      <c r="J1040" s="8" t="s">
        <v>1263</v>
      </c>
      <c r="K1040" s="46" t="s">
        <v>31</v>
      </c>
      <c r="L1040" s="47" t="s">
        <v>1379</v>
      </c>
    </row>
    <row r="1041" spans="1:12" ht="14.5" x14ac:dyDescent="0.35">
      <c r="A1041" s="47" t="s">
        <v>1368</v>
      </c>
      <c r="B1041" s="84">
        <v>8471140</v>
      </c>
      <c r="C1041" s="85" t="str">
        <f>VLOOKUP(B1041,'[1]KUST cost center'!$B:$C,2,FALSE)</f>
        <v>KUST - University Sponsored Research</v>
      </c>
      <c r="D1041" s="84">
        <v>426610</v>
      </c>
      <c r="E1041" s="85" t="str">
        <f>VLOOKUP(D1041,'[1]KUST Account Code'!$A:$B,2,FALSE)</f>
        <v>Computer software licenses</v>
      </c>
      <c r="F1041" s="84">
        <v>847001</v>
      </c>
      <c r="G1041" s="85" t="str">
        <f>VLOOKUP(F1041,[2]Sheet1!$F:$G,2,FALSE)</f>
        <v>KUST - General</v>
      </c>
      <c r="H1041" s="85" t="s">
        <v>25</v>
      </c>
      <c r="I1041" s="84">
        <v>200179</v>
      </c>
      <c r="J1041" s="81" t="s">
        <v>1264</v>
      </c>
      <c r="K1041" s="46" t="s">
        <v>574</v>
      </c>
      <c r="L1041" s="47" t="s">
        <v>1385</v>
      </c>
    </row>
    <row r="1042" spans="1:12" ht="14.5" x14ac:dyDescent="0.35">
      <c r="A1042" s="47" t="s">
        <v>1368</v>
      </c>
      <c r="B1042" s="84">
        <v>8471160</v>
      </c>
      <c r="C1042" s="85" t="str">
        <f>VLOOKUP(B1042,'[1]KUST cost center'!$B:$C,2,FALSE)</f>
        <v>KUST - Research Laboratories</v>
      </c>
      <c r="D1042" s="84">
        <v>492200</v>
      </c>
      <c r="E1042" s="85" t="str">
        <f>VLOOKUP(D1042,'[1]KUST Account Code'!$A:$B,2,FALSE)</f>
        <v>Capital expense - Buildings</v>
      </c>
      <c r="F1042" s="84">
        <v>847001</v>
      </c>
      <c r="G1042" s="85" t="str">
        <f>VLOOKUP(F1042,[2]Sheet1!$F:$G,2,FALSE)</f>
        <v>KUST - General</v>
      </c>
      <c r="H1042" s="85" t="s">
        <v>116</v>
      </c>
      <c r="I1042" s="84">
        <v>300180</v>
      </c>
      <c r="J1042" s="8" t="s">
        <v>1265</v>
      </c>
      <c r="K1042" s="46">
        <v>0</v>
      </c>
      <c r="L1042" s="47" t="s">
        <v>1392</v>
      </c>
    </row>
    <row r="1043" spans="1:12" ht="14.5" x14ac:dyDescent="0.35">
      <c r="A1043" s="47" t="s">
        <v>1368</v>
      </c>
      <c r="B1043" s="84">
        <v>8471170</v>
      </c>
      <c r="C1043" s="85" t="str">
        <f>VLOOKUP(B1043,'[1]KUST cost center'!$B:$C,2,FALSE)</f>
        <v>KUST - Research Computing</v>
      </c>
      <c r="D1043" s="84">
        <v>492310</v>
      </c>
      <c r="E1043" s="85" t="str">
        <f>VLOOKUP(D1043,'[1]KUST Account Code'!$A:$B,2,FALSE)</f>
        <v>Hardware &amp; peripherals</v>
      </c>
      <c r="F1043" s="84">
        <v>847001</v>
      </c>
      <c r="G1043" s="85" t="str">
        <f>VLOOKUP(F1043,[2]Sheet1!$F:$G,2,FALSE)</f>
        <v>KUST - General</v>
      </c>
      <c r="H1043" s="85" t="s">
        <v>116</v>
      </c>
      <c r="I1043" s="84">
        <v>300180</v>
      </c>
      <c r="J1043" s="81" t="s">
        <v>1266</v>
      </c>
      <c r="K1043" s="46">
        <v>0</v>
      </c>
      <c r="L1043" s="47" t="s">
        <v>1379</v>
      </c>
    </row>
    <row r="1044" spans="1:12" ht="14.5" x14ac:dyDescent="0.35">
      <c r="A1044" s="47" t="s">
        <v>1368</v>
      </c>
      <c r="B1044" s="84">
        <v>8471170</v>
      </c>
      <c r="C1044" s="85" t="str">
        <f>VLOOKUP(B1044,'[1]KUST cost center'!$B:$C,2,FALSE)</f>
        <v>KUST - Research Computing</v>
      </c>
      <c r="D1044" s="84">
        <v>495110</v>
      </c>
      <c r="E1044" s="85" t="s">
        <v>1395</v>
      </c>
      <c r="F1044" s="84">
        <v>847001</v>
      </c>
      <c r="G1044" s="85" t="str">
        <f>VLOOKUP(F1044,[2]Sheet1!$F:$G,2,FALSE)</f>
        <v>KUST - General</v>
      </c>
      <c r="H1044" s="85" t="s">
        <v>116</v>
      </c>
      <c r="I1044" s="84">
        <v>300180</v>
      </c>
      <c r="J1044" s="8" t="s">
        <v>1267</v>
      </c>
      <c r="K1044" s="46">
        <v>0</v>
      </c>
      <c r="L1044" s="47" t="s">
        <v>1379</v>
      </c>
    </row>
    <row r="1045" spans="1:12" ht="14.5" x14ac:dyDescent="0.35">
      <c r="A1045" s="47" t="s">
        <v>1371</v>
      </c>
      <c r="B1045" s="84">
        <v>8471305</v>
      </c>
      <c r="C1045" s="85" t="str">
        <f>VLOOKUP(B1045,'[1]KUST cost center'!$B:$C,2,FALSE)</f>
        <v>KUST - Dean Of Medicine</v>
      </c>
      <c r="D1045" s="84">
        <v>432210</v>
      </c>
      <c r="E1045" s="85" t="s">
        <v>1397</v>
      </c>
      <c r="F1045" s="84">
        <v>847001</v>
      </c>
      <c r="G1045" s="85" t="str">
        <f>VLOOKUP(F1045,[2]Sheet1!$F:$G,2,FALSE)</f>
        <v>KUST - General</v>
      </c>
      <c r="H1045" s="85" t="s">
        <v>25</v>
      </c>
      <c r="I1045" s="84">
        <v>200179</v>
      </c>
      <c r="J1045" s="81" t="s">
        <v>1268</v>
      </c>
      <c r="K1045" s="46" t="s">
        <v>31</v>
      </c>
      <c r="L1045" s="47" t="s">
        <v>1379</v>
      </c>
    </row>
    <row r="1046" spans="1:12" ht="14.5" x14ac:dyDescent="0.35">
      <c r="A1046" s="47" t="s">
        <v>1371</v>
      </c>
      <c r="B1046" s="84">
        <v>8471305</v>
      </c>
      <c r="C1046" s="85" t="str">
        <f>VLOOKUP(B1046,'[1]KUST cost center'!$B:$C,2,FALSE)</f>
        <v>KUST - Dean Of Medicine</v>
      </c>
      <c r="D1046" s="84">
        <v>495140</v>
      </c>
      <c r="E1046" s="85" t="str">
        <f>VLOOKUP(D1046,'[1]KUST Account Code'!$A:$B,2,FALSE)</f>
        <v>Copyrights, patents and licenses</v>
      </c>
      <c r="F1046" s="84">
        <v>847001</v>
      </c>
      <c r="G1046" s="85" t="str">
        <f>VLOOKUP(F1046,[2]Sheet1!$F:$G,2,FALSE)</f>
        <v>KUST - General</v>
      </c>
      <c r="H1046" s="85" t="s">
        <v>116</v>
      </c>
      <c r="I1046" s="84">
        <v>300180</v>
      </c>
      <c r="J1046" s="8" t="s">
        <v>1269</v>
      </c>
      <c r="K1046" s="46">
        <v>0</v>
      </c>
      <c r="L1046" s="47" t="s">
        <v>1394</v>
      </c>
    </row>
  </sheetData>
  <autoFilter ref="A1:L1046" xr:uid="{00000000-0009-0000-0000-000006000000}"/>
  <conditionalFormatting sqref="D1">
    <cfRule type="duplicateValues" dxfId="61" priority="13"/>
  </conditionalFormatting>
  <conditionalFormatting sqref="E1">
    <cfRule type="duplicateValues" dxfId="60" priority="12"/>
  </conditionalFormatting>
  <conditionalFormatting sqref="F1">
    <cfRule type="duplicateValues" dxfId="59" priority="11"/>
  </conditionalFormatting>
  <conditionalFormatting sqref="G1">
    <cfRule type="duplicateValues" dxfId="58" priority="10"/>
  </conditionalFormatting>
  <conditionalFormatting sqref="H1">
    <cfRule type="duplicateValues" dxfId="57" priority="9"/>
  </conditionalFormatting>
  <conditionalFormatting sqref="I1">
    <cfRule type="duplicateValues" dxfId="56" priority="8"/>
  </conditionalFormatting>
  <conditionalFormatting sqref="J1">
    <cfRule type="duplicateValues" dxfId="55" priority="7"/>
  </conditionalFormatting>
  <conditionalFormatting sqref="B1">
    <cfRule type="duplicateValues" dxfId="54" priority="6"/>
  </conditionalFormatting>
  <conditionalFormatting sqref="C1">
    <cfRule type="duplicateValues" dxfId="53" priority="5"/>
  </conditionalFormatting>
  <conditionalFormatting sqref="A1">
    <cfRule type="duplicateValues" dxfId="52" priority="3"/>
  </conditionalFormatting>
  <conditionalFormatting sqref="K1">
    <cfRule type="duplicateValues" dxfId="51" priority="2"/>
  </conditionalFormatting>
  <conditionalFormatting sqref="L1">
    <cfRule type="duplicateValues" dxfId="50" priority="1"/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0"/>
  <sheetViews>
    <sheetView showGridLines="0" topLeftCell="A3" workbookViewId="0">
      <selection activeCell="A3" sqref="A3"/>
    </sheetView>
  </sheetViews>
  <sheetFormatPr defaultRowHeight="14.5" x14ac:dyDescent="0.35"/>
  <cols>
    <col min="1" max="1" width="11.453125" style="1" customWidth="1"/>
    <col min="2" max="2" width="58.1796875" style="1" bestFit="1" customWidth="1"/>
    <col min="3" max="3" width="11.453125" style="1" customWidth="1"/>
  </cols>
  <sheetData>
    <row r="1" spans="1:2" x14ac:dyDescent="0.35">
      <c r="B1" s="108" t="s">
        <v>1413</v>
      </c>
    </row>
    <row r="3" spans="1:2" ht="16.5" customHeight="1" x14ac:dyDescent="0.35">
      <c r="A3" s="87" t="s">
        <v>5</v>
      </c>
      <c r="B3" s="87" t="s">
        <v>6</v>
      </c>
    </row>
    <row r="4" spans="1:2" ht="16.5" customHeight="1" x14ac:dyDescent="0.35">
      <c r="A4" s="88">
        <v>435508</v>
      </c>
      <c r="B4" s="89" t="s">
        <v>104</v>
      </c>
    </row>
    <row r="5" spans="1:2" ht="16.5" customHeight="1" x14ac:dyDescent="0.35">
      <c r="A5" s="88">
        <v>420550</v>
      </c>
      <c r="B5" s="89" t="s">
        <v>30</v>
      </c>
    </row>
    <row r="6" spans="1:2" ht="16.5" customHeight="1" x14ac:dyDescent="0.35">
      <c r="A6" s="88">
        <v>420900</v>
      </c>
      <c r="B6" s="89" t="s">
        <v>205</v>
      </c>
    </row>
    <row r="7" spans="1:2" ht="16.5" customHeight="1" x14ac:dyDescent="0.35">
      <c r="A7" s="88">
        <v>421000</v>
      </c>
      <c r="B7" s="89" t="s">
        <v>36</v>
      </c>
    </row>
    <row r="8" spans="1:2" ht="16.5" customHeight="1" x14ac:dyDescent="0.35">
      <c r="A8" s="88">
        <v>425510</v>
      </c>
      <c r="B8" s="89" t="s">
        <v>46</v>
      </c>
    </row>
    <row r="9" spans="1:2" ht="16.5" customHeight="1" x14ac:dyDescent="0.35">
      <c r="A9" s="88">
        <v>425770</v>
      </c>
      <c r="B9" s="89" t="s">
        <v>72</v>
      </c>
    </row>
    <row r="10" spans="1:2" ht="16.5" customHeight="1" x14ac:dyDescent="0.35">
      <c r="A10" s="88">
        <v>425900</v>
      </c>
      <c r="B10" s="89" t="s">
        <v>75</v>
      </c>
    </row>
    <row r="11" spans="1:2" ht="16.5" customHeight="1" x14ac:dyDescent="0.35">
      <c r="A11" s="88">
        <v>426610</v>
      </c>
      <c r="B11" s="89" t="s">
        <v>80</v>
      </c>
    </row>
    <row r="12" spans="1:2" ht="16.5" customHeight="1" x14ac:dyDescent="0.35">
      <c r="A12" s="88">
        <v>427710</v>
      </c>
      <c r="B12" s="89" t="s">
        <v>84</v>
      </c>
    </row>
    <row r="13" spans="1:2" ht="16.5" customHeight="1" x14ac:dyDescent="0.35">
      <c r="A13" s="88">
        <v>427900</v>
      </c>
      <c r="B13" s="89" t="s">
        <v>660</v>
      </c>
    </row>
    <row r="14" spans="1:2" ht="16.5" customHeight="1" x14ac:dyDescent="0.35">
      <c r="A14" s="88">
        <v>428090</v>
      </c>
      <c r="B14" s="89" t="s">
        <v>86</v>
      </c>
    </row>
    <row r="15" spans="1:2" ht="16.5" customHeight="1" x14ac:dyDescent="0.35">
      <c r="A15" s="88">
        <v>428400</v>
      </c>
      <c r="B15" s="89" t="s">
        <v>746</v>
      </c>
    </row>
    <row r="16" spans="1:2" ht="16.5" customHeight="1" x14ac:dyDescent="0.35">
      <c r="A16" s="88">
        <v>435310</v>
      </c>
      <c r="B16" s="89" t="s">
        <v>96</v>
      </c>
    </row>
    <row r="17" spans="1:2" ht="16.5" customHeight="1" x14ac:dyDescent="0.35">
      <c r="A17" s="88">
        <v>435410</v>
      </c>
      <c r="B17" s="89" t="s">
        <v>102</v>
      </c>
    </row>
    <row r="18" spans="1:2" ht="16.5" customHeight="1" x14ac:dyDescent="0.35">
      <c r="A18" s="88">
        <v>436600</v>
      </c>
      <c r="B18" s="89" t="s">
        <v>977</v>
      </c>
    </row>
    <row r="19" spans="1:2" ht="16.5" customHeight="1" x14ac:dyDescent="0.35">
      <c r="A19" s="88">
        <v>492316</v>
      </c>
      <c r="B19" s="89" t="s">
        <v>94</v>
      </c>
    </row>
    <row r="20" spans="1:2" ht="16.5" customHeight="1" x14ac:dyDescent="0.35">
      <c r="A20" s="88">
        <v>420120</v>
      </c>
      <c r="B20" s="89" t="s">
        <v>158</v>
      </c>
    </row>
    <row r="21" spans="1:2" ht="16.5" customHeight="1" x14ac:dyDescent="0.35">
      <c r="A21" s="88">
        <v>425100</v>
      </c>
      <c r="B21" s="89" t="s">
        <v>44</v>
      </c>
    </row>
    <row r="22" spans="1:2" ht="16.5" customHeight="1" x14ac:dyDescent="0.35">
      <c r="A22" s="88">
        <v>421100</v>
      </c>
      <c r="B22" s="89" t="s">
        <v>232</v>
      </c>
    </row>
    <row r="23" spans="1:2" ht="16.5" customHeight="1" x14ac:dyDescent="0.35">
      <c r="A23" s="88">
        <v>425550</v>
      </c>
      <c r="B23" s="89" t="s">
        <v>49</v>
      </c>
    </row>
    <row r="24" spans="1:2" ht="16.5" customHeight="1" x14ac:dyDescent="0.35">
      <c r="A24" s="88">
        <v>427100</v>
      </c>
      <c r="B24" s="89" t="s">
        <v>635</v>
      </c>
    </row>
    <row r="25" spans="1:2" ht="16.5" customHeight="1" x14ac:dyDescent="0.35">
      <c r="A25" s="88">
        <v>427200</v>
      </c>
      <c r="B25" s="89" t="s">
        <v>82</v>
      </c>
    </row>
    <row r="26" spans="1:2" ht="16.5" customHeight="1" x14ac:dyDescent="0.35">
      <c r="A26" s="88">
        <v>428640</v>
      </c>
      <c r="B26" s="89" t="s">
        <v>89</v>
      </c>
    </row>
    <row r="27" spans="1:2" ht="16.5" customHeight="1" x14ac:dyDescent="0.35">
      <c r="A27" s="88">
        <v>435519</v>
      </c>
      <c r="B27" s="89" t="s">
        <v>107</v>
      </c>
    </row>
    <row r="28" spans="1:2" ht="16.5" customHeight="1" x14ac:dyDescent="0.35">
      <c r="A28" s="88">
        <v>436110</v>
      </c>
      <c r="B28" s="89" t="s">
        <v>111</v>
      </c>
    </row>
    <row r="29" spans="1:2" ht="16.5" customHeight="1" x14ac:dyDescent="0.35">
      <c r="A29" s="88">
        <v>425740</v>
      </c>
      <c r="B29" s="89" t="s">
        <v>372</v>
      </c>
    </row>
    <row r="30" spans="1:2" ht="16.5" customHeight="1" x14ac:dyDescent="0.35">
      <c r="A30" s="88">
        <v>425741</v>
      </c>
      <c r="B30" s="89" t="s">
        <v>54</v>
      </c>
    </row>
    <row r="31" spans="1:2" ht="16.5" customHeight="1" x14ac:dyDescent="0.35">
      <c r="A31" s="88">
        <v>425742</v>
      </c>
      <c r="B31" s="89" t="s">
        <v>57</v>
      </c>
    </row>
    <row r="32" spans="1:2" ht="16.5" customHeight="1" x14ac:dyDescent="0.35">
      <c r="A32" s="88">
        <v>425743</v>
      </c>
      <c r="B32" s="89" t="s">
        <v>385</v>
      </c>
    </row>
    <row r="33" spans="1:2" ht="16.5" customHeight="1" x14ac:dyDescent="0.35">
      <c r="A33" s="88">
        <v>425744</v>
      </c>
      <c r="B33" s="89" t="s">
        <v>388</v>
      </c>
    </row>
    <row r="34" spans="1:2" ht="16.5" customHeight="1" x14ac:dyDescent="0.35">
      <c r="A34" s="88">
        <v>425745</v>
      </c>
      <c r="B34" s="89" t="s">
        <v>59</v>
      </c>
    </row>
    <row r="35" spans="1:2" ht="16.5" customHeight="1" x14ac:dyDescent="0.35">
      <c r="A35" s="88">
        <v>425749</v>
      </c>
      <c r="B35" s="89" t="s">
        <v>61</v>
      </c>
    </row>
    <row r="36" spans="1:2" ht="16.5" customHeight="1" x14ac:dyDescent="0.35">
      <c r="A36" s="88">
        <v>425761</v>
      </c>
      <c r="B36" s="89" t="s">
        <v>414</v>
      </c>
    </row>
    <row r="37" spans="1:2" ht="16.5" customHeight="1" x14ac:dyDescent="0.35">
      <c r="A37" s="88">
        <v>435340</v>
      </c>
      <c r="B37" s="89" t="s">
        <v>100</v>
      </c>
    </row>
    <row r="38" spans="1:2" ht="16.5" customHeight="1" x14ac:dyDescent="0.35">
      <c r="A38" s="88">
        <v>420570</v>
      </c>
      <c r="B38" s="89" t="s">
        <v>194</v>
      </c>
    </row>
    <row r="39" spans="1:2" ht="16.5" customHeight="1" x14ac:dyDescent="0.35">
      <c r="A39" s="88">
        <v>421700</v>
      </c>
      <c r="B39" s="89" t="s">
        <v>40</v>
      </c>
    </row>
    <row r="40" spans="1:2" ht="16.5" customHeight="1" x14ac:dyDescent="0.35">
      <c r="A40" s="88">
        <v>425720</v>
      </c>
      <c r="B40" s="89" t="s">
        <v>51</v>
      </c>
    </row>
    <row r="41" spans="1:2" ht="16.5" customHeight="1" x14ac:dyDescent="0.35">
      <c r="A41" s="88">
        <v>425763</v>
      </c>
      <c r="B41" s="89" t="s">
        <v>69</v>
      </c>
    </row>
    <row r="42" spans="1:2" ht="16.5" customHeight="1" x14ac:dyDescent="0.35">
      <c r="A42" s="88">
        <v>426220</v>
      </c>
      <c r="B42" s="89" t="s">
        <v>555</v>
      </c>
    </row>
    <row r="43" spans="1:2" ht="16.5" customHeight="1" x14ac:dyDescent="0.35">
      <c r="A43" s="88">
        <v>432209</v>
      </c>
      <c r="B43" s="89" t="s">
        <v>94</v>
      </c>
    </row>
    <row r="44" spans="1:2" ht="16.5" customHeight="1" x14ac:dyDescent="0.35">
      <c r="A44" s="88">
        <v>432690</v>
      </c>
      <c r="B44" s="89" t="s">
        <v>823</v>
      </c>
    </row>
    <row r="45" spans="1:2" ht="16.5" customHeight="1" x14ac:dyDescent="0.35">
      <c r="A45" s="88">
        <v>435350</v>
      </c>
      <c r="B45" s="89" t="s">
        <v>848</v>
      </c>
    </row>
    <row r="46" spans="1:2" ht="16.5" customHeight="1" x14ac:dyDescent="0.35">
      <c r="A46" s="88">
        <v>425760</v>
      </c>
      <c r="B46" s="89" t="s">
        <v>65</v>
      </c>
    </row>
    <row r="47" spans="1:2" ht="16.5" customHeight="1" x14ac:dyDescent="0.35">
      <c r="A47" s="88">
        <v>430120</v>
      </c>
      <c r="B47" s="89" t="s">
        <v>760</v>
      </c>
    </row>
    <row r="48" spans="1:2" ht="16.5" customHeight="1" x14ac:dyDescent="0.35">
      <c r="A48" s="88">
        <v>492200</v>
      </c>
      <c r="B48" s="89" t="s">
        <v>115</v>
      </c>
    </row>
    <row r="49" spans="1:2" ht="16.5" customHeight="1" x14ac:dyDescent="0.35">
      <c r="A49" s="88">
        <v>495140</v>
      </c>
      <c r="B49" s="89" t="s">
        <v>1069</v>
      </c>
    </row>
    <row r="50" spans="1:2" ht="16.5" customHeight="1" x14ac:dyDescent="0.35">
      <c r="A50" s="88">
        <v>432120</v>
      </c>
      <c r="B50" s="89" t="s">
        <v>775</v>
      </c>
    </row>
    <row r="51" spans="1:2" ht="16.5" customHeight="1" x14ac:dyDescent="0.35">
      <c r="A51" s="88">
        <v>421600</v>
      </c>
      <c r="B51" s="89" t="s">
        <v>254</v>
      </c>
    </row>
    <row r="52" spans="1:2" ht="16.5" customHeight="1" x14ac:dyDescent="0.35">
      <c r="A52" s="88">
        <v>422100</v>
      </c>
      <c r="B52" s="89" t="s">
        <v>283</v>
      </c>
    </row>
    <row r="53" spans="1:2" ht="16.5" customHeight="1" x14ac:dyDescent="0.35">
      <c r="A53" s="88">
        <v>428200</v>
      </c>
      <c r="B53" s="89" t="s">
        <v>739</v>
      </c>
    </row>
    <row r="54" spans="1:2" ht="16.5" customHeight="1" x14ac:dyDescent="0.35">
      <c r="A54" s="88">
        <v>420310</v>
      </c>
      <c r="B54" s="89" t="s">
        <v>166</v>
      </c>
    </row>
    <row r="55" spans="1:2" ht="16.5" customHeight="1" x14ac:dyDescent="0.35">
      <c r="A55" s="88">
        <v>426210</v>
      </c>
      <c r="B55" s="89" t="s">
        <v>552</v>
      </c>
    </row>
    <row r="56" spans="1:2" ht="16.5" customHeight="1" x14ac:dyDescent="0.35">
      <c r="A56" s="88">
        <v>426250</v>
      </c>
      <c r="B56" s="89" t="s">
        <v>565</v>
      </c>
    </row>
    <row r="57" spans="1:2" ht="16.5" customHeight="1" x14ac:dyDescent="0.35">
      <c r="A57" s="88">
        <v>426290</v>
      </c>
      <c r="B57" s="89" t="s">
        <v>569</v>
      </c>
    </row>
    <row r="58" spans="1:2" ht="16.5" customHeight="1" x14ac:dyDescent="0.35">
      <c r="A58" s="88">
        <v>426800</v>
      </c>
      <c r="B58" s="89" t="s">
        <v>623</v>
      </c>
    </row>
    <row r="59" spans="1:2" ht="16.5" customHeight="1" x14ac:dyDescent="0.35">
      <c r="A59" s="88">
        <v>426900</v>
      </c>
      <c r="B59" s="89" t="s">
        <v>628</v>
      </c>
    </row>
    <row r="60" spans="1:2" ht="16.5" customHeight="1" x14ac:dyDescent="0.35">
      <c r="A60" s="88">
        <v>428111</v>
      </c>
      <c r="B60" s="89" t="s">
        <v>723</v>
      </c>
    </row>
    <row r="61" spans="1:2" ht="16.5" customHeight="1" x14ac:dyDescent="0.35">
      <c r="A61" s="88">
        <v>428112</v>
      </c>
      <c r="B61" s="89" t="s">
        <v>734</v>
      </c>
    </row>
    <row r="62" spans="1:2" ht="16.5" customHeight="1" x14ac:dyDescent="0.35">
      <c r="A62" s="88">
        <v>429900</v>
      </c>
      <c r="B62" s="89" t="s">
        <v>758</v>
      </c>
    </row>
    <row r="63" spans="1:2" ht="16.5" customHeight="1" x14ac:dyDescent="0.35">
      <c r="A63" s="88">
        <v>430330</v>
      </c>
      <c r="B63" s="89" t="s">
        <v>767</v>
      </c>
    </row>
    <row r="64" spans="1:2" ht="16.5" customHeight="1" x14ac:dyDescent="0.35">
      <c r="A64" s="88">
        <v>432170</v>
      </c>
      <c r="B64" s="89" t="s">
        <v>794</v>
      </c>
    </row>
    <row r="65" spans="1:2" ht="16.5" customHeight="1" x14ac:dyDescent="0.35">
      <c r="A65" s="88">
        <v>432320</v>
      </c>
      <c r="B65" s="89" t="s">
        <v>816</v>
      </c>
    </row>
    <row r="66" spans="1:2" ht="16.5" customHeight="1" x14ac:dyDescent="0.35">
      <c r="A66" s="88">
        <v>432540</v>
      </c>
      <c r="B66" s="89" t="s">
        <v>818</v>
      </c>
    </row>
    <row r="67" spans="1:2" ht="16.5" customHeight="1" x14ac:dyDescent="0.35">
      <c r="A67" s="88">
        <v>435510</v>
      </c>
      <c r="B67" s="89" t="s">
        <v>913</v>
      </c>
    </row>
    <row r="68" spans="1:2" ht="16.5" customHeight="1" x14ac:dyDescent="0.35">
      <c r="A68" s="88">
        <v>435740</v>
      </c>
      <c r="B68" s="89" t="s">
        <v>930</v>
      </c>
    </row>
    <row r="69" spans="1:2" ht="16.5" customHeight="1" x14ac:dyDescent="0.35">
      <c r="A69" s="88">
        <v>436120</v>
      </c>
      <c r="B69" s="89" t="s">
        <v>113</v>
      </c>
    </row>
    <row r="70" spans="1:2" ht="16.5" customHeight="1" x14ac:dyDescent="0.35">
      <c r="A70" s="88">
        <v>436220</v>
      </c>
      <c r="B70" s="89" t="s">
        <v>975</v>
      </c>
    </row>
    <row r="71" spans="1:2" ht="16.5" customHeight="1" x14ac:dyDescent="0.35">
      <c r="A71" s="88">
        <v>492610</v>
      </c>
      <c r="B71" s="89" t="s">
        <v>123</v>
      </c>
    </row>
    <row r="72" spans="1:2" ht="16.5" customHeight="1" x14ac:dyDescent="0.35">
      <c r="A72" s="88">
        <v>420130</v>
      </c>
      <c r="B72" s="89" t="s">
        <v>162</v>
      </c>
    </row>
    <row r="73" spans="1:2" ht="16.5" customHeight="1" x14ac:dyDescent="0.35">
      <c r="A73" s="88">
        <v>425300</v>
      </c>
      <c r="B73" s="89" t="s">
        <v>295</v>
      </c>
    </row>
    <row r="74" spans="1:2" ht="16.5" customHeight="1" x14ac:dyDescent="0.35">
      <c r="A74" s="88">
        <v>425350</v>
      </c>
      <c r="B74" s="89" t="s">
        <v>298</v>
      </c>
    </row>
    <row r="75" spans="1:2" ht="16.5" customHeight="1" x14ac:dyDescent="0.35">
      <c r="A75" s="88">
        <v>432205</v>
      </c>
      <c r="B75" s="89" t="s">
        <v>92</v>
      </c>
    </row>
    <row r="76" spans="1:2" ht="16.5" customHeight="1" x14ac:dyDescent="0.35">
      <c r="A76" s="88">
        <v>420810</v>
      </c>
      <c r="B76" s="89" t="s">
        <v>34</v>
      </c>
    </row>
    <row r="77" spans="1:2" ht="16.5" customHeight="1" x14ac:dyDescent="0.35">
      <c r="A77" s="88">
        <v>427810</v>
      </c>
      <c r="B77" s="89" t="s">
        <v>650</v>
      </c>
    </row>
    <row r="78" spans="1:2" ht="16.5" customHeight="1" x14ac:dyDescent="0.35">
      <c r="A78" s="88">
        <v>427850</v>
      </c>
      <c r="B78" s="89" t="s">
        <v>655</v>
      </c>
    </row>
    <row r="79" spans="1:2" ht="16.5" customHeight="1" x14ac:dyDescent="0.35">
      <c r="A79" s="88">
        <v>430230</v>
      </c>
      <c r="B79" s="89" t="s">
        <v>762</v>
      </c>
    </row>
    <row r="80" spans="1:2" ht="16.5" customHeight="1" x14ac:dyDescent="0.35">
      <c r="A80" s="88">
        <v>492310</v>
      </c>
      <c r="B80" s="89" t="s">
        <v>119</v>
      </c>
    </row>
    <row r="81" spans="1:2" ht="16.5" customHeight="1" x14ac:dyDescent="0.35">
      <c r="A81" s="88">
        <v>435523</v>
      </c>
      <c r="B81" s="89" t="s">
        <v>920</v>
      </c>
    </row>
    <row r="82" spans="1:2" ht="16.5" customHeight="1" x14ac:dyDescent="0.35">
      <c r="A82" s="88">
        <v>425746</v>
      </c>
      <c r="B82" s="89" t="s">
        <v>393</v>
      </c>
    </row>
    <row r="83" spans="1:2" ht="16.5" customHeight="1" x14ac:dyDescent="0.35">
      <c r="A83" s="88">
        <v>425747</v>
      </c>
      <c r="B83" s="89" t="s">
        <v>396</v>
      </c>
    </row>
    <row r="84" spans="1:2" ht="16.5" customHeight="1" x14ac:dyDescent="0.35">
      <c r="A84" s="88">
        <v>426751</v>
      </c>
      <c r="B84" s="89" t="s">
        <v>621</v>
      </c>
    </row>
    <row r="85" spans="1:2" ht="16.5" customHeight="1" x14ac:dyDescent="0.35">
      <c r="A85" s="88">
        <v>425750</v>
      </c>
      <c r="B85" s="89" t="s">
        <v>63</v>
      </c>
    </row>
    <row r="86" spans="1:2" ht="16.5" customHeight="1" x14ac:dyDescent="0.35">
      <c r="A86" s="88">
        <v>425762</v>
      </c>
      <c r="B86" s="89" t="s">
        <v>67</v>
      </c>
    </row>
    <row r="87" spans="1:2" ht="16.5" customHeight="1" x14ac:dyDescent="0.35">
      <c r="A87" s="88">
        <v>435330</v>
      </c>
      <c r="B87" s="89" t="s">
        <v>98</v>
      </c>
    </row>
    <row r="88" spans="1:2" ht="16.5" customHeight="1" x14ac:dyDescent="0.35">
      <c r="A88" s="88">
        <v>435530</v>
      </c>
      <c r="B88" s="89" t="s">
        <v>109</v>
      </c>
    </row>
    <row r="89" spans="1:2" ht="16.5" customHeight="1" x14ac:dyDescent="0.35">
      <c r="A89" s="88">
        <v>422900</v>
      </c>
      <c r="B89" s="89" t="s">
        <v>42</v>
      </c>
    </row>
    <row r="90" spans="1:2" ht="16.5" customHeight="1" x14ac:dyDescent="0.35">
      <c r="A90" s="88">
        <v>426100</v>
      </c>
      <c r="B90" s="89" t="s">
        <v>78</v>
      </c>
    </row>
  </sheetData>
  <hyperlinks>
    <hyperlink ref="B1" location="'Main Page'!A1" display="Return to Main Page" xr:uid="{00000000-0004-0000-0700-000000000000}"/>
  </hyperlink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1"/>
  <sheetViews>
    <sheetView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27.453125" customWidth="1"/>
    <col min="2" max="2" width="63.453125" bestFit="1" customWidth="1"/>
    <col min="3" max="3" width="27.453125" customWidth="1"/>
  </cols>
  <sheetData>
    <row r="1" spans="1:3" x14ac:dyDescent="0.35">
      <c r="A1" s="114" t="s">
        <v>3</v>
      </c>
      <c r="B1" s="115" t="s">
        <v>4</v>
      </c>
      <c r="C1" s="114" t="s">
        <v>3</v>
      </c>
    </row>
    <row r="2" spans="1:3" s="111" customFormat="1" x14ac:dyDescent="0.35">
      <c r="A2" s="109">
        <v>8470110</v>
      </c>
      <c r="B2" s="110" t="s">
        <v>180</v>
      </c>
      <c r="C2" s="109">
        <v>8470110</v>
      </c>
    </row>
    <row r="3" spans="1:3" s="111" customFormat="1" x14ac:dyDescent="0.35">
      <c r="A3" s="109">
        <v>8470120</v>
      </c>
      <c r="B3" s="110" t="s">
        <v>157</v>
      </c>
      <c r="C3" s="109">
        <v>8470120</v>
      </c>
    </row>
    <row r="4" spans="1:3" s="111" customFormat="1" x14ac:dyDescent="0.35">
      <c r="A4" s="109">
        <v>8470130</v>
      </c>
      <c r="B4" s="110" t="s">
        <v>217</v>
      </c>
      <c r="C4" s="109">
        <v>8470130</v>
      </c>
    </row>
    <row r="5" spans="1:3" s="111" customFormat="1" x14ac:dyDescent="0.35">
      <c r="A5" s="109">
        <v>8470140</v>
      </c>
      <c r="B5" s="110" t="s">
        <v>231</v>
      </c>
      <c r="C5" s="109">
        <v>8470140</v>
      </c>
    </row>
    <row r="6" spans="1:3" s="111" customFormat="1" x14ac:dyDescent="0.35">
      <c r="A6" s="109">
        <v>8470150</v>
      </c>
      <c r="B6" s="110" t="s">
        <v>208</v>
      </c>
      <c r="C6" s="109">
        <v>8470150</v>
      </c>
    </row>
    <row r="7" spans="1:3" s="111" customFormat="1" x14ac:dyDescent="0.35">
      <c r="A7" s="109">
        <v>8470210</v>
      </c>
      <c r="B7" s="110" t="s">
        <v>1414</v>
      </c>
      <c r="C7" s="109">
        <v>8470210</v>
      </c>
    </row>
    <row r="8" spans="1:3" s="111" customFormat="1" x14ac:dyDescent="0.35">
      <c r="A8" s="109">
        <v>8470220</v>
      </c>
      <c r="B8" s="110" t="s">
        <v>1011</v>
      </c>
      <c r="C8" s="109">
        <v>8470220</v>
      </c>
    </row>
    <row r="9" spans="1:3" s="111" customFormat="1" x14ac:dyDescent="0.35">
      <c r="A9" s="109">
        <v>8470230</v>
      </c>
      <c r="B9" s="110" t="s">
        <v>183</v>
      </c>
      <c r="C9" s="109">
        <v>8470230</v>
      </c>
    </row>
    <row r="10" spans="1:3" s="111" customFormat="1" x14ac:dyDescent="0.35">
      <c r="A10" s="109">
        <v>8470305</v>
      </c>
      <c r="B10" s="110" t="s">
        <v>193</v>
      </c>
      <c r="C10" s="109">
        <v>8470305</v>
      </c>
    </row>
    <row r="11" spans="1:3" s="111" customFormat="1" x14ac:dyDescent="0.35">
      <c r="A11" s="109">
        <v>8470310</v>
      </c>
      <c r="B11" s="110" t="s">
        <v>309</v>
      </c>
      <c r="C11" s="109">
        <v>8470310</v>
      </c>
    </row>
    <row r="12" spans="1:3" s="111" customFormat="1" x14ac:dyDescent="0.35">
      <c r="A12" s="109">
        <v>8470315</v>
      </c>
      <c r="B12" s="110" t="s">
        <v>311</v>
      </c>
      <c r="C12" s="109">
        <v>8470315</v>
      </c>
    </row>
    <row r="13" spans="1:3" s="111" customFormat="1" x14ac:dyDescent="0.35">
      <c r="A13" s="109">
        <v>8470320</v>
      </c>
      <c r="B13" s="110" t="s">
        <v>443</v>
      </c>
      <c r="C13" s="109">
        <v>8470320</v>
      </c>
    </row>
    <row r="14" spans="1:3" s="111" customFormat="1" x14ac:dyDescent="0.35">
      <c r="A14" s="109">
        <v>8470325</v>
      </c>
      <c r="B14" s="110" t="s">
        <v>186</v>
      </c>
      <c r="C14" s="109">
        <v>8470325</v>
      </c>
    </row>
    <row r="15" spans="1:3" s="111" customFormat="1" x14ac:dyDescent="0.35">
      <c r="A15" s="109">
        <v>8470330</v>
      </c>
      <c r="B15" s="110" t="s">
        <v>268</v>
      </c>
      <c r="C15" s="109">
        <v>8470330</v>
      </c>
    </row>
    <row r="16" spans="1:3" s="111" customFormat="1" x14ac:dyDescent="0.35">
      <c r="A16" s="109">
        <v>8470330</v>
      </c>
      <c r="B16" s="110" t="s">
        <v>317</v>
      </c>
      <c r="C16" s="109">
        <v>8470330</v>
      </c>
    </row>
    <row r="17" spans="1:3" s="111" customFormat="1" x14ac:dyDescent="0.35">
      <c r="A17" s="109">
        <v>8470340</v>
      </c>
      <c r="B17" s="110" t="s">
        <v>234</v>
      </c>
      <c r="C17" s="109">
        <v>8470340</v>
      </c>
    </row>
    <row r="18" spans="1:3" s="111" customFormat="1" x14ac:dyDescent="0.35">
      <c r="A18" s="109">
        <v>8470345</v>
      </c>
      <c r="B18" s="110" t="s">
        <v>188</v>
      </c>
      <c r="C18" s="109">
        <v>8470345</v>
      </c>
    </row>
    <row r="19" spans="1:3" s="111" customFormat="1" x14ac:dyDescent="0.35">
      <c r="A19" s="109">
        <v>8470350</v>
      </c>
      <c r="B19" s="110" t="s">
        <v>191</v>
      </c>
      <c r="C19" s="109">
        <v>8470350</v>
      </c>
    </row>
    <row r="20" spans="1:3" s="111" customFormat="1" x14ac:dyDescent="0.35">
      <c r="A20" s="109">
        <v>8470405</v>
      </c>
      <c r="B20" s="110" t="s">
        <v>270</v>
      </c>
      <c r="C20" s="109">
        <v>8470405</v>
      </c>
    </row>
    <row r="21" spans="1:3" s="111" customFormat="1" x14ac:dyDescent="0.35">
      <c r="A21" s="109">
        <v>8470410</v>
      </c>
      <c r="B21" s="110" t="s">
        <v>421</v>
      </c>
      <c r="C21" s="109">
        <v>8470410</v>
      </c>
    </row>
    <row r="22" spans="1:3" s="111" customFormat="1" x14ac:dyDescent="0.35">
      <c r="A22" s="109">
        <v>8470415</v>
      </c>
      <c r="B22" s="110" t="s">
        <v>362</v>
      </c>
      <c r="C22" s="109">
        <v>8470415</v>
      </c>
    </row>
    <row r="23" spans="1:3" s="111" customFormat="1" x14ac:dyDescent="0.35">
      <c r="A23" s="109">
        <v>8470420</v>
      </c>
      <c r="B23" s="110" t="s">
        <v>326</v>
      </c>
      <c r="C23" s="109">
        <v>8470420</v>
      </c>
    </row>
    <row r="24" spans="1:3" s="111" customFormat="1" x14ac:dyDescent="0.35">
      <c r="A24" s="109">
        <v>8470425</v>
      </c>
      <c r="B24" s="110" t="s">
        <v>272</v>
      </c>
      <c r="C24" s="109">
        <v>8470425</v>
      </c>
    </row>
    <row r="25" spans="1:3" s="111" customFormat="1" x14ac:dyDescent="0.35">
      <c r="A25" s="109">
        <v>8470430</v>
      </c>
      <c r="B25" s="110" t="s">
        <v>424</v>
      </c>
      <c r="C25" s="109">
        <v>8470430</v>
      </c>
    </row>
    <row r="26" spans="1:3" s="111" customFormat="1" x14ac:dyDescent="0.35">
      <c r="A26" s="109">
        <v>8470435</v>
      </c>
      <c r="B26" s="110" t="s">
        <v>364</v>
      </c>
      <c r="C26" s="109">
        <v>8470435</v>
      </c>
    </row>
    <row r="27" spans="1:3" s="111" customFormat="1" x14ac:dyDescent="0.35">
      <c r="A27" s="109">
        <v>8470440</v>
      </c>
      <c r="B27" s="110" t="s">
        <v>426</v>
      </c>
      <c r="C27" s="109">
        <v>8470440</v>
      </c>
    </row>
    <row r="28" spans="1:3" s="111" customFormat="1" x14ac:dyDescent="0.35">
      <c r="A28" s="109">
        <v>8470445</v>
      </c>
      <c r="B28" s="110" t="s">
        <v>410</v>
      </c>
      <c r="C28" s="109">
        <v>8470445</v>
      </c>
    </row>
    <row r="29" spans="1:3" s="111" customFormat="1" x14ac:dyDescent="0.35">
      <c r="A29" s="109">
        <v>8470450</v>
      </c>
      <c r="B29" s="110" t="s">
        <v>275</v>
      </c>
      <c r="C29" s="109">
        <v>8470450</v>
      </c>
    </row>
    <row r="30" spans="1:3" s="111" customFormat="1" x14ac:dyDescent="0.35">
      <c r="A30" s="109">
        <v>8470510</v>
      </c>
      <c r="B30" s="110" t="s">
        <v>695</v>
      </c>
      <c r="C30" s="109">
        <v>8470510</v>
      </c>
    </row>
    <row r="31" spans="1:3" s="111" customFormat="1" x14ac:dyDescent="0.35">
      <c r="A31" s="109">
        <v>8470520</v>
      </c>
      <c r="B31" s="110" t="s">
        <v>253</v>
      </c>
      <c r="C31" s="109">
        <v>8470520</v>
      </c>
    </row>
    <row r="32" spans="1:3" s="111" customFormat="1" x14ac:dyDescent="0.35">
      <c r="A32" s="109">
        <v>8470530</v>
      </c>
      <c r="B32" s="110" t="s">
        <v>165</v>
      </c>
      <c r="C32" s="109">
        <v>8470530</v>
      </c>
    </row>
    <row r="33" spans="1:3" s="111" customFormat="1" x14ac:dyDescent="0.35">
      <c r="A33" s="109">
        <v>8470540</v>
      </c>
      <c r="B33" s="110" t="s">
        <v>786</v>
      </c>
      <c r="C33" s="109">
        <v>8470540</v>
      </c>
    </row>
    <row r="34" spans="1:3" s="111" customFormat="1" x14ac:dyDescent="0.35">
      <c r="A34" s="109">
        <v>8470550</v>
      </c>
      <c r="B34" s="110" t="s">
        <v>1415</v>
      </c>
      <c r="C34" s="109">
        <v>8470550</v>
      </c>
    </row>
    <row r="35" spans="1:3" s="111" customFormat="1" x14ac:dyDescent="0.35">
      <c r="A35" s="109">
        <v>8470610</v>
      </c>
      <c r="B35" s="110" t="s">
        <v>1416</v>
      </c>
      <c r="C35" s="109">
        <v>8470610</v>
      </c>
    </row>
    <row r="36" spans="1:3" s="111" customFormat="1" x14ac:dyDescent="0.35">
      <c r="A36" s="109">
        <v>8470620</v>
      </c>
      <c r="B36" s="110" t="s">
        <v>161</v>
      </c>
      <c r="C36" s="109">
        <v>8470620</v>
      </c>
    </row>
    <row r="37" spans="1:3" s="111" customFormat="1" x14ac:dyDescent="0.35">
      <c r="A37" s="109">
        <v>8470630</v>
      </c>
      <c r="B37" s="110" t="s">
        <v>700</v>
      </c>
      <c r="C37" s="109">
        <v>8470630</v>
      </c>
    </row>
    <row r="38" spans="1:3" s="111" customFormat="1" x14ac:dyDescent="0.35">
      <c r="A38" s="109">
        <v>8470710</v>
      </c>
      <c r="B38" s="110" t="s">
        <v>1417</v>
      </c>
      <c r="C38" s="109">
        <v>8470710</v>
      </c>
    </row>
    <row r="39" spans="1:3" s="111" customFormat="1" x14ac:dyDescent="0.35">
      <c r="A39" s="109">
        <v>8470720</v>
      </c>
      <c r="B39" s="110" t="s">
        <v>221</v>
      </c>
      <c r="C39" s="109">
        <v>8470720</v>
      </c>
    </row>
    <row r="40" spans="1:3" s="111" customFormat="1" x14ac:dyDescent="0.35">
      <c r="A40" s="109">
        <v>8470730</v>
      </c>
      <c r="B40" s="110" t="s">
        <v>223</v>
      </c>
      <c r="C40" s="109">
        <v>8470730</v>
      </c>
    </row>
    <row r="41" spans="1:3" s="111" customFormat="1" x14ac:dyDescent="0.35">
      <c r="A41" s="109">
        <v>8470810</v>
      </c>
      <c r="B41" s="110" t="s">
        <v>200</v>
      </c>
      <c r="C41" s="109">
        <v>8470810</v>
      </c>
    </row>
    <row r="42" spans="1:3" s="111" customFormat="1" x14ac:dyDescent="0.35">
      <c r="A42" s="112">
        <v>8470910</v>
      </c>
      <c r="B42" s="113" t="s">
        <v>210</v>
      </c>
      <c r="C42" s="112">
        <v>8470910</v>
      </c>
    </row>
    <row r="43" spans="1:3" s="111" customFormat="1" x14ac:dyDescent="0.35">
      <c r="A43" s="109">
        <v>8471010</v>
      </c>
      <c r="B43" s="110" t="s">
        <v>367</v>
      </c>
      <c r="C43" s="109">
        <v>8471010</v>
      </c>
    </row>
    <row r="44" spans="1:3" s="111" customFormat="1" x14ac:dyDescent="0.35">
      <c r="A44" s="109">
        <v>8471110</v>
      </c>
      <c r="B44" s="110" t="s">
        <v>227</v>
      </c>
      <c r="C44" s="109">
        <v>8471110</v>
      </c>
    </row>
    <row r="45" spans="1:3" s="111" customFormat="1" x14ac:dyDescent="0.35">
      <c r="A45" s="109">
        <v>8471120</v>
      </c>
      <c r="B45" s="110" t="s">
        <v>539</v>
      </c>
      <c r="C45" s="109">
        <v>8471120</v>
      </c>
    </row>
    <row r="46" spans="1:3" s="111" customFormat="1" x14ac:dyDescent="0.35">
      <c r="A46" s="109">
        <v>8471122</v>
      </c>
      <c r="B46" s="110" t="s">
        <v>1356</v>
      </c>
      <c r="C46" s="109">
        <v>8471122</v>
      </c>
    </row>
    <row r="47" spans="1:3" s="111" customFormat="1" x14ac:dyDescent="0.35">
      <c r="A47" s="109">
        <v>8471130</v>
      </c>
      <c r="B47" s="110" t="s">
        <v>197</v>
      </c>
      <c r="C47" s="109">
        <v>8471130</v>
      </c>
    </row>
    <row r="48" spans="1:3" s="111" customFormat="1" x14ac:dyDescent="0.35">
      <c r="A48" s="109">
        <v>8471140</v>
      </c>
      <c r="B48" s="110" t="s">
        <v>339</v>
      </c>
      <c r="C48" s="109">
        <v>8471140</v>
      </c>
    </row>
    <row r="49" spans="1:3" s="111" customFormat="1" x14ac:dyDescent="0.35">
      <c r="A49" s="112">
        <v>8471150</v>
      </c>
      <c r="B49" s="113" t="s">
        <v>212</v>
      </c>
      <c r="C49" s="112">
        <v>8471150</v>
      </c>
    </row>
    <row r="50" spans="1:3" s="111" customFormat="1" x14ac:dyDescent="0.35">
      <c r="A50" s="109">
        <v>8471160</v>
      </c>
      <c r="B50" s="110" t="s">
        <v>281</v>
      </c>
      <c r="C50" s="109">
        <v>8471160</v>
      </c>
    </row>
    <row r="51" spans="1:3" s="111" customFormat="1" x14ac:dyDescent="0.35">
      <c r="A51" s="112">
        <v>8471170</v>
      </c>
      <c r="B51" s="113" t="s">
        <v>203</v>
      </c>
      <c r="C51" s="112">
        <v>8471170</v>
      </c>
    </row>
    <row r="52" spans="1:3" s="111" customFormat="1" x14ac:dyDescent="0.35">
      <c r="A52" s="109">
        <v>8471210</v>
      </c>
      <c r="B52" s="110" t="s">
        <v>176</v>
      </c>
      <c r="C52" s="109">
        <v>8471210</v>
      </c>
    </row>
    <row r="53" spans="1:3" s="111" customFormat="1" x14ac:dyDescent="0.35">
      <c r="A53" s="109">
        <v>8471220</v>
      </c>
      <c r="B53" s="110" t="s">
        <v>344</v>
      </c>
      <c r="C53" s="109">
        <v>8471220</v>
      </c>
    </row>
    <row r="54" spans="1:3" s="111" customFormat="1" x14ac:dyDescent="0.35">
      <c r="A54" s="109">
        <v>8471230</v>
      </c>
      <c r="B54" s="110" t="s">
        <v>382</v>
      </c>
      <c r="C54" s="109">
        <v>8471230</v>
      </c>
    </row>
    <row r="55" spans="1:3" s="111" customFormat="1" x14ac:dyDescent="0.35">
      <c r="A55" s="109">
        <v>8471240</v>
      </c>
      <c r="B55" s="110" t="s">
        <v>346</v>
      </c>
      <c r="C55" s="109">
        <v>8471240</v>
      </c>
    </row>
    <row r="56" spans="1:3" s="111" customFormat="1" x14ac:dyDescent="0.35">
      <c r="A56" s="109">
        <v>8471250</v>
      </c>
      <c r="B56" s="110" t="s">
        <v>349</v>
      </c>
      <c r="C56" s="109">
        <v>8471250</v>
      </c>
    </row>
    <row r="57" spans="1:3" s="111" customFormat="1" x14ac:dyDescent="0.35">
      <c r="A57" s="109">
        <v>8471260</v>
      </c>
      <c r="B57" s="110" t="s">
        <v>178</v>
      </c>
      <c r="C57" s="109">
        <v>8471260</v>
      </c>
    </row>
    <row r="58" spans="1:3" s="111" customFormat="1" x14ac:dyDescent="0.35">
      <c r="A58" s="109">
        <v>8471270</v>
      </c>
      <c r="B58" s="110" t="s">
        <v>353</v>
      </c>
      <c r="C58" s="109">
        <v>8471270</v>
      </c>
    </row>
    <row r="59" spans="1:3" s="111" customFormat="1" x14ac:dyDescent="0.35">
      <c r="A59" s="109">
        <v>8471280</v>
      </c>
      <c r="B59" s="110" t="s">
        <v>355</v>
      </c>
      <c r="C59" s="109">
        <v>8471280</v>
      </c>
    </row>
    <row r="60" spans="1:3" s="111" customFormat="1" x14ac:dyDescent="0.35">
      <c r="A60" s="109">
        <v>8471305</v>
      </c>
      <c r="B60" s="110" t="s">
        <v>32</v>
      </c>
      <c r="C60" s="109">
        <v>8471305</v>
      </c>
    </row>
    <row r="61" spans="1:3" x14ac:dyDescent="0.35">
      <c r="A61" s="84">
        <v>8471121</v>
      </c>
      <c r="B61" s="44" t="s">
        <v>1370</v>
      </c>
      <c r="C61" s="84">
        <v>8471121</v>
      </c>
    </row>
  </sheetData>
  <autoFilter ref="A1:C6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G41"/>
  <sheetViews>
    <sheetView topLeftCell="D1" zoomScaleNormal="100" zoomScaleSheetLayoutView="80" workbookViewId="0">
      <pane ySplit="5" topLeftCell="A6" activePane="bottomLeft" state="frozen"/>
      <selection activeCell="A11" sqref="A11"/>
      <selection pane="bottomLeft" activeCell="G1" sqref="G1"/>
    </sheetView>
  </sheetViews>
  <sheetFormatPr defaultColWidth="9.1796875" defaultRowHeight="14.5" x14ac:dyDescent="0.35"/>
  <cols>
    <col min="1" max="1" width="2.7265625" style="54" customWidth="1"/>
    <col min="2" max="2" width="6.453125" style="77" customWidth="1"/>
    <col min="3" max="3" width="59.81640625" style="54" customWidth="1"/>
    <col min="4" max="4" width="60.7265625" style="54" bestFit="1" customWidth="1"/>
    <col min="5" max="5" width="15.7265625" style="75" customWidth="1"/>
    <col min="6" max="6" width="27.453125" style="76" bestFit="1" customWidth="1"/>
    <col min="7" max="7" width="19.1796875" style="54" customWidth="1"/>
    <col min="8" max="16384" width="9.1796875" style="54"/>
  </cols>
  <sheetData>
    <row r="2" spans="2:7" ht="32" x14ac:dyDescent="0.7">
      <c r="B2" s="143" t="s">
        <v>1491</v>
      </c>
      <c r="C2" s="143"/>
      <c r="D2" s="143"/>
      <c r="E2" s="143"/>
      <c r="F2" s="143"/>
    </row>
    <row r="5" spans="2:7" ht="18.5" x14ac:dyDescent="0.35">
      <c r="B5" s="55" t="s">
        <v>1301</v>
      </c>
      <c r="C5" s="56" t="s">
        <v>1302</v>
      </c>
      <c r="D5" s="56" t="s">
        <v>1303</v>
      </c>
      <c r="E5" s="56" t="s">
        <v>1304</v>
      </c>
      <c r="F5" s="57" t="s">
        <v>1305</v>
      </c>
    </row>
    <row r="6" spans="2:7" ht="44.25" customHeight="1" x14ac:dyDescent="0.35">
      <c r="B6" s="58">
        <v>1</v>
      </c>
      <c r="C6" s="52" t="s">
        <v>1270</v>
      </c>
      <c r="D6" s="59" t="s">
        <v>1306</v>
      </c>
      <c r="E6" s="60">
        <v>4703</v>
      </c>
      <c r="F6" s="61" t="s">
        <v>1307</v>
      </c>
      <c r="G6" s="64" t="s">
        <v>1408</v>
      </c>
    </row>
    <row r="7" spans="2:7" ht="44.25" customHeight="1" x14ac:dyDescent="0.35">
      <c r="B7" s="58">
        <v>2</v>
      </c>
      <c r="C7" s="52" t="s">
        <v>1271</v>
      </c>
      <c r="D7" s="62" t="s">
        <v>1308</v>
      </c>
      <c r="E7" s="63">
        <v>1</v>
      </c>
      <c r="F7" s="61" t="s">
        <v>1309</v>
      </c>
      <c r="G7" s="54" t="s">
        <v>1409</v>
      </c>
    </row>
    <row r="8" spans="2:7" ht="44.25" customHeight="1" x14ac:dyDescent="0.35">
      <c r="B8" s="58">
        <v>3</v>
      </c>
      <c r="C8" s="52" t="s">
        <v>1272</v>
      </c>
      <c r="D8" s="62" t="s">
        <v>1310</v>
      </c>
      <c r="E8" s="63">
        <v>1</v>
      </c>
      <c r="F8" s="61" t="s">
        <v>1311</v>
      </c>
      <c r="G8" s="54" t="s">
        <v>1410</v>
      </c>
    </row>
    <row r="9" spans="2:7" ht="63.65" customHeight="1" x14ac:dyDescent="0.35">
      <c r="B9" s="58">
        <v>4</v>
      </c>
      <c r="C9" s="52" t="s">
        <v>1273</v>
      </c>
      <c r="D9" s="59" t="s">
        <v>1312</v>
      </c>
      <c r="E9" s="60">
        <v>2</v>
      </c>
      <c r="F9" s="61" t="s">
        <v>1307</v>
      </c>
      <c r="G9" s="64" t="s">
        <v>1408</v>
      </c>
    </row>
    <row r="10" spans="2:7" s="64" customFormat="1" ht="44.25" customHeight="1" x14ac:dyDescent="0.35">
      <c r="B10" s="58">
        <v>5</v>
      </c>
      <c r="C10" s="52" t="s">
        <v>1274</v>
      </c>
      <c r="D10" s="59" t="s">
        <v>1313</v>
      </c>
      <c r="E10" s="63">
        <v>1</v>
      </c>
      <c r="F10" s="61" t="s">
        <v>1307</v>
      </c>
      <c r="G10" s="64" t="s">
        <v>1408</v>
      </c>
    </row>
    <row r="11" spans="2:7" s="64" customFormat="1" ht="44.25" customHeight="1" x14ac:dyDescent="0.35">
      <c r="B11" s="58">
        <v>6</v>
      </c>
      <c r="C11" s="53" t="s">
        <v>1275</v>
      </c>
      <c r="D11" s="65" t="s">
        <v>1314</v>
      </c>
      <c r="E11" s="66" t="s">
        <v>1315</v>
      </c>
      <c r="F11" s="67" t="s">
        <v>1309</v>
      </c>
      <c r="G11" s="64" t="s">
        <v>1409</v>
      </c>
    </row>
    <row r="12" spans="2:7" s="64" customFormat="1" ht="72" customHeight="1" x14ac:dyDescent="0.35">
      <c r="B12" s="58">
        <v>7</v>
      </c>
      <c r="C12" s="53" t="s">
        <v>1276</v>
      </c>
      <c r="D12" s="65" t="s">
        <v>1316</v>
      </c>
      <c r="E12" s="60">
        <v>30</v>
      </c>
      <c r="F12" s="67" t="s">
        <v>1307</v>
      </c>
      <c r="G12" s="64" t="s">
        <v>1408</v>
      </c>
    </row>
    <row r="13" spans="2:7" ht="44.25" customHeight="1" x14ac:dyDescent="0.35">
      <c r="B13" s="58">
        <v>8</v>
      </c>
      <c r="C13" s="53" t="s">
        <v>1277</v>
      </c>
      <c r="D13" s="65" t="s">
        <v>1317</v>
      </c>
      <c r="E13" s="68">
        <v>0.05</v>
      </c>
      <c r="F13" s="67" t="s">
        <v>1307</v>
      </c>
      <c r="G13" s="64" t="s">
        <v>1408</v>
      </c>
    </row>
    <row r="14" spans="2:7" ht="44.25" customHeight="1" x14ac:dyDescent="0.35">
      <c r="B14" s="58">
        <v>9</v>
      </c>
      <c r="C14" s="53" t="s">
        <v>1277</v>
      </c>
      <c r="D14" s="65" t="s">
        <v>1318</v>
      </c>
      <c r="E14" s="68">
        <v>0.05</v>
      </c>
      <c r="F14" s="67" t="s">
        <v>1309</v>
      </c>
      <c r="G14" s="64" t="s">
        <v>1409</v>
      </c>
    </row>
    <row r="15" spans="2:7" ht="44.25" customHeight="1" x14ac:dyDescent="0.35">
      <c r="B15" s="58">
        <v>10</v>
      </c>
      <c r="C15" s="53" t="s">
        <v>1277</v>
      </c>
      <c r="D15" s="65" t="s">
        <v>1319</v>
      </c>
      <c r="E15" s="68">
        <v>0.05</v>
      </c>
      <c r="F15" s="67" t="s">
        <v>1320</v>
      </c>
      <c r="G15" s="54" t="s">
        <v>1410</v>
      </c>
    </row>
    <row r="16" spans="2:7" ht="44.25" customHeight="1" x14ac:dyDescent="0.35">
      <c r="B16" s="58">
        <v>11</v>
      </c>
      <c r="C16" s="53" t="s">
        <v>1278</v>
      </c>
      <c r="D16" s="53" t="s">
        <v>1321</v>
      </c>
      <c r="E16" s="63">
        <v>1</v>
      </c>
      <c r="F16" s="67" t="s">
        <v>1309</v>
      </c>
      <c r="G16" s="54" t="s">
        <v>1409</v>
      </c>
    </row>
    <row r="17" spans="2:7" ht="44.25" customHeight="1" x14ac:dyDescent="0.35">
      <c r="B17" s="58">
        <v>12</v>
      </c>
      <c r="C17" s="53" t="s">
        <v>1279</v>
      </c>
      <c r="D17" s="67" t="s">
        <v>1322</v>
      </c>
      <c r="E17" s="63">
        <v>0.25</v>
      </c>
      <c r="F17" s="67" t="s">
        <v>1323</v>
      </c>
      <c r="G17" s="54" t="s">
        <v>1411</v>
      </c>
    </row>
    <row r="18" spans="2:7" ht="54" customHeight="1" x14ac:dyDescent="0.35">
      <c r="B18" s="58">
        <v>13</v>
      </c>
      <c r="C18" s="53" t="s">
        <v>1280</v>
      </c>
      <c r="D18" s="67" t="s">
        <v>1324</v>
      </c>
      <c r="E18" s="63">
        <v>0.6</v>
      </c>
      <c r="F18" s="67" t="s">
        <v>1325</v>
      </c>
      <c r="G18" s="54" t="s">
        <v>1411</v>
      </c>
    </row>
    <row r="19" spans="2:7" ht="44.25" customHeight="1" x14ac:dyDescent="0.35">
      <c r="B19" s="58">
        <v>14</v>
      </c>
      <c r="C19" s="53" t="s">
        <v>1281</v>
      </c>
      <c r="D19" s="65" t="s">
        <v>1326</v>
      </c>
      <c r="E19" s="63">
        <v>1</v>
      </c>
      <c r="F19" s="67" t="s">
        <v>1323</v>
      </c>
      <c r="G19" s="54" t="s">
        <v>1411</v>
      </c>
    </row>
    <row r="20" spans="2:7" ht="44.25" customHeight="1" x14ac:dyDescent="0.35">
      <c r="B20" s="58">
        <v>15</v>
      </c>
      <c r="C20" s="53" t="s">
        <v>1282</v>
      </c>
      <c r="D20" s="65" t="s">
        <v>1327</v>
      </c>
      <c r="E20" s="69" t="s">
        <v>1315</v>
      </c>
      <c r="F20" s="67" t="s">
        <v>1323</v>
      </c>
      <c r="G20" s="54" t="s">
        <v>1411</v>
      </c>
    </row>
    <row r="21" spans="2:7" ht="44.25" customHeight="1" x14ac:dyDescent="0.35">
      <c r="B21" s="58">
        <v>16</v>
      </c>
      <c r="C21" s="53" t="s">
        <v>1283</v>
      </c>
      <c r="D21" s="65" t="s">
        <v>1328</v>
      </c>
      <c r="E21" s="70">
        <v>8</v>
      </c>
      <c r="F21" s="67" t="s">
        <v>1309</v>
      </c>
      <c r="G21" s="54" t="s">
        <v>1409</v>
      </c>
    </row>
    <row r="22" spans="2:7" ht="44.25" customHeight="1" x14ac:dyDescent="0.35">
      <c r="B22" s="58">
        <v>17</v>
      </c>
      <c r="C22" s="53" t="s">
        <v>1284</v>
      </c>
      <c r="D22" s="65" t="s">
        <v>1329</v>
      </c>
      <c r="E22" s="63">
        <v>0.3</v>
      </c>
      <c r="F22" s="67" t="s">
        <v>1309</v>
      </c>
      <c r="G22" s="54" t="s">
        <v>1409</v>
      </c>
    </row>
    <row r="23" spans="2:7" ht="44.25" customHeight="1" x14ac:dyDescent="0.35">
      <c r="B23" s="58">
        <v>18</v>
      </c>
      <c r="C23" s="53" t="s">
        <v>1285</v>
      </c>
      <c r="D23" s="65" t="s">
        <v>1330</v>
      </c>
      <c r="E23" s="63">
        <v>0.3</v>
      </c>
      <c r="F23" s="67" t="s">
        <v>1307</v>
      </c>
      <c r="G23" s="64" t="s">
        <v>1408</v>
      </c>
    </row>
    <row r="24" spans="2:7" ht="44.25" customHeight="1" x14ac:dyDescent="0.35">
      <c r="B24" s="58">
        <v>19</v>
      </c>
      <c r="C24" s="53" t="s">
        <v>1286</v>
      </c>
      <c r="D24" s="65" t="s">
        <v>1331</v>
      </c>
      <c r="E24" s="63">
        <v>0.8</v>
      </c>
      <c r="F24" s="67" t="s">
        <v>1309</v>
      </c>
      <c r="G24" s="54" t="s">
        <v>1409</v>
      </c>
    </row>
    <row r="25" spans="2:7" ht="44.25" customHeight="1" x14ac:dyDescent="0.35">
      <c r="B25" s="58">
        <v>20</v>
      </c>
      <c r="C25" s="53" t="s">
        <v>1287</v>
      </c>
      <c r="D25" s="65" t="s">
        <v>1332</v>
      </c>
      <c r="E25" s="63">
        <v>1</v>
      </c>
      <c r="F25" s="67" t="s">
        <v>1333</v>
      </c>
      <c r="G25" s="54" t="s">
        <v>1412</v>
      </c>
    </row>
    <row r="26" spans="2:7" ht="44.25" customHeight="1" x14ac:dyDescent="0.35">
      <c r="B26" s="58">
        <v>21</v>
      </c>
      <c r="C26" s="53" t="s">
        <v>1288</v>
      </c>
      <c r="D26" s="71" t="s">
        <v>1334</v>
      </c>
      <c r="E26" s="69" t="s">
        <v>1315</v>
      </c>
      <c r="F26" s="67" t="s">
        <v>1335</v>
      </c>
      <c r="G26" s="54" t="s">
        <v>1410</v>
      </c>
    </row>
    <row r="27" spans="2:7" ht="44.25" customHeight="1" x14ac:dyDescent="0.35">
      <c r="B27" s="58">
        <v>22</v>
      </c>
      <c r="C27" s="53" t="s">
        <v>1289</v>
      </c>
      <c r="D27" s="65" t="s">
        <v>1336</v>
      </c>
      <c r="E27" s="70">
        <v>4</v>
      </c>
      <c r="F27" s="67" t="s">
        <v>1309</v>
      </c>
      <c r="G27" s="54" t="s">
        <v>1409</v>
      </c>
    </row>
    <row r="28" spans="2:7" ht="44.25" customHeight="1" x14ac:dyDescent="0.35">
      <c r="B28" s="58">
        <v>23</v>
      </c>
      <c r="C28" s="53" t="s">
        <v>1290</v>
      </c>
      <c r="D28" s="65" t="s">
        <v>1337</v>
      </c>
      <c r="E28" s="69">
        <v>40</v>
      </c>
      <c r="F28" s="67" t="s">
        <v>1323</v>
      </c>
      <c r="G28" s="64" t="s">
        <v>1408</v>
      </c>
    </row>
    <row r="29" spans="2:7" ht="44.25" customHeight="1" x14ac:dyDescent="0.35">
      <c r="B29" s="58">
        <v>24</v>
      </c>
      <c r="C29" s="53" t="s">
        <v>1291</v>
      </c>
      <c r="D29" s="71" t="s">
        <v>1338</v>
      </c>
      <c r="E29" s="69">
        <v>8</v>
      </c>
      <c r="F29" s="67" t="s">
        <v>1339</v>
      </c>
      <c r="G29" s="54" t="s">
        <v>1410</v>
      </c>
    </row>
    <row r="30" spans="2:7" ht="44.25" customHeight="1" x14ac:dyDescent="0.35">
      <c r="B30" s="58">
        <v>25</v>
      </c>
      <c r="C30" s="53" t="s">
        <v>1292</v>
      </c>
      <c r="D30" s="65" t="s">
        <v>1340</v>
      </c>
      <c r="E30" s="63">
        <v>0.15</v>
      </c>
      <c r="F30" s="67" t="s">
        <v>1341</v>
      </c>
      <c r="G30" s="54">
        <v>8470300</v>
      </c>
    </row>
    <row r="31" spans="2:7" ht="44.25" customHeight="1" x14ac:dyDescent="0.35">
      <c r="B31" s="58">
        <v>26</v>
      </c>
      <c r="C31" s="53" t="s">
        <v>1293</v>
      </c>
      <c r="D31" s="65" t="s">
        <v>1342</v>
      </c>
      <c r="E31" s="69">
        <v>20</v>
      </c>
      <c r="F31" s="67" t="s">
        <v>1323</v>
      </c>
      <c r="G31" s="54" t="s">
        <v>1411</v>
      </c>
    </row>
    <row r="32" spans="2:7" ht="44.25" customHeight="1" x14ac:dyDescent="0.35">
      <c r="B32" s="58">
        <v>27</v>
      </c>
      <c r="C32" s="53" t="s">
        <v>1294</v>
      </c>
      <c r="D32" s="65" t="s">
        <v>1343</v>
      </c>
      <c r="E32" s="63">
        <v>0.1</v>
      </c>
      <c r="F32" s="67" t="s">
        <v>1325</v>
      </c>
      <c r="G32" s="54" t="s">
        <v>1411</v>
      </c>
    </row>
    <row r="33" spans="2:7" ht="56.5" customHeight="1" x14ac:dyDescent="0.35">
      <c r="B33" s="58">
        <v>28</v>
      </c>
      <c r="C33" s="53" t="s">
        <v>1295</v>
      </c>
      <c r="D33" s="65" t="s">
        <v>1344</v>
      </c>
      <c r="E33" s="63">
        <v>1</v>
      </c>
      <c r="F33" s="67" t="s">
        <v>1345</v>
      </c>
      <c r="G33" s="54" t="s">
        <v>1421</v>
      </c>
    </row>
    <row r="34" spans="2:7" ht="44.25" customHeight="1" x14ac:dyDescent="0.35">
      <c r="B34" s="58">
        <v>29</v>
      </c>
      <c r="C34" s="53" t="s">
        <v>1296</v>
      </c>
      <c r="D34" s="65" t="s">
        <v>1346</v>
      </c>
      <c r="E34" s="72">
        <v>0.35</v>
      </c>
      <c r="F34" s="67" t="s">
        <v>1347</v>
      </c>
      <c r="G34" s="54" t="s">
        <v>1421</v>
      </c>
    </row>
    <row r="35" spans="2:7" ht="44.25" customHeight="1" x14ac:dyDescent="0.35">
      <c r="B35" s="58">
        <v>30</v>
      </c>
      <c r="C35" s="53" t="s">
        <v>1297</v>
      </c>
      <c r="D35" s="65" t="s">
        <v>1348</v>
      </c>
      <c r="E35" s="63">
        <v>1</v>
      </c>
      <c r="F35" s="67" t="s">
        <v>1349</v>
      </c>
      <c r="G35" s="54">
        <v>8470810</v>
      </c>
    </row>
    <row r="36" spans="2:7" ht="44.25" customHeight="1" x14ac:dyDescent="0.35">
      <c r="B36" s="58">
        <v>31</v>
      </c>
      <c r="C36" s="53" t="s">
        <v>1298</v>
      </c>
      <c r="D36" s="65" t="s">
        <v>1350</v>
      </c>
      <c r="E36" s="69" t="s">
        <v>1315</v>
      </c>
      <c r="F36" s="67" t="s">
        <v>1351</v>
      </c>
      <c r="G36" s="54" t="s">
        <v>1420</v>
      </c>
    </row>
    <row r="37" spans="2:7" ht="44.25" customHeight="1" x14ac:dyDescent="0.35">
      <c r="B37" s="58">
        <v>32</v>
      </c>
      <c r="C37" s="53" t="s">
        <v>1299</v>
      </c>
      <c r="D37" s="65" t="s">
        <v>1352</v>
      </c>
      <c r="E37" s="69" t="s">
        <v>1315</v>
      </c>
      <c r="F37" s="67" t="s">
        <v>1353</v>
      </c>
      <c r="G37" s="54" t="s">
        <v>1419</v>
      </c>
    </row>
    <row r="38" spans="2:7" ht="45.65" customHeight="1" x14ac:dyDescent="0.35">
      <c r="B38" s="58">
        <v>33</v>
      </c>
      <c r="C38" s="53" t="s">
        <v>1300</v>
      </c>
      <c r="D38" s="65" t="s">
        <v>1354</v>
      </c>
      <c r="E38" s="69" t="s">
        <v>1315</v>
      </c>
      <c r="F38" s="67" t="s">
        <v>1355</v>
      </c>
      <c r="G38" s="54" t="s">
        <v>1419</v>
      </c>
    </row>
    <row r="41" spans="2:7" x14ac:dyDescent="0.35">
      <c r="B41" s="73"/>
      <c r="C41" s="74"/>
    </row>
  </sheetData>
  <mergeCells count="1">
    <mergeCell ref="B2:F2"/>
  </mergeCells>
  <pageMargins left="0.7" right="0.7" top="0.75" bottom="0.75" header="0.3" footer="0.3"/>
  <pageSetup paperSize="8" scale="4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A10" sqref="A10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"/>
  <sheetViews>
    <sheetView workbookViewId="0">
      <selection activeCell="H24" sqref="H24"/>
    </sheetView>
  </sheetViews>
  <sheetFormatPr defaultRowHeight="10.5" customHeight="1" x14ac:dyDescent="0.35"/>
  <cols>
    <col min="1" max="1" width="24.453125" customWidth="1"/>
    <col min="2" max="2" width="20.1796875" bestFit="1" customWidth="1"/>
    <col min="5" max="5" width="21.453125" customWidth="1"/>
  </cols>
  <sheetData>
    <row r="1" spans="1:6" ht="14.5" x14ac:dyDescent="0.35">
      <c r="A1" s="38" t="s">
        <v>142</v>
      </c>
      <c r="B1" s="37" t="s">
        <v>144</v>
      </c>
      <c r="D1" s="99" t="s">
        <v>20</v>
      </c>
      <c r="E1" s="99" t="s">
        <v>21</v>
      </c>
      <c r="F1" s="99" t="s">
        <v>20</v>
      </c>
    </row>
    <row r="2" spans="1:6" ht="10.5" customHeight="1" x14ac:dyDescent="0.35">
      <c r="A2" s="36" t="s">
        <v>143</v>
      </c>
      <c r="B2" t="s">
        <v>145</v>
      </c>
      <c r="D2" s="88">
        <v>847001</v>
      </c>
      <c r="E2" s="89" t="s">
        <v>24</v>
      </c>
      <c r="F2" s="88">
        <v>847001</v>
      </c>
    </row>
    <row r="3" spans="1:6" ht="10.5" customHeight="1" x14ac:dyDescent="0.35">
      <c r="A3" s="36" t="s">
        <v>147</v>
      </c>
      <c r="B3" t="s">
        <v>146</v>
      </c>
      <c r="D3" s="88">
        <v>847010</v>
      </c>
      <c r="E3" s="89" t="s">
        <v>167</v>
      </c>
      <c r="F3" s="88">
        <v>847010</v>
      </c>
    </row>
    <row r="4" spans="1:6" ht="10.5" customHeight="1" x14ac:dyDescent="0.35">
      <c r="D4" s="88">
        <v>847020</v>
      </c>
      <c r="E4" s="89" t="s">
        <v>170</v>
      </c>
      <c r="F4" s="88">
        <v>847020</v>
      </c>
    </row>
    <row r="5" spans="1:6" ht="10.5" customHeight="1" x14ac:dyDescent="0.35">
      <c r="D5" s="88">
        <v>847030</v>
      </c>
      <c r="E5" s="89" t="s">
        <v>173</v>
      </c>
      <c r="F5" s="88">
        <v>847030</v>
      </c>
    </row>
    <row r="6" spans="1:6" ht="10.5" customHeight="1" x14ac:dyDescent="0.35">
      <c r="D6" s="88">
        <v>847951</v>
      </c>
      <c r="E6" s="89" t="s">
        <v>331</v>
      </c>
      <c r="F6" s="88">
        <v>847951</v>
      </c>
    </row>
    <row r="7" spans="1:6" ht="10.5" customHeight="1" x14ac:dyDescent="0.35">
      <c r="D7" s="88">
        <v>847015</v>
      </c>
      <c r="E7" s="89" t="s">
        <v>726</v>
      </c>
      <c r="F7" s="88">
        <v>847015</v>
      </c>
    </row>
    <row r="8" spans="1:6" ht="10.5" customHeight="1" x14ac:dyDescent="0.35">
      <c r="D8" s="88">
        <v>847040</v>
      </c>
      <c r="E8" s="89" t="s">
        <v>926</v>
      </c>
      <c r="F8" s="88">
        <v>847040</v>
      </c>
    </row>
    <row r="9" spans="1:6" ht="10.5" customHeight="1" x14ac:dyDescent="0.35">
      <c r="D9" s="88">
        <v>847078</v>
      </c>
      <c r="E9" s="89" t="s">
        <v>619</v>
      </c>
      <c r="F9" s="88">
        <v>847078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8"/>
  <sheetViews>
    <sheetView showGridLines="0" workbookViewId="0"/>
  </sheetViews>
  <sheetFormatPr defaultRowHeight="14.5" x14ac:dyDescent="0.35"/>
  <cols>
    <col min="1" max="1" width="10.453125" bestFit="1" customWidth="1"/>
    <col min="2" max="2" width="34.26953125" bestFit="1" customWidth="1"/>
    <col min="3" max="3" width="61.453125" bestFit="1" customWidth="1"/>
  </cols>
  <sheetData>
    <row r="1" spans="1:3" x14ac:dyDescent="0.35">
      <c r="A1" s="90" t="s">
        <v>1377</v>
      </c>
      <c r="B1" s="90" t="s">
        <v>2</v>
      </c>
      <c r="C1" s="90" t="s">
        <v>4</v>
      </c>
    </row>
    <row r="2" spans="1:3" x14ac:dyDescent="0.35">
      <c r="A2" s="46">
        <v>8470405</v>
      </c>
      <c r="B2" s="46" t="s">
        <v>1357</v>
      </c>
      <c r="C2" s="46" t="s">
        <v>270</v>
      </c>
    </row>
    <row r="3" spans="1:3" x14ac:dyDescent="0.35">
      <c r="A3" s="46">
        <v>8470410</v>
      </c>
      <c r="B3" s="46" t="s">
        <v>1357</v>
      </c>
      <c r="C3" s="46" t="s">
        <v>421</v>
      </c>
    </row>
    <row r="4" spans="1:3" x14ac:dyDescent="0.35">
      <c r="A4" s="46">
        <v>8470415</v>
      </c>
      <c r="B4" s="46" t="s">
        <v>1357</v>
      </c>
      <c r="C4" s="46" t="s">
        <v>362</v>
      </c>
    </row>
    <row r="5" spans="1:3" x14ac:dyDescent="0.35">
      <c r="A5" s="46">
        <v>8470425</v>
      </c>
      <c r="B5" s="46" t="s">
        <v>1357</v>
      </c>
      <c r="C5" s="46" t="s">
        <v>272</v>
      </c>
    </row>
    <row r="6" spans="1:3" x14ac:dyDescent="0.35">
      <c r="A6" s="46">
        <v>8470430</v>
      </c>
      <c r="B6" s="46" t="s">
        <v>1357</v>
      </c>
      <c r="C6" s="46" t="s">
        <v>424</v>
      </c>
    </row>
    <row r="7" spans="1:3" x14ac:dyDescent="0.35">
      <c r="A7" s="46">
        <v>8470435</v>
      </c>
      <c r="B7" s="46" t="s">
        <v>1357</v>
      </c>
      <c r="C7" s="46" t="s">
        <v>364</v>
      </c>
    </row>
    <row r="8" spans="1:3" x14ac:dyDescent="0.35">
      <c r="A8" s="46">
        <v>8470440</v>
      </c>
      <c r="B8" s="46" t="s">
        <v>1357</v>
      </c>
      <c r="C8" s="46" t="s">
        <v>426</v>
      </c>
    </row>
    <row r="9" spans="1:3" x14ac:dyDescent="0.35">
      <c r="A9" s="46">
        <v>8470445</v>
      </c>
      <c r="B9" s="46" t="s">
        <v>1357</v>
      </c>
      <c r="C9" s="46" t="s">
        <v>410</v>
      </c>
    </row>
    <row r="10" spans="1:3" x14ac:dyDescent="0.35">
      <c r="A10" s="46">
        <v>8470450</v>
      </c>
      <c r="B10" s="46" t="s">
        <v>1357</v>
      </c>
      <c r="C10" s="46" t="s">
        <v>275</v>
      </c>
    </row>
    <row r="11" spans="1:3" x14ac:dyDescent="0.35">
      <c r="A11" s="46">
        <v>8470530</v>
      </c>
      <c r="B11" s="46" t="s">
        <v>1358</v>
      </c>
      <c r="C11" s="46" t="s">
        <v>165</v>
      </c>
    </row>
    <row r="12" spans="1:3" x14ac:dyDescent="0.35">
      <c r="A12" s="46">
        <v>8470520</v>
      </c>
      <c r="B12" s="46" t="s">
        <v>1358</v>
      </c>
      <c r="C12" s="46" t="s">
        <v>253</v>
      </c>
    </row>
    <row r="13" spans="1:3" x14ac:dyDescent="0.35">
      <c r="A13" s="46">
        <v>8470540</v>
      </c>
      <c r="B13" s="46" t="s">
        <v>1358</v>
      </c>
      <c r="C13" s="46" t="s">
        <v>786</v>
      </c>
    </row>
    <row r="14" spans="1:3" x14ac:dyDescent="0.35">
      <c r="A14" s="46">
        <v>8470110</v>
      </c>
      <c r="B14" s="46" t="s">
        <v>1359</v>
      </c>
      <c r="C14" s="46" t="s">
        <v>180</v>
      </c>
    </row>
    <row r="15" spans="1:3" x14ac:dyDescent="0.35">
      <c r="A15" s="46">
        <v>8470120</v>
      </c>
      <c r="B15" s="46" t="s">
        <v>1359</v>
      </c>
      <c r="C15" s="46" t="s">
        <v>157</v>
      </c>
    </row>
    <row r="16" spans="1:3" x14ac:dyDescent="0.35">
      <c r="A16" s="46">
        <v>8470130</v>
      </c>
      <c r="B16" s="46" t="s">
        <v>1359</v>
      </c>
      <c r="C16" s="46" t="s">
        <v>217</v>
      </c>
    </row>
    <row r="17" spans="1:3" x14ac:dyDescent="0.35">
      <c r="A17" s="46">
        <v>8470140</v>
      </c>
      <c r="B17" s="46" t="s">
        <v>1359</v>
      </c>
      <c r="C17" s="46" t="s">
        <v>231</v>
      </c>
    </row>
    <row r="18" spans="1:3" x14ac:dyDescent="0.35">
      <c r="A18" s="46">
        <v>8470150</v>
      </c>
      <c r="B18" s="46" t="s">
        <v>1359</v>
      </c>
      <c r="C18" s="46" t="s">
        <v>208</v>
      </c>
    </row>
    <row r="19" spans="1:3" x14ac:dyDescent="0.35">
      <c r="A19" s="46">
        <v>8471010</v>
      </c>
      <c r="B19" s="46" t="s">
        <v>1360</v>
      </c>
      <c r="C19" s="46" t="s">
        <v>1361</v>
      </c>
    </row>
    <row r="20" spans="1:3" x14ac:dyDescent="0.35">
      <c r="A20" s="46">
        <v>8470220</v>
      </c>
      <c r="B20" s="46" t="s">
        <v>1309</v>
      </c>
      <c r="C20" s="46" t="s">
        <v>1011</v>
      </c>
    </row>
    <row r="21" spans="1:3" x14ac:dyDescent="0.35">
      <c r="A21" s="46">
        <v>8470630</v>
      </c>
      <c r="B21" s="46" t="s">
        <v>1362</v>
      </c>
      <c r="C21" s="46" t="s">
        <v>700</v>
      </c>
    </row>
    <row r="22" spans="1:3" x14ac:dyDescent="0.35">
      <c r="A22" s="46">
        <v>8470620</v>
      </c>
      <c r="B22" s="46" t="s">
        <v>1362</v>
      </c>
      <c r="C22" s="46" t="s">
        <v>161</v>
      </c>
    </row>
    <row r="23" spans="1:3" x14ac:dyDescent="0.35">
      <c r="A23" s="46">
        <v>8470305</v>
      </c>
      <c r="B23" s="46" t="s">
        <v>1363</v>
      </c>
      <c r="C23" s="46" t="s">
        <v>193</v>
      </c>
    </row>
    <row r="24" spans="1:3" x14ac:dyDescent="0.35">
      <c r="A24" s="46">
        <v>8470310</v>
      </c>
      <c r="B24" s="46" t="s">
        <v>1363</v>
      </c>
      <c r="C24" s="46" t="s">
        <v>309</v>
      </c>
    </row>
    <row r="25" spans="1:3" x14ac:dyDescent="0.35">
      <c r="A25" s="46">
        <v>8470315</v>
      </c>
      <c r="B25" s="46" t="s">
        <v>1363</v>
      </c>
      <c r="C25" s="46" t="s">
        <v>311</v>
      </c>
    </row>
    <row r="26" spans="1:3" x14ac:dyDescent="0.35">
      <c r="A26" s="46">
        <v>8470320</v>
      </c>
      <c r="B26" s="46" t="s">
        <v>1363</v>
      </c>
      <c r="C26" s="46" t="s">
        <v>443</v>
      </c>
    </row>
    <row r="27" spans="1:3" x14ac:dyDescent="0.35">
      <c r="A27" s="46">
        <v>8470325</v>
      </c>
      <c r="B27" s="46" t="s">
        <v>1363</v>
      </c>
      <c r="C27" s="46" t="s">
        <v>186</v>
      </c>
    </row>
    <row r="28" spans="1:3" x14ac:dyDescent="0.35">
      <c r="A28" s="46">
        <v>8470330</v>
      </c>
      <c r="B28" s="46" t="s">
        <v>1363</v>
      </c>
      <c r="C28" s="46" t="s">
        <v>268</v>
      </c>
    </row>
    <row r="29" spans="1:3" x14ac:dyDescent="0.35">
      <c r="A29" s="46">
        <v>8470335</v>
      </c>
      <c r="B29" s="46" t="s">
        <v>1363</v>
      </c>
      <c r="C29" s="46" t="s">
        <v>317</v>
      </c>
    </row>
    <row r="30" spans="1:3" x14ac:dyDescent="0.35">
      <c r="A30" s="46">
        <v>8470340</v>
      </c>
      <c r="B30" s="46" t="s">
        <v>1363</v>
      </c>
      <c r="C30" s="46" t="s">
        <v>234</v>
      </c>
    </row>
    <row r="31" spans="1:3" x14ac:dyDescent="0.35">
      <c r="A31" s="46">
        <v>8470345</v>
      </c>
      <c r="B31" s="46" t="s">
        <v>1363</v>
      </c>
      <c r="C31" s="46" t="s">
        <v>188</v>
      </c>
    </row>
    <row r="32" spans="1:3" x14ac:dyDescent="0.35">
      <c r="A32" s="46">
        <v>8470350</v>
      </c>
      <c r="B32" s="46" t="s">
        <v>1363</v>
      </c>
      <c r="C32" s="46" t="s">
        <v>191</v>
      </c>
    </row>
    <row r="33" spans="1:3" x14ac:dyDescent="0.35">
      <c r="A33" s="46">
        <v>8470810</v>
      </c>
      <c r="B33" s="46" t="s">
        <v>1364</v>
      </c>
      <c r="C33" s="46" t="s">
        <v>200</v>
      </c>
    </row>
    <row r="34" spans="1:3" x14ac:dyDescent="0.35">
      <c r="A34" s="46">
        <v>8471250</v>
      </c>
      <c r="B34" s="46" t="s">
        <v>1365</v>
      </c>
      <c r="C34" s="46" t="s">
        <v>349</v>
      </c>
    </row>
    <row r="35" spans="1:3" x14ac:dyDescent="0.35">
      <c r="A35" s="46">
        <v>8471280</v>
      </c>
      <c r="B35" s="46" t="s">
        <v>1365</v>
      </c>
      <c r="C35" s="46" t="s">
        <v>355</v>
      </c>
    </row>
    <row r="36" spans="1:3" x14ac:dyDescent="0.35">
      <c r="A36" s="46">
        <v>8471270</v>
      </c>
      <c r="B36" s="46" t="s">
        <v>1365</v>
      </c>
      <c r="C36" s="46" t="s">
        <v>353</v>
      </c>
    </row>
    <row r="37" spans="1:3" x14ac:dyDescent="0.35">
      <c r="A37" s="46">
        <v>8471220</v>
      </c>
      <c r="B37" s="46" t="s">
        <v>1365</v>
      </c>
      <c r="C37" s="46" t="s">
        <v>344</v>
      </c>
    </row>
    <row r="38" spans="1:3" x14ac:dyDescent="0.35">
      <c r="A38" s="46">
        <v>8471210</v>
      </c>
      <c r="B38" s="46" t="s">
        <v>1365</v>
      </c>
      <c r="C38" s="46" t="s">
        <v>176</v>
      </c>
    </row>
    <row r="39" spans="1:3" x14ac:dyDescent="0.35">
      <c r="A39" s="46">
        <v>8471230</v>
      </c>
      <c r="B39" s="46" t="s">
        <v>1365</v>
      </c>
      <c r="C39" s="46" t="s">
        <v>382</v>
      </c>
    </row>
    <row r="40" spans="1:3" x14ac:dyDescent="0.35">
      <c r="A40" s="46">
        <v>8471260</v>
      </c>
      <c r="B40" s="46" t="s">
        <v>1365</v>
      </c>
      <c r="C40" s="46" t="s">
        <v>178</v>
      </c>
    </row>
    <row r="41" spans="1:3" x14ac:dyDescent="0.35">
      <c r="A41" s="46">
        <v>8471240</v>
      </c>
      <c r="B41" s="46" t="s">
        <v>1365</v>
      </c>
      <c r="C41" s="46" t="s">
        <v>346</v>
      </c>
    </row>
    <row r="42" spans="1:3" x14ac:dyDescent="0.35">
      <c r="A42" s="46">
        <v>8470230</v>
      </c>
      <c r="B42" s="46" t="s">
        <v>1366</v>
      </c>
      <c r="C42" s="46" t="s">
        <v>183</v>
      </c>
    </row>
    <row r="43" spans="1:3" x14ac:dyDescent="0.35">
      <c r="A43" s="46">
        <v>8470720</v>
      </c>
      <c r="B43" s="46" t="s">
        <v>1367</v>
      </c>
      <c r="C43" s="46" t="s">
        <v>221</v>
      </c>
    </row>
    <row r="44" spans="1:3" x14ac:dyDescent="0.35">
      <c r="A44" s="46">
        <v>8470730</v>
      </c>
      <c r="B44" s="46" t="s">
        <v>1367</v>
      </c>
      <c r="C44" s="46" t="s">
        <v>223</v>
      </c>
    </row>
    <row r="45" spans="1:3" x14ac:dyDescent="0.35">
      <c r="A45" s="46">
        <v>8471110</v>
      </c>
      <c r="B45" s="46" t="s">
        <v>1368</v>
      </c>
      <c r="C45" s="46" t="s">
        <v>227</v>
      </c>
    </row>
    <row r="46" spans="1:3" x14ac:dyDescent="0.35">
      <c r="A46" s="46">
        <v>8471150</v>
      </c>
      <c r="B46" s="46" t="s">
        <v>1368</v>
      </c>
      <c r="C46" s="46" t="s">
        <v>212</v>
      </c>
    </row>
    <row r="47" spans="1:3" x14ac:dyDescent="0.35">
      <c r="A47" s="46">
        <v>8471160</v>
      </c>
      <c r="B47" s="46" t="s">
        <v>1368</v>
      </c>
      <c r="C47" s="46" t="s">
        <v>281</v>
      </c>
    </row>
    <row r="48" spans="1:3" x14ac:dyDescent="0.35">
      <c r="A48" s="46">
        <v>8471170</v>
      </c>
      <c r="B48" s="46" t="s">
        <v>1368</v>
      </c>
      <c r="C48" s="46" t="s">
        <v>203</v>
      </c>
    </row>
    <row r="49" spans="1:3" x14ac:dyDescent="0.35">
      <c r="A49" s="46">
        <v>8471130</v>
      </c>
      <c r="B49" s="46" t="s">
        <v>1368</v>
      </c>
      <c r="C49" s="46" t="s">
        <v>197</v>
      </c>
    </row>
    <row r="50" spans="1:3" x14ac:dyDescent="0.35">
      <c r="A50" s="46">
        <v>8471140</v>
      </c>
      <c r="B50" s="46" t="s">
        <v>1368</v>
      </c>
      <c r="C50" s="46" t="s">
        <v>1369</v>
      </c>
    </row>
    <row r="51" spans="1:3" x14ac:dyDescent="0.35">
      <c r="A51" s="46">
        <v>8471121</v>
      </c>
      <c r="B51" s="46" t="s">
        <v>1368</v>
      </c>
      <c r="C51" s="46" t="s">
        <v>1370</v>
      </c>
    </row>
    <row r="52" spans="1:3" x14ac:dyDescent="0.35">
      <c r="A52" s="46">
        <v>8471305</v>
      </c>
      <c r="B52" s="46" t="s">
        <v>1371</v>
      </c>
      <c r="C52" s="46" t="s">
        <v>32</v>
      </c>
    </row>
    <row r="53" spans="1:3" x14ac:dyDescent="0.35">
      <c r="A53" s="46">
        <v>8470910</v>
      </c>
      <c r="B53" s="46" t="s">
        <v>1372</v>
      </c>
      <c r="C53" s="46" t="s">
        <v>210</v>
      </c>
    </row>
    <row r="54" spans="1:3" x14ac:dyDescent="0.35">
      <c r="A54" s="46">
        <v>8471140</v>
      </c>
      <c r="B54" s="46" t="s">
        <v>1368</v>
      </c>
      <c r="C54" s="46" t="s">
        <v>1373</v>
      </c>
    </row>
    <row r="55" spans="1:3" x14ac:dyDescent="0.35">
      <c r="A55" s="46">
        <v>8471210</v>
      </c>
      <c r="B55" s="46" t="s">
        <v>1365</v>
      </c>
      <c r="C55" s="46" t="s">
        <v>176</v>
      </c>
    </row>
    <row r="56" spans="1:3" x14ac:dyDescent="0.35">
      <c r="A56" s="46">
        <v>8471120</v>
      </c>
      <c r="B56" s="46" t="s">
        <v>1368</v>
      </c>
      <c r="C56" s="46" t="s">
        <v>1374</v>
      </c>
    </row>
    <row r="57" spans="1:3" x14ac:dyDescent="0.35">
      <c r="A57" s="46">
        <v>8471122</v>
      </c>
      <c r="B57" s="46" t="s">
        <v>1368</v>
      </c>
      <c r="C57" s="46" t="s">
        <v>1375</v>
      </c>
    </row>
    <row r="58" spans="1:3" x14ac:dyDescent="0.35">
      <c r="A58" s="46" t="s">
        <v>1376</v>
      </c>
      <c r="B58" s="46"/>
      <c r="C58" s="4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Main Page</vt:lpstr>
      <vt:lpstr>Budget 2023</vt:lpstr>
      <vt:lpstr>xBudget 2024</vt:lpstr>
      <vt:lpstr>xBudget 2025</vt:lpstr>
      <vt:lpstr>Check List</vt:lpstr>
      <vt:lpstr>Drivers</vt:lpstr>
      <vt:lpstr>Accoount Code Combination</vt:lpstr>
      <vt:lpstr>Account Code</vt:lpstr>
      <vt:lpstr>Cost Center</vt:lpstr>
      <vt:lpstr>Strategic Objectives 2023</vt:lpstr>
      <vt:lpstr>Supporting Document</vt:lpstr>
      <vt:lpstr>Other </vt:lpstr>
      <vt:lpstr>Cost Center Group</vt:lpstr>
      <vt:lpstr>Budget_2022</vt:lpstr>
      <vt:lpstr>'Strategic Objectives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Mohammed Sheriff</dc:creator>
  <cp:lastModifiedBy>Amin, Rakesh</cp:lastModifiedBy>
  <dcterms:created xsi:type="dcterms:W3CDTF">2021-05-24T08:05:04Z</dcterms:created>
  <dcterms:modified xsi:type="dcterms:W3CDTF">2023-10-05T07:28:50Z</dcterms:modified>
</cp:coreProperties>
</file>