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defaultThemeVersion="124226"/>
  <xr:revisionPtr revIDLastSave="99" documentId="11_B03B0FBCB0D36224B6BCD8F8029CE14E96FF81DC" xr6:coauthVersionLast="47" xr6:coauthVersionMax="47" xr10:uidLastSave="{5369BBDA-3069-437C-8CC8-8461139E2180}"/>
  <bookViews>
    <workbookView xWindow="-110" yWindow="-110" windowWidth="19420" windowHeight="10420" activeTab="2" xr2:uid="{00000000-000D-0000-FFFF-FFFF00000000}"/>
  </bookViews>
  <sheets>
    <sheet name="Q4 master report" sheetId="2" r:id="rId1"/>
    <sheet name="Sheet5" sheetId="5" r:id="rId2"/>
    <sheet name="Sheet1" sheetId="1" r:id="rId3"/>
  </sheets>
  <definedNames>
    <definedName name="_xlnm._FilterDatabase" localSheetId="0" hidden="1">'Q4 master report'!$A$1:$O$448</definedName>
    <definedName name="_xlnm._FilterDatabase" localSheetId="2" hidden="1">Sheet1!$A$9:$O$942</definedName>
  </definedNames>
  <calcPr calcId="191029"/>
  <pivotCaches>
    <pivotCache cacheId="2"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44" i="1" l="1"/>
  <c r="J944" i="1"/>
  <c r="J946" i="1" s="1"/>
  <c r="K944" i="1"/>
  <c r="L944" i="1"/>
  <c r="M944" i="1"/>
  <c r="H944" i="1"/>
  <c r="H3" i="1"/>
  <c r="H4" i="1"/>
  <c r="H2" i="1"/>
  <c r="C481" i="1"/>
  <c r="C482" i="1" s="1"/>
  <c r="C483" i="1" s="1"/>
  <c r="C484" i="1" s="1"/>
  <c r="C485" i="1" s="1"/>
  <c r="C486" i="1" s="1"/>
  <c r="C487" i="1" s="1"/>
  <c r="C488" i="1" s="1"/>
  <c r="C489" i="1" s="1"/>
  <c r="C476" i="1"/>
  <c r="C477" i="1" s="1"/>
  <c r="C478" i="1" s="1"/>
  <c r="C479" i="1" s="1"/>
  <c r="C468" i="1"/>
  <c r="C469" i="1" s="1"/>
  <c r="C470" i="1" s="1"/>
  <c r="C471" i="1" s="1"/>
  <c r="C472" i="1" s="1"/>
  <c r="C473" i="1" s="1"/>
  <c r="C474" i="1" s="1"/>
  <c r="C459" i="1"/>
  <c r="C460" i="1" s="1"/>
  <c r="C461" i="1" s="1"/>
  <c r="C462" i="1" s="1"/>
  <c r="C463" i="1" s="1"/>
  <c r="C464" i="1" s="1"/>
  <c r="C465" i="1" s="1"/>
  <c r="C466" i="1" s="1"/>
  <c r="C453" i="1"/>
  <c r="C454" i="1" s="1"/>
  <c r="C455" i="1" s="1"/>
  <c r="C456" i="1" s="1"/>
  <c r="C457" i="1" s="1"/>
  <c r="C446" i="1"/>
  <c r="C447" i="1" s="1"/>
  <c r="C448" i="1" s="1"/>
  <c r="C449" i="1" s="1"/>
  <c r="C450" i="1" s="1"/>
  <c r="C451" i="1" s="1"/>
  <c r="C437" i="1"/>
  <c r="C438" i="1" s="1"/>
  <c r="C439" i="1" s="1"/>
  <c r="C440" i="1" s="1"/>
  <c r="C441" i="1" s="1"/>
  <c r="C442" i="1" s="1"/>
  <c r="C443" i="1" s="1"/>
  <c r="C444" i="1" s="1"/>
  <c r="C428" i="1"/>
  <c r="C429" i="1" s="1"/>
  <c r="C430" i="1" s="1"/>
  <c r="C431" i="1" s="1"/>
  <c r="C432" i="1" s="1"/>
  <c r="C433" i="1" s="1"/>
  <c r="C434" i="1" s="1"/>
  <c r="C435" i="1" s="1"/>
  <c r="C413" i="1"/>
  <c r="C414" i="1" s="1"/>
  <c r="C415" i="1" s="1"/>
  <c r="C416" i="1" s="1"/>
  <c r="C417" i="1" s="1"/>
  <c r="C418" i="1" s="1"/>
  <c r="C419" i="1" s="1"/>
  <c r="C420" i="1" s="1"/>
  <c r="C421" i="1" s="1"/>
  <c r="C422" i="1" s="1"/>
  <c r="C423" i="1" s="1"/>
  <c r="C424" i="1" s="1"/>
  <c r="C425" i="1" s="1"/>
  <c r="C426" i="1" s="1"/>
  <c r="C407" i="1"/>
  <c r="C408" i="1" s="1"/>
  <c r="C409" i="1" s="1"/>
  <c r="C410" i="1" s="1"/>
  <c r="C411" i="1" s="1"/>
  <c r="C398" i="1"/>
  <c r="C399" i="1" s="1"/>
  <c r="C400" i="1" s="1"/>
  <c r="C401" i="1" s="1"/>
  <c r="C402" i="1" s="1"/>
  <c r="C403" i="1" s="1"/>
  <c r="C404" i="1" s="1"/>
  <c r="C405" i="1" s="1"/>
  <c r="C392" i="1"/>
  <c r="C393" i="1" s="1"/>
  <c r="C394" i="1" s="1"/>
  <c r="C395" i="1" s="1"/>
  <c r="C396" i="1" s="1"/>
  <c r="C384" i="1"/>
  <c r="C385" i="1" s="1"/>
  <c r="C386" i="1" s="1"/>
  <c r="C387" i="1" s="1"/>
  <c r="C388" i="1" s="1"/>
  <c r="C389" i="1" s="1"/>
  <c r="C390" i="1" s="1"/>
  <c r="C375" i="1"/>
  <c r="C376" i="1" s="1"/>
  <c r="C377" i="1" s="1"/>
  <c r="C378" i="1" s="1"/>
  <c r="C379" i="1" s="1"/>
  <c r="C380" i="1" s="1"/>
  <c r="C381" i="1" s="1"/>
  <c r="C382" i="1" s="1"/>
  <c r="C371" i="1"/>
  <c r="C372" i="1" s="1"/>
  <c r="C373" i="1" s="1"/>
  <c r="C361" i="1"/>
  <c r="C362" i="1" s="1"/>
  <c r="C363" i="1" s="1"/>
  <c r="C364" i="1" s="1"/>
  <c r="C365" i="1" s="1"/>
  <c r="C366" i="1" s="1"/>
  <c r="C367" i="1" s="1"/>
  <c r="C368" i="1" s="1"/>
  <c r="C369" i="1" s="1"/>
  <c r="C353" i="1"/>
  <c r="C354" i="1" s="1"/>
  <c r="C355" i="1" s="1"/>
  <c r="C356" i="1" s="1"/>
  <c r="C357" i="1" s="1"/>
  <c r="C358" i="1" s="1"/>
  <c r="C359" i="1" s="1"/>
  <c r="C349" i="1"/>
  <c r="C350" i="1" s="1"/>
  <c r="C351" i="1" s="1"/>
  <c r="C332" i="1"/>
  <c r="C333" i="1" s="1"/>
  <c r="C334" i="1" s="1"/>
  <c r="C335" i="1" s="1"/>
  <c r="C336" i="1" s="1"/>
  <c r="C337" i="1" s="1"/>
  <c r="C338" i="1" s="1"/>
  <c r="C339" i="1" s="1"/>
  <c r="C340" i="1" s="1"/>
  <c r="C341" i="1" s="1"/>
  <c r="C342" i="1" s="1"/>
  <c r="C343" i="1" s="1"/>
  <c r="C344" i="1" s="1"/>
  <c r="C345" i="1" s="1"/>
  <c r="C346" i="1" s="1"/>
  <c r="C347" i="1" s="1"/>
  <c r="C323" i="1"/>
  <c r="C324" i="1" s="1"/>
  <c r="C325" i="1" s="1"/>
  <c r="C326" i="1" s="1"/>
  <c r="C327" i="1" s="1"/>
  <c r="C328" i="1" s="1"/>
  <c r="C329" i="1" s="1"/>
  <c r="C330" i="1" s="1"/>
  <c r="C312" i="1"/>
  <c r="C313" i="1" s="1"/>
  <c r="C314" i="1" s="1"/>
  <c r="C315" i="1" s="1"/>
  <c r="C316" i="1" s="1"/>
  <c r="C317" i="1" s="1"/>
  <c r="C318" i="1" s="1"/>
  <c r="C319" i="1" s="1"/>
  <c r="C320" i="1" s="1"/>
  <c r="C321" i="1" s="1"/>
  <c r="C306" i="1"/>
  <c r="C307" i="1" s="1"/>
  <c r="C308" i="1" s="1"/>
  <c r="C309" i="1" s="1"/>
  <c r="C310" i="1" s="1"/>
  <c r="C298" i="1"/>
  <c r="C299" i="1" s="1"/>
  <c r="C300" i="1" s="1"/>
  <c r="C301" i="1" s="1"/>
  <c r="C302" i="1" s="1"/>
  <c r="C303" i="1" s="1"/>
  <c r="C304" i="1" s="1"/>
  <c r="C286" i="1"/>
  <c r="C287" i="1" s="1"/>
  <c r="C288" i="1" s="1"/>
  <c r="C289" i="1" s="1"/>
  <c r="C290" i="1" s="1"/>
  <c r="C291" i="1" s="1"/>
  <c r="C292" i="1" s="1"/>
  <c r="C293" i="1" s="1"/>
  <c r="C294" i="1" s="1"/>
  <c r="C295" i="1" s="1"/>
  <c r="C296" i="1" s="1"/>
  <c r="C278" i="1"/>
  <c r="C279" i="1" s="1"/>
  <c r="C280" i="1" s="1"/>
  <c r="C281" i="1" s="1"/>
  <c r="C282" i="1" s="1"/>
  <c r="C283" i="1" s="1"/>
  <c r="C284" i="1" s="1"/>
  <c r="C271" i="1"/>
  <c r="C272" i="1" s="1"/>
  <c r="C273" i="1" s="1"/>
  <c r="C274" i="1" s="1"/>
  <c r="C275" i="1" s="1"/>
  <c r="C276" i="1" s="1"/>
  <c r="C263" i="1"/>
  <c r="C264" i="1" s="1"/>
  <c r="C265" i="1" s="1"/>
  <c r="C266" i="1" s="1"/>
  <c r="C267" i="1" s="1"/>
  <c r="C268" i="1" s="1"/>
  <c r="C269" i="1" s="1"/>
  <c r="C255" i="1"/>
  <c r="C256" i="1" s="1"/>
  <c r="C257" i="1" s="1"/>
  <c r="C258" i="1" s="1"/>
  <c r="C259" i="1" s="1"/>
  <c r="C260" i="1" s="1"/>
  <c r="C261" i="1" s="1"/>
  <c r="C242" i="1"/>
  <c r="C243" i="1" s="1"/>
  <c r="C244" i="1" s="1"/>
  <c r="C245" i="1" s="1"/>
  <c r="C246" i="1" s="1"/>
  <c r="C247" i="1" s="1"/>
  <c r="C248" i="1" s="1"/>
  <c r="C249" i="1" s="1"/>
  <c r="C250" i="1" s="1"/>
  <c r="C251" i="1" s="1"/>
  <c r="C252" i="1" s="1"/>
  <c r="C253" i="1" s="1"/>
  <c r="C238" i="1"/>
  <c r="C239" i="1" s="1"/>
  <c r="C240" i="1" s="1"/>
  <c r="C228" i="1"/>
  <c r="C229" i="1" s="1"/>
  <c r="C230" i="1" s="1"/>
  <c r="C231" i="1" s="1"/>
  <c r="C232" i="1" s="1"/>
  <c r="C233" i="1" s="1"/>
  <c r="C234" i="1" s="1"/>
  <c r="C235" i="1" s="1"/>
  <c r="C236" i="1" s="1"/>
  <c r="C219" i="1"/>
  <c r="C220" i="1" s="1"/>
  <c r="C221" i="1" s="1"/>
  <c r="C222" i="1" s="1"/>
  <c r="C223" i="1" s="1"/>
  <c r="C224" i="1" s="1"/>
  <c r="C225" i="1" s="1"/>
  <c r="C226" i="1" s="1"/>
  <c r="C209" i="1"/>
  <c r="C210" i="1" s="1"/>
  <c r="C211" i="1" s="1"/>
  <c r="C212" i="1" s="1"/>
  <c r="C213" i="1" s="1"/>
  <c r="C214" i="1" s="1"/>
  <c r="C215" i="1" s="1"/>
  <c r="C216" i="1" s="1"/>
  <c r="C217" i="1" s="1"/>
  <c r="C198" i="1"/>
  <c r="C199" i="1" s="1"/>
  <c r="C200" i="1" s="1"/>
  <c r="C201" i="1" s="1"/>
  <c r="C202" i="1" s="1"/>
  <c r="C203" i="1" s="1"/>
  <c r="C204" i="1" s="1"/>
  <c r="C205" i="1" s="1"/>
  <c r="C206" i="1" s="1"/>
  <c r="C207" i="1" s="1"/>
  <c r="C191" i="1"/>
  <c r="C192" i="1" s="1"/>
  <c r="C193" i="1" s="1"/>
  <c r="C194" i="1" s="1"/>
  <c r="C195" i="1" s="1"/>
  <c r="C196" i="1" s="1"/>
  <c r="C182" i="1"/>
  <c r="C183" i="1" s="1"/>
  <c r="C184" i="1" s="1"/>
  <c r="C185" i="1" s="1"/>
  <c r="C186" i="1" s="1"/>
  <c r="C187" i="1" s="1"/>
  <c r="C188" i="1" s="1"/>
  <c r="C189" i="1" s="1"/>
  <c r="C174" i="1"/>
  <c r="C175" i="1" s="1"/>
  <c r="C176" i="1" s="1"/>
  <c r="C177" i="1" s="1"/>
  <c r="C178" i="1" s="1"/>
  <c r="C179" i="1" s="1"/>
  <c r="C180" i="1" s="1"/>
  <c r="C166" i="1"/>
  <c r="C167" i="1" s="1"/>
  <c r="C168" i="1" s="1"/>
  <c r="C169" i="1" s="1"/>
  <c r="C170" i="1" s="1"/>
  <c r="C171" i="1" s="1"/>
  <c r="C172" i="1" s="1"/>
  <c r="C157" i="1"/>
  <c r="C158" i="1" s="1"/>
  <c r="C159" i="1" s="1"/>
  <c r="C160" i="1" s="1"/>
  <c r="C161" i="1" s="1"/>
  <c r="C162" i="1" s="1"/>
  <c r="C163" i="1" s="1"/>
  <c r="C164" i="1" s="1"/>
  <c r="C148" i="1"/>
  <c r="C149" i="1" s="1"/>
  <c r="C150" i="1" s="1"/>
  <c r="C151" i="1" s="1"/>
  <c r="C152" i="1" s="1"/>
  <c r="C153" i="1" s="1"/>
  <c r="C154" i="1" s="1"/>
  <c r="C155" i="1" s="1"/>
  <c r="C138" i="1"/>
  <c r="C139" i="1" s="1"/>
  <c r="C140" i="1" s="1"/>
  <c r="C141" i="1" s="1"/>
  <c r="C142" i="1" s="1"/>
  <c r="C143" i="1" s="1"/>
  <c r="C144" i="1" s="1"/>
  <c r="C145" i="1" s="1"/>
  <c r="C146" i="1" s="1"/>
  <c r="C128" i="1"/>
  <c r="C129" i="1" s="1"/>
  <c r="C130" i="1" s="1"/>
  <c r="C131" i="1" s="1"/>
  <c r="C132" i="1" s="1"/>
  <c r="C133" i="1" s="1"/>
  <c r="C134" i="1" s="1"/>
  <c r="C135" i="1" s="1"/>
  <c r="C136" i="1" s="1"/>
  <c r="C115" i="1"/>
  <c r="C116" i="1" s="1"/>
  <c r="C117" i="1" s="1"/>
  <c r="C118" i="1" s="1"/>
  <c r="C119" i="1" s="1"/>
  <c r="C120" i="1" s="1"/>
  <c r="C121" i="1" s="1"/>
  <c r="C122" i="1" s="1"/>
  <c r="C123" i="1" s="1"/>
  <c r="C124" i="1" s="1"/>
  <c r="C125" i="1" s="1"/>
  <c r="C126" i="1" s="1"/>
  <c r="C106" i="1"/>
  <c r="C107" i="1" s="1"/>
  <c r="C108" i="1" s="1"/>
  <c r="C109" i="1" s="1"/>
  <c r="C110" i="1" s="1"/>
  <c r="C111" i="1" s="1"/>
  <c r="C112" i="1" s="1"/>
  <c r="C113" i="1" s="1"/>
  <c r="C97" i="1"/>
  <c r="C98" i="1" s="1"/>
  <c r="C99" i="1" s="1"/>
  <c r="C100" i="1" s="1"/>
  <c r="C101" i="1" s="1"/>
  <c r="C102" i="1" s="1"/>
  <c r="C103" i="1" s="1"/>
  <c r="C104" i="1" s="1"/>
  <c r="C87" i="1"/>
  <c r="C88" i="1" s="1"/>
  <c r="C89" i="1" s="1"/>
  <c r="C90" i="1" s="1"/>
  <c r="C91" i="1" s="1"/>
  <c r="C92" i="1" s="1"/>
  <c r="C93" i="1" s="1"/>
  <c r="C94" i="1" s="1"/>
  <c r="C95" i="1" s="1"/>
  <c r="C77" i="1"/>
  <c r="C78" i="1" s="1"/>
  <c r="C79" i="1" s="1"/>
  <c r="C80" i="1" s="1"/>
  <c r="C81" i="1" s="1"/>
  <c r="C82" i="1" s="1"/>
  <c r="C83" i="1" s="1"/>
  <c r="C84" i="1" s="1"/>
  <c r="C85" i="1" s="1"/>
  <c r="C70" i="1"/>
  <c r="C71" i="1" s="1"/>
  <c r="C72" i="1" s="1"/>
  <c r="C73" i="1" s="1"/>
  <c r="C74" i="1" s="1"/>
  <c r="C75" i="1" s="1"/>
  <c r="C61" i="1"/>
  <c r="C62" i="1" s="1"/>
  <c r="C63" i="1" s="1"/>
  <c r="C64" i="1" s="1"/>
  <c r="C65" i="1" s="1"/>
  <c r="C66" i="1" s="1"/>
  <c r="C67" i="1" s="1"/>
  <c r="C68" i="1" s="1"/>
  <c r="C58" i="1"/>
  <c r="C59" i="1" s="1"/>
  <c r="C49" i="1"/>
  <c r="C50" i="1" s="1"/>
  <c r="C51" i="1" s="1"/>
  <c r="C52" i="1" s="1"/>
  <c r="C53" i="1" s="1"/>
  <c r="C54" i="1" s="1"/>
  <c r="C55" i="1" s="1"/>
  <c r="C56" i="1" s="1"/>
  <c r="C37" i="1"/>
  <c r="C38" i="1" s="1"/>
  <c r="C39" i="1" s="1"/>
  <c r="C40" i="1" s="1"/>
  <c r="C41" i="1" s="1"/>
  <c r="C42" i="1" s="1"/>
  <c r="C43" i="1" s="1"/>
  <c r="C44" i="1" s="1"/>
  <c r="C45" i="1" s="1"/>
  <c r="C46" i="1" s="1"/>
  <c r="C47" i="1" s="1"/>
  <c r="C31" i="1"/>
  <c r="C32" i="1" s="1"/>
  <c r="C33" i="1" s="1"/>
  <c r="C34" i="1" s="1"/>
  <c r="C35" i="1" s="1"/>
  <c r="C23" i="1"/>
  <c r="C24" i="1" s="1"/>
  <c r="C25" i="1" s="1"/>
  <c r="C26" i="1" s="1"/>
  <c r="C27" i="1" s="1"/>
  <c r="C28" i="1" s="1"/>
  <c r="C29" i="1" s="1"/>
  <c r="C11" i="1"/>
  <c r="C12" i="1" s="1"/>
  <c r="C13" i="1" s="1"/>
  <c r="C14" i="1" s="1"/>
  <c r="C15" i="1" s="1"/>
  <c r="C16" i="1" s="1"/>
  <c r="C17" i="1" s="1"/>
  <c r="C18" i="1" s="1"/>
  <c r="C19" i="1" s="1"/>
  <c r="C20" i="1" s="1"/>
  <c r="C21" i="1" s="1"/>
  <c r="D476" i="1"/>
  <c r="D477" i="1" s="1"/>
  <c r="D478" i="1" s="1"/>
  <c r="D479" i="1" s="1"/>
  <c r="D468" i="1"/>
  <c r="D469" i="1" s="1"/>
  <c r="D470" i="1" s="1"/>
  <c r="D471" i="1" s="1"/>
  <c r="D472" i="1" s="1"/>
  <c r="D473" i="1" s="1"/>
  <c r="D474" i="1" s="1"/>
  <c r="D459" i="1"/>
  <c r="D460" i="1" s="1"/>
  <c r="D461" i="1" s="1"/>
  <c r="D462" i="1" s="1"/>
  <c r="D463" i="1" s="1"/>
  <c r="D464" i="1" s="1"/>
  <c r="D465" i="1" s="1"/>
  <c r="D466" i="1" s="1"/>
  <c r="D453" i="1"/>
  <c r="D454" i="1" s="1"/>
  <c r="D455" i="1" s="1"/>
  <c r="D456" i="1" s="1"/>
  <c r="D457" i="1" s="1"/>
  <c r="D446" i="1"/>
  <c r="D447" i="1" s="1"/>
  <c r="D448" i="1" s="1"/>
  <c r="D449" i="1" s="1"/>
  <c r="D450" i="1" s="1"/>
  <c r="D451" i="1" s="1"/>
  <c r="D437" i="1"/>
  <c r="D438" i="1" s="1"/>
  <c r="D439" i="1" s="1"/>
  <c r="D440" i="1" s="1"/>
  <c r="D441" i="1" s="1"/>
  <c r="D442" i="1" s="1"/>
  <c r="D443" i="1" s="1"/>
  <c r="D444" i="1" s="1"/>
  <c r="D428" i="1"/>
  <c r="D429" i="1" s="1"/>
  <c r="D430" i="1" s="1"/>
  <c r="D431" i="1" s="1"/>
  <c r="D432" i="1" s="1"/>
  <c r="D433" i="1" s="1"/>
  <c r="D434" i="1" s="1"/>
  <c r="D435" i="1" s="1"/>
  <c r="D413" i="1"/>
  <c r="D414" i="1" s="1"/>
  <c r="D415" i="1" s="1"/>
  <c r="D416" i="1" s="1"/>
  <c r="D417" i="1" s="1"/>
  <c r="D418" i="1" s="1"/>
  <c r="D419" i="1" s="1"/>
  <c r="D420" i="1" s="1"/>
  <c r="D421" i="1" s="1"/>
  <c r="D422" i="1" s="1"/>
  <c r="D423" i="1" s="1"/>
  <c r="D424" i="1" s="1"/>
  <c r="D425" i="1" s="1"/>
  <c r="D426" i="1" s="1"/>
  <c r="D407" i="1"/>
  <c r="D408" i="1" s="1"/>
  <c r="D409" i="1" s="1"/>
  <c r="D410" i="1" s="1"/>
  <c r="D411" i="1" s="1"/>
  <c r="D398" i="1"/>
  <c r="D399" i="1" s="1"/>
  <c r="D400" i="1" s="1"/>
  <c r="D401" i="1" s="1"/>
  <c r="D402" i="1" s="1"/>
  <c r="D403" i="1" s="1"/>
  <c r="D404" i="1" s="1"/>
  <c r="D405" i="1" s="1"/>
  <c r="D392" i="1"/>
  <c r="D393" i="1" s="1"/>
  <c r="D394" i="1" s="1"/>
  <c r="D395" i="1" s="1"/>
  <c r="D396" i="1" s="1"/>
  <c r="D384" i="1"/>
  <c r="D385" i="1" s="1"/>
  <c r="D386" i="1" s="1"/>
  <c r="D387" i="1" s="1"/>
  <c r="D388" i="1" s="1"/>
  <c r="D389" i="1" s="1"/>
  <c r="D390" i="1" s="1"/>
  <c r="D375" i="1"/>
  <c r="D376" i="1" s="1"/>
  <c r="D377" i="1" s="1"/>
  <c r="D378" i="1" s="1"/>
  <c r="D379" i="1" s="1"/>
  <c r="D380" i="1" s="1"/>
  <c r="D381" i="1" s="1"/>
  <c r="D382" i="1" s="1"/>
  <c r="D371" i="1"/>
  <c r="D372" i="1" s="1"/>
  <c r="D373" i="1" s="1"/>
  <c r="D361" i="1"/>
  <c r="D362" i="1" s="1"/>
  <c r="D363" i="1" s="1"/>
  <c r="D364" i="1" s="1"/>
  <c r="D365" i="1" s="1"/>
  <c r="D366" i="1" s="1"/>
  <c r="D367" i="1" s="1"/>
  <c r="D368" i="1" s="1"/>
  <c r="D369" i="1" s="1"/>
  <c r="D353" i="1"/>
  <c r="D354" i="1" s="1"/>
  <c r="D355" i="1" s="1"/>
  <c r="D356" i="1" s="1"/>
  <c r="D357" i="1" s="1"/>
  <c r="D358" i="1" s="1"/>
  <c r="D359" i="1" s="1"/>
  <c r="D349" i="1"/>
  <c r="D350" i="1" s="1"/>
  <c r="D351" i="1" s="1"/>
  <c r="D332" i="1"/>
  <c r="D333" i="1" s="1"/>
  <c r="D334" i="1" s="1"/>
  <c r="D335" i="1" s="1"/>
  <c r="D336" i="1" s="1"/>
  <c r="D337" i="1" s="1"/>
  <c r="D338" i="1" s="1"/>
  <c r="D339" i="1" s="1"/>
  <c r="D340" i="1" s="1"/>
  <c r="D341" i="1" s="1"/>
  <c r="D342" i="1" s="1"/>
  <c r="D343" i="1" s="1"/>
  <c r="D344" i="1" s="1"/>
  <c r="D345" i="1" s="1"/>
  <c r="D346" i="1" s="1"/>
  <c r="D347" i="1" s="1"/>
  <c r="D323" i="1"/>
  <c r="D324" i="1" s="1"/>
  <c r="D325" i="1" s="1"/>
  <c r="D326" i="1" s="1"/>
  <c r="D327" i="1" s="1"/>
  <c r="D328" i="1" s="1"/>
  <c r="D329" i="1" s="1"/>
  <c r="D330" i="1" s="1"/>
  <c r="D312" i="1"/>
  <c r="D313" i="1" s="1"/>
  <c r="D314" i="1" s="1"/>
  <c r="D315" i="1" s="1"/>
  <c r="D316" i="1" s="1"/>
  <c r="D317" i="1" s="1"/>
  <c r="D318" i="1" s="1"/>
  <c r="D319" i="1" s="1"/>
  <c r="D320" i="1" s="1"/>
  <c r="D321" i="1" s="1"/>
  <c r="D306" i="1"/>
  <c r="D307" i="1" s="1"/>
  <c r="D308" i="1" s="1"/>
  <c r="D309" i="1" s="1"/>
  <c r="D310" i="1" s="1"/>
  <c r="D298" i="1"/>
  <c r="D299" i="1" s="1"/>
  <c r="D300" i="1" s="1"/>
  <c r="D301" i="1" s="1"/>
  <c r="D302" i="1" s="1"/>
  <c r="D303" i="1" s="1"/>
  <c r="D304" i="1" s="1"/>
  <c r="D286" i="1"/>
  <c r="D287" i="1" s="1"/>
  <c r="D288" i="1" s="1"/>
  <c r="D289" i="1" s="1"/>
  <c r="D290" i="1" s="1"/>
  <c r="D291" i="1" s="1"/>
  <c r="D292" i="1" s="1"/>
  <c r="D293" i="1" s="1"/>
  <c r="D294" i="1" s="1"/>
  <c r="D295" i="1" s="1"/>
  <c r="D296" i="1" s="1"/>
  <c r="D278" i="1"/>
  <c r="D279" i="1" s="1"/>
  <c r="D280" i="1" s="1"/>
  <c r="D281" i="1" s="1"/>
  <c r="D282" i="1" s="1"/>
  <c r="D283" i="1" s="1"/>
  <c r="D284" i="1" s="1"/>
  <c r="D271" i="1"/>
  <c r="D272" i="1" s="1"/>
  <c r="D273" i="1" s="1"/>
  <c r="D274" i="1" s="1"/>
  <c r="D275" i="1" s="1"/>
  <c r="D276" i="1" s="1"/>
  <c r="D263" i="1"/>
  <c r="D264" i="1" s="1"/>
  <c r="D265" i="1" s="1"/>
  <c r="D266" i="1" s="1"/>
  <c r="D267" i="1" s="1"/>
  <c r="D268" i="1" s="1"/>
  <c r="D269" i="1" s="1"/>
  <c r="D255" i="1"/>
  <c r="D256" i="1" s="1"/>
  <c r="D257" i="1" s="1"/>
  <c r="D258" i="1" s="1"/>
  <c r="D259" i="1" s="1"/>
  <c r="D260" i="1" s="1"/>
  <c r="D261" i="1" s="1"/>
  <c r="D242" i="1"/>
  <c r="D243" i="1" s="1"/>
  <c r="D244" i="1" s="1"/>
  <c r="D245" i="1" s="1"/>
  <c r="D246" i="1" s="1"/>
  <c r="D247" i="1" s="1"/>
  <c r="D248" i="1" s="1"/>
  <c r="D249" i="1" s="1"/>
  <c r="D250" i="1" s="1"/>
  <c r="D251" i="1" s="1"/>
  <c r="D252" i="1" s="1"/>
  <c r="D253" i="1" s="1"/>
  <c r="D238" i="1"/>
  <c r="D239" i="1" s="1"/>
  <c r="D240" i="1" s="1"/>
  <c r="D228" i="1"/>
  <c r="D229" i="1" s="1"/>
  <c r="D230" i="1" s="1"/>
  <c r="D231" i="1" s="1"/>
  <c r="D232" i="1" s="1"/>
  <c r="D233" i="1" s="1"/>
  <c r="D234" i="1" s="1"/>
  <c r="D235" i="1" s="1"/>
  <c r="D236" i="1" s="1"/>
  <c r="D219" i="1"/>
  <c r="D220" i="1" s="1"/>
  <c r="D221" i="1" s="1"/>
  <c r="D222" i="1" s="1"/>
  <c r="D223" i="1" s="1"/>
  <c r="D224" i="1" s="1"/>
  <c r="D225" i="1" s="1"/>
  <c r="D226" i="1" s="1"/>
  <c r="D209" i="1"/>
  <c r="D210" i="1" s="1"/>
  <c r="D211" i="1" s="1"/>
  <c r="D212" i="1" s="1"/>
  <c r="D213" i="1" s="1"/>
  <c r="D214" i="1" s="1"/>
  <c r="D215" i="1" s="1"/>
  <c r="D216" i="1" s="1"/>
  <c r="D217" i="1" s="1"/>
  <c r="D198" i="1"/>
  <c r="D199" i="1" s="1"/>
  <c r="D200" i="1" s="1"/>
  <c r="D201" i="1" s="1"/>
  <c r="D202" i="1" s="1"/>
  <c r="D203" i="1" s="1"/>
  <c r="D204" i="1" s="1"/>
  <c r="D205" i="1" s="1"/>
  <c r="D206" i="1" s="1"/>
  <c r="D207" i="1" s="1"/>
  <c r="D191" i="1"/>
  <c r="D192" i="1" s="1"/>
  <c r="D193" i="1" s="1"/>
  <c r="D194" i="1" s="1"/>
  <c r="D195" i="1" s="1"/>
  <c r="D196" i="1" s="1"/>
  <c r="D182" i="1"/>
  <c r="D183" i="1" s="1"/>
  <c r="D184" i="1" s="1"/>
  <c r="D185" i="1" s="1"/>
  <c r="D186" i="1" s="1"/>
  <c r="D187" i="1" s="1"/>
  <c r="D188" i="1" s="1"/>
  <c r="D189" i="1" s="1"/>
  <c r="D174" i="1"/>
  <c r="D175" i="1" s="1"/>
  <c r="D176" i="1" s="1"/>
  <c r="D177" i="1" s="1"/>
  <c r="D178" i="1" s="1"/>
  <c r="D179" i="1" s="1"/>
  <c r="D180" i="1" s="1"/>
  <c r="D166" i="1"/>
  <c r="D167" i="1" s="1"/>
  <c r="D168" i="1" s="1"/>
  <c r="D169" i="1" s="1"/>
  <c r="D170" i="1" s="1"/>
  <c r="D171" i="1" s="1"/>
  <c r="D172" i="1" s="1"/>
  <c r="D157" i="1"/>
  <c r="D158" i="1" s="1"/>
  <c r="D159" i="1" s="1"/>
  <c r="D160" i="1" s="1"/>
  <c r="D161" i="1" s="1"/>
  <c r="D162" i="1" s="1"/>
  <c r="D163" i="1" s="1"/>
  <c r="D164" i="1" s="1"/>
  <c r="D148" i="1"/>
  <c r="D149" i="1" s="1"/>
  <c r="D150" i="1" s="1"/>
  <c r="D151" i="1" s="1"/>
  <c r="D152" i="1" s="1"/>
  <c r="D153" i="1" s="1"/>
  <c r="D154" i="1" s="1"/>
  <c r="D155" i="1" s="1"/>
  <c r="D138" i="1"/>
  <c r="D139" i="1" s="1"/>
  <c r="D140" i="1" s="1"/>
  <c r="D141" i="1" s="1"/>
  <c r="D142" i="1" s="1"/>
  <c r="D143" i="1" s="1"/>
  <c r="D144" i="1" s="1"/>
  <c r="D145" i="1" s="1"/>
  <c r="D146" i="1" s="1"/>
  <c r="D128" i="1"/>
  <c r="D129" i="1" s="1"/>
  <c r="D130" i="1" s="1"/>
  <c r="D131" i="1" s="1"/>
  <c r="D132" i="1" s="1"/>
  <c r="D133" i="1" s="1"/>
  <c r="D134" i="1" s="1"/>
  <c r="D135" i="1" s="1"/>
  <c r="D136" i="1" s="1"/>
  <c r="D115" i="1"/>
  <c r="D116" i="1" s="1"/>
  <c r="D117" i="1" s="1"/>
  <c r="D118" i="1" s="1"/>
  <c r="D119" i="1" s="1"/>
  <c r="D120" i="1" s="1"/>
  <c r="D121" i="1" s="1"/>
  <c r="D122" i="1" s="1"/>
  <c r="D123" i="1" s="1"/>
  <c r="D124" i="1" s="1"/>
  <c r="D125" i="1" s="1"/>
  <c r="D126" i="1" s="1"/>
  <c r="D106" i="1"/>
  <c r="D107" i="1" s="1"/>
  <c r="D108" i="1" s="1"/>
  <c r="D109" i="1" s="1"/>
  <c r="D110" i="1" s="1"/>
  <c r="D111" i="1" s="1"/>
  <c r="D112" i="1" s="1"/>
  <c r="D113" i="1" s="1"/>
  <c r="D97" i="1"/>
  <c r="D98" i="1" s="1"/>
  <c r="D99" i="1" s="1"/>
  <c r="D100" i="1" s="1"/>
  <c r="D101" i="1" s="1"/>
  <c r="D102" i="1" s="1"/>
  <c r="D103" i="1" s="1"/>
  <c r="D104" i="1" s="1"/>
  <c r="D87" i="1"/>
  <c r="D88" i="1" s="1"/>
  <c r="D89" i="1" s="1"/>
  <c r="D90" i="1" s="1"/>
  <c r="D91" i="1" s="1"/>
  <c r="D92" i="1" s="1"/>
  <c r="D93" i="1" s="1"/>
  <c r="D94" i="1" s="1"/>
  <c r="D95" i="1" s="1"/>
  <c r="D77" i="1"/>
  <c r="D78" i="1" s="1"/>
  <c r="D79" i="1" s="1"/>
  <c r="D80" i="1" s="1"/>
  <c r="D81" i="1" s="1"/>
  <c r="D82" i="1" s="1"/>
  <c r="D83" i="1" s="1"/>
  <c r="D84" i="1" s="1"/>
  <c r="D85" i="1" s="1"/>
  <c r="D70" i="1"/>
  <c r="D71" i="1" s="1"/>
  <c r="D72" i="1" s="1"/>
  <c r="D73" i="1" s="1"/>
  <c r="D74" i="1" s="1"/>
  <c r="D75" i="1" s="1"/>
  <c r="D61" i="1"/>
  <c r="D62" i="1" s="1"/>
  <c r="D63" i="1" s="1"/>
  <c r="D64" i="1" s="1"/>
  <c r="D65" i="1" s="1"/>
  <c r="D66" i="1" s="1"/>
  <c r="D67" i="1" s="1"/>
  <c r="D68" i="1" s="1"/>
  <c r="D58" i="1"/>
  <c r="D59" i="1" s="1"/>
  <c r="D49" i="1"/>
  <c r="D50" i="1" s="1"/>
  <c r="D51" i="1" s="1"/>
  <c r="D52" i="1" s="1"/>
  <c r="D53" i="1" s="1"/>
  <c r="D54" i="1" s="1"/>
  <c r="D55" i="1" s="1"/>
  <c r="D56" i="1" s="1"/>
  <c r="D37" i="1"/>
  <c r="D38" i="1" s="1"/>
  <c r="D39" i="1" s="1"/>
  <c r="D40" i="1" s="1"/>
  <c r="D41" i="1" s="1"/>
  <c r="D42" i="1" s="1"/>
  <c r="D43" i="1" s="1"/>
  <c r="D44" i="1" s="1"/>
  <c r="D45" i="1" s="1"/>
  <c r="D46" i="1" s="1"/>
  <c r="D47" i="1" s="1"/>
  <c r="D31" i="1"/>
  <c r="D32" i="1" s="1"/>
  <c r="D33" i="1" s="1"/>
  <c r="D34" i="1" s="1"/>
  <c r="D35" i="1" s="1"/>
  <c r="D23" i="1"/>
  <c r="D24" i="1" s="1"/>
  <c r="D25" i="1" s="1"/>
  <c r="D26" i="1" s="1"/>
  <c r="D27" i="1" s="1"/>
  <c r="D28" i="1" s="1"/>
  <c r="D29" i="1" s="1"/>
  <c r="D11" i="1"/>
  <c r="D12" i="1" s="1"/>
  <c r="D13" i="1" s="1"/>
  <c r="D14" i="1" s="1"/>
  <c r="D15" i="1" s="1"/>
  <c r="D16" i="1" s="1"/>
  <c r="D17" i="1" s="1"/>
  <c r="D18" i="1" s="1"/>
  <c r="D19" i="1" s="1"/>
  <c r="D20" i="1" s="1"/>
  <c r="D21" i="1" s="1"/>
  <c r="D481" i="1"/>
  <c r="D482" i="1" s="1"/>
  <c r="D483" i="1" s="1"/>
  <c r="D484" i="1" s="1"/>
  <c r="D485" i="1" s="1"/>
  <c r="D486" i="1" s="1"/>
  <c r="D487" i="1" s="1"/>
  <c r="D488" i="1" s="1"/>
  <c r="D489" i="1" s="1"/>
  <c r="I448" i="2"/>
  <c r="I449" i="2" s="1"/>
  <c r="J448" i="2"/>
  <c r="J449" i="2" s="1"/>
  <c r="G448" i="2"/>
  <c r="G449" i="2" s="1"/>
  <c r="H448" i="2"/>
  <c r="H449" i="2" s="1"/>
  <c r="F448" i="2"/>
  <c r="F449" i="2" s="1"/>
  <c r="K23" i="2" l="1"/>
  <c r="K3" i="2"/>
  <c r="K7" i="2"/>
  <c r="K4" i="2"/>
  <c r="K13" i="2"/>
  <c r="K17" i="2"/>
  <c r="K11" i="2"/>
  <c r="K15" i="2"/>
  <c r="K8" i="2"/>
  <c r="K12" i="2"/>
  <c r="K16" i="2"/>
  <c r="K5" i="2"/>
  <c r="K6" i="2"/>
  <c r="K9" i="2"/>
  <c r="K10" i="2"/>
  <c r="K2" i="2"/>
  <c r="K18" i="2"/>
  <c r="K19" i="2"/>
  <c r="K21" i="2"/>
  <c r="K20" i="2"/>
  <c r="K22" i="2"/>
  <c r="K32" i="2"/>
  <c r="K24" i="2"/>
  <c r="K26" i="2"/>
  <c r="K31" i="2"/>
  <c r="K29" i="2"/>
  <c r="K25" i="2"/>
  <c r="K30" i="2"/>
  <c r="K28" i="2"/>
  <c r="K27" i="2"/>
  <c r="K34" i="2"/>
  <c r="K33" i="2"/>
  <c r="K35" i="2"/>
  <c r="K36" i="2"/>
  <c r="K37" i="2"/>
  <c r="K46" i="2"/>
  <c r="K48" i="2"/>
  <c r="K43" i="2"/>
  <c r="K45" i="2"/>
  <c r="K41" i="2"/>
  <c r="K40" i="2"/>
  <c r="K47" i="2"/>
  <c r="K49" i="2"/>
  <c r="K38" i="2"/>
  <c r="K44" i="2"/>
  <c r="K39" i="2"/>
  <c r="K42" i="2"/>
  <c r="K54" i="2"/>
  <c r="K59" i="2"/>
  <c r="K60" i="2"/>
  <c r="K62" i="2"/>
  <c r="K58" i="2"/>
  <c r="K66" i="2"/>
  <c r="K57" i="2"/>
  <c r="K56" i="2"/>
  <c r="K61" i="2"/>
  <c r="K55" i="2"/>
  <c r="K65" i="2"/>
  <c r="K50" i="2"/>
  <c r="K63" i="2"/>
  <c r="K64" i="2"/>
  <c r="K51" i="2"/>
  <c r="K52" i="2"/>
  <c r="K53" i="2"/>
  <c r="K73" i="2"/>
  <c r="K69" i="2"/>
  <c r="K67" i="2"/>
  <c r="K70" i="2"/>
  <c r="K71" i="2"/>
  <c r="K68" i="2"/>
  <c r="K72" i="2"/>
  <c r="K77" i="2"/>
  <c r="K79" i="2"/>
  <c r="K82" i="2"/>
  <c r="K83" i="2"/>
  <c r="K78" i="2"/>
  <c r="K80" i="2"/>
  <c r="K75" i="2"/>
  <c r="K74" i="2"/>
  <c r="K84" i="2"/>
  <c r="K85" i="2"/>
  <c r="K76" i="2"/>
  <c r="K81" i="2"/>
  <c r="K90" i="2"/>
  <c r="K86" i="2"/>
  <c r="K87" i="2"/>
  <c r="K89" i="2"/>
  <c r="K88" i="2"/>
  <c r="K91" i="2"/>
  <c r="K92" i="2"/>
  <c r="K99" i="2"/>
  <c r="K98" i="2"/>
  <c r="K93" i="2"/>
  <c r="K96" i="2"/>
  <c r="K94" i="2"/>
  <c r="K95" i="2"/>
  <c r="K97" i="2"/>
  <c r="K103" i="2"/>
  <c r="K100" i="2"/>
  <c r="K106" i="2"/>
  <c r="K108" i="2"/>
  <c r="K109" i="2"/>
  <c r="K101" i="2"/>
  <c r="K105" i="2"/>
  <c r="K102" i="2"/>
  <c r="K107" i="2"/>
  <c r="K104" i="2"/>
  <c r="K113" i="2"/>
  <c r="K111" i="2"/>
  <c r="K112" i="2"/>
  <c r="K115" i="2"/>
  <c r="K116" i="2"/>
  <c r="K110" i="2"/>
  <c r="K114" i="2"/>
  <c r="K117" i="2"/>
  <c r="K123" i="2"/>
  <c r="K118" i="2"/>
  <c r="K119" i="2"/>
  <c r="K122" i="2"/>
  <c r="K121" i="2"/>
  <c r="K124" i="2"/>
  <c r="K120" i="2"/>
  <c r="K126" i="2"/>
  <c r="K127" i="2"/>
  <c r="K130" i="2"/>
  <c r="K128" i="2"/>
  <c r="K133" i="2"/>
  <c r="K132" i="2"/>
  <c r="K129" i="2"/>
  <c r="K125" i="2"/>
  <c r="K131" i="2"/>
  <c r="K134" i="2"/>
  <c r="K140" i="2"/>
  <c r="K136" i="2"/>
  <c r="K141" i="2"/>
  <c r="K135" i="2"/>
  <c r="K143" i="2"/>
  <c r="K137" i="2"/>
  <c r="K142" i="2"/>
  <c r="K139" i="2"/>
  <c r="K138" i="2"/>
  <c r="K144" i="2"/>
  <c r="K153" i="2"/>
  <c r="K147" i="2"/>
  <c r="K148" i="2"/>
  <c r="K145" i="2"/>
  <c r="K150" i="2"/>
  <c r="K146" i="2"/>
  <c r="K149" i="2"/>
  <c r="K151" i="2"/>
  <c r="K152" i="2"/>
  <c r="K154" i="2"/>
  <c r="K157" i="2"/>
  <c r="K155" i="2"/>
  <c r="K156" i="2"/>
  <c r="K160" i="2"/>
  <c r="K164" i="2"/>
  <c r="K158" i="2"/>
  <c r="K159" i="2"/>
  <c r="K163" i="2"/>
  <c r="K161" i="2"/>
  <c r="K165" i="2"/>
  <c r="K162" i="2"/>
  <c r="K168" i="2"/>
  <c r="K169" i="2"/>
  <c r="K166" i="2"/>
  <c r="K167" i="2"/>
  <c r="K170" i="2"/>
  <c r="K171" i="2"/>
  <c r="K174" i="2"/>
  <c r="K172" i="2"/>
  <c r="K173" i="2"/>
  <c r="K179" i="2"/>
  <c r="K177" i="2"/>
  <c r="K175" i="2"/>
  <c r="K178" i="2"/>
  <c r="K176" i="2"/>
  <c r="K182" i="2"/>
  <c r="K185" i="2"/>
  <c r="K183" i="2"/>
  <c r="K184" i="2"/>
  <c r="K180" i="2"/>
  <c r="K181" i="2"/>
  <c r="K186" i="2"/>
  <c r="K189" i="2"/>
  <c r="K187" i="2"/>
  <c r="K188" i="2"/>
  <c r="K192" i="2"/>
  <c r="K190" i="2"/>
  <c r="K194" i="2"/>
  <c r="K193" i="2"/>
  <c r="K191" i="2"/>
  <c r="K196" i="2"/>
  <c r="K197" i="2"/>
  <c r="K195" i="2"/>
  <c r="K198" i="2"/>
  <c r="K202" i="2"/>
  <c r="K200" i="2"/>
  <c r="K201" i="2"/>
  <c r="K199" i="2"/>
  <c r="K253" i="2"/>
  <c r="K213" i="2"/>
  <c r="K204" i="2"/>
  <c r="K214" i="2"/>
  <c r="K249" i="2"/>
  <c r="K257" i="2"/>
  <c r="K205" i="2"/>
  <c r="K251" i="2"/>
  <c r="K206" i="2"/>
  <c r="K223" i="2"/>
  <c r="K250" i="2"/>
  <c r="K224" i="2"/>
  <c r="K228" i="2"/>
  <c r="K254" i="2"/>
  <c r="K232" i="2"/>
  <c r="K236" i="2"/>
  <c r="K241" i="2"/>
  <c r="K234" i="2"/>
  <c r="K233" i="2"/>
  <c r="K237" i="2"/>
  <c r="K259" i="2"/>
  <c r="K207" i="2"/>
  <c r="K248" i="2"/>
  <c r="K243" i="2"/>
  <c r="K255" i="2"/>
  <c r="K247" i="2"/>
  <c r="K246" i="2"/>
  <c r="K215" i="2"/>
  <c r="K212" i="2"/>
  <c r="K211" i="2"/>
  <c r="K229" i="2"/>
  <c r="K244" i="2"/>
  <c r="K258" i="2"/>
  <c r="K252" i="2"/>
  <c r="K216" i="2"/>
  <c r="K208" i="2"/>
  <c r="K217" i="2"/>
  <c r="K226" i="2"/>
  <c r="K231" i="2"/>
  <c r="K218" i="2"/>
  <c r="K230" i="2"/>
  <c r="K225" i="2"/>
  <c r="K219" i="2"/>
  <c r="K227" i="2"/>
  <c r="K220" i="2"/>
  <c r="K209" i="2"/>
  <c r="K210" i="2"/>
  <c r="K235" i="2"/>
  <c r="K221" i="2"/>
  <c r="K203" i="2"/>
  <c r="K261" i="2"/>
  <c r="K260" i="2"/>
  <c r="K222" i="2"/>
  <c r="K239" i="2"/>
  <c r="K245" i="2"/>
  <c r="K256" i="2"/>
  <c r="K242" i="2"/>
  <c r="K240" i="2"/>
  <c r="K238" i="2"/>
  <c r="K266" i="2"/>
  <c r="K264" i="2"/>
  <c r="K267" i="2"/>
  <c r="K265" i="2"/>
  <c r="K263" i="2"/>
  <c r="K262" i="2"/>
  <c r="K276" i="2"/>
  <c r="K268" i="2"/>
  <c r="K275" i="2"/>
  <c r="K271" i="2"/>
  <c r="K274" i="2"/>
  <c r="K269" i="2"/>
  <c r="K272" i="2"/>
  <c r="K273" i="2"/>
  <c r="K270" i="2"/>
  <c r="K282" i="2"/>
  <c r="K277" i="2"/>
  <c r="K279" i="2"/>
  <c r="K281" i="2"/>
  <c r="K278" i="2"/>
  <c r="K283" i="2"/>
  <c r="K280" i="2"/>
  <c r="K292" i="2"/>
  <c r="K285" i="2"/>
  <c r="K287" i="2"/>
  <c r="K288" i="2"/>
  <c r="K290" i="2"/>
  <c r="K284" i="2"/>
  <c r="K289" i="2"/>
  <c r="K293" i="2"/>
  <c r="K286" i="2"/>
  <c r="K291" i="2"/>
  <c r="K294" i="2"/>
  <c r="K296" i="2"/>
  <c r="K295" i="2"/>
  <c r="K297" i="2"/>
  <c r="K306" i="2"/>
  <c r="K303" i="2"/>
  <c r="K305" i="2"/>
  <c r="K302" i="2"/>
  <c r="K301" i="2"/>
  <c r="K300" i="2"/>
  <c r="K307" i="2"/>
  <c r="K298" i="2"/>
  <c r="K304" i="2"/>
  <c r="K299" i="2"/>
  <c r="K312" i="2"/>
  <c r="K308" i="2"/>
  <c r="K309" i="2"/>
  <c r="K310" i="2"/>
  <c r="K313" i="2"/>
  <c r="K314" i="2"/>
  <c r="K311" i="2"/>
  <c r="K315" i="2"/>
  <c r="K316" i="2"/>
  <c r="K318" i="2"/>
  <c r="K317" i="2"/>
  <c r="K321" i="2"/>
  <c r="K326" i="2"/>
  <c r="K323" i="2"/>
  <c r="K322" i="2"/>
  <c r="K319" i="2"/>
  <c r="K325" i="2"/>
  <c r="K324" i="2"/>
  <c r="K320" i="2"/>
  <c r="K327" i="2"/>
  <c r="K328" i="2"/>
  <c r="K329" i="2"/>
  <c r="K331" i="2"/>
  <c r="K330" i="2"/>
  <c r="K333" i="2"/>
  <c r="K336" i="2"/>
  <c r="K332" i="2"/>
  <c r="K334" i="2"/>
  <c r="K335" i="2"/>
  <c r="K337" i="2"/>
  <c r="K341" i="2"/>
  <c r="K343" i="2"/>
  <c r="K338" i="2"/>
  <c r="K339" i="2"/>
  <c r="K346" i="2"/>
  <c r="K340" i="2"/>
  <c r="K342" i="2"/>
  <c r="K344" i="2"/>
  <c r="K345" i="2"/>
  <c r="K348" i="2"/>
  <c r="K350" i="2"/>
  <c r="K347" i="2"/>
  <c r="K349" i="2"/>
  <c r="K351" i="2"/>
  <c r="K352" i="2"/>
  <c r="K353" i="2"/>
  <c r="K354" i="2"/>
  <c r="K356" i="2"/>
  <c r="K355" i="2"/>
  <c r="K359" i="2"/>
  <c r="K362" i="2"/>
  <c r="K358" i="2"/>
  <c r="K361" i="2"/>
  <c r="K360" i="2"/>
  <c r="K357" i="2"/>
  <c r="K363" i="2"/>
  <c r="K364" i="2"/>
  <c r="K368" i="2"/>
  <c r="K366" i="2"/>
  <c r="K367" i="2"/>
  <c r="K365" i="2"/>
  <c r="K373" i="2"/>
  <c r="K374" i="2"/>
  <c r="K372" i="2"/>
  <c r="K371" i="2"/>
  <c r="K369" i="2"/>
  <c r="K370" i="2"/>
  <c r="K389" i="2"/>
  <c r="K388" i="2"/>
  <c r="K382" i="2"/>
  <c r="K375" i="2"/>
  <c r="K391" i="2"/>
  <c r="K390" i="2"/>
  <c r="K376" i="2"/>
  <c r="K387" i="2"/>
  <c r="K385" i="2"/>
  <c r="K381" i="2"/>
  <c r="K377" i="2"/>
  <c r="K380" i="2"/>
  <c r="K379" i="2"/>
  <c r="K386" i="2"/>
  <c r="K378" i="2"/>
  <c r="K383" i="2"/>
  <c r="K384" i="2"/>
  <c r="K393" i="2"/>
  <c r="K394" i="2"/>
  <c r="K392" i="2"/>
  <c r="K395" i="2"/>
  <c r="K399" i="2"/>
  <c r="K397" i="2"/>
  <c r="K398" i="2"/>
  <c r="K396" i="2"/>
  <c r="K405" i="2"/>
  <c r="K440" i="2"/>
  <c r="K445" i="2"/>
  <c r="K402" i="2"/>
  <c r="K412" i="2"/>
  <c r="K428" i="2"/>
  <c r="K415" i="2"/>
  <c r="K437" i="2"/>
  <c r="K439" i="2"/>
  <c r="K436" i="2"/>
  <c r="K446" i="2"/>
  <c r="K420" i="2"/>
  <c r="K401" i="2"/>
  <c r="K438" i="2"/>
  <c r="K400" i="2"/>
  <c r="K403" i="2"/>
  <c r="K435" i="2"/>
  <c r="K433" i="2"/>
  <c r="K424" i="2"/>
  <c r="K430" i="2"/>
  <c r="K429" i="2"/>
  <c r="K416" i="2"/>
  <c r="K413" i="2"/>
  <c r="K421" i="2"/>
  <c r="K406" i="2"/>
  <c r="K414" i="2"/>
  <c r="K418" i="2"/>
  <c r="K417" i="2"/>
  <c r="K422" i="2"/>
  <c r="K407" i="2"/>
  <c r="K411" i="2"/>
  <c r="K419" i="2"/>
  <c r="K409" i="2"/>
  <c r="K404" i="2"/>
  <c r="K432" i="2"/>
  <c r="K431" i="2"/>
  <c r="K441" i="2"/>
  <c r="K427" i="2"/>
  <c r="K408" i="2"/>
  <c r="K423" i="2"/>
  <c r="K426" i="2"/>
  <c r="K410" i="2"/>
  <c r="K434" i="2"/>
  <c r="K425" i="2"/>
  <c r="K444" i="2"/>
  <c r="K447" i="2"/>
  <c r="K442" i="2"/>
  <c r="K443" i="2"/>
  <c r="K14" i="2"/>
  <c r="K449" i="2" l="1"/>
  <c r="K448" i="2"/>
</calcChain>
</file>

<file path=xl/sharedStrings.xml><?xml version="1.0" encoding="utf-8"?>
<sst xmlns="http://schemas.openxmlformats.org/spreadsheetml/2006/main" count="6620" uniqueCount="1389">
  <si>
    <t>Chapter Name</t>
  </si>
  <si>
    <t>Annual Budget</t>
  </si>
  <si>
    <t>Revised Budget</t>
  </si>
  <si>
    <t>Actual Amount</t>
  </si>
  <si>
    <t>PR</t>
  </si>
  <si>
    <t>PO</t>
  </si>
  <si>
    <t>Fund Available</t>
  </si>
  <si>
    <t>1 Personnel Costs</t>
  </si>
  <si>
    <t>2 Other Operating Costs</t>
  </si>
  <si>
    <t>3 Capital Payments</t>
  </si>
  <si>
    <t>Grand Total</t>
  </si>
  <si>
    <t/>
  </si>
  <si>
    <t>Ledger Name</t>
  </si>
  <si>
    <t>Cost Center Code</t>
  </si>
  <si>
    <t>Cost Center Description</t>
  </si>
  <si>
    <t>Account Code</t>
  </si>
  <si>
    <t>Account Description</t>
  </si>
  <si>
    <t>GL Account Combination</t>
  </si>
  <si>
    <t>KUST Ledger</t>
  </si>
  <si>
    <t>8470110</t>
  </si>
  <si>
    <t>KUST - Office of the President</t>
  </si>
  <si>
    <t>412121</t>
  </si>
  <si>
    <t>Basic salary</t>
  </si>
  <si>
    <t>847.8470110.1.412121.000000.847001.100178</t>
  </si>
  <si>
    <t>412123</t>
  </si>
  <si>
    <t>Nationality allowance - Regular situation</t>
  </si>
  <si>
    <t>847.8470110.1.412123.000000.847001.100178</t>
  </si>
  <si>
    <t>412125</t>
  </si>
  <si>
    <t>Cost of living adjustment pay (COLA)</t>
  </si>
  <si>
    <t>847.8470110.1.412125.000000.847001.100178</t>
  </si>
  <si>
    <t>412151</t>
  </si>
  <si>
    <t>Committee pay / Board Member/Board of Trustees fee</t>
  </si>
  <si>
    <t>847.8470110.1.412151.000000.847001.100178</t>
  </si>
  <si>
    <t>412511</t>
  </si>
  <si>
    <t>Consolidated allowances: Emirati employees</t>
  </si>
  <si>
    <t>847.8470110.1.412511.000000.847001.100178</t>
  </si>
  <si>
    <t>412523</t>
  </si>
  <si>
    <t>Child allowance</t>
  </si>
  <si>
    <t>847.8470110.1.412523.000000.847001.100178</t>
  </si>
  <si>
    <t>412526</t>
  </si>
  <si>
    <t>Housing allowance</t>
  </si>
  <si>
    <t>847.8470110.1.412526.000000.847001.100178</t>
  </si>
  <si>
    <t>412534</t>
  </si>
  <si>
    <t>School fee reimbursements</t>
  </si>
  <si>
    <t>847.8470110.1.412534.000000.847001.100178</t>
  </si>
  <si>
    <t>412546</t>
  </si>
  <si>
    <t>Travel allowance</t>
  </si>
  <si>
    <t>847.8470110.1.412546.000000.847001.100178</t>
  </si>
  <si>
    <t>413121</t>
  </si>
  <si>
    <t>847.8470110.1.413121.000000.847001.100178</t>
  </si>
  <si>
    <t>415110</t>
  </si>
  <si>
    <t>Govt contr - ADRB&amp;Pension</t>
  </si>
  <si>
    <t>847.8470110.1.415110.000000.847001.100178</t>
  </si>
  <si>
    <t>416310</t>
  </si>
  <si>
    <t>Medical insurance premium</t>
  </si>
  <si>
    <t>847.8470110.1.416310.000000.847001.100178</t>
  </si>
  <si>
    <t>8470120</t>
  </si>
  <si>
    <t>KUST - Audit &amp; Compliance</t>
  </si>
  <si>
    <t>847.8470120.1.412121.000000.847001.100178</t>
  </si>
  <si>
    <t>847.8470120.1.412125.000000.847001.100178</t>
  </si>
  <si>
    <t>412521</t>
  </si>
  <si>
    <t>Administration allowance (including Mansab)</t>
  </si>
  <si>
    <t>847.8470120.1.412521.000000.847001.100178</t>
  </si>
  <si>
    <t>847.8470120.1.412534.000000.847001.100178</t>
  </si>
  <si>
    <t>847.8470120.1.412546.000000.847001.100178</t>
  </si>
  <si>
    <t>847.8470120.1.415110.000000.847001.100178</t>
  </si>
  <si>
    <t>416110</t>
  </si>
  <si>
    <t>Employee travel costs - Fares</t>
  </si>
  <si>
    <t>847.8470120.1.416110.000000.847001.100178</t>
  </si>
  <si>
    <t>847.8470120.1.416310.000000.847001.100178</t>
  </si>
  <si>
    <t>8470130</t>
  </si>
  <si>
    <t>KUST - Institutional Research &amp; Planning</t>
  </si>
  <si>
    <t>847.8470130.1.412121.000000.847001.100178</t>
  </si>
  <si>
    <t>847.8470130.1.412125.000000.847001.100178</t>
  </si>
  <si>
    <t>847.8470130.1.412534.000000.847001.100178</t>
  </si>
  <si>
    <t>414120</t>
  </si>
  <si>
    <t>Gratuity - Non-pensionable employees</t>
  </si>
  <si>
    <t>847.8470130.1.414120.000000.847001.100178</t>
  </si>
  <si>
    <t>847.8470130.1.416110.000000.847001.100178</t>
  </si>
  <si>
    <t>847.8470130.1.416310.000000.847001.100178</t>
  </si>
  <si>
    <t>8470140</t>
  </si>
  <si>
    <t>KUST - Communication</t>
  </si>
  <si>
    <t>847.8470140.1.412121.000000.847001.100178</t>
  </si>
  <si>
    <t>847.8470140.1.412123.000000.847001.100178</t>
  </si>
  <si>
    <t>847.8470140.1.412125.000000.847001.100178</t>
  </si>
  <si>
    <t>412184</t>
  </si>
  <si>
    <t>Vacation pay (including cash in lieu payment)</t>
  </si>
  <si>
    <t>847.8470140.1.412184.000000.847001.100178</t>
  </si>
  <si>
    <t>847.8470140.1.412511.000000.847001.100178</t>
  </si>
  <si>
    <t>847.8470140.1.412523.000000.847001.100178</t>
  </si>
  <si>
    <t>847.8470140.1.412526.000000.847001.100178</t>
  </si>
  <si>
    <t>847.8470140.1.412534.000000.847001.100178</t>
  </si>
  <si>
    <t>847.8470140.1.412546.000000.847001.100178</t>
  </si>
  <si>
    <t>847.8470140.1.415110.000000.847001.100178</t>
  </si>
  <si>
    <t>847.8470140.1.416110.000000.847001.100178</t>
  </si>
  <si>
    <t>847.8470140.1.416310.000000.847001.100178</t>
  </si>
  <si>
    <t>8470150</t>
  </si>
  <si>
    <t>KUST - General Counsel</t>
  </si>
  <si>
    <t>412110</t>
  </si>
  <si>
    <t>Consolidated pay (combined salaries and allowances)</t>
  </si>
  <si>
    <t>847.8470150.1.412110.000000.847001.100178</t>
  </si>
  <si>
    <t>847.8470150.1.412121.000000.847001.100178</t>
  </si>
  <si>
    <t>847.8470150.1.412125.000000.847001.100178</t>
  </si>
  <si>
    <t>847.8470150.1.412523.000000.847001.100178</t>
  </si>
  <si>
    <t>847.8470150.1.412534.000000.847001.100178</t>
  </si>
  <si>
    <t>847.8470150.1.412546.000000.847001.100178</t>
  </si>
  <si>
    <t>847.8470150.1.415110.000000.847001.100178</t>
  </si>
  <si>
    <t>847.8470150.1.416110.000000.847001.100178</t>
  </si>
  <si>
    <t>847.8470150.1.416310.000000.847001.100178</t>
  </si>
  <si>
    <t>8470220</t>
  </si>
  <si>
    <t>KUST - Office of the Provost</t>
  </si>
  <si>
    <t>847.8470220.1.412121.000000.847001.100178</t>
  </si>
  <si>
    <t>847.8470220.1.412125.000000.847001.100178</t>
  </si>
  <si>
    <t>847.8470220.1.416110.000000.847001.100178</t>
  </si>
  <si>
    <t>8470230</t>
  </si>
  <si>
    <t>KUST - Graduate Studies</t>
  </si>
  <si>
    <t>847.8470230.1.412121.000000.847001.100178</t>
  </si>
  <si>
    <t>847.8470230.1.412123.000000.847001.100178</t>
  </si>
  <si>
    <t>847.8470230.1.412125.000000.847001.100178</t>
  </si>
  <si>
    <t>847.8470230.1.412523.000000.847001.100178</t>
  </si>
  <si>
    <t>847.8470230.1.412534.000000.847001.100178</t>
  </si>
  <si>
    <t>847.8470230.1.412546.000000.847001.100178</t>
  </si>
  <si>
    <t>847.8470230.1.415110.000000.847001.100178</t>
  </si>
  <si>
    <t>847.8470230.1.416110.000000.847001.100178</t>
  </si>
  <si>
    <t>847.8470230.1.416310.000000.847001.100178</t>
  </si>
  <si>
    <t>8470305</t>
  </si>
  <si>
    <t>KUST - Dean Of Engineering</t>
  </si>
  <si>
    <t>847.8470305.1.412121.000000.847001.100178</t>
  </si>
  <si>
    <t>847.8470305.1.412125.000000.847001.100178</t>
  </si>
  <si>
    <t>847.8470305.1.412521.000000.847001.100178</t>
  </si>
  <si>
    <t>847.8470305.1.412534.000000.847001.100178</t>
  </si>
  <si>
    <t>847.8470305.1.412546.000000.847001.100178</t>
  </si>
  <si>
    <t>847.8470305.1.415110.000000.847001.100178</t>
  </si>
  <si>
    <t>847.8470305.1.416310.000000.847001.100178</t>
  </si>
  <si>
    <t>8470310</t>
  </si>
  <si>
    <t>KUST - Aerospace Engineering</t>
  </si>
  <si>
    <t>847.8470310.1.412121.000000.847001.100178</t>
  </si>
  <si>
    <t>847.8470310.1.412125.000000.847001.100178</t>
  </si>
  <si>
    <t>847.8470310.1.412521.000000.847001.100178</t>
  </si>
  <si>
    <t>847.8470310.1.412523.000000.847001.100178</t>
  </si>
  <si>
    <t>847.8470310.1.412534.000000.847001.100178</t>
  </si>
  <si>
    <t>847.8470310.1.412546.000000.847001.100178</t>
  </si>
  <si>
    <t>847.8470310.1.414120.000000.847001.100178</t>
  </si>
  <si>
    <t>847.8470310.1.415110.000000.847001.100178</t>
  </si>
  <si>
    <t>847.8470310.1.416110.000000.847001.100178</t>
  </si>
  <si>
    <t>847.8470310.1.416310.000000.847001.100178</t>
  </si>
  <si>
    <t>8470315</t>
  </si>
  <si>
    <t>KUST - Biomedical Engineering</t>
  </si>
  <si>
    <t>847.8470315.1.412121.000000.847001.100178</t>
  </si>
  <si>
    <t>847.8470315.1.412125.000000.847001.100178</t>
  </si>
  <si>
    <t>847.8470315.1.412521.000000.847001.100178</t>
  </si>
  <si>
    <t>847.8470315.1.412534.000000.847001.100178</t>
  </si>
  <si>
    <t>847.8470315.1.412546.000000.847001.100178</t>
  </si>
  <si>
    <t>847.8470315.1.414120.000000.847001.100178</t>
  </si>
  <si>
    <t>847.8470315.1.415110.000000.847001.100178</t>
  </si>
  <si>
    <t>415182</t>
  </si>
  <si>
    <t>Govt contr - Saudi Pension</t>
  </si>
  <si>
    <t>847.8470315.1.415182.000000.847001.100178</t>
  </si>
  <si>
    <t>847.8470315.1.416110.000000.847001.100178</t>
  </si>
  <si>
    <t>847.8470315.1.416310.000000.847001.100178</t>
  </si>
  <si>
    <t>8470320</t>
  </si>
  <si>
    <t>KUST - Chemical Engineering</t>
  </si>
  <si>
    <t>847.8470320.1.412121.000000.847001.100178</t>
  </si>
  <si>
    <t>847.8470320.1.412125.000000.847001.100178</t>
  </si>
  <si>
    <t>847.8470320.1.412521.000000.847001.100178</t>
  </si>
  <si>
    <t>847.8470320.1.412523.000000.847001.100178</t>
  </si>
  <si>
    <t>847.8470320.1.412534.000000.847001.100178</t>
  </si>
  <si>
    <t>847.8470320.1.412546.000000.847001.100178</t>
  </si>
  <si>
    <t>847.8470320.1.415110.000000.847001.100178</t>
  </si>
  <si>
    <t>847.8470320.1.416110.000000.847001.100178</t>
  </si>
  <si>
    <t>847.8470320.1.416310.000000.847001.100178</t>
  </si>
  <si>
    <t>8470325</t>
  </si>
  <si>
    <t>KUST - Civil Engineering</t>
  </si>
  <si>
    <t>847.8470325.1.412121.000000.847001.100178</t>
  </si>
  <si>
    <t>847.8470325.1.412125.000000.847001.100178</t>
  </si>
  <si>
    <t>847.8470325.1.412521.000000.847001.100178</t>
  </si>
  <si>
    <t>847.8470325.1.412523.000000.847001.100178</t>
  </si>
  <si>
    <t>847.8470325.1.412534.000000.847001.100178</t>
  </si>
  <si>
    <t>847.8470325.1.412546.000000.847001.100178</t>
  </si>
  <si>
    <t>847.8470325.1.415110.000000.847001.100178</t>
  </si>
  <si>
    <t>847.8470325.1.416110.000000.847001.100178</t>
  </si>
  <si>
    <t>847.8470325.1.416310.000000.847001.100178</t>
  </si>
  <si>
    <t>8470330</t>
  </si>
  <si>
    <t>KUST - Electrical &amp; Computer Engineering</t>
  </si>
  <si>
    <t>847.8470330.1.412121.000000.847001.100178</t>
  </si>
  <si>
    <t>847.8470330.1.412123.000000.847001.100178</t>
  </si>
  <si>
    <t>847.8470330.1.412125.000000.847001.100178</t>
  </si>
  <si>
    <t>847.8470330.1.412511.000000.847001.100178</t>
  </si>
  <si>
    <t>847.8470330.1.412521.000000.847001.100178</t>
  </si>
  <si>
    <t>847.8470330.1.412523.000000.847001.100178</t>
  </si>
  <si>
    <t>847.8470330.1.412526.000000.847001.100178</t>
  </si>
  <si>
    <t>847.8470330.1.412534.000000.847001.100178</t>
  </si>
  <si>
    <t>847.8470330.1.412546.000000.847001.100178</t>
  </si>
  <si>
    <t>847.8470330.1.414120.000000.847001.100178</t>
  </si>
  <si>
    <t>847.8470330.1.415110.000000.847001.100178</t>
  </si>
  <si>
    <t>847.8470330.1.416110.000000.847001.100178</t>
  </si>
  <si>
    <t>847.8470330.1.416310.000000.847001.100178</t>
  </si>
  <si>
    <t>8470335</t>
  </si>
  <si>
    <t>KUST - Industrial &amp; Systems Engineering</t>
  </si>
  <si>
    <t>847.8470335.1.412121.000000.847001.100178</t>
  </si>
  <si>
    <t>847.8470335.1.412125.000000.847001.100178</t>
  </si>
  <si>
    <t>847.8470335.1.412521.000000.847001.100178</t>
  </si>
  <si>
    <t>847.8470335.1.412523.000000.847001.100178</t>
  </si>
  <si>
    <t>847.8470335.1.412534.000000.847001.100178</t>
  </si>
  <si>
    <t>847.8470335.1.412546.000000.847001.100178</t>
  </si>
  <si>
    <t>847.8470335.1.414120.000000.847001.100178</t>
  </si>
  <si>
    <t>847.8470335.1.415110.000000.847001.100178</t>
  </si>
  <si>
    <t>847.8470335.1.416110.000000.847001.100178</t>
  </si>
  <si>
    <t>847.8470335.1.416310.000000.847001.100178</t>
  </si>
  <si>
    <t>8470340</t>
  </si>
  <si>
    <t>KUST - Mechanical Engineering</t>
  </si>
  <si>
    <t>847.8470340.1.412121.000000.847001.100178</t>
  </si>
  <si>
    <t>847.8470340.1.412125.000000.847001.100178</t>
  </si>
  <si>
    <t>847.8470340.1.412521.000000.847001.100178</t>
  </si>
  <si>
    <t>847.8470340.1.412523.000000.847001.100178</t>
  </si>
  <si>
    <t>847.8470340.1.412534.000000.847001.100178</t>
  </si>
  <si>
    <t>847.8470340.1.412546.000000.847001.100178</t>
  </si>
  <si>
    <t>847.8470340.1.414120.000000.847001.100178</t>
  </si>
  <si>
    <t>847.8470340.1.415110.000000.847001.100178</t>
  </si>
  <si>
    <t>847.8470340.1.416110.000000.847001.100178</t>
  </si>
  <si>
    <t>847.8470340.1.416310.000000.847001.100178</t>
  </si>
  <si>
    <t>8470345</t>
  </si>
  <si>
    <t>KUST - Nuclear Engineering</t>
  </si>
  <si>
    <t>847.8470345.1.412121.000000.847001.100178</t>
  </si>
  <si>
    <t>847.8470345.1.412125.000000.847001.100178</t>
  </si>
  <si>
    <t>847.8470345.1.412521.000000.847001.100178</t>
  </si>
  <si>
    <t>847.8470345.1.412523.000000.847001.100178</t>
  </si>
  <si>
    <t>847.8470345.1.412534.000000.847001.100178</t>
  </si>
  <si>
    <t>847.8470345.1.412546.000000.847001.100178</t>
  </si>
  <si>
    <t>847.8470345.1.415110.000000.847001.100178</t>
  </si>
  <si>
    <t>847.8470345.1.416110.000000.847001.100178</t>
  </si>
  <si>
    <t>847.8470345.1.416310.000000.847001.100178</t>
  </si>
  <si>
    <t>8470350</t>
  </si>
  <si>
    <t>KUST - Petroleum Engineering</t>
  </si>
  <si>
    <t>847.8470350.1.412121.000000.847001.100178</t>
  </si>
  <si>
    <t>847.8470350.1.412125.000000.847001.100178</t>
  </si>
  <si>
    <t>847.8470350.1.412521.000000.847001.100178</t>
  </si>
  <si>
    <t>847.8470350.1.412523.000000.847001.100178</t>
  </si>
  <si>
    <t>847.8470350.1.412534.000000.847001.100178</t>
  </si>
  <si>
    <t>847.8470350.1.412546.000000.847001.100178</t>
  </si>
  <si>
    <t>847.8470350.1.415110.000000.847001.100178</t>
  </si>
  <si>
    <t>847.8470350.1.416110.000000.847001.100178</t>
  </si>
  <si>
    <t>847.8470350.1.416310.000000.847001.100178</t>
  </si>
  <si>
    <t>8470405</t>
  </si>
  <si>
    <t>KUST - Dean Of Arts &amp; Science</t>
  </si>
  <si>
    <t>847.8470405.1.412121.000000.847001.100178</t>
  </si>
  <si>
    <t>847.8470405.1.412125.000000.847001.100178</t>
  </si>
  <si>
    <t>847.8470405.1.412184.000000.847001.100178</t>
  </si>
  <si>
    <t>847.8470405.1.412534.000000.847001.100178</t>
  </si>
  <si>
    <t>847.8470405.1.412546.000000.847001.100178</t>
  </si>
  <si>
    <t>847.8470405.1.415110.000000.847001.100178</t>
  </si>
  <si>
    <t>847.8470405.1.416110.000000.847001.100178</t>
  </si>
  <si>
    <t>847.8470405.1.416310.000000.847001.100178</t>
  </si>
  <si>
    <t>8470415</t>
  </si>
  <si>
    <t>KUST - Chemistry</t>
  </si>
  <si>
    <t>847.8470415.1.412121.000000.847001.100178</t>
  </si>
  <si>
    <t>847.8470415.1.412125.000000.847001.100178</t>
  </si>
  <si>
    <t>847.8470415.1.412521.000000.847001.100178</t>
  </si>
  <si>
    <t>847.8470415.1.412534.000000.847001.100178</t>
  </si>
  <si>
    <t>847.8470415.1.412546.000000.847001.100178</t>
  </si>
  <si>
    <t>847.8470415.1.415110.000000.847001.100178</t>
  </si>
  <si>
    <t>847.8470415.1.416110.000000.847001.100178</t>
  </si>
  <si>
    <t>847.8470415.1.416310.000000.847001.100178</t>
  </si>
  <si>
    <t>8470425</t>
  </si>
  <si>
    <t>KUST - Physics</t>
  </si>
  <si>
    <t>847.8470425.1.412121.000000.847001.100178</t>
  </si>
  <si>
    <t>847.8470425.1.412125.000000.847001.100178</t>
  </si>
  <si>
    <t>847.8470425.1.412521.000000.847001.100178</t>
  </si>
  <si>
    <t>847.8470425.1.412534.000000.847001.100178</t>
  </si>
  <si>
    <t>847.8470425.1.412546.000000.847001.100178</t>
  </si>
  <si>
    <t>847.8470425.1.414120.000000.847001.100178</t>
  </si>
  <si>
    <t>847.8470425.1.415110.000000.847001.100178</t>
  </si>
  <si>
    <t>847.8470425.1.416110.000000.847001.100178</t>
  </si>
  <si>
    <t>847.8470425.1.416310.000000.847001.100178</t>
  </si>
  <si>
    <t>8470430</t>
  </si>
  <si>
    <t>KUST - Preparatory Program</t>
  </si>
  <si>
    <t>847.8470430.1.412121.000000.847001.100178</t>
  </si>
  <si>
    <t>847.8470430.1.412125.000000.847001.100178</t>
  </si>
  <si>
    <t>847.8470430.1.412521.000000.847001.100178</t>
  </si>
  <si>
    <t>847.8470430.1.412534.000000.847001.100178</t>
  </si>
  <si>
    <t>847.8470430.1.414120.000000.847001.100178</t>
  </si>
  <si>
    <t>847.8470430.1.416110.000000.847001.100178</t>
  </si>
  <si>
    <t>847.8470430.1.416310.000000.847001.100178</t>
  </si>
  <si>
    <t>8470435</t>
  </si>
  <si>
    <t>KUST - Department of English</t>
  </si>
  <si>
    <t>847.8470435.1.412121.000000.847001.100178</t>
  </si>
  <si>
    <t>847.8470435.1.412123.000000.847001.100178</t>
  </si>
  <si>
    <t>847.8470435.1.412125.000000.847001.100178</t>
  </si>
  <si>
    <t>847.8470435.1.412511.000000.847001.100178</t>
  </si>
  <si>
    <t>847.8470435.1.412521.000000.847001.100178</t>
  </si>
  <si>
    <t>847.8470435.1.412526.000000.847001.100178</t>
  </si>
  <si>
    <t>847.8470435.1.412534.000000.847001.100178</t>
  </si>
  <si>
    <t>847.8470435.1.414120.000000.847001.100178</t>
  </si>
  <si>
    <t>847.8470435.1.415110.000000.847001.100178</t>
  </si>
  <si>
    <t>847.8470435.1.416110.000000.847001.100178</t>
  </si>
  <si>
    <t>847.8470435.1.416310.000000.847001.100178</t>
  </si>
  <si>
    <t>8470440</t>
  </si>
  <si>
    <t>KUST - Humanities &amp; Social Sciences</t>
  </si>
  <si>
    <t>847.8470440.1.412121.000000.847001.100178</t>
  </si>
  <si>
    <t>847.8470440.1.412125.000000.847001.100178</t>
  </si>
  <si>
    <t>847.8470440.1.412521.000000.847001.100178</t>
  </si>
  <si>
    <t>847.8470440.1.412523.000000.847001.100178</t>
  </si>
  <si>
    <t>847.8470440.1.412534.000000.847001.100178</t>
  </si>
  <si>
    <t>847.8470440.1.412546.000000.847001.100178</t>
  </si>
  <si>
    <t>847.8470440.1.414120.000000.847001.100178</t>
  </si>
  <si>
    <t>847.8470440.1.415110.000000.847001.100178</t>
  </si>
  <si>
    <t>847.8470440.1.416110.000000.847001.100178</t>
  </si>
  <si>
    <t>847.8470440.1.416310.000000.847001.100178</t>
  </si>
  <si>
    <t>8470445</t>
  </si>
  <si>
    <t>KUST - Mathematics</t>
  </si>
  <si>
    <t>847.8470445.1.412121.000000.847001.100178</t>
  </si>
  <si>
    <t>847.8470445.1.412125.000000.847001.100178</t>
  </si>
  <si>
    <t>847.8470445.1.412521.000000.847001.100178</t>
  </si>
  <si>
    <t>847.8470445.1.412534.000000.847001.100178</t>
  </si>
  <si>
    <t>847.8470445.1.412546.000000.847001.100178</t>
  </si>
  <si>
    <t>847.8470445.1.414120.000000.847001.100178</t>
  </si>
  <si>
    <t>847.8470445.1.415110.000000.847001.100178</t>
  </si>
  <si>
    <t>847.8470445.1.416110.000000.847001.100178</t>
  </si>
  <si>
    <t>847.8470445.1.416310.000000.847001.100178</t>
  </si>
  <si>
    <t>8470450</t>
  </si>
  <si>
    <t>KUST - Earth Science</t>
  </si>
  <si>
    <t>847.8470450.1.412121.000000.847001.100178</t>
  </si>
  <si>
    <t>847.8470450.1.412125.000000.847001.100178</t>
  </si>
  <si>
    <t>847.8470450.1.412521.000000.847001.100178</t>
  </si>
  <si>
    <t>847.8470450.1.412523.000000.847001.100178</t>
  </si>
  <si>
    <t>847.8470450.1.412534.000000.847001.100178</t>
  </si>
  <si>
    <t>847.8470450.1.412546.000000.847001.100178</t>
  </si>
  <si>
    <t>847.8470450.1.414120.000000.847001.100178</t>
  </si>
  <si>
    <t>847.8470450.1.415110.000000.847001.100178</t>
  </si>
  <si>
    <t>847.8470450.1.416110.000000.847001.100178</t>
  </si>
  <si>
    <t>847.8470450.1.416310.000000.847001.100178</t>
  </si>
  <si>
    <t>8470455</t>
  </si>
  <si>
    <t>KUST – Biology</t>
  </si>
  <si>
    <t>847.8470455.1.412121.000000.847001.100178</t>
  </si>
  <si>
    <t>847.8470455.1.412125.000000.847001.100178</t>
  </si>
  <si>
    <t>847.8470455.1.412534.000000.847001.100178</t>
  </si>
  <si>
    <t>847.8470455.1.416110.000000.847001.100178</t>
  </si>
  <si>
    <t>8470510</t>
  </si>
  <si>
    <t>KUST - VP/ Administration, Facilities &amp; EHS Office</t>
  </si>
  <si>
    <t>847.8470510.1.412121.000000.847001.100178</t>
  </si>
  <si>
    <t>847.8470510.1.412123.000000.847001.100178</t>
  </si>
  <si>
    <t>847.8470510.1.412125.000000.847001.100178</t>
  </si>
  <si>
    <t>847.8470510.1.412511.000000.847001.100178</t>
  </si>
  <si>
    <t>412512</t>
  </si>
  <si>
    <t>Consolidated allowances: Expatriate employees</t>
  </si>
  <si>
    <t>847.8470510.1.412512.000000.847001.100178</t>
  </si>
  <si>
    <t>847.8470510.1.412523.000000.847001.100178</t>
  </si>
  <si>
    <t>847.8470510.1.412526.000000.847001.100178</t>
  </si>
  <si>
    <t>847.8470510.1.412534.000000.847001.100178</t>
  </si>
  <si>
    <t>412540</t>
  </si>
  <si>
    <t>Telephone allowance</t>
  </si>
  <si>
    <t>847.8470510.1.412540.000000.847001.100178</t>
  </si>
  <si>
    <t>847.8470510.1.412546.000000.847001.100178</t>
  </si>
  <si>
    <t>847.8470510.1.414120.000000.847001.100178</t>
  </si>
  <si>
    <t>847.8470510.1.415110.000000.847001.100178</t>
  </si>
  <si>
    <t>847.8470510.1.416310.000000.847001.100178</t>
  </si>
  <si>
    <t>8470520</t>
  </si>
  <si>
    <t>KUST - Environment, Health &amp; Safety</t>
  </si>
  <si>
    <t>847.8470520.1.412121.000000.847001.100178</t>
  </si>
  <si>
    <t>847.8470520.1.412125.000000.847001.100178</t>
  </si>
  <si>
    <t>847.8470520.1.412523.000000.847001.100178</t>
  </si>
  <si>
    <t>847.8470520.1.412534.000000.847001.100178</t>
  </si>
  <si>
    <t>847.8470520.1.412546.000000.847001.100178</t>
  </si>
  <si>
    <t>847.8470520.1.415110.000000.847001.100178</t>
  </si>
  <si>
    <t>847.8470520.1.416110.000000.847001.100178</t>
  </si>
  <si>
    <t>847.8470520.1.416310.000000.847001.100178</t>
  </si>
  <si>
    <t>8470530</t>
  </si>
  <si>
    <t>KUST - Facilities Management</t>
  </si>
  <si>
    <t>847.8470530.1.412121.000000.847001.100178</t>
  </si>
  <si>
    <t>847.8470530.1.412125.000000.847001.100178</t>
  </si>
  <si>
    <t>847.8470530.1.412523.000000.847001.100178</t>
  </si>
  <si>
    <t>847.8470530.1.412534.000000.847001.100178</t>
  </si>
  <si>
    <t>847.8470530.1.412546.000000.847001.100178</t>
  </si>
  <si>
    <t>847.8470530.1.415110.000000.847001.100178</t>
  </si>
  <si>
    <t>847.8470530.1.416110.000000.847001.100178</t>
  </si>
  <si>
    <t>847.8470530.1.416310.000000.847001.100178</t>
  </si>
  <si>
    <t>8470540</t>
  </si>
  <si>
    <t>KUST - Administration</t>
  </si>
  <si>
    <t>847.8470540.1.412121.000000.847001.100178</t>
  </si>
  <si>
    <t>847.8470540.1.412123.000000.847001.100178</t>
  </si>
  <si>
    <t>847.8470540.1.412125.000000.847001.100178</t>
  </si>
  <si>
    <t>847.8470540.1.412523.000000.847001.100178</t>
  </si>
  <si>
    <t>847.8470540.1.412534.000000.847001.100178</t>
  </si>
  <si>
    <t>847.8470540.1.412546.000000.847001.100178</t>
  </si>
  <si>
    <t>847.8470540.1.415110.000000.847001.100178</t>
  </si>
  <si>
    <t>8470550</t>
  </si>
  <si>
    <t>KUST -Space and Projects Planning</t>
  </si>
  <si>
    <t>847.8470550.1.412121.000000.847001.100178</t>
  </si>
  <si>
    <t>847.8470550.1.412125.000000.847001.100178</t>
  </si>
  <si>
    <t>847.8470550.1.412523.000000.847001.100178</t>
  </si>
  <si>
    <t>847.8470550.1.412534.000000.847001.100178</t>
  </si>
  <si>
    <t>847.8470550.1.412546.000000.847001.100178</t>
  </si>
  <si>
    <t>847.8470550.1.415110.000000.847001.100178</t>
  </si>
  <si>
    <t>847.8470550.1.416110.000000.847001.100178</t>
  </si>
  <si>
    <t>847.8470550.1.416310.000000.847001.100178</t>
  </si>
  <si>
    <t>8470610</t>
  </si>
  <si>
    <t>KUST - VP/ Finance &amp; Business Development Office</t>
  </si>
  <si>
    <t>847.8470610.1.412121.000000.847001.100178</t>
  </si>
  <si>
    <t>847.8470610.1.412123.000000.847001.100178</t>
  </si>
  <si>
    <t>847.8470610.1.412125.000000.847001.100178</t>
  </si>
  <si>
    <t>847.8470610.1.412511.000000.847001.100178</t>
  </si>
  <si>
    <t>847.8470610.1.412521.000000.847001.100178</t>
  </si>
  <si>
    <t>847.8470610.1.412523.000000.847001.100178</t>
  </si>
  <si>
    <t>847.8470610.1.412526.000000.847001.100178</t>
  </si>
  <si>
    <t>847.8470610.1.412534.000000.847001.100178</t>
  </si>
  <si>
    <t>847.8470610.1.412546.000000.847001.100178</t>
  </si>
  <si>
    <t>847.8470610.1.415110.000000.847001.100178</t>
  </si>
  <si>
    <t>847.8470610.1.416110.000000.847001.100178</t>
  </si>
  <si>
    <t>847.8470610.1.416310.000000.847001.100178</t>
  </si>
  <si>
    <t>8470620</t>
  </si>
  <si>
    <t>KUST - Finance Operations</t>
  </si>
  <si>
    <t>847.8470620.1.412121.000000.847001.100178</t>
  </si>
  <si>
    <t>847.8470620.1.412125.000000.847001.100178</t>
  </si>
  <si>
    <t>847.8470620.1.412523.000000.847001.100178</t>
  </si>
  <si>
    <t>847.8470620.1.412534.000000.847001.100178</t>
  </si>
  <si>
    <t>847.8470620.1.412546.000000.847001.100178</t>
  </si>
  <si>
    <t>847.8470620.1.415110.000000.847001.100178</t>
  </si>
  <si>
    <t>847.8470620.1.416110.000000.847001.100178</t>
  </si>
  <si>
    <t>847.8470620.1.416310.000000.847001.100178</t>
  </si>
  <si>
    <t>8470630</t>
  </si>
  <si>
    <t>KUST - Business Development</t>
  </si>
  <si>
    <t>847.8470630.1.412121.000000.847001.100178</t>
  </si>
  <si>
    <t>847.8470630.1.412125.000000.847001.100178</t>
  </si>
  <si>
    <t>847.8470630.1.412534.000000.847001.100178</t>
  </si>
  <si>
    <t>847.8470630.1.412546.000000.847001.100178</t>
  </si>
  <si>
    <t>847.8470630.1.415110.000000.847001.100178</t>
  </si>
  <si>
    <t>847.8470630.1.416310.000000.847001.100178</t>
  </si>
  <si>
    <t>8470710</t>
  </si>
  <si>
    <t>KUST - VP/ HR &amp; Procurement Office</t>
  </si>
  <si>
    <t>847.8470710.1.412121.000000.847001.100178</t>
  </si>
  <si>
    <t>847.8470710.1.412123.000000.847001.100178</t>
  </si>
  <si>
    <t>847.8470710.1.412125.000000.847001.100178</t>
  </si>
  <si>
    <t>847.8470710.1.412511.000000.847001.100178</t>
  </si>
  <si>
    <t>847.8470710.1.412523.000000.847001.100178</t>
  </si>
  <si>
    <t>847.8470710.1.412526.000000.847001.100178</t>
  </si>
  <si>
    <t>847.8470710.1.412534.000000.847001.100178</t>
  </si>
  <si>
    <t>847.8470710.1.412546.000000.847001.100178</t>
  </si>
  <si>
    <t>847.8470710.1.415110.000000.847001.100178</t>
  </si>
  <si>
    <t>847.8470710.1.416110.000000.847001.100178</t>
  </si>
  <si>
    <t>847.8470710.1.416310.000000.847001.100178</t>
  </si>
  <si>
    <t>8470720</t>
  </si>
  <si>
    <t>KUST - Procurement</t>
  </si>
  <si>
    <t>847.8470720.1.412121.000000.847001.100178</t>
  </si>
  <si>
    <t>847.8470720.1.412125.000000.847001.100178</t>
  </si>
  <si>
    <t>847.8470720.1.412521.000000.847001.100178</t>
  </si>
  <si>
    <t>847.8470720.1.412523.000000.847001.100178</t>
  </si>
  <si>
    <t>847.8470720.1.412534.000000.847001.100178</t>
  </si>
  <si>
    <t>847.8470720.1.412546.000000.847001.100178</t>
  </si>
  <si>
    <t>847.8470720.1.415110.000000.847001.100178</t>
  </si>
  <si>
    <t>847.8470720.1.416110.000000.847001.100178</t>
  </si>
  <si>
    <t>847.8470720.1.416310.000000.847001.100178</t>
  </si>
  <si>
    <t>8470730</t>
  </si>
  <si>
    <t>KUST - Human Resources</t>
  </si>
  <si>
    <t>847.8470730.1.412121.000000.847001.100178</t>
  </si>
  <si>
    <t>847.8470730.1.412125.000000.847001.100178</t>
  </si>
  <si>
    <t>847.8470730.1.412184.000000.847001.100178</t>
  </si>
  <si>
    <t>847.8470730.1.412521.000000.847001.100178</t>
  </si>
  <si>
    <t>847.8470730.1.412523.000000.847001.100178</t>
  </si>
  <si>
    <t>847.8470730.1.412534.000000.847001.100178</t>
  </si>
  <si>
    <t>847.8470730.1.412546.000000.847001.100178</t>
  </si>
  <si>
    <t>412590</t>
  </si>
  <si>
    <t>Rounding up cost of net pay</t>
  </si>
  <si>
    <t>847.8470730.1.412590.000000.847001.100178</t>
  </si>
  <si>
    <t>847.8470730.1.414120.000000.847001.100178</t>
  </si>
  <si>
    <t>847.8470730.1.415110.000000.847001.100178</t>
  </si>
  <si>
    <t>415210</t>
  </si>
  <si>
    <t>Recruitment expenses</t>
  </si>
  <si>
    <t>847.8470730.1.415210.000000.847001.100178</t>
  </si>
  <si>
    <t>415220</t>
  </si>
  <si>
    <t>UAE visa requirement costs</t>
  </si>
  <si>
    <t>847.8470730.1.415220.000000.847001.100178</t>
  </si>
  <si>
    <t>415230</t>
  </si>
  <si>
    <t>Relocation expenses</t>
  </si>
  <si>
    <t>847.8470730.1.415230.000000.847001.100178</t>
  </si>
  <si>
    <t>415353</t>
  </si>
  <si>
    <t>Other employee training costs</t>
  </si>
  <si>
    <t>847.8470730.1.415353.000000.847001.100178</t>
  </si>
  <si>
    <t>847.8470730.1.416110.000000.847001.000000</t>
  </si>
  <si>
    <t>847.8470730.1.416110.000000.847001.100178</t>
  </si>
  <si>
    <t>847.8470730.1.416310.000000.847001.100178</t>
  </si>
  <si>
    <t>8470810</t>
  </si>
  <si>
    <t>KUST - Ankabut office</t>
  </si>
  <si>
    <t>847.8470810.1.412125.000000.847001.100178</t>
  </si>
  <si>
    <t>413310</t>
  </si>
  <si>
    <t>Consolidated cost of outsourced employees</t>
  </si>
  <si>
    <t>847.8470810.1.413310.000000.847001.100178</t>
  </si>
  <si>
    <t>415185</t>
  </si>
  <si>
    <t>Govt contr - Oman Pension</t>
  </si>
  <si>
    <t>847.8470810.1.415185.000000.847001.100178</t>
  </si>
  <si>
    <t>847.8470810.1.416310.000000.847001.100178</t>
  </si>
  <si>
    <t>8470910</t>
  </si>
  <si>
    <t>KUST - Executive Vice President Office</t>
  </si>
  <si>
    <t>847.8470910.1.412121.000000.847001.100178</t>
  </si>
  <si>
    <t>847.8470910.1.412123.000000.847001.100178</t>
  </si>
  <si>
    <t>847.8470910.1.412125.000000.847001.100178</t>
  </si>
  <si>
    <t>847.8470910.1.412511.000000.847001.100178</t>
  </si>
  <si>
    <t>847.8470910.1.412523.000000.847001.100178</t>
  </si>
  <si>
    <t>847.8470910.1.412526.000000.847001.100178</t>
  </si>
  <si>
    <t>847.8470910.1.412546.000000.847001.100178</t>
  </si>
  <si>
    <t>847.8470910.1.415110.000000.847001.100178</t>
  </si>
  <si>
    <t>8471110</t>
  </si>
  <si>
    <t>KUST - SVP/ Research &amp; Development Office</t>
  </si>
  <si>
    <t>847.8471110.1.412121.000000.847001.100178</t>
  </si>
  <si>
    <t>847.8471110.1.412123.000000.847001.100178</t>
  </si>
  <si>
    <t>847.8471110.1.412125.000000.847001.100178</t>
  </si>
  <si>
    <t>847.8471110.1.412511.000000.847001.100178</t>
  </si>
  <si>
    <t>847.8471110.1.412523.000000.847001.100178</t>
  </si>
  <si>
    <t>847.8471110.1.412526.000000.847001.100178</t>
  </si>
  <si>
    <t>847.8471110.1.412534.000000.847001.100178</t>
  </si>
  <si>
    <t>847.8471110.1.412546.000000.847001.100178</t>
  </si>
  <si>
    <t>847.8471110.1.415110.000000.847001.100178</t>
  </si>
  <si>
    <t>847.8471110.1.416310.000000.847001.100178</t>
  </si>
  <si>
    <t>8471122</t>
  </si>
  <si>
    <t>KUST - Masdar Institute</t>
  </si>
  <si>
    <t>847.8471122.1.412121.000000.847001.100178</t>
  </si>
  <si>
    <t>847.8471122.1.412125.000000.847001.100178</t>
  </si>
  <si>
    <t>847.8471122.1.412546.000000.847001.100178</t>
  </si>
  <si>
    <t>847.8471122.1.415110.000000.847001.100178</t>
  </si>
  <si>
    <t>8471130</t>
  </si>
  <si>
    <t>KUST - Research Service</t>
  </si>
  <si>
    <t>847.8471130.1.412121.000000.847001.100178</t>
  </si>
  <si>
    <t>847.8471130.1.412125.000000.847001.100178</t>
  </si>
  <si>
    <t>847.8471130.1.412521.000000.847001.100178</t>
  </si>
  <si>
    <t>847.8471130.1.412534.000000.847001.100178</t>
  </si>
  <si>
    <t>847.8471130.1.412546.000000.847001.100178</t>
  </si>
  <si>
    <t>847.8471130.1.414120.000000.847001.100178</t>
  </si>
  <si>
    <t>847.8471130.1.415110.000000.847001.100178</t>
  </si>
  <si>
    <t>847.8471130.1.416110.000000.847001.100178</t>
  </si>
  <si>
    <t>847.8471130.1.416310.000000.847001.100178</t>
  </si>
  <si>
    <t>8471140</t>
  </si>
  <si>
    <t>KUST - University Sponsored Research</t>
  </si>
  <si>
    <t>847.8471140.1.412121.000000.847001.100178</t>
  </si>
  <si>
    <t>847.8471140.1.412125.000000.847001.100178</t>
  </si>
  <si>
    <t>847.8471140.1.412534.000000.847001.100178</t>
  </si>
  <si>
    <t>847.8471140.1.412546.000000.847001.100178</t>
  </si>
  <si>
    <t>847.8471140.1.415110.000000.847001.100178</t>
  </si>
  <si>
    <t>847.8471140.1.415182.000000.847001.100178</t>
  </si>
  <si>
    <t>847.8471140.1.416110.000000.847001.100178</t>
  </si>
  <si>
    <t>847.8471140.1.416310.000000.847001.100178</t>
  </si>
  <si>
    <t>8471150</t>
  </si>
  <si>
    <t>KUST - Technology Management &amp; Innovation</t>
  </si>
  <si>
    <t>847.8471150.1.412121.000000.847001.100178</t>
  </si>
  <si>
    <t>847.8471150.1.412125.000000.847001.100178</t>
  </si>
  <si>
    <t>847.8471150.1.412534.000000.847001.100178</t>
  </si>
  <si>
    <t>847.8471150.1.412546.000000.847001.100178</t>
  </si>
  <si>
    <t>847.8471150.1.415110.000000.847001.100178</t>
  </si>
  <si>
    <t>847.8471150.1.416310.000000.847001.100178</t>
  </si>
  <si>
    <t>8471160</t>
  </si>
  <si>
    <t>KUST - Research Laboratories</t>
  </si>
  <si>
    <t>847.8471160.1.412121.000000.847001.100178</t>
  </si>
  <si>
    <t>847.8471160.1.412125.000000.847001.100178</t>
  </si>
  <si>
    <t>847.8471160.1.412521.000000.847001.100178</t>
  </si>
  <si>
    <t>847.8471160.1.412534.000000.847001.100178</t>
  </si>
  <si>
    <t>847.8471160.1.412546.000000.847001.100178</t>
  </si>
  <si>
    <t>847.8471160.1.414120.000000.847001.100178</t>
  </si>
  <si>
    <t>847.8471160.1.415110.000000.847001.100178</t>
  </si>
  <si>
    <t>847.8471160.1.416110.000000.847001.100178</t>
  </si>
  <si>
    <t>847.8471160.1.416310.000000.847001.100178</t>
  </si>
  <si>
    <t>8471170</t>
  </si>
  <si>
    <t>KUST - Research Computing</t>
  </si>
  <si>
    <t>847.8471170.1.412121.000000.847001.100178</t>
  </si>
  <si>
    <t>847.8471170.1.412125.000000.847001.100178</t>
  </si>
  <si>
    <t>847.8471170.1.412534.000000.847001.100178</t>
  </si>
  <si>
    <t>847.8471170.1.414120.000000.847001.100178</t>
  </si>
  <si>
    <t>847.8471170.1.416110.000000.847001.100178</t>
  </si>
  <si>
    <t>847.8471170.1.416310.000000.847001.100178</t>
  </si>
  <si>
    <t>8471210</t>
  </si>
  <si>
    <t>KUST - SVP/ Academic &amp; Student Services Office</t>
  </si>
  <si>
    <t>847.8471210.1.412110.000000.847001.100178</t>
  </si>
  <si>
    <t>847.8471210.1.412121.000000.847001.100178</t>
  </si>
  <si>
    <t>847.8471210.1.412123.000000.847001.100178</t>
  </si>
  <si>
    <t>847.8471210.1.412125.000000.847001.100178</t>
  </si>
  <si>
    <t>847.8471210.1.412184.000000.847001.100178</t>
  </si>
  <si>
    <t>847.8471210.1.412511.000000.847001.100178</t>
  </si>
  <si>
    <t>847.8471210.1.412523.000000.847001.100178</t>
  </si>
  <si>
    <t>847.8471210.1.412526.000000.847001.100178</t>
  </si>
  <si>
    <t>847.8471210.1.412534.000000.847001.100178</t>
  </si>
  <si>
    <t>847.8471210.1.412540.000000.847001.100178</t>
  </si>
  <si>
    <t>847.8471210.1.412546.000000.847001.100178</t>
  </si>
  <si>
    <t>847.8471210.1.414120.000000.847001.100178</t>
  </si>
  <si>
    <t>847.8471210.1.415110.000000.847001.100178</t>
  </si>
  <si>
    <t>847.8471210.1.416110.000000.847001.100178</t>
  </si>
  <si>
    <t>847.8471210.1.416310.000000.847001.100178</t>
  </si>
  <si>
    <t>8471220</t>
  </si>
  <si>
    <t>KUST - Registrar</t>
  </si>
  <si>
    <t>847.8471220.1.412121.000000.847001.100178</t>
  </si>
  <si>
    <t>847.8471220.1.412125.000000.847001.100178</t>
  </si>
  <si>
    <t>847.8471220.1.412184.000000.847001.100178</t>
  </si>
  <si>
    <t>847.8471220.1.412534.000000.847001.100178</t>
  </si>
  <si>
    <t>847.8471220.1.412546.000000.847001.100178</t>
  </si>
  <si>
    <t>847.8471220.1.414120.000000.847001.100178</t>
  </si>
  <si>
    <t>847.8471220.1.415110.000000.847001.100178</t>
  </si>
  <si>
    <t>847.8471220.1.416110.000000.847001.100178</t>
  </si>
  <si>
    <t>847.8471220.1.416310.000000.847001.100178</t>
  </si>
  <si>
    <t>8471230</t>
  </si>
  <si>
    <t>KUST - Student Enrollment</t>
  </si>
  <si>
    <t>847.8471230.1.412121.000000.847001.100178</t>
  </si>
  <si>
    <t>847.8471230.1.412125.000000.847001.100178</t>
  </si>
  <si>
    <t>847.8471230.1.412523.000000.847001.100178</t>
  </si>
  <si>
    <t>847.8471230.1.412534.000000.847001.100178</t>
  </si>
  <si>
    <t>847.8471230.1.412546.000000.847001.100178</t>
  </si>
  <si>
    <t>847.8471230.1.414120.000000.847001.100178</t>
  </si>
  <si>
    <t>847.8471230.1.415110.000000.847001.100178</t>
  </si>
  <si>
    <t>847.8471230.1.416110.000000.847001.100178</t>
  </si>
  <si>
    <t>847.8471230.1.416310.000000.847001.100178</t>
  </si>
  <si>
    <t>8471240</t>
  </si>
  <si>
    <t>KUST - Student Success</t>
  </si>
  <si>
    <t>847.8471240.1.412121.000000.847001.100178</t>
  </si>
  <si>
    <t>847.8471240.1.412125.000000.847001.100178</t>
  </si>
  <si>
    <t>847.8471240.1.412534.000000.847001.100178</t>
  </si>
  <si>
    <t>847.8471240.1.412546.000000.847001.100178</t>
  </si>
  <si>
    <t>847.8471240.1.415110.000000.847001.100178</t>
  </si>
  <si>
    <t>847.8471240.1.416110.000000.847001.100178</t>
  </si>
  <si>
    <t>847.8471240.1.416310.000000.847001.100178</t>
  </si>
  <si>
    <t>8471250</t>
  </si>
  <si>
    <t>KUST - Career Services</t>
  </si>
  <si>
    <t>847.8471250.1.412121.000000.847001.100178</t>
  </si>
  <si>
    <t>847.8471250.1.412125.000000.847001.100178</t>
  </si>
  <si>
    <t>847.8471250.1.412534.000000.847001.100178</t>
  </si>
  <si>
    <t>847.8471250.1.412546.000000.847001.100178</t>
  </si>
  <si>
    <t>847.8471250.1.415110.000000.847001.100178</t>
  </si>
  <si>
    <t>847.8471250.1.416310.000000.847001.100178</t>
  </si>
  <si>
    <t>8471260</t>
  </si>
  <si>
    <t>KUST - Student Life</t>
  </si>
  <si>
    <t>847.8471260.1.412121.000000.847001.100178</t>
  </si>
  <si>
    <t>847.8471260.1.412125.000000.847001.100178</t>
  </si>
  <si>
    <t>847.8471260.1.412521.000000.847001.100178</t>
  </si>
  <si>
    <t>847.8471260.1.412523.000000.847001.100178</t>
  </si>
  <si>
    <t>847.8471260.1.412534.000000.847001.100178</t>
  </si>
  <si>
    <t>847.8471260.1.412546.000000.847001.100178</t>
  </si>
  <si>
    <t>847.8471260.1.415110.000000.847001.100178</t>
  </si>
  <si>
    <t>847.8471260.1.416110.000000.847001.100178</t>
  </si>
  <si>
    <t>847.8471260.1.416310.000000.847001.100178</t>
  </si>
  <si>
    <t>8471270</t>
  </si>
  <si>
    <t>KUST - Libraries</t>
  </si>
  <si>
    <t>847.8471270.1.412121.000000.847001.100178</t>
  </si>
  <si>
    <t>847.8471270.1.412125.000000.847001.100178</t>
  </si>
  <si>
    <t>847.8471270.1.412523.000000.847001.100178</t>
  </si>
  <si>
    <t>847.8471270.1.412534.000000.847001.100178</t>
  </si>
  <si>
    <t>847.8471270.1.412546.000000.847001.100178</t>
  </si>
  <si>
    <t>847.8471270.1.415110.000000.847001.100178</t>
  </si>
  <si>
    <t>847.8471270.1.416110.000000.847001.100178</t>
  </si>
  <si>
    <t>847.8471270.1.416310.000000.847001.100178</t>
  </si>
  <si>
    <t>8471280</t>
  </si>
  <si>
    <t>KUST - Center for Teaching &amp; Learning</t>
  </si>
  <si>
    <t>847.8471280.1.412121.000000.847001.100178</t>
  </si>
  <si>
    <t>847.8471280.1.412125.000000.847001.100178</t>
  </si>
  <si>
    <t>847.8471280.1.412534.000000.847001.100178</t>
  </si>
  <si>
    <t>847.8471280.1.416110.000000.847001.100178</t>
  </si>
  <si>
    <t>847.8471280.1.416310.000000.847001.100178</t>
  </si>
  <si>
    <t>8471305</t>
  </si>
  <si>
    <t>KUST - Dean Of Medicine</t>
  </si>
  <si>
    <t>847.8471305.1.412121.000000.847001.100178</t>
  </si>
  <si>
    <t>847.8471305.1.412125.000000.847001.100178</t>
  </si>
  <si>
    <t>847.8471305.1.412521.000000.847001.100178</t>
  </si>
  <si>
    <t>847.8471305.1.412534.000000.847001.100178</t>
  </si>
  <si>
    <t>847.8471305.1.412546.000000.847001.100178</t>
  </si>
  <si>
    <t>847.8471305.1.414120.000000.847001.100178</t>
  </si>
  <si>
    <t>847.8471305.1.415110.000000.847001.100178</t>
  </si>
  <si>
    <t>415181</t>
  </si>
  <si>
    <t>Govt contr - Bahrain Pension</t>
  </si>
  <si>
    <t>847.8471305.1.415181.000000.847001.100178</t>
  </si>
  <si>
    <t>847.8471305.1.416110.000000.847001.100178</t>
  </si>
  <si>
    <t>847.8471305.1.416310.000000.847001.100178</t>
  </si>
  <si>
    <t>1 Personnel Costs Total</t>
  </si>
  <si>
    <t>420550</t>
  </si>
  <si>
    <t>Academic Advisory Service</t>
  </si>
  <si>
    <t>847.8470110.1.420550.000000.847001.200179</t>
  </si>
  <si>
    <t>420570</t>
  </si>
  <si>
    <t>Academic Collaborative Partnership Services</t>
  </si>
  <si>
    <t>847.8470110.1.420570.000000.847001.200179</t>
  </si>
  <si>
    <t>420900</t>
  </si>
  <si>
    <t>Legal services</t>
  </si>
  <si>
    <t>847.8470110.1.420900.000000.847001.200179</t>
  </si>
  <si>
    <t>421000</t>
  </si>
  <si>
    <t>Management consultancy</t>
  </si>
  <si>
    <t>847.8470110.1.421000.000000.847001.200179</t>
  </si>
  <si>
    <t>421700</t>
  </si>
  <si>
    <t>Standards Certification Services (e.g. ISO)</t>
  </si>
  <si>
    <t>847.8470110.1.421700.000000.847001.200179</t>
  </si>
  <si>
    <t>425510</t>
  </si>
  <si>
    <t>Conferences, seminars and exhibitions and other events: - Local Events</t>
  </si>
  <si>
    <t>847.8470110.1.425510.000000.847001.200179</t>
  </si>
  <si>
    <t>425900</t>
  </si>
  <si>
    <t>Entertainment and hospitality</t>
  </si>
  <si>
    <t>847.8470110.1.425900.000000.847001.200179</t>
  </si>
  <si>
    <t>426610</t>
  </si>
  <si>
    <t>Computer software licenses</t>
  </si>
  <si>
    <t>847.8470110.1.426610.000000.847001.200179</t>
  </si>
  <si>
    <t>427710</t>
  </si>
  <si>
    <t>Subscriptions and membership fees: Trade organisations</t>
  </si>
  <si>
    <t>847.8470110.1.427710.000000.847001.200179</t>
  </si>
  <si>
    <t>427900</t>
  </si>
  <si>
    <t>Translation and interpretation service</t>
  </si>
  <si>
    <t>847.8470110.1.427900.000000.847001.200179</t>
  </si>
  <si>
    <t>428090</t>
  </si>
  <si>
    <t>Business Travel - Combined expenses</t>
  </si>
  <si>
    <t>847.8470110.1.428090.000000.847001.200179</t>
  </si>
  <si>
    <t>428640</t>
  </si>
  <si>
    <t>Events - Awards, prizes &amp; gifts</t>
  </si>
  <si>
    <t>847.8470110.1.428640.000000.847001.200179</t>
  </si>
  <si>
    <t>435410</t>
  </si>
  <si>
    <t>Catering supplies: Offices</t>
  </si>
  <si>
    <t>847.8470110.1.435410.000000.847001.200179</t>
  </si>
  <si>
    <t>435519</t>
  </si>
  <si>
    <t>Photography - Consumable materials /Tools</t>
  </si>
  <si>
    <t>847.8470110.1.435519.000000.847001.200179</t>
  </si>
  <si>
    <t>436110</t>
  </si>
  <si>
    <t>Printing supplies</t>
  </si>
  <si>
    <t>847.8470110.1.436110.000000.847001.200179</t>
  </si>
  <si>
    <t>420120</t>
  </si>
  <si>
    <t>Internal Audit service</t>
  </si>
  <si>
    <t>847.8470120.1.420120.000000.847001.200179</t>
  </si>
  <si>
    <t>847.8470130.1.421000.000000.847001.200179</t>
  </si>
  <si>
    <t>847.8470130.1.425510.000000.847001.200179</t>
  </si>
  <si>
    <t>847.8470130.1.427710.000000.847001.200179</t>
  </si>
  <si>
    <t>847.8470130.1.428090.000000.847001.200179</t>
  </si>
  <si>
    <t>425100</t>
  </si>
  <si>
    <t>Advertising Services (General)</t>
  </si>
  <si>
    <t>847.8470140.1.425100.000000.847001.200179</t>
  </si>
  <si>
    <t>847.8470140.1.425510.000000.847001.000000</t>
  </si>
  <si>
    <t>847.8470140.1.425510.000000.847001.200179</t>
  </si>
  <si>
    <t>425550</t>
  </si>
  <si>
    <t>Conferences, seminars and exhibitions and other events: - Overseas event</t>
  </si>
  <si>
    <t>847.8470140.1.425550.000000.847001.200179</t>
  </si>
  <si>
    <t>427100</t>
  </si>
  <si>
    <t>Public relations</t>
  </si>
  <si>
    <t>847.8470140.1.427100.000000.847001.200179</t>
  </si>
  <si>
    <t>427200</t>
  </si>
  <si>
    <t>Printing and publishing</t>
  </si>
  <si>
    <t>847.8470140.1.427200.000000.847001.200179</t>
  </si>
  <si>
    <t>847.8470140.1.428640.000000.847001.000000</t>
  </si>
  <si>
    <t>435310</t>
  </si>
  <si>
    <t>Newspapers, magazines, journals, etc</t>
  </si>
  <si>
    <t>847.8470140.1.435310.000000.847001.200179</t>
  </si>
  <si>
    <t>847.8470140.1.435519.000000.847001.200179</t>
  </si>
  <si>
    <t>847.8470150.1.420900.000000.847001.200179</t>
  </si>
  <si>
    <t>847.8470150.1.425900.000000.847001.200179</t>
  </si>
  <si>
    <t>847.8470150.1.426610.000000.847001.200179</t>
  </si>
  <si>
    <t>847.8470230.1.420550.000000.847001.000000</t>
  </si>
  <si>
    <t>847.8470230.1.420550.000000.847001.200179</t>
  </si>
  <si>
    <t>847.8470230.1.425100.000000.847001.200179</t>
  </si>
  <si>
    <t>847.8470230.1.425510.000000.847001.200179</t>
  </si>
  <si>
    <t>847.8470230.1.425550.000000.847001.200179</t>
  </si>
  <si>
    <t>425743</t>
  </si>
  <si>
    <t>Graduation rewards</t>
  </si>
  <si>
    <t>847.8470230.1.425743.000000.847001.200179</t>
  </si>
  <si>
    <t>425744</t>
  </si>
  <si>
    <t>Student medical insurance</t>
  </si>
  <si>
    <t>847.8470230.1.425744.000000.847001.200179</t>
  </si>
  <si>
    <t>425745</t>
  </si>
  <si>
    <t>Student relocation &amp; travel exps</t>
  </si>
  <si>
    <t>847.8470230.1.425745.000000.847001.200179</t>
  </si>
  <si>
    <t>425749</t>
  </si>
  <si>
    <t>Postgraduate Student Salaries</t>
  </si>
  <si>
    <t>847.8470230.1.425749.000000.847001.200179</t>
  </si>
  <si>
    <t>847.8470230.1.425900.000000.847001.000000</t>
  </si>
  <si>
    <t>847.8470230.1.426610.000000.847001.200179</t>
  </si>
  <si>
    <t>847.8470230.1.436110.000000.847001.000000</t>
  </si>
  <si>
    <t>847.8470230.1.436110.000000.847001.200179</t>
  </si>
  <si>
    <t>847.8470305.1.420550.000000.847001.200179</t>
  </si>
  <si>
    <t>847.8470305.1.420570.000000.847001.200179</t>
  </si>
  <si>
    <t>847.8470305.1.421700.000000.847001.200179</t>
  </si>
  <si>
    <t>847.8470305.1.425510.000000.847001.200179</t>
  </si>
  <si>
    <t>425720</t>
  </si>
  <si>
    <t>Education-Outsourced training service</t>
  </si>
  <si>
    <t>847.8470305.1.425720.000000.847001.200179</t>
  </si>
  <si>
    <t>425763</t>
  </si>
  <si>
    <t>Student Project Expenses</t>
  </si>
  <si>
    <t>847.8470305.1.425763.000000.847001.200179</t>
  </si>
  <si>
    <t>425770</t>
  </si>
  <si>
    <t>Academic Missions - Combined expenses</t>
  </si>
  <si>
    <t>847.8470305.1.425770.000000.847001.200179</t>
  </si>
  <si>
    <t>847.8470305.1.425900.000000.847001.200179</t>
  </si>
  <si>
    <t>847.8470305.1.426610.000000.847001.200179</t>
  </si>
  <si>
    <t>847.8470305.1.428640.000000.847001.200179</t>
  </si>
  <si>
    <t>432209</t>
  </si>
  <si>
    <t>Laboratory equipment</t>
  </si>
  <si>
    <t>847.8470305.1.432209.000000.847001.200179</t>
  </si>
  <si>
    <t>432690</t>
  </si>
  <si>
    <t>Plant, machinery and heavy equipment, not mentioned elsewhere</t>
  </si>
  <si>
    <t>847.8470305.1.432690.000000.847001.200179</t>
  </si>
  <si>
    <t>435350</t>
  </si>
  <si>
    <t>Academic Publications</t>
  </si>
  <si>
    <t>847.8470305.1.435350.000000.847001.200179</t>
  </si>
  <si>
    <t>435508</t>
  </si>
  <si>
    <t>Laboratory - Scientific</t>
  </si>
  <si>
    <t>847.8470305.1.435508.000000.847001.200179</t>
  </si>
  <si>
    <t>435530</t>
  </si>
  <si>
    <t>School consumables, not specifically mentioned elsewhere</t>
  </si>
  <si>
    <t>847.8470305.1.435530.000000.847001.200179</t>
  </si>
  <si>
    <t>847.8470305.1.436110.000000.847001.200179</t>
  </si>
  <si>
    <t>847.8470310.1.425763.000000.847001.200179</t>
  </si>
  <si>
    <t>847.8470310.1.425770.000000.847001.200179</t>
  </si>
  <si>
    <t>430120</t>
  </si>
  <si>
    <t>Rental - Buildings, other than staff residences</t>
  </si>
  <si>
    <t>847.8470310.1.430120.000000.847001.200179</t>
  </si>
  <si>
    <t>847.8470310.1.435350.000000.847001.200179</t>
  </si>
  <si>
    <t>847.8470310.1.435508.000000.847001.200179</t>
  </si>
  <si>
    <t>436600</t>
  </si>
  <si>
    <t>Training/Teaching equipment and other educational aid</t>
  </si>
  <si>
    <t>847.8470310.1.436600.000000.847001.200179</t>
  </si>
  <si>
    <t>847.8470315.1.425510.000000.847001.200179</t>
  </si>
  <si>
    <t>425760</t>
  </si>
  <si>
    <t>Student activities &amp; field trip expenses</t>
  </si>
  <si>
    <t>847.8470315.1.425760.000000.847001.200179</t>
  </si>
  <si>
    <t>847.8470315.1.425763.000000.847001.200179</t>
  </si>
  <si>
    <t>847.8470315.1.425770.000000.847001.200179</t>
  </si>
  <si>
    <t>847.8470315.1.425900.000000.847001.200179</t>
  </si>
  <si>
    <t>847.8470315.1.426610.000000.847001.200179</t>
  </si>
  <si>
    <t>847.8470315.1.432209.000000.847001.200179</t>
  </si>
  <si>
    <t>847.8470315.1.435350.000000.847001.200179</t>
  </si>
  <si>
    <t>847.8470315.1.435508.000000.847001.200179</t>
  </si>
  <si>
    <t>847.8470315.1.435508.000000.847951.200179</t>
  </si>
  <si>
    <t>847.8470315.1.436110.000000.847001.200179</t>
  </si>
  <si>
    <t>847.8470320.1.425763.000000.847001.200179</t>
  </si>
  <si>
    <t>847.8470320.1.425770.000000.847001.000000</t>
  </si>
  <si>
    <t>847.8470320.1.425770.000000.847001.200179</t>
  </si>
  <si>
    <t>847.8470320.1.426610.000000.847001.200179</t>
  </si>
  <si>
    <t>847.8470320.1.435350.000000.847001.200179</t>
  </si>
  <si>
    <t>847.8470320.1.435508.000000.847001.200179</t>
  </si>
  <si>
    <t>847.8470320.1.436600.000000.847001.200179</t>
  </si>
  <si>
    <t>847.8470325.1.425763.000000.847001.200179</t>
  </si>
  <si>
    <t>847.8470325.1.425770.000000.847001.200179</t>
  </si>
  <si>
    <t>847.8470325.1.426610.000000.847001.200179</t>
  </si>
  <si>
    <t>847.8470325.1.435508.000000.847001.200179</t>
  </si>
  <si>
    <t>435509</t>
  </si>
  <si>
    <t>Laboratory - Veterinary</t>
  </si>
  <si>
    <t>847.8470325.1.435509.000000.847001.200179</t>
  </si>
  <si>
    <t>847.8470325.1.436110.000000.847001.200179</t>
  </si>
  <si>
    <t>847.8470330.1.425720.000000.847001.200179</t>
  </si>
  <si>
    <t>425761</t>
  </si>
  <si>
    <t>Student Field trips</t>
  </si>
  <si>
    <t>847.8470330.1.425761.000000.847001.000000</t>
  </si>
  <si>
    <t>847.8470330.1.425763.000000.847001.200179</t>
  </si>
  <si>
    <t>847.8470330.1.425770.000000.847001.200179</t>
  </si>
  <si>
    <t>847.8470330.1.426610.000000.847001.200179</t>
  </si>
  <si>
    <t>847.8470330.1.428640.000000.847001.200179</t>
  </si>
  <si>
    <t>847.8470330.1.435350.000000.847001.200179</t>
  </si>
  <si>
    <t>847.8470330.1.435508.000000.847001.200179</t>
  </si>
  <si>
    <t>847.8470330.1.436600.000000.847001.200179</t>
  </si>
  <si>
    <t>847.8470335.1.425763.000000.847001.200179</t>
  </si>
  <si>
    <t>847.8470335.1.425770.000000.847001.200179</t>
  </si>
  <si>
    <t>847.8470335.1.426610.000000.847001.200179</t>
  </si>
  <si>
    <t>847.8470335.1.435350.000000.847001.200179</t>
  </si>
  <si>
    <t>847.8470335.1.435508.000000.847001.200179</t>
  </si>
  <si>
    <t>847.8470335.1.436110.000000.847001.200179</t>
  </si>
  <si>
    <t>847.8470335.1.436600.000000.847001.200179</t>
  </si>
  <si>
    <t>847.8470340.1.425763.000000.847001.200179</t>
  </si>
  <si>
    <t>847.8470340.1.425770.000000.847001.200179</t>
  </si>
  <si>
    <t>847.8470340.1.426610.000000.847001.200179</t>
  </si>
  <si>
    <t>847.8470340.1.432209.000000.847001.200179</t>
  </si>
  <si>
    <t>847.8470340.1.435350.000000.847001.200179</t>
  </si>
  <si>
    <t>847.8470340.1.435508.000000.847001.200179</t>
  </si>
  <si>
    <t>847.8470345.1.425510.000000.847001.200179</t>
  </si>
  <si>
    <t>847.8470345.1.425770.000000.847001.000000</t>
  </si>
  <si>
    <t>847.8470345.1.425770.000000.847001.200179</t>
  </si>
  <si>
    <t>847.8470345.1.426610.000000.847001.000000</t>
  </si>
  <si>
    <t>847.8470345.1.426610.000000.847001.200179</t>
  </si>
  <si>
    <t>847.8470345.1.428090.000000.847001.200179</t>
  </si>
  <si>
    <t>847.8470345.1.435350.000000.847001.200179</t>
  </si>
  <si>
    <t>847.8470345.1.435508.000000.847001.200179</t>
  </si>
  <si>
    <t>847.8470345.1.436110.000000.847001.200179</t>
  </si>
  <si>
    <t>847.8470350.1.425510.000000.847001.200179</t>
  </si>
  <si>
    <t>847.8470350.1.425763.000000.847001.200179</t>
  </si>
  <si>
    <t>847.8470350.1.425770.000000.847001.200179</t>
  </si>
  <si>
    <t>847.8470350.1.426610.000000.847001.200179</t>
  </si>
  <si>
    <t>847.8470350.1.432209.000000.847001.200179</t>
  </si>
  <si>
    <t>435340</t>
  </si>
  <si>
    <t>Text books and library books</t>
  </si>
  <si>
    <t>847.8470350.1.435340.000000.847001.200179</t>
  </si>
  <si>
    <t>847.8470350.1.435350.000000.847001.200179</t>
  </si>
  <si>
    <t>847.8470350.1.435508.000000.847001.200179</t>
  </si>
  <si>
    <t>847.8470350.1.436110.000000.847001.200179</t>
  </si>
  <si>
    <t>847.8470405.1.421700.000000.847001.200179</t>
  </si>
  <si>
    <t>847.8470405.1.425100.000000.847001.200179</t>
  </si>
  <si>
    <t>847.8470405.1.425510.000000.847001.200179</t>
  </si>
  <si>
    <t>847.8470405.1.425770.000000.847001.000000</t>
  </si>
  <si>
    <t>847.8470405.1.425770.000000.847001.200179</t>
  </si>
  <si>
    <t>847.8470405.1.426610.000000.847001.200179</t>
  </si>
  <si>
    <t>847.8470405.1.427710.000000.847001.200179</t>
  </si>
  <si>
    <t>847.8470405.1.432209.000000.847001.200179</t>
  </si>
  <si>
    <t>847.8470405.1.435350.000000.847001.200179</t>
  </si>
  <si>
    <t>8470410</t>
  </si>
  <si>
    <t>KUST - Institute of International &amp; Civil Security</t>
  </si>
  <si>
    <t>847.8470410.1.425770.000000.847001.000000</t>
  </si>
  <si>
    <t>847.8470410.1.425770.000000.847001.200179</t>
  </si>
  <si>
    <t>847.8470410.1.426610.000000.847001.200179</t>
  </si>
  <si>
    <t>847.8470410.1.435350.000000.847001.200179</t>
  </si>
  <si>
    <t>847.8470415.1.425550.000000.847001.200179</t>
  </si>
  <si>
    <t>847.8470415.1.425770.000000.847001.200179</t>
  </si>
  <si>
    <t>847.8470415.1.425900.000000.847001.200179</t>
  </si>
  <si>
    <t>847.8470415.1.426610.000000.847001.200179</t>
  </si>
  <si>
    <t>847.8470415.1.432209.000000.847001.200179</t>
  </si>
  <si>
    <t>847.8470415.1.435350.000000.847001.200179</t>
  </si>
  <si>
    <t>847.8470415.1.435508.000000.847001.200179</t>
  </si>
  <si>
    <t>847.8470425.1.425510.000000.847001.200179</t>
  </si>
  <si>
    <t>847.8470425.1.425770.000000.847001.200179</t>
  </si>
  <si>
    <t>847.8470425.1.426610.000000.847001.200179</t>
  </si>
  <si>
    <t>847.8470425.1.435350.000000.847001.200179</t>
  </si>
  <si>
    <t>847.8470425.1.435508.000000.847001.200179</t>
  </si>
  <si>
    <t>847.8470430.1.425770.000000.847001.200179</t>
  </si>
  <si>
    <t>847.8470430.1.426610.000000.847001.200179</t>
  </si>
  <si>
    <t>847.8470430.1.435508.000000.847001.200179</t>
  </si>
  <si>
    <t>847.8470435.1.425770.000000.847001.200179</t>
  </si>
  <si>
    <t>847.8470435.1.426610.000000.847001.200179</t>
  </si>
  <si>
    <t>847.8470435.1.427710.000000.847001.200179</t>
  </si>
  <si>
    <t>847.8470435.1.435340.000000.847001.200179</t>
  </si>
  <si>
    <t>847.8470435.1.436600.000000.847001.200179</t>
  </si>
  <si>
    <t>847.8470440.1.425761.000000.847001.200179</t>
  </si>
  <si>
    <t>847.8470440.1.425770.000000.847001.200179</t>
  </si>
  <si>
    <t>847.8470440.1.426610.000000.847001.200179</t>
  </si>
  <si>
    <t>847.8470440.1.435340.000000.847001.200179</t>
  </si>
  <si>
    <t>847.8470440.1.435350.000000.847001.200179</t>
  </si>
  <si>
    <t>847.8470440.1.436600.000000.847001.200179</t>
  </si>
  <si>
    <t>847.8470445.1.425770.000000.847001.000000</t>
  </si>
  <si>
    <t>847.8470445.1.425770.000000.847001.200179</t>
  </si>
  <si>
    <t>847.8470445.1.426610.000000.847001.000000</t>
  </si>
  <si>
    <t>847.8470445.1.426610.000000.847001.200179</t>
  </si>
  <si>
    <t>847.8470450.1.425761.000000.847001.200179</t>
  </si>
  <si>
    <t>847.8470450.1.425770.000000.847001.200179</t>
  </si>
  <si>
    <t>847.8470450.1.432209.000000.847001.200179</t>
  </si>
  <si>
    <t>847.8470450.1.435350.000000.847001.200179</t>
  </si>
  <si>
    <t>847.8470450.1.435508.000000.847001.200179</t>
  </si>
  <si>
    <t>421600</t>
  </si>
  <si>
    <t>Security service</t>
  </si>
  <si>
    <t>847.8470520.1.421600.000000.847030.200179</t>
  </si>
  <si>
    <t>847.8470520.1.425510.000000.847001.200179</t>
  </si>
  <si>
    <t>847.8470520.1.425510.000000.847951.200179</t>
  </si>
  <si>
    <t>426100</t>
  </si>
  <si>
    <t>Freight and shipping costs, not included elsewhere under purchase costs</t>
  </si>
  <si>
    <t>847.8470520.1.426100.000000.847001.200179</t>
  </si>
  <si>
    <t>847.8470520.1.426610.000000.847001.200179</t>
  </si>
  <si>
    <t>847.8470520.1.427710.000000.847001.200179</t>
  </si>
  <si>
    <t>428200</t>
  </si>
  <si>
    <t>Health,safety&amp;environment awareness</t>
  </si>
  <si>
    <t>847.8470520.1.428200.000000.847001.200179</t>
  </si>
  <si>
    <t>847.8470520.1.428200.000000.847951.200179</t>
  </si>
  <si>
    <t>420310</t>
  </si>
  <si>
    <t>Cleaning Services: Business premises</t>
  </si>
  <si>
    <t>847.8470530.1.420310.000000.847010.200179</t>
  </si>
  <si>
    <t>847.8470530.1.420310.000000.847015.200179</t>
  </si>
  <si>
    <t>847.8470530.1.420310.000000.847020.200179</t>
  </si>
  <si>
    <t>847.8470530.1.420310.000000.847030.200179</t>
  </si>
  <si>
    <t>847.8470530.1.421000.000000.847010.200179</t>
  </si>
  <si>
    <t>421100</t>
  </si>
  <si>
    <t>Manpower supply</t>
  </si>
  <si>
    <t>847.8470530.1.421100.000000.847010.200179</t>
  </si>
  <si>
    <t>847.8470530.1.421600.000000.847010.200179</t>
  </si>
  <si>
    <t>847.8470530.1.421600.000000.847015.200179</t>
  </si>
  <si>
    <t>847.8470530.1.421600.000000.847020.200179</t>
  </si>
  <si>
    <t>847.8470530.1.421600.000000.847030.200179</t>
  </si>
  <si>
    <t>422900</t>
  </si>
  <si>
    <t>Other specialised professional services, not mentioned elsewhere</t>
  </si>
  <si>
    <t>847.8470530.1.422900.000000.847010.200179</t>
  </si>
  <si>
    <t>847.8470530.1.425510.000000.847010.200179</t>
  </si>
  <si>
    <t>426210</t>
  </si>
  <si>
    <t>Insurance - Cash and fidelity</t>
  </si>
  <si>
    <t>847.8470530.1.426210.000000.847010.200179</t>
  </si>
  <si>
    <t>426220</t>
  </si>
  <si>
    <t>Insurance - Fire and allied perils</t>
  </si>
  <si>
    <t>847.8470530.1.426220.000000.847010.200179</t>
  </si>
  <si>
    <t>847.8470530.1.426220.000000.847015.200179</t>
  </si>
  <si>
    <t>847.8470530.1.426220.000000.847030.200179</t>
  </si>
  <si>
    <t>426250</t>
  </si>
  <si>
    <t>Insurance - Motor vehicles</t>
  </si>
  <si>
    <t>847.8470530.1.426250.000000.847010.200179</t>
  </si>
  <si>
    <t>426800</t>
  </si>
  <si>
    <t>Motor vehicle registration and inspection charges</t>
  </si>
  <si>
    <t>847.8470530.1.426800.000000.847010.200179</t>
  </si>
  <si>
    <t>426900</t>
  </si>
  <si>
    <t>Postal, courier and other document delivery expenses</t>
  </si>
  <si>
    <t>847.8470530.1.426900.000000.847010.200179</t>
  </si>
  <si>
    <t>428111</t>
  </si>
  <si>
    <t>Electricity consumption charges</t>
  </si>
  <si>
    <t>847.8470530.1.428111.000000.847010.200179</t>
  </si>
  <si>
    <t>847.8470530.1.428111.000000.847015.200179</t>
  </si>
  <si>
    <t>847.8470530.1.428111.000000.847020.200179</t>
  </si>
  <si>
    <t>847.8470530.1.428111.000000.847030.200179</t>
  </si>
  <si>
    <t>428112</t>
  </si>
  <si>
    <t>Water consumption charges</t>
  </si>
  <si>
    <t>847.8470530.1.428112.000000.847010.200179</t>
  </si>
  <si>
    <t>847.8470530.1.428112.000000.847015.200179</t>
  </si>
  <si>
    <t>847.8470530.1.428112.000000.847020.200179</t>
  </si>
  <si>
    <t>847.8470530.1.428112.000000.847030.200179</t>
  </si>
  <si>
    <t>847.8470530.1.428200.000000.847010.000000</t>
  </si>
  <si>
    <t>429900</t>
  </si>
  <si>
    <t>Other services, not specifically mentioned elsewhere</t>
  </si>
  <si>
    <t>847.8470530.1.429900.000000.847010.200179</t>
  </si>
  <si>
    <t>430330</t>
  </si>
  <si>
    <t>Rental - Motor vehicles</t>
  </si>
  <si>
    <t>847.8470530.1.430330.000000.847010.200179</t>
  </si>
  <si>
    <t>847.8470530.1.430330.000000.847020.200179</t>
  </si>
  <si>
    <t>432120</t>
  </si>
  <si>
    <t>Bldg maintenance-Business premises</t>
  </si>
  <si>
    <t>847.8470530.1.432120.000000.847010.200179</t>
  </si>
  <si>
    <t>847.8470530.1.432120.000000.847015.200179</t>
  </si>
  <si>
    <t>847.8470530.1.432120.000000.847020.200179</t>
  </si>
  <si>
    <t>847.8470530.1.432120.000000.847030.000000</t>
  </si>
  <si>
    <t>847.8470530.1.432120.000000.847030.200179</t>
  </si>
  <si>
    <t>847.8470530.1.432120.000000.847951.200179</t>
  </si>
  <si>
    <t>432170</t>
  </si>
  <si>
    <t>Bldg decoration &amp; minor improvements</t>
  </si>
  <si>
    <t>847.8470530.1.432170.000000.847010.200179</t>
  </si>
  <si>
    <t>432320</t>
  </si>
  <si>
    <t>Residential Furniture and fixtures</t>
  </si>
  <si>
    <t>847.8470530.1.432320.000000.847010.200179</t>
  </si>
  <si>
    <t>432540</t>
  </si>
  <si>
    <t>Motor vehicles (non-military)</t>
  </si>
  <si>
    <t>847.8470530.1.432540.000000.847001.200179</t>
  </si>
  <si>
    <t>847.8470530.1.432540.000000.847010.200179</t>
  </si>
  <si>
    <t>847.8470530.1.432540.000000.847020.200179</t>
  </si>
  <si>
    <t>847.8470530.1.432690.000000.847010.000000</t>
  </si>
  <si>
    <t>435740</t>
  </si>
  <si>
    <t>Fuel, oil and lubricants: Motor vehicles</t>
  </si>
  <si>
    <t>847.8470530.1.435740.000000.847010.200179</t>
  </si>
  <si>
    <t>847.8470530.1.436110.000000.847001.200179</t>
  </si>
  <si>
    <t>847.8470530.1.436110.000000.847010.200179</t>
  </si>
  <si>
    <t>847.8470530.1.436110.000000.847020.200179</t>
  </si>
  <si>
    <t>436220</t>
  </si>
  <si>
    <t>Road signs</t>
  </si>
  <si>
    <t>847.8470530.1.436220.000000.847020.200179</t>
  </si>
  <si>
    <t>847.8470540.1.421100.000000.847010.200179</t>
  </si>
  <si>
    <t>847.8470540.1.430330.000000.847010.200179</t>
  </si>
  <si>
    <t>847.8470540.1.432120.000000.847010.200179</t>
  </si>
  <si>
    <t>847.8470540.1.432120.000000.847020.200179</t>
  </si>
  <si>
    <t>847.8470540.1.432540.000000.847010.200179</t>
  </si>
  <si>
    <t>847.8470540.1.435410.000000.847020.200179</t>
  </si>
  <si>
    <t>420130</t>
  </si>
  <si>
    <t>External Audit service</t>
  </si>
  <si>
    <t>847.8470620.1.420130.000000.847001.200179</t>
  </si>
  <si>
    <t>847.8470620.1.421000.000000.847001.200179</t>
  </si>
  <si>
    <t>847.8470620.1.421100.000000.847001.200179</t>
  </si>
  <si>
    <t>425300</t>
  </si>
  <si>
    <t>Banking service charges / Fees</t>
  </si>
  <si>
    <t>847.8470620.1.425300.000000.847001.200179</t>
  </si>
  <si>
    <t>425350</t>
  </si>
  <si>
    <t>Fees for processing e-payments</t>
  </si>
  <si>
    <t>847.8470620.1.425350.000000.847001.200179</t>
  </si>
  <si>
    <t>847.8470620.1.426610.000000.847001.200179</t>
  </si>
  <si>
    <t>847.8470620.1.436110.000000.847001.200179</t>
  </si>
  <si>
    <t>436120</t>
  </si>
  <si>
    <t>Stationery</t>
  </si>
  <si>
    <t>847.8470620.1.436120.000000.847001.200179</t>
  </si>
  <si>
    <t>847.8470720.1.421000.000000.847001.200179</t>
  </si>
  <si>
    <t>847.8470720.1.421700.000000.847001.200179</t>
  </si>
  <si>
    <t>847.8470720.1.426900.000000.847001.200179</t>
  </si>
  <si>
    <t>847.8470720.1.428200.000000.847001.200179</t>
  </si>
  <si>
    <t>847.8470720.1.428200.000000.847951.200179</t>
  </si>
  <si>
    <t>847.8470720.1.435410.000000.847001.200179</t>
  </si>
  <si>
    <t>847.8470720.1.436120.000000.847001.200179</t>
  </si>
  <si>
    <t>847.8470730.1.421000.000000.847001.200179</t>
  </si>
  <si>
    <t>847.8470730.1.425100.000000.847001.000000</t>
  </si>
  <si>
    <t>847.8470730.1.425510.000000.847001.200179</t>
  </si>
  <si>
    <t>847.8470730.1.425900.000000.847001.200179</t>
  </si>
  <si>
    <t>847.8470730.1.426610.000000.847001.200179</t>
  </si>
  <si>
    <t>847.8470730.1.427200.000000.847001.200179</t>
  </si>
  <si>
    <t>847.8470730.1.427900.000000.847001.200179</t>
  </si>
  <si>
    <t>847.8470730.1.428090.000000.847001.200179</t>
  </si>
  <si>
    <t>847.8470730.1.428640.000000.847001.200179</t>
  </si>
  <si>
    <t>847.8470730.1.436110.000000.847001.200179</t>
  </si>
  <si>
    <t>420810</t>
  </si>
  <si>
    <t>IT Systems &amp; Support expenses</t>
  </si>
  <si>
    <t>847.8470810.1.420810.000000.847001.200179</t>
  </si>
  <si>
    <t>847.8470810.1.421100.000000.847001.200179</t>
  </si>
  <si>
    <t>847.8470810.1.426610.000000.847001.000000</t>
  </si>
  <si>
    <t>847.8470810.1.426610.000000.847001.200179</t>
  </si>
  <si>
    <t>427810</t>
  </si>
  <si>
    <t>Telephone and telefax charges</t>
  </si>
  <si>
    <t>847.8470810.1.427810.000000.847001.200179</t>
  </si>
  <si>
    <t>427850</t>
  </si>
  <si>
    <t>Data Transmission charges</t>
  </si>
  <si>
    <t>847.8470810.1.427850.000000.847001.200179</t>
  </si>
  <si>
    <t>847.8470810.1.427850.000000.847951.200179</t>
  </si>
  <si>
    <t>847.8470810.1.428090.000000.847001.200179</t>
  </si>
  <si>
    <t>430230</t>
  </si>
  <si>
    <t>Rental - Equipment</t>
  </si>
  <si>
    <t>847.8470810.1.430230.000000.847001.200179</t>
  </si>
  <si>
    <t>432205</t>
  </si>
  <si>
    <t>Computers and peripherals</t>
  </si>
  <si>
    <t>847.8470810.1.432205.000000.847001.200179</t>
  </si>
  <si>
    <t>8471010</t>
  </si>
  <si>
    <t>KUST - Continuing Education Office</t>
  </si>
  <si>
    <t>847.8471010.1.425100.000000.847001.200179</t>
  </si>
  <si>
    <t>847.8471010.1.425510.000000.847001.200179</t>
  </si>
  <si>
    <t>847.8471010.1.425550.000000.847001.200179</t>
  </si>
  <si>
    <t>847.8471010.1.425720.000000.847001.200179</t>
  </si>
  <si>
    <t>847.8471010.1.425900.000000.847001.200179</t>
  </si>
  <si>
    <t>847.8471010.1.436110.000000.847001.200179</t>
  </si>
  <si>
    <t>847.8471010.1.436120.000000.847001.200179</t>
  </si>
  <si>
    <t>847.8471110.1.425510.000000.847001.000000</t>
  </si>
  <si>
    <t>847.8471110.1.425770.000000.847001.000000</t>
  </si>
  <si>
    <t>8471121</t>
  </si>
  <si>
    <t>KUST - Petroleum Institute</t>
  </si>
  <si>
    <t>847.8471121.1.429900.000000.847001.200179</t>
  </si>
  <si>
    <t>435523</t>
  </si>
  <si>
    <t>Scientific</t>
  </si>
  <si>
    <t>847.8471121.1.435523.000000.847001.200179</t>
  </si>
  <si>
    <t>847.8471130.1.420570.000000.847001.200179</t>
  </si>
  <si>
    <t>847.8471130.1.426610.000000.847001.200179</t>
  </si>
  <si>
    <t>847.8471130.1.426900.000000.847001.200179</t>
  </si>
  <si>
    <t>847.8471130.1.427900.000000.847001.200179</t>
  </si>
  <si>
    <t>847.8471130.1.435523.000000.847001.000000</t>
  </si>
  <si>
    <t>847.8471130.1.435523.000000.847001.200179</t>
  </si>
  <si>
    <t>847.8471130.1.436120.000000.847001.200179</t>
  </si>
  <si>
    <t>847.8471140.1.420570.000000.847001.200179</t>
  </si>
  <si>
    <t>847.8471140.1.426610.000000.847001.200179</t>
  </si>
  <si>
    <t>847.8471140.1.426900.000000.847001.200179</t>
  </si>
  <si>
    <t>847.8471140.1.435523.000000.847001.200179</t>
  </si>
  <si>
    <t>847.8471150.1.420900.000000.847001.000000</t>
  </si>
  <si>
    <t>847.8471150.1.420900.000000.847001.200179</t>
  </si>
  <si>
    <t>847.8471150.1.425510.000000.847001.200179</t>
  </si>
  <si>
    <t>847.8471150.1.425550.000000.847001.200179</t>
  </si>
  <si>
    <t>847.8471150.1.426610.000000.847001.200179</t>
  </si>
  <si>
    <t>422100</t>
  </si>
  <si>
    <t>Waste management service</t>
  </si>
  <si>
    <t>847.8471160.1.422100.000000.847001.200179</t>
  </si>
  <si>
    <t>847.8471160.1.426610.000000.847001.200179</t>
  </si>
  <si>
    <t>847.8471160.1.430120.000000.847001.200179</t>
  </si>
  <si>
    <t>847.8471160.1.430330.000000.847001.000000</t>
  </si>
  <si>
    <t>847.8471160.1.432209.000000.847001.000000</t>
  </si>
  <si>
    <t>847.8471160.1.432209.000000.847001.200179</t>
  </si>
  <si>
    <t>847.8471160.1.435508.000000.847001.000000</t>
  </si>
  <si>
    <t>847.8471160.1.435508.000000.847001.200179</t>
  </si>
  <si>
    <t>847.8471170.1.420810.000000.847001.200179</t>
  </si>
  <si>
    <t>847.8471170.1.426610.000000.847001.200179</t>
  </si>
  <si>
    <t>847.8471210.1.425745.000000.847001.000000</t>
  </si>
  <si>
    <t>425746</t>
  </si>
  <si>
    <t>Student Transport</t>
  </si>
  <si>
    <t>847.8471210.1.425746.000000.847001.000000</t>
  </si>
  <si>
    <t>847.8471210.1.425760.000000.847001.000000</t>
  </si>
  <si>
    <t>847.8471220.1.425510.000000.847001.200179</t>
  </si>
  <si>
    <t>847.8471220.1.425550.000000.847001.200179</t>
  </si>
  <si>
    <t>425741</t>
  </si>
  <si>
    <t>Student stipend</t>
  </si>
  <si>
    <t>847.8471220.1.425741.000000.847001.200179</t>
  </si>
  <si>
    <t>847.8471220.1.425741.000000.847001.201211</t>
  </si>
  <si>
    <t>847.8471220.1.426900.000000.847001.200179</t>
  </si>
  <si>
    <t>847.8471220.1.435340.000000.847001.200179</t>
  </si>
  <si>
    <t>847.8471220.1.436110.000000.847001.200179</t>
  </si>
  <si>
    <t>847.8471220.1.436120.000000.847001.200179</t>
  </si>
  <si>
    <t>425742</t>
  </si>
  <si>
    <t>Enrollment expenses</t>
  </si>
  <si>
    <t>847.8471230.1.425742.000000.847001.200179</t>
  </si>
  <si>
    <t>847.8471230.1.426610.000000.847001.200179</t>
  </si>
  <si>
    <t>847.8471240.1.425510.000000.847001.200179</t>
  </si>
  <si>
    <t>847.8471240.1.425720.000000.847001.200179</t>
  </si>
  <si>
    <t>847.8471240.1.425761.000000.847001.200179</t>
  </si>
  <si>
    <t>847.8471240.1.426610.000000.847001.200179</t>
  </si>
  <si>
    <t>847.8471250.1.425510.000000.847001.200179</t>
  </si>
  <si>
    <t>847.8471250.1.425720.000000.847001.200179</t>
  </si>
  <si>
    <t>425762</t>
  </si>
  <si>
    <t>Student Internship</t>
  </si>
  <si>
    <t>847.8471250.1.425762.000000.847001.200179</t>
  </si>
  <si>
    <t>847.8471250.1.426610.000000.847001.200179</t>
  </si>
  <si>
    <t>847.8471250.1.428090.000000.847001.200179</t>
  </si>
  <si>
    <t>847.8471250.1.436110.000000.847001.200179</t>
  </si>
  <si>
    <t>847.8471260.1.420310.000000.847001.200179</t>
  </si>
  <si>
    <t>847.8471260.1.421100.000000.847001.200179</t>
  </si>
  <si>
    <t>847.8471260.1.421600.000000.847001.200179</t>
  </si>
  <si>
    <t>422400</t>
  </si>
  <si>
    <t>Medical services</t>
  </si>
  <si>
    <t>847.8471260.1.422400.000000.847951.200179</t>
  </si>
  <si>
    <t>847.8471260.1.425746.000000.847001.200179</t>
  </si>
  <si>
    <t>425747</t>
  </si>
  <si>
    <t>Student Accommodation</t>
  </si>
  <si>
    <t>847.8471260.1.425747.000000.847001.200179</t>
  </si>
  <si>
    <t>425750</t>
  </si>
  <si>
    <t>Skill assessment service</t>
  </si>
  <si>
    <t>847.8471260.1.425750.000000.847001.200179</t>
  </si>
  <si>
    <t>847.8471260.1.425760.000000.847001.200179</t>
  </si>
  <si>
    <t>847.8471260.1.425900.000000.847001.200179</t>
  </si>
  <si>
    <t>847.8471260.1.426220.000000.847001.200179</t>
  </si>
  <si>
    <t>847.8471260.1.428090.000000.847001.200179</t>
  </si>
  <si>
    <t>847.8471260.1.428111.000000.847001.200179</t>
  </si>
  <si>
    <t>847.8471260.1.428112.000000.847001.200179</t>
  </si>
  <si>
    <t>847.8471260.1.428640.000000.847001.200179</t>
  </si>
  <si>
    <t>847.8471260.1.430230.000000.847001.200179</t>
  </si>
  <si>
    <t>847.8471260.1.432120.000000.847001.200179</t>
  </si>
  <si>
    <t>847.8471260.1.435530.000000.847001.200179</t>
  </si>
  <si>
    <t>847.8471270.1.435310.000000.847001.200179</t>
  </si>
  <si>
    <t>435330</t>
  </si>
  <si>
    <t>Library books</t>
  </si>
  <si>
    <t>847.8471270.1.435330.000000.847001.200179</t>
  </si>
  <si>
    <t>847.8471270.1.436120.000000.847001.200179</t>
  </si>
  <si>
    <t>847.8471280.1.425510.000000.847001.200179</t>
  </si>
  <si>
    <t>847.8471280.1.425550.000000.847001.200179</t>
  </si>
  <si>
    <t>847.8471280.1.425770.000000.847001.200179</t>
  </si>
  <si>
    <t>847.8471280.1.426610.000000.847001.200179</t>
  </si>
  <si>
    <t>847.8471280.1.428640.000000.847001.200179</t>
  </si>
  <si>
    <t>847.8471305.1.420550.000000.847001.200179</t>
  </si>
  <si>
    <t>847.8471305.1.420570.000000.847001.200179</t>
  </si>
  <si>
    <t>847.8471305.1.420810.000000.847001.200179</t>
  </si>
  <si>
    <t>847.8471305.1.421000.000000.847001.200179</t>
  </si>
  <si>
    <t>847.8471305.1.421700.000000.847001.200179</t>
  </si>
  <si>
    <t>847.8471305.1.422100.000000.847001.200179</t>
  </si>
  <si>
    <t>847.8471305.1.422900.000000.847001.200179</t>
  </si>
  <si>
    <t>847.8471305.1.425100.000000.847001.200179</t>
  </si>
  <si>
    <t>847.8471305.1.425510.000000.847001.200179</t>
  </si>
  <si>
    <t>847.8471305.1.425550.000000.847001.200179</t>
  </si>
  <si>
    <t>847.8471305.1.425720.000000.847001.200179</t>
  </si>
  <si>
    <t>847.8471305.1.425742.000000.847001.200179</t>
  </si>
  <si>
    <t>847.8471305.1.425745.000000.847001.200179</t>
  </si>
  <si>
    <t>847.8471305.1.425746.000000.847001.200179</t>
  </si>
  <si>
    <t>847.8471305.1.425749.000000.847001.200179</t>
  </si>
  <si>
    <t>847.8471305.1.425750.000000.847001.200179</t>
  </si>
  <si>
    <t>847.8471305.1.425760.000000.847001.200179</t>
  </si>
  <si>
    <t>847.8471305.1.425762.000000.847001.200179</t>
  </si>
  <si>
    <t>847.8471305.1.425763.000000.847001.200179</t>
  </si>
  <si>
    <t>847.8471305.1.425770.000000.847001.200179</t>
  </si>
  <si>
    <t>847.8471305.1.425900.000000.847001.200179</t>
  </si>
  <si>
    <t>847.8471305.1.426100.000000.847001.200179</t>
  </si>
  <si>
    <t>847.8471305.1.426610.000000.847001.200179</t>
  </si>
  <si>
    <t>847.8471305.1.426900.000000.847001.200179</t>
  </si>
  <si>
    <t>847.8471305.1.427100.000000.847001.200179</t>
  </si>
  <si>
    <t>847.8471305.1.427200.000000.847001.200179</t>
  </si>
  <si>
    <t>847.8471305.1.427710.000000.847001.200179</t>
  </si>
  <si>
    <t>847.8471305.1.427810.000000.847001.200179</t>
  </si>
  <si>
    <t>847.8471305.1.428090.000000.847001.200179</t>
  </si>
  <si>
    <t>428400</t>
  </si>
  <si>
    <t>Sponsorship expenses/contributions</t>
  </si>
  <si>
    <t>847.8471305.1.428400.000000.847001.200179</t>
  </si>
  <si>
    <t>847.8471305.1.428640.000000.847001.200179</t>
  </si>
  <si>
    <t>847.8471305.1.432205.000000.847001.200179</t>
  </si>
  <si>
    <t>847.8471305.1.432209.000000.847001.200179</t>
  </si>
  <si>
    <t>432210</t>
  </si>
  <si>
    <t>Medical equipment</t>
  </si>
  <si>
    <t>847.8471305.1.432210.000000.847001.200179</t>
  </si>
  <si>
    <t>847.8471305.1.435310.000000.847001.200179</t>
  </si>
  <si>
    <t>847.8471305.1.435330.000000.847001.200179</t>
  </si>
  <si>
    <t>847.8471305.1.435340.000000.847001.200179</t>
  </si>
  <si>
    <t>847.8471305.1.435350.000000.847001.200179</t>
  </si>
  <si>
    <t>847.8471305.1.435410.000000.847001.200179</t>
  </si>
  <si>
    <t>847.8471305.1.435508.000000.847001.200179</t>
  </si>
  <si>
    <t>847.8471305.1.435519.000000.847001.200179</t>
  </si>
  <si>
    <t>847.8471305.1.435530.000000.847001.200179</t>
  </si>
  <si>
    <t>847.8471305.1.436110.000000.847001.200179</t>
  </si>
  <si>
    <t>847.8471305.1.436120.000000.847001.200179</t>
  </si>
  <si>
    <t>8477010</t>
  </si>
  <si>
    <t>KUST - Gas Research Center Office</t>
  </si>
  <si>
    <t>847.8477010.1.426800.000000.847040.000000</t>
  </si>
  <si>
    <t>8477110</t>
  </si>
  <si>
    <t>ADRIC operations</t>
  </si>
  <si>
    <t>847.8477110.1.426610.000000.847078.000000</t>
  </si>
  <si>
    <t>2 Other Operating Costs Total</t>
  </si>
  <si>
    <t>492316</t>
  </si>
  <si>
    <t>847.8470110.1.492316.000000.847001.300180</t>
  </si>
  <si>
    <t>492310</t>
  </si>
  <si>
    <t>Hardware &amp; peripherals</t>
  </si>
  <si>
    <t>847.8470140.1.492310.000000.847001.300180</t>
  </si>
  <si>
    <t>847.8470220.1.492316.000000.847001.300180</t>
  </si>
  <si>
    <t>847.8470305.1.492316.000000.847001.000000</t>
  </si>
  <si>
    <t>847.8470310.1.492316.000000.847001.300180</t>
  </si>
  <si>
    <t>847.8470315.1.492316.000000.847001.300180</t>
  </si>
  <si>
    <t>847.8470325.1.492316.000000.847001.300180</t>
  </si>
  <si>
    <t>847.8470330.1.492316.000000.847001.300180</t>
  </si>
  <si>
    <t>847.8470335.1.492316.000000.847001.300180</t>
  </si>
  <si>
    <t>847.8470340.1.492316.000000.847001.300180</t>
  </si>
  <si>
    <t>847.8470345.1.492316.000000.847001.300180</t>
  </si>
  <si>
    <t>847.8470350.1.492316.000000.847001.300180</t>
  </si>
  <si>
    <t>847.8470415.1.492316.000000.847001.300180</t>
  </si>
  <si>
    <t>847.8470425.1.492316.000000.847001.300180</t>
  </si>
  <si>
    <t>492200</t>
  </si>
  <si>
    <t>Capital expense - Buildings</t>
  </si>
  <si>
    <t>847.8470530.1.492200.000000.847001.300180</t>
  </si>
  <si>
    <t>847.8470530.1.492200.000000.847010.300180</t>
  </si>
  <si>
    <t>847.8470530.1.492200.000000.847015.300180</t>
  </si>
  <si>
    <t>847.8470530.1.492200.000000.847020.300180</t>
  </si>
  <si>
    <t>847.8470530.1.492200.000000.847030.000000</t>
  </si>
  <si>
    <t>847.8470530.1.492200.000000.847951.300180</t>
  </si>
  <si>
    <t>847.8470530.1.492316.000000.847010.300180</t>
  </si>
  <si>
    <t>492610</t>
  </si>
  <si>
    <t>Furniture &amp; Fixtures - Offices</t>
  </si>
  <si>
    <t>847.8470530.1.492610.000000.847010.300180</t>
  </si>
  <si>
    <t>847.8470530.1.492610.000000.847015.300180</t>
  </si>
  <si>
    <t>847.8470530.1.492610.000000.847030.300180</t>
  </si>
  <si>
    <t>495140</t>
  </si>
  <si>
    <t>Copyrights, patents and licenses</t>
  </si>
  <si>
    <t>847.8470530.1.495140.000000.847010.300180</t>
  </si>
  <si>
    <t>847.8470620.1.495140.000000.847001.000000</t>
  </si>
  <si>
    <t>847.8470730.1.495140.000000.847001.300180</t>
  </si>
  <si>
    <t>847.8470810.1.492310.000000.847001.300180</t>
  </si>
  <si>
    <t>847.8470810.1.492316.000000.847001.300180</t>
  </si>
  <si>
    <t>495110</t>
  </si>
  <si>
    <t>Computer software</t>
  </si>
  <si>
    <t>847.8470810.1.495110.000000.847001.300180</t>
  </si>
  <si>
    <t>847.8471130.1.492316.000000.847001.300180</t>
  </si>
  <si>
    <t>847.8471140.1.492316.000000.847001.300180</t>
  </si>
  <si>
    <t>847.8471160.1.492200.000000.847001.300180</t>
  </si>
  <si>
    <t>847.8471160.1.492316.000000.847001.300180</t>
  </si>
  <si>
    <t>847.8471170.1.492310.000000.847001.300180</t>
  </si>
  <si>
    <t>847.8471170.1.492316.000000.847001.300180</t>
  </si>
  <si>
    <t>847.8471170.1.495110.000000.847001.300180</t>
  </si>
  <si>
    <t>847.8471305.1.492310.000000.847001.300180</t>
  </si>
  <si>
    <t>847.8471305.1.492316.000000.847001.300180</t>
  </si>
  <si>
    <t>847.8471305.1.492610.000000.847001.300180</t>
  </si>
  <si>
    <t>847.8471305.1.495140.000000.847001.300180</t>
  </si>
  <si>
    <t>3 Capital Payments Total</t>
  </si>
  <si>
    <t>Row Labels</t>
  </si>
  <si>
    <t>Sum of Revised Budget</t>
  </si>
  <si>
    <t>Sum of Actual Amount</t>
  </si>
  <si>
    <t>Sum of Annual Budget</t>
  </si>
  <si>
    <t>Budget Surplus Amount</t>
  </si>
  <si>
    <t>Surplus Justification</t>
  </si>
  <si>
    <t>Actual Amount Dec -21</t>
  </si>
  <si>
    <t>Standards certification (e.g. ISO)</t>
  </si>
  <si>
    <t>Advertising</t>
  </si>
  <si>
    <t>Cleaning: Business premises</t>
  </si>
  <si>
    <t>Banking service charges</t>
  </si>
  <si>
    <t>Revised Budget Nov-21</t>
  </si>
  <si>
    <t>No Feedback Received</t>
  </si>
  <si>
    <t>Not Submitted</t>
  </si>
  <si>
    <t>NA</t>
  </si>
  <si>
    <t xml:space="preserve">Not Sent </t>
  </si>
  <si>
    <t xml:space="preserve">President's Office </t>
  </si>
  <si>
    <t>Executive Vice President Office</t>
  </si>
  <si>
    <t>Provost</t>
  </si>
  <si>
    <t>Academic and Student Services Office</t>
  </si>
  <si>
    <t>College of Engineering</t>
  </si>
  <si>
    <t>College of Arts &amp; Science</t>
  </si>
  <si>
    <t>SVP/ Support Services Office</t>
  </si>
  <si>
    <t>Administration, Facilities and EHS Office</t>
  </si>
  <si>
    <t>SVP / Finance &amp; Investment Office</t>
  </si>
  <si>
    <t xml:space="preserve"> SVP / Finance &amp; Investment Office</t>
  </si>
  <si>
    <t>Procurement and Contracts</t>
  </si>
  <si>
    <t>Human Resources</t>
  </si>
  <si>
    <t>Information Technology/ANKABUT</t>
  </si>
  <si>
    <t>Senior Vice President, Research Office</t>
  </si>
  <si>
    <t>College of Medicine &amp; Health Sciences</t>
  </si>
  <si>
    <t>This is related to the number of overseas students.  Since the number of enrolled students was less than the expected one, there was a surplus of the amount</t>
  </si>
  <si>
    <t>The Admission office decided to advertise for the graduate programs and thus, GSO decided not proceed with advertisement in the same period</t>
  </si>
  <si>
    <t>This is related to the total number of admitted students in Spring 2021 and Fall 2021.  The number of Full time enrolled on full KU scholarship was less than the number of expected.  Also, please note that it was expected to send some international students abroad and cover their expenses but we didnt have any approvaed applicants last year.</t>
  </si>
  <si>
    <t xml:space="preserve">CAFM system PR returned </t>
  </si>
  <si>
    <t>Raised PR's are not proceesed. Some project are in progress</t>
  </si>
  <si>
    <t xml:space="preserve">reduction in consumption + paid up to 16/12/2021 </t>
  </si>
  <si>
    <t xml:space="preserve">Raised PR's are not proceesed. </t>
  </si>
  <si>
    <t>Manual PR- Master Plan</t>
  </si>
  <si>
    <t>Master Plan</t>
  </si>
  <si>
    <t xml:space="preserve">Not Invoice amount </t>
  </si>
  <si>
    <t>Finance  to paid</t>
  </si>
  <si>
    <t xml:space="preserve">2021 Budget No manpower </t>
  </si>
  <si>
    <t xml:space="preserve">Raised PR's are not processed. </t>
  </si>
  <si>
    <t>Raised PR's are not processed. Some project are in progress</t>
  </si>
  <si>
    <t>Dec invoice</t>
  </si>
  <si>
    <t>Actual Budget for nurses was 1,104,000 AED 
additional 414,000 AED added for weekend and overtime due to Pandemic requirement plan. From Oct new service provider started with lower rate , Dec 2021 Pending invoices for ALQUDRAH,lockdown of manpower services during COVID-19 Pandemic and because of pending payment of 6 months ( West Coast )</t>
  </si>
  <si>
    <t>Due to pending invoices for payment for Sara &amp; Marwa AED 70K (Oct, Nov &amp; Dec 2021) as the contract not yet signed by KU, staff movement to new outsources contract with a rate adjustment &amp; unpaid leave adjustment.  Accrual is made in BG8</t>
  </si>
  <si>
    <t>100% of ICFR 2020 is pending AED 60K due to final approval was pending from BOT so the invoice was not paid.
100% mid year review by new external auditor conducted during Dec 2021 AED 35K.  The invoice not yet received for payment awaiting for the final approval by BOT. The budget was made based on pervios external auditor rate AED 66K (including 5% estimated increase)</t>
  </si>
  <si>
    <t>Variation due to estimations of classroom audio visual renovation budget</t>
  </si>
  <si>
    <t>Variation due to delays in provissioning some dorms Internet lines and estimations of usage.</t>
  </si>
  <si>
    <t>Two PRs wre not processed by procurement : External Vulnerability Assessment (AED300K) and Signinghub license renewal (AED50K). 
Also, the balance is due to variations and savings between estimated PR value and PO value. Those savings could not be used in 2021 because most Software POs were issued towards the end of 2021. So, there was no time for IT to re-purpose the remaining funds to other projects.</t>
  </si>
  <si>
    <t>Service Order for wireless expansion PO 8472107441 (AED518K) issued late in Dec 29, 2021. By that time the invoice entering in ADERP was not available and payment could not be processed as part of 2021. 
Other variation due to estimation for audio visual renovations, maintenance and spare parts for KU hardware out of warranty.</t>
  </si>
  <si>
    <t xml:space="preserve">License and development fee less than expected. </t>
  </si>
  <si>
    <t>Procurement was delayed and some budget was not pre-allocated</t>
  </si>
  <si>
    <t>No surplus - funds moved to a different expense type within the same cost center</t>
  </si>
  <si>
    <t>PR in 2021 on this account were submitted leaving only 10K on 30 november. 
This surplus is solely due PR being not prcessed in due time and being cancelled as per DOF rules.</t>
  </si>
  <si>
    <t>Rental provisioned for the agrivolataic project at the solar platform . This was requested in october 2021 by nicolas calvet.
Could not be spent in time due to delay in the agreement (See with john for future development)</t>
  </si>
  <si>
    <t>All funds ont his account were spent in due time. However, as the retrofitting project of RDISC and Tissue culture &amp; virology were delayed, only partial payment could be done in 2021.
 This amount had been carried forward to 2022.</t>
  </si>
  <si>
    <t>PR in 2021 on this account were submitted leaving only 613K on 30 november. 
This surplus is solely due PR  not being processed in due time and then being cancelled as per DOF rules.</t>
  </si>
  <si>
    <t>PR in 2021 on this account were submitted leaving only 406K on 30 november. 
This surplus is solely due PR being not prcessed in due time and being cancelled as per DOF rules.</t>
  </si>
  <si>
    <t>Procuement of software was not completed on time by Procurement. The company sent the license agreement to complte purchse in November, but it did not get complted by procuremnt until after the deadline for receiving.</t>
  </si>
  <si>
    <t>Will be used this month. PR is submitted 8471109454</t>
  </si>
  <si>
    <t xml:space="preserve">This was reversed amount when we closed 2 Magrudy POS from 2021, which were left over balance. </t>
  </si>
  <si>
    <t>The forecasted number of enrolled students was hgiher than the actual.</t>
  </si>
  <si>
    <t>Due to Covid, the number of anticipated students engaging in field trips and study abroad decreased.</t>
  </si>
  <si>
    <t>The system payment was due before the additional budget were released.  The amount was paid from another account for PR# 8471108565 .</t>
  </si>
  <si>
    <t>Most of the international internship were put on hold due to the pandemic.</t>
  </si>
  <si>
    <t>The budget was used to cover different events during Q1 and Q2.  (PR8471107620, PMR20212643, PMR20212358, PMR20212357, PMR20214026) Additional amount of AED 200,000 was transferred to this account from Students Life due to insufficient balance to raise the PR for the virtual career fair event (PR#8471108347).  No more events were organized after the revised budget were released.</t>
  </si>
  <si>
    <t>The budget requested was to pay the course fees of Spring semester and to cover the course cost for Fall.  Course cost for Spring was paid (PMR:8471107623 ), but due contract cancelation with the outsourced company, the additional amount was not used since course started to be taught internally by KU staff.</t>
  </si>
  <si>
    <t xml:space="preserve">There is a visa expenses invoices (around AED  168,541) which is not paid due to some dispute on charges and terms on contract. The contract has been signed last week of Dec, 2021. </t>
  </si>
  <si>
    <t xml:space="preserve">Check with FMS </t>
  </si>
  <si>
    <t xml:space="preserve">_For  Student Accommodation, Facilities managed to get budget for renting a new dorm in Masdar and thus this amount was not utilized. 
_DOF added these extra amount mid of Oct, 2021. By that time, the deadline for raising PRs has passed already and we were unable to utilize big amounts.
</t>
  </si>
  <si>
    <t>1- DOF added AED 4,480,000 to the transportation budget in Oct, 2021 whereas we have requested AED 4,000,000 only. With that being said, the surplus amount in the budget should be around AED 2,669,439.
2- Our estimation for the full year was based on the assumption that all students will be studying on-campus in addition to having off-campus events and trips that resume normally. Due to the evolving/changing situation related to the COVID 19 pandemic, the authorities have decided hybrid learning mode during the year of 2021 and thus students on online mode didn’t require transportation services.  Also, due to many health matters, some student having classes on-campus were hesitant to stay in KU Dorms and use KU transportation.
3- Abu Dhabi daily transportation were suspended as no students registered for this service.</t>
  </si>
  <si>
    <t xml:space="preserve">1-we can't proccess the ACM payment 73183 AED this year because the publisher disconnected their agreement with Techknowledge publisher, We need to revise the PO and pay ACM directly or to their new UAE supplier from next year budget. 
2- We cannot utilize all of the print books allocations budgets. Due to the rule and regulations in the delivery from outside of UAE during COVID. </t>
  </si>
  <si>
    <t xml:space="preserve">Covid restrictions reduced opportunieis </t>
  </si>
  <si>
    <t>Covid restrictions limited travel, online utilized in some instances</t>
  </si>
  <si>
    <t xml:space="preserve">This was to be reallocated to marketing and advertising </t>
  </si>
  <si>
    <t>Online learning due to Covid restrictions</t>
  </si>
  <si>
    <t>Amounts added late and limited time to spend within the set budget parameters</t>
  </si>
  <si>
    <t xml:space="preserve">SSMC agreement paid from Q2 as services were not provided in Q1.  This is the remainer of savings related to provision of services. </t>
  </si>
  <si>
    <t>Resources reviewed and streamlined related to faculty and student need.</t>
  </si>
  <si>
    <t xml:space="preserve">Applied to Phase 2 projects  </t>
  </si>
  <si>
    <t>Funds transferred to Phase 2, as previously discussed</t>
  </si>
  <si>
    <t xml:space="preserve">Items not supplied on time related to market conditions </t>
  </si>
  <si>
    <t xml:space="preserve">Ankabut IT outsourced manpower - contract not operationalized </t>
  </si>
  <si>
    <t xml:space="preserve">In August 2021 - there was only 163,000 left in the budget.  </t>
  </si>
  <si>
    <t>Applied to Phase 2 projects</t>
  </si>
  <si>
    <t>Academics</t>
  </si>
  <si>
    <t>Research</t>
  </si>
  <si>
    <t xml:space="preserve">Administration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</si>
</sst>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6" x14ac:knownFonts="1">
    <font>
      <sz val="11"/>
      <color theme="1"/>
      <name val="Calibri"/>
    </font>
    <font>
      <sz val="8"/>
      <color theme="1"/>
      <name val="Calibri"/>
      <family val="2"/>
    </font>
    <font>
      <b/>
      <sz val="8"/>
      <color theme="1"/>
      <name val="Calibri"/>
      <family val="2"/>
    </font>
    <font>
      <sz val="11"/>
      <color theme="1"/>
      <name val="Calibri"/>
      <family val="2"/>
    </font>
    <font>
      <sz val="10"/>
      <color theme="1"/>
      <name val="Calibri"/>
      <family val="2"/>
    </font>
    <font>
      <b/>
      <sz val="10"/>
      <color theme="1"/>
      <name val="Calibri"/>
      <family val="2"/>
    </font>
  </fonts>
  <fills count="8">
    <fill>
      <patternFill patternType="none"/>
    </fill>
    <fill>
      <patternFill patternType="gray125"/>
    </fill>
    <fill>
      <patternFill patternType="solid">
        <fgColor rgb="FFF0F4FA"/>
      </patternFill>
    </fill>
    <fill>
      <patternFill patternType="solid">
        <fgColor rgb="FFFFFFFF"/>
      </patternFill>
    </fill>
    <fill>
      <patternFill patternType="solid">
        <fgColor theme="4" tint="0.39997558519241921"/>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s>
  <borders count="19">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979991"/>
      </left>
      <right/>
      <top style="thin">
        <color rgb="FF979991"/>
      </top>
      <bottom style="thin">
        <color rgb="FF97999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979991"/>
      </left>
      <right/>
      <top/>
      <bottom style="thin">
        <color rgb="FF979991"/>
      </bottom>
      <diagonal/>
    </border>
    <border>
      <left style="thin">
        <color rgb="FF979991"/>
      </left>
      <right/>
      <top style="thin">
        <color rgb="FF979991"/>
      </top>
      <bottom/>
      <diagonal/>
    </border>
    <border>
      <left style="thin">
        <color rgb="FF979991"/>
      </left>
      <right/>
      <top/>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s>
  <cellStyleXfs count="2">
    <xf numFmtId="0" fontId="0" fillId="0" borderId="0"/>
    <xf numFmtId="43" fontId="3" fillId="0" borderId="0" applyFont="0" applyFill="0" applyBorder="0" applyAlignment="0" applyProtection="0"/>
  </cellStyleXfs>
  <cellXfs count="80">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center" vertical="top" wrapText="1"/>
    </xf>
    <xf numFmtId="0" fontId="1" fillId="3" borderId="2" xfId="0" applyFont="1" applyFill="1" applyBorder="1" applyAlignment="1">
      <alignment horizontal="left" vertical="top" wrapText="1"/>
    </xf>
    <xf numFmtId="3" fontId="1" fillId="3" borderId="2" xfId="0" applyNumberFormat="1" applyFont="1" applyFill="1" applyBorder="1" applyAlignment="1">
      <alignment horizontal="right" vertical="top" wrapText="1"/>
    </xf>
    <xf numFmtId="3" fontId="1" fillId="3" borderId="2" xfId="0" applyNumberFormat="1" applyFont="1" applyFill="1" applyBorder="1" applyAlignment="1">
      <alignment horizontal="center" vertical="top" wrapText="1"/>
    </xf>
    <xf numFmtId="0" fontId="2" fillId="2" borderId="3" xfId="0" applyFont="1" applyFill="1" applyBorder="1" applyAlignment="1">
      <alignment horizontal="left" vertical="top" wrapText="1"/>
    </xf>
    <xf numFmtId="3" fontId="2" fillId="2" borderId="2" xfId="0" applyNumberFormat="1" applyFont="1" applyFill="1" applyBorder="1" applyAlignment="1">
      <alignment horizontal="right" vertical="top" wrapText="1"/>
    </xf>
    <xf numFmtId="3" fontId="2" fillId="2" borderId="2" xfId="0" applyNumberFormat="1" applyFont="1" applyFill="1" applyBorder="1" applyAlignment="1">
      <alignment horizontal="center" vertical="top" wrapText="1"/>
    </xf>
    <xf numFmtId="0" fontId="0" fillId="0" borderId="0" xfId="0" applyAlignment="1">
      <alignment horizontal="center" vertical="top" wrapText="1"/>
    </xf>
    <xf numFmtId="0" fontId="1" fillId="2" borderId="4"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3" borderId="9" xfId="0" applyFont="1" applyFill="1" applyBorder="1" applyAlignment="1">
      <alignment horizontal="left" vertical="top" wrapText="1"/>
    </xf>
    <xf numFmtId="0" fontId="1" fillId="3" borderId="10" xfId="0" applyFont="1" applyFill="1" applyBorder="1" applyAlignment="1">
      <alignment horizontal="left" vertical="top" wrapText="1"/>
    </xf>
    <xf numFmtId="0" fontId="0" fillId="3" borderId="2" xfId="0" applyFill="1" applyBorder="1" applyAlignment="1">
      <alignment horizontal="center" vertical="top" wrapText="1"/>
    </xf>
    <xf numFmtId="0" fontId="0" fillId="3" borderId="2" xfId="0" applyFill="1" applyBorder="1" applyAlignment="1">
      <alignment horizontal="right" vertical="top" wrapText="1"/>
    </xf>
    <xf numFmtId="0" fontId="2" fillId="2" borderId="8" xfId="0" applyFont="1" applyFill="1" applyBorder="1" applyAlignment="1">
      <alignment horizontal="left" vertical="top" wrapText="1"/>
    </xf>
    <xf numFmtId="0" fontId="0" fillId="2" borderId="9" xfId="0" applyFill="1" applyBorder="1" applyAlignment="1">
      <alignment horizontal="left" vertical="top" wrapText="1"/>
    </xf>
    <xf numFmtId="0" fontId="0" fillId="2" borderId="10" xfId="0" applyFill="1" applyBorder="1" applyAlignment="1">
      <alignment horizontal="left" vertical="top" wrapText="1"/>
    </xf>
    <xf numFmtId="0" fontId="0" fillId="2" borderId="2" xfId="0" applyFill="1" applyBorder="1" applyAlignment="1">
      <alignment horizontal="left" vertical="top" wrapText="1"/>
    </xf>
    <xf numFmtId="0" fontId="2" fillId="2" borderId="0" xfId="0" applyFont="1" applyFill="1" applyAlignment="1">
      <alignment horizontal="left" vertical="top" wrapText="1"/>
    </xf>
    <xf numFmtId="0" fontId="0" fillId="2" borderId="3" xfId="0" applyFill="1" applyBorder="1" applyAlignment="1">
      <alignment horizontal="left" vertical="top" wrapText="1"/>
    </xf>
    <xf numFmtId="3" fontId="2" fillId="2" borderId="0" xfId="0" applyNumberFormat="1" applyFont="1" applyFill="1" applyAlignment="1">
      <alignment horizontal="right" vertical="top" wrapText="1"/>
    </xf>
    <xf numFmtId="3" fontId="2" fillId="2" borderId="0" xfId="0" applyNumberFormat="1" applyFont="1" applyFill="1" applyAlignment="1">
      <alignment horizontal="center" vertical="top" wrapText="1"/>
    </xf>
    <xf numFmtId="0" fontId="4" fillId="0" borderId="0" xfId="0" applyFont="1" applyAlignment="1"/>
    <xf numFmtId="0" fontId="4" fillId="0" borderId="0" xfId="0" applyFont="1" applyAlignment="1">
      <alignment horizontal="left" indent="1"/>
    </xf>
    <xf numFmtId="0" fontId="4" fillId="3" borderId="17" xfId="0" applyNumberFormat="1" applyFont="1" applyFill="1" applyBorder="1" applyAlignment="1">
      <alignment horizontal="left" vertical="top" indent="1"/>
    </xf>
    <xf numFmtId="0" fontId="4" fillId="3" borderId="17" xfId="0" applyFont="1" applyFill="1" applyBorder="1" applyAlignment="1">
      <alignment vertical="top"/>
    </xf>
    <xf numFmtId="0" fontId="4" fillId="3" borderId="17" xfId="0" applyNumberFormat="1" applyFont="1" applyFill="1" applyBorder="1" applyAlignment="1">
      <alignment horizontal="left" vertical="top"/>
    </xf>
    <xf numFmtId="0" fontId="4" fillId="3" borderId="17" xfId="0" applyFont="1" applyFill="1" applyBorder="1" applyAlignment="1">
      <alignment horizontal="left" vertical="top"/>
    </xf>
    <xf numFmtId="43" fontId="4" fillId="3" borderId="17" xfId="1" applyFont="1" applyFill="1" applyBorder="1" applyAlignment="1">
      <alignment horizontal="right" vertical="top"/>
    </xf>
    <xf numFmtId="43" fontId="4" fillId="3" borderId="17" xfId="1" applyFont="1" applyFill="1" applyBorder="1" applyAlignment="1">
      <alignment horizontal="center" vertical="top"/>
    </xf>
    <xf numFmtId="0" fontId="4" fillId="0" borderId="17" xfId="0" applyNumberFormat="1" applyFont="1" applyFill="1" applyBorder="1" applyAlignment="1">
      <alignment horizontal="left" vertical="top" indent="1"/>
    </xf>
    <xf numFmtId="0" fontId="4" fillId="0" borderId="17" xfId="0" applyFont="1" applyFill="1" applyBorder="1" applyAlignment="1">
      <alignment vertical="top"/>
    </xf>
    <xf numFmtId="0" fontId="4" fillId="0" borderId="17" xfId="0" applyNumberFormat="1" applyFont="1" applyFill="1" applyBorder="1" applyAlignment="1">
      <alignment horizontal="left" vertical="top"/>
    </xf>
    <xf numFmtId="43" fontId="4" fillId="0" borderId="17" xfId="1" applyFont="1" applyFill="1" applyBorder="1" applyAlignment="1">
      <alignment horizontal="right" vertical="top"/>
    </xf>
    <xf numFmtId="43" fontId="4" fillId="0" borderId="17" xfId="1" applyFont="1" applyFill="1" applyBorder="1" applyAlignment="1">
      <alignment horizontal="center" vertical="top"/>
    </xf>
    <xf numFmtId="0" fontId="5" fillId="4" borderId="17" xfId="0" applyFont="1" applyFill="1" applyBorder="1" applyAlignment="1">
      <alignment horizontal="left" vertical="top"/>
    </xf>
    <xf numFmtId="0" fontId="0" fillId="0" borderId="0" xfId="0" pivotButton="1"/>
    <xf numFmtId="0" fontId="0" fillId="0" borderId="0" xfId="0" applyAlignment="1">
      <alignment horizontal="left"/>
    </xf>
    <xf numFmtId="43" fontId="0" fillId="0" borderId="0" xfId="1" applyFont="1"/>
    <xf numFmtId="43" fontId="5" fillId="4" borderId="17" xfId="1" applyFont="1" applyFill="1" applyBorder="1" applyAlignment="1">
      <alignment horizontal="left" vertical="top"/>
    </xf>
    <xf numFmtId="43" fontId="4" fillId="0" borderId="0" xfId="1" applyFont="1" applyAlignment="1"/>
    <xf numFmtId="49" fontId="4" fillId="3" borderId="17" xfId="0" applyNumberFormat="1" applyFont="1" applyFill="1" applyBorder="1" applyAlignment="1">
      <alignment horizontal="left" vertical="top"/>
    </xf>
    <xf numFmtId="49" fontId="4" fillId="0" borderId="17" xfId="0" applyNumberFormat="1" applyFont="1" applyFill="1" applyBorder="1" applyAlignment="1">
      <alignment horizontal="left" vertical="top"/>
    </xf>
    <xf numFmtId="0" fontId="4" fillId="0" borderId="17" xfId="0" applyFont="1" applyBorder="1" applyAlignment="1">
      <alignment wrapText="1"/>
    </xf>
    <xf numFmtId="0" fontId="4" fillId="5" borderId="17" xfId="0" applyFont="1" applyFill="1" applyBorder="1" applyAlignment="1">
      <alignment wrapText="1"/>
    </xf>
    <xf numFmtId="0" fontId="5" fillId="4" borderId="17" xfId="0" applyFont="1" applyFill="1" applyBorder="1" applyAlignment="1">
      <alignment horizontal="center" vertical="top" wrapText="1"/>
    </xf>
    <xf numFmtId="0" fontId="4" fillId="0" borderId="17" xfId="0" applyFont="1" applyBorder="1" applyAlignment="1">
      <alignment horizontal="center" wrapText="1"/>
    </xf>
    <xf numFmtId="0" fontId="4" fillId="0" borderId="0" xfId="0" applyFont="1" applyAlignment="1">
      <alignment horizontal="center" wrapText="1"/>
    </xf>
    <xf numFmtId="43" fontId="4" fillId="0" borderId="0" xfId="0" applyNumberFormat="1" applyFont="1" applyAlignment="1"/>
    <xf numFmtId="43" fontId="4" fillId="0" borderId="18" xfId="0" applyNumberFormat="1" applyFont="1" applyBorder="1" applyAlignment="1"/>
    <xf numFmtId="0" fontId="1" fillId="3" borderId="8" xfId="0" applyFont="1" applyFill="1" applyBorder="1" applyAlignment="1">
      <alignment vertical="top" wrapText="1"/>
    </xf>
    <xf numFmtId="0" fontId="1" fillId="3" borderId="14" xfId="0" applyFont="1" applyFill="1" applyBorder="1" applyAlignment="1">
      <alignment vertical="top" wrapText="1"/>
    </xf>
    <xf numFmtId="0" fontId="1" fillId="3" borderId="15" xfId="0" applyFont="1" applyFill="1" applyBorder="1" applyAlignment="1">
      <alignment vertical="top" wrapText="1"/>
    </xf>
    <xf numFmtId="0" fontId="1" fillId="3" borderId="10" xfId="0" applyFont="1" applyFill="1" applyBorder="1" applyAlignment="1">
      <alignment vertical="top" wrapText="1"/>
    </xf>
    <xf numFmtId="43" fontId="5" fillId="0" borderId="0" xfId="1" applyFont="1" applyAlignment="1"/>
    <xf numFmtId="3" fontId="0" fillId="0" borderId="0" xfId="0" applyNumberFormat="1"/>
    <xf numFmtId="0" fontId="4" fillId="6" borderId="0" xfId="0" applyFont="1" applyFill="1" applyAlignment="1"/>
    <xf numFmtId="0" fontId="4" fillId="7" borderId="0" xfId="0" applyFont="1" applyFill="1" applyAlignment="1"/>
    <xf numFmtId="0" fontId="1" fillId="3" borderId="12" xfId="0" applyFont="1" applyFill="1" applyBorder="1" applyAlignment="1">
      <alignment horizontal="left" vertical="top" wrapText="1"/>
    </xf>
    <xf numFmtId="0" fontId="1" fillId="3" borderId="13" xfId="0" applyFont="1" applyFill="1" applyBorder="1" applyAlignment="1">
      <alignment horizontal="left" vertical="top" wrapText="1"/>
    </xf>
    <xf numFmtId="0" fontId="1" fillId="3" borderId="11" xfId="0" applyFont="1" applyFill="1" applyBorder="1" applyAlignment="1">
      <alignment horizontal="left" vertical="top" wrapText="1"/>
    </xf>
    <xf numFmtId="0" fontId="0" fillId="3" borderId="13" xfId="0" applyFill="1" applyBorder="1" applyAlignment="1">
      <alignment horizontal="left" vertical="top" wrapText="1"/>
    </xf>
    <xf numFmtId="0" fontId="0" fillId="3" borderId="11" xfId="0" applyFill="1" applyBorder="1" applyAlignment="1">
      <alignment horizontal="left" vertical="top" wrapText="1"/>
    </xf>
    <xf numFmtId="0" fontId="1" fillId="3" borderId="16"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3" borderId="8" xfId="0" applyFont="1" applyFill="1" applyBorder="1" applyAlignment="1">
      <alignment horizontal="left" vertical="top" wrapText="1"/>
    </xf>
    <xf numFmtId="0" fontId="1" fillId="3" borderId="14" xfId="0" applyFont="1" applyFill="1" applyBorder="1" applyAlignment="1">
      <alignment horizontal="left" vertical="top" wrapText="1"/>
    </xf>
    <xf numFmtId="0" fontId="1" fillId="3" borderId="9"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0" xfId="0" applyFont="1" applyFill="1" applyBorder="1" applyAlignment="1">
      <alignment horizontal="left" vertical="top" wrapText="1"/>
    </xf>
    <xf numFmtId="0" fontId="0" fillId="3" borderId="8" xfId="0" applyFill="1" applyBorder="1" applyAlignment="1">
      <alignment horizontal="left" vertical="top" wrapText="1"/>
    </xf>
    <xf numFmtId="0" fontId="0" fillId="3" borderId="14" xfId="0" applyFill="1" applyBorder="1" applyAlignment="1">
      <alignment horizontal="left" vertical="top" wrapText="1"/>
    </xf>
    <xf numFmtId="0" fontId="0" fillId="3" borderId="9" xfId="0" applyFill="1" applyBorder="1" applyAlignment="1">
      <alignment horizontal="left" vertical="top" wrapText="1"/>
    </xf>
    <xf numFmtId="0" fontId="0" fillId="3" borderId="15" xfId="0" applyFill="1" applyBorder="1" applyAlignment="1">
      <alignment horizontal="left" vertical="top" wrapText="1"/>
    </xf>
    <xf numFmtId="0" fontId="0" fillId="3" borderId="10" xfId="0" applyFill="1" applyBorder="1" applyAlignment="1">
      <alignment horizontal="left" vertical="top" wrapText="1"/>
    </xf>
    <xf numFmtId="0" fontId="3" fillId="0" borderId="0" xfId="0" applyFont="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586.474057407409" createdVersion="6" refreshedVersion="6" minRefreshableVersion="3" recordCount="446" xr:uid="{00000000-000A-0000-FFFF-FFFF05000000}">
  <cacheSource type="worksheet">
    <worksheetSource ref="A1:K447" sheet="Q4 master report"/>
  </cacheSource>
  <cacheFields count="11">
    <cacheField name="Cost Center Code" numFmtId="0">
      <sharedItems containsSemiMixedTypes="0" containsString="0" containsNumber="1" containsInteger="1" minValue="8470110" maxValue="8471305" count="50">
        <n v="8470110"/>
        <n v="8470120"/>
        <n v="8470130"/>
        <n v="8470140"/>
        <n v="8470150"/>
        <n v="8470220"/>
        <n v="8470230"/>
        <n v="8470305"/>
        <n v="8470310"/>
        <n v="8470315"/>
        <n v="8470320"/>
        <n v="8470325"/>
        <n v="8470330"/>
        <n v="8470335"/>
        <n v="8470340"/>
        <n v="8470345"/>
        <n v="8470350"/>
        <n v="8470405"/>
        <n v="8470410"/>
        <n v="8470415"/>
        <n v="8470425"/>
        <n v="8470430"/>
        <n v="8470435"/>
        <n v="8470440"/>
        <n v="8470445"/>
        <n v="8470450"/>
        <n v="8470520"/>
        <n v="8470530"/>
        <n v="8470540"/>
        <n v="8470620"/>
        <n v="8470720"/>
        <n v="8470730"/>
        <n v="8470810"/>
        <n v="8471010"/>
        <n v="8471110"/>
        <n v="8471121"/>
        <n v="8471130"/>
        <n v="8471140"/>
        <n v="8471150"/>
        <n v="8471160"/>
        <n v="8471170"/>
        <n v="8471210"/>
        <n v="8471220"/>
        <n v="8471230"/>
        <n v="8471240"/>
        <n v="8471250"/>
        <n v="8471260"/>
        <n v="8471270"/>
        <n v="8471280"/>
        <n v="8471305"/>
      </sharedItems>
    </cacheField>
    <cacheField name="Cost Center Description" numFmtId="0">
      <sharedItems/>
    </cacheField>
    <cacheField name="Account Code" numFmtId="0">
      <sharedItems containsSemiMixedTypes="0" containsString="0" containsNumber="1" containsInteger="1" minValue="420120" maxValue="495140"/>
    </cacheField>
    <cacheField name="Account Description" numFmtId="0">
      <sharedItems/>
    </cacheField>
    <cacheField name="GL Account Combination" numFmtId="0">
      <sharedItems/>
    </cacheField>
    <cacheField name="Annual Budget" numFmtId="43">
      <sharedItems containsString="0" containsBlank="1" containsNumber="1" containsInteger="1" minValue="0" maxValue="101999705"/>
    </cacheField>
    <cacheField name="Revised Budget" numFmtId="43">
      <sharedItems containsString="0" containsBlank="1" containsNumber="1" containsInteger="1" minValue="-20000" maxValue="98368033"/>
    </cacheField>
    <cacheField name="Actual Amount" numFmtId="43">
      <sharedItems containsString="0" containsBlank="1" containsNumber="1" minValue="-388859" maxValue="75625719.200000003"/>
    </cacheField>
    <cacheField name="PR" numFmtId="43">
      <sharedItems containsString="0" containsBlank="1" containsNumber="1" minValue="-51977.33" maxValue="6500000"/>
    </cacheField>
    <cacheField name="PO" numFmtId="43">
      <sharedItems containsString="0" containsBlank="1" containsNumber="1" minValue="-35" maxValue="7958646.2699999996"/>
    </cacheField>
    <cacheField name="Fund Available" numFmtId="43">
      <sharedItems containsSemiMixedTypes="0" containsString="0" containsNumber="1" minValue="-61368.98" maxValue="22742313.8000000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46">
  <r>
    <x v="0"/>
    <s v="KUST - Office of the President"/>
    <n v="420550"/>
    <s v="Academic Advisory Service"/>
    <s v="847.8470110.1.420550.000000.847001.200179"/>
    <n v="29119"/>
    <n v="29119"/>
    <m/>
    <m/>
    <m/>
    <n v="29119"/>
  </r>
  <r>
    <x v="0"/>
    <s v="KUST - Office of the President"/>
    <n v="420570"/>
    <s v="Academic Collaborative Partnership Services"/>
    <s v="847.8470110.1.420570.000000.847001.200179"/>
    <n v="1"/>
    <n v="1"/>
    <m/>
    <m/>
    <m/>
    <n v="1"/>
  </r>
  <r>
    <x v="0"/>
    <s v="KUST - Office of the President"/>
    <n v="420900"/>
    <s v="Legal services"/>
    <s v="847.8470110.1.420900.000000.847001.200179"/>
    <n v="1501"/>
    <n v="1501"/>
    <n v="100"/>
    <m/>
    <m/>
    <n v="1401"/>
  </r>
  <r>
    <x v="0"/>
    <s v="KUST - Office of the President"/>
    <n v="421000"/>
    <s v="Management consultancy"/>
    <s v="847.8470110.1.421000.000000.847001.200179"/>
    <n v="1"/>
    <n v="1"/>
    <m/>
    <m/>
    <m/>
    <n v="1"/>
  </r>
  <r>
    <x v="0"/>
    <s v="KUST - Office of the President"/>
    <n v="421700"/>
    <s v="Standards certification (e.g. ISO)"/>
    <s v="847.8470110.1.421700.000000.847001.200179"/>
    <n v="25000"/>
    <n v="25000"/>
    <m/>
    <m/>
    <m/>
    <n v="25000"/>
  </r>
  <r>
    <x v="0"/>
    <s v="KUST - Office of the President"/>
    <n v="425510"/>
    <s v="Conferences, seminars and exhibitions and other events: - Local Events"/>
    <s v="847.8470110.1.425510.000000.847001.200179"/>
    <m/>
    <m/>
    <n v="-190000"/>
    <m/>
    <m/>
    <n v="190000"/>
  </r>
  <r>
    <x v="0"/>
    <s v="KUST - Office of the President"/>
    <n v="425900"/>
    <s v="Entertainment and hospitality"/>
    <s v="847.8470110.1.425900.000000.847001.200179"/>
    <n v="10000"/>
    <n v="10000"/>
    <n v="-90"/>
    <m/>
    <m/>
    <n v="10090"/>
  </r>
  <r>
    <x v="0"/>
    <s v="KUST - Office of the President"/>
    <n v="426610"/>
    <s v="Computer software licenses"/>
    <s v="847.8470110.1.426610.000000.847001.200179"/>
    <n v="80204"/>
    <n v="80204"/>
    <n v="42239.5"/>
    <m/>
    <m/>
    <n v="37964.5"/>
  </r>
  <r>
    <x v="0"/>
    <s v="KUST - Office of the President"/>
    <n v="427710"/>
    <s v="Subscriptions and membership fees: Trade organisations"/>
    <s v="847.8470110.1.427710.000000.847001.200179"/>
    <n v="1880"/>
    <n v="1880"/>
    <m/>
    <m/>
    <m/>
    <n v="1880"/>
  </r>
  <r>
    <x v="0"/>
    <s v="KUST - Office of the President"/>
    <n v="427900"/>
    <s v="Translation and interpretation service"/>
    <s v="847.8470110.1.427900.000000.847001.200179"/>
    <n v="12585"/>
    <n v="12585"/>
    <m/>
    <m/>
    <m/>
    <n v="12585"/>
  </r>
  <r>
    <x v="0"/>
    <s v="KUST - Office of the President"/>
    <n v="428090"/>
    <s v="Business Travel - Combined expenses"/>
    <s v="847.8470110.1.428090.000000.847001.200179"/>
    <n v="64381"/>
    <n v="64381"/>
    <n v="15480.75"/>
    <m/>
    <m/>
    <n v="48900.25"/>
  </r>
  <r>
    <x v="0"/>
    <s v="KUST - Office of the President"/>
    <n v="428640"/>
    <s v="Events - Awards, prizes &amp; gifts"/>
    <s v="847.8470110.1.428640.000000.847001.200179"/>
    <n v="1"/>
    <n v="1"/>
    <m/>
    <m/>
    <m/>
    <n v="1"/>
  </r>
  <r>
    <x v="0"/>
    <s v="KUST - Office of the President"/>
    <n v="435410"/>
    <s v="Catering supplies: Offices"/>
    <s v="847.8470110.1.435410.000000.847001.200179"/>
    <n v="1"/>
    <n v="1"/>
    <m/>
    <m/>
    <m/>
    <n v="1"/>
  </r>
  <r>
    <x v="0"/>
    <s v="KUST - Office of the President"/>
    <n v="435519"/>
    <s v="Photography - Consumable materials /Tools"/>
    <s v="847.8470110.1.435519.000000.847001.200179"/>
    <n v="2000"/>
    <n v="2000"/>
    <m/>
    <m/>
    <m/>
    <n v="2000"/>
  </r>
  <r>
    <x v="0"/>
    <s v="KUST - Office of the President"/>
    <n v="436110"/>
    <s v="Printing supplies"/>
    <s v="847.8470110.1.436110.000000.847001.200179"/>
    <n v="4195"/>
    <n v="4195"/>
    <m/>
    <m/>
    <m/>
    <n v="4195"/>
  </r>
  <r>
    <x v="0"/>
    <s v="KUST - Office of the President"/>
    <n v="492316"/>
    <s v="Laboratory equipment"/>
    <s v="847.8470110.1.492316.000000.847001.300180"/>
    <m/>
    <m/>
    <n v="-79.37"/>
    <m/>
    <m/>
    <n v="79.37"/>
  </r>
  <r>
    <x v="1"/>
    <s v="KUST - Audit &amp; Compliance"/>
    <n v="420120"/>
    <s v="Internal Audit service"/>
    <s v="847.8470120.1.420120.000000.847001.200179"/>
    <n v="400000"/>
    <n v="400000"/>
    <n v="160833"/>
    <n v="1"/>
    <n v="238829.9"/>
    <n v="336.10000000000599"/>
  </r>
  <r>
    <x v="2"/>
    <s v="KUST - Institutional Research &amp; Planning"/>
    <n v="421000"/>
    <s v="Management consultancy"/>
    <s v="847.8470130.1.421000.000000.847001.200179"/>
    <n v="276300"/>
    <n v="134500"/>
    <n v="134500"/>
    <m/>
    <n v="0"/>
    <n v="0"/>
  </r>
  <r>
    <x v="2"/>
    <s v="KUST - Institutional Research &amp; Planning"/>
    <n v="425510"/>
    <s v="Conferences, seminars and exhibitions and other events: - Local Events"/>
    <s v="847.8470130.1.425510.000000.847001.200179"/>
    <n v="2200"/>
    <n v="2200"/>
    <m/>
    <m/>
    <m/>
    <n v="2200"/>
  </r>
  <r>
    <x v="2"/>
    <s v="KUST - Institutional Research &amp; Planning"/>
    <n v="427710"/>
    <s v="Subscriptions and membership fees: Trade organisations"/>
    <s v="847.8470130.1.427710.000000.847001.200179"/>
    <n v="125000"/>
    <n v="129650"/>
    <n v="129634.5"/>
    <m/>
    <m/>
    <n v="15.5"/>
  </r>
  <r>
    <x v="2"/>
    <s v="KUST - Institutional Research &amp; Planning"/>
    <n v="428090"/>
    <s v="Business Travel - Combined expenses"/>
    <s v="847.8470130.1.428090.000000.847001.200179"/>
    <n v="0"/>
    <n v="4400"/>
    <m/>
    <m/>
    <m/>
    <n v="4400"/>
  </r>
  <r>
    <x v="3"/>
    <s v="KUST - Communication"/>
    <n v="425100"/>
    <s v="Advertising"/>
    <s v="847.8470140.1.425100.000000.847001.200179"/>
    <n v="2320934"/>
    <n v="3154934"/>
    <n v="1465042.71"/>
    <n v="1547573.75"/>
    <n v="102746.75"/>
    <n v="37857.230000000003"/>
  </r>
  <r>
    <x v="3"/>
    <s v="KUST - Communication"/>
    <n v="425510"/>
    <s v="Conferences, seminars and exhibitions and other events: - Local Events"/>
    <s v="847.8470140.1.425510.000000.847001.000000"/>
    <m/>
    <m/>
    <n v="-22800"/>
    <m/>
    <n v="0"/>
    <n v="22800"/>
  </r>
  <r>
    <x v="3"/>
    <s v="KUST - Communication"/>
    <n v="425510"/>
    <s v="Conferences, seminars and exhibitions and other events: - Local Events"/>
    <s v="847.8470140.1.425510.000000.847001.200179"/>
    <n v="3500000"/>
    <n v="3851832"/>
    <n v="2665093.6"/>
    <n v="260187"/>
    <n v="925248"/>
    <n v="1303.40000000037"/>
  </r>
  <r>
    <x v="3"/>
    <s v="KUST - Communication"/>
    <n v="425550"/>
    <s v="Conferences, seminars and exhibitions and other events: - Overseas event"/>
    <s v="847.8470140.1.425550.000000.847001.200179"/>
    <n v="1"/>
    <n v="1"/>
    <m/>
    <m/>
    <m/>
    <n v="1"/>
  </r>
  <r>
    <x v="3"/>
    <s v="KUST - Communication"/>
    <n v="427100"/>
    <s v="Public relations"/>
    <s v="847.8470140.1.427100.000000.847001.200179"/>
    <n v="137341"/>
    <n v="67341"/>
    <n v="-820"/>
    <m/>
    <m/>
    <n v="68161"/>
  </r>
  <r>
    <x v="3"/>
    <s v="KUST - Communication"/>
    <n v="427200"/>
    <s v="Printing and publishing"/>
    <s v="847.8470140.1.427200.000000.847001.200179"/>
    <n v="1962"/>
    <n v="1962"/>
    <n v="-7379"/>
    <m/>
    <n v="0"/>
    <n v="9341"/>
  </r>
  <r>
    <x v="3"/>
    <s v="KUST - Communication"/>
    <n v="428640"/>
    <s v="Events - Awards, prizes &amp; gifts"/>
    <s v="847.8470140.1.428640.000000.847001.000000"/>
    <m/>
    <m/>
    <n v="-3850"/>
    <m/>
    <n v="0"/>
    <n v="3850"/>
  </r>
  <r>
    <x v="3"/>
    <s v="KUST - Communication"/>
    <n v="435310"/>
    <s v="Newspapers, magazines, journals, etc"/>
    <s v="847.8470140.1.435310.000000.847001.200179"/>
    <n v="10000"/>
    <n v="10000"/>
    <m/>
    <m/>
    <m/>
    <n v="10000"/>
  </r>
  <r>
    <x v="3"/>
    <s v="KUST - Communication"/>
    <n v="435519"/>
    <s v="Photography - Consumable materials /Tools"/>
    <s v="847.8470140.1.435519.000000.847001.200179"/>
    <n v="193297"/>
    <n v="9297"/>
    <m/>
    <n v="0"/>
    <m/>
    <n v="9297"/>
  </r>
  <r>
    <x v="3"/>
    <s v="KUST - Communication"/>
    <n v="492310"/>
    <s v="Hardware &amp; peripherals"/>
    <s v="847.8470140.1.492310.000000.847001.300180"/>
    <n v="200000"/>
    <n v="255000"/>
    <n v="248690"/>
    <n v="0"/>
    <n v="0"/>
    <n v="6310"/>
  </r>
  <r>
    <x v="4"/>
    <s v="KUST - General Counsel"/>
    <n v="420900"/>
    <s v="Legal services"/>
    <s v="847.8470150.1.420900.000000.847001.200179"/>
    <n v="18595"/>
    <n v="2595"/>
    <m/>
    <m/>
    <m/>
    <n v="2595"/>
  </r>
  <r>
    <x v="4"/>
    <s v="KUST - General Counsel"/>
    <n v="425900"/>
    <s v="Entertainment and hospitality"/>
    <s v="847.8470150.1.425900.000000.847001.200179"/>
    <n v="1"/>
    <n v="1"/>
    <m/>
    <m/>
    <m/>
    <n v="1"/>
  </r>
  <r>
    <x v="4"/>
    <s v="KUST - General Counsel"/>
    <n v="426610"/>
    <s v="Computer software licenses"/>
    <s v="847.8470150.1.426610.000000.847001.200179"/>
    <n v="0"/>
    <n v="16000"/>
    <m/>
    <m/>
    <m/>
    <n v="16000"/>
  </r>
  <r>
    <x v="5"/>
    <s v="KUST - Office of the Provost"/>
    <n v="492316"/>
    <s v="Laboratory equipment"/>
    <s v="847.8470220.1.492316.000000.847001.300180"/>
    <n v="160720"/>
    <n v="160720"/>
    <n v="160720"/>
    <m/>
    <n v="0"/>
    <n v="0"/>
  </r>
  <r>
    <x v="6"/>
    <s v="KUST - Graduate Studies"/>
    <n v="420550"/>
    <s v="Academic Advisory Service"/>
    <s v="847.8470230.1.420550.000000.847001.000000"/>
    <m/>
    <m/>
    <m/>
    <m/>
    <n v="0"/>
    <n v="0"/>
  </r>
  <r>
    <x v="6"/>
    <s v="KUST - Graduate Studies"/>
    <n v="420550"/>
    <s v="Academic Advisory Service"/>
    <s v="847.8470230.1.420550.000000.847001.200179"/>
    <n v="80740"/>
    <n v="80740"/>
    <n v="34911.07"/>
    <m/>
    <m/>
    <n v="45828.93"/>
  </r>
  <r>
    <x v="6"/>
    <s v="KUST - Graduate Studies"/>
    <n v="425100"/>
    <s v="Advertising"/>
    <s v="847.8470230.1.425100.000000.847001.200179"/>
    <n v="240000"/>
    <n v="240000"/>
    <m/>
    <m/>
    <m/>
    <n v="240000"/>
  </r>
  <r>
    <x v="6"/>
    <s v="KUST - Graduate Studies"/>
    <n v="425510"/>
    <s v="Conferences, seminars and exhibitions and other events: - Local Events"/>
    <s v="847.8470230.1.425510.000000.847001.200179"/>
    <n v="10000"/>
    <n v="10000"/>
    <n v="-2890.34"/>
    <m/>
    <n v="0"/>
    <n v="12890.34"/>
  </r>
  <r>
    <x v="6"/>
    <s v="KUST - Graduate Studies"/>
    <n v="425550"/>
    <s v="Conferences, seminars and exhibitions and other events: - Overseas event"/>
    <s v="847.8470230.1.425550.000000.847001.200179"/>
    <n v="16500"/>
    <n v="16500"/>
    <n v="3326.03"/>
    <m/>
    <m/>
    <n v="13173.97"/>
  </r>
  <r>
    <x v="6"/>
    <s v="KUST - Graduate Studies"/>
    <n v="425743"/>
    <s v="Graduation rewards"/>
    <s v="847.8470230.1.425743.000000.847001.200179"/>
    <n v="720000"/>
    <n v="962000"/>
    <n v="960000"/>
    <m/>
    <m/>
    <n v="2000"/>
  </r>
  <r>
    <x v="6"/>
    <s v="KUST - Graduate Studies"/>
    <n v="425744"/>
    <s v="Student medical insurance"/>
    <s v="847.8470230.1.425744.000000.847001.200179"/>
    <n v="1"/>
    <n v="1"/>
    <m/>
    <m/>
    <m/>
    <n v="1"/>
  </r>
  <r>
    <x v="6"/>
    <s v="KUST - Graduate Studies"/>
    <n v="425745"/>
    <s v="Student relocation &amp; travel exps"/>
    <s v="847.8470230.1.425745.000000.847001.200179"/>
    <n v="1403064"/>
    <n v="1403064"/>
    <n v="1235355"/>
    <m/>
    <m/>
    <n v="167709"/>
  </r>
  <r>
    <x v="6"/>
    <s v="KUST - Graduate Studies"/>
    <n v="425749"/>
    <s v="Postgraduate Student Salaries"/>
    <s v="847.8470230.1.425749.000000.847001.200179"/>
    <n v="101999705"/>
    <n v="98368033"/>
    <n v="75625719.200000003"/>
    <m/>
    <m/>
    <n v="22742313.800000001"/>
  </r>
  <r>
    <x v="6"/>
    <s v="KUST - Graduate Studies"/>
    <n v="425900"/>
    <s v="Entertainment and hospitality"/>
    <s v="847.8470230.1.425900.000000.847001.000000"/>
    <m/>
    <m/>
    <n v="-1617.5"/>
    <m/>
    <n v="0"/>
    <n v="1617.5"/>
  </r>
  <r>
    <x v="6"/>
    <s v="KUST - Graduate Studies"/>
    <n v="426610"/>
    <s v="Computer software licenses"/>
    <s v="847.8470230.1.426610.000000.847001.200179"/>
    <n v="8959"/>
    <n v="8959"/>
    <m/>
    <m/>
    <m/>
    <n v="8959"/>
  </r>
  <r>
    <x v="6"/>
    <s v="KUST - Graduate Studies"/>
    <n v="436110"/>
    <s v="Printing supplies"/>
    <s v="847.8470230.1.436110.000000.847001.000000"/>
    <m/>
    <m/>
    <n v="-600"/>
    <m/>
    <n v="0"/>
    <n v="600"/>
  </r>
  <r>
    <x v="6"/>
    <s v="KUST - Graduate Studies"/>
    <n v="436110"/>
    <s v="Printing supplies"/>
    <s v="847.8470230.1.436110.000000.847001.200179"/>
    <n v="5000"/>
    <n v="5000"/>
    <m/>
    <m/>
    <m/>
    <n v="5000"/>
  </r>
  <r>
    <x v="7"/>
    <s v="KUST - Dean Of Engineering"/>
    <n v="420550"/>
    <s v="Academic Advisory Service"/>
    <s v="847.8470305.1.420550.000000.847001.200179"/>
    <n v="1"/>
    <n v="1"/>
    <m/>
    <m/>
    <m/>
    <n v="1"/>
  </r>
  <r>
    <x v="7"/>
    <s v="KUST - Dean Of Engineering"/>
    <n v="420570"/>
    <s v="Academic Collaborative Partnership Services"/>
    <s v="847.8470305.1.420570.000000.847001.200179"/>
    <n v="0"/>
    <n v="9200"/>
    <n v="4591.25"/>
    <m/>
    <m/>
    <n v="4608.75"/>
  </r>
  <r>
    <x v="7"/>
    <s v="KUST - Dean Of Engineering"/>
    <n v="421700"/>
    <s v="Standards certification (e.g. ISO)"/>
    <s v="847.8470305.1.421700.000000.847001.200179"/>
    <n v="400000"/>
    <n v="130500"/>
    <n v="70500"/>
    <m/>
    <m/>
    <n v="60000"/>
  </r>
  <r>
    <x v="7"/>
    <s v="KUST - Dean Of Engineering"/>
    <n v="425510"/>
    <s v="Conferences, seminars and exhibitions and other events: - Local Events"/>
    <s v="847.8470305.1.425510.000000.847001.200179"/>
    <n v="10000"/>
    <n v="10000"/>
    <n v="-252"/>
    <m/>
    <m/>
    <n v="10252"/>
  </r>
  <r>
    <x v="7"/>
    <s v="KUST - Dean Of Engineering"/>
    <n v="425720"/>
    <s v="Education-Outsourced training service"/>
    <s v="847.8470305.1.425720.000000.847001.200179"/>
    <m/>
    <m/>
    <n v="-3415.89"/>
    <m/>
    <m/>
    <n v="3415.89"/>
  </r>
  <r>
    <x v="7"/>
    <s v="KUST - Dean Of Engineering"/>
    <n v="425763"/>
    <s v="Student Project Expenses"/>
    <s v="847.8470305.1.425763.000000.847001.200179"/>
    <n v="30000"/>
    <n v="300000"/>
    <n v="50000"/>
    <n v="239004.22"/>
    <m/>
    <n v="10995.78"/>
  </r>
  <r>
    <x v="7"/>
    <s v="KUST - Dean Of Engineering"/>
    <n v="425770"/>
    <s v="Academic Missions - Combined expenses"/>
    <s v="847.8470305.1.425770.000000.847001.200179"/>
    <n v="30000"/>
    <n v="25000"/>
    <n v="22014.5"/>
    <m/>
    <m/>
    <n v="2985.5"/>
  </r>
  <r>
    <x v="7"/>
    <s v="KUST - Dean Of Engineering"/>
    <n v="425900"/>
    <s v="Entertainment and hospitality"/>
    <s v="847.8470305.1.425900.000000.847001.200179"/>
    <m/>
    <m/>
    <n v="-131"/>
    <m/>
    <m/>
    <n v="131"/>
  </r>
  <r>
    <x v="7"/>
    <s v="KUST - Dean Of Engineering"/>
    <n v="426610"/>
    <s v="Computer software licenses"/>
    <s v="847.8470305.1.426610.000000.847001.200179"/>
    <n v="224793"/>
    <n v="71793"/>
    <n v="71380.78"/>
    <n v="0"/>
    <n v="-35"/>
    <n v="447.21999999998701"/>
  </r>
  <r>
    <x v="7"/>
    <s v="KUST - Dean Of Engineering"/>
    <n v="428640"/>
    <s v="Events - Awards, prizes &amp; gifts"/>
    <s v="847.8470305.1.428640.000000.847001.200179"/>
    <n v="1"/>
    <n v="1"/>
    <m/>
    <m/>
    <m/>
    <n v="1"/>
  </r>
  <r>
    <x v="7"/>
    <s v="KUST - Dean Of Engineering"/>
    <n v="432209"/>
    <s v="Laboratory equipment"/>
    <s v="847.8470305.1.432209.000000.847001.200179"/>
    <n v="250000"/>
    <n v="250000"/>
    <n v="131400.01"/>
    <n v="-1.14999999999964"/>
    <n v="115041.84"/>
    <n v="3559.2999999999902"/>
  </r>
  <r>
    <x v="7"/>
    <s v="KUST - Dean Of Engineering"/>
    <n v="432690"/>
    <s v="Plant, machinery and heavy equipment, not mentioned elsewhere"/>
    <s v="847.8470305.1.432690.000000.847001.200179"/>
    <n v="0"/>
    <n v="5000"/>
    <n v="5000"/>
    <m/>
    <n v="0"/>
    <n v="0"/>
  </r>
  <r>
    <x v="7"/>
    <s v="KUST - Dean Of Engineering"/>
    <n v="435350"/>
    <s v="Academic Publications"/>
    <s v="847.8470305.1.435350.000000.847001.200179"/>
    <n v="22529"/>
    <n v="12529"/>
    <m/>
    <m/>
    <m/>
    <n v="12529"/>
  </r>
  <r>
    <x v="7"/>
    <s v="KUST - Dean Of Engineering"/>
    <n v="435508"/>
    <s v="Laboratory - Scientific"/>
    <s v="847.8470305.1.435508.000000.847001.200179"/>
    <n v="51790"/>
    <n v="51790"/>
    <n v="51790"/>
    <m/>
    <n v="0"/>
    <n v="0"/>
  </r>
  <r>
    <x v="7"/>
    <s v="KUST - Dean Of Engineering"/>
    <n v="435530"/>
    <s v="School consumables, not specifically mentioned elsewhere"/>
    <s v="847.8470305.1.435530.000000.847001.200179"/>
    <n v="0"/>
    <n v="0"/>
    <m/>
    <m/>
    <m/>
    <n v="0"/>
  </r>
  <r>
    <x v="7"/>
    <s v="KUST - Dean Of Engineering"/>
    <n v="436110"/>
    <s v="Printing supplies"/>
    <s v="847.8470305.1.436110.000000.847001.200179"/>
    <n v="0"/>
    <n v="0"/>
    <m/>
    <m/>
    <m/>
    <n v="0"/>
  </r>
  <r>
    <x v="7"/>
    <s v="KUST - Dean Of Engineering"/>
    <n v="492316"/>
    <s v="Laboratory equipment"/>
    <s v="847.8470305.1.492316.000000.847001.000000"/>
    <m/>
    <m/>
    <m/>
    <m/>
    <n v="0"/>
    <n v="0"/>
  </r>
  <r>
    <x v="8"/>
    <s v="KUST - Aerospace Engineering"/>
    <n v="425763"/>
    <s v="Student Project Expenses"/>
    <s v="847.8470310.1.425763.000000.847001.200179"/>
    <n v="85000"/>
    <n v="339000"/>
    <n v="118694.51"/>
    <m/>
    <m/>
    <n v="220305.49"/>
  </r>
  <r>
    <x v="8"/>
    <s v="KUST - Aerospace Engineering"/>
    <n v="425770"/>
    <s v="Academic Missions - Combined expenses"/>
    <s v="847.8470310.1.425770.000000.847001.200179"/>
    <n v="65000"/>
    <n v="490"/>
    <m/>
    <m/>
    <m/>
    <n v="490"/>
  </r>
  <r>
    <x v="8"/>
    <s v="KUST - Aerospace Engineering"/>
    <n v="430120"/>
    <s v="Rental - Buildings, other than staff residences"/>
    <s v="847.8470310.1.430120.000000.847001.200179"/>
    <n v="180000"/>
    <n v="0"/>
    <m/>
    <m/>
    <m/>
    <n v="0"/>
  </r>
  <r>
    <x v="8"/>
    <s v="KUST - Aerospace Engineering"/>
    <n v="435350"/>
    <s v="Academic Publications"/>
    <s v="847.8470310.1.435350.000000.847001.200179"/>
    <n v="2000"/>
    <n v="52000"/>
    <n v="34235.050000000003"/>
    <m/>
    <m/>
    <n v="17764.95"/>
  </r>
  <r>
    <x v="8"/>
    <s v="KUST - Aerospace Engineering"/>
    <n v="435508"/>
    <s v="Laboratory - Scientific"/>
    <s v="847.8470310.1.435508.000000.847001.200179"/>
    <n v="50000"/>
    <n v="69000"/>
    <n v="52948.07"/>
    <n v="0"/>
    <n v="9.0949470177292808E-12"/>
    <n v="16051.93"/>
  </r>
  <r>
    <x v="8"/>
    <s v="KUST - Aerospace Engineering"/>
    <n v="436600"/>
    <s v="Training/Teaching equipment and other educational aid"/>
    <s v="847.8470310.1.436600.000000.847001.200179"/>
    <n v="0"/>
    <n v="510"/>
    <n v="505.12"/>
    <m/>
    <m/>
    <n v="4.8800000000000496"/>
  </r>
  <r>
    <x v="8"/>
    <s v="KUST - Aerospace Engineering"/>
    <n v="492316"/>
    <s v="Laboratory equipment"/>
    <s v="847.8470310.1.492316.000000.847001.300180"/>
    <n v="759151"/>
    <n v="759151"/>
    <n v="434462"/>
    <n v="-51977.33"/>
    <n v="375630"/>
    <n v="1036.3299999999599"/>
  </r>
  <r>
    <x v="9"/>
    <s v="KUST - Biomedical Engineering"/>
    <n v="425510"/>
    <s v="Conferences, seminars and exhibitions and other events: - Local Events"/>
    <s v="847.8470315.1.425510.000000.847001.200179"/>
    <n v="1502"/>
    <n v="802"/>
    <n v="100"/>
    <m/>
    <m/>
    <n v="702"/>
  </r>
  <r>
    <x v="9"/>
    <s v="KUST - Biomedical Engineering"/>
    <n v="425760"/>
    <s v="Student activities &amp; field trip expenses"/>
    <s v="847.8470315.1.425760.000000.847001.200179"/>
    <n v="875"/>
    <n v="875"/>
    <m/>
    <m/>
    <m/>
    <n v="875"/>
  </r>
  <r>
    <x v="9"/>
    <s v="KUST - Biomedical Engineering"/>
    <n v="425763"/>
    <s v="Student Project Expenses"/>
    <s v="847.8470315.1.425763.000000.847001.200179"/>
    <n v="59000"/>
    <n v="59000"/>
    <n v="58746.400000000001"/>
    <m/>
    <m/>
    <n v="253.600000000009"/>
  </r>
  <r>
    <x v="9"/>
    <s v="KUST - Biomedical Engineering"/>
    <n v="425770"/>
    <s v="Academic Missions - Combined expenses"/>
    <s v="847.8470315.1.425770.000000.847001.200179"/>
    <n v="47557"/>
    <n v="3835"/>
    <n v="1101.9000000000001"/>
    <m/>
    <m/>
    <n v="2733.1"/>
  </r>
  <r>
    <x v="9"/>
    <s v="KUST - Biomedical Engineering"/>
    <n v="425900"/>
    <s v="Entertainment and hospitality"/>
    <s v="847.8470315.1.425900.000000.847001.200179"/>
    <n v="1024"/>
    <n v="1024"/>
    <m/>
    <m/>
    <m/>
    <n v="1024"/>
  </r>
  <r>
    <x v="9"/>
    <s v="KUST - Biomedical Engineering"/>
    <n v="426610"/>
    <s v="Computer software licenses"/>
    <s v="847.8470315.1.426610.000000.847001.200179"/>
    <n v="9738"/>
    <n v="4738"/>
    <n v="3816.25"/>
    <m/>
    <m/>
    <n v="921.75"/>
  </r>
  <r>
    <x v="9"/>
    <s v="KUST - Biomedical Engineering"/>
    <n v="432209"/>
    <s v="Laboratory equipment"/>
    <s v="847.8470315.1.432209.000000.847001.200179"/>
    <n v="6195"/>
    <n v="6195"/>
    <n v="5900"/>
    <m/>
    <m/>
    <n v="295"/>
  </r>
  <r>
    <x v="9"/>
    <s v="KUST - Biomedical Engineering"/>
    <n v="435350"/>
    <s v="Academic Publications"/>
    <s v="847.8470315.1.435350.000000.847001.200179"/>
    <n v="16000"/>
    <n v="9805"/>
    <n v="7967.56"/>
    <m/>
    <m/>
    <n v="1837.44"/>
  </r>
  <r>
    <x v="9"/>
    <s v="KUST - Biomedical Engineering"/>
    <n v="435508"/>
    <s v="Laboratory - Scientific"/>
    <s v="847.8470315.1.435508.000000.847001.200179"/>
    <n v="80000"/>
    <n v="132444"/>
    <n v="121801.51"/>
    <n v="0"/>
    <n v="10405"/>
    <n v="237.490000000007"/>
  </r>
  <r>
    <x v="9"/>
    <s v="KUST - Biomedical Engineering"/>
    <n v="435508"/>
    <s v="Laboratory - Scientific"/>
    <s v="847.8470315.1.435508.000000.847951.200179"/>
    <n v="17444"/>
    <n v="17444"/>
    <m/>
    <m/>
    <m/>
    <n v="17444"/>
  </r>
  <r>
    <x v="9"/>
    <s v="KUST - Biomedical Engineering"/>
    <n v="436110"/>
    <s v="Printing supplies"/>
    <s v="847.8470315.1.436110.000000.847001.200179"/>
    <n v="500"/>
    <n v="500"/>
    <m/>
    <m/>
    <m/>
    <n v="500"/>
  </r>
  <r>
    <x v="9"/>
    <s v="KUST - Biomedical Engineering"/>
    <n v="492316"/>
    <s v="Laboratory equipment"/>
    <s v="847.8470315.1.492316.000000.847001.300180"/>
    <n v="109201"/>
    <n v="109201"/>
    <n v="106915.12"/>
    <n v="0"/>
    <n v="0"/>
    <n v="2285.8799999999901"/>
  </r>
  <r>
    <x v="10"/>
    <s v="KUST - Chemical Engineering"/>
    <n v="425763"/>
    <s v="Student Project Expenses"/>
    <s v="847.8470320.1.425763.000000.847001.200179"/>
    <n v="20000"/>
    <n v="20000"/>
    <n v="20000"/>
    <m/>
    <m/>
    <n v="0"/>
  </r>
  <r>
    <x v="10"/>
    <s v="KUST - Chemical Engineering"/>
    <n v="425770"/>
    <s v="Academic Missions - Combined expenses"/>
    <s v="847.8470320.1.425770.000000.847001.000000"/>
    <m/>
    <m/>
    <m/>
    <m/>
    <n v="0"/>
    <n v="0"/>
  </r>
  <r>
    <x v="10"/>
    <s v="KUST - Chemical Engineering"/>
    <n v="425770"/>
    <s v="Academic Missions - Combined expenses"/>
    <s v="847.8470320.1.425770.000000.847001.200179"/>
    <n v="50000"/>
    <n v="0"/>
    <m/>
    <m/>
    <m/>
    <n v="0"/>
  </r>
  <r>
    <x v="10"/>
    <s v="KUST - Chemical Engineering"/>
    <n v="426610"/>
    <s v="Computer software licenses"/>
    <s v="847.8470320.1.426610.000000.847001.200179"/>
    <n v="18985"/>
    <n v="32333"/>
    <n v="32332.21"/>
    <n v="0"/>
    <n v="0"/>
    <n v="0.790000000000873"/>
  </r>
  <r>
    <x v="10"/>
    <s v="KUST - Chemical Engineering"/>
    <n v="435350"/>
    <s v="Academic Publications"/>
    <s v="847.8470320.1.435350.000000.847001.200179"/>
    <n v="25000"/>
    <n v="0"/>
    <m/>
    <m/>
    <m/>
    <n v="0"/>
  </r>
  <r>
    <x v="10"/>
    <s v="KUST - Chemical Engineering"/>
    <n v="435508"/>
    <s v="Laboratory - Scientific"/>
    <s v="847.8470320.1.435508.000000.847001.200179"/>
    <n v="100000"/>
    <n v="112750"/>
    <n v="91628"/>
    <n v="7104"/>
    <n v="13898"/>
    <n v="120"/>
  </r>
  <r>
    <x v="10"/>
    <s v="KUST - Chemical Engineering"/>
    <n v="436600"/>
    <s v="Training/Teaching equipment and other educational aid"/>
    <s v="847.8470320.1.436600.000000.847001.200179"/>
    <n v="0"/>
    <n v="44252"/>
    <m/>
    <m/>
    <m/>
    <n v="44252"/>
  </r>
  <r>
    <x v="11"/>
    <s v="KUST - Civil Engineering"/>
    <n v="425763"/>
    <s v="Student Project Expenses"/>
    <s v="847.8470325.1.425763.000000.847001.200179"/>
    <n v="0"/>
    <n v="3519000"/>
    <n v="2875399.82"/>
    <m/>
    <m/>
    <n v="643600.18000000005"/>
  </r>
  <r>
    <x v="11"/>
    <s v="KUST - Civil Engineering"/>
    <n v="425770"/>
    <s v="Academic Missions - Combined expenses"/>
    <s v="847.8470325.1.425770.000000.847001.200179"/>
    <n v="0"/>
    <n v="40000"/>
    <m/>
    <m/>
    <m/>
    <n v="40000"/>
  </r>
  <r>
    <x v="11"/>
    <s v="KUST - Civil Engineering"/>
    <n v="426610"/>
    <s v="Computer software licenses"/>
    <s v="847.8470325.1.426610.000000.847001.200179"/>
    <n v="23000"/>
    <n v="0"/>
    <m/>
    <m/>
    <m/>
    <n v="0"/>
  </r>
  <r>
    <x v="11"/>
    <s v="KUST - Civil Engineering"/>
    <n v="435508"/>
    <s v="Laboratory - Scientific"/>
    <s v="847.8470325.1.435508.000000.847001.200179"/>
    <n v="11350"/>
    <n v="39350"/>
    <n v="35028.57"/>
    <n v="0"/>
    <n v="0"/>
    <n v="4321.4299999999903"/>
  </r>
  <r>
    <x v="11"/>
    <s v="KUST - Civil Engineering"/>
    <n v="435509"/>
    <e v="#N/A"/>
    <s v="847.8470325.1.435509.000000.847001.200179"/>
    <n v="0"/>
    <n v="0"/>
    <m/>
    <m/>
    <m/>
    <n v="0"/>
  </r>
  <r>
    <x v="11"/>
    <s v="KUST - Civil Engineering"/>
    <n v="436110"/>
    <s v="Printing supplies"/>
    <s v="847.8470325.1.436110.000000.847001.200179"/>
    <n v="0"/>
    <n v="0"/>
    <m/>
    <m/>
    <m/>
    <n v="0"/>
  </r>
  <r>
    <x v="11"/>
    <s v="KUST - Civil Engineering"/>
    <n v="492316"/>
    <s v="Laboratory equipment"/>
    <s v="847.8470325.1.492316.000000.847001.300180"/>
    <n v="224144"/>
    <n v="224144"/>
    <n v="190263"/>
    <n v="0"/>
    <n v="0"/>
    <n v="33881"/>
  </r>
  <r>
    <x v="12"/>
    <s v="KUST - Electrical &amp; Computer Engineering"/>
    <n v="425720"/>
    <s v="Education-Outsourced training service"/>
    <s v="847.8470330.1.425720.000000.847001.200179"/>
    <n v="0"/>
    <n v="3625"/>
    <m/>
    <m/>
    <m/>
    <n v="3625"/>
  </r>
  <r>
    <x v="12"/>
    <s v="KUST - Electrical &amp; Computer Engineering"/>
    <n v="425761"/>
    <s v="Student Field trips"/>
    <s v="847.8470330.1.425761.000000.847001.000000"/>
    <m/>
    <m/>
    <m/>
    <m/>
    <n v="0"/>
    <n v="0"/>
  </r>
  <r>
    <x v="12"/>
    <s v="KUST - Electrical &amp; Computer Engineering"/>
    <n v="425763"/>
    <s v="Student Project Expenses"/>
    <s v="847.8470330.1.425763.000000.847001.200179"/>
    <n v="180000"/>
    <n v="231000"/>
    <n v="189703.92"/>
    <m/>
    <m/>
    <n v="41296.080000000002"/>
  </r>
  <r>
    <x v="12"/>
    <s v="KUST - Electrical &amp; Computer Engineering"/>
    <n v="425770"/>
    <s v="Academic Missions - Combined expenses"/>
    <s v="847.8470330.1.425770.000000.847001.200179"/>
    <n v="105000"/>
    <n v="30556"/>
    <n v="9985.2000000000007"/>
    <m/>
    <m/>
    <n v="20570.8"/>
  </r>
  <r>
    <x v="12"/>
    <s v="KUST - Electrical &amp; Computer Engineering"/>
    <n v="426610"/>
    <s v="Computer software licenses"/>
    <s v="847.8470330.1.426610.000000.847001.200179"/>
    <n v="312530"/>
    <n v="196822"/>
    <n v="122131.96"/>
    <n v="2556.4"/>
    <n v="13887.72"/>
    <n v="58245.919999999998"/>
  </r>
  <r>
    <x v="12"/>
    <s v="KUST - Electrical &amp; Computer Engineering"/>
    <n v="428640"/>
    <s v="Events - Awards, prizes &amp; gifts"/>
    <s v="847.8470330.1.428640.000000.847001.200179"/>
    <n v="0"/>
    <n v="5000"/>
    <n v="4487.99"/>
    <m/>
    <m/>
    <n v="512.00999999999897"/>
  </r>
  <r>
    <x v="12"/>
    <s v="KUST - Electrical &amp; Computer Engineering"/>
    <n v="435350"/>
    <s v="Academic Publications"/>
    <s v="847.8470330.1.435350.000000.847001.200179"/>
    <n v="5615"/>
    <n v="55615"/>
    <n v="40210.25"/>
    <m/>
    <m/>
    <n v="12002.57"/>
  </r>
  <r>
    <x v="12"/>
    <s v="KUST - Electrical &amp; Computer Engineering"/>
    <n v="435508"/>
    <s v="Laboratory - Scientific"/>
    <s v="847.8470330.1.435508.000000.847001.200179"/>
    <n v="32000"/>
    <n v="83000"/>
    <n v="53810.68"/>
    <m/>
    <n v="0"/>
    <n v="29189.32"/>
  </r>
  <r>
    <x v="12"/>
    <s v="KUST - Electrical &amp; Computer Engineering"/>
    <n v="436600"/>
    <s v="Training/Teaching equipment and other educational aid"/>
    <s v="847.8470330.1.436600.000000.847001.200179"/>
    <n v="0"/>
    <n v="16527"/>
    <m/>
    <n v="0"/>
    <n v="15740"/>
    <n v="787"/>
  </r>
  <r>
    <x v="12"/>
    <s v="KUST - Electrical &amp; Computer Engineering"/>
    <n v="492316"/>
    <s v="Laboratory equipment"/>
    <s v="847.8470330.1.492316.000000.847001.300180"/>
    <n v="233948"/>
    <n v="233948"/>
    <m/>
    <n v="3.6699999999837001"/>
    <n v="228093.3"/>
    <n v="5851.0300000000298"/>
  </r>
  <r>
    <x v="13"/>
    <s v="KUST - Industrial &amp; Systems Engineering"/>
    <n v="425763"/>
    <s v="Student Project Expenses"/>
    <s v="847.8470335.1.425763.000000.847001.200179"/>
    <n v="25000"/>
    <n v="25000"/>
    <n v="25000"/>
    <m/>
    <m/>
    <n v="0"/>
  </r>
  <r>
    <x v="13"/>
    <s v="KUST - Industrial &amp; Systems Engineering"/>
    <n v="425770"/>
    <s v="Academic Missions - Combined expenses"/>
    <s v="847.8470335.1.425770.000000.847001.200179"/>
    <n v="75000"/>
    <n v="-3762"/>
    <n v="-3762.15"/>
    <m/>
    <m/>
    <n v="0.150000000000091"/>
  </r>
  <r>
    <x v="13"/>
    <s v="KUST - Industrial &amp; Systems Engineering"/>
    <n v="426610"/>
    <s v="Computer software licenses"/>
    <s v="847.8470335.1.426610.000000.847001.200179"/>
    <n v="149370"/>
    <n v="134370"/>
    <n v="134361.95000000001"/>
    <n v="0"/>
    <n v="0"/>
    <n v="8.0500000000174605"/>
  </r>
  <r>
    <x v="13"/>
    <s v="KUST - Industrial &amp; Systems Engineering"/>
    <n v="435350"/>
    <s v="Academic Publications"/>
    <s v="847.8470335.1.435350.000000.847001.200179"/>
    <n v="51520"/>
    <n v="43693"/>
    <n v="22479.86"/>
    <m/>
    <m/>
    <n v="21213.14"/>
  </r>
  <r>
    <x v="13"/>
    <s v="KUST - Industrial &amp; Systems Engineering"/>
    <n v="435508"/>
    <s v="Laboratory - Scientific"/>
    <s v="847.8470335.1.435508.000000.847001.200179"/>
    <n v="60000"/>
    <n v="104762"/>
    <n v="59090.15"/>
    <n v="0"/>
    <n v="41100"/>
    <n v="4571.8499999999904"/>
  </r>
  <r>
    <x v="13"/>
    <s v="KUST - Industrial &amp; Systems Engineering"/>
    <n v="436110"/>
    <s v="Printing supplies"/>
    <s v="847.8470335.1.436110.000000.847001.200179"/>
    <n v="0"/>
    <n v="0"/>
    <m/>
    <m/>
    <m/>
    <n v="0"/>
  </r>
  <r>
    <x v="13"/>
    <s v="KUST - Industrial &amp; Systems Engineering"/>
    <n v="436600"/>
    <s v="Training/Teaching equipment and other educational aid"/>
    <s v="847.8470335.1.436600.000000.847001.200179"/>
    <n v="13858"/>
    <n v="13858"/>
    <n v="11192.69"/>
    <n v="0"/>
    <n v="0"/>
    <n v="2665.31"/>
  </r>
  <r>
    <x v="13"/>
    <s v="KUST - Industrial &amp; Systems Engineering"/>
    <n v="492316"/>
    <s v="Laboratory equipment"/>
    <s v="847.8470335.1.492316.000000.847001.300180"/>
    <n v="80120"/>
    <n v="80120"/>
    <m/>
    <n v="0"/>
    <n v="77607"/>
    <n v="2513"/>
  </r>
  <r>
    <x v="14"/>
    <s v="KUST - Mechanical Engineering"/>
    <n v="425763"/>
    <s v="Student Project Expenses"/>
    <s v="847.8470340.1.425763.000000.847001.200179"/>
    <n v="300000"/>
    <n v="278950"/>
    <n v="277010.89"/>
    <m/>
    <m/>
    <n v="1939.1100000000499"/>
  </r>
  <r>
    <x v="14"/>
    <s v="KUST - Mechanical Engineering"/>
    <n v="425770"/>
    <s v="Academic Missions - Combined expenses"/>
    <s v="847.8470340.1.425770.000000.847001.200179"/>
    <n v="52050"/>
    <n v="26500"/>
    <n v="18612.78"/>
    <m/>
    <m/>
    <n v="7887.22"/>
  </r>
  <r>
    <x v="14"/>
    <s v="KUST - Mechanical Engineering"/>
    <n v="426610"/>
    <s v="Computer software licenses"/>
    <s v="847.8470340.1.426610.000000.847001.200179"/>
    <n v="209338"/>
    <n v="167338"/>
    <n v="151956"/>
    <n v="0"/>
    <n v="15301"/>
    <n v="81"/>
  </r>
  <r>
    <x v="14"/>
    <s v="KUST - Mechanical Engineering"/>
    <n v="432209"/>
    <s v="Laboratory equipment"/>
    <s v="847.8470340.1.432209.000000.847001.200179"/>
    <n v="0"/>
    <n v="66189"/>
    <n v="46189.01"/>
    <n v="0"/>
    <n v="18630"/>
    <n v="1369.99"/>
  </r>
  <r>
    <x v="14"/>
    <s v="KUST - Mechanical Engineering"/>
    <n v="435350"/>
    <s v="Academic Publications"/>
    <s v="847.8470340.1.435350.000000.847001.200179"/>
    <n v="47150"/>
    <n v="104750"/>
    <n v="98140.64"/>
    <n v="4656"/>
    <n v="0"/>
    <n v="1953.36"/>
  </r>
  <r>
    <x v="14"/>
    <s v="KUST - Mechanical Engineering"/>
    <n v="435508"/>
    <s v="Laboratory - Scientific"/>
    <s v="847.8470340.1.435508.000000.847001.200179"/>
    <n v="220000"/>
    <n v="153811"/>
    <n v="33900.959999999999"/>
    <n v="7738.5"/>
    <n v="110325.56"/>
    <n v="1845.98"/>
  </r>
  <r>
    <x v="14"/>
    <s v="KUST - Mechanical Engineering"/>
    <n v="492316"/>
    <s v="Laboratory equipment"/>
    <s v="847.8470340.1.492316.000000.847001.300180"/>
    <n v="269248"/>
    <n v="269248"/>
    <n v="69443"/>
    <n v="14500"/>
    <n v="184269"/>
    <n v="1036"/>
  </r>
  <r>
    <x v="15"/>
    <s v="KUST - Nuclear Engineering"/>
    <n v="425510"/>
    <s v="Conferences, seminars and exhibitions and other events: - Local Events"/>
    <s v="847.8470345.1.425510.000000.847001.200179"/>
    <n v="0"/>
    <n v="65000"/>
    <n v="65000"/>
    <m/>
    <m/>
    <n v="0"/>
  </r>
  <r>
    <x v="15"/>
    <s v="KUST - Nuclear Engineering"/>
    <n v="425770"/>
    <s v="Academic Missions - Combined expenses"/>
    <s v="847.8470345.1.425770.000000.847001.000000"/>
    <m/>
    <m/>
    <m/>
    <m/>
    <n v="0"/>
    <n v="0"/>
  </r>
  <r>
    <x v="15"/>
    <s v="KUST - Nuclear Engineering"/>
    <n v="425770"/>
    <s v="Academic Missions - Combined expenses"/>
    <s v="847.8470345.1.425770.000000.847001.200179"/>
    <n v="84399"/>
    <n v="22799"/>
    <n v="20865"/>
    <m/>
    <m/>
    <n v="1934"/>
  </r>
  <r>
    <x v="15"/>
    <s v="KUST - Nuclear Engineering"/>
    <n v="426610"/>
    <s v="Computer software licenses"/>
    <s v="847.8470345.1.426610.000000.847001.000000"/>
    <m/>
    <m/>
    <n v="-3784.96"/>
    <m/>
    <n v="3784.96"/>
    <n v="0"/>
  </r>
  <r>
    <x v="15"/>
    <s v="KUST - Nuclear Engineering"/>
    <n v="426610"/>
    <s v="Computer software licenses"/>
    <s v="847.8470345.1.426610.000000.847001.200179"/>
    <m/>
    <m/>
    <n v="-39995.730000000003"/>
    <m/>
    <n v="0"/>
    <n v="39995.730000000003"/>
  </r>
  <r>
    <x v="15"/>
    <s v="KUST - Nuclear Engineering"/>
    <n v="428090"/>
    <s v="Business Travel - Combined expenses"/>
    <s v="847.8470345.1.428090.000000.847001.200179"/>
    <n v="11500"/>
    <n v="11500"/>
    <n v="3907.76"/>
    <m/>
    <m/>
    <n v="7592.24"/>
  </r>
  <r>
    <x v="15"/>
    <s v="KUST - Nuclear Engineering"/>
    <n v="435350"/>
    <s v="Academic Publications"/>
    <s v="847.8470345.1.435350.000000.847001.200179"/>
    <n v="894"/>
    <n v="17494"/>
    <n v="17035.740000000002"/>
    <m/>
    <m/>
    <n v="458.259999999998"/>
  </r>
  <r>
    <x v="15"/>
    <s v="KUST - Nuclear Engineering"/>
    <n v="435508"/>
    <s v="Laboratory - Scientific"/>
    <s v="847.8470345.1.435508.000000.847001.200179"/>
    <n v="72968"/>
    <n v="52968"/>
    <n v="49568.5"/>
    <n v="-3577.35"/>
    <n v="3407"/>
    <n v="3569.85"/>
  </r>
  <r>
    <x v="15"/>
    <s v="KUST - Nuclear Engineering"/>
    <n v="436110"/>
    <s v="Printing supplies"/>
    <s v="847.8470345.1.436110.000000.847001.200179"/>
    <n v="4471"/>
    <n v="4471"/>
    <m/>
    <m/>
    <m/>
    <n v="4471"/>
  </r>
  <r>
    <x v="15"/>
    <s v="KUST - Nuclear Engineering"/>
    <n v="492316"/>
    <s v="Laboratory equipment"/>
    <s v="847.8470345.1.492316.000000.847001.300180"/>
    <n v="139983"/>
    <n v="139983"/>
    <n v="77504.460000000006"/>
    <n v="0"/>
    <n v="62000"/>
    <n v="478.539999999994"/>
  </r>
  <r>
    <x v="16"/>
    <s v="KUST - Petroleum Engineering"/>
    <n v="425510"/>
    <s v="Conferences, seminars and exhibitions and other events: - Local Events"/>
    <s v="847.8470350.1.425510.000000.847001.200179"/>
    <n v="8528"/>
    <n v="2680"/>
    <n v="2679.4"/>
    <m/>
    <m/>
    <n v="0.59999999999990905"/>
  </r>
  <r>
    <x v="16"/>
    <s v="KUST - Petroleum Engineering"/>
    <n v="425763"/>
    <s v="Student Project Expenses"/>
    <s v="847.8470350.1.425763.000000.847001.200179"/>
    <n v="0"/>
    <n v="0"/>
    <m/>
    <m/>
    <m/>
    <n v="0"/>
  </r>
  <r>
    <x v="16"/>
    <s v="KUST - Petroleum Engineering"/>
    <n v="425770"/>
    <s v="Academic Missions - Combined expenses"/>
    <s v="847.8470350.1.425770.000000.847001.200179"/>
    <n v="45000"/>
    <n v="30948"/>
    <n v="29232.02"/>
    <m/>
    <m/>
    <n v="1715.98"/>
  </r>
  <r>
    <x v="16"/>
    <s v="KUST - Petroleum Engineering"/>
    <n v="426610"/>
    <s v="Computer software licenses"/>
    <s v="847.8470350.1.426610.000000.847001.200179"/>
    <n v="37839"/>
    <n v="114039"/>
    <n v="49700.72"/>
    <n v="0"/>
    <n v="61238.09"/>
    <n v="3100.19"/>
  </r>
  <r>
    <x v="16"/>
    <s v="KUST - Petroleum Engineering"/>
    <n v="432209"/>
    <s v="Laboratory equipment"/>
    <s v="847.8470350.1.432209.000000.847001.200179"/>
    <n v="294035"/>
    <n v="400537"/>
    <n v="63100"/>
    <n v="112013.11"/>
    <n v="225415.79"/>
    <n v="8.0999999999767205"/>
  </r>
  <r>
    <x v="16"/>
    <s v="KUST - Petroleum Engineering"/>
    <n v="435340"/>
    <s v="Text books and library books"/>
    <s v="847.8470350.1.435340.000000.847001.200179"/>
    <n v="300000"/>
    <n v="0"/>
    <m/>
    <m/>
    <m/>
    <n v="0"/>
  </r>
  <r>
    <x v="16"/>
    <s v="KUST - Petroleum Engineering"/>
    <n v="435350"/>
    <s v="Academic Publications"/>
    <s v="847.8470350.1.435350.000000.847001.200179"/>
    <n v="5000"/>
    <n v="37488"/>
    <n v="23756.62"/>
    <m/>
    <m/>
    <n v="13731.38"/>
  </r>
  <r>
    <x v="16"/>
    <s v="KUST - Petroleum Engineering"/>
    <n v="435508"/>
    <s v="Laboratory - Scientific"/>
    <s v="847.8470350.1.435508.000000.847001.200179"/>
    <n v="20250"/>
    <n v="29960"/>
    <n v="29959.5"/>
    <m/>
    <m/>
    <n v="0.5"/>
  </r>
  <r>
    <x v="16"/>
    <s v="KUST - Petroleum Engineering"/>
    <n v="436110"/>
    <s v="Printing supplies"/>
    <s v="847.8470350.1.436110.000000.847001.200179"/>
    <n v="5000"/>
    <n v="0"/>
    <m/>
    <m/>
    <m/>
    <n v="0"/>
  </r>
  <r>
    <x v="16"/>
    <s v="KUST - Petroleum Engineering"/>
    <n v="492316"/>
    <s v="Laboratory equipment"/>
    <s v="847.8470350.1.492316.000000.847001.300180"/>
    <n v="772173"/>
    <n v="772173"/>
    <m/>
    <n v="0"/>
    <n v="765453.2"/>
    <n v="6719.8000000000502"/>
  </r>
  <r>
    <x v="17"/>
    <s v="KUST - Dean Of Arts &amp; Science"/>
    <n v="421700"/>
    <s v="Standards certification (e.g. ISO)"/>
    <s v="847.8470405.1.421700.000000.847001.200179"/>
    <n v="368363"/>
    <n v="263047"/>
    <n v="99700"/>
    <n v="0"/>
    <m/>
    <n v="163347"/>
  </r>
  <r>
    <x v="17"/>
    <s v="KUST - Dean Of Arts &amp; Science"/>
    <n v="425100"/>
    <s v="Advertising"/>
    <s v="847.8470405.1.425100.000000.847001.200179"/>
    <n v="1"/>
    <n v="1"/>
    <m/>
    <m/>
    <m/>
    <n v="1"/>
  </r>
  <r>
    <x v="17"/>
    <s v="KUST - Dean Of Arts &amp; Science"/>
    <n v="425510"/>
    <s v="Conferences, seminars and exhibitions and other events: - Local Events"/>
    <s v="847.8470405.1.425510.000000.847001.200179"/>
    <n v="5000"/>
    <n v="7000"/>
    <m/>
    <m/>
    <m/>
    <n v="7000"/>
  </r>
  <r>
    <x v="17"/>
    <s v="KUST - Dean Of Arts &amp; Science"/>
    <n v="425770"/>
    <s v="Academic Missions - Combined expenses"/>
    <s v="847.8470405.1.425770.000000.847001.000000"/>
    <m/>
    <m/>
    <m/>
    <m/>
    <n v="0"/>
    <n v="0"/>
  </r>
  <r>
    <x v="17"/>
    <s v="KUST - Dean Of Arts &amp; Science"/>
    <n v="425770"/>
    <s v="Academic Missions - Combined expenses"/>
    <s v="847.8470405.1.425770.000000.847001.200179"/>
    <n v="50000"/>
    <n v="4000"/>
    <m/>
    <m/>
    <m/>
    <n v="4000"/>
  </r>
  <r>
    <x v="17"/>
    <s v="KUST - Dean Of Arts &amp; Science"/>
    <n v="426610"/>
    <s v="Computer software licenses"/>
    <s v="847.8470405.1.426610.000000.847001.200179"/>
    <m/>
    <m/>
    <n v="0"/>
    <m/>
    <m/>
    <n v="0"/>
  </r>
  <r>
    <x v="17"/>
    <s v="KUST - Dean Of Arts &amp; Science"/>
    <n v="427710"/>
    <s v="Subscriptions and membership fees: Trade organisations"/>
    <s v="847.8470405.1.427710.000000.847001.200179"/>
    <n v="11638"/>
    <n v="15217"/>
    <n v="12539.46"/>
    <m/>
    <m/>
    <n v="2677.54"/>
  </r>
  <r>
    <x v="17"/>
    <s v="KUST - Dean Of Arts &amp; Science"/>
    <n v="432209"/>
    <s v="Laboratory equipment"/>
    <s v="847.8470405.1.432209.000000.847001.200179"/>
    <n v="200000"/>
    <n v="190000"/>
    <n v="152176"/>
    <n v="0"/>
    <n v="0"/>
    <n v="37824"/>
  </r>
  <r>
    <x v="17"/>
    <s v="KUST - Dean Of Arts &amp; Science"/>
    <n v="435350"/>
    <s v="Academic Publications"/>
    <s v="847.8470405.1.435350.000000.847001.200179"/>
    <n v="20000"/>
    <n v="127666"/>
    <n v="23946.58"/>
    <m/>
    <m/>
    <n v="103719.42"/>
  </r>
  <r>
    <x v="18"/>
    <s v="KUST - Institute of International &amp; Civil Security"/>
    <n v="425770"/>
    <s v="Academic Missions - Combined expenses"/>
    <s v="847.8470410.1.425770.000000.847001.000000"/>
    <m/>
    <m/>
    <m/>
    <m/>
    <n v="0"/>
    <n v="0"/>
  </r>
  <r>
    <x v="18"/>
    <s v="KUST - Institute of International &amp; Civil Security"/>
    <n v="425770"/>
    <s v="Academic Missions - Combined expenses"/>
    <s v="847.8470410.1.425770.000000.847001.200179"/>
    <n v="53000"/>
    <n v="36000"/>
    <n v="2513.17"/>
    <m/>
    <m/>
    <n v="33486.83"/>
  </r>
  <r>
    <x v="18"/>
    <s v="KUST - Institute of International &amp; Civil Security"/>
    <n v="426610"/>
    <s v="Computer software licenses"/>
    <s v="847.8470410.1.426610.000000.847001.200179"/>
    <n v="5357"/>
    <n v="5357"/>
    <m/>
    <m/>
    <m/>
    <n v="5014.71"/>
  </r>
  <r>
    <x v="18"/>
    <s v="KUST - Institute of International &amp; Civil Security"/>
    <n v="435350"/>
    <s v="Academic Publications"/>
    <s v="847.8470410.1.435350.000000.847001.200179"/>
    <n v="0"/>
    <n v="17000"/>
    <n v="4800"/>
    <m/>
    <m/>
    <n v="12200"/>
  </r>
  <r>
    <x v="19"/>
    <s v="KUST - Chemistry"/>
    <n v="425550"/>
    <s v="Conferences, seminars and exhibitions and other events: - Overseas event"/>
    <s v="847.8470415.1.425550.000000.847001.200179"/>
    <n v="0"/>
    <n v="3000"/>
    <n v="917.91"/>
    <m/>
    <m/>
    <n v="2082.09"/>
  </r>
  <r>
    <x v="19"/>
    <s v="KUST - Chemistry"/>
    <n v="425770"/>
    <s v="Academic Missions - Combined expenses"/>
    <s v="847.8470415.1.425770.000000.847001.200179"/>
    <n v="151153"/>
    <n v="42153"/>
    <n v="6028.16"/>
    <m/>
    <m/>
    <n v="36124.839999999997"/>
  </r>
  <r>
    <x v="19"/>
    <s v="KUST - Chemistry"/>
    <n v="425900"/>
    <s v="Entertainment and hospitality"/>
    <s v="847.8470415.1.425900.000000.847001.200179"/>
    <m/>
    <m/>
    <n v="-1832.83"/>
    <m/>
    <m/>
    <n v="1832.83"/>
  </r>
  <r>
    <x v="19"/>
    <s v="KUST - Chemistry"/>
    <n v="426610"/>
    <s v="Computer software licenses"/>
    <s v="847.8470415.1.426610.000000.847001.200179"/>
    <n v="29900"/>
    <n v="35900"/>
    <n v="35235.129999999997"/>
    <n v="0"/>
    <n v="0"/>
    <n v="664.87000000000296"/>
  </r>
  <r>
    <x v="19"/>
    <s v="KUST - Chemistry"/>
    <n v="432209"/>
    <s v="Laboratory equipment"/>
    <s v="847.8470415.1.432209.000000.847001.200179"/>
    <n v="120000"/>
    <n v="120000"/>
    <n v="6150"/>
    <n v="0"/>
    <n v="78157.460000000006"/>
    <n v="35692.54"/>
  </r>
  <r>
    <x v="19"/>
    <s v="KUST - Chemistry"/>
    <n v="435350"/>
    <s v="Academic Publications"/>
    <s v="847.8470415.1.435350.000000.847001.200179"/>
    <n v="37500"/>
    <n v="37500"/>
    <n v="15797.82"/>
    <m/>
    <m/>
    <n v="21702.18"/>
  </r>
  <r>
    <x v="19"/>
    <s v="KUST - Chemistry"/>
    <n v="435508"/>
    <s v="Laboratory - Scientific"/>
    <s v="847.8470415.1.435508.000000.847001.200179"/>
    <n v="100000"/>
    <n v="200000"/>
    <n v="94909.74"/>
    <n v="86907.45"/>
    <n v="16454"/>
    <n v="1728.81"/>
  </r>
  <r>
    <x v="19"/>
    <s v="KUST - Chemistry"/>
    <n v="492316"/>
    <s v="Laboratory equipment"/>
    <s v="847.8470415.1.492316.000000.847001.300180"/>
    <n v="781895"/>
    <n v="781895"/>
    <n v="489100"/>
    <n v="0"/>
    <n v="261950"/>
    <n v="30845"/>
  </r>
  <r>
    <x v="20"/>
    <s v="KUST - Physics"/>
    <n v="425510"/>
    <s v="Conferences, seminars and exhibitions and other events: - Local Events"/>
    <s v="847.8470425.1.425510.000000.847001.200179"/>
    <n v="1"/>
    <n v="1"/>
    <m/>
    <m/>
    <m/>
    <n v="1"/>
  </r>
  <r>
    <x v="20"/>
    <s v="KUST - Physics"/>
    <n v="425770"/>
    <s v="Academic Missions - Combined expenses"/>
    <s v="847.8470425.1.425770.000000.847001.200179"/>
    <n v="0"/>
    <n v="720"/>
    <n v="717"/>
    <m/>
    <m/>
    <n v="3"/>
  </r>
  <r>
    <x v="20"/>
    <s v="KUST - Physics"/>
    <n v="426610"/>
    <s v="Computer software licenses"/>
    <s v="847.8470425.1.426610.000000.847001.200179"/>
    <n v="0"/>
    <n v="0"/>
    <m/>
    <m/>
    <m/>
    <n v="0"/>
  </r>
  <r>
    <x v="20"/>
    <s v="KUST - Physics"/>
    <n v="435350"/>
    <s v="Academic Publications"/>
    <s v="847.8470425.1.435350.000000.847001.200179"/>
    <n v="36171"/>
    <n v="31872"/>
    <n v="31871.4"/>
    <m/>
    <m/>
    <n v="0.59999999999854503"/>
  </r>
  <r>
    <x v="20"/>
    <s v="KUST - Physics"/>
    <n v="435508"/>
    <s v="Laboratory - Scientific"/>
    <s v="847.8470425.1.435508.000000.847001.200179"/>
    <n v="239"/>
    <n v="239"/>
    <n v="227.28"/>
    <m/>
    <m/>
    <n v="11.72"/>
  </r>
  <r>
    <x v="20"/>
    <s v="KUST - Physics"/>
    <n v="492316"/>
    <s v="Laboratory equipment"/>
    <s v="847.8470425.1.492316.000000.847001.300180"/>
    <n v="2912920"/>
    <n v="2912920"/>
    <n v="352412"/>
    <n v="1040500"/>
    <n v="1475714.67"/>
    <n v="44293.330000000104"/>
  </r>
  <r>
    <x v="21"/>
    <s v="KUST - Preparatory Program"/>
    <n v="425770"/>
    <s v="Academic Missions - Combined expenses"/>
    <s v="847.8470430.1.425770.000000.847001.200179"/>
    <n v="220000"/>
    <n v="156300"/>
    <n v="-3393"/>
    <m/>
    <m/>
    <n v="159693"/>
  </r>
  <r>
    <x v="21"/>
    <s v="KUST - Preparatory Program"/>
    <n v="426610"/>
    <s v="Computer software licenses"/>
    <s v="847.8470430.1.426610.000000.847001.200179"/>
    <n v="29000"/>
    <n v="26375"/>
    <n v="6303.79"/>
    <n v="0"/>
    <n v="15518.43"/>
    <n v="4552.78"/>
  </r>
  <r>
    <x v="21"/>
    <s v="KUST - Preparatory Program"/>
    <n v="435508"/>
    <s v="Laboratory - Scientific"/>
    <s v="847.8470430.1.435508.000000.847001.200179"/>
    <n v="20000"/>
    <n v="20000"/>
    <m/>
    <m/>
    <m/>
    <n v="20000"/>
  </r>
  <r>
    <x v="22"/>
    <s v="KUST - Department of English"/>
    <n v="425770"/>
    <s v="Academic Missions - Combined expenses"/>
    <s v="847.8470435.1.425770.000000.847001.200179"/>
    <n v="188207"/>
    <n v="132207"/>
    <n v="6347.69"/>
    <m/>
    <m/>
    <n v="125859.31"/>
  </r>
  <r>
    <x v="22"/>
    <s v="KUST - Department of English"/>
    <n v="426610"/>
    <s v="Computer software licenses"/>
    <s v="847.8470435.1.426610.000000.847001.200179"/>
    <n v="30000"/>
    <n v="30000"/>
    <m/>
    <m/>
    <m/>
    <n v="30000"/>
  </r>
  <r>
    <x v="22"/>
    <s v="KUST - Department of English"/>
    <n v="427710"/>
    <s v="Subscriptions and membership fees: Trade organisations"/>
    <s v="847.8470435.1.427710.000000.847001.200179"/>
    <n v="1"/>
    <n v="1"/>
    <m/>
    <m/>
    <m/>
    <n v="1"/>
  </r>
  <r>
    <x v="22"/>
    <s v="KUST - Department of English"/>
    <n v="435340"/>
    <s v="Text books and library books"/>
    <s v="847.8470435.1.435340.000000.847001.200179"/>
    <n v="35000"/>
    <n v="35000"/>
    <m/>
    <m/>
    <m/>
    <n v="35000"/>
  </r>
  <r>
    <x v="22"/>
    <s v="KUST - Department of English"/>
    <n v="436600"/>
    <s v="Training/Teaching equipment and other educational aid"/>
    <s v="847.8470435.1.436600.000000.847001.200179"/>
    <n v="1"/>
    <n v="1"/>
    <m/>
    <m/>
    <m/>
    <n v="1"/>
  </r>
  <r>
    <x v="23"/>
    <s v="KUST - Humanities &amp; Social Sciences"/>
    <n v="425761"/>
    <s v="Student Field trips"/>
    <s v="847.8470440.1.425761.000000.847001.200179"/>
    <n v="4400"/>
    <n v="4400"/>
    <m/>
    <m/>
    <m/>
    <n v="4400"/>
  </r>
  <r>
    <x v="23"/>
    <s v="KUST - Humanities &amp; Social Sciences"/>
    <n v="425770"/>
    <s v="Academic Missions - Combined expenses"/>
    <s v="847.8470440.1.425770.000000.847001.200179"/>
    <n v="221102"/>
    <n v="165102"/>
    <n v="10085.540000000001"/>
    <m/>
    <m/>
    <n v="155016.46"/>
  </r>
  <r>
    <x v="23"/>
    <s v="KUST - Humanities &amp; Social Sciences"/>
    <n v="426610"/>
    <s v="Computer software licenses"/>
    <s v="847.8470440.1.426610.000000.847001.200179"/>
    <n v="64373"/>
    <n v="64373"/>
    <n v="6398.78"/>
    <m/>
    <m/>
    <n v="57974.22"/>
  </r>
  <r>
    <x v="23"/>
    <s v="KUST - Humanities &amp; Social Sciences"/>
    <n v="435340"/>
    <s v="Text books and library books"/>
    <s v="847.8470440.1.435340.000000.847001.200179"/>
    <n v="60350"/>
    <n v="60350"/>
    <m/>
    <m/>
    <m/>
    <n v="60350"/>
  </r>
  <r>
    <x v="23"/>
    <s v="KUST - Humanities &amp; Social Sciences"/>
    <n v="435350"/>
    <s v="Academic Publications"/>
    <s v="847.8470440.1.435350.000000.847001.200179"/>
    <n v="7704"/>
    <n v="11020"/>
    <m/>
    <m/>
    <m/>
    <n v="11020"/>
  </r>
  <r>
    <x v="23"/>
    <s v="KUST - Humanities &amp; Social Sciences"/>
    <n v="436600"/>
    <s v="Training/Teaching equipment and other educational aid"/>
    <s v="847.8470440.1.436600.000000.847001.200179"/>
    <n v="227"/>
    <n v="227"/>
    <m/>
    <m/>
    <m/>
    <n v="227"/>
  </r>
  <r>
    <x v="24"/>
    <s v="KUST - Mathematics"/>
    <n v="425770"/>
    <s v="Academic Missions - Combined expenses"/>
    <s v="847.8470445.1.425770.000000.847001.000000"/>
    <m/>
    <m/>
    <m/>
    <m/>
    <n v="0"/>
    <n v="0"/>
  </r>
  <r>
    <x v="24"/>
    <s v="KUST - Mathematics"/>
    <n v="425770"/>
    <s v="Academic Missions - Combined expenses"/>
    <s v="847.8470445.1.425770.000000.847001.200179"/>
    <n v="150000"/>
    <n v="86334"/>
    <n v="3074"/>
    <m/>
    <m/>
    <n v="83260"/>
  </r>
  <r>
    <x v="24"/>
    <s v="KUST - Mathematics"/>
    <n v="426610"/>
    <s v="Computer software licenses"/>
    <s v="847.8470445.1.426610.000000.847001.000000"/>
    <m/>
    <m/>
    <m/>
    <m/>
    <n v="0"/>
    <n v="0"/>
  </r>
  <r>
    <x v="24"/>
    <s v="KUST - Mathematics"/>
    <n v="426610"/>
    <s v="Computer software licenses"/>
    <s v="847.8470445.1.426610.000000.847001.200179"/>
    <n v="5000"/>
    <n v="63625"/>
    <n v="53028.55"/>
    <n v="0"/>
    <n v="0"/>
    <n v="9793"/>
  </r>
  <r>
    <x v="25"/>
    <s v="KUST - Earth Science"/>
    <n v="425761"/>
    <s v="Student Field trips"/>
    <s v="847.8470450.1.425761.000000.847001.200179"/>
    <n v="56922"/>
    <n v="56922"/>
    <n v="36340"/>
    <m/>
    <n v="0"/>
    <n v="20582"/>
  </r>
  <r>
    <x v="25"/>
    <s v="KUST - Earth Science"/>
    <n v="425770"/>
    <s v="Academic Missions - Combined expenses"/>
    <s v="847.8470450.1.425770.000000.847001.200179"/>
    <n v="45000"/>
    <n v="13017"/>
    <m/>
    <m/>
    <m/>
    <n v="13017"/>
  </r>
  <r>
    <x v="25"/>
    <s v="KUST - Earth Science"/>
    <n v="432209"/>
    <s v="Laboratory equipment"/>
    <s v="847.8470450.1.432209.000000.847001.200179"/>
    <n v="129668"/>
    <n v="129668"/>
    <n v="-35634.410000000003"/>
    <n v="1597"/>
    <n v="24450"/>
    <n v="139255.41"/>
  </r>
  <r>
    <x v="25"/>
    <s v="KUST - Earth Science"/>
    <n v="435350"/>
    <s v="Academic Publications"/>
    <s v="847.8470450.1.435350.000000.847001.200179"/>
    <n v="20000"/>
    <n v="20000"/>
    <m/>
    <m/>
    <m/>
    <n v="20000"/>
  </r>
  <r>
    <x v="25"/>
    <s v="KUST - Earth Science"/>
    <n v="435508"/>
    <s v="Laboratory - Scientific"/>
    <s v="847.8470450.1.435508.000000.847001.200179"/>
    <n v="6447"/>
    <n v="18430"/>
    <n v="8339.74"/>
    <m/>
    <m/>
    <n v="10090.26"/>
  </r>
  <r>
    <x v="26"/>
    <s v="KUST - Environment, Health &amp; Safety"/>
    <n v="421600"/>
    <s v="Security service"/>
    <s v="847.8470520.1.421600.000000.847030.200179"/>
    <n v="77973"/>
    <n v="77973"/>
    <n v="74260"/>
    <m/>
    <m/>
    <n v="3713"/>
  </r>
  <r>
    <x v="26"/>
    <s v="KUST - Environment, Health &amp; Safety"/>
    <n v="425510"/>
    <s v="Conferences, seminars and exhibitions and other events: - Local Events"/>
    <s v="847.8470520.1.425510.000000.847001.200179"/>
    <n v="24521"/>
    <n v="24521"/>
    <n v="7241.12"/>
    <m/>
    <m/>
    <n v="17279.88"/>
  </r>
  <r>
    <x v="26"/>
    <s v="KUST - Environment, Health &amp; Safety"/>
    <n v="425510"/>
    <s v="Conferences, seminars and exhibitions and other events: - Local Events"/>
    <s v="847.8470520.1.425510.000000.847951.200179"/>
    <n v="4998"/>
    <n v="4998"/>
    <n v="4998"/>
    <m/>
    <m/>
    <n v="0"/>
  </r>
  <r>
    <x v="26"/>
    <s v="KUST - Environment, Health &amp; Safety"/>
    <n v="426100"/>
    <s v="Freight and shipping costs, not included elsewhere under purchase costs"/>
    <s v="847.8470520.1.426100.000000.847001.200179"/>
    <n v="20000"/>
    <n v="20000"/>
    <m/>
    <m/>
    <m/>
    <n v="20000"/>
  </r>
  <r>
    <x v="26"/>
    <s v="KUST - Environment, Health &amp; Safety"/>
    <n v="426610"/>
    <s v="Computer software licenses"/>
    <s v="847.8470520.1.426610.000000.847001.200179"/>
    <n v="212027"/>
    <n v="212027"/>
    <m/>
    <n v="200000"/>
    <m/>
    <n v="12027"/>
  </r>
  <r>
    <x v="26"/>
    <s v="KUST - Environment, Health &amp; Safety"/>
    <n v="427710"/>
    <s v="Subscriptions and membership fees: Trade organisations"/>
    <s v="847.8470520.1.427710.000000.847001.200179"/>
    <n v="42000"/>
    <n v="42000"/>
    <n v="7654.06"/>
    <m/>
    <m/>
    <n v="34345.94"/>
  </r>
  <r>
    <x v="26"/>
    <s v="KUST - Environment, Health &amp; Safety"/>
    <n v="428200"/>
    <s v="Health,safety&amp;environment awareness"/>
    <s v="847.8470520.1.428200.000000.847001.200179"/>
    <n v="395002"/>
    <n v="395002"/>
    <n v="158386.75"/>
    <n v="47568.86"/>
    <n v="159760.76999999999"/>
    <n v="29285.62"/>
  </r>
  <r>
    <x v="26"/>
    <s v="KUST - Environment, Health &amp; Safety"/>
    <n v="428200"/>
    <s v="Health,safety&amp;environment awareness"/>
    <s v="847.8470520.1.428200.000000.847951.200179"/>
    <n v="300000"/>
    <n v="300000"/>
    <n v="129109.05"/>
    <n v="23100"/>
    <n v="0"/>
    <n v="147790.95000000001"/>
  </r>
  <r>
    <x v="27"/>
    <s v="KUST - Facilities Management"/>
    <n v="420310"/>
    <s v="Cleaning: Business premises"/>
    <s v="847.8470530.1.420310.000000.847010.200179"/>
    <n v="3624891"/>
    <n v="4505005"/>
    <n v="3042328.95"/>
    <n v="5.8207660913467401E-11"/>
    <n v="1014109.66"/>
    <n v="448566.39"/>
  </r>
  <r>
    <x v="27"/>
    <s v="KUST - Facilities Management"/>
    <n v="420310"/>
    <s v="Cleaning: Business premises"/>
    <s v="847.8470530.1.420310.000000.847015.200179"/>
    <n v="237882"/>
    <n v="0"/>
    <m/>
    <n v="0"/>
    <m/>
    <n v="0"/>
  </r>
  <r>
    <x v="27"/>
    <s v="KUST - Facilities Management"/>
    <n v="420310"/>
    <s v="Cleaning: Business premises"/>
    <s v="847.8470530.1.420310.000000.847020.200179"/>
    <n v="2974196"/>
    <n v="3551324"/>
    <n v="2549419.91"/>
    <n v="240000"/>
    <n v="-7.2759576141834298E-11"/>
    <n v="761904.09"/>
  </r>
  <r>
    <x v="27"/>
    <s v="KUST - Facilities Management"/>
    <n v="420310"/>
    <s v="Cleaning: Business premises"/>
    <s v="847.8470530.1.420310.000000.847030.200179"/>
    <n v="710000"/>
    <n v="0"/>
    <m/>
    <m/>
    <m/>
    <n v="0"/>
  </r>
  <r>
    <x v="27"/>
    <s v="KUST - Facilities Management"/>
    <n v="421000"/>
    <s v="Management consultancy"/>
    <s v="847.8470530.1.421000.000000.847010.200179"/>
    <n v="0"/>
    <n v="350000"/>
    <m/>
    <m/>
    <m/>
    <n v="350000"/>
  </r>
  <r>
    <x v="27"/>
    <s v="KUST - Facilities Management"/>
    <n v="421100"/>
    <s v="Manpower supply"/>
    <s v="847.8470530.1.421100.000000.847010.200179"/>
    <n v="863098"/>
    <n v="863098"/>
    <n v="-10439.549999999999"/>
    <n v="0"/>
    <n v="-9.9999999974897894E-3"/>
    <n v="873537.56"/>
  </r>
  <r>
    <x v="27"/>
    <s v="KUST - Facilities Management"/>
    <n v="421600"/>
    <s v="Security service"/>
    <s v="847.8470530.1.421600.000000.847010.200179"/>
    <n v="2070129"/>
    <n v="2818429"/>
    <n v="1968656.23"/>
    <n v="748300"/>
    <n v="101472.77"/>
    <n v="0"/>
  </r>
  <r>
    <x v="27"/>
    <s v="KUST - Facilities Management"/>
    <n v="421600"/>
    <s v="Security service"/>
    <s v="847.8470530.1.421600.000000.847015.200179"/>
    <n v="1483570"/>
    <n v="1923458"/>
    <n v="1516765.97"/>
    <n v="0"/>
    <n v="0"/>
    <n v="406692.03"/>
  </r>
  <r>
    <x v="27"/>
    <s v="KUST - Facilities Management"/>
    <n v="421600"/>
    <s v="Security service"/>
    <s v="847.8470530.1.421600.000000.847020.200179"/>
    <n v="2599344"/>
    <n v="2596024"/>
    <n v="2028266.52"/>
    <n v="0"/>
    <n v="0"/>
    <n v="567757.48"/>
  </r>
  <r>
    <x v="27"/>
    <s v="KUST - Facilities Management"/>
    <n v="421600"/>
    <s v="Security service"/>
    <s v="847.8470530.1.421600.000000.847030.200179"/>
    <n v="872780"/>
    <n v="843400"/>
    <n v="843396.09"/>
    <m/>
    <n v="0"/>
    <n v="3.9100000000325998"/>
  </r>
  <r>
    <x v="27"/>
    <s v="KUST - Facilities Management"/>
    <n v="422900"/>
    <s v="Other specialised professional services, not mentioned elsewhere"/>
    <s v="847.8470530.1.422900.000000.847010.200179"/>
    <n v="0"/>
    <n v="350000"/>
    <m/>
    <n v="350000"/>
    <m/>
    <n v="0"/>
  </r>
  <r>
    <x v="27"/>
    <s v="KUST - Facilities Management"/>
    <n v="425510"/>
    <s v="Conferences, seminars and exhibitions and other events: - Local Events"/>
    <s v="847.8470530.1.425510.000000.847010.200179"/>
    <n v="78"/>
    <n v="78"/>
    <m/>
    <m/>
    <m/>
    <n v="78"/>
  </r>
  <r>
    <x v="27"/>
    <s v="KUST - Facilities Management"/>
    <n v="426210"/>
    <s v="Insurance - Cash and fidelity"/>
    <s v="847.8470530.1.426210.000000.847010.200179"/>
    <n v="6221"/>
    <n v="6221"/>
    <n v="452"/>
    <m/>
    <m/>
    <n v="5769"/>
  </r>
  <r>
    <x v="27"/>
    <s v="KUST - Facilities Management"/>
    <n v="426220"/>
    <s v="Insurance - Fire and allied perils"/>
    <s v="847.8470530.1.426220.000000.847010.200179"/>
    <n v="1667782"/>
    <n v="1603947"/>
    <m/>
    <m/>
    <m/>
    <n v="1603947"/>
  </r>
  <r>
    <x v="27"/>
    <s v="KUST - Facilities Management"/>
    <n v="426220"/>
    <s v="Insurance - Fire and allied perils"/>
    <s v="847.8470530.1.426220.000000.847015.200179"/>
    <n v="0"/>
    <n v="8362"/>
    <m/>
    <m/>
    <m/>
    <n v="8362"/>
  </r>
  <r>
    <x v="27"/>
    <s v="KUST - Facilities Management"/>
    <n v="426220"/>
    <s v="Insurance - Fire and allied perils"/>
    <s v="847.8470530.1.426220.000000.847030.200179"/>
    <n v="48801"/>
    <n v="48801"/>
    <n v="23713.63"/>
    <m/>
    <m/>
    <n v="25087.37"/>
  </r>
  <r>
    <x v="27"/>
    <s v="KUST - Facilities Management"/>
    <n v="426250"/>
    <s v="Insurance - Motor vehicles"/>
    <s v="847.8470530.1.426250.000000.847010.200179"/>
    <n v="50000"/>
    <n v="50000"/>
    <n v="4650.8100000000004"/>
    <m/>
    <m/>
    <n v="45349.19"/>
  </r>
  <r>
    <x v="27"/>
    <s v="KUST - Facilities Management"/>
    <n v="426800"/>
    <s v="Motor vehicle registration and inspection charges"/>
    <s v="847.8470530.1.426800.000000.847010.200179"/>
    <n v="20000"/>
    <n v="20000"/>
    <n v="6245"/>
    <m/>
    <m/>
    <n v="13755"/>
  </r>
  <r>
    <x v="27"/>
    <s v="KUST - Facilities Management"/>
    <n v="426900"/>
    <s v="Postal, courier and other document delivery expenses"/>
    <s v="847.8470530.1.426900.000000.847010.200179"/>
    <n v="30000"/>
    <n v="30000"/>
    <n v="17870.55"/>
    <m/>
    <m/>
    <n v="12129.45"/>
  </r>
  <r>
    <x v="27"/>
    <s v="KUST - Facilities Management"/>
    <n v="428111"/>
    <s v="Electricity consumption charges"/>
    <s v="847.8470530.1.428111.000000.847010.200179"/>
    <n v="7349560"/>
    <n v="7209560"/>
    <n v="5814725.0099999998"/>
    <m/>
    <m/>
    <n v="1394834.99"/>
  </r>
  <r>
    <x v="27"/>
    <s v="KUST - Facilities Management"/>
    <n v="428111"/>
    <s v="Electricity consumption charges"/>
    <s v="847.8470530.1.428111.000000.847015.200179"/>
    <n v="4531198"/>
    <n v="4690931"/>
    <n v="2581381.65"/>
    <m/>
    <m/>
    <n v="2109549.35"/>
  </r>
  <r>
    <x v="27"/>
    <s v="KUST - Facilities Management"/>
    <n v="428111"/>
    <s v="Electricity consumption charges"/>
    <s v="847.8470530.1.428111.000000.847020.200179"/>
    <n v="3058446"/>
    <n v="3198446"/>
    <n v="3189281.83"/>
    <m/>
    <m/>
    <n v="9164.1699999999291"/>
  </r>
  <r>
    <x v="27"/>
    <s v="KUST - Facilities Management"/>
    <n v="428111"/>
    <s v="Electricity consumption charges"/>
    <s v="847.8470530.1.428111.000000.847030.200179"/>
    <n v="442627"/>
    <n v="442627"/>
    <n v="215086.31"/>
    <m/>
    <m/>
    <n v="227540.69"/>
  </r>
  <r>
    <x v="27"/>
    <s v="KUST - Facilities Management"/>
    <n v="428112"/>
    <s v="Water consumption charges"/>
    <s v="847.8470530.1.428112.000000.847010.200179"/>
    <n v="1153128"/>
    <n v="1153128"/>
    <n v="880418.18"/>
    <m/>
    <m/>
    <n v="272709.82"/>
  </r>
  <r>
    <x v="27"/>
    <s v="KUST - Facilities Management"/>
    <n v="428112"/>
    <s v="Water consumption charges"/>
    <s v="847.8470530.1.428112.000000.847015.200179"/>
    <n v="1654060"/>
    <n v="1681399"/>
    <n v="641981.18999999994"/>
    <m/>
    <m/>
    <n v="1039417.81"/>
  </r>
  <r>
    <x v="27"/>
    <s v="KUST - Facilities Management"/>
    <n v="428112"/>
    <s v="Water consumption charges"/>
    <s v="847.8470530.1.428112.000000.847020.200179"/>
    <n v="1703132"/>
    <n v="1703132"/>
    <n v="1255873.6399999999"/>
    <m/>
    <m/>
    <n v="447258.36"/>
  </r>
  <r>
    <x v="27"/>
    <s v="KUST - Facilities Management"/>
    <n v="428112"/>
    <s v="Water consumption charges"/>
    <s v="847.8470530.1.428112.000000.847030.200179"/>
    <n v="153570"/>
    <n v="153570"/>
    <m/>
    <m/>
    <m/>
    <n v="153570"/>
  </r>
  <r>
    <x v="27"/>
    <s v="KUST - Facilities Management"/>
    <n v="428200"/>
    <s v="Health,safety&amp;environment awareness"/>
    <s v="847.8470530.1.428200.000000.847010.000000"/>
    <m/>
    <m/>
    <n v="-22000"/>
    <m/>
    <n v="0"/>
    <n v="22000"/>
  </r>
  <r>
    <x v="27"/>
    <s v="KUST - Facilities Management"/>
    <n v="429900"/>
    <s v="Other services, not specifically mentioned elsewhere"/>
    <s v="847.8470530.1.429900.000000.847010.200179"/>
    <n v="138875"/>
    <n v="138875"/>
    <n v="138308"/>
    <m/>
    <m/>
    <n v="567"/>
  </r>
  <r>
    <x v="27"/>
    <s v="KUST - Facilities Management"/>
    <n v="430330"/>
    <s v="Rental - Motor vehicles"/>
    <s v="847.8470530.1.430330.000000.847010.200179"/>
    <n v="0"/>
    <n v="-20000"/>
    <n v="7.2759576141834308E-12"/>
    <m/>
    <m/>
    <n v="-20000"/>
  </r>
  <r>
    <x v="27"/>
    <s v="KUST - Facilities Management"/>
    <n v="430330"/>
    <s v="Rental - Motor vehicles"/>
    <s v="847.8470530.1.430330.000000.847020.200179"/>
    <m/>
    <m/>
    <n v="-3600"/>
    <m/>
    <n v="0"/>
    <n v="3600"/>
  </r>
  <r>
    <x v="27"/>
    <s v="KUST - Facilities Management"/>
    <n v="432120"/>
    <s v="Bldg maintenance-Business premises"/>
    <s v="847.8470530.1.432120.000000.847010.200179"/>
    <n v="209866"/>
    <n v="504174"/>
    <n v="274884.49"/>
    <n v="2"/>
    <n v="134635.19"/>
    <n v="94652.32"/>
  </r>
  <r>
    <x v="27"/>
    <s v="KUST - Facilities Management"/>
    <n v="432120"/>
    <s v="Bldg maintenance-Business premises"/>
    <s v="847.8470530.1.432120.000000.847015.200179"/>
    <n v="6250679"/>
    <n v="6229964"/>
    <n v="2511614.06"/>
    <n v="1271284.6499999999"/>
    <n v="2442360.58"/>
    <n v="4704.7100000008904"/>
  </r>
  <r>
    <x v="27"/>
    <s v="KUST - Facilities Management"/>
    <n v="432120"/>
    <s v="Bldg maintenance-Business premises"/>
    <s v="847.8470530.1.432120.000000.847020.200179"/>
    <n v="152708"/>
    <n v="1052708"/>
    <n v="311746.53999999998"/>
    <n v="0"/>
    <n v="561000"/>
    <n v="179961.46"/>
  </r>
  <r>
    <x v="27"/>
    <s v="KUST - Facilities Management"/>
    <n v="432120"/>
    <s v="Bldg maintenance-Business premises"/>
    <s v="847.8470530.1.432120.000000.847030.000000"/>
    <m/>
    <m/>
    <n v="-22470"/>
    <m/>
    <n v="22470"/>
    <n v="0"/>
  </r>
  <r>
    <x v="27"/>
    <s v="KUST - Facilities Management"/>
    <n v="432120"/>
    <s v="Bldg maintenance-Business premises"/>
    <s v="847.8470530.1.432120.000000.847030.200179"/>
    <n v="4644901"/>
    <n v="2443146"/>
    <n v="2380245.66"/>
    <n v="0"/>
    <n v="62400"/>
    <n v="500.33999999985099"/>
  </r>
  <r>
    <x v="27"/>
    <s v="KUST - Facilities Management"/>
    <n v="432120"/>
    <s v="Bldg maintenance-Business premises"/>
    <s v="847.8470530.1.432120.000000.847951.200179"/>
    <n v="200000"/>
    <n v="8580"/>
    <n v="8580"/>
    <m/>
    <m/>
    <n v="0"/>
  </r>
  <r>
    <x v="27"/>
    <s v="KUST - Facilities Management"/>
    <n v="432170"/>
    <s v="Bldg decoration &amp; minor improvements"/>
    <s v="847.8470530.1.432170.000000.847010.200179"/>
    <n v="28558"/>
    <n v="28558"/>
    <n v="27198"/>
    <m/>
    <n v="0"/>
    <n v="1360"/>
  </r>
  <r>
    <x v="27"/>
    <s v="KUST - Facilities Management"/>
    <n v="432320"/>
    <s v="Residential Furniture and fixtures"/>
    <s v="847.8470530.1.432320.000000.847010.200179"/>
    <n v="5000"/>
    <n v="5000"/>
    <n v="3429.62"/>
    <m/>
    <m/>
    <n v="1570.38"/>
  </r>
  <r>
    <x v="27"/>
    <s v="KUST - Facilities Management"/>
    <n v="432540"/>
    <s v="Motor vehicles (non-military)"/>
    <s v="847.8470530.1.432540.000000.847001.200179"/>
    <n v="0"/>
    <n v="0"/>
    <n v="0"/>
    <m/>
    <m/>
    <n v="0"/>
  </r>
  <r>
    <x v="27"/>
    <s v="KUST - Facilities Management"/>
    <n v="432540"/>
    <s v="Motor vehicles (non-military)"/>
    <s v="847.8470530.1.432540.000000.847010.200179"/>
    <n v="10000"/>
    <n v="19000"/>
    <n v="18398.57"/>
    <m/>
    <m/>
    <n v="601.42999999999995"/>
  </r>
  <r>
    <x v="27"/>
    <s v="KUST - Facilities Management"/>
    <n v="432540"/>
    <s v="Motor vehicles (non-military)"/>
    <s v="847.8470530.1.432540.000000.847020.200179"/>
    <n v="0"/>
    <n v="3320"/>
    <n v="3160"/>
    <m/>
    <m/>
    <n v="160"/>
  </r>
  <r>
    <x v="27"/>
    <s v="KUST - Facilities Management"/>
    <n v="432690"/>
    <s v="Plant, machinery and heavy equipment, not mentioned elsewhere"/>
    <s v="847.8470530.1.432690.000000.847010.000000"/>
    <m/>
    <m/>
    <n v="-600"/>
    <m/>
    <n v="600"/>
    <n v="0"/>
  </r>
  <r>
    <x v="27"/>
    <s v="KUST - Facilities Management"/>
    <n v="435740"/>
    <s v="Fuel, oil and lubricants: Motor vehicles"/>
    <s v="847.8470530.1.435740.000000.847010.200179"/>
    <n v="3000"/>
    <n v="3000"/>
    <m/>
    <m/>
    <m/>
    <n v="3000"/>
  </r>
  <r>
    <x v="27"/>
    <s v="KUST - Facilities Management"/>
    <n v="436110"/>
    <s v="Printing supplies"/>
    <s v="847.8470530.1.436110.000000.847001.200179"/>
    <n v="0"/>
    <n v="0"/>
    <m/>
    <m/>
    <m/>
    <n v="0"/>
  </r>
  <r>
    <x v="27"/>
    <s v="KUST - Facilities Management"/>
    <n v="436110"/>
    <s v="Printing supplies"/>
    <s v="847.8470530.1.436110.000000.847010.200179"/>
    <n v="35780"/>
    <n v="245780"/>
    <n v="243267.16"/>
    <n v="0"/>
    <n v="0"/>
    <n v="2512.84"/>
  </r>
  <r>
    <x v="27"/>
    <s v="KUST - Facilities Management"/>
    <n v="436110"/>
    <s v="Printing supplies"/>
    <s v="847.8470530.1.436110.000000.847020.200179"/>
    <n v="13608"/>
    <n v="73608"/>
    <n v="73098.09"/>
    <m/>
    <m/>
    <n v="509.91000000000298"/>
  </r>
  <r>
    <x v="27"/>
    <s v="KUST - Facilities Management"/>
    <n v="436220"/>
    <s v="Road signs"/>
    <s v="847.8470530.1.436220.000000.847020.200179"/>
    <n v="0"/>
    <n v="246360"/>
    <m/>
    <n v="0"/>
    <n v="222400"/>
    <n v="23960"/>
  </r>
  <r>
    <x v="27"/>
    <s v="KUST - Facilities Management"/>
    <n v="492200"/>
    <s v="Capital expense - Buildings"/>
    <s v="847.8470530.1.492200.000000.847001.300180"/>
    <n v="7523465"/>
    <n v="0"/>
    <m/>
    <n v="0"/>
    <m/>
    <n v="0"/>
  </r>
  <r>
    <x v="27"/>
    <s v="KUST - Facilities Management"/>
    <n v="492200"/>
    <s v="Capital expense - Buildings"/>
    <s v="847.8470530.1.492200.000000.847010.300180"/>
    <n v="6090150"/>
    <n v="12159818"/>
    <n v="6775875.1299999999"/>
    <n v="1870001"/>
    <n v="3491564"/>
    <n v="22377.870000000101"/>
  </r>
  <r>
    <x v="27"/>
    <s v="KUST - Facilities Management"/>
    <n v="492200"/>
    <s v="Capital expense - Buildings"/>
    <s v="847.8470530.1.492200.000000.847015.300180"/>
    <n v="0"/>
    <n v="6551196"/>
    <m/>
    <n v="2197730"/>
    <n v="2771250"/>
    <n v="1582216"/>
  </r>
  <r>
    <x v="27"/>
    <s v="KUST - Facilities Management"/>
    <n v="492200"/>
    <s v="Capital expense - Buildings"/>
    <s v="847.8470530.1.492200.000000.847020.300180"/>
    <n v="6910200"/>
    <n v="6819769"/>
    <n v="109880"/>
    <n v="6500000"/>
    <n v="209889"/>
    <n v="0"/>
  </r>
  <r>
    <x v="27"/>
    <s v="KUST - Facilities Management"/>
    <n v="492200"/>
    <s v="Capital expense - Buildings"/>
    <s v="847.8470530.1.492200.000000.847030.000000"/>
    <m/>
    <m/>
    <n v="-19240"/>
    <m/>
    <n v="0"/>
    <n v="19240"/>
  </r>
  <r>
    <x v="27"/>
    <s v="KUST - Facilities Management"/>
    <n v="492200"/>
    <s v="Capital expense - Buildings"/>
    <s v="847.8470530.1.492200.000000.847951.300180"/>
    <n v="38000"/>
    <n v="38000"/>
    <m/>
    <m/>
    <m/>
    <n v="38000"/>
  </r>
  <r>
    <x v="27"/>
    <s v="KUST - Facilities Management"/>
    <n v="492316"/>
    <s v="Laboratory equipment"/>
    <s v="847.8470530.1.492316.000000.847010.300180"/>
    <n v="245879"/>
    <n v="245879"/>
    <n v="3900"/>
    <n v="0"/>
    <n v="142550"/>
    <n v="99429"/>
  </r>
  <r>
    <x v="27"/>
    <s v="KUST - Facilities Management"/>
    <n v="492610"/>
    <s v="Furniture &amp; Fixtures - Offices"/>
    <s v="847.8470530.1.492610.000000.847010.300180"/>
    <n v="4202925"/>
    <n v="2456175"/>
    <n v="139000"/>
    <n v="790275"/>
    <n v="1167443.7"/>
    <n v="359456.3"/>
  </r>
  <r>
    <x v="27"/>
    <s v="KUST - Facilities Management"/>
    <n v="492610"/>
    <s v="Furniture &amp; Fixtures - Offices"/>
    <s v="847.8470530.1.492610.000000.847015.300180"/>
    <n v="0"/>
    <n v="200000"/>
    <m/>
    <n v="0"/>
    <n v="175290"/>
    <n v="24710"/>
  </r>
  <r>
    <x v="27"/>
    <s v="KUST - Facilities Management"/>
    <n v="492610"/>
    <s v="Furniture &amp; Fixtures - Offices"/>
    <s v="847.8470530.1.492610.000000.847030.300180"/>
    <m/>
    <m/>
    <n v="-41758.5"/>
    <m/>
    <m/>
    <n v="41758.5"/>
  </r>
  <r>
    <x v="27"/>
    <s v="KUST - Facilities Management"/>
    <n v="495140"/>
    <s v="Copyrights, patents and licenses"/>
    <s v="847.8470530.1.495140.000000.847010.300180"/>
    <n v="51057"/>
    <n v="51057"/>
    <n v="18149.5"/>
    <n v="0"/>
    <n v="30302.25"/>
    <n v="2605.25"/>
  </r>
  <r>
    <x v="28"/>
    <s v="KUST - Administration"/>
    <n v="421100"/>
    <s v="Manpower supply"/>
    <s v="847.8470540.1.421100.000000.847010.200179"/>
    <n v="4009370"/>
    <n v="4009370"/>
    <n v="1681858.88"/>
    <n v="25901"/>
    <n v="1190465.27"/>
    <n v="1111144.8500000001"/>
  </r>
  <r>
    <x v="28"/>
    <s v="KUST - Administration"/>
    <n v="430330"/>
    <s v="Rental - Motor vehicles"/>
    <s v="847.8470540.1.430330.000000.847010.200179"/>
    <n v="0"/>
    <n v="797755"/>
    <n v="581760"/>
    <m/>
    <m/>
    <n v="215995"/>
  </r>
  <r>
    <x v="28"/>
    <s v="KUST - Administration"/>
    <n v="432120"/>
    <s v="Bldg maintenance-Business premises"/>
    <s v="847.8470540.1.432120.000000.847010.200179"/>
    <n v="9870670"/>
    <n v="9500670"/>
    <n v="4462112.6900000004"/>
    <n v="995282"/>
    <n v="3967885.95"/>
    <n v="75389.360000000306"/>
  </r>
  <r>
    <x v="28"/>
    <s v="KUST - Administration"/>
    <n v="432120"/>
    <s v="Bldg maintenance-Business premises"/>
    <s v="847.8470540.1.432120.000000.847020.200179"/>
    <n v="4389857"/>
    <n v="4409857"/>
    <n v="1526922.12"/>
    <n v="851750"/>
    <n v="1903371.66"/>
    <n v="127813.22"/>
  </r>
  <r>
    <x v="28"/>
    <s v="KUST - Administration"/>
    <n v="432540"/>
    <s v="Motor vehicles (non-military)"/>
    <s v="847.8470540.1.432540.000000.847010.200179"/>
    <n v="25000"/>
    <n v="45000"/>
    <n v="34628.81"/>
    <m/>
    <m/>
    <n v="10371.19"/>
  </r>
  <r>
    <x v="28"/>
    <s v="KUST - Administration"/>
    <n v="435410"/>
    <s v="Catering supplies: Offices"/>
    <s v="847.8470540.1.435410.000000.847020.200179"/>
    <n v="465000"/>
    <n v="0"/>
    <m/>
    <m/>
    <m/>
    <n v="0"/>
  </r>
  <r>
    <x v="29"/>
    <s v="KUST - Finance Operations"/>
    <n v="420130"/>
    <s v="External Audit service"/>
    <s v="847.8470620.1.420130.000000.847001.200179"/>
    <n v="319725"/>
    <n v="319725"/>
    <n v="203515"/>
    <m/>
    <m/>
    <n v="116210"/>
  </r>
  <r>
    <x v="29"/>
    <s v="KUST - Finance Operations"/>
    <n v="421000"/>
    <s v="Management consultancy"/>
    <s v="847.8470620.1.421000.000000.847001.200179"/>
    <n v="68000"/>
    <n v="0"/>
    <m/>
    <m/>
    <m/>
    <n v="0"/>
  </r>
  <r>
    <x v="29"/>
    <s v="KUST - Finance Operations"/>
    <n v="421100"/>
    <s v="Manpower supply"/>
    <s v="847.8470620.1.421100.000000.847001.200179"/>
    <n v="524160"/>
    <n v="555160"/>
    <n v="420033.33"/>
    <n v="1"/>
    <m/>
    <n v="135125.67000000001"/>
  </r>
  <r>
    <x v="29"/>
    <s v="KUST - Finance Operations"/>
    <n v="425300"/>
    <s v="Banking service charges"/>
    <s v="847.8470620.1.425300.000000.847001.200179"/>
    <n v="3511"/>
    <n v="3511"/>
    <n v="821.08"/>
    <m/>
    <m/>
    <n v="2689.92"/>
  </r>
  <r>
    <x v="29"/>
    <s v="KUST - Finance Operations"/>
    <n v="425350"/>
    <s v="Fees for processing e-payments"/>
    <s v="847.8470620.1.425350.000000.847001.200179"/>
    <n v="90000"/>
    <n v="87500"/>
    <n v="51287.91"/>
    <m/>
    <m/>
    <n v="36212.089999999997"/>
  </r>
  <r>
    <x v="29"/>
    <s v="KUST - Finance Operations"/>
    <n v="426610"/>
    <s v="Computer software licenses"/>
    <s v="847.8470620.1.426610.000000.847001.200179"/>
    <n v="31680"/>
    <n v="31680"/>
    <n v="31680"/>
    <n v="0"/>
    <n v="0"/>
    <n v="-3.6379788070917101E-12"/>
  </r>
  <r>
    <x v="29"/>
    <s v="KUST - Finance Operations"/>
    <n v="436110"/>
    <s v="Printing supplies"/>
    <s v="847.8470620.1.436110.000000.847001.200179"/>
    <n v="15000"/>
    <n v="15000"/>
    <n v="15000"/>
    <m/>
    <m/>
    <n v="0"/>
  </r>
  <r>
    <x v="29"/>
    <s v="KUST - Finance Operations"/>
    <n v="436120"/>
    <s v="Stationery"/>
    <s v="847.8470620.1.436120.000000.847001.200179"/>
    <n v="0"/>
    <n v="2500"/>
    <n v="-18121"/>
    <m/>
    <m/>
    <n v="20621"/>
  </r>
  <r>
    <x v="29"/>
    <s v="KUST - Finance Operations"/>
    <n v="495140"/>
    <s v="Copyrights, patents and licenses"/>
    <s v="847.8470620.1.495140.000000.847001.000000"/>
    <m/>
    <m/>
    <n v="-16200"/>
    <m/>
    <n v="16200"/>
    <n v="0"/>
  </r>
  <r>
    <x v="30"/>
    <s v="KUST - Procurement"/>
    <n v="421000"/>
    <s v="Management consultancy"/>
    <s v="847.8470720.1.421000.000000.847001.200179"/>
    <m/>
    <m/>
    <n v="-94353.1"/>
    <m/>
    <n v="8000"/>
    <n v="86353.1"/>
  </r>
  <r>
    <x v="30"/>
    <s v="KUST - Procurement"/>
    <n v="421700"/>
    <s v="Standards certification (e.g. ISO)"/>
    <s v="847.8470720.1.421700.000000.847001.200179"/>
    <n v="0"/>
    <n v="2000"/>
    <n v="2000"/>
    <m/>
    <m/>
    <n v="0"/>
  </r>
  <r>
    <x v="30"/>
    <s v="KUST - Procurement"/>
    <n v="426900"/>
    <s v="Postal, courier and other document delivery expenses"/>
    <s v="847.8470720.1.426900.000000.847001.200179"/>
    <n v="8262"/>
    <n v="8262"/>
    <n v="-19191.54"/>
    <n v="1"/>
    <m/>
    <n v="27388.54"/>
  </r>
  <r>
    <x v="30"/>
    <s v="KUST - Procurement"/>
    <n v="428200"/>
    <s v="Health,safety&amp;environment awareness"/>
    <s v="847.8470720.1.428200.000000.847001.200179"/>
    <n v="250127"/>
    <n v="238827"/>
    <n v="193311.04"/>
    <n v="11694.2"/>
    <n v="0"/>
    <n v="33821.760000000002"/>
  </r>
  <r>
    <x v="30"/>
    <s v="KUST - Procurement"/>
    <n v="428200"/>
    <s v="Health,safety&amp;environment awareness"/>
    <s v="847.8470720.1.428200.000000.847951.200179"/>
    <n v="0"/>
    <n v="9300"/>
    <n v="9300"/>
    <m/>
    <m/>
    <n v="0"/>
  </r>
  <r>
    <x v="30"/>
    <s v="KUST - Procurement"/>
    <n v="435410"/>
    <s v="Catering supplies: Offices"/>
    <s v="847.8470720.1.435410.000000.847001.200179"/>
    <n v="385799"/>
    <n v="839299"/>
    <n v="446987.99"/>
    <n v="154.25"/>
    <n v="237016.67"/>
    <n v="155140.09"/>
  </r>
  <r>
    <x v="30"/>
    <s v="KUST - Procurement"/>
    <n v="436120"/>
    <s v="Stationery"/>
    <s v="847.8470720.1.436120.000000.847001.200179"/>
    <n v="45814"/>
    <n v="57314"/>
    <n v="33350.050000000003"/>
    <n v="6659"/>
    <n v="16740"/>
    <n v="564.95000000001903"/>
  </r>
  <r>
    <x v="31"/>
    <s v="KUST - Human Resources"/>
    <n v="421000"/>
    <s v="Management consultancy"/>
    <s v="847.8470730.1.421000.000000.847001.200179"/>
    <n v="35000"/>
    <n v="47000"/>
    <n v="7345"/>
    <m/>
    <m/>
    <n v="39655"/>
  </r>
  <r>
    <x v="31"/>
    <s v="KUST - Human Resources"/>
    <n v="425100"/>
    <s v="Advertising"/>
    <s v="847.8470730.1.425100.000000.847001.000000"/>
    <m/>
    <m/>
    <n v="-3363.4"/>
    <m/>
    <n v="0"/>
    <n v="3363.4"/>
  </r>
  <r>
    <x v="31"/>
    <s v="KUST - Human Resources"/>
    <n v="425510"/>
    <s v="Conferences, seminars and exhibitions and other events: - Local Events"/>
    <s v="847.8470730.1.425510.000000.847001.200179"/>
    <n v="15000"/>
    <n v="15000"/>
    <n v="-9525"/>
    <m/>
    <n v="0"/>
    <n v="24525"/>
  </r>
  <r>
    <x v="31"/>
    <s v="KUST - Human Resources"/>
    <n v="425900"/>
    <s v="Entertainment and hospitality"/>
    <s v="847.8470730.1.425900.000000.847001.200179"/>
    <n v="6363"/>
    <n v="6363"/>
    <m/>
    <m/>
    <m/>
    <n v="6363"/>
  </r>
  <r>
    <x v="31"/>
    <s v="KUST - Human Resources"/>
    <n v="426610"/>
    <s v="Computer software licenses"/>
    <s v="847.8470730.1.426610.000000.847001.200179"/>
    <n v="365000"/>
    <n v="365000"/>
    <n v="354291.93"/>
    <n v="0"/>
    <n v="0"/>
    <n v="10708.07"/>
  </r>
  <r>
    <x v="31"/>
    <s v="KUST - Human Resources"/>
    <n v="427200"/>
    <s v="Printing and publishing"/>
    <s v="847.8470730.1.427200.000000.847001.200179"/>
    <n v="4420"/>
    <n v="4420"/>
    <n v="9360"/>
    <m/>
    <m/>
    <n v="-4940"/>
  </r>
  <r>
    <x v="31"/>
    <s v="KUST - Human Resources"/>
    <n v="427900"/>
    <s v="Translation and interpretation service"/>
    <s v="847.8470730.1.427900.000000.847001.200179"/>
    <n v="10000"/>
    <n v="10000"/>
    <m/>
    <m/>
    <m/>
    <n v="10000"/>
  </r>
  <r>
    <x v="31"/>
    <s v="KUST - Human Resources"/>
    <n v="428090"/>
    <s v="Business Travel - Combined expenses"/>
    <s v="847.8470730.1.428090.000000.847001.200179"/>
    <n v="0"/>
    <n v="40000"/>
    <m/>
    <m/>
    <m/>
    <n v="40000"/>
  </r>
  <r>
    <x v="31"/>
    <s v="KUST - Human Resources"/>
    <n v="428640"/>
    <s v="Events - Awards, prizes &amp; gifts"/>
    <s v="847.8470730.1.428640.000000.847001.200179"/>
    <n v="40000"/>
    <n v="0"/>
    <m/>
    <m/>
    <m/>
    <n v="0"/>
  </r>
  <r>
    <x v="31"/>
    <s v="KUST - Human Resources"/>
    <n v="436110"/>
    <s v="Printing supplies"/>
    <s v="847.8470730.1.436110.000000.847001.200179"/>
    <n v="75479"/>
    <n v="75479"/>
    <n v="39790"/>
    <n v="0"/>
    <n v="0"/>
    <n v="35689"/>
  </r>
  <r>
    <x v="31"/>
    <s v="KUST - Human Resources"/>
    <n v="495140"/>
    <s v="Copyrights, patents and licenses"/>
    <s v="847.8470730.1.495140.000000.847001.300180"/>
    <n v="110494"/>
    <n v="110494"/>
    <n v="18149.5"/>
    <n v="0"/>
    <n v="0"/>
    <n v="92344.5"/>
  </r>
  <r>
    <x v="32"/>
    <s v="KUST - Ankabut office"/>
    <n v="420810"/>
    <s v="IT Systems &amp; Support expenses"/>
    <s v="847.8470810.1.420810.000000.847001.200179"/>
    <n v="300000"/>
    <n v="300000"/>
    <n v="300000"/>
    <m/>
    <m/>
    <n v="0"/>
  </r>
  <r>
    <x v="32"/>
    <s v="KUST - Ankabut office"/>
    <n v="421100"/>
    <s v="Manpower supply"/>
    <s v="847.8470810.1.421100.000000.847001.200179"/>
    <n v="24291785"/>
    <n v="1524278"/>
    <n v="31844.290000000299"/>
    <n v="1"/>
    <n v="1492043"/>
    <n v="389.70999999972997"/>
  </r>
  <r>
    <x v="32"/>
    <s v="KUST - Ankabut office"/>
    <n v="426610"/>
    <s v="Computer software licenses"/>
    <s v="847.8470810.1.426610.000000.847001.000000"/>
    <m/>
    <m/>
    <n v="-15649.2"/>
    <m/>
    <n v="0"/>
    <n v="15649.2"/>
  </r>
  <r>
    <x v="32"/>
    <s v="KUST - Ankabut office"/>
    <n v="426610"/>
    <s v="Computer software licenses"/>
    <s v="847.8470810.1.426610.000000.847001.200179"/>
    <n v="9324328"/>
    <n v="9217828"/>
    <n v="3641632.61"/>
    <n v="2510480.16"/>
    <n v="3045638.5"/>
    <n v="14242.6400000006"/>
  </r>
  <r>
    <x v="32"/>
    <s v="KUST - Ankabut office"/>
    <n v="427810"/>
    <s v="Telephone and telefax charges"/>
    <s v="847.8470810.1.427810.000000.847001.200179"/>
    <n v="1068281"/>
    <n v="1046971"/>
    <n v="798615.64"/>
    <m/>
    <m/>
    <n v="236876.32"/>
  </r>
  <r>
    <x v="32"/>
    <s v="KUST - Ankabut office"/>
    <n v="427850"/>
    <s v="Data Transmission charges"/>
    <s v="847.8470810.1.427850.000000.847001.200179"/>
    <n v="2112872"/>
    <n v="2962872"/>
    <n v="2653555.29"/>
    <m/>
    <m/>
    <n v="309316.71000000002"/>
  </r>
  <r>
    <x v="32"/>
    <s v="KUST - Ankabut office"/>
    <n v="427850"/>
    <s v="Data Transmission charges"/>
    <s v="847.8470810.1.427850.000000.847951.200179"/>
    <n v="1716216"/>
    <n v="1716216"/>
    <n v="1695109.4"/>
    <m/>
    <m/>
    <n v="21106.6000000001"/>
  </r>
  <r>
    <x v="32"/>
    <s v="KUST - Ankabut office"/>
    <n v="428090"/>
    <s v="Business Travel - Combined expenses"/>
    <s v="847.8470810.1.428090.000000.847001.200179"/>
    <n v="11500"/>
    <n v="10000"/>
    <m/>
    <m/>
    <m/>
    <n v="10000"/>
  </r>
  <r>
    <x v="32"/>
    <s v="KUST - Ankabut office"/>
    <n v="430230"/>
    <s v="Rental - Equipment"/>
    <s v="847.8470810.1.430230.000000.847001.200179"/>
    <n v="2044000"/>
    <n v="2599810"/>
    <n v="2253733.34"/>
    <n v="0"/>
    <n v="340000"/>
    <n v="6076.6600000001499"/>
  </r>
  <r>
    <x v="32"/>
    <s v="KUST - Ankabut office"/>
    <n v="432205"/>
    <s v="Computers and peripherals"/>
    <s v="847.8470810.1.432205.000000.847001.200179"/>
    <n v="14436370"/>
    <n v="13903370"/>
    <n v="11541929.949999999"/>
    <n v="77034"/>
    <n v="2239512.77"/>
    <n v="44893.2799999993"/>
  </r>
  <r>
    <x v="32"/>
    <s v="KUST - Ankabut office"/>
    <n v="492310"/>
    <s v="Hardware &amp; peripherals"/>
    <s v="847.8470810.1.492310.000000.847001.300180"/>
    <n v="3472296"/>
    <n v="3472296"/>
    <n v="215348"/>
    <n v="0"/>
    <n v="3103346"/>
    <n v="153602"/>
  </r>
  <r>
    <x v="32"/>
    <s v="KUST - Ankabut office"/>
    <n v="492316"/>
    <s v="Laboratory equipment"/>
    <s v="847.8470810.1.492316.000000.847001.300180"/>
    <m/>
    <m/>
    <n v="-388859"/>
    <n v="14972"/>
    <n v="335281"/>
    <n v="38606"/>
  </r>
  <r>
    <x v="32"/>
    <s v="KUST - Ankabut office"/>
    <n v="495110"/>
    <s v="Computer software"/>
    <s v="847.8470810.1.495110.000000.847001.300180"/>
    <n v="800000"/>
    <n v="800000"/>
    <n v="8815.2000000000007"/>
    <n v="0"/>
    <n v="787518"/>
    <n v="3666.8000000000502"/>
  </r>
  <r>
    <x v="33"/>
    <s v="KUST - Continuing Education Office"/>
    <n v="425100"/>
    <s v="Advertising"/>
    <s v="847.8471010.1.425100.000000.847001.200179"/>
    <n v="37500"/>
    <n v="97500"/>
    <m/>
    <n v="0"/>
    <n v="86900"/>
    <n v="10600"/>
  </r>
  <r>
    <x v="33"/>
    <s v="KUST - Continuing Education Office"/>
    <n v="425510"/>
    <s v="Conferences, seminars and exhibitions and other events: - Local Events"/>
    <s v="847.8471010.1.425510.000000.847001.200179"/>
    <n v="11250"/>
    <n v="0"/>
    <m/>
    <m/>
    <m/>
    <n v="0"/>
  </r>
  <r>
    <x v="33"/>
    <s v="KUST - Continuing Education Office"/>
    <n v="425550"/>
    <s v="Conferences, seminars and exhibitions and other events: - Overseas event"/>
    <s v="847.8471010.1.425550.000000.847001.200179"/>
    <n v="21000"/>
    <n v="0"/>
    <m/>
    <m/>
    <m/>
    <n v="0"/>
  </r>
  <r>
    <x v="33"/>
    <s v="KUST - Continuing Education Office"/>
    <n v="425720"/>
    <s v="Education-Outsourced training service"/>
    <s v="847.8471010.1.425720.000000.847001.200179"/>
    <n v="24000"/>
    <n v="24000"/>
    <n v="23528"/>
    <m/>
    <m/>
    <n v="472"/>
  </r>
  <r>
    <x v="33"/>
    <s v="KUST - Continuing Education Office"/>
    <n v="425900"/>
    <s v="Entertainment and hospitality"/>
    <s v="847.8471010.1.425900.000000.847001.200179"/>
    <n v="37500"/>
    <n v="37500"/>
    <n v="12253.5"/>
    <m/>
    <m/>
    <n v="25246.5"/>
  </r>
  <r>
    <x v="33"/>
    <s v="KUST - Continuing Education Office"/>
    <n v="436110"/>
    <s v="Printing supplies"/>
    <s v="847.8471010.1.436110.000000.847001.200179"/>
    <n v="57750"/>
    <n v="30000"/>
    <m/>
    <m/>
    <m/>
    <n v="30000"/>
  </r>
  <r>
    <x v="33"/>
    <s v="KUST - Continuing Education Office"/>
    <n v="436120"/>
    <s v="Stationery"/>
    <s v="847.8471010.1.436120.000000.847001.200179"/>
    <n v="3500"/>
    <n v="3500"/>
    <m/>
    <m/>
    <m/>
    <n v="3500"/>
  </r>
  <r>
    <x v="34"/>
    <s v="KUST - SVP/ Research &amp; Development Office"/>
    <n v="425510"/>
    <s v="Conferences, seminars and exhibitions and other events: - Local Events"/>
    <s v="847.8471110.1.425510.000000.847001.000000"/>
    <m/>
    <m/>
    <n v="-3500"/>
    <m/>
    <n v="0"/>
    <n v="3500"/>
  </r>
  <r>
    <x v="34"/>
    <s v="KUST - SVP/ Research &amp; Development Office"/>
    <n v="425770"/>
    <s v="Academic Missions - Combined expenses"/>
    <s v="847.8471110.1.425770.000000.847001.000000"/>
    <m/>
    <m/>
    <m/>
    <m/>
    <n v="0"/>
    <n v="0"/>
  </r>
  <r>
    <x v="35"/>
    <s v="KUST - Petroleum Institute"/>
    <n v="429900"/>
    <s v="Other services, not specifically mentioned elsewhere"/>
    <s v="847.8471121.1.429900.000000.847001.200179"/>
    <n v="7932"/>
    <n v="7932"/>
    <m/>
    <m/>
    <m/>
    <n v="7932"/>
  </r>
  <r>
    <x v="35"/>
    <s v="KUST - Petroleum Institute"/>
    <n v="435523"/>
    <s v="Scientific"/>
    <s v="847.8471121.1.435523.000000.847001.200179"/>
    <n v="0"/>
    <n v="0"/>
    <m/>
    <m/>
    <m/>
    <n v="0"/>
  </r>
  <r>
    <x v="36"/>
    <s v="KUST - Research Service"/>
    <n v="420570"/>
    <s v="Academic Collaborative Partnership Services"/>
    <s v="847.8471130.1.420570.000000.847001.200179"/>
    <m/>
    <m/>
    <n v="-550.95000000000005"/>
    <m/>
    <m/>
    <n v="550.95000000000005"/>
  </r>
  <r>
    <x v="36"/>
    <s v="KUST - Research Service"/>
    <n v="426610"/>
    <s v="Computer software licenses"/>
    <s v="847.8471130.1.426610.000000.847001.200179"/>
    <n v="500000"/>
    <n v="352600"/>
    <n v="156102.5"/>
    <n v="0"/>
    <n v="58768"/>
    <n v="137729.5"/>
  </r>
  <r>
    <x v="36"/>
    <s v="KUST - Research Service"/>
    <n v="426900"/>
    <s v="Postal, courier and other document delivery expenses"/>
    <s v="847.8471130.1.426900.000000.847001.200179"/>
    <n v="10000"/>
    <n v="10000"/>
    <m/>
    <m/>
    <m/>
    <n v="10000"/>
  </r>
  <r>
    <x v="36"/>
    <s v="KUST - Research Service"/>
    <n v="427900"/>
    <s v="Translation and interpretation service"/>
    <s v="847.8471130.1.427900.000000.847001.200179"/>
    <n v="5000"/>
    <n v="5000"/>
    <m/>
    <m/>
    <m/>
    <n v="5000"/>
  </r>
  <r>
    <x v="36"/>
    <s v="KUST - Research Service"/>
    <n v="435523"/>
    <s v="Scientific"/>
    <s v="847.8471130.1.435523.000000.847001.000000"/>
    <m/>
    <m/>
    <n v="-188448.66"/>
    <n v="22177.65"/>
    <n v="147160.93"/>
    <n v="19110.080000000002"/>
  </r>
  <r>
    <x v="36"/>
    <s v="KUST - Research Service"/>
    <n v="435523"/>
    <s v="Scientific"/>
    <s v="847.8471130.1.435523.000000.847001.200179"/>
    <n v="500000"/>
    <n v="280000"/>
    <n v="-163183.79999999999"/>
    <n v="348072.1"/>
    <n v="89774.64"/>
    <n v="5337.0599999998803"/>
  </r>
  <r>
    <x v="36"/>
    <s v="KUST - Research Service"/>
    <n v="436120"/>
    <s v="Stationery"/>
    <s v="847.8471130.1.436120.000000.847001.200179"/>
    <n v="10000"/>
    <n v="10000"/>
    <m/>
    <m/>
    <m/>
    <n v="10000"/>
  </r>
  <r>
    <x v="36"/>
    <s v="KUST - Research Service"/>
    <n v="492316"/>
    <s v="Laboratory equipment"/>
    <s v="847.8471130.1.492316.000000.847001.300180"/>
    <n v="0"/>
    <n v="0"/>
    <m/>
    <m/>
    <m/>
    <n v="0"/>
  </r>
  <r>
    <x v="37"/>
    <s v="KUST - University Sponsored Research"/>
    <n v="420570"/>
    <s v="Academic Collaborative Partnership Services"/>
    <s v="847.8471140.1.420570.000000.847001.200179"/>
    <n v="400000"/>
    <n v="400000"/>
    <n v="7724.61"/>
    <m/>
    <m/>
    <n v="392275.39"/>
  </r>
  <r>
    <x v="37"/>
    <s v="KUST - University Sponsored Research"/>
    <n v="426610"/>
    <s v="Computer software licenses"/>
    <s v="847.8471140.1.426610.000000.847001.200179"/>
    <n v="300000"/>
    <n v="0"/>
    <m/>
    <m/>
    <m/>
    <n v="0"/>
  </r>
  <r>
    <x v="37"/>
    <s v="KUST - University Sponsored Research"/>
    <n v="426900"/>
    <s v="Postal, courier and other document delivery expenses"/>
    <s v="847.8471140.1.426900.000000.847001.200179"/>
    <n v="10000"/>
    <n v="10000"/>
    <m/>
    <m/>
    <m/>
    <n v="10000"/>
  </r>
  <r>
    <x v="37"/>
    <s v="KUST - University Sponsored Research"/>
    <n v="435523"/>
    <s v="Scientific"/>
    <s v="847.8471140.1.435523.000000.847001.200179"/>
    <n v="92538664"/>
    <n v="94712011"/>
    <n v="72082344.550000101"/>
    <n v="1732252.07"/>
    <n v="5042395.8899999997"/>
    <n v="15816472.529999901"/>
  </r>
  <r>
    <x v="37"/>
    <s v="KUST - University Sponsored Research"/>
    <n v="492316"/>
    <s v="Laboratory equipment"/>
    <s v="847.8471140.1.492316.000000.847001.300180"/>
    <n v="1248535"/>
    <n v="1606304"/>
    <n v="937553.94"/>
    <n v="202168.91"/>
    <n v="273453.59999999998"/>
    <n v="193127.55"/>
  </r>
  <r>
    <x v="38"/>
    <s v="KUST - Technology Management &amp; Innovation"/>
    <n v="420900"/>
    <s v="Legal services"/>
    <s v="847.8471150.1.420900.000000.847001.000000"/>
    <m/>
    <m/>
    <n v="-16161.2"/>
    <m/>
    <n v="16161.2"/>
    <n v="0"/>
  </r>
  <r>
    <x v="38"/>
    <s v="KUST - Technology Management &amp; Innovation"/>
    <n v="420900"/>
    <s v="Legal services"/>
    <s v="847.8471150.1.420900.000000.847001.200179"/>
    <n v="3199193"/>
    <n v="3069193"/>
    <n v="2582417.14"/>
    <n v="418431"/>
    <n v="0"/>
    <n v="68344.860000000306"/>
  </r>
  <r>
    <x v="38"/>
    <s v="KUST - Technology Management &amp; Innovation"/>
    <n v="425510"/>
    <s v="Conferences, seminars and exhibitions and other events: - Local Events"/>
    <s v="847.8471150.1.425510.000000.847001.200179"/>
    <n v="0"/>
    <n v="10000"/>
    <m/>
    <m/>
    <m/>
    <n v="10000"/>
  </r>
  <r>
    <x v="38"/>
    <s v="KUST - Technology Management &amp; Innovation"/>
    <n v="425550"/>
    <s v="Conferences, seminars and exhibitions and other events: - Overseas event"/>
    <s v="847.8471150.1.425550.000000.847001.200179"/>
    <n v="0"/>
    <n v="40000"/>
    <m/>
    <m/>
    <m/>
    <n v="40000"/>
  </r>
  <r>
    <x v="38"/>
    <s v="KUST - Technology Management &amp; Innovation"/>
    <n v="426610"/>
    <s v="Computer software licenses"/>
    <s v="847.8471150.1.426610.000000.847001.200179"/>
    <n v="98576"/>
    <n v="178576"/>
    <n v="72675.59"/>
    <n v="76940.17"/>
    <n v="0"/>
    <n v="25257.1"/>
  </r>
  <r>
    <x v="39"/>
    <s v="KUST - Research Laboratories"/>
    <n v="422100"/>
    <s v="Waste management service"/>
    <s v="847.8471160.1.422100.000000.847001.200179"/>
    <n v="150000"/>
    <n v="100000"/>
    <n v="100000"/>
    <n v="0"/>
    <n v="0"/>
    <n v="0"/>
  </r>
  <r>
    <x v="39"/>
    <s v="KUST - Research Laboratories"/>
    <n v="426610"/>
    <s v="Computer software licenses"/>
    <s v="847.8471160.1.426610.000000.847001.200179"/>
    <n v="100000"/>
    <n v="93581"/>
    <n v="-694.2"/>
    <n v="41557.550000000003"/>
    <n v="51401.33"/>
    <n v="1316.3199999999899"/>
  </r>
  <r>
    <x v="39"/>
    <s v="KUST - Research Laboratories"/>
    <n v="430120"/>
    <s v="Rental - Buildings, other than staff residences"/>
    <s v="847.8471160.1.430120.000000.847001.200179"/>
    <n v="0"/>
    <n v="180000"/>
    <m/>
    <m/>
    <m/>
    <n v="180000"/>
  </r>
  <r>
    <x v="39"/>
    <s v="KUST - Research Laboratories"/>
    <n v="430330"/>
    <s v="Rental - Motor vehicles"/>
    <s v="847.8471160.1.430330.000000.847001.000000"/>
    <m/>
    <m/>
    <n v="-69791.75"/>
    <m/>
    <n v="69791.75"/>
    <n v="0"/>
  </r>
  <r>
    <x v="39"/>
    <s v="KUST - Research Laboratories"/>
    <n v="432209"/>
    <s v="Laboratory equipment"/>
    <s v="847.8471160.1.432209.000000.847001.000000"/>
    <m/>
    <m/>
    <n v="-5580"/>
    <m/>
    <n v="0"/>
    <n v="5580"/>
  </r>
  <r>
    <x v="39"/>
    <s v="KUST - Research Laboratories"/>
    <n v="432209"/>
    <s v="Laboratory equipment"/>
    <s v="847.8471160.1.432209.000000.847001.200179"/>
    <n v="14032358"/>
    <n v="15114177"/>
    <n v="6393214.2599999998"/>
    <n v="528270.78"/>
    <n v="7958646.2699999996"/>
    <n v="234045.68999999799"/>
  </r>
  <r>
    <x v="39"/>
    <s v="KUST - Research Laboratories"/>
    <n v="435508"/>
    <s v="Laboratory - Scientific"/>
    <s v="847.8471160.1.435508.000000.847001.000000"/>
    <m/>
    <m/>
    <n v="61368.98"/>
    <m/>
    <n v="0"/>
    <n v="-61368.98"/>
  </r>
  <r>
    <x v="39"/>
    <s v="KUST - Research Laboratories"/>
    <n v="435508"/>
    <s v="Laboratory - Scientific"/>
    <s v="847.8471160.1.435508.000000.847001.200179"/>
    <n v="1869526"/>
    <n v="1753166"/>
    <n v="936037.24"/>
    <n v="447471"/>
    <n v="358754.64"/>
    <n v="10903.120000000299"/>
  </r>
  <r>
    <x v="39"/>
    <s v="KUST - Research Laboratories"/>
    <n v="492200"/>
    <s v="Capital expense - Buildings"/>
    <s v="847.8471160.1.492200.000000.847001.300180"/>
    <n v="6000000"/>
    <n v="3139782"/>
    <m/>
    <n v="0"/>
    <n v="3139781"/>
    <n v="1"/>
  </r>
  <r>
    <x v="39"/>
    <s v="KUST - Research Laboratories"/>
    <n v="492316"/>
    <s v="Laboratory equipment"/>
    <s v="847.8471160.1.492316.000000.847001.300180"/>
    <n v="9652373"/>
    <n v="10282373"/>
    <n v="2638446.0699999998"/>
    <n v="76354.8"/>
    <n v="6954729.3799999999"/>
    <n v="612842.74999999802"/>
  </r>
  <r>
    <x v="40"/>
    <s v="KUST - Research Computing"/>
    <n v="420810"/>
    <s v="IT Systems &amp; Support expenses"/>
    <s v="847.8471170.1.420810.000000.847001.200179"/>
    <n v="1100000"/>
    <n v="800000"/>
    <m/>
    <n v="0"/>
    <n v="798441"/>
    <n v="1559"/>
  </r>
  <r>
    <x v="40"/>
    <s v="KUST - Research Computing"/>
    <n v="426610"/>
    <s v="Computer software licenses"/>
    <s v="847.8471170.1.426610.000000.847001.200179"/>
    <n v="1015642"/>
    <n v="1315642"/>
    <n v="952988.63"/>
    <n v="0"/>
    <n v="350923.1"/>
    <n v="11730.27"/>
  </r>
  <r>
    <x v="40"/>
    <s v="KUST - Research Computing"/>
    <n v="492310"/>
    <s v="Hardware &amp; peripherals"/>
    <s v="847.8471170.1.492310.000000.847001.300180"/>
    <n v="10000"/>
    <n v="10000"/>
    <n v="9510"/>
    <n v="0"/>
    <n v="0"/>
    <n v="490"/>
  </r>
  <r>
    <x v="40"/>
    <s v="KUST - Research Computing"/>
    <n v="492316"/>
    <s v="Laboratory equipment"/>
    <s v="847.8471170.1.492316.000000.847001.300180"/>
    <n v="6595858"/>
    <n v="6595858"/>
    <m/>
    <n v="0"/>
    <n v="6593486"/>
    <n v="2372"/>
  </r>
  <r>
    <x v="40"/>
    <s v="KUST - Research Computing"/>
    <n v="495110"/>
    <s v="Computer software"/>
    <s v="847.8471170.1.495110.000000.847001.300180"/>
    <n v="190000"/>
    <n v="190000"/>
    <n v="33644"/>
    <n v="0"/>
    <n v="75296.5"/>
    <n v="81059.5"/>
  </r>
  <r>
    <x v="41"/>
    <s v="KUST - SVP/ Academic &amp; Student Services Office"/>
    <n v="425745"/>
    <s v="Student relocation &amp; travel exps"/>
    <s v="847.8471210.1.425745.000000.847001.000000"/>
    <m/>
    <m/>
    <m/>
    <m/>
    <n v="0"/>
    <n v="0"/>
  </r>
  <r>
    <x v="41"/>
    <s v="KUST - SVP/ Academic &amp; Student Services Office"/>
    <n v="425746"/>
    <s v="Student Transport"/>
    <s v="847.8471210.1.425746.000000.847001.000000"/>
    <m/>
    <m/>
    <n v="-97605"/>
    <m/>
    <m/>
    <n v="97605"/>
  </r>
  <r>
    <x v="41"/>
    <s v="KUST - SVP/ Academic &amp; Student Services Office"/>
    <n v="425760"/>
    <s v="Student activities &amp; field trip expenses"/>
    <s v="847.8471210.1.425760.000000.847001.000000"/>
    <m/>
    <m/>
    <n v="-3900"/>
    <m/>
    <n v="0"/>
    <n v="3900"/>
  </r>
  <r>
    <x v="42"/>
    <s v="KUST - Registrar"/>
    <n v="425510"/>
    <s v="Conferences, seminars and exhibitions and other events: - Local Events"/>
    <s v="847.8471220.1.425510.000000.847001.200179"/>
    <n v="2000"/>
    <n v="2000"/>
    <m/>
    <m/>
    <m/>
    <n v="2000"/>
  </r>
  <r>
    <x v="42"/>
    <s v="KUST - Registrar"/>
    <n v="425550"/>
    <s v="Conferences, seminars and exhibitions and other events: - Overseas event"/>
    <s v="847.8471220.1.425550.000000.847001.200179"/>
    <n v="1"/>
    <n v="1"/>
    <m/>
    <m/>
    <m/>
    <n v="1"/>
  </r>
  <r>
    <x v="42"/>
    <s v="KUST - Registrar"/>
    <n v="425741"/>
    <s v="Student stipend"/>
    <s v="847.8471220.1.425741.000000.847001.200179"/>
    <m/>
    <m/>
    <n v="0"/>
    <m/>
    <m/>
    <n v="0"/>
  </r>
  <r>
    <x v="42"/>
    <s v="KUST - Registrar"/>
    <n v="425741"/>
    <s v="Student stipend"/>
    <s v="847.8471220.1.425741.000000.847001.201211"/>
    <n v="0"/>
    <n v="46232000"/>
    <n v="33268400"/>
    <m/>
    <m/>
    <n v="12963600"/>
  </r>
  <r>
    <x v="42"/>
    <s v="KUST - Registrar"/>
    <n v="426900"/>
    <s v="Postal, courier and other document delivery expenses"/>
    <s v="847.8471220.1.426900.000000.847001.200179"/>
    <n v="10000"/>
    <n v="10000"/>
    <m/>
    <m/>
    <m/>
    <n v="10000"/>
  </r>
  <r>
    <x v="42"/>
    <s v="KUST - Registrar"/>
    <n v="435340"/>
    <s v="Text books and library books"/>
    <s v="847.8471220.1.435340.000000.847001.200179"/>
    <n v="11133825"/>
    <n v="10152825"/>
    <n v="9490279.4399999995"/>
    <n v="0"/>
    <n v="-0.21999999977606399"/>
    <n v="662545.78"/>
  </r>
  <r>
    <x v="42"/>
    <s v="KUST - Registrar"/>
    <n v="436110"/>
    <s v="Printing supplies"/>
    <s v="847.8471220.1.436110.000000.847001.200179"/>
    <n v="250000"/>
    <n v="150000"/>
    <n v="21820"/>
    <n v="0"/>
    <n v="0"/>
    <n v="128180"/>
  </r>
  <r>
    <x v="42"/>
    <s v="KUST - Registrar"/>
    <n v="436120"/>
    <s v="Stationery"/>
    <s v="847.8471220.1.436120.000000.847001.200179"/>
    <n v="5686"/>
    <n v="5686"/>
    <m/>
    <m/>
    <m/>
    <n v="5686"/>
  </r>
  <r>
    <x v="43"/>
    <s v="KUST - Student Enrollment"/>
    <n v="425742"/>
    <s v="Enrollment expenses"/>
    <s v="847.8471230.1.425742.000000.847001.200179"/>
    <n v="1944196"/>
    <n v="929184"/>
    <n v="786173.09"/>
    <n v="1"/>
    <n v="81500"/>
    <n v="58382.400000000001"/>
  </r>
  <r>
    <x v="43"/>
    <s v="KUST - Student Enrollment"/>
    <n v="426610"/>
    <s v="Computer software licenses"/>
    <s v="847.8471230.1.426610.000000.847001.200179"/>
    <n v="73019"/>
    <n v="105019"/>
    <n v="95604.5"/>
    <n v="0"/>
    <n v="0"/>
    <n v="9414.5"/>
  </r>
  <r>
    <x v="44"/>
    <s v="KUST - Student Success"/>
    <n v="425510"/>
    <s v="Conferences, seminars and exhibitions and other events: - Local Events"/>
    <s v="847.8471240.1.425510.000000.847001.200179"/>
    <n v="0"/>
    <n v="86500"/>
    <n v="0"/>
    <n v="55000"/>
    <m/>
    <n v="31500"/>
  </r>
  <r>
    <x v="44"/>
    <s v="KUST - Student Success"/>
    <n v="425720"/>
    <s v="Education-Outsourced training service"/>
    <s v="847.8471240.1.425720.000000.847001.200179"/>
    <m/>
    <m/>
    <n v="-94.58"/>
    <m/>
    <m/>
    <n v="94.58"/>
  </r>
  <r>
    <x v="44"/>
    <s v="KUST - Student Success"/>
    <n v="425761"/>
    <s v="Student Field trips"/>
    <s v="847.8471240.1.425761.000000.847001.200179"/>
    <n v="399867"/>
    <n v="313175"/>
    <n v="191879.63"/>
    <m/>
    <m/>
    <n v="121295.37"/>
  </r>
  <r>
    <x v="44"/>
    <s v="KUST - Student Success"/>
    <n v="426610"/>
    <s v="Computer software licenses"/>
    <s v="847.8471240.1.426610.000000.847001.200179"/>
    <n v="495270"/>
    <n v="495462"/>
    <n v="143247"/>
    <n v="0"/>
    <n v="352215"/>
    <n v="0"/>
  </r>
  <r>
    <x v="45"/>
    <s v="KUST - Career Services"/>
    <n v="425510"/>
    <s v="Conferences, seminars and exhibitions and other events: - Local Events"/>
    <s v="847.8471250.1.425510.000000.847001.200179"/>
    <n v="150000"/>
    <n v="430000"/>
    <n v="116282.42"/>
    <n v="0"/>
    <n v="130582.5"/>
    <n v="183135.08"/>
  </r>
  <r>
    <x v="45"/>
    <s v="KUST - Career Services"/>
    <n v="425720"/>
    <s v="Education-Outsourced training service"/>
    <s v="847.8471250.1.425720.000000.847001.200179"/>
    <n v="392000"/>
    <n v="671550"/>
    <n v="370000"/>
    <n v="0"/>
    <n v="0"/>
    <n v="301550"/>
  </r>
  <r>
    <x v="45"/>
    <s v="KUST - Career Services"/>
    <n v="425762"/>
    <s v="Student Internship"/>
    <s v="847.8471250.1.425762.000000.847001.200179"/>
    <n v="0"/>
    <n v="150000"/>
    <m/>
    <m/>
    <m/>
    <n v="150000"/>
  </r>
  <r>
    <x v="45"/>
    <s v="KUST - Career Services"/>
    <n v="426610"/>
    <s v="Computer software licenses"/>
    <s v="847.8471250.1.426610.000000.847001.200179"/>
    <n v="0"/>
    <n v="65000"/>
    <m/>
    <m/>
    <m/>
    <n v="65000"/>
  </r>
  <r>
    <x v="45"/>
    <s v="KUST - Career Services"/>
    <n v="428090"/>
    <s v="Business Travel - Combined expenses"/>
    <s v="847.8471250.1.428090.000000.847001.200179"/>
    <n v="0"/>
    <n v="4400"/>
    <m/>
    <m/>
    <m/>
    <n v="4400"/>
  </r>
  <r>
    <x v="45"/>
    <s v="KUST - Career Services"/>
    <n v="436110"/>
    <s v="Printing supplies"/>
    <s v="847.8471250.1.436110.000000.847001.200179"/>
    <m/>
    <m/>
    <n v="-5910"/>
    <m/>
    <n v="0"/>
    <n v="5910"/>
  </r>
  <r>
    <x v="46"/>
    <s v="KUST - Student Life"/>
    <n v="420310"/>
    <s v="Cleaning: Business premises"/>
    <s v="847.8471260.1.420310.000000.847001.200179"/>
    <n v="737101"/>
    <n v="227741"/>
    <n v="-2820.15"/>
    <m/>
    <n v="-9.9999999802094005E-3"/>
    <n v="230561.16"/>
  </r>
  <r>
    <x v="46"/>
    <s v="KUST - Student Life"/>
    <n v="421100"/>
    <s v="Manpower supply"/>
    <s v="847.8471260.1.421100.000000.847001.200179"/>
    <n v="1696000"/>
    <n v="1469700"/>
    <n v="1009728"/>
    <n v="1"/>
    <n v="368472"/>
    <n v="91499"/>
  </r>
  <r>
    <x v="46"/>
    <s v="KUST - Student Life"/>
    <n v="421600"/>
    <s v="Security service"/>
    <s v="847.8471260.1.421600.000000.847001.200179"/>
    <n v="395724"/>
    <n v="1751"/>
    <n v="1750.45"/>
    <m/>
    <n v="0"/>
    <n v="0.54999999999927196"/>
  </r>
  <r>
    <x v="46"/>
    <s v="KUST - Student Life"/>
    <n v="422400"/>
    <s v="Medical services"/>
    <s v="847.8471260.1.422400.000000.847951.200179"/>
    <n v="0"/>
    <n v="1240"/>
    <n v="1240"/>
    <m/>
    <m/>
    <n v="0"/>
  </r>
  <r>
    <x v="46"/>
    <s v="KUST - Student Life"/>
    <n v="425746"/>
    <s v="Student Transport"/>
    <s v="847.8471260.1.425746.000000.847001.200179"/>
    <n v="7141150"/>
    <n v="11371150"/>
    <n v="3534722.07"/>
    <n v="0"/>
    <n v="5250539.7699999996"/>
    <n v="2585888.16"/>
  </r>
  <r>
    <x v="46"/>
    <s v="KUST - Student Life"/>
    <n v="425747"/>
    <s v="Student Accommodation"/>
    <s v="847.8471260.1.425747.000000.847001.200179"/>
    <n v="213000"/>
    <n v="1080000"/>
    <m/>
    <m/>
    <m/>
    <n v="1080000"/>
  </r>
  <r>
    <x v="46"/>
    <s v="KUST - Student Life"/>
    <n v="425750"/>
    <s v="Skill assessment service"/>
    <s v="847.8471260.1.425750.000000.847001.200179"/>
    <n v="25000"/>
    <n v="25000"/>
    <n v="25000"/>
    <m/>
    <n v="0"/>
    <n v="0"/>
  </r>
  <r>
    <x v="46"/>
    <s v="KUST - Student Life"/>
    <n v="425760"/>
    <s v="Student activities &amp; field trip expenses"/>
    <s v="847.8471260.1.425760.000000.847001.200179"/>
    <n v="0"/>
    <n v="323360"/>
    <n v="179027.15"/>
    <n v="0"/>
    <n v="33800"/>
    <n v="110532.85"/>
  </r>
  <r>
    <x v="46"/>
    <s v="KUST - Student Life"/>
    <n v="425900"/>
    <s v="Entertainment and hospitality"/>
    <s v="847.8471260.1.425900.000000.847001.200179"/>
    <n v="0"/>
    <n v="42300"/>
    <n v="4368"/>
    <m/>
    <m/>
    <n v="37932"/>
  </r>
  <r>
    <x v="46"/>
    <s v="KUST - Student Life"/>
    <n v="426220"/>
    <s v="Insurance - Fire and allied perils"/>
    <s v="847.8471260.1.426220.000000.847001.200179"/>
    <n v="16267"/>
    <n v="7905"/>
    <n v="7904.54000000001"/>
    <m/>
    <m/>
    <n v="0.45999999999185098"/>
  </r>
  <r>
    <x v="46"/>
    <s v="KUST - Student Life"/>
    <n v="428090"/>
    <s v="Business Travel - Combined expenses"/>
    <s v="847.8471260.1.428090.000000.847001.200179"/>
    <n v="0"/>
    <n v="0"/>
    <m/>
    <m/>
    <m/>
    <n v="0"/>
  </r>
  <r>
    <x v="46"/>
    <s v="KUST - Student Life"/>
    <n v="428111"/>
    <s v="Electricity consumption charges"/>
    <s v="847.8471260.1.428111.000000.847001.200179"/>
    <n v="665918"/>
    <n v="506185"/>
    <n v="506184.86"/>
    <m/>
    <m/>
    <n v="0.140000000101281"/>
  </r>
  <r>
    <x v="46"/>
    <s v="KUST - Student Life"/>
    <n v="428112"/>
    <s v="Water consumption charges"/>
    <s v="847.8471260.1.428112.000000.847001.200179"/>
    <n v="194144"/>
    <n v="166805"/>
    <n v="166804.99"/>
    <m/>
    <m/>
    <n v="1.0000000016589201E-2"/>
  </r>
  <r>
    <x v="46"/>
    <s v="KUST - Student Life"/>
    <n v="428640"/>
    <s v="Events - Awards, prizes &amp; gifts"/>
    <s v="847.8471260.1.428640.000000.847001.200179"/>
    <n v="2375"/>
    <n v="62375"/>
    <n v="9782.81"/>
    <m/>
    <m/>
    <n v="49592.19"/>
  </r>
  <r>
    <x v="46"/>
    <s v="KUST - Student Life"/>
    <n v="430230"/>
    <s v="Rental - Equipment"/>
    <s v="847.8471260.1.430230.000000.847001.200179"/>
    <n v="5500"/>
    <n v="5500"/>
    <n v="5500"/>
    <m/>
    <m/>
    <n v="0"/>
  </r>
  <r>
    <x v="46"/>
    <s v="KUST - Student Life"/>
    <n v="432120"/>
    <s v="Bldg maintenance-Business premises"/>
    <s v="847.8471260.1.432120.000000.847001.200179"/>
    <n v="677010"/>
    <n v="118837"/>
    <n v="118836.36"/>
    <n v="0"/>
    <n v="-1.0000000002037299E-2"/>
    <n v="0.64999999998690305"/>
  </r>
  <r>
    <x v="46"/>
    <s v="KUST - Student Life"/>
    <n v="435530"/>
    <s v="School consumables, not specifically mentioned elsewhere"/>
    <s v="847.8471260.1.435530.000000.847001.200179"/>
    <n v="0"/>
    <n v="32000"/>
    <n v="29547"/>
    <n v="0"/>
    <n v="0"/>
    <n v="2453"/>
  </r>
  <r>
    <x v="47"/>
    <s v="KUST - Libraries"/>
    <n v="435310"/>
    <s v="Newspapers, magazines, journals, etc"/>
    <s v="847.8471270.1.435310.000000.847001.200179"/>
    <n v="227"/>
    <n v="227"/>
    <n v="-8404.76"/>
    <m/>
    <m/>
    <n v="8631.76"/>
  </r>
  <r>
    <x v="47"/>
    <s v="KUST - Libraries"/>
    <n v="435330"/>
    <s v="Library books"/>
    <s v="847.8471270.1.435330.000000.847001.200179"/>
    <n v="12960003"/>
    <n v="13400003"/>
    <n v="12891744.279999999"/>
    <n v="0"/>
    <n v="355549.14"/>
    <n v="152709.58000000101"/>
  </r>
  <r>
    <x v="47"/>
    <s v="KUST - Libraries"/>
    <n v="436120"/>
    <s v="Stationery"/>
    <s v="847.8471270.1.436120.000000.847001.200179"/>
    <n v="0"/>
    <n v="0"/>
    <m/>
    <m/>
    <m/>
    <n v="0"/>
  </r>
  <r>
    <x v="48"/>
    <s v="KUST - Center for Teaching &amp; Learning"/>
    <n v="425510"/>
    <s v="Conferences, seminars and exhibitions and other events: - Local Events"/>
    <s v="847.8471280.1.425510.000000.847001.200179"/>
    <n v="10000"/>
    <n v="10000"/>
    <n v="5822.25"/>
    <m/>
    <m/>
    <n v="4177.75"/>
  </r>
  <r>
    <x v="48"/>
    <s v="KUST - Center for Teaching &amp; Learning"/>
    <n v="425550"/>
    <s v="Conferences, seminars and exhibitions and other events: - Overseas event"/>
    <s v="847.8471280.1.425550.000000.847001.200179"/>
    <n v="20000"/>
    <n v="20000"/>
    <n v="7346"/>
    <m/>
    <m/>
    <n v="12654"/>
  </r>
  <r>
    <x v="48"/>
    <s v="KUST - Center for Teaching &amp; Learning"/>
    <n v="425770"/>
    <s v="Academic Missions - Combined expenses"/>
    <s v="847.8471280.1.425770.000000.847001.200179"/>
    <n v="32721"/>
    <n v="32721"/>
    <n v="30906.93"/>
    <m/>
    <m/>
    <n v="1814.07"/>
  </r>
  <r>
    <x v="48"/>
    <s v="KUST - Center for Teaching &amp; Learning"/>
    <n v="426610"/>
    <s v="Computer software licenses"/>
    <s v="847.8471280.1.426610.000000.847001.200179"/>
    <n v="120000"/>
    <n v="120000"/>
    <n v="108507.33"/>
    <n v="0"/>
    <n v="0"/>
    <n v="11492.67"/>
  </r>
  <r>
    <x v="48"/>
    <s v="KUST - Center for Teaching &amp; Learning"/>
    <n v="428640"/>
    <s v="Events - Awards, prizes &amp; gifts"/>
    <s v="847.8471280.1.428640.000000.847001.200179"/>
    <n v="2000"/>
    <n v="2000"/>
    <n v="825"/>
    <m/>
    <m/>
    <n v="1175"/>
  </r>
  <r>
    <x v="49"/>
    <s v="KUST - Dean Of Medicine"/>
    <n v="420550"/>
    <s v="Academic Advisory Service"/>
    <s v="847.8471305.1.420550.000000.847001.200179"/>
    <n v="1"/>
    <n v="1"/>
    <m/>
    <m/>
    <m/>
    <n v="1"/>
  </r>
  <r>
    <x v="49"/>
    <s v="KUST - Dean Of Medicine"/>
    <n v="420570"/>
    <s v="Academic Collaborative Partnership Services"/>
    <s v="847.8471305.1.420570.000000.847001.200179"/>
    <n v="1"/>
    <n v="16980288"/>
    <n v="10857770"/>
    <n v="1469188"/>
    <m/>
    <n v="4653330"/>
  </r>
  <r>
    <x v="49"/>
    <s v="KUST - Dean Of Medicine"/>
    <n v="420810"/>
    <s v="IT Systems &amp; Support expenses"/>
    <s v="847.8471305.1.420810.000000.847001.200179"/>
    <n v="1429265"/>
    <n v="1000000"/>
    <n v="1300"/>
    <m/>
    <m/>
    <n v="998700"/>
  </r>
  <r>
    <x v="49"/>
    <s v="KUST - Dean Of Medicine"/>
    <n v="421000"/>
    <s v="Management consultancy"/>
    <s v="847.8471305.1.421000.000000.847001.200179"/>
    <n v="332160"/>
    <n v="0"/>
    <m/>
    <m/>
    <m/>
    <n v="0"/>
  </r>
  <r>
    <x v="49"/>
    <s v="KUST - Dean Of Medicine"/>
    <n v="421700"/>
    <s v="Standards certification (e.g. ISO)"/>
    <s v="847.8471305.1.421700.000000.847001.200179"/>
    <n v="186258"/>
    <n v="86258"/>
    <n v="85394.13"/>
    <n v="0"/>
    <n v="0"/>
    <n v="863.869999999995"/>
  </r>
  <r>
    <x v="49"/>
    <s v="KUST - Dean Of Medicine"/>
    <n v="422100"/>
    <s v="Waste management service"/>
    <s v="847.8471305.1.422100.000000.847001.200179"/>
    <n v="59066"/>
    <n v="59066"/>
    <m/>
    <n v="0"/>
    <n v="31000"/>
    <n v="28066"/>
  </r>
  <r>
    <x v="49"/>
    <s v="KUST - Dean Of Medicine"/>
    <n v="422900"/>
    <s v="Other specialised professional services, not mentioned elsewhere"/>
    <s v="847.8471305.1.422900.000000.847001.200179"/>
    <n v="61934"/>
    <n v="61934"/>
    <n v="53742.06"/>
    <m/>
    <m/>
    <n v="8191.94"/>
  </r>
  <r>
    <x v="49"/>
    <s v="KUST - Dean Of Medicine"/>
    <n v="425100"/>
    <s v="Advertising"/>
    <s v="847.8471305.1.425100.000000.847001.200179"/>
    <n v="129220"/>
    <n v="79220"/>
    <n v="257.85000000000002"/>
    <m/>
    <m/>
    <n v="78962.149999999994"/>
  </r>
  <r>
    <x v="49"/>
    <s v="KUST - Dean Of Medicine"/>
    <n v="425510"/>
    <s v="Conferences, seminars and exhibitions and other events: - Local Events"/>
    <s v="847.8471305.1.425510.000000.847001.200179"/>
    <n v="114961"/>
    <n v="234961"/>
    <n v="44135.8"/>
    <n v="0"/>
    <n v="39000"/>
    <n v="151537.20000000001"/>
  </r>
  <r>
    <x v="49"/>
    <s v="KUST - Dean Of Medicine"/>
    <n v="425550"/>
    <s v="Conferences, seminars and exhibitions and other events: - Overseas event"/>
    <s v="847.8471305.1.425550.000000.847001.200179"/>
    <n v="53774"/>
    <n v="123774"/>
    <n v="26926.2"/>
    <m/>
    <m/>
    <n v="96847.8"/>
  </r>
  <r>
    <x v="49"/>
    <s v="KUST - Dean Of Medicine"/>
    <n v="425720"/>
    <s v="Education-Outsourced training service"/>
    <s v="847.8471305.1.425720.000000.847001.200179"/>
    <n v="2092953"/>
    <n v="3421083"/>
    <n v="1335227.8999999999"/>
    <n v="1030000"/>
    <n v="0"/>
    <n v="1055855.1000000001"/>
  </r>
  <r>
    <x v="49"/>
    <s v="KUST - Dean Of Medicine"/>
    <n v="425742"/>
    <s v="Enrollment expenses"/>
    <s v="847.8471305.1.425742.000000.847001.200179"/>
    <n v="90000"/>
    <n v="90000"/>
    <n v="7570.3"/>
    <m/>
    <m/>
    <n v="82429.7"/>
  </r>
  <r>
    <x v="49"/>
    <s v="KUST - Dean Of Medicine"/>
    <n v="425745"/>
    <s v="Student relocation &amp; travel exps"/>
    <s v="847.8471305.1.425745.000000.847001.200179"/>
    <n v="0"/>
    <n v="0"/>
    <m/>
    <m/>
    <m/>
    <n v="0"/>
  </r>
  <r>
    <x v="49"/>
    <s v="KUST - Dean Of Medicine"/>
    <n v="425746"/>
    <s v="Student Transport"/>
    <s v="847.8471305.1.425746.000000.847001.200179"/>
    <n v="95665"/>
    <n v="95665"/>
    <m/>
    <m/>
    <m/>
    <n v="95665"/>
  </r>
  <r>
    <x v="49"/>
    <s v="KUST - Dean Of Medicine"/>
    <n v="425749"/>
    <s v="Postgraduate Student Salaries"/>
    <s v="847.8471305.1.425749.000000.847001.200179"/>
    <n v="10773054"/>
    <n v="13598539"/>
    <n v="13103266.380000001"/>
    <m/>
    <m/>
    <n v="495272.61999999901"/>
  </r>
  <r>
    <x v="49"/>
    <s v="KUST - Dean Of Medicine"/>
    <n v="425750"/>
    <s v="Skill assessment service"/>
    <s v="847.8471305.1.425750.000000.847001.200179"/>
    <m/>
    <m/>
    <n v="0"/>
    <m/>
    <m/>
    <n v="0"/>
  </r>
  <r>
    <x v="49"/>
    <s v="KUST - Dean Of Medicine"/>
    <n v="425760"/>
    <s v="Student activities &amp; field trip expenses"/>
    <s v="847.8471305.1.425760.000000.847001.200179"/>
    <n v="4146"/>
    <n v="64146"/>
    <n v="8604"/>
    <m/>
    <m/>
    <n v="55542"/>
  </r>
  <r>
    <x v="49"/>
    <s v="KUST - Dean Of Medicine"/>
    <n v="425762"/>
    <s v="Student Internship"/>
    <s v="847.8471305.1.425762.000000.847001.200179"/>
    <n v="59066"/>
    <n v="49066"/>
    <m/>
    <m/>
    <m/>
    <n v="49066"/>
  </r>
  <r>
    <x v="49"/>
    <s v="KUST - Dean Of Medicine"/>
    <n v="425763"/>
    <s v="Student Project Expenses"/>
    <s v="847.8471305.1.425763.000000.847001.200179"/>
    <n v="50872"/>
    <n v="50872"/>
    <n v="23080"/>
    <n v="0"/>
    <n v="0"/>
    <n v="27792"/>
  </r>
  <r>
    <x v="49"/>
    <s v="KUST - Dean Of Medicine"/>
    <n v="425770"/>
    <s v="Academic Missions - Combined expenses"/>
    <s v="847.8471305.1.425770.000000.847001.200179"/>
    <n v="59112"/>
    <n v="59112"/>
    <m/>
    <n v="0"/>
    <n v="25711"/>
    <n v="33401"/>
  </r>
  <r>
    <x v="49"/>
    <s v="KUST - Dean Of Medicine"/>
    <n v="425900"/>
    <s v="Entertainment and hospitality"/>
    <s v="847.8471305.1.425900.000000.847001.200179"/>
    <n v="53508"/>
    <n v="53508"/>
    <n v="17414.509999999998"/>
    <m/>
    <m/>
    <n v="36093.49"/>
  </r>
  <r>
    <x v="49"/>
    <s v="KUST - Dean Of Medicine"/>
    <n v="426100"/>
    <s v="Freight and shipping costs, not included elsewhere under purchase costs"/>
    <s v="847.8471305.1.426100.000000.847001.200179"/>
    <n v="10000"/>
    <n v="10000"/>
    <m/>
    <m/>
    <m/>
    <n v="10000"/>
  </r>
  <r>
    <x v="49"/>
    <s v="KUST - Dean Of Medicine"/>
    <n v="426610"/>
    <s v="Computer software licenses"/>
    <s v="847.8471305.1.426610.000000.847001.200179"/>
    <n v="787759"/>
    <n v="1217024"/>
    <n v="843812.94"/>
    <n v="203760.24"/>
    <n v="168104.5"/>
    <n v="1346.3199999999499"/>
  </r>
  <r>
    <x v="49"/>
    <s v="KUST - Dean Of Medicine"/>
    <n v="426900"/>
    <s v="Postal, courier and other document delivery expenses"/>
    <s v="847.8471305.1.426900.000000.847001.200179"/>
    <n v="16408"/>
    <n v="16408"/>
    <n v="290"/>
    <m/>
    <m/>
    <n v="16118"/>
  </r>
  <r>
    <x v="49"/>
    <s v="KUST - Dean Of Medicine"/>
    <n v="427100"/>
    <s v="Public relations"/>
    <s v="847.8471305.1.427100.000000.847001.200179"/>
    <n v="1"/>
    <n v="1"/>
    <m/>
    <m/>
    <m/>
    <n v="1"/>
  </r>
  <r>
    <x v="49"/>
    <s v="KUST - Dean Of Medicine"/>
    <n v="427200"/>
    <s v="Printing and publishing"/>
    <s v="847.8471305.1.427200.000000.847001.200179"/>
    <n v="164073"/>
    <n v="164073"/>
    <n v="158351.81"/>
    <m/>
    <m/>
    <n v="5721.19"/>
  </r>
  <r>
    <x v="49"/>
    <s v="KUST - Dean Of Medicine"/>
    <n v="427710"/>
    <s v="Subscriptions and membership fees: Trade organisations"/>
    <s v="847.8471305.1.427710.000000.847001.200179"/>
    <n v="26780"/>
    <n v="26780"/>
    <n v="14706.73"/>
    <m/>
    <m/>
    <n v="12073.27"/>
  </r>
  <r>
    <x v="49"/>
    <s v="KUST - Dean Of Medicine"/>
    <n v="427810"/>
    <s v="Telephone and telefax charges"/>
    <s v="847.8471305.1.427810.000000.847001.200179"/>
    <n v="10000"/>
    <n v="10000"/>
    <m/>
    <m/>
    <m/>
    <n v="10000"/>
  </r>
  <r>
    <x v="49"/>
    <s v="KUST - Dean Of Medicine"/>
    <n v="428090"/>
    <s v="Business Travel - Combined expenses"/>
    <s v="847.8471305.1.428090.000000.847001.200179"/>
    <n v="17601"/>
    <n v="16951"/>
    <m/>
    <m/>
    <m/>
    <n v="16951"/>
  </r>
  <r>
    <x v="49"/>
    <s v="KUST - Dean Of Medicine"/>
    <n v="428400"/>
    <s v="Sponsorship expenses/contributions"/>
    <s v="847.8471305.1.428400.000000.847001.200179"/>
    <n v="1"/>
    <n v="1"/>
    <m/>
    <m/>
    <m/>
    <n v="1"/>
  </r>
  <r>
    <x v="49"/>
    <s v="KUST - Dean Of Medicine"/>
    <n v="428640"/>
    <s v="Events - Awards, prizes &amp; gifts"/>
    <s v="847.8471305.1.428640.000000.847001.200179"/>
    <n v="1936"/>
    <n v="1936"/>
    <n v="1200"/>
    <m/>
    <m/>
    <n v="736"/>
  </r>
  <r>
    <x v="49"/>
    <s v="KUST - Dean Of Medicine"/>
    <n v="432205"/>
    <s v="Computers and peripherals"/>
    <s v="847.8471305.1.432205.000000.847001.200179"/>
    <n v="114851"/>
    <n v="114851"/>
    <n v="99532.62"/>
    <n v="8500"/>
    <n v="0"/>
    <n v="6818.38"/>
  </r>
  <r>
    <x v="49"/>
    <s v="KUST - Dean Of Medicine"/>
    <n v="432209"/>
    <s v="Laboratory equipment"/>
    <s v="847.8471305.1.432209.000000.847001.200179"/>
    <n v="125000"/>
    <n v="55650"/>
    <n v="55631.5"/>
    <n v="0"/>
    <n v="0"/>
    <n v="18.5"/>
  </r>
  <r>
    <x v="49"/>
    <s v="KUST - Dean Of Medicine"/>
    <n v="432210"/>
    <e v="#N/A"/>
    <s v="847.8471305.1.432210.000000.847001.200179"/>
    <n v="0"/>
    <n v="0"/>
    <m/>
    <m/>
    <m/>
    <n v="0"/>
  </r>
  <r>
    <x v="49"/>
    <s v="KUST - Dean Of Medicine"/>
    <n v="435310"/>
    <s v="Newspapers, magazines, journals, etc"/>
    <s v="847.8471305.1.435310.000000.847001.200179"/>
    <n v="50000"/>
    <n v="50000"/>
    <n v="11084.8"/>
    <m/>
    <m/>
    <n v="38915.199999999997"/>
  </r>
  <r>
    <x v="49"/>
    <s v="KUST - Dean Of Medicine"/>
    <n v="435330"/>
    <s v="Library books"/>
    <s v="847.8471305.1.435330.000000.847001.200179"/>
    <n v="1"/>
    <n v="16001"/>
    <n v="-22387"/>
    <m/>
    <n v="0"/>
    <n v="38388"/>
  </r>
  <r>
    <x v="49"/>
    <s v="KUST - Dean Of Medicine"/>
    <n v="435340"/>
    <s v="Text books and library books"/>
    <s v="847.8471305.1.435340.000000.847001.200179"/>
    <n v="408343"/>
    <n v="292343"/>
    <n v="82603.820000000007"/>
    <m/>
    <m/>
    <n v="209739.18"/>
  </r>
  <r>
    <x v="49"/>
    <s v="KUST - Dean Of Medicine"/>
    <n v="435350"/>
    <s v="Academic Publications"/>
    <s v="847.8471305.1.435350.000000.847001.200179"/>
    <n v="0"/>
    <n v="100000"/>
    <n v="30497.62"/>
    <m/>
    <m/>
    <n v="69502.38"/>
  </r>
  <r>
    <x v="49"/>
    <s v="KUST - Dean Of Medicine"/>
    <n v="435410"/>
    <s v="Catering supplies: Offices"/>
    <s v="847.8471305.1.435410.000000.847001.200179"/>
    <n v="1"/>
    <n v="1"/>
    <m/>
    <m/>
    <m/>
    <n v="1"/>
  </r>
  <r>
    <x v="49"/>
    <s v="KUST - Dean Of Medicine"/>
    <n v="435508"/>
    <s v="Laboratory - Scientific"/>
    <s v="847.8471305.1.435508.000000.847001.200179"/>
    <n v="55000"/>
    <n v="260000"/>
    <n v="210743.16"/>
    <n v="0"/>
    <n v="35819"/>
    <n v="13437.84"/>
  </r>
  <r>
    <x v="49"/>
    <s v="KUST - Dean Of Medicine"/>
    <n v="435519"/>
    <s v="Photography - Consumable materials /Tools"/>
    <s v="847.8471305.1.435519.000000.847001.200179"/>
    <n v="25000"/>
    <n v="25000"/>
    <n v="750"/>
    <n v="0"/>
    <m/>
    <n v="24250"/>
  </r>
  <r>
    <x v="49"/>
    <s v="KUST - Dean Of Medicine"/>
    <n v="435530"/>
    <s v="School consumables, not specifically mentioned elsewhere"/>
    <s v="847.8471305.1.435530.000000.847001.200179"/>
    <n v="1001"/>
    <n v="1001"/>
    <n v="924.33"/>
    <m/>
    <m/>
    <n v="76.670000000000101"/>
  </r>
  <r>
    <x v="49"/>
    <s v="KUST - Dean Of Medicine"/>
    <n v="436110"/>
    <s v="Printing supplies"/>
    <s v="847.8471305.1.436110.000000.847001.200179"/>
    <n v="77114"/>
    <n v="77114"/>
    <m/>
    <n v="0"/>
    <n v="22000"/>
    <n v="55114"/>
  </r>
  <r>
    <x v="49"/>
    <s v="KUST - Dean Of Medicine"/>
    <n v="436120"/>
    <s v="Stationery"/>
    <s v="847.8471305.1.436120.000000.847001.200179"/>
    <n v="62348"/>
    <n v="27348"/>
    <n v="4363.0600000000004"/>
    <m/>
    <m/>
    <n v="22984.94"/>
  </r>
  <r>
    <x v="49"/>
    <s v="KUST - Dean Of Medicine"/>
    <n v="492310"/>
    <s v="Hardware &amp; peripherals"/>
    <s v="847.8471305.1.492310.000000.847001.300180"/>
    <n v="2697637"/>
    <n v="4910637"/>
    <n v="937996"/>
    <n v="0"/>
    <n v="3602014.47"/>
    <n v="370626.53"/>
  </r>
  <r>
    <x v="49"/>
    <s v="KUST - Dean Of Medicine"/>
    <n v="492316"/>
    <s v="Laboratory equipment"/>
    <s v="847.8471305.1.492316.000000.847001.300180"/>
    <n v="18440891"/>
    <n v="20306628"/>
    <n v="10245659.380000001"/>
    <n v="3.20142135024071E-10"/>
    <n v="2115446"/>
    <n v="7945522.6200000001"/>
  </r>
  <r>
    <x v="49"/>
    <s v="KUST - Dean Of Medicine"/>
    <n v="492610"/>
    <s v="Furniture &amp; Fixtures - Offices"/>
    <s v="847.8471305.1.492610.000000.847001.300180"/>
    <n v="1630483"/>
    <n v="650000"/>
    <n v="327989.92"/>
    <n v="0"/>
    <n v="0"/>
    <n v="322010.08"/>
  </r>
  <r>
    <x v="49"/>
    <s v="KUST - Dean Of Medicine"/>
    <n v="495140"/>
    <s v="Copyrights, patents and licenses"/>
    <s v="847.8471305.1.495140.000000.847001.300180"/>
    <n v="4653254"/>
    <n v="500000"/>
    <m/>
    <m/>
    <m/>
    <n v="5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54" firstHeaderRow="0" firstDataRow="1" firstDataCol="1"/>
  <pivotFields count="11">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dataField="1" showAll="0"/>
    <pivotField dataField="1" showAll="0"/>
    <pivotField dataField="1" showAll="0"/>
    <pivotField showAll="0"/>
    <pivotField showAll="0"/>
    <pivotField numFmtId="43"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3">
    <i>
      <x/>
    </i>
    <i i="1">
      <x v="1"/>
    </i>
    <i i="2">
      <x v="2"/>
    </i>
  </colItems>
  <dataFields count="3">
    <dataField name="Sum of Revised Budget" fld="6" baseField="0" baseItem="0"/>
    <dataField name="Sum of Actual Amount" fld="7" baseField="0" baseItem="0"/>
    <dataField name="Sum of Annual Budge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449"/>
  <sheetViews>
    <sheetView showGridLines="0" zoomScaleNormal="100" workbookViewId="0">
      <pane ySplit="1" topLeftCell="A2" activePane="bottomLeft" state="frozen"/>
      <selection pane="bottomLeft"/>
    </sheetView>
  </sheetViews>
  <sheetFormatPr defaultColWidth="9.1796875" defaultRowHeight="13" x14ac:dyDescent="0.3"/>
  <cols>
    <col min="1" max="1" width="16.81640625" style="27" customWidth="1"/>
    <col min="2" max="2" width="32.81640625" style="26" customWidth="1"/>
    <col min="3" max="3" width="15.54296875" style="26" customWidth="1"/>
    <col min="4" max="4" width="48.26953125" style="26" customWidth="1"/>
    <col min="5" max="5" width="39.54296875" style="26" bestFit="1" customWidth="1"/>
    <col min="6" max="6" width="14.54296875" style="26" bestFit="1" customWidth="1"/>
    <col min="7" max="7" width="18.453125" style="26" bestFit="1" customWidth="1"/>
    <col min="8" max="8" width="19.26953125" style="26" bestFit="1" customWidth="1"/>
    <col min="9" max="10" width="12.453125" style="26" bestFit="1" customWidth="1"/>
    <col min="11" max="11" width="19.81640625" style="44" bestFit="1" customWidth="1"/>
    <col min="12" max="12" width="20.7265625" style="51" customWidth="1"/>
    <col min="13" max="16384" width="9.1796875" style="26"/>
  </cols>
  <sheetData>
    <row r="1" spans="1:15" x14ac:dyDescent="0.3">
      <c r="A1" s="39" t="s">
        <v>13</v>
      </c>
      <c r="B1" s="39" t="s">
        <v>14</v>
      </c>
      <c r="C1" s="39" t="s">
        <v>15</v>
      </c>
      <c r="D1" s="39" t="s">
        <v>16</v>
      </c>
      <c r="E1" s="39" t="s">
        <v>17</v>
      </c>
      <c r="F1" s="39" t="s">
        <v>1</v>
      </c>
      <c r="G1" s="39" t="s">
        <v>1309</v>
      </c>
      <c r="H1" s="39" t="s">
        <v>1304</v>
      </c>
      <c r="I1" s="39" t="s">
        <v>4</v>
      </c>
      <c r="J1" s="39" t="s">
        <v>5</v>
      </c>
      <c r="K1" s="43" t="s">
        <v>1302</v>
      </c>
      <c r="L1" s="49" t="s">
        <v>1303</v>
      </c>
    </row>
    <row r="2" spans="1:15" hidden="1" x14ac:dyDescent="0.3">
      <c r="A2" s="28">
        <v>8470110</v>
      </c>
      <c r="B2" s="31" t="s">
        <v>20</v>
      </c>
      <c r="C2" s="30">
        <v>492316</v>
      </c>
      <c r="D2" s="31" t="s">
        <v>777</v>
      </c>
      <c r="E2" s="45" t="s">
        <v>1246</v>
      </c>
      <c r="F2" s="32"/>
      <c r="G2" s="32"/>
      <c r="H2" s="32">
        <v>2847291.49</v>
      </c>
      <c r="I2" s="33"/>
      <c r="J2" s="32"/>
      <c r="K2" s="32">
        <f t="shared" ref="K2:K65" si="0">G2-H2-I2-J2</f>
        <v>-2847291.49</v>
      </c>
      <c r="L2" s="47" t="s">
        <v>1310</v>
      </c>
      <c r="M2" s="26" t="s">
        <v>1314</v>
      </c>
      <c r="N2" s="26" t="s">
        <v>1314</v>
      </c>
      <c r="O2" s="26">
        <v>492316</v>
      </c>
    </row>
    <row r="3" spans="1:15" hidden="1" x14ac:dyDescent="0.3">
      <c r="A3" s="28">
        <v>8470110</v>
      </c>
      <c r="B3" s="29" t="s">
        <v>20</v>
      </c>
      <c r="C3" s="30">
        <v>420570</v>
      </c>
      <c r="D3" s="31" t="s">
        <v>669</v>
      </c>
      <c r="E3" s="45" t="s">
        <v>670</v>
      </c>
      <c r="F3" s="32">
        <v>1</v>
      </c>
      <c r="G3" s="32">
        <v>1</v>
      </c>
      <c r="H3" s="32">
        <v>0</v>
      </c>
      <c r="I3" s="33"/>
      <c r="J3" s="32"/>
      <c r="K3" s="32">
        <f t="shared" si="0"/>
        <v>1</v>
      </c>
      <c r="L3" s="47" t="s">
        <v>1310</v>
      </c>
      <c r="M3" s="26" t="s">
        <v>1314</v>
      </c>
      <c r="N3" s="26" t="s">
        <v>1314</v>
      </c>
      <c r="O3" s="26" t="e">
        <v>#N/A</v>
      </c>
    </row>
    <row r="4" spans="1:15" hidden="1" x14ac:dyDescent="0.3">
      <c r="A4" s="28">
        <v>8470110</v>
      </c>
      <c r="B4" s="29" t="s">
        <v>20</v>
      </c>
      <c r="C4" s="30">
        <v>421000</v>
      </c>
      <c r="D4" s="31" t="s">
        <v>675</v>
      </c>
      <c r="E4" s="45" t="s">
        <v>676</v>
      </c>
      <c r="F4" s="32">
        <v>1</v>
      </c>
      <c r="G4" s="32">
        <v>1</v>
      </c>
      <c r="H4" s="32">
        <v>0</v>
      </c>
      <c r="I4" s="33"/>
      <c r="J4" s="32"/>
      <c r="K4" s="32">
        <f t="shared" si="0"/>
        <v>1</v>
      </c>
      <c r="L4" s="47" t="s">
        <v>1310</v>
      </c>
      <c r="M4" s="26" t="s">
        <v>1314</v>
      </c>
      <c r="N4" s="26" t="s">
        <v>1314</v>
      </c>
      <c r="O4" s="26" t="e">
        <v>#N/A</v>
      </c>
    </row>
    <row r="5" spans="1:15" hidden="1" x14ac:dyDescent="0.3">
      <c r="A5" s="28">
        <v>8470110</v>
      </c>
      <c r="B5" s="29" t="s">
        <v>20</v>
      </c>
      <c r="C5" s="30">
        <v>428640</v>
      </c>
      <c r="D5" s="31" t="s">
        <v>699</v>
      </c>
      <c r="E5" s="45" t="s">
        <v>700</v>
      </c>
      <c r="F5" s="32">
        <v>1</v>
      </c>
      <c r="G5" s="32">
        <v>1</v>
      </c>
      <c r="H5" s="32">
        <v>0</v>
      </c>
      <c r="I5" s="33"/>
      <c r="J5" s="32"/>
      <c r="K5" s="32">
        <f t="shared" si="0"/>
        <v>1</v>
      </c>
      <c r="L5" s="47" t="s">
        <v>1310</v>
      </c>
      <c r="M5" s="26" t="s">
        <v>1314</v>
      </c>
      <c r="N5" s="26" t="s">
        <v>1314</v>
      </c>
      <c r="O5" s="26" t="e">
        <v>#N/A</v>
      </c>
    </row>
    <row r="6" spans="1:15" hidden="1" x14ac:dyDescent="0.3">
      <c r="A6" s="28">
        <v>8470110</v>
      </c>
      <c r="B6" s="29" t="s">
        <v>20</v>
      </c>
      <c r="C6" s="30">
        <v>435410</v>
      </c>
      <c r="D6" s="31" t="s">
        <v>702</v>
      </c>
      <c r="E6" s="45" t="s">
        <v>703</v>
      </c>
      <c r="F6" s="32">
        <v>1</v>
      </c>
      <c r="G6" s="32">
        <v>1</v>
      </c>
      <c r="H6" s="32">
        <v>0</v>
      </c>
      <c r="I6" s="33"/>
      <c r="J6" s="32"/>
      <c r="K6" s="32">
        <f t="shared" si="0"/>
        <v>1</v>
      </c>
      <c r="L6" s="47" t="s">
        <v>1310</v>
      </c>
      <c r="M6" s="26" t="s">
        <v>1314</v>
      </c>
      <c r="N6" s="26" t="s">
        <v>1314</v>
      </c>
      <c r="O6" s="26" t="e">
        <v>#N/A</v>
      </c>
    </row>
    <row r="7" spans="1:15" hidden="1" x14ac:dyDescent="0.3">
      <c r="A7" s="28">
        <v>8470110</v>
      </c>
      <c r="B7" s="29" t="s">
        <v>20</v>
      </c>
      <c r="C7" s="30">
        <v>420900</v>
      </c>
      <c r="D7" s="31" t="s">
        <v>672</v>
      </c>
      <c r="E7" s="45" t="s">
        <v>673</v>
      </c>
      <c r="F7" s="32">
        <v>1501</v>
      </c>
      <c r="G7" s="32">
        <v>1501</v>
      </c>
      <c r="H7" s="32">
        <v>100</v>
      </c>
      <c r="I7" s="33"/>
      <c r="J7" s="32"/>
      <c r="K7" s="32">
        <f t="shared" si="0"/>
        <v>1401</v>
      </c>
      <c r="L7" s="47" t="s">
        <v>1310</v>
      </c>
      <c r="M7" s="26" t="s">
        <v>1314</v>
      </c>
      <c r="N7" s="26" t="s">
        <v>1314</v>
      </c>
      <c r="O7" s="26" t="e">
        <v>#N/A</v>
      </c>
    </row>
    <row r="8" spans="1:15" hidden="1" x14ac:dyDescent="0.3">
      <c r="A8" s="28">
        <v>8470110</v>
      </c>
      <c r="B8" s="29" t="s">
        <v>20</v>
      </c>
      <c r="C8" s="30">
        <v>427710</v>
      </c>
      <c r="D8" s="31" t="s">
        <v>690</v>
      </c>
      <c r="E8" s="45" t="s">
        <v>691</v>
      </c>
      <c r="F8" s="32">
        <v>1880</v>
      </c>
      <c r="G8" s="32">
        <v>1880</v>
      </c>
      <c r="H8" s="32">
        <v>0</v>
      </c>
      <c r="I8" s="33"/>
      <c r="J8" s="32"/>
      <c r="K8" s="32">
        <f t="shared" si="0"/>
        <v>1880</v>
      </c>
      <c r="L8" s="47" t="s">
        <v>1310</v>
      </c>
      <c r="M8" s="26" t="s">
        <v>1314</v>
      </c>
      <c r="N8" s="26" t="s">
        <v>1314</v>
      </c>
      <c r="O8" s="26" t="e">
        <v>#N/A</v>
      </c>
    </row>
    <row r="9" spans="1:15" hidden="1" x14ac:dyDescent="0.3">
      <c r="A9" s="28">
        <v>8470110</v>
      </c>
      <c r="B9" s="29" t="s">
        <v>20</v>
      </c>
      <c r="C9" s="30">
        <v>435519</v>
      </c>
      <c r="D9" s="31" t="s">
        <v>705</v>
      </c>
      <c r="E9" s="45" t="s">
        <v>706</v>
      </c>
      <c r="F9" s="32">
        <v>2000</v>
      </c>
      <c r="G9" s="32">
        <v>2000</v>
      </c>
      <c r="H9" s="32">
        <v>0</v>
      </c>
      <c r="I9" s="33"/>
      <c r="J9" s="32"/>
      <c r="K9" s="32">
        <f t="shared" si="0"/>
        <v>2000</v>
      </c>
      <c r="L9" s="47" t="s">
        <v>1310</v>
      </c>
      <c r="M9" s="26" t="s">
        <v>1314</v>
      </c>
      <c r="N9" s="26" t="s">
        <v>1314</v>
      </c>
      <c r="O9" s="26" t="e">
        <v>#N/A</v>
      </c>
    </row>
    <row r="10" spans="1:15" hidden="1" x14ac:dyDescent="0.3">
      <c r="A10" s="28">
        <v>8470110</v>
      </c>
      <c r="B10" s="29" t="s">
        <v>20</v>
      </c>
      <c r="C10" s="30">
        <v>436110</v>
      </c>
      <c r="D10" s="31" t="s">
        <v>708</v>
      </c>
      <c r="E10" s="45" t="s">
        <v>709</v>
      </c>
      <c r="F10" s="32">
        <v>4195</v>
      </c>
      <c r="G10" s="32">
        <v>4195</v>
      </c>
      <c r="H10" s="32">
        <v>0</v>
      </c>
      <c r="I10" s="33"/>
      <c r="J10" s="32"/>
      <c r="K10" s="32">
        <f t="shared" si="0"/>
        <v>4195</v>
      </c>
      <c r="L10" s="47" t="s">
        <v>1310</v>
      </c>
      <c r="M10" s="26" t="s">
        <v>1314</v>
      </c>
      <c r="N10" s="26" t="s">
        <v>1314</v>
      </c>
      <c r="O10" s="26" t="e">
        <v>#N/A</v>
      </c>
    </row>
    <row r="11" spans="1:15" hidden="1" x14ac:dyDescent="0.3">
      <c r="A11" s="28">
        <v>8470110</v>
      </c>
      <c r="B11" s="29" t="s">
        <v>20</v>
      </c>
      <c r="C11" s="30">
        <v>425900</v>
      </c>
      <c r="D11" s="31" t="s">
        <v>684</v>
      </c>
      <c r="E11" s="45" t="s">
        <v>685</v>
      </c>
      <c r="F11" s="32">
        <v>10000</v>
      </c>
      <c r="G11" s="32">
        <v>10000</v>
      </c>
      <c r="H11" s="32">
        <v>1327.5</v>
      </c>
      <c r="I11" s="33"/>
      <c r="J11" s="32"/>
      <c r="K11" s="32">
        <f t="shared" si="0"/>
        <v>8672.5</v>
      </c>
      <c r="L11" s="47" t="s">
        <v>1310</v>
      </c>
      <c r="M11" s="26" t="s">
        <v>1314</v>
      </c>
      <c r="N11" s="26" t="s">
        <v>1314</v>
      </c>
      <c r="O11" s="26" t="e">
        <v>#N/A</v>
      </c>
    </row>
    <row r="12" spans="1:15" hidden="1" x14ac:dyDescent="0.3">
      <c r="A12" s="28">
        <v>8470110</v>
      </c>
      <c r="B12" s="29" t="s">
        <v>20</v>
      </c>
      <c r="C12" s="30">
        <v>427900</v>
      </c>
      <c r="D12" s="31" t="s">
        <v>693</v>
      </c>
      <c r="E12" s="45" t="s">
        <v>694</v>
      </c>
      <c r="F12" s="32">
        <v>12585</v>
      </c>
      <c r="G12" s="32">
        <v>12585</v>
      </c>
      <c r="H12" s="32">
        <v>0</v>
      </c>
      <c r="I12" s="33"/>
      <c r="J12" s="32"/>
      <c r="K12" s="32">
        <f t="shared" si="0"/>
        <v>12585</v>
      </c>
      <c r="L12" s="47" t="s">
        <v>1310</v>
      </c>
      <c r="M12" s="26" t="s">
        <v>1314</v>
      </c>
      <c r="N12" s="26" t="s">
        <v>1314</v>
      </c>
      <c r="O12" s="26" t="e">
        <v>#N/A</v>
      </c>
    </row>
    <row r="13" spans="1:15" hidden="1" x14ac:dyDescent="0.3">
      <c r="A13" s="28">
        <v>8470110</v>
      </c>
      <c r="B13" s="29" t="s">
        <v>20</v>
      </c>
      <c r="C13" s="30">
        <v>421700</v>
      </c>
      <c r="D13" s="31" t="s">
        <v>1305</v>
      </c>
      <c r="E13" s="45" t="s">
        <v>679</v>
      </c>
      <c r="F13" s="32">
        <v>25000</v>
      </c>
      <c r="G13" s="32">
        <v>25000</v>
      </c>
      <c r="H13" s="32">
        <v>0</v>
      </c>
      <c r="I13" s="33"/>
      <c r="J13" s="32"/>
      <c r="K13" s="32">
        <f t="shared" si="0"/>
        <v>25000</v>
      </c>
      <c r="L13" s="47" t="s">
        <v>1310</v>
      </c>
      <c r="M13" s="26" t="s">
        <v>1314</v>
      </c>
      <c r="N13" s="26" t="s">
        <v>1314</v>
      </c>
      <c r="O13" s="26" t="e">
        <v>#N/A</v>
      </c>
    </row>
    <row r="14" spans="1:15" hidden="1" x14ac:dyDescent="0.3">
      <c r="A14" s="28">
        <v>8470110</v>
      </c>
      <c r="B14" s="29" t="s">
        <v>20</v>
      </c>
      <c r="C14" s="30">
        <v>420550</v>
      </c>
      <c r="D14" s="31" t="s">
        <v>666</v>
      </c>
      <c r="E14" s="45" t="s">
        <v>667</v>
      </c>
      <c r="F14" s="32">
        <v>29119</v>
      </c>
      <c r="G14" s="32">
        <v>29119</v>
      </c>
      <c r="H14" s="32">
        <v>0</v>
      </c>
      <c r="I14" s="33"/>
      <c r="J14" s="32"/>
      <c r="K14" s="32">
        <f t="shared" si="0"/>
        <v>29119</v>
      </c>
      <c r="L14" s="47" t="s">
        <v>1310</v>
      </c>
      <c r="M14" s="26" t="s">
        <v>1314</v>
      </c>
      <c r="N14" s="26" t="s">
        <v>1314</v>
      </c>
      <c r="O14" s="26" t="e">
        <v>#N/A</v>
      </c>
    </row>
    <row r="15" spans="1:15" hidden="1" x14ac:dyDescent="0.3">
      <c r="A15" s="28">
        <v>8470110</v>
      </c>
      <c r="B15" s="29" t="s">
        <v>20</v>
      </c>
      <c r="C15" s="30">
        <v>426610</v>
      </c>
      <c r="D15" s="31" t="s">
        <v>687</v>
      </c>
      <c r="E15" s="45" t="s">
        <v>688</v>
      </c>
      <c r="F15" s="32">
        <v>80204</v>
      </c>
      <c r="G15" s="32">
        <v>80204</v>
      </c>
      <c r="H15" s="32">
        <v>47395.54</v>
      </c>
      <c r="I15" s="33"/>
      <c r="J15" s="32"/>
      <c r="K15" s="32">
        <f t="shared" si="0"/>
        <v>32808.46</v>
      </c>
      <c r="L15" s="47" t="s">
        <v>1310</v>
      </c>
      <c r="M15" s="26" t="s">
        <v>1314</v>
      </c>
      <c r="N15" s="26" t="s">
        <v>1314</v>
      </c>
      <c r="O15" s="26" t="e">
        <v>#N/A</v>
      </c>
    </row>
    <row r="16" spans="1:15" hidden="1" x14ac:dyDescent="0.3">
      <c r="A16" s="28">
        <v>8470110</v>
      </c>
      <c r="B16" s="29" t="s">
        <v>20</v>
      </c>
      <c r="C16" s="30">
        <v>428090</v>
      </c>
      <c r="D16" s="31" t="s">
        <v>696</v>
      </c>
      <c r="E16" s="45" t="s">
        <v>697</v>
      </c>
      <c r="F16" s="32">
        <v>64381</v>
      </c>
      <c r="G16" s="32">
        <v>64381</v>
      </c>
      <c r="H16" s="32">
        <v>15480.75</v>
      </c>
      <c r="I16" s="33"/>
      <c r="J16" s="32"/>
      <c r="K16" s="32">
        <f t="shared" si="0"/>
        <v>48900.25</v>
      </c>
      <c r="L16" s="47" t="s">
        <v>1310</v>
      </c>
      <c r="M16" s="26" t="s">
        <v>1314</v>
      </c>
      <c r="N16" s="26" t="s">
        <v>1314</v>
      </c>
      <c r="O16" s="26" t="e">
        <v>#N/A</v>
      </c>
    </row>
    <row r="17" spans="1:15" hidden="1" x14ac:dyDescent="0.3">
      <c r="A17" s="28">
        <v>8470110</v>
      </c>
      <c r="B17" s="29" t="s">
        <v>20</v>
      </c>
      <c r="C17" s="30">
        <v>425510</v>
      </c>
      <c r="D17" s="31" t="s">
        <v>681</v>
      </c>
      <c r="E17" s="45" t="s">
        <v>682</v>
      </c>
      <c r="F17" s="32"/>
      <c r="G17" s="32"/>
      <c r="H17" s="32">
        <v>-188793.94</v>
      </c>
      <c r="I17" s="33"/>
      <c r="J17" s="32"/>
      <c r="K17" s="32">
        <f t="shared" si="0"/>
        <v>188793.94</v>
      </c>
      <c r="L17" s="47" t="s">
        <v>1310</v>
      </c>
      <c r="M17" s="26" t="s">
        <v>1314</v>
      </c>
      <c r="N17" s="26" t="s">
        <v>1314</v>
      </c>
      <c r="O17" s="26" t="e">
        <v>#N/A</v>
      </c>
    </row>
    <row r="18" spans="1:15" hidden="1" x14ac:dyDescent="0.3">
      <c r="A18" s="28">
        <v>8470120</v>
      </c>
      <c r="B18" s="31" t="s">
        <v>57</v>
      </c>
      <c r="C18" s="30">
        <v>420120</v>
      </c>
      <c r="D18" s="31" t="s">
        <v>711</v>
      </c>
      <c r="E18" s="45" t="s">
        <v>712</v>
      </c>
      <c r="F18" s="32">
        <v>400000</v>
      </c>
      <c r="G18" s="32">
        <v>400000</v>
      </c>
      <c r="H18" s="32">
        <v>383814</v>
      </c>
      <c r="I18" s="33"/>
      <c r="J18" s="32"/>
      <c r="K18" s="32">
        <f t="shared" si="0"/>
        <v>16186</v>
      </c>
      <c r="L18" s="47" t="s">
        <v>1310</v>
      </c>
      <c r="M18" s="26" t="s">
        <v>1314</v>
      </c>
      <c r="N18" s="26" t="s">
        <v>1314</v>
      </c>
      <c r="O18" s="26" t="e">
        <v>#N/A</v>
      </c>
    </row>
    <row r="19" spans="1:15" hidden="1" x14ac:dyDescent="0.3">
      <c r="A19" s="28">
        <v>8470130</v>
      </c>
      <c r="B19" s="29" t="s">
        <v>71</v>
      </c>
      <c r="C19" s="30">
        <v>421000</v>
      </c>
      <c r="D19" s="31" t="s">
        <v>675</v>
      </c>
      <c r="E19" s="45" t="s">
        <v>713</v>
      </c>
      <c r="F19" s="32">
        <v>276300</v>
      </c>
      <c r="G19" s="32">
        <v>134500</v>
      </c>
      <c r="H19" s="32">
        <v>690716</v>
      </c>
      <c r="I19" s="33"/>
      <c r="J19" s="32"/>
      <c r="K19" s="32">
        <f t="shared" si="0"/>
        <v>-556216</v>
      </c>
      <c r="L19" s="47" t="s">
        <v>1310</v>
      </c>
      <c r="M19" s="26" t="s">
        <v>1315</v>
      </c>
      <c r="N19" s="26" t="s">
        <v>1315</v>
      </c>
      <c r="O19" s="26" t="e">
        <v>#N/A</v>
      </c>
    </row>
    <row r="20" spans="1:15" hidden="1" x14ac:dyDescent="0.3">
      <c r="A20" s="28">
        <v>8470130</v>
      </c>
      <c r="B20" s="29" t="s">
        <v>71</v>
      </c>
      <c r="C20" s="30">
        <v>427710</v>
      </c>
      <c r="D20" s="31" t="s">
        <v>690</v>
      </c>
      <c r="E20" s="45" t="s">
        <v>715</v>
      </c>
      <c r="F20" s="32">
        <v>125000</v>
      </c>
      <c r="G20" s="32">
        <v>129650</v>
      </c>
      <c r="H20" s="32">
        <v>129634.5</v>
      </c>
      <c r="I20" s="33"/>
      <c r="J20" s="32"/>
      <c r="K20" s="32">
        <f t="shared" si="0"/>
        <v>15.5</v>
      </c>
      <c r="L20" s="47" t="s">
        <v>1310</v>
      </c>
      <c r="M20" s="26" t="s">
        <v>1315</v>
      </c>
      <c r="N20" s="26" t="s">
        <v>1315</v>
      </c>
      <c r="O20" s="26" t="e">
        <v>#N/A</v>
      </c>
    </row>
    <row r="21" spans="1:15" hidden="1" x14ac:dyDescent="0.3">
      <c r="A21" s="28">
        <v>8470130</v>
      </c>
      <c r="B21" s="29" t="s">
        <v>71</v>
      </c>
      <c r="C21" s="30">
        <v>425510</v>
      </c>
      <c r="D21" s="31" t="s">
        <v>681</v>
      </c>
      <c r="E21" s="45" t="s">
        <v>714</v>
      </c>
      <c r="F21" s="32">
        <v>2200</v>
      </c>
      <c r="G21" s="32">
        <v>2200</v>
      </c>
      <c r="H21" s="32">
        <v>0</v>
      </c>
      <c r="I21" s="33"/>
      <c r="J21" s="32"/>
      <c r="K21" s="32">
        <f t="shared" si="0"/>
        <v>2200</v>
      </c>
      <c r="L21" s="47" t="s">
        <v>1310</v>
      </c>
      <c r="M21" s="26" t="s">
        <v>1315</v>
      </c>
      <c r="N21" s="26" t="s">
        <v>1315</v>
      </c>
      <c r="O21" s="26" t="e">
        <v>#N/A</v>
      </c>
    </row>
    <row r="22" spans="1:15" hidden="1" x14ac:dyDescent="0.3">
      <c r="A22" s="28">
        <v>8470130</v>
      </c>
      <c r="B22" s="29" t="s">
        <v>71</v>
      </c>
      <c r="C22" s="30">
        <v>428090</v>
      </c>
      <c r="D22" s="31" t="s">
        <v>696</v>
      </c>
      <c r="E22" s="45" t="s">
        <v>716</v>
      </c>
      <c r="F22" s="32">
        <v>0</v>
      </c>
      <c r="G22" s="32">
        <v>4400</v>
      </c>
      <c r="H22" s="32">
        <v>1100</v>
      </c>
      <c r="I22" s="33"/>
      <c r="J22" s="32"/>
      <c r="K22" s="32">
        <f t="shared" si="0"/>
        <v>3300</v>
      </c>
      <c r="L22" s="47" t="s">
        <v>1310</v>
      </c>
      <c r="M22" s="26" t="s">
        <v>1315</v>
      </c>
      <c r="N22" s="26" t="s">
        <v>1315</v>
      </c>
      <c r="O22" s="26" t="e">
        <v>#N/A</v>
      </c>
    </row>
    <row r="23" spans="1:15" hidden="1" x14ac:dyDescent="0.3">
      <c r="A23" s="34">
        <v>8470140</v>
      </c>
      <c r="B23" s="35" t="s">
        <v>81</v>
      </c>
      <c r="C23" s="36">
        <v>425510</v>
      </c>
      <c r="D23" s="31" t="s">
        <v>681</v>
      </c>
      <c r="E23" s="46" t="s">
        <v>721</v>
      </c>
      <c r="F23" s="37">
        <v>3500000</v>
      </c>
      <c r="G23" s="37">
        <v>3851832</v>
      </c>
      <c r="H23" s="32">
        <v>3922844.33</v>
      </c>
      <c r="I23" s="38"/>
      <c r="J23" s="37"/>
      <c r="K23" s="32">
        <f t="shared" si="0"/>
        <v>-71012.330000000075</v>
      </c>
      <c r="L23" s="47" t="s">
        <v>1310</v>
      </c>
      <c r="M23" s="26" t="s">
        <v>1315</v>
      </c>
      <c r="N23" s="26" t="s">
        <v>1315</v>
      </c>
      <c r="O23" s="26" t="e">
        <v>#N/A</v>
      </c>
    </row>
    <row r="24" spans="1:15" hidden="1" x14ac:dyDescent="0.3">
      <c r="A24" s="28">
        <v>8470140</v>
      </c>
      <c r="B24" s="29" t="s">
        <v>81</v>
      </c>
      <c r="C24" s="30">
        <v>425510</v>
      </c>
      <c r="D24" s="31" t="s">
        <v>681</v>
      </c>
      <c r="E24" s="45" t="s">
        <v>720</v>
      </c>
      <c r="F24" s="32"/>
      <c r="G24" s="32"/>
      <c r="H24" s="32">
        <v>0</v>
      </c>
      <c r="I24" s="33"/>
      <c r="J24" s="32"/>
      <c r="K24" s="32">
        <f t="shared" si="0"/>
        <v>0</v>
      </c>
      <c r="L24" s="47" t="s">
        <v>1310</v>
      </c>
      <c r="M24" s="26" t="s">
        <v>1315</v>
      </c>
      <c r="N24" s="26" t="s">
        <v>1315</v>
      </c>
      <c r="O24" s="26" t="e">
        <v>#N/A</v>
      </c>
    </row>
    <row r="25" spans="1:15" hidden="1" x14ac:dyDescent="0.3">
      <c r="A25" s="28">
        <v>8470140</v>
      </c>
      <c r="B25" s="29" t="s">
        <v>81</v>
      </c>
      <c r="C25" s="30">
        <v>428640</v>
      </c>
      <c r="D25" s="31" t="s">
        <v>699</v>
      </c>
      <c r="E25" s="45" t="s">
        <v>731</v>
      </c>
      <c r="F25" s="32"/>
      <c r="G25" s="32"/>
      <c r="H25" s="32">
        <v>0</v>
      </c>
      <c r="I25" s="33"/>
      <c r="J25" s="32"/>
      <c r="K25" s="32">
        <f t="shared" si="0"/>
        <v>0</v>
      </c>
      <c r="L25" s="47" t="s">
        <v>1310</v>
      </c>
      <c r="M25" s="26" t="s">
        <v>1315</v>
      </c>
      <c r="N25" s="26" t="s">
        <v>1315</v>
      </c>
      <c r="O25" s="26" t="e">
        <v>#N/A</v>
      </c>
    </row>
    <row r="26" spans="1:15" hidden="1" x14ac:dyDescent="0.3">
      <c r="A26" s="28">
        <v>8470140</v>
      </c>
      <c r="B26" s="29" t="s">
        <v>81</v>
      </c>
      <c r="C26" s="30">
        <v>425550</v>
      </c>
      <c r="D26" s="31" t="s">
        <v>723</v>
      </c>
      <c r="E26" s="45" t="s">
        <v>724</v>
      </c>
      <c r="F26" s="32">
        <v>1</v>
      </c>
      <c r="G26" s="32">
        <v>1</v>
      </c>
      <c r="H26" s="32">
        <v>0</v>
      </c>
      <c r="I26" s="33"/>
      <c r="J26" s="32"/>
      <c r="K26" s="32">
        <f t="shared" si="0"/>
        <v>1</v>
      </c>
      <c r="L26" s="47" t="s">
        <v>1310</v>
      </c>
      <c r="M26" s="26" t="s">
        <v>1315</v>
      </c>
      <c r="N26" s="26" t="s">
        <v>1315</v>
      </c>
      <c r="O26" s="26" t="e">
        <v>#N/A</v>
      </c>
    </row>
    <row r="27" spans="1:15" hidden="1" x14ac:dyDescent="0.3">
      <c r="A27" s="28">
        <v>8470140</v>
      </c>
      <c r="B27" s="31" t="s">
        <v>81</v>
      </c>
      <c r="C27" s="30">
        <v>492310</v>
      </c>
      <c r="D27" s="31" t="s">
        <v>1248</v>
      </c>
      <c r="E27" s="45" t="s">
        <v>1249</v>
      </c>
      <c r="F27" s="32">
        <v>200000</v>
      </c>
      <c r="G27" s="32">
        <v>255000</v>
      </c>
      <c r="H27" s="32">
        <v>248690</v>
      </c>
      <c r="I27" s="33"/>
      <c r="J27" s="32"/>
      <c r="K27" s="32">
        <f t="shared" si="0"/>
        <v>6310</v>
      </c>
      <c r="L27" s="47" t="s">
        <v>1310</v>
      </c>
      <c r="M27" s="26" t="s">
        <v>1315</v>
      </c>
      <c r="N27" s="26" t="s">
        <v>1315</v>
      </c>
      <c r="O27" s="26">
        <v>492310</v>
      </c>
    </row>
    <row r="28" spans="1:15" hidden="1" x14ac:dyDescent="0.3">
      <c r="A28" s="28">
        <v>8470140</v>
      </c>
      <c r="B28" s="29" t="s">
        <v>81</v>
      </c>
      <c r="C28" s="30">
        <v>435519</v>
      </c>
      <c r="D28" s="31" t="s">
        <v>705</v>
      </c>
      <c r="E28" s="45" t="s">
        <v>735</v>
      </c>
      <c r="F28" s="32">
        <v>193297</v>
      </c>
      <c r="G28" s="32">
        <v>9297</v>
      </c>
      <c r="H28" s="32">
        <v>0</v>
      </c>
      <c r="I28" s="33"/>
      <c r="J28" s="32"/>
      <c r="K28" s="32">
        <f t="shared" si="0"/>
        <v>9297</v>
      </c>
      <c r="L28" s="47" t="s">
        <v>1310</v>
      </c>
      <c r="M28" s="26" t="s">
        <v>1315</v>
      </c>
      <c r="N28" s="26" t="s">
        <v>1315</v>
      </c>
      <c r="O28" s="26" t="e">
        <v>#N/A</v>
      </c>
    </row>
    <row r="29" spans="1:15" hidden="1" x14ac:dyDescent="0.3">
      <c r="A29" s="28">
        <v>8470140</v>
      </c>
      <c r="B29" s="29" t="s">
        <v>81</v>
      </c>
      <c r="C29" s="30">
        <v>427200</v>
      </c>
      <c r="D29" s="31" t="s">
        <v>729</v>
      </c>
      <c r="E29" s="45" t="s">
        <v>730</v>
      </c>
      <c r="F29" s="32">
        <v>1962</v>
      </c>
      <c r="G29" s="32">
        <v>1962</v>
      </c>
      <c r="H29" s="32">
        <v>-7379</v>
      </c>
      <c r="I29" s="33"/>
      <c r="J29" s="32"/>
      <c r="K29" s="32">
        <f t="shared" si="0"/>
        <v>9341</v>
      </c>
      <c r="L29" s="47" t="s">
        <v>1310</v>
      </c>
      <c r="M29" s="26" t="s">
        <v>1315</v>
      </c>
      <c r="N29" s="26" t="s">
        <v>1315</v>
      </c>
      <c r="O29" s="26" t="e">
        <v>#N/A</v>
      </c>
    </row>
    <row r="30" spans="1:15" hidden="1" x14ac:dyDescent="0.3">
      <c r="A30" s="28">
        <v>8470140</v>
      </c>
      <c r="B30" s="29" t="s">
        <v>81</v>
      </c>
      <c r="C30" s="30">
        <v>435310</v>
      </c>
      <c r="D30" s="31" t="s">
        <v>733</v>
      </c>
      <c r="E30" s="45" t="s">
        <v>734</v>
      </c>
      <c r="F30" s="32">
        <v>10000</v>
      </c>
      <c r="G30" s="32">
        <v>10000</v>
      </c>
      <c r="H30" s="32">
        <v>0</v>
      </c>
      <c r="I30" s="33"/>
      <c r="J30" s="32"/>
      <c r="K30" s="32">
        <f t="shared" si="0"/>
        <v>10000</v>
      </c>
      <c r="L30" s="47" t="s">
        <v>1310</v>
      </c>
      <c r="M30" s="26" t="s">
        <v>1315</v>
      </c>
      <c r="N30" s="26" t="s">
        <v>1315</v>
      </c>
      <c r="O30" s="26" t="e">
        <v>#N/A</v>
      </c>
    </row>
    <row r="31" spans="1:15" hidden="1" x14ac:dyDescent="0.3">
      <c r="A31" s="28">
        <v>8470140</v>
      </c>
      <c r="B31" s="29" t="s">
        <v>81</v>
      </c>
      <c r="C31" s="30">
        <v>427100</v>
      </c>
      <c r="D31" s="31" t="s">
        <v>726</v>
      </c>
      <c r="E31" s="45" t="s">
        <v>727</v>
      </c>
      <c r="F31" s="32">
        <v>137341</v>
      </c>
      <c r="G31" s="32">
        <v>67341</v>
      </c>
      <c r="H31" s="32">
        <v>-820</v>
      </c>
      <c r="I31" s="33"/>
      <c r="J31" s="32"/>
      <c r="K31" s="32">
        <f t="shared" si="0"/>
        <v>68161</v>
      </c>
      <c r="L31" s="47" t="s">
        <v>1310</v>
      </c>
      <c r="M31" s="26" t="s">
        <v>1315</v>
      </c>
      <c r="N31" s="26" t="s">
        <v>1315</v>
      </c>
      <c r="O31" s="26" t="e">
        <v>#N/A</v>
      </c>
    </row>
    <row r="32" spans="1:15" hidden="1" x14ac:dyDescent="0.3">
      <c r="A32" s="28">
        <v>8470140</v>
      </c>
      <c r="B32" s="29" t="s">
        <v>81</v>
      </c>
      <c r="C32" s="30">
        <v>425100</v>
      </c>
      <c r="D32" s="31" t="s">
        <v>1306</v>
      </c>
      <c r="E32" s="45" t="s">
        <v>719</v>
      </c>
      <c r="F32" s="32">
        <v>2320934</v>
      </c>
      <c r="G32" s="32">
        <v>3154934</v>
      </c>
      <c r="H32" s="32">
        <v>1900037.97</v>
      </c>
      <c r="I32" s="33"/>
      <c r="J32" s="32"/>
      <c r="K32" s="32">
        <f t="shared" si="0"/>
        <v>1254896.03</v>
      </c>
      <c r="L32" s="47" t="s">
        <v>1310</v>
      </c>
      <c r="M32" s="26" t="s">
        <v>1315</v>
      </c>
      <c r="N32" s="26" t="s">
        <v>1315</v>
      </c>
      <c r="O32" s="26" t="e">
        <v>#N/A</v>
      </c>
    </row>
    <row r="33" spans="1:15" hidden="1" x14ac:dyDescent="0.3">
      <c r="A33" s="28">
        <v>8470150</v>
      </c>
      <c r="B33" s="29" t="s">
        <v>97</v>
      </c>
      <c r="C33" s="30">
        <v>425900</v>
      </c>
      <c r="D33" s="31" t="s">
        <v>684</v>
      </c>
      <c r="E33" s="45" t="s">
        <v>737</v>
      </c>
      <c r="F33" s="32">
        <v>1</v>
      </c>
      <c r="G33" s="32">
        <v>1</v>
      </c>
      <c r="H33" s="32">
        <v>0</v>
      </c>
      <c r="I33" s="33"/>
      <c r="J33" s="32"/>
      <c r="K33" s="32">
        <f t="shared" si="0"/>
        <v>1</v>
      </c>
      <c r="L33" s="47" t="s">
        <v>1310</v>
      </c>
      <c r="M33" s="26" t="s">
        <v>1314</v>
      </c>
      <c r="N33" s="26" t="s">
        <v>1314</v>
      </c>
      <c r="O33" s="26" t="e">
        <v>#N/A</v>
      </c>
    </row>
    <row r="34" spans="1:15" hidden="1" x14ac:dyDescent="0.3">
      <c r="A34" s="28">
        <v>8470150</v>
      </c>
      <c r="B34" s="29" t="s">
        <v>97</v>
      </c>
      <c r="C34" s="30">
        <v>420900</v>
      </c>
      <c r="D34" s="31" t="s">
        <v>672</v>
      </c>
      <c r="E34" s="45" t="s">
        <v>736</v>
      </c>
      <c r="F34" s="32">
        <v>18595</v>
      </c>
      <c r="G34" s="32">
        <v>2595</v>
      </c>
      <c r="H34" s="32">
        <v>1350</v>
      </c>
      <c r="I34" s="33"/>
      <c r="J34" s="32"/>
      <c r="K34" s="32">
        <f t="shared" si="0"/>
        <v>1245</v>
      </c>
      <c r="L34" s="47" t="s">
        <v>1310</v>
      </c>
      <c r="M34" s="26" t="s">
        <v>1314</v>
      </c>
      <c r="N34" s="26" t="s">
        <v>1314</v>
      </c>
      <c r="O34" s="26" t="e">
        <v>#N/A</v>
      </c>
    </row>
    <row r="35" spans="1:15" hidden="1" x14ac:dyDescent="0.3">
      <c r="A35" s="28">
        <v>8470150</v>
      </c>
      <c r="B35" s="29" t="s">
        <v>97</v>
      </c>
      <c r="C35" s="30">
        <v>426610</v>
      </c>
      <c r="D35" s="31" t="s">
        <v>687</v>
      </c>
      <c r="E35" s="45" t="s">
        <v>738</v>
      </c>
      <c r="F35" s="32">
        <v>0</v>
      </c>
      <c r="G35" s="32">
        <v>16000</v>
      </c>
      <c r="H35" s="32">
        <v>0</v>
      </c>
      <c r="I35" s="33"/>
      <c r="J35" s="32"/>
      <c r="K35" s="32">
        <f t="shared" si="0"/>
        <v>16000</v>
      </c>
      <c r="L35" s="47" t="s">
        <v>1310</v>
      </c>
      <c r="M35" s="26" t="s">
        <v>1314</v>
      </c>
      <c r="N35" s="26" t="s">
        <v>1314</v>
      </c>
      <c r="O35" s="26" t="e">
        <v>#N/A</v>
      </c>
    </row>
    <row r="36" spans="1:15" hidden="1" x14ac:dyDescent="0.3">
      <c r="A36" s="28">
        <v>8470220</v>
      </c>
      <c r="B36" s="31" t="s">
        <v>110</v>
      </c>
      <c r="C36" s="30">
        <v>492316</v>
      </c>
      <c r="D36" s="31" t="s">
        <v>777</v>
      </c>
      <c r="E36" s="45" t="s">
        <v>1250</v>
      </c>
      <c r="F36" s="32">
        <v>160720</v>
      </c>
      <c r="G36" s="32">
        <v>160720</v>
      </c>
      <c r="H36" s="32">
        <v>160720</v>
      </c>
      <c r="I36" s="33"/>
      <c r="J36" s="32"/>
      <c r="K36" s="32">
        <f t="shared" si="0"/>
        <v>0</v>
      </c>
      <c r="L36" s="47" t="s">
        <v>1310</v>
      </c>
      <c r="M36" s="26" t="s">
        <v>1316</v>
      </c>
      <c r="N36" s="26" t="s">
        <v>1316</v>
      </c>
      <c r="O36" s="26">
        <v>492316</v>
      </c>
    </row>
    <row r="37" spans="1:15" hidden="1" x14ac:dyDescent="0.3">
      <c r="A37" s="28">
        <v>8470230</v>
      </c>
      <c r="B37" s="29" t="s">
        <v>115</v>
      </c>
      <c r="C37" s="30">
        <v>420550</v>
      </c>
      <c r="D37" s="31" t="s">
        <v>666</v>
      </c>
      <c r="E37" s="45" t="s">
        <v>739</v>
      </c>
      <c r="F37" s="32"/>
      <c r="G37" s="32"/>
      <c r="H37" s="32">
        <v>0</v>
      </c>
      <c r="I37" s="33"/>
      <c r="J37" s="32"/>
      <c r="K37" s="32">
        <f t="shared" si="0"/>
        <v>0</v>
      </c>
      <c r="L37" s="47" t="s">
        <v>1310</v>
      </c>
      <c r="M37" s="60" t="s">
        <v>1317</v>
      </c>
      <c r="N37" s="26" t="s">
        <v>1317</v>
      </c>
      <c r="O37" s="26" t="e">
        <v>#N/A</v>
      </c>
    </row>
    <row r="38" spans="1:15" hidden="1" x14ac:dyDescent="0.3">
      <c r="A38" s="28">
        <v>8470230</v>
      </c>
      <c r="B38" s="29" t="s">
        <v>115</v>
      </c>
      <c r="C38" s="30">
        <v>425900</v>
      </c>
      <c r="D38" s="31" t="s">
        <v>684</v>
      </c>
      <c r="E38" s="45" t="s">
        <v>756</v>
      </c>
      <c r="F38" s="32"/>
      <c r="G38" s="32"/>
      <c r="H38" s="32">
        <v>0</v>
      </c>
      <c r="I38" s="33"/>
      <c r="J38" s="32"/>
      <c r="K38" s="32">
        <f t="shared" si="0"/>
        <v>0</v>
      </c>
      <c r="L38" s="47" t="s">
        <v>1310</v>
      </c>
      <c r="M38" s="60" t="s">
        <v>1317</v>
      </c>
      <c r="N38" s="26" t="s">
        <v>1317</v>
      </c>
      <c r="O38" s="26" t="e">
        <v>#N/A</v>
      </c>
    </row>
    <row r="39" spans="1:15" hidden="1" x14ac:dyDescent="0.3">
      <c r="A39" s="28">
        <v>8470230</v>
      </c>
      <c r="B39" s="29" t="s">
        <v>115</v>
      </c>
      <c r="C39" s="30">
        <v>436110</v>
      </c>
      <c r="D39" s="31" t="s">
        <v>708</v>
      </c>
      <c r="E39" s="45" t="s">
        <v>758</v>
      </c>
      <c r="F39" s="32"/>
      <c r="G39" s="32"/>
      <c r="H39" s="32">
        <v>0</v>
      </c>
      <c r="I39" s="33"/>
      <c r="J39" s="32"/>
      <c r="K39" s="32">
        <f t="shared" si="0"/>
        <v>0</v>
      </c>
      <c r="L39" s="47" t="s">
        <v>1310</v>
      </c>
      <c r="M39" s="60" t="s">
        <v>1317</v>
      </c>
      <c r="N39" s="26" t="s">
        <v>1317</v>
      </c>
      <c r="O39" s="26" t="e">
        <v>#N/A</v>
      </c>
    </row>
    <row r="40" spans="1:15" hidden="1" x14ac:dyDescent="0.3">
      <c r="A40" s="28">
        <v>8470230</v>
      </c>
      <c r="B40" s="29" t="s">
        <v>115</v>
      </c>
      <c r="C40" s="30">
        <v>425744</v>
      </c>
      <c r="D40" s="31" t="s">
        <v>748</v>
      </c>
      <c r="E40" s="45" t="s">
        <v>749</v>
      </c>
      <c r="F40" s="32">
        <v>1</v>
      </c>
      <c r="G40" s="32">
        <v>1</v>
      </c>
      <c r="H40" s="32">
        <v>0</v>
      </c>
      <c r="I40" s="33"/>
      <c r="J40" s="32"/>
      <c r="K40" s="32">
        <f t="shared" si="0"/>
        <v>1</v>
      </c>
      <c r="L40" s="47" t="s">
        <v>1310</v>
      </c>
      <c r="M40" s="60" t="s">
        <v>1317</v>
      </c>
      <c r="N40" s="26" t="s">
        <v>1317</v>
      </c>
      <c r="O40" s="26" t="e">
        <v>#N/A</v>
      </c>
    </row>
    <row r="41" spans="1:15" hidden="1" x14ac:dyDescent="0.3">
      <c r="A41" s="28">
        <v>8470230</v>
      </c>
      <c r="B41" s="29" t="s">
        <v>115</v>
      </c>
      <c r="C41" s="30">
        <v>425743</v>
      </c>
      <c r="D41" s="31" t="s">
        <v>745</v>
      </c>
      <c r="E41" s="45" t="s">
        <v>746</v>
      </c>
      <c r="F41" s="32">
        <v>720000</v>
      </c>
      <c r="G41" s="32">
        <v>962000</v>
      </c>
      <c r="H41" s="32">
        <v>960000</v>
      </c>
      <c r="I41" s="33"/>
      <c r="J41" s="32"/>
      <c r="K41" s="32">
        <f t="shared" si="0"/>
        <v>2000</v>
      </c>
      <c r="L41" s="47" t="s">
        <v>1310</v>
      </c>
      <c r="M41" s="60" t="s">
        <v>1317</v>
      </c>
      <c r="N41" s="26" t="s">
        <v>1317</v>
      </c>
      <c r="O41" s="26" t="e">
        <v>#N/A</v>
      </c>
    </row>
    <row r="42" spans="1:15" hidden="1" x14ac:dyDescent="0.3">
      <c r="A42" s="28">
        <v>8470230</v>
      </c>
      <c r="B42" s="29" t="s">
        <v>115</v>
      </c>
      <c r="C42" s="30">
        <v>436110</v>
      </c>
      <c r="D42" s="31" t="s">
        <v>708</v>
      </c>
      <c r="E42" s="45" t="s">
        <v>759</v>
      </c>
      <c r="F42" s="32">
        <v>5000</v>
      </c>
      <c r="G42" s="32">
        <v>5000</v>
      </c>
      <c r="H42" s="32">
        <v>0</v>
      </c>
      <c r="I42" s="33"/>
      <c r="J42" s="32"/>
      <c r="K42" s="32">
        <f t="shared" si="0"/>
        <v>5000</v>
      </c>
      <c r="L42" s="47" t="s">
        <v>1310</v>
      </c>
      <c r="M42" s="60" t="s">
        <v>1317</v>
      </c>
      <c r="N42" s="26" t="s">
        <v>1317</v>
      </c>
      <c r="O42" s="26" t="e">
        <v>#N/A</v>
      </c>
    </row>
    <row r="43" spans="1:15" hidden="1" x14ac:dyDescent="0.3">
      <c r="A43" s="28">
        <v>8470230</v>
      </c>
      <c r="B43" s="29" t="s">
        <v>115</v>
      </c>
      <c r="C43" s="30">
        <v>425510</v>
      </c>
      <c r="D43" s="31" t="s">
        <v>681</v>
      </c>
      <c r="E43" s="45" t="s">
        <v>742</v>
      </c>
      <c r="F43" s="32">
        <v>10000</v>
      </c>
      <c r="G43" s="32">
        <v>10000</v>
      </c>
      <c r="H43" s="32">
        <v>3706.11</v>
      </c>
      <c r="I43" s="33"/>
      <c r="J43" s="32"/>
      <c r="K43" s="32">
        <f t="shared" si="0"/>
        <v>6293.8899999999994</v>
      </c>
      <c r="L43" s="47" t="s">
        <v>1310</v>
      </c>
      <c r="M43" s="60" t="s">
        <v>1317</v>
      </c>
      <c r="N43" s="26" t="s">
        <v>1317</v>
      </c>
      <c r="O43" s="26" t="e">
        <v>#N/A</v>
      </c>
    </row>
    <row r="44" spans="1:15" hidden="1" x14ac:dyDescent="0.3">
      <c r="A44" s="28">
        <v>8470230</v>
      </c>
      <c r="B44" s="29" t="s">
        <v>115</v>
      </c>
      <c r="C44" s="30">
        <v>426610</v>
      </c>
      <c r="D44" s="31" t="s">
        <v>687</v>
      </c>
      <c r="E44" s="45" t="s">
        <v>757</v>
      </c>
      <c r="F44" s="32">
        <v>8959</v>
      </c>
      <c r="G44" s="32">
        <v>8959</v>
      </c>
      <c r="H44" s="32">
        <v>0</v>
      </c>
      <c r="I44" s="33"/>
      <c r="J44" s="32"/>
      <c r="K44" s="32">
        <f t="shared" si="0"/>
        <v>8959</v>
      </c>
      <c r="L44" s="47" t="s">
        <v>1310</v>
      </c>
      <c r="M44" s="60" t="s">
        <v>1317</v>
      </c>
      <c r="N44" s="26" t="s">
        <v>1317</v>
      </c>
      <c r="O44" s="26" t="e">
        <v>#N/A</v>
      </c>
    </row>
    <row r="45" spans="1:15" hidden="1" x14ac:dyDescent="0.3">
      <c r="A45" s="28">
        <v>8470230</v>
      </c>
      <c r="B45" s="29" t="s">
        <v>115</v>
      </c>
      <c r="C45" s="30">
        <v>425550</v>
      </c>
      <c r="D45" s="31" t="s">
        <v>723</v>
      </c>
      <c r="E45" s="45" t="s">
        <v>743</v>
      </c>
      <c r="F45" s="32">
        <v>16500</v>
      </c>
      <c r="G45" s="32">
        <v>16500</v>
      </c>
      <c r="H45" s="32">
        <v>3326.03</v>
      </c>
      <c r="I45" s="33"/>
      <c r="J45" s="32"/>
      <c r="K45" s="32">
        <f t="shared" si="0"/>
        <v>13173.97</v>
      </c>
      <c r="L45" s="47" t="s">
        <v>1310</v>
      </c>
      <c r="M45" s="60" t="s">
        <v>1317</v>
      </c>
      <c r="N45" s="26" t="s">
        <v>1317</v>
      </c>
      <c r="O45" s="26" t="e">
        <v>#N/A</v>
      </c>
    </row>
    <row r="46" spans="1:15" hidden="1" x14ac:dyDescent="0.3">
      <c r="A46" s="28">
        <v>8470230</v>
      </c>
      <c r="B46" s="29" t="s">
        <v>115</v>
      </c>
      <c r="C46" s="30">
        <v>420550</v>
      </c>
      <c r="D46" s="31" t="s">
        <v>666</v>
      </c>
      <c r="E46" s="45" t="s">
        <v>740</v>
      </c>
      <c r="F46" s="32">
        <v>80740</v>
      </c>
      <c r="G46" s="32">
        <v>80740</v>
      </c>
      <c r="H46" s="32">
        <v>56949.06</v>
      </c>
      <c r="I46" s="33"/>
      <c r="J46" s="32"/>
      <c r="K46" s="32">
        <f t="shared" si="0"/>
        <v>23790.940000000002</v>
      </c>
      <c r="L46" s="47" t="s">
        <v>1310</v>
      </c>
      <c r="M46" s="60" t="s">
        <v>1317</v>
      </c>
      <c r="N46" s="26" t="s">
        <v>1317</v>
      </c>
      <c r="O46" s="26" t="e">
        <v>#N/A</v>
      </c>
    </row>
    <row r="47" spans="1:15" ht="104" hidden="1" x14ac:dyDescent="0.3">
      <c r="A47" s="28">
        <v>8470230</v>
      </c>
      <c r="B47" s="29" t="s">
        <v>115</v>
      </c>
      <c r="C47" s="30">
        <v>425745</v>
      </c>
      <c r="D47" s="31" t="s">
        <v>751</v>
      </c>
      <c r="E47" s="45" t="s">
        <v>752</v>
      </c>
      <c r="F47" s="32">
        <v>1403064</v>
      </c>
      <c r="G47" s="32">
        <v>1403064</v>
      </c>
      <c r="H47" s="32">
        <v>1286175</v>
      </c>
      <c r="I47" s="33"/>
      <c r="J47" s="32"/>
      <c r="K47" s="32">
        <f t="shared" si="0"/>
        <v>116889</v>
      </c>
      <c r="L47" s="47" t="s">
        <v>1329</v>
      </c>
      <c r="M47" s="60" t="s">
        <v>1317</v>
      </c>
      <c r="N47" s="26" t="s">
        <v>1317</v>
      </c>
      <c r="O47" s="26" t="e">
        <v>#N/A</v>
      </c>
    </row>
    <row r="48" spans="1:15" ht="91" hidden="1" x14ac:dyDescent="0.3">
      <c r="A48" s="28">
        <v>8470230</v>
      </c>
      <c r="B48" s="29" t="s">
        <v>115</v>
      </c>
      <c r="C48" s="30">
        <v>425100</v>
      </c>
      <c r="D48" s="31" t="s">
        <v>1306</v>
      </c>
      <c r="E48" s="45" t="s">
        <v>741</v>
      </c>
      <c r="F48" s="32">
        <v>240000</v>
      </c>
      <c r="G48" s="32">
        <v>240000</v>
      </c>
      <c r="H48" s="32">
        <v>0</v>
      </c>
      <c r="I48" s="33"/>
      <c r="J48" s="32"/>
      <c r="K48" s="32">
        <f t="shared" si="0"/>
        <v>240000</v>
      </c>
      <c r="L48" s="47" t="s">
        <v>1330</v>
      </c>
      <c r="M48" s="60" t="s">
        <v>1317</v>
      </c>
      <c r="N48" s="26" t="s">
        <v>1317</v>
      </c>
      <c r="O48" s="26" t="e">
        <v>#N/A</v>
      </c>
    </row>
    <row r="49" spans="1:15" ht="208" hidden="1" x14ac:dyDescent="0.3">
      <c r="A49" s="28">
        <v>8470230</v>
      </c>
      <c r="B49" s="29" t="s">
        <v>115</v>
      </c>
      <c r="C49" s="30">
        <v>425749</v>
      </c>
      <c r="D49" s="31" t="s">
        <v>754</v>
      </c>
      <c r="E49" s="45" t="s">
        <v>755</v>
      </c>
      <c r="F49" s="32">
        <v>101999705</v>
      </c>
      <c r="G49" s="32">
        <v>98368033</v>
      </c>
      <c r="H49" s="32">
        <v>84701166.200000003</v>
      </c>
      <c r="I49" s="33"/>
      <c r="J49" s="32"/>
      <c r="K49" s="32">
        <f t="shared" si="0"/>
        <v>13666866.799999997</v>
      </c>
      <c r="L49" s="47" t="s">
        <v>1331</v>
      </c>
      <c r="M49" s="60" t="s">
        <v>1317</v>
      </c>
      <c r="N49" s="26" t="s">
        <v>1317</v>
      </c>
      <c r="O49" s="26" t="e">
        <v>#N/A</v>
      </c>
    </row>
    <row r="50" spans="1:15" hidden="1" x14ac:dyDescent="0.3">
      <c r="A50" s="28">
        <v>8470305</v>
      </c>
      <c r="B50" s="29" t="s">
        <v>126</v>
      </c>
      <c r="C50" s="30">
        <v>432690</v>
      </c>
      <c r="D50" s="31" t="s">
        <v>780</v>
      </c>
      <c r="E50" s="45" t="s">
        <v>781</v>
      </c>
      <c r="F50" s="32">
        <v>0</v>
      </c>
      <c r="G50" s="32">
        <v>5000</v>
      </c>
      <c r="H50" s="32">
        <v>5000</v>
      </c>
      <c r="I50" s="33"/>
      <c r="J50" s="32"/>
      <c r="K50" s="32">
        <f t="shared" si="0"/>
        <v>0</v>
      </c>
      <c r="L50" s="47" t="s">
        <v>1310</v>
      </c>
      <c r="M50" s="60" t="s">
        <v>1316</v>
      </c>
      <c r="N50" s="26" t="s">
        <v>1318</v>
      </c>
      <c r="O50" s="26" t="e">
        <v>#N/A</v>
      </c>
    </row>
    <row r="51" spans="1:15" hidden="1" x14ac:dyDescent="0.3">
      <c r="A51" s="28">
        <v>8470305</v>
      </c>
      <c r="B51" s="29" t="s">
        <v>126</v>
      </c>
      <c r="C51" s="30">
        <v>435530</v>
      </c>
      <c r="D51" s="31" t="s">
        <v>789</v>
      </c>
      <c r="E51" s="45" t="s">
        <v>790</v>
      </c>
      <c r="F51" s="32">
        <v>0</v>
      </c>
      <c r="G51" s="32">
        <v>0</v>
      </c>
      <c r="H51" s="32">
        <v>0</v>
      </c>
      <c r="I51" s="33"/>
      <c r="J51" s="32"/>
      <c r="K51" s="32">
        <f t="shared" si="0"/>
        <v>0</v>
      </c>
      <c r="L51" s="47" t="s">
        <v>1310</v>
      </c>
      <c r="M51" s="60" t="s">
        <v>1316</v>
      </c>
      <c r="N51" s="26" t="s">
        <v>1318</v>
      </c>
      <c r="O51" s="26" t="e">
        <v>#N/A</v>
      </c>
    </row>
    <row r="52" spans="1:15" hidden="1" x14ac:dyDescent="0.3">
      <c r="A52" s="28">
        <v>8470305</v>
      </c>
      <c r="B52" s="29" t="s">
        <v>126</v>
      </c>
      <c r="C52" s="30">
        <v>436110</v>
      </c>
      <c r="D52" s="31" t="s">
        <v>708</v>
      </c>
      <c r="E52" s="45" t="s">
        <v>791</v>
      </c>
      <c r="F52" s="32">
        <v>0</v>
      </c>
      <c r="G52" s="32">
        <v>0</v>
      </c>
      <c r="H52" s="32">
        <v>0</v>
      </c>
      <c r="I52" s="33"/>
      <c r="J52" s="32"/>
      <c r="K52" s="32">
        <f t="shared" si="0"/>
        <v>0</v>
      </c>
      <c r="L52" s="47" t="s">
        <v>1310</v>
      </c>
      <c r="M52" s="60" t="s">
        <v>1316</v>
      </c>
      <c r="N52" s="26" t="s">
        <v>1318</v>
      </c>
      <c r="O52" s="26" t="e">
        <v>#N/A</v>
      </c>
    </row>
    <row r="53" spans="1:15" hidden="1" x14ac:dyDescent="0.3">
      <c r="A53" s="28">
        <v>8470305</v>
      </c>
      <c r="B53" s="31" t="s">
        <v>126</v>
      </c>
      <c r="C53" s="30">
        <v>492316</v>
      </c>
      <c r="D53" s="31" t="s">
        <v>777</v>
      </c>
      <c r="E53" s="45" t="s">
        <v>1251</v>
      </c>
      <c r="F53" s="32"/>
      <c r="G53" s="32"/>
      <c r="H53" s="32">
        <v>0</v>
      </c>
      <c r="I53" s="33"/>
      <c r="J53" s="32"/>
      <c r="K53" s="32">
        <f t="shared" si="0"/>
        <v>0</v>
      </c>
      <c r="L53" s="47" t="s">
        <v>1310</v>
      </c>
      <c r="M53" s="26" t="s">
        <v>1316</v>
      </c>
      <c r="N53" s="26" t="s">
        <v>1318</v>
      </c>
      <c r="O53" s="26">
        <v>492316</v>
      </c>
    </row>
    <row r="54" spans="1:15" hidden="1" x14ac:dyDescent="0.3">
      <c r="A54" s="28">
        <v>8470305</v>
      </c>
      <c r="B54" s="29" t="s">
        <v>126</v>
      </c>
      <c r="C54" s="30">
        <v>420550</v>
      </c>
      <c r="D54" s="31" t="s">
        <v>666</v>
      </c>
      <c r="E54" s="45" t="s">
        <v>760</v>
      </c>
      <c r="F54" s="32">
        <v>1</v>
      </c>
      <c r="G54" s="32">
        <v>1</v>
      </c>
      <c r="H54" s="32">
        <v>0</v>
      </c>
      <c r="I54" s="33"/>
      <c r="J54" s="32"/>
      <c r="K54" s="32">
        <f t="shared" si="0"/>
        <v>1</v>
      </c>
      <c r="L54" s="47" t="s">
        <v>1310</v>
      </c>
      <c r="M54" s="60" t="s">
        <v>1316</v>
      </c>
      <c r="N54" s="26" t="s">
        <v>1318</v>
      </c>
      <c r="O54" s="26" t="e">
        <v>#N/A</v>
      </c>
    </row>
    <row r="55" spans="1:15" hidden="1" x14ac:dyDescent="0.3">
      <c r="A55" s="28">
        <v>8470305</v>
      </c>
      <c r="B55" s="29" t="s">
        <v>126</v>
      </c>
      <c r="C55" s="30">
        <v>428640</v>
      </c>
      <c r="D55" s="31" t="s">
        <v>699</v>
      </c>
      <c r="E55" s="45" t="s">
        <v>775</v>
      </c>
      <c r="F55" s="32">
        <v>1</v>
      </c>
      <c r="G55" s="32">
        <v>1</v>
      </c>
      <c r="H55" s="32">
        <v>0</v>
      </c>
      <c r="I55" s="33"/>
      <c r="J55" s="32"/>
      <c r="K55" s="32">
        <f t="shared" si="0"/>
        <v>1</v>
      </c>
      <c r="L55" s="47" t="s">
        <v>1310</v>
      </c>
      <c r="M55" s="60" t="s">
        <v>1316</v>
      </c>
      <c r="N55" s="26" t="s">
        <v>1318</v>
      </c>
      <c r="O55" s="26" t="e">
        <v>#N/A</v>
      </c>
    </row>
    <row r="56" spans="1:15" hidden="1" x14ac:dyDescent="0.3">
      <c r="A56" s="28">
        <v>8470305</v>
      </c>
      <c r="B56" s="29" t="s">
        <v>126</v>
      </c>
      <c r="C56" s="30">
        <v>425900</v>
      </c>
      <c r="D56" s="31" t="s">
        <v>684</v>
      </c>
      <c r="E56" s="45" t="s">
        <v>773</v>
      </c>
      <c r="F56" s="32"/>
      <c r="G56" s="32"/>
      <c r="H56" s="32">
        <v>-131</v>
      </c>
      <c r="I56" s="33"/>
      <c r="J56" s="32"/>
      <c r="K56" s="32">
        <f t="shared" si="0"/>
        <v>131</v>
      </c>
      <c r="L56" s="47" t="s">
        <v>1310</v>
      </c>
      <c r="M56" s="60" t="s">
        <v>1316</v>
      </c>
      <c r="N56" s="26" t="s">
        <v>1318</v>
      </c>
      <c r="O56" s="26" t="e">
        <v>#N/A</v>
      </c>
    </row>
    <row r="57" spans="1:15" hidden="1" x14ac:dyDescent="0.3">
      <c r="A57" s="28">
        <v>8470305</v>
      </c>
      <c r="B57" s="29" t="s">
        <v>126</v>
      </c>
      <c r="C57" s="30">
        <v>425770</v>
      </c>
      <c r="D57" s="31" t="s">
        <v>771</v>
      </c>
      <c r="E57" s="45" t="s">
        <v>772</v>
      </c>
      <c r="F57" s="32">
        <v>30000</v>
      </c>
      <c r="G57" s="32">
        <v>25000</v>
      </c>
      <c r="H57" s="32">
        <v>22014.5</v>
      </c>
      <c r="I57" s="33"/>
      <c r="J57" s="32"/>
      <c r="K57" s="32">
        <f t="shared" si="0"/>
        <v>2985.5</v>
      </c>
      <c r="L57" s="47" t="s">
        <v>1310</v>
      </c>
      <c r="M57" s="60" t="s">
        <v>1316</v>
      </c>
      <c r="N57" s="26" t="s">
        <v>1318</v>
      </c>
      <c r="O57" s="26" t="e">
        <v>#N/A</v>
      </c>
    </row>
    <row r="58" spans="1:15" hidden="1" x14ac:dyDescent="0.3">
      <c r="A58" s="28">
        <v>8470305</v>
      </c>
      <c r="B58" s="29" t="s">
        <v>126</v>
      </c>
      <c r="C58" s="30">
        <v>425720</v>
      </c>
      <c r="D58" s="31" t="s">
        <v>765</v>
      </c>
      <c r="E58" s="45" t="s">
        <v>766</v>
      </c>
      <c r="F58" s="32"/>
      <c r="G58" s="32"/>
      <c r="H58" s="32">
        <v>-3415.89</v>
      </c>
      <c r="I58" s="33"/>
      <c r="J58" s="32"/>
      <c r="K58" s="32">
        <f t="shared" si="0"/>
        <v>3415.89</v>
      </c>
      <c r="L58" s="47" t="s">
        <v>1310</v>
      </c>
      <c r="M58" s="60" t="s">
        <v>1316</v>
      </c>
      <c r="N58" s="26" t="s">
        <v>1318</v>
      </c>
      <c r="O58" s="26" t="e">
        <v>#N/A</v>
      </c>
    </row>
    <row r="59" spans="1:15" hidden="1" x14ac:dyDescent="0.3">
      <c r="A59" s="28">
        <v>8470305</v>
      </c>
      <c r="B59" s="29" t="s">
        <v>126</v>
      </c>
      <c r="C59" s="30">
        <v>420570</v>
      </c>
      <c r="D59" s="31" t="s">
        <v>669</v>
      </c>
      <c r="E59" s="45" t="s">
        <v>761</v>
      </c>
      <c r="F59" s="32">
        <v>0</v>
      </c>
      <c r="G59" s="32">
        <v>9200</v>
      </c>
      <c r="H59" s="32">
        <v>4591.25</v>
      </c>
      <c r="I59" s="33"/>
      <c r="J59" s="32"/>
      <c r="K59" s="32">
        <f t="shared" si="0"/>
        <v>4608.75</v>
      </c>
      <c r="L59" s="47" t="s">
        <v>1310</v>
      </c>
      <c r="M59" s="60" t="s">
        <v>1316</v>
      </c>
      <c r="N59" s="26" t="s">
        <v>1318</v>
      </c>
      <c r="O59" s="26" t="e">
        <v>#N/A</v>
      </c>
    </row>
    <row r="60" spans="1:15" hidden="1" x14ac:dyDescent="0.3">
      <c r="A60" s="28">
        <v>8470305</v>
      </c>
      <c r="B60" s="29" t="s">
        <v>126</v>
      </c>
      <c r="C60" s="30">
        <v>421700</v>
      </c>
      <c r="D60" s="31" t="s">
        <v>1305</v>
      </c>
      <c r="E60" s="45" t="s">
        <v>762</v>
      </c>
      <c r="F60" s="32">
        <v>400000</v>
      </c>
      <c r="G60" s="32">
        <v>130500</v>
      </c>
      <c r="H60" s="32">
        <v>123488.98</v>
      </c>
      <c r="I60" s="33"/>
      <c r="J60" s="32"/>
      <c r="K60" s="32">
        <f t="shared" si="0"/>
        <v>7011.0200000000041</v>
      </c>
      <c r="L60" s="47" t="s">
        <v>1310</v>
      </c>
      <c r="M60" s="60" t="s">
        <v>1316</v>
      </c>
      <c r="N60" s="26" t="s">
        <v>1318</v>
      </c>
      <c r="O60" s="26" t="e">
        <v>#N/A</v>
      </c>
    </row>
    <row r="61" spans="1:15" hidden="1" x14ac:dyDescent="0.3">
      <c r="A61" s="28">
        <v>8470305</v>
      </c>
      <c r="B61" s="29" t="s">
        <v>126</v>
      </c>
      <c r="C61" s="30">
        <v>426610</v>
      </c>
      <c r="D61" s="31" t="s">
        <v>687</v>
      </c>
      <c r="E61" s="45" t="s">
        <v>774</v>
      </c>
      <c r="F61" s="32">
        <v>224793</v>
      </c>
      <c r="G61" s="32">
        <v>71793</v>
      </c>
      <c r="H61" s="32">
        <v>62198.28</v>
      </c>
      <c r="I61" s="33"/>
      <c r="J61" s="32"/>
      <c r="K61" s="32">
        <f t="shared" si="0"/>
        <v>9594.7200000000012</v>
      </c>
      <c r="L61" s="47" t="s">
        <v>1310</v>
      </c>
      <c r="M61" s="60" t="s">
        <v>1316</v>
      </c>
      <c r="N61" s="26" t="s">
        <v>1318</v>
      </c>
      <c r="O61" s="26" t="e">
        <v>#N/A</v>
      </c>
    </row>
    <row r="62" spans="1:15" hidden="1" x14ac:dyDescent="0.3">
      <c r="A62" s="28">
        <v>8470305</v>
      </c>
      <c r="B62" s="29" t="s">
        <v>126</v>
      </c>
      <c r="C62" s="30">
        <v>425510</v>
      </c>
      <c r="D62" s="31" t="s">
        <v>681</v>
      </c>
      <c r="E62" s="45" t="s">
        <v>763</v>
      </c>
      <c r="F62" s="32">
        <v>10000</v>
      </c>
      <c r="G62" s="32">
        <v>10000</v>
      </c>
      <c r="H62" s="32">
        <v>-252</v>
      </c>
      <c r="I62" s="33"/>
      <c r="J62" s="32"/>
      <c r="K62" s="32">
        <f t="shared" si="0"/>
        <v>10252</v>
      </c>
      <c r="L62" s="47" t="s">
        <v>1310</v>
      </c>
      <c r="M62" s="60" t="s">
        <v>1316</v>
      </c>
      <c r="N62" s="26" t="s">
        <v>1318</v>
      </c>
      <c r="O62" s="26" t="e">
        <v>#N/A</v>
      </c>
    </row>
    <row r="63" spans="1:15" hidden="1" x14ac:dyDescent="0.3">
      <c r="A63" s="28">
        <v>8470305</v>
      </c>
      <c r="B63" s="29" t="s">
        <v>126</v>
      </c>
      <c r="C63" s="30">
        <v>435350</v>
      </c>
      <c r="D63" s="31" t="s">
        <v>783</v>
      </c>
      <c r="E63" s="45" t="s">
        <v>784</v>
      </c>
      <c r="F63" s="32">
        <v>22529</v>
      </c>
      <c r="G63" s="32">
        <v>12529</v>
      </c>
      <c r="H63" s="32">
        <v>0</v>
      </c>
      <c r="I63" s="33"/>
      <c r="J63" s="32"/>
      <c r="K63" s="32">
        <f t="shared" si="0"/>
        <v>12529</v>
      </c>
      <c r="L63" s="47" t="s">
        <v>1310</v>
      </c>
      <c r="M63" s="60" t="s">
        <v>1316</v>
      </c>
      <c r="N63" s="26" t="s">
        <v>1318</v>
      </c>
      <c r="O63" s="26" t="e">
        <v>#N/A</v>
      </c>
    </row>
    <row r="64" spans="1:15" hidden="1" x14ac:dyDescent="0.3">
      <c r="A64" s="28">
        <v>8470305</v>
      </c>
      <c r="B64" s="29" t="s">
        <v>126</v>
      </c>
      <c r="C64" s="30">
        <v>435508</v>
      </c>
      <c r="D64" s="31" t="s">
        <v>786</v>
      </c>
      <c r="E64" s="45" t="s">
        <v>787</v>
      </c>
      <c r="F64" s="32">
        <v>51790</v>
      </c>
      <c r="G64" s="32">
        <v>51790</v>
      </c>
      <c r="H64" s="32">
        <v>35691.550000000003</v>
      </c>
      <c r="I64" s="33"/>
      <c r="J64" s="32"/>
      <c r="K64" s="32">
        <f t="shared" si="0"/>
        <v>16098.449999999997</v>
      </c>
      <c r="L64" s="47" t="s">
        <v>1310</v>
      </c>
      <c r="M64" s="60" t="s">
        <v>1316</v>
      </c>
      <c r="N64" s="26" t="s">
        <v>1318</v>
      </c>
      <c r="O64" s="26" t="e">
        <v>#N/A</v>
      </c>
    </row>
    <row r="65" spans="1:15" hidden="1" x14ac:dyDescent="0.3">
      <c r="A65" s="28">
        <v>8470305</v>
      </c>
      <c r="B65" s="29" t="s">
        <v>126</v>
      </c>
      <c r="C65" s="30">
        <v>432209</v>
      </c>
      <c r="D65" s="31" t="s">
        <v>777</v>
      </c>
      <c r="E65" s="45" t="s">
        <v>778</v>
      </c>
      <c r="F65" s="32">
        <v>250000</v>
      </c>
      <c r="G65" s="32">
        <v>250000</v>
      </c>
      <c r="H65" s="32">
        <v>201150.01</v>
      </c>
      <c r="I65" s="33"/>
      <c r="J65" s="32"/>
      <c r="K65" s="32">
        <f t="shared" si="0"/>
        <v>48849.989999999991</v>
      </c>
      <c r="L65" s="47" t="s">
        <v>1310</v>
      </c>
      <c r="M65" s="60" t="s">
        <v>1316</v>
      </c>
      <c r="N65" s="26" t="s">
        <v>1318</v>
      </c>
      <c r="O65" s="26" t="e">
        <v>#N/A</v>
      </c>
    </row>
    <row r="66" spans="1:15" hidden="1" x14ac:dyDescent="0.3">
      <c r="A66" s="28">
        <v>8470305</v>
      </c>
      <c r="B66" s="29" t="s">
        <v>126</v>
      </c>
      <c r="C66" s="30">
        <v>425763</v>
      </c>
      <c r="D66" s="31" t="s">
        <v>768</v>
      </c>
      <c r="E66" s="45" t="s">
        <v>769</v>
      </c>
      <c r="F66" s="32">
        <v>30000</v>
      </c>
      <c r="G66" s="32">
        <v>300000</v>
      </c>
      <c r="H66" s="32">
        <v>55389.96</v>
      </c>
      <c r="I66" s="33"/>
      <c r="J66" s="32"/>
      <c r="K66" s="32">
        <f t="shared" ref="K66:K129" si="1">G66-H66-I66-J66</f>
        <v>244610.04</v>
      </c>
      <c r="L66" s="47" t="s">
        <v>1310</v>
      </c>
      <c r="M66" s="60" t="s">
        <v>1316</v>
      </c>
      <c r="N66" s="26" t="s">
        <v>1318</v>
      </c>
      <c r="O66" s="26" t="e">
        <v>#N/A</v>
      </c>
    </row>
    <row r="67" spans="1:15" hidden="1" x14ac:dyDescent="0.3">
      <c r="A67" s="28">
        <v>8470310</v>
      </c>
      <c r="B67" s="29" t="s">
        <v>135</v>
      </c>
      <c r="C67" s="30">
        <v>430120</v>
      </c>
      <c r="D67" s="31" t="s">
        <v>795</v>
      </c>
      <c r="E67" s="45" t="s">
        <v>796</v>
      </c>
      <c r="F67" s="32">
        <v>180000</v>
      </c>
      <c r="G67" s="32">
        <v>0</v>
      </c>
      <c r="H67" s="32">
        <v>0</v>
      </c>
      <c r="I67" s="33"/>
      <c r="J67" s="32"/>
      <c r="K67" s="32">
        <f t="shared" si="1"/>
        <v>0</v>
      </c>
      <c r="L67" s="47" t="s">
        <v>1310</v>
      </c>
      <c r="M67" s="60" t="s">
        <v>1316</v>
      </c>
      <c r="N67" s="26" t="s">
        <v>1318</v>
      </c>
      <c r="O67" s="26" t="e">
        <v>#N/A</v>
      </c>
    </row>
    <row r="68" spans="1:15" hidden="1" x14ac:dyDescent="0.3">
      <c r="A68" s="28">
        <v>8470310</v>
      </c>
      <c r="B68" s="29" t="s">
        <v>135</v>
      </c>
      <c r="C68" s="30">
        <v>436600</v>
      </c>
      <c r="D68" s="31" t="s">
        <v>800</v>
      </c>
      <c r="E68" s="45" t="s">
        <v>801</v>
      </c>
      <c r="F68" s="32">
        <v>0</v>
      </c>
      <c r="G68" s="32">
        <v>510</v>
      </c>
      <c r="H68" s="32">
        <v>505.12</v>
      </c>
      <c r="I68" s="33"/>
      <c r="J68" s="32"/>
      <c r="K68" s="32">
        <f t="shared" si="1"/>
        <v>4.8799999999999955</v>
      </c>
      <c r="L68" s="47" t="s">
        <v>1310</v>
      </c>
      <c r="M68" s="60" t="s">
        <v>1316</v>
      </c>
      <c r="N68" s="26" t="s">
        <v>1318</v>
      </c>
      <c r="O68" s="26" t="e">
        <v>#N/A</v>
      </c>
    </row>
    <row r="69" spans="1:15" hidden="1" x14ac:dyDescent="0.3">
      <c r="A69" s="28">
        <v>8470310</v>
      </c>
      <c r="B69" s="29" t="s">
        <v>135</v>
      </c>
      <c r="C69" s="30">
        <v>425770</v>
      </c>
      <c r="D69" s="31" t="s">
        <v>771</v>
      </c>
      <c r="E69" s="45" t="s">
        <v>793</v>
      </c>
      <c r="F69" s="32">
        <v>65000</v>
      </c>
      <c r="G69" s="32">
        <v>490</v>
      </c>
      <c r="H69" s="32">
        <v>0</v>
      </c>
      <c r="I69" s="33"/>
      <c r="J69" s="32"/>
      <c r="K69" s="32">
        <f t="shared" si="1"/>
        <v>490</v>
      </c>
      <c r="L69" s="47" t="s">
        <v>1310</v>
      </c>
      <c r="M69" s="60" t="s">
        <v>1316</v>
      </c>
      <c r="N69" s="26" t="s">
        <v>1318</v>
      </c>
      <c r="O69" s="26" t="e">
        <v>#N/A</v>
      </c>
    </row>
    <row r="70" spans="1:15" hidden="1" x14ac:dyDescent="0.3">
      <c r="A70" s="28">
        <v>8470310</v>
      </c>
      <c r="B70" s="29" t="s">
        <v>135</v>
      </c>
      <c r="C70" s="30">
        <v>435350</v>
      </c>
      <c r="D70" s="31" t="s">
        <v>783</v>
      </c>
      <c r="E70" s="45" t="s">
        <v>797</v>
      </c>
      <c r="F70" s="32">
        <v>2000</v>
      </c>
      <c r="G70" s="32">
        <v>52000</v>
      </c>
      <c r="H70" s="32">
        <v>48731.55</v>
      </c>
      <c r="I70" s="33"/>
      <c r="J70" s="32"/>
      <c r="K70" s="32">
        <f t="shared" si="1"/>
        <v>3268.4499999999971</v>
      </c>
      <c r="L70" s="47" t="s">
        <v>1310</v>
      </c>
      <c r="M70" s="60" t="s">
        <v>1316</v>
      </c>
      <c r="N70" s="26" t="s">
        <v>1318</v>
      </c>
      <c r="O70" s="26" t="e">
        <v>#N/A</v>
      </c>
    </row>
    <row r="71" spans="1:15" hidden="1" x14ac:dyDescent="0.3">
      <c r="A71" s="28">
        <v>8470310</v>
      </c>
      <c r="B71" s="29" t="s">
        <v>135</v>
      </c>
      <c r="C71" s="30">
        <v>435508</v>
      </c>
      <c r="D71" s="31" t="s">
        <v>786</v>
      </c>
      <c r="E71" s="45" t="s">
        <v>798</v>
      </c>
      <c r="F71" s="32">
        <v>50000</v>
      </c>
      <c r="G71" s="32">
        <v>69000</v>
      </c>
      <c r="H71" s="32">
        <v>52948.07</v>
      </c>
      <c r="I71" s="33"/>
      <c r="J71" s="32"/>
      <c r="K71" s="32">
        <f t="shared" si="1"/>
        <v>16051.93</v>
      </c>
      <c r="L71" s="47" t="s">
        <v>1310</v>
      </c>
      <c r="M71" s="60" t="s">
        <v>1316</v>
      </c>
      <c r="N71" s="26" t="s">
        <v>1318</v>
      </c>
      <c r="O71" s="26" t="e">
        <v>#N/A</v>
      </c>
    </row>
    <row r="72" spans="1:15" hidden="1" x14ac:dyDescent="0.3">
      <c r="A72" s="28">
        <v>8470310</v>
      </c>
      <c r="B72" s="31" t="s">
        <v>135</v>
      </c>
      <c r="C72" s="30">
        <v>492316</v>
      </c>
      <c r="D72" s="31" t="s">
        <v>777</v>
      </c>
      <c r="E72" s="45" t="s">
        <v>1252</v>
      </c>
      <c r="F72" s="32">
        <v>759151</v>
      </c>
      <c r="G72" s="32">
        <v>759151</v>
      </c>
      <c r="H72" s="32">
        <v>658396</v>
      </c>
      <c r="I72" s="33"/>
      <c r="J72" s="32"/>
      <c r="K72" s="32">
        <f t="shared" si="1"/>
        <v>100755</v>
      </c>
      <c r="L72" s="47" t="s">
        <v>1310</v>
      </c>
      <c r="M72" s="26" t="s">
        <v>1316</v>
      </c>
      <c r="N72" s="26" t="s">
        <v>1318</v>
      </c>
      <c r="O72" s="26">
        <v>492316</v>
      </c>
    </row>
    <row r="73" spans="1:15" hidden="1" x14ac:dyDescent="0.3">
      <c r="A73" s="28">
        <v>8470310</v>
      </c>
      <c r="B73" s="29" t="s">
        <v>135</v>
      </c>
      <c r="C73" s="30">
        <v>425763</v>
      </c>
      <c r="D73" s="31" t="s">
        <v>768</v>
      </c>
      <c r="E73" s="45" t="s">
        <v>792</v>
      </c>
      <c r="F73" s="32">
        <v>85000</v>
      </c>
      <c r="G73" s="32">
        <v>339000</v>
      </c>
      <c r="H73" s="32">
        <v>113543.11</v>
      </c>
      <c r="I73" s="33"/>
      <c r="J73" s="32"/>
      <c r="K73" s="32">
        <f t="shared" si="1"/>
        <v>225456.89</v>
      </c>
      <c r="L73" s="47" t="s">
        <v>1310</v>
      </c>
      <c r="M73" s="60" t="s">
        <v>1316</v>
      </c>
      <c r="N73" s="26" t="s">
        <v>1318</v>
      </c>
      <c r="O73" s="26" t="e">
        <v>#N/A</v>
      </c>
    </row>
    <row r="74" spans="1:15" hidden="1" x14ac:dyDescent="0.3">
      <c r="A74" s="28">
        <v>8470315</v>
      </c>
      <c r="B74" s="29" t="s">
        <v>147</v>
      </c>
      <c r="C74" s="30">
        <v>435350</v>
      </c>
      <c r="D74" s="31" t="s">
        <v>783</v>
      </c>
      <c r="E74" s="45" t="s">
        <v>811</v>
      </c>
      <c r="F74" s="32">
        <v>16000</v>
      </c>
      <c r="G74" s="32">
        <v>9805</v>
      </c>
      <c r="H74" s="32">
        <v>9804.0300000000007</v>
      </c>
      <c r="I74" s="33"/>
      <c r="J74" s="32"/>
      <c r="K74" s="32">
        <f t="shared" si="1"/>
        <v>0.96999999999934516</v>
      </c>
      <c r="L74" s="47" t="s">
        <v>1310</v>
      </c>
      <c r="M74" s="60" t="s">
        <v>1316</v>
      </c>
      <c r="N74" s="26" t="s">
        <v>1318</v>
      </c>
      <c r="O74" s="26" t="e">
        <v>#N/A</v>
      </c>
    </row>
    <row r="75" spans="1:15" hidden="1" x14ac:dyDescent="0.3">
      <c r="A75" s="28">
        <v>8470315</v>
      </c>
      <c r="B75" s="29" t="s">
        <v>147</v>
      </c>
      <c r="C75" s="30">
        <v>432209</v>
      </c>
      <c r="D75" s="31" t="s">
        <v>777</v>
      </c>
      <c r="E75" s="45" t="s">
        <v>810</v>
      </c>
      <c r="F75" s="32">
        <v>6195</v>
      </c>
      <c r="G75" s="32">
        <v>6195</v>
      </c>
      <c r="H75" s="32">
        <v>5900</v>
      </c>
      <c r="I75" s="33"/>
      <c r="J75" s="32"/>
      <c r="K75" s="32">
        <f t="shared" si="1"/>
        <v>295</v>
      </c>
      <c r="L75" s="47" t="s">
        <v>1310</v>
      </c>
      <c r="M75" s="60" t="s">
        <v>1316</v>
      </c>
      <c r="N75" s="26" t="s">
        <v>1318</v>
      </c>
      <c r="O75" s="26" t="e">
        <v>#N/A</v>
      </c>
    </row>
    <row r="76" spans="1:15" hidden="1" x14ac:dyDescent="0.3">
      <c r="A76" s="28">
        <v>8470315</v>
      </c>
      <c r="B76" s="29" t="s">
        <v>147</v>
      </c>
      <c r="C76" s="30">
        <v>436110</v>
      </c>
      <c r="D76" s="31" t="s">
        <v>708</v>
      </c>
      <c r="E76" s="45" t="s">
        <v>814</v>
      </c>
      <c r="F76" s="32">
        <v>500</v>
      </c>
      <c r="G76" s="32">
        <v>500</v>
      </c>
      <c r="H76" s="32">
        <v>0</v>
      </c>
      <c r="I76" s="33"/>
      <c r="J76" s="32"/>
      <c r="K76" s="32">
        <f t="shared" si="1"/>
        <v>500</v>
      </c>
      <c r="L76" s="47" t="s">
        <v>1310</v>
      </c>
      <c r="M76" s="60" t="s">
        <v>1316</v>
      </c>
      <c r="N76" s="26" t="s">
        <v>1318</v>
      </c>
      <c r="O76" s="26" t="e">
        <v>#N/A</v>
      </c>
    </row>
    <row r="77" spans="1:15" hidden="1" x14ac:dyDescent="0.3">
      <c r="A77" s="28">
        <v>8470315</v>
      </c>
      <c r="B77" s="29" t="s">
        <v>147</v>
      </c>
      <c r="C77" s="30">
        <v>425510</v>
      </c>
      <c r="D77" s="31" t="s">
        <v>681</v>
      </c>
      <c r="E77" s="45" t="s">
        <v>802</v>
      </c>
      <c r="F77" s="32">
        <v>1502</v>
      </c>
      <c r="G77" s="32">
        <v>802</v>
      </c>
      <c r="H77" s="32">
        <v>100</v>
      </c>
      <c r="I77" s="33"/>
      <c r="J77" s="32"/>
      <c r="K77" s="32">
        <f t="shared" si="1"/>
        <v>702</v>
      </c>
      <c r="L77" s="47" t="s">
        <v>1310</v>
      </c>
      <c r="M77" s="60" t="s">
        <v>1316</v>
      </c>
      <c r="N77" s="26" t="s">
        <v>1318</v>
      </c>
      <c r="O77" s="26" t="e">
        <v>#N/A</v>
      </c>
    </row>
    <row r="78" spans="1:15" hidden="1" x14ac:dyDescent="0.3">
      <c r="A78" s="28">
        <v>8470315</v>
      </c>
      <c r="B78" s="29" t="s">
        <v>147</v>
      </c>
      <c r="C78" s="30">
        <v>425900</v>
      </c>
      <c r="D78" s="31" t="s">
        <v>684</v>
      </c>
      <c r="E78" s="45" t="s">
        <v>808</v>
      </c>
      <c r="F78" s="32">
        <v>1024</v>
      </c>
      <c r="G78" s="32">
        <v>1024</v>
      </c>
      <c r="H78" s="32">
        <v>315</v>
      </c>
      <c r="I78" s="33"/>
      <c r="J78" s="32"/>
      <c r="K78" s="32">
        <f t="shared" si="1"/>
        <v>709</v>
      </c>
      <c r="L78" s="47" t="s">
        <v>1310</v>
      </c>
      <c r="M78" s="60" t="s">
        <v>1316</v>
      </c>
      <c r="N78" s="26" t="s">
        <v>1318</v>
      </c>
      <c r="O78" s="26" t="e">
        <v>#N/A</v>
      </c>
    </row>
    <row r="79" spans="1:15" hidden="1" x14ac:dyDescent="0.3">
      <c r="A79" s="28">
        <v>8470315</v>
      </c>
      <c r="B79" s="29" t="s">
        <v>147</v>
      </c>
      <c r="C79" s="30">
        <v>425760</v>
      </c>
      <c r="D79" s="31" t="s">
        <v>804</v>
      </c>
      <c r="E79" s="45" t="s">
        <v>805</v>
      </c>
      <c r="F79" s="32">
        <v>875</v>
      </c>
      <c r="G79" s="32">
        <v>875</v>
      </c>
      <c r="H79" s="32">
        <v>0</v>
      </c>
      <c r="I79" s="33"/>
      <c r="J79" s="32"/>
      <c r="K79" s="32">
        <f t="shared" si="1"/>
        <v>875</v>
      </c>
      <c r="L79" s="47" t="s">
        <v>1310</v>
      </c>
      <c r="M79" s="60" t="s">
        <v>1316</v>
      </c>
      <c r="N79" s="26" t="s">
        <v>1318</v>
      </c>
      <c r="O79" s="26" t="e">
        <v>#N/A</v>
      </c>
    </row>
    <row r="80" spans="1:15" hidden="1" x14ac:dyDescent="0.3">
      <c r="A80" s="28">
        <v>8470315</v>
      </c>
      <c r="B80" s="29" t="s">
        <v>147</v>
      </c>
      <c r="C80" s="30">
        <v>426610</v>
      </c>
      <c r="D80" s="31" t="s">
        <v>687</v>
      </c>
      <c r="E80" s="45" t="s">
        <v>809</v>
      </c>
      <c r="F80" s="32">
        <v>9738</v>
      </c>
      <c r="G80" s="32">
        <v>4738</v>
      </c>
      <c r="H80" s="32">
        <v>3816.25</v>
      </c>
      <c r="I80" s="33"/>
      <c r="J80" s="32"/>
      <c r="K80" s="32">
        <f t="shared" si="1"/>
        <v>921.75</v>
      </c>
      <c r="L80" s="47" t="s">
        <v>1310</v>
      </c>
      <c r="M80" s="60" t="s">
        <v>1316</v>
      </c>
      <c r="N80" s="26" t="s">
        <v>1318</v>
      </c>
      <c r="O80" s="26" t="e">
        <v>#N/A</v>
      </c>
    </row>
    <row r="81" spans="1:15" hidden="1" x14ac:dyDescent="0.3">
      <c r="A81" s="28">
        <v>8470315</v>
      </c>
      <c r="B81" s="31" t="s">
        <v>147</v>
      </c>
      <c r="C81" s="30">
        <v>492316</v>
      </c>
      <c r="D81" s="31" t="s">
        <v>777</v>
      </c>
      <c r="E81" s="45" t="s">
        <v>1253</v>
      </c>
      <c r="F81" s="32">
        <v>109201</v>
      </c>
      <c r="G81" s="32">
        <v>109201</v>
      </c>
      <c r="H81" s="32">
        <v>106915.12</v>
      </c>
      <c r="I81" s="33"/>
      <c r="J81" s="32"/>
      <c r="K81" s="32">
        <f t="shared" si="1"/>
        <v>2285.8800000000047</v>
      </c>
      <c r="L81" s="47" t="s">
        <v>1310</v>
      </c>
      <c r="M81" s="26" t="s">
        <v>1316</v>
      </c>
      <c r="N81" s="26" t="s">
        <v>1318</v>
      </c>
      <c r="O81" s="26">
        <v>492316</v>
      </c>
    </row>
    <row r="82" spans="1:15" hidden="1" x14ac:dyDescent="0.3">
      <c r="A82" s="28">
        <v>8470315</v>
      </c>
      <c r="B82" s="29" t="s">
        <v>147</v>
      </c>
      <c r="C82" s="30">
        <v>425763</v>
      </c>
      <c r="D82" s="31" t="s">
        <v>768</v>
      </c>
      <c r="E82" s="45" t="s">
        <v>806</v>
      </c>
      <c r="F82" s="32">
        <v>59000</v>
      </c>
      <c r="G82" s="32">
        <v>59000</v>
      </c>
      <c r="H82" s="32">
        <v>56577.42</v>
      </c>
      <c r="I82" s="33"/>
      <c r="J82" s="32"/>
      <c r="K82" s="32">
        <f t="shared" si="1"/>
        <v>2422.5800000000017</v>
      </c>
      <c r="L82" s="47" t="s">
        <v>1310</v>
      </c>
      <c r="M82" s="60" t="s">
        <v>1316</v>
      </c>
      <c r="N82" s="26" t="s">
        <v>1318</v>
      </c>
      <c r="O82" s="26" t="e">
        <v>#N/A</v>
      </c>
    </row>
    <row r="83" spans="1:15" hidden="1" x14ac:dyDescent="0.3">
      <c r="A83" s="28">
        <v>8470315</v>
      </c>
      <c r="B83" s="29" t="s">
        <v>147</v>
      </c>
      <c r="C83" s="30">
        <v>425770</v>
      </c>
      <c r="D83" s="31" t="s">
        <v>771</v>
      </c>
      <c r="E83" s="45" t="s">
        <v>807</v>
      </c>
      <c r="F83" s="32">
        <v>47557</v>
      </c>
      <c r="G83" s="32">
        <v>3835</v>
      </c>
      <c r="H83" s="32">
        <v>1101.9000000000001</v>
      </c>
      <c r="I83" s="33"/>
      <c r="J83" s="32"/>
      <c r="K83" s="32">
        <f t="shared" si="1"/>
        <v>2733.1</v>
      </c>
      <c r="L83" s="47" t="s">
        <v>1310</v>
      </c>
      <c r="M83" s="60" t="s">
        <v>1316</v>
      </c>
      <c r="N83" s="26" t="s">
        <v>1318</v>
      </c>
      <c r="O83" s="26" t="e">
        <v>#N/A</v>
      </c>
    </row>
    <row r="84" spans="1:15" hidden="1" x14ac:dyDescent="0.3">
      <c r="A84" s="28">
        <v>8470315</v>
      </c>
      <c r="B84" s="29" t="s">
        <v>147</v>
      </c>
      <c r="C84" s="30">
        <v>435508</v>
      </c>
      <c r="D84" s="31" t="s">
        <v>786</v>
      </c>
      <c r="E84" s="45" t="s">
        <v>812</v>
      </c>
      <c r="F84" s="32">
        <v>80000</v>
      </c>
      <c r="G84" s="32">
        <v>132444</v>
      </c>
      <c r="H84" s="32">
        <v>120668.15</v>
      </c>
      <c r="I84" s="33"/>
      <c r="J84" s="32"/>
      <c r="K84" s="32">
        <f t="shared" si="1"/>
        <v>11775.850000000006</v>
      </c>
      <c r="L84" s="47" t="s">
        <v>1310</v>
      </c>
      <c r="M84" s="60" t="s">
        <v>1316</v>
      </c>
      <c r="N84" s="26" t="s">
        <v>1318</v>
      </c>
      <c r="O84" s="26" t="e">
        <v>#N/A</v>
      </c>
    </row>
    <row r="85" spans="1:15" hidden="1" x14ac:dyDescent="0.3">
      <c r="A85" s="28">
        <v>8470315</v>
      </c>
      <c r="B85" s="29" t="s">
        <v>147</v>
      </c>
      <c r="C85" s="30">
        <v>435508</v>
      </c>
      <c r="D85" s="31" t="s">
        <v>786</v>
      </c>
      <c r="E85" s="45" t="s">
        <v>813</v>
      </c>
      <c r="F85" s="32">
        <v>17444</v>
      </c>
      <c r="G85" s="32">
        <v>17444</v>
      </c>
      <c r="H85" s="32">
        <v>0</v>
      </c>
      <c r="I85" s="33"/>
      <c r="J85" s="32"/>
      <c r="K85" s="32">
        <f t="shared" si="1"/>
        <v>17444</v>
      </c>
      <c r="L85" s="47" t="s">
        <v>1310</v>
      </c>
      <c r="M85" s="60" t="s">
        <v>1316</v>
      </c>
      <c r="N85" s="26" t="s">
        <v>1318</v>
      </c>
      <c r="O85" s="26" t="e">
        <v>#N/A</v>
      </c>
    </row>
    <row r="86" spans="1:15" hidden="1" x14ac:dyDescent="0.3">
      <c r="A86" s="28">
        <v>8470320</v>
      </c>
      <c r="B86" s="29" t="s">
        <v>161</v>
      </c>
      <c r="C86" s="30">
        <v>425770</v>
      </c>
      <c r="D86" s="31" t="s">
        <v>771</v>
      </c>
      <c r="E86" s="45" t="s">
        <v>816</v>
      </c>
      <c r="F86" s="32"/>
      <c r="G86" s="32"/>
      <c r="H86" s="32">
        <v>0</v>
      </c>
      <c r="I86" s="33"/>
      <c r="J86" s="32"/>
      <c r="K86" s="32">
        <f t="shared" si="1"/>
        <v>0</v>
      </c>
      <c r="L86" s="47" t="s">
        <v>1310</v>
      </c>
      <c r="M86" s="60" t="s">
        <v>1316</v>
      </c>
      <c r="N86" s="26" t="s">
        <v>1318</v>
      </c>
      <c r="O86" s="26" t="e">
        <v>#N/A</v>
      </c>
    </row>
    <row r="87" spans="1:15" hidden="1" x14ac:dyDescent="0.3">
      <c r="A87" s="28">
        <v>8470320</v>
      </c>
      <c r="B87" s="29" t="s">
        <v>161</v>
      </c>
      <c r="C87" s="30">
        <v>425770</v>
      </c>
      <c r="D87" s="31" t="s">
        <v>771</v>
      </c>
      <c r="E87" s="45" t="s">
        <v>817</v>
      </c>
      <c r="F87" s="32">
        <v>50000</v>
      </c>
      <c r="G87" s="32">
        <v>0</v>
      </c>
      <c r="H87" s="32">
        <v>0</v>
      </c>
      <c r="I87" s="33"/>
      <c r="J87" s="32"/>
      <c r="K87" s="32">
        <f t="shared" si="1"/>
        <v>0</v>
      </c>
      <c r="L87" s="47" t="s">
        <v>1310</v>
      </c>
      <c r="M87" s="60" t="s">
        <v>1316</v>
      </c>
      <c r="N87" s="26" t="s">
        <v>1318</v>
      </c>
      <c r="O87" s="26" t="e">
        <v>#N/A</v>
      </c>
    </row>
    <row r="88" spans="1:15" hidden="1" x14ac:dyDescent="0.3">
      <c r="A88" s="28">
        <v>8470320</v>
      </c>
      <c r="B88" s="29" t="s">
        <v>161</v>
      </c>
      <c r="C88" s="30">
        <v>435350</v>
      </c>
      <c r="D88" s="31" t="s">
        <v>783</v>
      </c>
      <c r="E88" s="45" t="s">
        <v>819</v>
      </c>
      <c r="F88" s="32">
        <v>25000</v>
      </c>
      <c r="G88" s="32">
        <v>0</v>
      </c>
      <c r="H88" s="32">
        <v>0</v>
      </c>
      <c r="I88" s="33"/>
      <c r="J88" s="32"/>
      <c r="K88" s="32">
        <f t="shared" si="1"/>
        <v>0</v>
      </c>
      <c r="L88" s="47" t="s">
        <v>1310</v>
      </c>
      <c r="M88" s="60" t="s">
        <v>1316</v>
      </c>
      <c r="N88" s="26" t="s">
        <v>1318</v>
      </c>
      <c r="O88" s="26" t="e">
        <v>#N/A</v>
      </c>
    </row>
    <row r="89" spans="1:15" hidden="1" x14ac:dyDescent="0.3">
      <c r="A89" s="28">
        <v>8470320</v>
      </c>
      <c r="B89" s="29" t="s">
        <v>161</v>
      </c>
      <c r="C89" s="30">
        <v>426610</v>
      </c>
      <c r="D89" s="31" t="s">
        <v>687</v>
      </c>
      <c r="E89" s="45" t="s">
        <v>818</v>
      </c>
      <c r="F89" s="32">
        <v>18985</v>
      </c>
      <c r="G89" s="32">
        <v>32333</v>
      </c>
      <c r="H89" s="32">
        <v>32332.21</v>
      </c>
      <c r="I89" s="33"/>
      <c r="J89" s="32"/>
      <c r="K89" s="32">
        <f t="shared" si="1"/>
        <v>0.79000000000087311</v>
      </c>
      <c r="L89" s="47" t="s">
        <v>1310</v>
      </c>
      <c r="M89" s="60" t="s">
        <v>1316</v>
      </c>
      <c r="N89" s="26" t="s">
        <v>1318</v>
      </c>
      <c r="O89" s="26" t="e">
        <v>#N/A</v>
      </c>
    </row>
    <row r="90" spans="1:15" hidden="1" x14ac:dyDescent="0.3">
      <c r="A90" s="28">
        <v>8470320</v>
      </c>
      <c r="B90" s="29" t="s">
        <v>161</v>
      </c>
      <c r="C90" s="30">
        <v>425763</v>
      </c>
      <c r="D90" s="31" t="s">
        <v>768</v>
      </c>
      <c r="E90" s="45" t="s">
        <v>815</v>
      </c>
      <c r="F90" s="32">
        <v>20000</v>
      </c>
      <c r="G90" s="32">
        <v>20000</v>
      </c>
      <c r="H90" s="32">
        <v>19693.580000000002</v>
      </c>
      <c r="I90" s="33"/>
      <c r="J90" s="32"/>
      <c r="K90" s="32">
        <f t="shared" si="1"/>
        <v>306.41999999999825</v>
      </c>
      <c r="L90" s="47" t="s">
        <v>1310</v>
      </c>
      <c r="M90" s="60" t="s">
        <v>1316</v>
      </c>
      <c r="N90" s="26" t="s">
        <v>1318</v>
      </c>
      <c r="O90" s="26" t="e">
        <v>#N/A</v>
      </c>
    </row>
    <row r="91" spans="1:15" hidden="1" x14ac:dyDescent="0.3">
      <c r="A91" s="28">
        <v>8470320</v>
      </c>
      <c r="B91" s="29" t="s">
        <v>161</v>
      </c>
      <c r="C91" s="30">
        <v>435508</v>
      </c>
      <c r="D91" s="31" t="s">
        <v>786</v>
      </c>
      <c r="E91" s="45" t="s">
        <v>820</v>
      </c>
      <c r="F91" s="32">
        <v>100000</v>
      </c>
      <c r="G91" s="32">
        <v>112750</v>
      </c>
      <c r="H91" s="32">
        <v>100846</v>
      </c>
      <c r="I91" s="33"/>
      <c r="J91" s="32"/>
      <c r="K91" s="32">
        <f t="shared" si="1"/>
        <v>11904</v>
      </c>
      <c r="L91" s="47" t="s">
        <v>1310</v>
      </c>
      <c r="M91" s="60" t="s">
        <v>1316</v>
      </c>
      <c r="N91" s="26" t="s">
        <v>1318</v>
      </c>
      <c r="O91" s="26" t="e">
        <v>#N/A</v>
      </c>
    </row>
    <row r="92" spans="1:15" hidden="1" x14ac:dyDescent="0.3">
      <c r="A92" s="28">
        <v>8470320</v>
      </c>
      <c r="B92" s="29" t="s">
        <v>161</v>
      </c>
      <c r="C92" s="30">
        <v>436600</v>
      </c>
      <c r="D92" s="31" t="s">
        <v>800</v>
      </c>
      <c r="E92" s="45" t="s">
        <v>821</v>
      </c>
      <c r="F92" s="32">
        <v>0</v>
      </c>
      <c r="G92" s="32">
        <v>44252</v>
      </c>
      <c r="H92" s="32">
        <v>0</v>
      </c>
      <c r="I92" s="33"/>
      <c r="J92" s="32"/>
      <c r="K92" s="32">
        <f t="shared" si="1"/>
        <v>44252</v>
      </c>
      <c r="L92" s="47" t="s">
        <v>1310</v>
      </c>
      <c r="M92" s="60" t="s">
        <v>1316</v>
      </c>
      <c r="N92" s="26" t="s">
        <v>1318</v>
      </c>
      <c r="O92" s="26" t="e">
        <v>#N/A</v>
      </c>
    </row>
    <row r="93" spans="1:15" hidden="1" x14ac:dyDescent="0.3">
      <c r="A93" s="28">
        <v>8470325</v>
      </c>
      <c r="B93" s="29" t="s">
        <v>172</v>
      </c>
      <c r="C93" s="30">
        <v>426610</v>
      </c>
      <c r="D93" s="31" t="s">
        <v>687</v>
      </c>
      <c r="E93" s="45" t="s">
        <v>824</v>
      </c>
      <c r="F93" s="32">
        <v>23000</v>
      </c>
      <c r="G93" s="32">
        <v>0</v>
      </c>
      <c r="H93" s="32">
        <v>0</v>
      </c>
      <c r="I93" s="33"/>
      <c r="J93" s="32"/>
      <c r="K93" s="32">
        <f t="shared" si="1"/>
        <v>0</v>
      </c>
      <c r="L93" s="47" t="s">
        <v>1310</v>
      </c>
      <c r="M93" s="60" t="s">
        <v>1316</v>
      </c>
      <c r="N93" s="26" t="s">
        <v>1318</v>
      </c>
      <c r="O93" s="26" t="e">
        <v>#N/A</v>
      </c>
    </row>
    <row r="94" spans="1:15" hidden="1" x14ac:dyDescent="0.3">
      <c r="A94" s="28">
        <v>8470325</v>
      </c>
      <c r="B94" s="29" t="s">
        <v>172</v>
      </c>
      <c r="C94" s="30">
        <v>435509</v>
      </c>
      <c r="D94" s="31" t="e">
        <v>#N/A</v>
      </c>
      <c r="E94" s="45" t="s">
        <v>828</v>
      </c>
      <c r="F94" s="32">
        <v>0</v>
      </c>
      <c r="G94" s="32">
        <v>0</v>
      </c>
      <c r="H94" s="32">
        <v>0</v>
      </c>
      <c r="I94" s="33"/>
      <c r="J94" s="32"/>
      <c r="K94" s="32">
        <f t="shared" si="1"/>
        <v>0</v>
      </c>
      <c r="L94" s="47" t="s">
        <v>1310</v>
      </c>
      <c r="M94" s="60" t="s">
        <v>1316</v>
      </c>
      <c r="N94" s="26" t="s">
        <v>1318</v>
      </c>
      <c r="O94" s="26" t="e">
        <v>#N/A</v>
      </c>
    </row>
    <row r="95" spans="1:15" hidden="1" x14ac:dyDescent="0.3">
      <c r="A95" s="28">
        <v>8470325</v>
      </c>
      <c r="B95" s="29" t="s">
        <v>172</v>
      </c>
      <c r="C95" s="30">
        <v>436110</v>
      </c>
      <c r="D95" s="31" t="s">
        <v>708</v>
      </c>
      <c r="E95" s="45" t="s">
        <v>829</v>
      </c>
      <c r="F95" s="32">
        <v>0</v>
      </c>
      <c r="G95" s="32">
        <v>0</v>
      </c>
      <c r="H95" s="32">
        <v>0</v>
      </c>
      <c r="I95" s="33"/>
      <c r="J95" s="32"/>
      <c r="K95" s="32">
        <f t="shared" si="1"/>
        <v>0</v>
      </c>
      <c r="L95" s="47" t="s">
        <v>1310</v>
      </c>
      <c r="M95" s="60" t="s">
        <v>1316</v>
      </c>
      <c r="N95" s="26" t="s">
        <v>1318</v>
      </c>
      <c r="O95" s="26" t="e">
        <v>#N/A</v>
      </c>
    </row>
    <row r="96" spans="1:15" hidden="1" x14ac:dyDescent="0.3">
      <c r="A96" s="28">
        <v>8470325</v>
      </c>
      <c r="B96" s="29" t="s">
        <v>172</v>
      </c>
      <c r="C96" s="30">
        <v>435508</v>
      </c>
      <c r="D96" s="31" t="s">
        <v>786</v>
      </c>
      <c r="E96" s="45" t="s">
        <v>825</v>
      </c>
      <c r="F96" s="32">
        <v>11350</v>
      </c>
      <c r="G96" s="32">
        <v>39350</v>
      </c>
      <c r="H96" s="32">
        <v>35833.230000000003</v>
      </c>
      <c r="I96" s="33"/>
      <c r="J96" s="32"/>
      <c r="K96" s="32">
        <f t="shared" si="1"/>
        <v>3516.7699999999968</v>
      </c>
      <c r="L96" s="47" t="s">
        <v>1310</v>
      </c>
      <c r="M96" s="60" t="s">
        <v>1316</v>
      </c>
      <c r="N96" s="26" t="s">
        <v>1318</v>
      </c>
      <c r="O96" s="26" t="e">
        <v>#N/A</v>
      </c>
    </row>
    <row r="97" spans="1:15" hidden="1" x14ac:dyDescent="0.3">
      <c r="A97" s="28">
        <v>8470325</v>
      </c>
      <c r="B97" s="31" t="s">
        <v>172</v>
      </c>
      <c r="C97" s="30">
        <v>492316</v>
      </c>
      <c r="D97" s="31" t="s">
        <v>777</v>
      </c>
      <c r="E97" s="45" t="s">
        <v>1254</v>
      </c>
      <c r="F97" s="32">
        <v>224144</v>
      </c>
      <c r="G97" s="32">
        <v>224144</v>
      </c>
      <c r="H97" s="32">
        <v>190263</v>
      </c>
      <c r="I97" s="33"/>
      <c r="J97" s="32"/>
      <c r="K97" s="32">
        <f t="shared" si="1"/>
        <v>33881</v>
      </c>
      <c r="L97" s="47" t="s">
        <v>1310</v>
      </c>
      <c r="M97" s="26" t="s">
        <v>1316</v>
      </c>
      <c r="N97" s="26" t="s">
        <v>1318</v>
      </c>
      <c r="O97" s="26">
        <v>492316</v>
      </c>
    </row>
    <row r="98" spans="1:15" hidden="1" x14ac:dyDescent="0.3">
      <c r="A98" s="28">
        <v>8470325</v>
      </c>
      <c r="B98" s="29" t="s">
        <v>172</v>
      </c>
      <c r="C98" s="30">
        <v>425770</v>
      </c>
      <c r="D98" s="31" t="s">
        <v>771</v>
      </c>
      <c r="E98" s="45" t="s">
        <v>823</v>
      </c>
      <c r="F98" s="32">
        <v>0</v>
      </c>
      <c r="G98" s="32">
        <v>40000</v>
      </c>
      <c r="H98" s="32">
        <v>0</v>
      </c>
      <c r="I98" s="33"/>
      <c r="J98" s="32"/>
      <c r="K98" s="32">
        <f t="shared" si="1"/>
        <v>40000</v>
      </c>
      <c r="L98" s="47" t="s">
        <v>1310</v>
      </c>
      <c r="M98" s="60" t="s">
        <v>1316</v>
      </c>
      <c r="N98" s="26" t="s">
        <v>1318</v>
      </c>
      <c r="O98" s="26" t="e">
        <v>#N/A</v>
      </c>
    </row>
    <row r="99" spans="1:15" hidden="1" x14ac:dyDescent="0.3">
      <c r="A99" s="28">
        <v>8470325</v>
      </c>
      <c r="B99" s="29" t="s">
        <v>172</v>
      </c>
      <c r="C99" s="30">
        <v>425763</v>
      </c>
      <c r="D99" s="31" t="s">
        <v>768</v>
      </c>
      <c r="E99" s="45" t="s">
        <v>822</v>
      </c>
      <c r="F99" s="32">
        <v>0</v>
      </c>
      <c r="G99" s="32">
        <v>3519000</v>
      </c>
      <c r="H99" s="32">
        <v>3020202.79</v>
      </c>
      <c r="I99" s="33"/>
      <c r="J99" s="32"/>
      <c r="K99" s="32">
        <f t="shared" si="1"/>
        <v>498797.20999999996</v>
      </c>
      <c r="L99" s="47" t="s">
        <v>1310</v>
      </c>
      <c r="M99" s="60" t="s">
        <v>1316</v>
      </c>
      <c r="N99" s="26" t="s">
        <v>1318</v>
      </c>
      <c r="O99" s="26" t="e">
        <v>#N/A</v>
      </c>
    </row>
    <row r="100" spans="1:15" hidden="1" x14ac:dyDescent="0.3">
      <c r="A100" s="28">
        <v>8470330</v>
      </c>
      <c r="B100" s="29" t="s">
        <v>183</v>
      </c>
      <c r="C100" s="30">
        <v>425761</v>
      </c>
      <c r="D100" s="31" t="s">
        <v>832</v>
      </c>
      <c r="E100" s="45" t="s">
        <v>833</v>
      </c>
      <c r="F100" s="32"/>
      <c r="G100" s="32"/>
      <c r="H100" s="32">
        <v>0</v>
      </c>
      <c r="I100" s="33"/>
      <c r="J100" s="32"/>
      <c r="K100" s="32">
        <f t="shared" si="1"/>
        <v>0</v>
      </c>
      <c r="L100" s="47" t="s">
        <v>1310</v>
      </c>
      <c r="M100" s="60" t="s">
        <v>1316</v>
      </c>
      <c r="N100" s="26" t="s">
        <v>1318</v>
      </c>
      <c r="O100" s="26" t="e">
        <v>#N/A</v>
      </c>
    </row>
    <row r="101" spans="1:15" hidden="1" x14ac:dyDescent="0.3">
      <c r="A101" s="28">
        <v>8470330</v>
      </c>
      <c r="B101" s="29" t="s">
        <v>183</v>
      </c>
      <c r="C101" s="30">
        <v>428640</v>
      </c>
      <c r="D101" s="31" t="s">
        <v>699</v>
      </c>
      <c r="E101" s="45" t="s">
        <v>837</v>
      </c>
      <c r="F101" s="32">
        <v>0</v>
      </c>
      <c r="G101" s="32">
        <v>5000</v>
      </c>
      <c r="H101" s="32">
        <v>4487.99</v>
      </c>
      <c r="I101" s="33"/>
      <c r="J101" s="32"/>
      <c r="K101" s="32">
        <f t="shared" si="1"/>
        <v>512.01000000000022</v>
      </c>
      <c r="L101" s="47" t="s">
        <v>1310</v>
      </c>
      <c r="M101" s="60" t="s">
        <v>1316</v>
      </c>
      <c r="N101" s="26" t="s">
        <v>1318</v>
      </c>
      <c r="O101" s="26" t="e">
        <v>#N/A</v>
      </c>
    </row>
    <row r="102" spans="1:15" hidden="1" x14ac:dyDescent="0.3">
      <c r="A102" s="28">
        <v>8470330</v>
      </c>
      <c r="B102" s="29" t="s">
        <v>183</v>
      </c>
      <c r="C102" s="30">
        <v>435508</v>
      </c>
      <c r="D102" s="31" t="s">
        <v>786</v>
      </c>
      <c r="E102" s="45" t="s">
        <v>839</v>
      </c>
      <c r="F102" s="32">
        <v>32000</v>
      </c>
      <c r="G102" s="32">
        <v>83000</v>
      </c>
      <c r="H102" s="32">
        <v>82455.460000000006</v>
      </c>
      <c r="I102" s="33"/>
      <c r="J102" s="32"/>
      <c r="K102" s="32">
        <f t="shared" si="1"/>
        <v>544.5399999999936</v>
      </c>
      <c r="L102" s="47" t="s">
        <v>1310</v>
      </c>
      <c r="M102" s="60" t="s">
        <v>1316</v>
      </c>
      <c r="N102" s="26" t="s">
        <v>1318</v>
      </c>
      <c r="O102" s="26" t="e">
        <v>#N/A</v>
      </c>
    </row>
    <row r="103" spans="1:15" hidden="1" x14ac:dyDescent="0.3">
      <c r="A103" s="28">
        <v>8470330</v>
      </c>
      <c r="B103" s="29" t="s">
        <v>183</v>
      </c>
      <c r="C103" s="30">
        <v>425720</v>
      </c>
      <c r="D103" s="31" t="s">
        <v>765</v>
      </c>
      <c r="E103" s="45" t="s">
        <v>830</v>
      </c>
      <c r="F103" s="32">
        <v>0</v>
      </c>
      <c r="G103" s="32">
        <v>3625</v>
      </c>
      <c r="H103" s="32">
        <v>0</v>
      </c>
      <c r="I103" s="33"/>
      <c r="J103" s="32"/>
      <c r="K103" s="32">
        <f t="shared" si="1"/>
        <v>3625</v>
      </c>
      <c r="L103" s="47" t="s">
        <v>1310</v>
      </c>
      <c r="M103" s="60" t="s">
        <v>1316</v>
      </c>
      <c r="N103" s="26" t="s">
        <v>1318</v>
      </c>
      <c r="O103" s="26" t="e">
        <v>#N/A</v>
      </c>
    </row>
    <row r="104" spans="1:15" hidden="1" x14ac:dyDescent="0.3">
      <c r="A104" s="28">
        <v>8470330</v>
      </c>
      <c r="B104" s="31" t="s">
        <v>183</v>
      </c>
      <c r="C104" s="30">
        <v>492316</v>
      </c>
      <c r="D104" s="31" t="s">
        <v>777</v>
      </c>
      <c r="E104" s="45" t="s">
        <v>1255</v>
      </c>
      <c r="F104" s="32">
        <v>233948</v>
      </c>
      <c r="G104" s="32">
        <v>233948</v>
      </c>
      <c r="H104" s="32">
        <v>228093.3</v>
      </c>
      <c r="I104" s="33"/>
      <c r="J104" s="32"/>
      <c r="K104" s="32">
        <f t="shared" si="1"/>
        <v>5854.7000000000116</v>
      </c>
      <c r="L104" s="47" t="s">
        <v>1310</v>
      </c>
      <c r="M104" s="26" t="s">
        <v>1316</v>
      </c>
      <c r="N104" s="26" t="s">
        <v>1318</v>
      </c>
      <c r="O104" s="26">
        <v>492316</v>
      </c>
    </row>
    <row r="105" spans="1:15" hidden="1" x14ac:dyDescent="0.3">
      <c r="A105" s="28">
        <v>8470330</v>
      </c>
      <c r="B105" s="29" t="s">
        <v>183</v>
      </c>
      <c r="C105" s="30">
        <v>435350</v>
      </c>
      <c r="D105" s="31" t="s">
        <v>783</v>
      </c>
      <c r="E105" s="45" t="s">
        <v>838</v>
      </c>
      <c r="F105" s="32">
        <v>5615</v>
      </c>
      <c r="G105" s="32">
        <v>55615</v>
      </c>
      <c r="H105" s="32">
        <v>49194.96</v>
      </c>
      <c r="I105" s="33"/>
      <c r="J105" s="32"/>
      <c r="K105" s="32">
        <f t="shared" si="1"/>
        <v>6420.0400000000009</v>
      </c>
      <c r="L105" s="47" t="s">
        <v>1310</v>
      </c>
      <c r="M105" s="60" t="s">
        <v>1316</v>
      </c>
      <c r="N105" s="26" t="s">
        <v>1318</v>
      </c>
      <c r="O105" s="26" t="e">
        <v>#N/A</v>
      </c>
    </row>
    <row r="106" spans="1:15" hidden="1" x14ac:dyDescent="0.3">
      <c r="A106" s="28">
        <v>8470330</v>
      </c>
      <c r="B106" s="29" t="s">
        <v>183</v>
      </c>
      <c r="C106" s="30">
        <v>425763</v>
      </c>
      <c r="D106" s="31" t="s">
        <v>768</v>
      </c>
      <c r="E106" s="45" t="s">
        <v>834</v>
      </c>
      <c r="F106" s="32">
        <v>180000</v>
      </c>
      <c r="G106" s="32">
        <v>231000</v>
      </c>
      <c r="H106" s="32">
        <v>216899.04</v>
      </c>
      <c r="I106" s="33"/>
      <c r="J106" s="32"/>
      <c r="K106" s="32">
        <f t="shared" si="1"/>
        <v>14100.959999999992</v>
      </c>
      <c r="L106" s="47" t="s">
        <v>1310</v>
      </c>
      <c r="M106" s="60" t="s">
        <v>1316</v>
      </c>
      <c r="N106" s="26" t="s">
        <v>1318</v>
      </c>
      <c r="O106" s="26" t="e">
        <v>#N/A</v>
      </c>
    </row>
    <row r="107" spans="1:15" hidden="1" x14ac:dyDescent="0.3">
      <c r="A107" s="28">
        <v>8470330</v>
      </c>
      <c r="B107" s="29" t="s">
        <v>183</v>
      </c>
      <c r="C107" s="30">
        <v>436600</v>
      </c>
      <c r="D107" s="31" t="s">
        <v>800</v>
      </c>
      <c r="E107" s="45" t="s">
        <v>840</v>
      </c>
      <c r="F107" s="32">
        <v>0</v>
      </c>
      <c r="G107" s="32">
        <v>16527</v>
      </c>
      <c r="H107" s="32">
        <v>0</v>
      </c>
      <c r="I107" s="33"/>
      <c r="J107" s="32"/>
      <c r="K107" s="32">
        <f t="shared" si="1"/>
        <v>16527</v>
      </c>
      <c r="L107" s="47" t="s">
        <v>1310</v>
      </c>
      <c r="M107" s="60" t="s">
        <v>1316</v>
      </c>
      <c r="N107" s="26" t="s">
        <v>1318</v>
      </c>
      <c r="O107" s="26" t="e">
        <v>#N/A</v>
      </c>
    </row>
    <row r="108" spans="1:15" hidden="1" x14ac:dyDescent="0.3">
      <c r="A108" s="28">
        <v>8470330</v>
      </c>
      <c r="B108" s="29" t="s">
        <v>183</v>
      </c>
      <c r="C108" s="30">
        <v>425770</v>
      </c>
      <c r="D108" s="31" t="s">
        <v>771</v>
      </c>
      <c r="E108" s="45" t="s">
        <v>835</v>
      </c>
      <c r="F108" s="32">
        <v>105000</v>
      </c>
      <c r="G108" s="32">
        <v>30556</v>
      </c>
      <c r="H108" s="32">
        <v>12190.2</v>
      </c>
      <c r="I108" s="33"/>
      <c r="J108" s="32"/>
      <c r="K108" s="32">
        <f t="shared" si="1"/>
        <v>18365.8</v>
      </c>
      <c r="L108" s="47" t="s">
        <v>1310</v>
      </c>
      <c r="M108" s="60" t="s">
        <v>1316</v>
      </c>
      <c r="N108" s="26" t="s">
        <v>1318</v>
      </c>
      <c r="O108" s="26" t="e">
        <v>#N/A</v>
      </c>
    </row>
    <row r="109" spans="1:15" hidden="1" x14ac:dyDescent="0.3">
      <c r="A109" s="28">
        <v>8470330</v>
      </c>
      <c r="B109" s="29" t="s">
        <v>183</v>
      </c>
      <c r="C109" s="30">
        <v>426610</v>
      </c>
      <c r="D109" s="31" t="s">
        <v>687</v>
      </c>
      <c r="E109" s="45" t="s">
        <v>836</v>
      </c>
      <c r="F109" s="32">
        <v>312530</v>
      </c>
      <c r="G109" s="32">
        <v>196822</v>
      </c>
      <c r="H109" s="32">
        <v>122131.96</v>
      </c>
      <c r="I109" s="33"/>
      <c r="J109" s="32"/>
      <c r="K109" s="32">
        <f t="shared" si="1"/>
        <v>74690.039999999994</v>
      </c>
      <c r="L109" s="47" t="s">
        <v>1310</v>
      </c>
      <c r="M109" s="60" t="s">
        <v>1316</v>
      </c>
      <c r="N109" s="26" t="s">
        <v>1318</v>
      </c>
      <c r="O109" s="26" t="e">
        <v>#N/A</v>
      </c>
    </row>
    <row r="110" spans="1:15" hidden="1" x14ac:dyDescent="0.3">
      <c r="A110" s="28">
        <v>8470335</v>
      </c>
      <c r="B110" s="29" t="s">
        <v>198</v>
      </c>
      <c r="C110" s="30">
        <v>436110</v>
      </c>
      <c r="D110" s="31" t="s">
        <v>708</v>
      </c>
      <c r="E110" s="45" t="s">
        <v>846</v>
      </c>
      <c r="F110" s="32">
        <v>0</v>
      </c>
      <c r="G110" s="32">
        <v>0</v>
      </c>
      <c r="H110" s="32">
        <v>0</v>
      </c>
      <c r="I110" s="33"/>
      <c r="J110" s="32"/>
      <c r="K110" s="32">
        <f t="shared" si="1"/>
        <v>0</v>
      </c>
      <c r="L110" s="47" t="s">
        <v>1310</v>
      </c>
      <c r="M110" s="60" t="s">
        <v>1316</v>
      </c>
      <c r="N110" s="26" t="s">
        <v>1318</v>
      </c>
      <c r="O110" s="26" t="e">
        <v>#N/A</v>
      </c>
    </row>
    <row r="111" spans="1:15" hidden="1" x14ac:dyDescent="0.3">
      <c r="A111" s="28">
        <v>8470335</v>
      </c>
      <c r="B111" s="29" t="s">
        <v>198</v>
      </c>
      <c r="C111" s="30">
        <v>425770</v>
      </c>
      <c r="D111" s="31" t="s">
        <v>771</v>
      </c>
      <c r="E111" s="45" t="s">
        <v>842</v>
      </c>
      <c r="F111" s="32">
        <v>75000</v>
      </c>
      <c r="G111" s="32">
        <v>-3762</v>
      </c>
      <c r="H111" s="32">
        <v>-3762.15</v>
      </c>
      <c r="I111" s="33"/>
      <c r="J111" s="32"/>
      <c r="K111" s="32">
        <f t="shared" si="1"/>
        <v>0.15000000000009095</v>
      </c>
      <c r="L111" s="47" t="s">
        <v>1310</v>
      </c>
      <c r="M111" s="60" t="s">
        <v>1316</v>
      </c>
      <c r="N111" s="26" t="s">
        <v>1318</v>
      </c>
      <c r="O111" s="26" t="e">
        <v>#N/A</v>
      </c>
    </row>
    <row r="112" spans="1:15" hidden="1" x14ac:dyDescent="0.3">
      <c r="A112" s="28">
        <v>8470335</v>
      </c>
      <c r="B112" s="29" t="s">
        <v>198</v>
      </c>
      <c r="C112" s="30">
        <v>426610</v>
      </c>
      <c r="D112" s="31" t="s">
        <v>687</v>
      </c>
      <c r="E112" s="45" t="s">
        <v>843</v>
      </c>
      <c r="F112" s="32">
        <v>149370</v>
      </c>
      <c r="G112" s="32">
        <v>134370</v>
      </c>
      <c r="H112" s="32">
        <v>134361.95000000001</v>
      </c>
      <c r="I112" s="33"/>
      <c r="J112" s="32"/>
      <c r="K112" s="32">
        <f t="shared" si="1"/>
        <v>8.0499999999883585</v>
      </c>
      <c r="L112" s="47" t="s">
        <v>1310</v>
      </c>
      <c r="M112" s="60" t="s">
        <v>1316</v>
      </c>
      <c r="N112" s="26" t="s">
        <v>1318</v>
      </c>
      <c r="O112" s="26" t="e">
        <v>#N/A</v>
      </c>
    </row>
    <row r="113" spans="1:15" hidden="1" x14ac:dyDescent="0.3">
      <c r="A113" s="28">
        <v>8470335</v>
      </c>
      <c r="B113" s="29" t="s">
        <v>198</v>
      </c>
      <c r="C113" s="30">
        <v>425763</v>
      </c>
      <c r="D113" s="31" t="s">
        <v>768</v>
      </c>
      <c r="E113" s="45" t="s">
        <v>841</v>
      </c>
      <c r="F113" s="32">
        <v>25000</v>
      </c>
      <c r="G113" s="32">
        <v>25000</v>
      </c>
      <c r="H113" s="32">
        <v>24127.64</v>
      </c>
      <c r="I113" s="33"/>
      <c r="J113" s="32"/>
      <c r="K113" s="32">
        <f t="shared" si="1"/>
        <v>872.36000000000058</v>
      </c>
      <c r="L113" s="47" t="s">
        <v>1310</v>
      </c>
      <c r="M113" s="60" t="s">
        <v>1316</v>
      </c>
      <c r="N113" s="26" t="s">
        <v>1318</v>
      </c>
      <c r="O113" s="26" t="e">
        <v>#N/A</v>
      </c>
    </row>
    <row r="114" spans="1:15" hidden="1" x14ac:dyDescent="0.3">
      <c r="A114" s="28">
        <v>8470335</v>
      </c>
      <c r="B114" s="29" t="s">
        <v>198</v>
      </c>
      <c r="C114" s="30">
        <v>436600</v>
      </c>
      <c r="D114" s="31" t="s">
        <v>800</v>
      </c>
      <c r="E114" s="45" t="s">
        <v>847</v>
      </c>
      <c r="F114" s="32">
        <v>13858</v>
      </c>
      <c r="G114" s="32">
        <v>13858</v>
      </c>
      <c r="H114" s="32">
        <v>11192.69</v>
      </c>
      <c r="I114" s="33"/>
      <c r="J114" s="32"/>
      <c r="K114" s="32">
        <f t="shared" si="1"/>
        <v>2665.3099999999995</v>
      </c>
      <c r="L114" s="47" t="s">
        <v>1310</v>
      </c>
      <c r="M114" s="60" t="s">
        <v>1316</v>
      </c>
      <c r="N114" s="26" t="s">
        <v>1318</v>
      </c>
      <c r="O114" s="26" t="e">
        <v>#N/A</v>
      </c>
    </row>
    <row r="115" spans="1:15" hidden="1" x14ac:dyDescent="0.3">
      <c r="A115" s="28">
        <v>8470335</v>
      </c>
      <c r="B115" s="29" t="s">
        <v>198</v>
      </c>
      <c r="C115" s="30">
        <v>435350</v>
      </c>
      <c r="D115" s="31" t="s">
        <v>783</v>
      </c>
      <c r="E115" s="45" t="s">
        <v>844</v>
      </c>
      <c r="F115" s="32">
        <v>51520</v>
      </c>
      <c r="G115" s="32">
        <v>43693</v>
      </c>
      <c r="H115" s="32">
        <v>22479.86</v>
      </c>
      <c r="I115" s="33"/>
      <c r="J115" s="32"/>
      <c r="K115" s="32">
        <f t="shared" si="1"/>
        <v>21213.14</v>
      </c>
      <c r="L115" s="47" t="s">
        <v>1310</v>
      </c>
      <c r="M115" s="60" t="s">
        <v>1316</v>
      </c>
      <c r="N115" s="26" t="s">
        <v>1318</v>
      </c>
      <c r="O115" s="26" t="e">
        <v>#N/A</v>
      </c>
    </row>
    <row r="116" spans="1:15" hidden="1" x14ac:dyDescent="0.3">
      <c r="A116" s="28">
        <v>8470335</v>
      </c>
      <c r="B116" s="29" t="s">
        <v>198</v>
      </c>
      <c r="C116" s="30">
        <v>435508</v>
      </c>
      <c r="D116" s="31" t="s">
        <v>786</v>
      </c>
      <c r="E116" s="45" t="s">
        <v>845</v>
      </c>
      <c r="F116" s="32">
        <v>60000</v>
      </c>
      <c r="G116" s="32">
        <v>104762</v>
      </c>
      <c r="H116" s="32">
        <v>66171.5</v>
      </c>
      <c r="I116" s="33"/>
      <c r="J116" s="32"/>
      <c r="K116" s="32">
        <f t="shared" si="1"/>
        <v>38590.5</v>
      </c>
      <c r="L116" s="47" t="s">
        <v>1310</v>
      </c>
      <c r="M116" s="60" t="s">
        <v>1316</v>
      </c>
      <c r="N116" s="26" t="s">
        <v>1318</v>
      </c>
      <c r="O116" s="26" t="e">
        <v>#N/A</v>
      </c>
    </row>
    <row r="117" spans="1:15" hidden="1" x14ac:dyDescent="0.3">
      <c r="A117" s="28">
        <v>8470335</v>
      </c>
      <c r="B117" s="31" t="s">
        <v>198</v>
      </c>
      <c r="C117" s="30">
        <v>492316</v>
      </c>
      <c r="D117" s="31" t="s">
        <v>777</v>
      </c>
      <c r="E117" s="45" t="s">
        <v>1256</v>
      </c>
      <c r="F117" s="32">
        <v>80120</v>
      </c>
      <c r="G117" s="32">
        <v>80120</v>
      </c>
      <c r="H117" s="32">
        <v>31330</v>
      </c>
      <c r="I117" s="33"/>
      <c r="J117" s="32"/>
      <c r="K117" s="32">
        <f t="shared" si="1"/>
        <v>48790</v>
      </c>
      <c r="L117" s="47" t="s">
        <v>1310</v>
      </c>
      <c r="M117" s="26" t="s">
        <v>1316</v>
      </c>
      <c r="N117" s="26" t="s">
        <v>1318</v>
      </c>
      <c r="O117" s="26">
        <v>492316</v>
      </c>
    </row>
    <row r="118" spans="1:15" hidden="1" x14ac:dyDescent="0.3">
      <c r="A118" s="28">
        <v>8470340</v>
      </c>
      <c r="B118" s="29" t="s">
        <v>210</v>
      </c>
      <c r="C118" s="30">
        <v>425770</v>
      </c>
      <c r="D118" s="31" t="s">
        <v>771</v>
      </c>
      <c r="E118" s="45" t="s">
        <v>849</v>
      </c>
      <c r="F118" s="32">
        <v>52050</v>
      </c>
      <c r="G118" s="32">
        <v>26500</v>
      </c>
      <c r="H118" s="32">
        <v>30017.78</v>
      </c>
      <c r="I118" s="33"/>
      <c r="J118" s="32"/>
      <c r="K118" s="32">
        <f t="shared" si="1"/>
        <v>-3517.7799999999988</v>
      </c>
      <c r="L118" s="47" t="s">
        <v>1310</v>
      </c>
      <c r="M118" s="60" t="s">
        <v>1316</v>
      </c>
      <c r="N118" s="26" t="s">
        <v>1318</v>
      </c>
      <c r="O118" s="26" t="e">
        <v>#N/A</v>
      </c>
    </row>
    <row r="119" spans="1:15" hidden="1" x14ac:dyDescent="0.3">
      <c r="A119" s="28">
        <v>8470340</v>
      </c>
      <c r="B119" s="29" t="s">
        <v>210</v>
      </c>
      <c r="C119" s="30">
        <v>426610</v>
      </c>
      <c r="D119" s="31" t="s">
        <v>687</v>
      </c>
      <c r="E119" s="45" t="s">
        <v>850</v>
      </c>
      <c r="F119" s="32">
        <v>209338</v>
      </c>
      <c r="G119" s="32">
        <v>167338</v>
      </c>
      <c r="H119" s="32">
        <v>167257</v>
      </c>
      <c r="I119" s="33"/>
      <c r="J119" s="32"/>
      <c r="K119" s="32">
        <f t="shared" si="1"/>
        <v>81</v>
      </c>
      <c r="L119" s="47" t="s">
        <v>1310</v>
      </c>
      <c r="M119" s="60" t="s">
        <v>1316</v>
      </c>
      <c r="N119" s="26" t="s">
        <v>1318</v>
      </c>
      <c r="O119" s="26" t="e">
        <v>#N/A</v>
      </c>
    </row>
    <row r="120" spans="1:15" hidden="1" x14ac:dyDescent="0.3">
      <c r="A120" s="28">
        <v>8470340</v>
      </c>
      <c r="B120" s="31" t="s">
        <v>210</v>
      </c>
      <c r="C120" s="30">
        <v>492316</v>
      </c>
      <c r="D120" s="31" t="s">
        <v>777</v>
      </c>
      <c r="E120" s="45" t="s">
        <v>1257</v>
      </c>
      <c r="F120" s="32">
        <v>269248</v>
      </c>
      <c r="G120" s="32">
        <v>269248</v>
      </c>
      <c r="H120" s="32">
        <v>267712</v>
      </c>
      <c r="I120" s="33"/>
      <c r="J120" s="32"/>
      <c r="K120" s="32">
        <f t="shared" si="1"/>
        <v>1536</v>
      </c>
      <c r="L120" s="47" t="s">
        <v>1310</v>
      </c>
      <c r="M120" s="26" t="s">
        <v>1316</v>
      </c>
      <c r="N120" s="26" t="s">
        <v>1318</v>
      </c>
      <c r="O120" s="26">
        <v>492316</v>
      </c>
    </row>
    <row r="121" spans="1:15" hidden="1" x14ac:dyDescent="0.3">
      <c r="A121" s="28">
        <v>8470340</v>
      </c>
      <c r="B121" s="29" t="s">
        <v>210</v>
      </c>
      <c r="C121" s="30">
        <v>435350</v>
      </c>
      <c r="D121" s="31" t="s">
        <v>783</v>
      </c>
      <c r="E121" s="45" t="s">
        <v>852</v>
      </c>
      <c r="F121" s="32">
        <v>47150</v>
      </c>
      <c r="G121" s="32">
        <v>104750</v>
      </c>
      <c r="H121" s="32">
        <v>98140.64</v>
      </c>
      <c r="I121" s="33"/>
      <c r="J121" s="32"/>
      <c r="K121" s="32">
        <f t="shared" si="1"/>
        <v>6609.3600000000006</v>
      </c>
      <c r="L121" s="47" t="s">
        <v>1310</v>
      </c>
      <c r="M121" s="60" t="s">
        <v>1316</v>
      </c>
      <c r="N121" s="26" t="s">
        <v>1318</v>
      </c>
      <c r="O121" s="26" t="e">
        <v>#N/A</v>
      </c>
    </row>
    <row r="122" spans="1:15" hidden="1" x14ac:dyDescent="0.3">
      <c r="A122" s="28">
        <v>8470340</v>
      </c>
      <c r="B122" s="29" t="s">
        <v>210</v>
      </c>
      <c r="C122" s="30">
        <v>432209</v>
      </c>
      <c r="D122" s="31" t="s">
        <v>777</v>
      </c>
      <c r="E122" s="45" t="s">
        <v>851</v>
      </c>
      <c r="F122" s="32">
        <v>0</v>
      </c>
      <c r="G122" s="32">
        <v>66189</v>
      </c>
      <c r="H122" s="32">
        <v>44819.01</v>
      </c>
      <c r="I122" s="33"/>
      <c r="J122" s="32"/>
      <c r="K122" s="32">
        <f t="shared" si="1"/>
        <v>21369.989999999998</v>
      </c>
      <c r="L122" s="47" t="s">
        <v>1310</v>
      </c>
      <c r="M122" s="60" t="s">
        <v>1316</v>
      </c>
      <c r="N122" s="26" t="s">
        <v>1318</v>
      </c>
      <c r="O122" s="26" t="e">
        <v>#N/A</v>
      </c>
    </row>
    <row r="123" spans="1:15" hidden="1" x14ac:dyDescent="0.3">
      <c r="A123" s="28">
        <v>8470340</v>
      </c>
      <c r="B123" s="29" t="s">
        <v>210</v>
      </c>
      <c r="C123" s="30">
        <v>425763</v>
      </c>
      <c r="D123" s="31" t="s">
        <v>768</v>
      </c>
      <c r="E123" s="45" t="s">
        <v>848</v>
      </c>
      <c r="F123" s="32">
        <v>300000</v>
      </c>
      <c r="G123" s="32">
        <v>278950</v>
      </c>
      <c r="H123" s="32">
        <v>252926.41</v>
      </c>
      <c r="I123" s="33"/>
      <c r="J123" s="32"/>
      <c r="K123" s="32">
        <f t="shared" si="1"/>
        <v>26023.589999999997</v>
      </c>
      <c r="L123" s="47" t="s">
        <v>1310</v>
      </c>
      <c r="M123" s="60" t="s">
        <v>1316</v>
      </c>
      <c r="N123" s="26" t="s">
        <v>1318</v>
      </c>
      <c r="O123" s="26" t="e">
        <v>#N/A</v>
      </c>
    </row>
    <row r="124" spans="1:15" hidden="1" x14ac:dyDescent="0.3">
      <c r="A124" s="28">
        <v>8470340</v>
      </c>
      <c r="B124" s="29" t="s">
        <v>210</v>
      </c>
      <c r="C124" s="30">
        <v>435508</v>
      </c>
      <c r="D124" s="31" t="s">
        <v>786</v>
      </c>
      <c r="E124" s="45" t="s">
        <v>853</v>
      </c>
      <c r="F124" s="32">
        <v>220000</v>
      </c>
      <c r="G124" s="32">
        <v>153811</v>
      </c>
      <c r="H124" s="32">
        <v>71573.960000000006</v>
      </c>
      <c r="I124" s="33"/>
      <c r="J124" s="32"/>
      <c r="K124" s="32">
        <f t="shared" si="1"/>
        <v>82237.039999999994</v>
      </c>
      <c r="L124" s="47" t="s">
        <v>1310</v>
      </c>
      <c r="M124" s="60" t="s">
        <v>1316</v>
      </c>
      <c r="N124" s="26" t="s">
        <v>1318</v>
      </c>
      <c r="O124" s="26" t="e">
        <v>#N/A</v>
      </c>
    </row>
    <row r="125" spans="1:15" hidden="1" x14ac:dyDescent="0.3">
      <c r="A125" s="28">
        <v>8470345</v>
      </c>
      <c r="B125" s="29" t="s">
        <v>222</v>
      </c>
      <c r="C125" s="30">
        <v>435508</v>
      </c>
      <c r="D125" s="31" t="s">
        <v>786</v>
      </c>
      <c r="E125" s="45" t="s">
        <v>861</v>
      </c>
      <c r="F125" s="32">
        <v>72968</v>
      </c>
      <c r="G125" s="32">
        <v>52968</v>
      </c>
      <c r="H125" s="32">
        <v>52975.5</v>
      </c>
      <c r="I125" s="33"/>
      <c r="J125" s="32"/>
      <c r="K125" s="32">
        <f t="shared" si="1"/>
        <v>-7.5</v>
      </c>
      <c r="L125" s="47" t="s">
        <v>1310</v>
      </c>
      <c r="M125" s="60" t="s">
        <v>1316</v>
      </c>
      <c r="N125" s="26" t="s">
        <v>1318</v>
      </c>
      <c r="O125" s="26" t="e">
        <v>#N/A</v>
      </c>
    </row>
    <row r="126" spans="1:15" hidden="1" x14ac:dyDescent="0.3">
      <c r="A126" s="28">
        <v>8470345</v>
      </c>
      <c r="B126" s="29" t="s">
        <v>222</v>
      </c>
      <c r="C126" s="30">
        <v>425510</v>
      </c>
      <c r="D126" s="31" t="s">
        <v>681</v>
      </c>
      <c r="E126" s="45" t="s">
        <v>854</v>
      </c>
      <c r="F126" s="32">
        <v>0</v>
      </c>
      <c r="G126" s="32">
        <v>65000</v>
      </c>
      <c r="H126" s="32">
        <v>65000</v>
      </c>
      <c r="I126" s="33"/>
      <c r="J126" s="32"/>
      <c r="K126" s="32">
        <f t="shared" si="1"/>
        <v>0</v>
      </c>
      <c r="L126" s="47" t="s">
        <v>1310</v>
      </c>
      <c r="M126" s="60" t="s">
        <v>1316</v>
      </c>
      <c r="N126" s="26" t="s">
        <v>1318</v>
      </c>
      <c r="O126" s="26" t="e">
        <v>#N/A</v>
      </c>
    </row>
    <row r="127" spans="1:15" hidden="1" x14ac:dyDescent="0.3">
      <c r="A127" s="28">
        <v>8470345</v>
      </c>
      <c r="B127" s="29" t="s">
        <v>222</v>
      </c>
      <c r="C127" s="30">
        <v>425770</v>
      </c>
      <c r="D127" s="31" t="s">
        <v>771</v>
      </c>
      <c r="E127" s="45" t="s">
        <v>855</v>
      </c>
      <c r="F127" s="32"/>
      <c r="G127" s="32"/>
      <c r="H127" s="32">
        <v>0</v>
      </c>
      <c r="I127" s="33"/>
      <c r="J127" s="32"/>
      <c r="K127" s="32">
        <f t="shared" si="1"/>
        <v>0</v>
      </c>
      <c r="L127" s="47" t="s">
        <v>1310</v>
      </c>
      <c r="M127" s="60" t="s">
        <v>1316</v>
      </c>
      <c r="N127" s="26" t="s">
        <v>1318</v>
      </c>
      <c r="O127" s="26" t="e">
        <v>#N/A</v>
      </c>
    </row>
    <row r="128" spans="1:15" hidden="1" x14ac:dyDescent="0.3">
      <c r="A128" s="28">
        <v>8470345</v>
      </c>
      <c r="B128" s="29" t="s">
        <v>222</v>
      </c>
      <c r="C128" s="30">
        <v>426610</v>
      </c>
      <c r="D128" s="31" t="s">
        <v>687</v>
      </c>
      <c r="E128" s="45" t="s">
        <v>857</v>
      </c>
      <c r="F128" s="32"/>
      <c r="G128" s="32"/>
      <c r="H128" s="32">
        <v>0</v>
      </c>
      <c r="I128" s="33"/>
      <c r="J128" s="32"/>
      <c r="K128" s="32">
        <f t="shared" si="1"/>
        <v>0</v>
      </c>
      <c r="L128" s="47" t="s">
        <v>1310</v>
      </c>
      <c r="M128" s="60" t="s">
        <v>1316</v>
      </c>
      <c r="N128" s="26" t="s">
        <v>1318</v>
      </c>
      <c r="O128" s="26" t="e">
        <v>#N/A</v>
      </c>
    </row>
    <row r="129" spans="1:15" hidden="1" x14ac:dyDescent="0.3">
      <c r="A129" s="28">
        <v>8470345</v>
      </c>
      <c r="B129" s="29" t="s">
        <v>222</v>
      </c>
      <c r="C129" s="30">
        <v>435350</v>
      </c>
      <c r="D129" s="31" t="s">
        <v>783</v>
      </c>
      <c r="E129" s="45" t="s">
        <v>860</v>
      </c>
      <c r="F129" s="32">
        <v>894</v>
      </c>
      <c r="G129" s="32">
        <v>17494</v>
      </c>
      <c r="H129" s="32">
        <v>17035.740000000002</v>
      </c>
      <c r="I129" s="33"/>
      <c r="J129" s="32"/>
      <c r="K129" s="32">
        <f t="shared" si="1"/>
        <v>458.2599999999984</v>
      </c>
      <c r="L129" s="47" t="s">
        <v>1310</v>
      </c>
      <c r="M129" s="60" t="s">
        <v>1316</v>
      </c>
      <c r="N129" s="26" t="s">
        <v>1318</v>
      </c>
      <c r="O129" s="26" t="e">
        <v>#N/A</v>
      </c>
    </row>
    <row r="130" spans="1:15" hidden="1" x14ac:dyDescent="0.3">
      <c r="A130" s="28">
        <v>8470345</v>
      </c>
      <c r="B130" s="29" t="s">
        <v>222</v>
      </c>
      <c r="C130" s="30">
        <v>425770</v>
      </c>
      <c r="D130" s="31" t="s">
        <v>771</v>
      </c>
      <c r="E130" s="45" t="s">
        <v>856</v>
      </c>
      <c r="F130" s="32">
        <v>84399</v>
      </c>
      <c r="G130" s="32">
        <v>22799</v>
      </c>
      <c r="H130" s="32">
        <v>20865</v>
      </c>
      <c r="I130" s="33"/>
      <c r="J130" s="32"/>
      <c r="K130" s="32">
        <f t="shared" ref="K130:K193" si="2">G130-H130-I130-J130</f>
        <v>1934</v>
      </c>
      <c r="L130" s="47" t="s">
        <v>1310</v>
      </c>
      <c r="M130" s="60" t="s">
        <v>1316</v>
      </c>
      <c r="N130" s="26" t="s">
        <v>1318</v>
      </c>
      <c r="O130" s="26" t="e">
        <v>#N/A</v>
      </c>
    </row>
    <row r="131" spans="1:15" hidden="1" x14ac:dyDescent="0.3">
      <c r="A131" s="28">
        <v>8470345</v>
      </c>
      <c r="B131" s="29" t="s">
        <v>222</v>
      </c>
      <c r="C131" s="30">
        <v>436110</v>
      </c>
      <c r="D131" s="31" t="s">
        <v>708</v>
      </c>
      <c r="E131" s="45" t="s">
        <v>862</v>
      </c>
      <c r="F131" s="32">
        <v>4471</v>
      </c>
      <c r="G131" s="32">
        <v>4471</v>
      </c>
      <c r="H131" s="32">
        <v>0</v>
      </c>
      <c r="I131" s="33"/>
      <c r="J131" s="32"/>
      <c r="K131" s="32">
        <f t="shared" si="2"/>
        <v>4471</v>
      </c>
      <c r="L131" s="47" t="s">
        <v>1310</v>
      </c>
      <c r="M131" s="60" t="s">
        <v>1316</v>
      </c>
      <c r="N131" s="26" t="s">
        <v>1318</v>
      </c>
      <c r="O131" s="26" t="e">
        <v>#N/A</v>
      </c>
    </row>
    <row r="132" spans="1:15" hidden="1" x14ac:dyDescent="0.3">
      <c r="A132" s="28">
        <v>8470345</v>
      </c>
      <c r="B132" s="29" t="s">
        <v>222</v>
      </c>
      <c r="C132" s="30">
        <v>428090</v>
      </c>
      <c r="D132" s="31" t="s">
        <v>696</v>
      </c>
      <c r="E132" s="45" t="s">
        <v>859</v>
      </c>
      <c r="F132" s="32">
        <v>11500</v>
      </c>
      <c r="G132" s="32">
        <v>11500</v>
      </c>
      <c r="H132" s="32">
        <v>3907.76</v>
      </c>
      <c r="I132" s="33"/>
      <c r="J132" s="32"/>
      <c r="K132" s="32">
        <f t="shared" si="2"/>
        <v>7592.24</v>
      </c>
      <c r="L132" s="47" t="s">
        <v>1310</v>
      </c>
      <c r="M132" s="60" t="s">
        <v>1316</v>
      </c>
      <c r="N132" s="26" t="s">
        <v>1318</v>
      </c>
      <c r="O132" s="26" t="e">
        <v>#N/A</v>
      </c>
    </row>
    <row r="133" spans="1:15" hidden="1" x14ac:dyDescent="0.3">
      <c r="A133" s="28">
        <v>8470345</v>
      </c>
      <c r="B133" s="29" t="s">
        <v>222</v>
      </c>
      <c r="C133" s="30">
        <v>426610</v>
      </c>
      <c r="D133" s="31" t="s">
        <v>687</v>
      </c>
      <c r="E133" s="45" t="s">
        <v>858</v>
      </c>
      <c r="F133" s="32"/>
      <c r="G133" s="32"/>
      <c r="H133" s="32">
        <v>-38267.69</v>
      </c>
      <c r="I133" s="33"/>
      <c r="J133" s="32"/>
      <c r="K133" s="32">
        <f t="shared" si="2"/>
        <v>38267.69</v>
      </c>
      <c r="L133" s="47" t="s">
        <v>1310</v>
      </c>
      <c r="M133" s="60" t="s">
        <v>1316</v>
      </c>
      <c r="N133" s="26" t="s">
        <v>1318</v>
      </c>
      <c r="O133" s="26" t="e">
        <v>#N/A</v>
      </c>
    </row>
    <row r="134" spans="1:15" hidden="1" x14ac:dyDescent="0.3">
      <c r="A134" s="28">
        <v>8470345</v>
      </c>
      <c r="B134" s="31" t="s">
        <v>222</v>
      </c>
      <c r="C134" s="30">
        <v>492316</v>
      </c>
      <c r="D134" s="31" t="s">
        <v>777</v>
      </c>
      <c r="E134" s="45" t="s">
        <v>1258</v>
      </c>
      <c r="F134" s="32">
        <v>139983</v>
      </c>
      <c r="G134" s="32">
        <v>139983</v>
      </c>
      <c r="H134" s="32">
        <v>77504.460000000006</v>
      </c>
      <c r="I134" s="33"/>
      <c r="J134" s="32"/>
      <c r="K134" s="32">
        <f t="shared" si="2"/>
        <v>62478.539999999994</v>
      </c>
      <c r="L134" s="47" t="s">
        <v>1310</v>
      </c>
      <c r="M134" s="26" t="s">
        <v>1316</v>
      </c>
      <c r="N134" s="26" t="s">
        <v>1318</v>
      </c>
      <c r="O134" s="26">
        <v>492316</v>
      </c>
    </row>
    <row r="135" spans="1:15" hidden="1" x14ac:dyDescent="0.3">
      <c r="A135" s="28">
        <v>8470350</v>
      </c>
      <c r="B135" s="29" t="s">
        <v>233</v>
      </c>
      <c r="C135" s="30">
        <v>426610</v>
      </c>
      <c r="D135" s="31" t="s">
        <v>687</v>
      </c>
      <c r="E135" s="45" t="s">
        <v>866</v>
      </c>
      <c r="F135" s="32">
        <v>37839</v>
      </c>
      <c r="G135" s="32">
        <v>114039</v>
      </c>
      <c r="H135" s="32">
        <v>114404.74</v>
      </c>
      <c r="I135" s="33"/>
      <c r="J135" s="32"/>
      <c r="K135" s="32">
        <f t="shared" si="2"/>
        <v>-365.74000000000524</v>
      </c>
      <c r="L135" s="47" t="s">
        <v>1310</v>
      </c>
      <c r="M135" s="60" t="s">
        <v>1316</v>
      </c>
      <c r="N135" s="26" t="s">
        <v>1318</v>
      </c>
      <c r="O135" s="26" t="e">
        <v>#N/A</v>
      </c>
    </row>
    <row r="136" spans="1:15" hidden="1" x14ac:dyDescent="0.3">
      <c r="A136" s="28">
        <v>8470350</v>
      </c>
      <c r="B136" s="29" t="s">
        <v>233</v>
      </c>
      <c r="C136" s="30">
        <v>425763</v>
      </c>
      <c r="D136" s="31" t="s">
        <v>768</v>
      </c>
      <c r="E136" s="45" t="s">
        <v>864</v>
      </c>
      <c r="F136" s="32">
        <v>0</v>
      </c>
      <c r="G136" s="32">
        <v>0</v>
      </c>
      <c r="H136" s="32">
        <v>0</v>
      </c>
      <c r="I136" s="33"/>
      <c r="J136" s="32"/>
      <c r="K136" s="32">
        <f t="shared" si="2"/>
        <v>0</v>
      </c>
      <c r="L136" s="47" t="s">
        <v>1310</v>
      </c>
      <c r="M136" s="60" t="s">
        <v>1316</v>
      </c>
      <c r="N136" s="26" t="s">
        <v>1318</v>
      </c>
      <c r="O136" s="26" t="e">
        <v>#N/A</v>
      </c>
    </row>
    <row r="137" spans="1:15" hidden="1" x14ac:dyDescent="0.3">
      <c r="A137" s="28">
        <v>8470350</v>
      </c>
      <c r="B137" s="29" t="s">
        <v>233</v>
      </c>
      <c r="C137" s="30">
        <v>435340</v>
      </c>
      <c r="D137" s="31" t="s">
        <v>869</v>
      </c>
      <c r="E137" s="45" t="s">
        <v>870</v>
      </c>
      <c r="F137" s="32">
        <v>300000</v>
      </c>
      <c r="G137" s="32">
        <v>0</v>
      </c>
      <c r="H137" s="32">
        <v>0</v>
      </c>
      <c r="I137" s="33"/>
      <c r="J137" s="32"/>
      <c r="K137" s="32">
        <f t="shared" si="2"/>
        <v>0</v>
      </c>
      <c r="L137" s="47" t="s">
        <v>1310</v>
      </c>
      <c r="M137" s="60" t="s">
        <v>1316</v>
      </c>
      <c r="N137" s="26" t="s">
        <v>1318</v>
      </c>
      <c r="O137" s="26" t="e">
        <v>#N/A</v>
      </c>
    </row>
    <row r="138" spans="1:15" hidden="1" x14ac:dyDescent="0.3">
      <c r="A138" s="28">
        <v>8470350</v>
      </c>
      <c r="B138" s="29" t="s">
        <v>233</v>
      </c>
      <c r="C138" s="30">
        <v>436110</v>
      </c>
      <c r="D138" s="31" t="s">
        <v>708</v>
      </c>
      <c r="E138" s="45" t="s">
        <v>873</v>
      </c>
      <c r="F138" s="32">
        <v>5000</v>
      </c>
      <c r="G138" s="32">
        <v>0</v>
      </c>
      <c r="H138" s="32">
        <v>0</v>
      </c>
      <c r="I138" s="33"/>
      <c r="J138" s="32"/>
      <c r="K138" s="32">
        <f t="shared" si="2"/>
        <v>0</v>
      </c>
      <c r="L138" s="47" t="s">
        <v>1310</v>
      </c>
      <c r="M138" s="60" t="s">
        <v>1316</v>
      </c>
      <c r="N138" s="26" t="s">
        <v>1318</v>
      </c>
      <c r="O138" s="26" t="e">
        <v>#N/A</v>
      </c>
    </row>
    <row r="139" spans="1:15" hidden="1" x14ac:dyDescent="0.3">
      <c r="A139" s="28">
        <v>8470350</v>
      </c>
      <c r="B139" s="29" t="s">
        <v>233</v>
      </c>
      <c r="C139" s="30">
        <v>435508</v>
      </c>
      <c r="D139" s="31" t="s">
        <v>786</v>
      </c>
      <c r="E139" s="45" t="s">
        <v>872</v>
      </c>
      <c r="F139" s="32">
        <v>20250</v>
      </c>
      <c r="G139" s="32">
        <v>29960</v>
      </c>
      <c r="H139" s="32">
        <v>29959.5</v>
      </c>
      <c r="I139" s="33"/>
      <c r="J139" s="32"/>
      <c r="K139" s="32">
        <f t="shared" si="2"/>
        <v>0.5</v>
      </c>
      <c r="L139" s="47" t="s">
        <v>1310</v>
      </c>
      <c r="M139" s="60" t="s">
        <v>1316</v>
      </c>
      <c r="N139" s="26" t="s">
        <v>1318</v>
      </c>
      <c r="O139" s="26" t="e">
        <v>#N/A</v>
      </c>
    </row>
    <row r="140" spans="1:15" hidden="1" x14ac:dyDescent="0.3">
      <c r="A140" s="28">
        <v>8470350</v>
      </c>
      <c r="B140" s="29" t="s">
        <v>233</v>
      </c>
      <c r="C140" s="30">
        <v>425510</v>
      </c>
      <c r="D140" s="31" t="s">
        <v>681</v>
      </c>
      <c r="E140" s="45" t="s">
        <v>863</v>
      </c>
      <c r="F140" s="32">
        <v>8528</v>
      </c>
      <c r="G140" s="32">
        <v>2680</v>
      </c>
      <c r="H140" s="32">
        <v>2679.4</v>
      </c>
      <c r="I140" s="33"/>
      <c r="J140" s="32"/>
      <c r="K140" s="32">
        <f t="shared" si="2"/>
        <v>0.59999999999990905</v>
      </c>
      <c r="L140" s="47" t="s">
        <v>1310</v>
      </c>
      <c r="M140" s="60" t="s">
        <v>1316</v>
      </c>
      <c r="N140" s="26" t="s">
        <v>1318</v>
      </c>
      <c r="O140" s="26" t="e">
        <v>#N/A</v>
      </c>
    </row>
    <row r="141" spans="1:15" hidden="1" x14ac:dyDescent="0.3">
      <c r="A141" s="28">
        <v>8470350</v>
      </c>
      <c r="B141" s="29" t="s">
        <v>233</v>
      </c>
      <c r="C141" s="30">
        <v>425770</v>
      </c>
      <c r="D141" s="31" t="s">
        <v>771</v>
      </c>
      <c r="E141" s="45" t="s">
        <v>865</v>
      </c>
      <c r="F141" s="32">
        <v>45000</v>
      </c>
      <c r="G141" s="32">
        <v>30948</v>
      </c>
      <c r="H141" s="32">
        <v>30382.77</v>
      </c>
      <c r="I141" s="33"/>
      <c r="J141" s="32"/>
      <c r="K141" s="32">
        <f t="shared" si="2"/>
        <v>565.22999999999956</v>
      </c>
      <c r="L141" s="47" t="s">
        <v>1310</v>
      </c>
      <c r="M141" s="60" t="s">
        <v>1316</v>
      </c>
      <c r="N141" s="26" t="s">
        <v>1318</v>
      </c>
      <c r="O141" s="26" t="e">
        <v>#N/A</v>
      </c>
    </row>
    <row r="142" spans="1:15" hidden="1" x14ac:dyDescent="0.3">
      <c r="A142" s="28">
        <v>8470350</v>
      </c>
      <c r="B142" s="29" t="s">
        <v>233</v>
      </c>
      <c r="C142" s="30">
        <v>435350</v>
      </c>
      <c r="D142" s="31" t="s">
        <v>783</v>
      </c>
      <c r="E142" s="45" t="s">
        <v>871</v>
      </c>
      <c r="F142" s="32">
        <v>5000</v>
      </c>
      <c r="G142" s="32">
        <v>37488</v>
      </c>
      <c r="H142" s="32">
        <v>31761.56</v>
      </c>
      <c r="I142" s="33"/>
      <c r="J142" s="32"/>
      <c r="K142" s="32">
        <f t="shared" si="2"/>
        <v>5726.4399999999987</v>
      </c>
      <c r="L142" s="47" t="s">
        <v>1310</v>
      </c>
      <c r="M142" s="60" t="s">
        <v>1316</v>
      </c>
      <c r="N142" s="26" t="s">
        <v>1318</v>
      </c>
      <c r="O142" s="26" t="e">
        <v>#N/A</v>
      </c>
    </row>
    <row r="143" spans="1:15" hidden="1" x14ac:dyDescent="0.3">
      <c r="A143" s="28">
        <v>8470350</v>
      </c>
      <c r="B143" s="29" t="s">
        <v>233</v>
      </c>
      <c r="C143" s="30">
        <v>432209</v>
      </c>
      <c r="D143" s="31" t="s">
        <v>777</v>
      </c>
      <c r="E143" s="45" t="s">
        <v>867</v>
      </c>
      <c r="F143" s="32">
        <v>294035</v>
      </c>
      <c r="G143" s="32">
        <v>400537</v>
      </c>
      <c r="H143" s="32">
        <v>215416.78</v>
      </c>
      <c r="I143" s="33"/>
      <c r="J143" s="32"/>
      <c r="K143" s="32">
        <f t="shared" si="2"/>
        <v>185120.22</v>
      </c>
      <c r="L143" s="47" t="s">
        <v>1310</v>
      </c>
      <c r="M143" s="60" t="s">
        <v>1316</v>
      </c>
      <c r="N143" s="26" t="s">
        <v>1318</v>
      </c>
      <c r="O143" s="26" t="e">
        <v>#N/A</v>
      </c>
    </row>
    <row r="144" spans="1:15" hidden="1" x14ac:dyDescent="0.3">
      <c r="A144" s="28">
        <v>8470350</v>
      </c>
      <c r="B144" s="31" t="s">
        <v>233</v>
      </c>
      <c r="C144" s="30">
        <v>492316</v>
      </c>
      <c r="D144" s="31" t="s">
        <v>777</v>
      </c>
      <c r="E144" s="45" t="s">
        <v>1259</v>
      </c>
      <c r="F144" s="32">
        <v>772173</v>
      </c>
      <c r="G144" s="32">
        <v>772173</v>
      </c>
      <c r="H144" s="32">
        <v>0</v>
      </c>
      <c r="I144" s="33"/>
      <c r="J144" s="32"/>
      <c r="K144" s="32">
        <f t="shared" si="2"/>
        <v>772173</v>
      </c>
      <c r="L144" s="47" t="s">
        <v>1310</v>
      </c>
      <c r="M144" s="26" t="s">
        <v>1316</v>
      </c>
      <c r="N144" s="26" t="s">
        <v>1318</v>
      </c>
      <c r="O144" s="26">
        <v>492316</v>
      </c>
    </row>
    <row r="145" spans="1:15" hidden="1" x14ac:dyDescent="0.3">
      <c r="A145" s="28">
        <v>8470405</v>
      </c>
      <c r="B145" s="29" t="s">
        <v>244</v>
      </c>
      <c r="C145" s="30">
        <v>425770</v>
      </c>
      <c r="D145" s="31" t="s">
        <v>771</v>
      </c>
      <c r="E145" s="45" t="s">
        <v>877</v>
      </c>
      <c r="F145" s="32"/>
      <c r="G145" s="32"/>
      <c r="H145" s="32">
        <v>0</v>
      </c>
      <c r="I145" s="33"/>
      <c r="J145" s="32"/>
      <c r="K145" s="32">
        <f t="shared" si="2"/>
        <v>0</v>
      </c>
      <c r="L145" s="47" t="s">
        <v>1310</v>
      </c>
      <c r="M145" s="60" t="s">
        <v>1316</v>
      </c>
      <c r="N145" s="26" t="s">
        <v>1319</v>
      </c>
      <c r="O145" s="26" t="e">
        <v>#N/A</v>
      </c>
    </row>
    <row r="146" spans="1:15" hidden="1" x14ac:dyDescent="0.3">
      <c r="A146" s="28">
        <v>8470405</v>
      </c>
      <c r="B146" s="29" t="s">
        <v>244</v>
      </c>
      <c r="C146" s="30">
        <v>426610</v>
      </c>
      <c r="D146" s="31" t="s">
        <v>687</v>
      </c>
      <c r="E146" s="45" t="s">
        <v>879</v>
      </c>
      <c r="F146" s="32"/>
      <c r="G146" s="32"/>
      <c r="H146" s="32">
        <v>0</v>
      </c>
      <c r="I146" s="33"/>
      <c r="J146" s="32"/>
      <c r="K146" s="32">
        <f t="shared" si="2"/>
        <v>0</v>
      </c>
      <c r="L146" s="47" t="s">
        <v>1310</v>
      </c>
      <c r="M146" s="60" t="s">
        <v>1316</v>
      </c>
      <c r="N146" s="26" t="s">
        <v>1319</v>
      </c>
      <c r="O146" s="26" t="e">
        <v>#N/A</v>
      </c>
    </row>
    <row r="147" spans="1:15" hidden="1" x14ac:dyDescent="0.3">
      <c r="A147" s="28">
        <v>8470405</v>
      </c>
      <c r="B147" s="29" t="s">
        <v>244</v>
      </c>
      <c r="C147" s="30">
        <v>425100</v>
      </c>
      <c r="D147" s="31" t="s">
        <v>1306</v>
      </c>
      <c r="E147" s="45" t="s">
        <v>875</v>
      </c>
      <c r="F147" s="32">
        <v>1</v>
      </c>
      <c r="G147" s="32">
        <v>1</v>
      </c>
      <c r="H147" s="32">
        <v>0</v>
      </c>
      <c r="I147" s="33"/>
      <c r="J147" s="32"/>
      <c r="K147" s="32">
        <f t="shared" si="2"/>
        <v>1</v>
      </c>
      <c r="L147" s="47" t="s">
        <v>1310</v>
      </c>
      <c r="M147" s="60" t="s">
        <v>1316</v>
      </c>
      <c r="N147" s="26" t="s">
        <v>1319</v>
      </c>
      <c r="O147" s="26" t="e">
        <v>#N/A</v>
      </c>
    </row>
    <row r="148" spans="1:15" hidden="1" x14ac:dyDescent="0.3">
      <c r="A148" s="28">
        <v>8470405</v>
      </c>
      <c r="B148" s="29" t="s">
        <v>244</v>
      </c>
      <c r="C148" s="30">
        <v>425510</v>
      </c>
      <c r="D148" s="31" t="s">
        <v>681</v>
      </c>
      <c r="E148" s="45" t="s">
        <v>876</v>
      </c>
      <c r="F148" s="32">
        <v>5000</v>
      </c>
      <c r="G148" s="32">
        <v>7000</v>
      </c>
      <c r="H148" s="32">
        <v>4400</v>
      </c>
      <c r="I148" s="33"/>
      <c r="J148" s="32"/>
      <c r="K148" s="32">
        <f t="shared" si="2"/>
        <v>2600</v>
      </c>
      <c r="L148" s="47" t="s">
        <v>1310</v>
      </c>
      <c r="M148" s="60" t="s">
        <v>1316</v>
      </c>
      <c r="N148" s="26" t="s">
        <v>1319</v>
      </c>
      <c r="O148" s="26" t="e">
        <v>#N/A</v>
      </c>
    </row>
    <row r="149" spans="1:15" hidden="1" x14ac:dyDescent="0.3">
      <c r="A149" s="28">
        <v>8470405</v>
      </c>
      <c r="B149" s="29" t="s">
        <v>244</v>
      </c>
      <c r="C149" s="30">
        <v>427710</v>
      </c>
      <c r="D149" s="31" t="s">
        <v>690</v>
      </c>
      <c r="E149" s="45" t="s">
        <v>880</v>
      </c>
      <c r="F149" s="32">
        <v>11638</v>
      </c>
      <c r="G149" s="32">
        <v>15217</v>
      </c>
      <c r="H149" s="32">
        <v>12539.46</v>
      </c>
      <c r="I149" s="33"/>
      <c r="J149" s="32"/>
      <c r="K149" s="32">
        <f t="shared" si="2"/>
        <v>2677.5400000000009</v>
      </c>
      <c r="L149" s="47" t="s">
        <v>1310</v>
      </c>
      <c r="M149" s="60" t="s">
        <v>1316</v>
      </c>
      <c r="N149" s="26" t="s">
        <v>1319</v>
      </c>
      <c r="O149" s="26" t="e">
        <v>#N/A</v>
      </c>
    </row>
    <row r="150" spans="1:15" hidden="1" x14ac:dyDescent="0.3">
      <c r="A150" s="28">
        <v>8470405</v>
      </c>
      <c r="B150" s="29" t="s">
        <v>244</v>
      </c>
      <c r="C150" s="30">
        <v>425770</v>
      </c>
      <c r="D150" s="31" t="s">
        <v>771</v>
      </c>
      <c r="E150" s="45" t="s">
        <v>878</v>
      </c>
      <c r="F150" s="32">
        <v>50000</v>
      </c>
      <c r="G150" s="32">
        <v>4000</v>
      </c>
      <c r="H150" s="32">
        <v>0</v>
      </c>
      <c r="I150" s="33"/>
      <c r="J150" s="32"/>
      <c r="K150" s="32">
        <f t="shared" si="2"/>
        <v>4000</v>
      </c>
      <c r="L150" s="47" t="s">
        <v>1310</v>
      </c>
      <c r="M150" s="60" t="s">
        <v>1316</v>
      </c>
      <c r="N150" s="26" t="s">
        <v>1319</v>
      </c>
      <c r="O150" s="26" t="e">
        <v>#N/A</v>
      </c>
    </row>
    <row r="151" spans="1:15" hidden="1" x14ac:dyDescent="0.3">
      <c r="A151" s="28">
        <v>8470405</v>
      </c>
      <c r="B151" s="29" t="s">
        <v>244</v>
      </c>
      <c r="C151" s="30">
        <v>432209</v>
      </c>
      <c r="D151" s="31" t="s">
        <v>777</v>
      </c>
      <c r="E151" s="45" t="s">
        <v>881</v>
      </c>
      <c r="F151" s="32">
        <v>200000</v>
      </c>
      <c r="G151" s="32">
        <v>190000</v>
      </c>
      <c r="H151" s="32">
        <v>152176</v>
      </c>
      <c r="I151" s="33"/>
      <c r="J151" s="32"/>
      <c r="K151" s="32">
        <f t="shared" si="2"/>
        <v>37824</v>
      </c>
      <c r="L151" s="47" t="s">
        <v>1310</v>
      </c>
      <c r="M151" s="60" t="s">
        <v>1316</v>
      </c>
      <c r="N151" s="26" t="s">
        <v>1319</v>
      </c>
      <c r="O151" s="26" t="e">
        <v>#N/A</v>
      </c>
    </row>
    <row r="152" spans="1:15" hidden="1" x14ac:dyDescent="0.3">
      <c r="A152" s="28">
        <v>8470405</v>
      </c>
      <c r="B152" s="29" t="s">
        <v>244</v>
      </c>
      <c r="C152" s="30">
        <v>435350</v>
      </c>
      <c r="D152" s="31" t="s">
        <v>783</v>
      </c>
      <c r="E152" s="45" t="s">
        <v>882</v>
      </c>
      <c r="F152" s="32">
        <v>20000</v>
      </c>
      <c r="G152" s="32">
        <v>127666</v>
      </c>
      <c r="H152" s="32">
        <v>65753.490000000005</v>
      </c>
      <c r="I152" s="33"/>
      <c r="J152" s="32"/>
      <c r="K152" s="32">
        <f t="shared" si="2"/>
        <v>61912.509999999995</v>
      </c>
      <c r="L152" s="47" t="s">
        <v>1310</v>
      </c>
      <c r="M152" s="60" t="s">
        <v>1316</v>
      </c>
      <c r="N152" s="26" t="s">
        <v>1319</v>
      </c>
      <c r="O152" s="26" t="e">
        <v>#N/A</v>
      </c>
    </row>
    <row r="153" spans="1:15" hidden="1" x14ac:dyDescent="0.3">
      <c r="A153" s="28">
        <v>8470405</v>
      </c>
      <c r="B153" s="29" t="s">
        <v>244</v>
      </c>
      <c r="C153" s="30">
        <v>421700</v>
      </c>
      <c r="D153" s="31" t="s">
        <v>1305</v>
      </c>
      <c r="E153" s="45" t="s">
        <v>874</v>
      </c>
      <c r="F153" s="32">
        <v>368363</v>
      </c>
      <c r="G153" s="32">
        <v>263047</v>
      </c>
      <c r="H153" s="32">
        <v>109525.28</v>
      </c>
      <c r="I153" s="33"/>
      <c r="J153" s="32"/>
      <c r="K153" s="32">
        <f t="shared" si="2"/>
        <v>153521.72</v>
      </c>
      <c r="L153" s="47" t="s">
        <v>1310</v>
      </c>
      <c r="M153" s="60" t="s">
        <v>1316</v>
      </c>
      <c r="N153" s="26" t="s">
        <v>1319</v>
      </c>
      <c r="O153" s="26" t="e">
        <v>#N/A</v>
      </c>
    </row>
    <row r="154" spans="1:15" hidden="1" x14ac:dyDescent="0.3">
      <c r="A154" s="28">
        <v>8470410</v>
      </c>
      <c r="B154" s="29" t="s">
        <v>884</v>
      </c>
      <c r="C154" s="30">
        <v>425770</v>
      </c>
      <c r="D154" s="31" t="s">
        <v>771</v>
      </c>
      <c r="E154" s="45" t="s">
        <v>885</v>
      </c>
      <c r="F154" s="32"/>
      <c r="G154" s="32"/>
      <c r="H154" s="32">
        <v>0</v>
      </c>
      <c r="I154" s="33"/>
      <c r="J154" s="32"/>
      <c r="K154" s="32">
        <f t="shared" si="2"/>
        <v>0</v>
      </c>
      <c r="L154" s="47" t="s">
        <v>1310</v>
      </c>
      <c r="M154" s="60" t="s">
        <v>1316</v>
      </c>
      <c r="N154" s="26" t="s">
        <v>1319</v>
      </c>
      <c r="O154" s="26" t="e">
        <v>#N/A</v>
      </c>
    </row>
    <row r="155" spans="1:15" hidden="1" x14ac:dyDescent="0.3">
      <c r="A155" s="28">
        <v>8470410</v>
      </c>
      <c r="B155" s="29" t="s">
        <v>884</v>
      </c>
      <c r="C155" s="30">
        <v>426610</v>
      </c>
      <c r="D155" s="31" t="s">
        <v>687</v>
      </c>
      <c r="E155" s="45" t="s">
        <v>887</v>
      </c>
      <c r="F155" s="32">
        <v>5357</v>
      </c>
      <c r="G155" s="32">
        <v>5357</v>
      </c>
      <c r="H155" s="32">
        <v>346.48</v>
      </c>
      <c r="I155" s="33"/>
      <c r="J155" s="32"/>
      <c r="K155" s="32">
        <f t="shared" si="2"/>
        <v>5010.5200000000004</v>
      </c>
      <c r="L155" s="47" t="s">
        <v>1310</v>
      </c>
      <c r="M155" s="60" t="s">
        <v>1316</v>
      </c>
      <c r="N155" s="26" t="s">
        <v>1319</v>
      </c>
      <c r="O155" s="26" t="e">
        <v>#N/A</v>
      </c>
    </row>
    <row r="156" spans="1:15" hidden="1" x14ac:dyDescent="0.3">
      <c r="A156" s="28">
        <v>8470410</v>
      </c>
      <c r="B156" s="29" t="s">
        <v>884</v>
      </c>
      <c r="C156" s="30">
        <v>435350</v>
      </c>
      <c r="D156" s="31" t="s">
        <v>783</v>
      </c>
      <c r="E156" s="45" t="s">
        <v>888</v>
      </c>
      <c r="F156" s="32">
        <v>0</v>
      </c>
      <c r="G156" s="32">
        <v>17000</v>
      </c>
      <c r="H156" s="32">
        <v>4800</v>
      </c>
      <c r="I156" s="33"/>
      <c r="J156" s="32"/>
      <c r="K156" s="32">
        <f t="shared" si="2"/>
        <v>12200</v>
      </c>
      <c r="L156" s="47" t="s">
        <v>1310</v>
      </c>
      <c r="M156" s="60" t="s">
        <v>1316</v>
      </c>
      <c r="N156" s="26" t="s">
        <v>1319</v>
      </c>
      <c r="O156" s="26" t="e">
        <v>#N/A</v>
      </c>
    </row>
    <row r="157" spans="1:15" hidden="1" x14ac:dyDescent="0.3">
      <c r="A157" s="28">
        <v>8470410</v>
      </c>
      <c r="B157" s="29" t="s">
        <v>884</v>
      </c>
      <c r="C157" s="30">
        <v>425770</v>
      </c>
      <c r="D157" s="31" t="s">
        <v>771</v>
      </c>
      <c r="E157" s="45" t="s">
        <v>886</v>
      </c>
      <c r="F157" s="32">
        <v>53000</v>
      </c>
      <c r="G157" s="32">
        <v>36000</v>
      </c>
      <c r="H157" s="32">
        <v>2513.17</v>
      </c>
      <c r="I157" s="33"/>
      <c r="J157" s="32"/>
      <c r="K157" s="32">
        <f t="shared" si="2"/>
        <v>33486.83</v>
      </c>
      <c r="L157" s="47" t="s">
        <v>1310</v>
      </c>
      <c r="M157" s="60" t="s">
        <v>1316</v>
      </c>
      <c r="N157" s="26" t="s">
        <v>1319</v>
      </c>
      <c r="O157" s="26" t="e">
        <v>#N/A</v>
      </c>
    </row>
    <row r="158" spans="1:15" hidden="1" x14ac:dyDescent="0.3">
      <c r="A158" s="28">
        <v>8470415</v>
      </c>
      <c r="B158" s="29" t="s">
        <v>254</v>
      </c>
      <c r="C158" s="30">
        <v>425900</v>
      </c>
      <c r="D158" s="31" t="s">
        <v>684</v>
      </c>
      <c r="E158" s="45" t="s">
        <v>891</v>
      </c>
      <c r="F158" s="32"/>
      <c r="G158" s="32"/>
      <c r="H158" s="32">
        <v>0</v>
      </c>
      <c r="I158" s="33"/>
      <c r="J158" s="32"/>
      <c r="K158" s="32">
        <f t="shared" si="2"/>
        <v>0</v>
      </c>
      <c r="L158" s="47" t="s">
        <v>1310</v>
      </c>
      <c r="M158" s="60" t="s">
        <v>1316</v>
      </c>
      <c r="N158" s="26" t="s">
        <v>1319</v>
      </c>
      <c r="O158" s="26" t="e">
        <v>#N/A</v>
      </c>
    </row>
    <row r="159" spans="1:15" hidden="1" x14ac:dyDescent="0.3">
      <c r="A159" s="28">
        <v>8470415</v>
      </c>
      <c r="B159" s="29" t="s">
        <v>254</v>
      </c>
      <c r="C159" s="30">
        <v>426610</v>
      </c>
      <c r="D159" s="31" t="s">
        <v>687</v>
      </c>
      <c r="E159" s="45" t="s">
        <v>892</v>
      </c>
      <c r="F159" s="32">
        <v>29900</v>
      </c>
      <c r="G159" s="32">
        <v>35900</v>
      </c>
      <c r="H159" s="32">
        <v>35235.129999999997</v>
      </c>
      <c r="I159" s="33"/>
      <c r="J159" s="32"/>
      <c r="K159" s="32">
        <f t="shared" si="2"/>
        <v>664.87000000000262</v>
      </c>
      <c r="L159" s="47" t="s">
        <v>1310</v>
      </c>
      <c r="M159" s="60" t="s">
        <v>1316</v>
      </c>
      <c r="N159" s="26" t="s">
        <v>1319</v>
      </c>
      <c r="O159" s="26" t="e">
        <v>#N/A</v>
      </c>
    </row>
    <row r="160" spans="1:15" hidden="1" x14ac:dyDescent="0.3">
      <c r="A160" s="28">
        <v>8470415</v>
      </c>
      <c r="B160" s="29" t="s">
        <v>254</v>
      </c>
      <c r="C160" s="30">
        <v>425550</v>
      </c>
      <c r="D160" s="31" t="s">
        <v>723</v>
      </c>
      <c r="E160" s="45" t="s">
        <v>889</v>
      </c>
      <c r="F160" s="32">
        <v>0</v>
      </c>
      <c r="G160" s="32">
        <v>3000</v>
      </c>
      <c r="H160" s="32">
        <v>917.91</v>
      </c>
      <c r="I160" s="33"/>
      <c r="J160" s="32"/>
      <c r="K160" s="32">
        <f t="shared" si="2"/>
        <v>2082.09</v>
      </c>
      <c r="L160" s="47" t="s">
        <v>1310</v>
      </c>
      <c r="M160" s="60" t="s">
        <v>1316</v>
      </c>
      <c r="N160" s="26" t="s">
        <v>1319</v>
      </c>
      <c r="O160" s="26" t="e">
        <v>#N/A</v>
      </c>
    </row>
    <row r="161" spans="1:15" hidden="1" x14ac:dyDescent="0.3">
      <c r="A161" s="28">
        <v>8470415</v>
      </c>
      <c r="B161" s="29" t="s">
        <v>254</v>
      </c>
      <c r="C161" s="30">
        <v>435350</v>
      </c>
      <c r="D161" s="31" t="s">
        <v>783</v>
      </c>
      <c r="E161" s="45" t="s">
        <v>894</v>
      </c>
      <c r="F161" s="32">
        <v>37500</v>
      </c>
      <c r="G161" s="32">
        <v>37500</v>
      </c>
      <c r="H161" s="32">
        <v>15797.82</v>
      </c>
      <c r="I161" s="33"/>
      <c r="J161" s="32"/>
      <c r="K161" s="32">
        <f t="shared" si="2"/>
        <v>21702.18</v>
      </c>
      <c r="L161" s="47" t="s">
        <v>1310</v>
      </c>
      <c r="M161" s="60" t="s">
        <v>1316</v>
      </c>
      <c r="N161" s="26" t="s">
        <v>1319</v>
      </c>
      <c r="O161" s="26" t="e">
        <v>#N/A</v>
      </c>
    </row>
    <row r="162" spans="1:15" hidden="1" x14ac:dyDescent="0.3">
      <c r="A162" s="28">
        <v>8470415</v>
      </c>
      <c r="B162" s="31" t="s">
        <v>254</v>
      </c>
      <c r="C162" s="30">
        <v>492316</v>
      </c>
      <c r="D162" s="31" t="s">
        <v>777</v>
      </c>
      <c r="E162" s="45" t="s">
        <v>1260</v>
      </c>
      <c r="F162" s="32">
        <v>781895</v>
      </c>
      <c r="G162" s="32">
        <v>781895</v>
      </c>
      <c r="H162" s="32">
        <v>751050</v>
      </c>
      <c r="I162" s="33"/>
      <c r="J162" s="32"/>
      <c r="K162" s="32">
        <f t="shared" si="2"/>
        <v>30845</v>
      </c>
      <c r="L162" s="47" t="s">
        <v>1310</v>
      </c>
      <c r="M162" s="26" t="s">
        <v>1316</v>
      </c>
      <c r="N162" s="26" t="s">
        <v>1319</v>
      </c>
      <c r="O162" s="26">
        <v>492316</v>
      </c>
    </row>
    <row r="163" spans="1:15" hidden="1" x14ac:dyDescent="0.3">
      <c r="A163" s="28">
        <v>8470415</v>
      </c>
      <c r="B163" s="29" t="s">
        <v>254</v>
      </c>
      <c r="C163" s="30">
        <v>432209</v>
      </c>
      <c r="D163" s="31" t="s">
        <v>777</v>
      </c>
      <c r="E163" s="45" t="s">
        <v>893</v>
      </c>
      <c r="F163" s="32">
        <v>120000</v>
      </c>
      <c r="G163" s="32">
        <v>120000</v>
      </c>
      <c r="H163" s="32">
        <v>85887.1</v>
      </c>
      <c r="I163" s="33"/>
      <c r="J163" s="32"/>
      <c r="K163" s="32">
        <f t="shared" si="2"/>
        <v>34112.899999999994</v>
      </c>
      <c r="L163" s="47" t="s">
        <v>1310</v>
      </c>
      <c r="M163" s="60" t="s">
        <v>1316</v>
      </c>
      <c r="N163" s="26" t="s">
        <v>1319</v>
      </c>
      <c r="O163" s="26" t="e">
        <v>#N/A</v>
      </c>
    </row>
    <row r="164" spans="1:15" hidden="1" x14ac:dyDescent="0.3">
      <c r="A164" s="28">
        <v>8470415</v>
      </c>
      <c r="B164" s="29" t="s">
        <v>254</v>
      </c>
      <c r="C164" s="30">
        <v>425770</v>
      </c>
      <c r="D164" s="31" t="s">
        <v>771</v>
      </c>
      <c r="E164" s="45" t="s">
        <v>890</v>
      </c>
      <c r="F164" s="32">
        <v>151153</v>
      </c>
      <c r="G164" s="32">
        <v>42153</v>
      </c>
      <c r="H164" s="32">
        <v>6028.16</v>
      </c>
      <c r="I164" s="33"/>
      <c r="J164" s="32"/>
      <c r="K164" s="32">
        <f t="shared" si="2"/>
        <v>36124.839999999997</v>
      </c>
      <c r="L164" s="47" t="s">
        <v>1310</v>
      </c>
      <c r="M164" s="60" t="s">
        <v>1316</v>
      </c>
      <c r="N164" s="26" t="s">
        <v>1319</v>
      </c>
      <c r="O164" s="26" t="e">
        <v>#N/A</v>
      </c>
    </row>
    <row r="165" spans="1:15" hidden="1" x14ac:dyDescent="0.3">
      <c r="A165" s="28">
        <v>8470415</v>
      </c>
      <c r="B165" s="29" t="s">
        <v>254</v>
      </c>
      <c r="C165" s="30">
        <v>435508</v>
      </c>
      <c r="D165" s="31" t="s">
        <v>786</v>
      </c>
      <c r="E165" s="45" t="s">
        <v>895</v>
      </c>
      <c r="F165" s="32">
        <v>100000</v>
      </c>
      <c r="G165" s="32">
        <v>200000</v>
      </c>
      <c r="H165" s="32">
        <v>146217.29999999999</v>
      </c>
      <c r="I165" s="33"/>
      <c r="J165" s="32"/>
      <c r="K165" s="32">
        <f t="shared" si="2"/>
        <v>53782.700000000012</v>
      </c>
      <c r="L165" s="47" t="s">
        <v>1310</v>
      </c>
      <c r="M165" s="60" t="s">
        <v>1316</v>
      </c>
      <c r="N165" s="26" t="s">
        <v>1319</v>
      </c>
      <c r="O165" s="26" t="e">
        <v>#N/A</v>
      </c>
    </row>
    <row r="166" spans="1:15" hidden="1" x14ac:dyDescent="0.3">
      <c r="A166" s="28">
        <v>8470425</v>
      </c>
      <c r="B166" s="29" t="s">
        <v>264</v>
      </c>
      <c r="C166" s="30">
        <v>426610</v>
      </c>
      <c r="D166" s="31" t="s">
        <v>687</v>
      </c>
      <c r="E166" s="45" t="s">
        <v>898</v>
      </c>
      <c r="F166" s="32">
        <v>0</v>
      </c>
      <c r="G166" s="32">
        <v>0</v>
      </c>
      <c r="H166" s="32">
        <v>0</v>
      </c>
      <c r="I166" s="33"/>
      <c r="J166" s="32"/>
      <c r="K166" s="32">
        <f t="shared" si="2"/>
        <v>0</v>
      </c>
      <c r="L166" s="47" t="s">
        <v>1310</v>
      </c>
      <c r="M166" s="60" t="s">
        <v>1316</v>
      </c>
      <c r="N166" s="26" t="s">
        <v>1319</v>
      </c>
      <c r="O166" s="26" t="e">
        <v>#N/A</v>
      </c>
    </row>
    <row r="167" spans="1:15" hidden="1" x14ac:dyDescent="0.3">
      <c r="A167" s="28">
        <v>8470425</v>
      </c>
      <c r="B167" s="29" t="s">
        <v>264</v>
      </c>
      <c r="C167" s="30">
        <v>435350</v>
      </c>
      <c r="D167" s="31" t="s">
        <v>783</v>
      </c>
      <c r="E167" s="45" t="s">
        <v>899</v>
      </c>
      <c r="F167" s="32">
        <v>36171</v>
      </c>
      <c r="G167" s="32">
        <v>31872</v>
      </c>
      <c r="H167" s="32">
        <v>31871.4</v>
      </c>
      <c r="I167" s="33"/>
      <c r="J167" s="32"/>
      <c r="K167" s="32">
        <f t="shared" si="2"/>
        <v>0.59999999999854481</v>
      </c>
      <c r="L167" s="47" t="s">
        <v>1310</v>
      </c>
      <c r="M167" s="60" t="s">
        <v>1316</v>
      </c>
      <c r="N167" s="26" t="s">
        <v>1319</v>
      </c>
      <c r="O167" s="26" t="e">
        <v>#N/A</v>
      </c>
    </row>
    <row r="168" spans="1:15" hidden="1" x14ac:dyDescent="0.3">
      <c r="A168" s="28">
        <v>8470425</v>
      </c>
      <c r="B168" s="29" t="s">
        <v>264</v>
      </c>
      <c r="C168" s="30">
        <v>425510</v>
      </c>
      <c r="D168" s="31" t="s">
        <v>681</v>
      </c>
      <c r="E168" s="45" t="s">
        <v>896</v>
      </c>
      <c r="F168" s="32">
        <v>1</v>
      </c>
      <c r="G168" s="32">
        <v>1</v>
      </c>
      <c r="H168" s="32">
        <v>0</v>
      </c>
      <c r="I168" s="33"/>
      <c r="J168" s="32"/>
      <c r="K168" s="32">
        <f t="shared" si="2"/>
        <v>1</v>
      </c>
      <c r="L168" s="47" t="s">
        <v>1310</v>
      </c>
      <c r="M168" s="60" t="s">
        <v>1316</v>
      </c>
      <c r="N168" s="26" t="s">
        <v>1319</v>
      </c>
      <c r="O168" s="26" t="e">
        <v>#N/A</v>
      </c>
    </row>
    <row r="169" spans="1:15" hidden="1" x14ac:dyDescent="0.3">
      <c r="A169" s="28">
        <v>8470425</v>
      </c>
      <c r="B169" s="29" t="s">
        <v>264</v>
      </c>
      <c r="C169" s="30">
        <v>425770</v>
      </c>
      <c r="D169" s="31" t="s">
        <v>771</v>
      </c>
      <c r="E169" s="45" t="s">
        <v>897</v>
      </c>
      <c r="F169" s="32">
        <v>0</v>
      </c>
      <c r="G169" s="32">
        <v>720</v>
      </c>
      <c r="H169" s="32">
        <v>717</v>
      </c>
      <c r="I169" s="33"/>
      <c r="J169" s="32"/>
      <c r="K169" s="32">
        <f t="shared" si="2"/>
        <v>3</v>
      </c>
      <c r="L169" s="47" t="s">
        <v>1310</v>
      </c>
      <c r="M169" s="60" t="s">
        <v>1316</v>
      </c>
      <c r="N169" s="26" t="s">
        <v>1319</v>
      </c>
      <c r="O169" s="26" t="e">
        <v>#N/A</v>
      </c>
    </row>
    <row r="170" spans="1:15" hidden="1" x14ac:dyDescent="0.3">
      <c r="A170" s="28">
        <v>8470425</v>
      </c>
      <c r="B170" s="29" t="s">
        <v>264</v>
      </c>
      <c r="C170" s="30">
        <v>435508</v>
      </c>
      <c r="D170" s="31" t="s">
        <v>786</v>
      </c>
      <c r="E170" s="45" t="s">
        <v>900</v>
      </c>
      <c r="F170" s="32">
        <v>239</v>
      </c>
      <c r="G170" s="32">
        <v>239</v>
      </c>
      <c r="H170" s="32">
        <v>227.28</v>
      </c>
      <c r="I170" s="33"/>
      <c r="J170" s="32"/>
      <c r="K170" s="32">
        <f t="shared" si="2"/>
        <v>11.719999999999999</v>
      </c>
      <c r="L170" s="47" t="s">
        <v>1310</v>
      </c>
      <c r="M170" s="60" t="s">
        <v>1316</v>
      </c>
      <c r="N170" s="26" t="s">
        <v>1319</v>
      </c>
      <c r="O170" s="26" t="e">
        <v>#N/A</v>
      </c>
    </row>
    <row r="171" spans="1:15" hidden="1" x14ac:dyDescent="0.3">
      <c r="A171" s="28">
        <v>8470425</v>
      </c>
      <c r="B171" s="31" t="s">
        <v>264</v>
      </c>
      <c r="C171" s="30">
        <v>492316</v>
      </c>
      <c r="D171" s="31" t="s">
        <v>777</v>
      </c>
      <c r="E171" s="45" t="s">
        <v>1261</v>
      </c>
      <c r="F171" s="32">
        <v>2912920</v>
      </c>
      <c r="G171" s="32">
        <v>2912920</v>
      </c>
      <c r="H171" s="32">
        <v>1788235.67</v>
      </c>
      <c r="I171" s="33"/>
      <c r="J171" s="32"/>
      <c r="K171" s="32">
        <f t="shared" si="2"/>
        <v>1124684.33</v>
      </c>
      <c r="L171" s="47" t="s">
        <v>1310</v>
      </c>
      <c r="M171" s="26" t="s">
        <v>1316</v>
      </c>
      <c r="N171" s="26" t="s">
        <v>1319</v>
      </c>
      <c r="O171" s="26">
        <v>492316</v>
      </c>
    </row>
    <row r="172" spans="1:15" hidden="1" x14ac:dyDescent="0.3">
      <c r="A172" s="28">
        <v>8470430</v>
      </c>
      <c r="B172" s="29" t="s">
        <v>275</v>
      </c>
      <c r="C172" s="30">
        <v>426610</v>
      </c>
      <c r="D172" s="31" t="s">
        <v>687</v>
      </c>
      <c r="E172" s="45" t="s">
        <v>902</v>
      </c>
      <c r="F172" s="32">
        <v>29000</v>
      </c>
      <c r="G172" s="32">
        <v>26375</v>
      </c>
      <c r="H172" s="32">
        <v>21822.22</v>
      </c>
      <c r="I172" s="33"/>
      <c r="J172" s="32"/>
      <c r="K172" s="32">
        <f t="shared" si="2"/>
        <v>4552.7799999999988</v>
      </c>
      <c r="L172" s="47" t="s">
        <v>1310</v>
      </c>
      <c r="M172" s="60" t="s">
        <v>1316</v>
      </c>
      <c r="N172" s="26" t="s">
        <v>1319</v>
      </c>
      <c r="O172" s="26" t="e">
        <v>#N/A</v>
      </c>
    </row>
    <row r="173" spans="1:15" hidden="1" x14ac:dyDescent="0.3">
      <c r="A173" s="28">
        <v>8470430</v>
      </c>
      <c r="B173" s="29" t="s">
        <v>275</v>
      </c>
      <c r="C173" s="30">
        <v>435508</v>
      </c>
      <c r="D173" s="31" t="s">
        <v>786</v>
      </c>
      <c r="E173" s="45" t="s">
        <v>903</v>
      </c>
      <c r="F173" s="32">
        <v>20000</v>
      </c>
      <c r="G173" s="32">
        <v>20000</v>
      </c>
      <c r="H173" s="32">
        <v>0</v>
      </c>
      <c r="I173" s="33"/>
      <c r="J173" s="32"/>
      <c r="K173" s="32">
        <f t="shared" si="2"/>
        <v>20000</v>
      </c>
      <c r="L173" s="47" t="s">
        <v>1310</v>
      </c>
      <c r="M173" s="60" t="s">
        <v>1316</v>
      </c>
      <c r="N173" s="26" t="s">
        <v>1319</v>
      </c>
      <c r="O173" s="26" t="e">
        <v>#N/A</v>
      </c>
    </row>
    <row r="174" spans="1:15" hidden="1" x14ac:dyDescent="0.3">
      <c r="A174" s="28">
        <v>8470430</v>
      </c>
      <c r="B174" s="29" t="s">
        <v>275</v>
      </c>
      <c r="C174" s="30">
        <v>425770</v>
      </c>
      <c r="D174" s="31" t="s">
        <v>771</v>
      </c>
      <c r="E174" s="45" t="s">
        <v>901</v>
      </c>
      <c r="F174" s="32">
        <v>220000</v>
      </c>
      <c r="G174" s="32">
        <v>156300</v>
      </c>
      <c r="H174" s="32">
        <v>-3393</v>
      </c>
      <c r="I174" s="33"/>
      <c r="J174" s="32"/>
      <c r="K174" s="32">
        <f t="shared" si="2"/>
        <v>159693</v>
      </c>
      <c r="L174" s="47" t="s">
        <v>1310</v>
      </c>
      <c r="M174" s="60" t="s">
        <v>1316</v>
      </c>
      <c r="N174" s="26" t="s">
        <v>1319</v>
      </c>
      <c r="O174" s="26" t="e">
        <v>#N/A</v>
      </c>
    </row>
    <row r="175" spans="1:15" hidden="1" x14ac:dyDescent="0.3">
      <c r="A175" s="28">
        <v>8470435</v>
      </c>
      <c r="B175" s="29" t="s">
        <v>284</v>
      </c>
      <c r="C175" s="30">
        <v>427710</v>
      </c>
      <c r="D175" s="31" t="s">
        <v>690</v>
      </c>
      <c r="E175" s="45" t="s">
        <v>906</v>
      </c>
      <c r="F175" s="32">
        <v>1</v>
      </c>
      <c r="G175" s="32">
        <v>1</v>
      </c>
      <c r="H175" s="32">
        <v>0</v>
      </c>
      <c r="I175" s="33"/>
      <c r="J175" s="32"/>
      <c r="K175" s="32">
        <f t="shared" si="2"/>
        <v>1</v>
      </c>
      <c r="L175" s="47" t="s">
        <v>1310</v>
      </c>
      <c r="M175" s="60" t="s">
        <v>1316</v>
      </c>
      <c r="N175" s="26" t="s">
        <v>1319</v>
      </c>
      <c r="O175" s="26" t="e">
        <v>#N/A</v>
      </c>
    </row>
    <row r="176" spans="1:15" hidden="1" x14ac:dyDescent="0.3">
      <c r="A176" s="28">
        <v>8470435</v>
      </c>
      <c r="B176" s="29" t="s">
        <v>284</v>
      </c>
      <c r="C176" s="30">
        <v>436600</v>
      </c>
      <c r="D176" s="31" t="s">
        <v>800</v>
      </c>
      <c r="E176" s="45" t="s">
        <v>908</v>
      </c>
      <c r="F176" s="32">
        <v>1</v>
      </c>
      <c r="G176" s="32">
        <v>1</v>
      </c>
      <c r="H176" s="32">
        <v>0</v>
      </c>
      <c r="I176" s="33"/>
      <c r="J176" s="32"/>
      <c r="K176" s="32">
        <f t="shared" si="2"/>
        <v>1</v>
      </c>
      <c r="L176" s="47" t="s">
        <v>1310</v>
      </c>
      <c r="M176" s="60" t="s">
        <v>1316</v>
      </c>
      <c r="N176" s="26" t="s">
        <v>1319</v>
      </c>
      <c r="O176" s="26" t="e">
        <v>#N/A</v>
      </c>
    </row>
    <row r="177" spans="1:15" hidden="1" x14ac:dyDescent="0.3">
      <c r="A177" s="28">
        <v>8470435</v>
      </c>
      <c r="B177" s="29" t="s">
        <v>284</v>
      </c>
      <c r="C177" s="30">
        <v>426610</v>
      </c>
      <c r="D177" s="31" t="s">
        <v>687</v>
      </c>
      <c r="E177" s="45" t="s">
        <v>905</v>
      </c>
      <c r="F177" s="32">
        <v>30000</v>
      </c>
      <c r="G177" s="32">
        <v>30000</v>
      </c>
      <c r="H177" s="32">
        <v>688.02</v>
      </c>
      <c r="I177" s="33"/>
      <c r="J177" s="32"/>
      <c r="K177" s="32">
        <f t="shared" si="2"/>
        <v>29311.98</v>
      </c>
      <c r="L177" s="47" t="s">
        <v>1310</v>
      </c>
      <c r="M177" s="60" t="s">
        <v>1316</v>
      </c>
      <c r="N177" s="26" t="s">
        <v>1319</v>
      </c>
      <c r="O177" s="26" t="e">
        <v>#N/A</v>
      </c>
    </row>
    <row r="178" spans="1:15" hidden="1" x14ac:dyDescent="0.3">
      <c r="A178" s="28">
        <v>8470435</v>
      </c>
      <c r="B178" s="29" t="s">
        <v>284</v>
      </c>
      <c r="C178" s="30">
        <v>435340</v>
      </c>
      <c r="D178" s="31" t="s">
        <v>869</v>
      </c>
      <c r="E178" s="45" t="s">
        <v>907</v>
      </c>
      <c r="F178" s="32">
        <v>35000</v>
      </c>
      <c r="G178" s="32">
        <v>35000</v>
      </c>
      <c r="H178" s="32">
        <v>0</v>
      </c>
      <c r="I178" s="33"/>
      <c r="J178" s="32"/>
      <c r="K178" s="32">
        <f t="shared" si="2"/>
        <v>35000</v>
      </c>
      <c r="L178" s="47" t="s">
        <v>1310</v>
      </c>
      <c r="M178" s="60" t="s">
        <v>1316</v>
      </c>
      <c r="N178" s="26" t="s">
        <v>1319</v>
      </c>
      <c r="O178" s="26" t="e">
        <v>#N/A</v>
      </c>
    </row>
    <row r="179" spans="1:15" hidden="1" x14ac:dyDescent="0.3">
      <c r="A179" s="28">
        <v>8470435</v>
      </c>
      <c r="B179" s="29" t="s">
        <v>284</v>
      </c>
      <c r="C179" s="30">
        <v>425770</v>
      </c>
      <c r="D179" s="31" t="s">
        <v>771</v>
      </c>
      <c r="E179" s="45" t="s">
        <v>904</v>
      </c>
      <c r="F179" s="32">
        <v>188207</v>
      </c>
      <c r="G179" s="32">
        <v>132207</v>
      </c>
      <c r="H179" s="32">
        <v>6347.69</v>
      </c>
      <c r="I179" s="33"/>
      <c r="J179" s="32"/>
      <c r="K179" s="32">
        <f t="shared" si="2"/>
        <v>125859.31</v>
      </c>
      <c r="L179" s="47" t="s">
        <v>1310</v>
      </c>
      <c r="M179" s="60" t="s">
        <v>1316</v>
      </c>
      <c r="N179" s="26" t="s">
        <v>1319</v>
      </c>
      <c r="O179" s="26" t="e">
        <v>#N/A</v>
      </c>
    </row>
    <row r="180" spans="1:15" hidden="1" x14ac:dyDescent="0.3">
      <c r="A180" s="28">
        <v>8470440</v>
      </c>
      <c r="B180" s="29" t="s">
        <v>297</v>
      </c>
      <c r="C180" s="30">
        <v>435350</v>
      </c>
      <c r="D180" s="31" t="s">
        <v>783</v>
      </c>
      <c r="E180" s="45" t="s">
        <v>913</v>
      </c>
      <c r="F180" s="32">
        <v>7704</v>
      </c>
      <c r="G180" s="32">
        <v>11020</v>
      </c>
      <c r="H180" s="32">
        <v>11000.64</v>
      </c>
      <c r="I180" s="33"/>
      <c r="J180" s="32"/>
      <c r="K180" s="32">
        <f t="shared" si="2"/>
        <v>19.360000000000582</v>
      </c>
      <c r="L180" s="47" t="s">
        <v>1310</v>
      </c>
      <c r="M180" s="60" t="s">
        <v>1316</v>
      </c>
      <c r="N180" s="26" t="s">
        <v>1319</v>
      </c>
      <c r="O180" s="26" t="e">
        <v>#N/A</v>
      </c>
    </row>
    <row r="181" spans="1:15" hidden="1" x14ac:dyDescent="0.3">
      <c r="A181" s="28">
        <v>8470440</v>
      </c>
      <c r="B181" s="29" t="s">
        <v>297</v>
      </c>
      <c r="C181" s="30">
        <v>436600</v>
      </c>
      <c r="D181" s="31" t="s">
        <v>800</v>
      </c>
      <c r="E181" s="45" t="s">
        <v>914</v>
      </c>
      <c r="F181" s="32">
        <v>227</v>
      </c>
      <c r="G181" s="32">
        <v>227</v>
      </c>
      <c r="H181" s="32">
        <v>0</v>
      </c>
      <c r="I181" s="33"/>
      <c r="J181" s="32"/>
      <c r="K181" s="32">
        <f t="shared" si="2"/>
        <v>227</v>
      </c>
      <c r="L181" s="47" t="s">
        <v>1310</v>
      </c>
      <c r="M181" s="60" t="s">
        <v>1316</v>
      </c>
      <c r="N181" s="26" t="s">
        <v>1319</v>
      </c>
      <c r="O181" s="26" t="e">
        <v>#N/A</v>
      </c>
    </row>
    <row r="182" spans="1:15" hidden="1" x14ac:dyDescent="0.3">
      <c r="A182" s="28">
        <v>8470440</v>
      </c>
      <c r="B182" s="29" t="s">
        <v>297</v>
      </c>
      <c r="C182" s="30">
        <v>425761</v>
      </c>
      <c r="D182" s="31" t="s">
        <v>832</v>
      </c>
      <c r="E182" s="45" t="s">
        <v>909</v>
      </c>
      <c r="F182" s="32">
        <v>4400</v>
      </c>
      <c r="G182" s="32">
        <v>4400</v>
      </c>
      <c r="H182" s="32">
        <v>0</v>
      </c>
      <c r="I182" s="33"/>
      <c r="J182" s="32"/>
      <c r="K182" s="32">
        <f t="shared" si="2"/>
        <v>4400</v>
      </c>
      <c r="L182" s="47" t="s">
        <v>1310</v>
      </c>
      <c r="M182" s="60" t="s">
        <v>1316</v>
      </c>
      <c r="N182" s="26" t="s">
        <v>1319</v>
      </c>
      <c r="O182" s="26" t="e">
        <v>#N/A</v>
      </c>
    </row>
    <row r="183" spans="1:15" hidden="1" x14ac:dyDescent="0.3">
      <c r="A183" s="28">
        <v>8470440</v>
      </c>
      <c r="B183" s="29" t="s">
        <v>297</v>
      </c>
      <c r="C183" s="30">
        <v>426610</v>
      </c>
      <c r="D183" s="31" t="s">
        <v>687</v>
      </c>
      <c r="E183" s="45" t="s">
        <v>911</v>
      </c>
      <c r="F183" s="32">
        <v>64373</v>
      </c>
      <c r="G183" s="32">
        <v>64373</v>
      </c>
      <c r="H183" s="32">
        <v>6398.78</v>
      </c>
      <c r="I183" s="33"/>
      <c r="J183" s="32"/>
      <c r="K183" s="32">
        <f t="shared" si="2"/>
        <v>57974.22</v>
      </c>
      <c r="L183" s="47" t="s">
        <v>1310</v>
      </c>
      <c r="M183" s="60" t="s">
        <v>1316</v>
      </c>
      <c r="N183" s="26" t="s">
        <v>1319</v>
      </c>
      <c r="O183" s="26" t="e">
        <v>#N/A</v>
      </c>
    </row>
    <row r="184" spans="1:15" hidden="1" x14ac:dyDescent="0.3">
      <c r="A184" s="28">
        <v>8470440</v>
      </c>
      <c r="B184" s="29" t="s">
        <v>297</v>
      </c>
      <c r="C184" s="30">
        <v>435340</v>
      </c>
      <c r="D184" s="31" t="s">
        <v>869</v>
      </c>
      <c r="E184" s="45" t="s">
        <v>912</v>
      </c>
      <c r="F184" s="32">
        <v>60350</v>
      </c>
      <c r="G184" s="32">
        <v>60350</v>
      </c>
      <c r="H184" s="32">
        <v>0</v>
      </c>
      <c r="I184" s="33"/>
      <c r="J184" s="32"/>
      <c r="K184" s="32">
        <f t="shared" si="2"/>
        <v>60350</v>
      </c>
      <c r="L184" s="47" t="s">
        <v>1310</v>
      </c>
      <c r="M184" s="60" t="s">
        <v>1316</v>
      </c>
      <c r="N184" s="26" t="s">
        <v>1319</v>
      </c>
      <c r="O184" s="26" t="e">
        <v>#N/A</v>
      </c>
    </row>
    <row r="185" spans="1:15" hidden="1" x14ac:dyDescent="0.3">
      <c r="A185" s="28">
        <v>8470440</v>
      </c>
      <c r="B185" s="29" t="s">
        <v>297</v>
      </c>
      <c r="C185" s="30">
        <v>425770</v>
      </c>
      <c r="D185" s="31" t="s">
        <v>771</v>
      </c>
      <c r="E185" s="45" t="s">
        <v>910</v>
      </c>
      <c r="F185" s="32">
        <v>221102</v>
      </c>
      <c r="G185" s="32">
        <v>165102</v>
      </c>
      <c r="H185" s="32">
        <v>16120.02</v>
      </c>
      <c r="I185" s="33"/>
      <c r="J185" s="32"/>
      <c r="K185" s="32">
        <f t="shared" si="2"/>
        <v>148981.98000000001</v>
      </c>
      <c r="L185" s="47" t="s">
        <v>1310</v>
      </c>
      <c r="M185" s="60" t="s">
        <v>1316</v>
      </c>
      <c r="N185" s="26" t="s">
        <v>1319</v>
      </c>
      <c r="O185" s="26" t="e">
        <v>#N/A</v>
      </c>
    </row>
    <row r="186" spans="1:15" hidden="1" x14ac:dyDescent="0.3">
      <c r="A186" s="28">
        <v>8470445</v>
      </c>
      <c r="B186" s="29" t="s">
        <v>309</v>
      </c>
      <c r="C186" s="30">
        <v>425770</v>
      </c>
      <c r="D186" s="31" t="s">
        <v>771</v>
      </c>
      <c r="E186" s="45" t="s">
        <v>915</v>
      </c>
      <c r="F186" s="32"/>
      <c r="G186" s="32"/>
      <c r="H186" s="32">
        <v>0</v>
      </c>
      <c r="I186" s="33"/>
      <c r="J186" s="32"/>
      <c r="K186" s="32">
        <f t="shared" si="2"/>
        <v>0</v>
      </c>
      <c r="L186" s="47" t="s">
        <v>1310</v>
      </c>
      <c r="M186" s="60" t="s">
        <v>1316</v>
      </c>
      <c r="N186" s="26" t="s">
        <v>1319</v>
      </c>
      <c r="O186" s="26" t="e">
        <v>#N/A</v>
      </c>
    </row>
    <row r="187" spans="1:15" hidden="1" x14ac:dyDescent="0.3">
      <c r="A187" s="28">
        <v>8470445</v>
      </c>
      <c r="B187" s="29" t="s">
        <v>309</v>
      </c>
      <c r="C187" s="30">
        <v>426610</v>
      </c>
      <c r="D187" s="31" t="s">
        <v>687</v>
      </c>
      <c r="E187" s="45" t="s">
        <v>917</v>
      </c>
      <c r="F187" s="32"/>
      <c r="G187" s="32"/>
      <c r="H187" s="32">
        <v>0</v>
      </c>
      <c r="I187" s="33"/>
      <c r="J187" s="32"/>
      <c r="K187" s="32">
        <f t="shared" si="2"/>
        <v>0</v>
      </c>
      <c r="L187" s="47" t="s">
        <v>1310</v>
      </c>
      <c r="M187" s="60" t="s">
        <v>1316</v>
      </c>
      <c r="N187" s="26" t="s">
        <v>1319</v>
      </c>
      <c r="O187" s="26" t="e">
        <v>#N/A</v>
      </c>
    </row>
    <row r="188" spans="1:15" hidden="1" x14ac:dyDescent="0.3">
      <c r="A188" s="28">
        <v>8470445</v>
      </c>
      <c r="B188" s="29" t="s">
        <v>309</v>
      </c>
      <c r="C188" s="30">
        <v>426610</v>
      </c>
      <c r="D188" s="31" t="s">
        <v>687</v>
      </c>
      <c r="E188" s="45" t="s">
        <v>918</v>
      </c>
      <c r="F188" s="32">
        <v>5000</v>
      </c>
      <c r="G188" s="32">
        <v>63625</v>
      </c>
      <c r="H188" s="32">
        <v>53832</v>
      </c>
      <c r="I188" s="33"/>
      <c r="J188" s="32"/>
      <c r="K188" s="32">
        <f t="shared" si="2"/>
        <v>9793</v>
      </c>
      <c r="L188" s="47" t="s">
        <v>1310</v>
      </c>
      <c r="M188" s="60" t="s">
        <v>1316</v>
      </c>
      <c r="N188" s="26" t="s">
        <v>1319</v>
      </c>
      <c r="O188" s="26" t="e">
        <v>#N/A</v>
      </c>
    </row>
    <row r="189" spans="1:15" hidden="1" x14ac:dyDescent="0.3">
      <c r="A189" s="28">
        <v>8470445</v>
      </c>
      <c r="B189" s="29" t="s">
        <v>309</v>
      </c>
      <c r="C189" s="30">
        <v>425770</v>
      </c>
      <c r="D189" s="31" t="s">
        <v>771</v>
      </c>
      <c r="E189" s="45" t="s">
        <v>916</v>
      </c>
      <c r="F189" s="32">
        <v>150000</v>
      </c>
      <c r="G189" s="32">
        <v>86334</v>
      </c>
      <c r="H189" s="32">
        <v>6600.06</v>
      </c>
      <c r="I189" s="33"/>
      <c r="J189" s="32"/>
      <c r="K189" s="32">
        <f t="shared" si="2"/>
        <v>79733.94</v>
      </c>
      <c r="L189" s="47" t="s">
        <v>1310</v>
      </c>
      <c r="M189" s="60" t="s">
        <v>1316</v>
      </c>
      <c r="N189" s="26" t="s">
        <v>1319</v>
      </c>
      <c r="O189" s="26" t="e">
        <v>#N/A</v>
      </c>
    </row>
    <row r="190" spans="1:15" hidden="1" x14ac:dyDescent="0.3">
      <c r="A190" s="28">
        <v>8470450</v>
      </c>
      <c r="B190" s="29" t="s">
        <v>320</v>
      </c>
      <c r="C190" s="30">
        <v>425770</v>
      </c>
      <c r="D190" s="31" t="s">
        <v>771</v>
      </c>
      <c r="E190" s="45" t="s">
        <v>920</v>
      </c>
      <c r="F190" s="32">
        <v>45000</v>
      </c>
      <c r="G190" s="32">
        <v>13017</v>
      </c>
      <c r="H190" s="32">
        <v>0</v>
      </c>
      <c r="I190" s="33"/>
      <c r="J190" s="32"/>
      <c r="K190" s="32">
        <f t="shared" si="2"/>
        <v>13017</v>
      </c>
      <c r="L190" s="47" t="s">
        <v>1310</v>
      </c>
      <c r="M190" s="60" t="s">
        <v>1316</v>
      </c>
      <c r="N190" s="26" t="s">
        <v>1319</v>
      </c>
      <c r="O190" s="26" t="e">
        <v>#N/A</v>
      </c>
    </row>
    <row r="191" spans="1:15" hidden="1" x14ac:dyDescent="0.3">
      <c r="A191" s="28">
        <v>8470450</v>
      </c>
      <c r="B191" s="29" t="s">
        <v>320</v>
      </c>
      <c r="C191" s="30">
        <v>435508</v>
      </c>
      <c r="D191" s="31" t="s">
        <v>786</v>
      </c>
      <c r="E191" s="45" t="s">
        <v>923</v>
      </c>
      <c r="F191" s="32">
        <v>6447</v>
      </c>
      <c r="G191" s="32">
        <v>18430</v>
      </c>
      <c r="H191" s="32">
        <v>4089.74</v>
      </c>
      <c r="I191" s="33"/>
      <c r="J191" s="32"/>
      <c r="K191" s="32">
        <f t="shared" si="2"/>
        <v>14340.26</v>
      </c>
      <c r="L191" s="47" t="s">
        <v>1310</v>
      </c>
      <c r="M191" s="60" t="s">
        <v>1316</v>
      </c>
      <c r="N191" s="26" t="s">
        <v>1319</v>
      </c>
      <c r="O191" s="26" t="e">
        <v>#N/A</v>
      </c>
    </row>
    <row r="192" spans="1:15" hidden="1" x14ac:dyDescent="0.3">
      <c r="A192" s="28">
        <v>8470450</v>
      </c>
      <c r="B192" s="29" t="s">
        <v>320</v>
      </c>
      <c r="C192" s="30">
        <v>425761</v>
      </c>
      <c r="D192" s="31" t="s">
        <v>832</v>
      </c>
      <c r="E192" s="45" t="s">
        <v>919</v>
      </c>
      <c r="F192" s="32">
        <v>56922</v>
      </c>
      <c r="G192" s="32">
        <v>56922</v>
      </c>
      <c r="H192" s="32">
        <v>40740</v>
      </c>
      <c r="I192" s="33"/>
      <c r="J192" s="32"/>
      <c r="K192" s="32">
        <f t="shared" si="2"/>
        <v>16182</v>
      </c>
      <c r="L192" s="47" t="s">
        <v>1310</v>
      </c>
      <c r="M192" s="60" t="s">
        <v>1316</v>
      </c>
      <c r="N192" s="26" t="s">
        <v>1319</v>
      </c>
      <c r="O192" s="26" t="e">
        <v>#N/A</v>
      </c>
    </row>
    <row r="193" spans="1:15" hidden="1" x14ac:dyDescent="0.3">
      <c r="A193" s="28">
        <v>8470450</v>
      </c>
      <c r="B193" s="29" t="s">
        <v>320</v>
      </c>
      <c r="C193" s="30">
        <v>435350</v>
      </c>
      <c r="D193" s="31" t="s">
        <v>783</v>
      </c>
      <c r="E193" s="45" t="s">
        <v>922</v>
      </c>
      <c r="F193" s="32">
        <v>20000</v>
      </c>
      <c r="G193" s="32">
        <v>20000</v>
      </c>
      <c r="H193" s="32">
        <v>0</v>
      </c>
      <c r="I193" s="33"/>
      <c r="J193" s="32"/>
      <c r="K193" s="32">
        <f t="shared" si="2"/>
        <v>20000</v>
      </c>
      <c r="L193" s="47" t="s">
        <v>1310</v>
      </c>
      <c r="M193" s="60" t="s">
        <v>1316</v>
      </c>
      <c r="N193" s="26" t="s">
        <v>1319</v>
      </c>
      <c r="O193" s="26" t="e">
        <v>#N/A</v>
      </c>
    </row>
    <row r="194" spans="1:15" hidden="1" x14ac:dyDescent="0.3">
      <c r="A194" s="28">
        <v>8470450</v>
      </c>
      <c r="B194" s="29" t="s">
        <v>320</v>
      </c>
      <c r="C194" s="30">
        <v>432209</v>
      </c>
      <c r="D194" s="31" t="s">
        <v>777</v>
      </c>
      <c r="E194" s="45" t="s">
        <v>921</v>
      </c>
      <c r="F194" s="32">
        <v>129668</v>
      </c>
      <c r="G194" s="32">
        <v>129668</v>
      </c>
      <c r="H194" s="32">
        <v>-35634.410000000003</v>
      </c>
      <c r="I194" s="33"/>
      <c r="J194" s="32"/>
      <c r="K194" s="32">
        <f t="shared" ref="K194:K257" si="3">G194-H194-I194-J194</f>
        <v>165302.41</v>
      </c>
      <c r="L194" s="47" t="s">
        <v>1310</v>
      </c>
      <c r="M194" s="60" t="s">
        <v>1316</v>
      </c>
      <c r="N194" s="26" t="s">
        <v>1319</v>
      </c>
      <c r="O194" s="26" t="e">
        <v>#N/A</v>
      </c>
    </row>
    <row r="195" spans="1:15" hidden="1" x14ac:dyDescent="0.3">
      <c r="A195" s="28">
        <v>8470520</v>
      </c>
      <c r="B195" s="29" t="s">
        <v>357</v>
      </c>
      <c r="C195" s="30">
        <v>425510</v>
      </c>
      <c r="D195" s="31" t="s">
        <v>681</v>
      </c>
      <c r="E195" s="45" t="s">
        <v>928</v>
      </c>
      <c r="F195" s="32">
        <v>4998</v>
      </c>
      <c r="G195" s="32">
        <v>4998</v>
      </c>
      <c r="H195" s="32">
        <v>4998</v>
      </c>
      <c r="I195" s="33"/>
      <c r="J195" s="32"/>
      <c r="K195" s="32">
        <f t="shared" si="3"/>
        <v>0</v>
      </c>
      <c r="L195" s="50" t="s">
        <v>1312</v>
      </c>
      <c r="M195" s="26" t="s">
        <v>1320</v>
      </c>
      <c r="N195" s="26" t="s">
        <v>1321</v>
      </c>
      <c r="O195" s="26" t="e">
        <v>#N/A</v>
      </c>
    </row>
    <row r="196" spans="1:15" hidden="1" x14ac:dyDescent="0.3">
      <c r="A196" s="28">
        <v>8470520</v>
      </c>
      <c r="B196" s="29" t="s">
        <v>357</v>
      </c>
      <c r="C196" s="30">
        <v>421600</v>
      </c>
      <c r="D196" s="31" t="s">
        <v>925</v>
      </c>
      <c r="E196" s="45" t="s">
        <v>926</v>
      </c>
      <c r="F196" s="32">
        <v>77973</v>
      </c>
      <c r="G196" s="32">
        <v>77973</v>
      </c>
      <c r="H196" s="32">
        <v>74260</v>
      </c>
      <c r="I196" s="33"/>
      <c r="J196" s="32"/>
      <c r="K196" s="32">
        <f t="shared" si="3"/>
        <v>3713</v>
      </c>
      <c r="L196" s="50" t="s">
        <v>1312</v>
      </c>
      <c r="M196" s="26" t="s">
        <v>1320</v>
      </c>
      <c r="N196" s="26" t="s">
        <v>1321</v>
      </c>
      <c r="O196" s="26" t="e">
        <v>#N/A</v>
      </c>
    </row>
    <row r="197" spans="1:15" hidden="1" x14ac:dyDescent="0.3">
      <c r="A197" s="28">
        <v>8470520</v>
      </c>
      <c r="B197" s="29" t="s">
        <v>357</v>
      </c>
      <c r="C197" s="30">
        <v>425510</v>
      </c>
      <c r="D197" s="31" t="s">
        <v>681</v>
      </c>
      <c r="E197" s="45" t="s">
        <v>927</v>
      </c>
      <c r="F197" s="32">
        <v>24521</v>
      </c>
      <c r="G197" s="32">
        <v>24521</v>
      </c>
      <c r="H197" s="32">
        <v>11357.12</v>
      </c>
      <c r="I197" s="33"/>
      <c r="J197" s="32"/>
      <c r="K197" s="32">
        <f t="shared" si="3"/>
        <v>13163.88</v>
      </c>
      <c r="L197" s="50" t="s">
        <v>1312</v>
      </c>
      <c r="M197" s="26" t="s">
        <v>1320</v>
      </c>
      <c r="N197" s="26" t="s">
        <v>1321</v>
      </c>
      <c r="O197" s="26" t="e">
        <v>#N/A</v>
      </c>
    </row>
    <row r="198" spans="1:15" hidden="1" x14ac:dyDescent="0.3">
      <c r="A198" s="28">
        <v>8470520</v>
      </c>
      <c r="B198" s="29" t="s">
        <v>357</v>
      </c>
      <c r="C198" s="30">
        <v>426100</v>
      </c>
      <c r="D198" s="31" t="s">
        <v>930</v>
      </c>
      <c r="E198" s="45" t="s">
        <v>931</v>
      </c>
      <c r="F198" s="32">
        <v>20000</v>
      </c>
      <c r="G198" s="32">
        <v>20000</v>
      </c>
      <c r="H198" s="32">
        <v>0</v>
      </c>
      <c r="I198" s="33"/>
      <c r="J198" s="32"/>
      <c r="K198" s="32">
        <f t="shared" si="3"/>
        <v>20000</v>
      </c>
      <c r="L198" s="50" t="s">
        <v>1312</v>
      </c>
      <c r="M198" s="26" t="s">
        <v>1320</v>
      </c>
      <c r="N198" s="26" t="s">
        <v>1321</v>
      </c>
      <c r="O198" s="26" t="e">
        <v>#N/A</v>
      </c>
    </row>
    <row r="199" spans="1:15" hidden="1" x14ac:dyDescent="0.3">
      <c r="A199" s="28">
        <v>8470520</v>
      </c>
      <c r="B199" s="29" t="s">
        <v>357</v>
      </c>
      <c r="C199" s="30">
        <v>428200</v>
      </c>
      <c r="D199" s="31" t="s">
        <v>935</v>
      </c>
      <c r="E199" s="45" t="s">
        <v>937</v>
      </c>
      <c r="F199" s="32">
        <v>300000</v>
      </c>
      <c r="G199" s="32">
        <v>300000</v>
      </c>
      <c r="H199" s="32">
        <v>276208.98</v>
      </c>
      <c r="I199" s="33"/>
      <c r="J199" s="32"/>
      <c r="K199" s="32">
        <f t="shared" si="3"/>
        <v>23791.020000000019</v>
      </c>
      <c r="L199" s="50" t="s">
        <v>1312</v>
      </c>
      <c r="M199" s="26" t="s">
        <v>1320</v>
      </c>
      <c r="N199" s="26" t="s">
        <v>1321</v>
      </c>
      <c r="O199" s="26" t="e">
        <v>#N/A</v>
      </c>
    </row>
    <row r="200" spans="1:15" hidden="1" x14ac:dyDescent="0.3">
      <c r="A200" s="28">
        <v>8470520</v>
      </c>
      <c r="B200" s="29" t="s">
        <v>357</v>
      </c>
      <c r="C200" s="30">
        <v>427710</v>
      </c>
      <c r="D200" s="31" t="s">
        <v>690</v>
      </c>
      <c r="E200" s="45" t="s">
        <v>933</v>
      </c>
      <c r="F200" s="32">
        <v>42000</v>
      </c>
      <c r="G200" s="32">
        <v>42000</v>
      </c>
      <c r="H200" s="32">
        <v>7654.06</v>
      </c>
      <c r="I200" s="33"/>
      <c r="J200" s="32"/>
      <c r="K200" s="32">
        <f t="shared" si="3"/>
        <v>34345.94</v>
      </c>
      <c r="L200" s="50" t="s">
        <v>1312</v>
      </c>
      <c r="M200" s="26" t="s">
        <v>1320</v>
      </c>
      <c r="N200" s="26" t="s">
        <v>1321</v>
      </c>
      <c r="O200" s="26" t="e">
        <v>#N/A</v>
      </c>
    </row>
    <row r="201" spans="1:15" hidden="1" x14ac:dyDescent="0.3">
      <c r="A201" s="28">
        <v>8470520</v>
      </c>
      <c r="B201" s="29" t="s">
        <v>357</v>
      </c>
      <c r="C201" s="30">
        <v>428200</v>
      </c>
      <c r="D201" s="31" t="s">
        <v>935</v>
      </c>
      <c r="E201" s="45" t="s">
        <v>936</v>
      </c>
      <c r="F201" s="32">
        <v>395002</v>
      </c>
      <c r="G201" s="32">
        <v>395002</v>
      </c>
      <c r="H201" s="32">
        <v>345735.14</v>
      </c>
      <c r="I201" s="33"/>
      <c r="J201" s="32"/>
      <c r="K201" s="32">
        <f t="shared" si="3"/>
        <v>49266.859999999986</v>
      </c>
      <c r="L201" s="50" t="s">
        <v>1312</v>
      </c>
      <c r="M201" s="26" t="s">
        <v>1320</v>
      </c>
      <c r="N201" s="26" t="s">
        <v>1321</v>
      </c>
      <c r="O201" s="26" t="e">
        <v>#N/A</v>
      </c>
    </row>
    <row r="202" spans="1:15" hidden="1" x14ac:dyDescent="0.3">
      <c r="A202" s="28">
        <v>8470520</v>
      </c>
      <c r="B202" s="29" t="s">
        <v>357</v>
      </c>
      <c r="C202" s="30">
        <v>426610</v>
      </c>
      <c r="D202" s="31" t="s">
        <v>687</v>
      </c>
      <c r="E202" s="45" t="s">
        <v>932</v>
      </c>
      <c r="F202" s="32">
        <v>212027</v>
      </c>
      <c r="G202" s="32">
        <v>212027</v>
      </c>
      <c r="H202" s="32">
        <v>0</v>
      </c>
      <c r="I202" s="33"/>
      <c r="J202" s="32"/>
      <c r="K202" s="32">
        <f t="shared" si="3"/>
        <v>212027</v>
      </c>
      <c r="L202" s="47" t="s">
        <v>1332</v>
      </c>
      <c r="M202" s="26" t="s">
        <v>1320</v>
      </c>
      <c r="N202" s="26" t="s">
        <v>1321</v>
      </c>
      <c r="O202" s="26" t="e">
        <v>#N/A</v>
      </c>
    </row>
    <row r="203" spans="1:15" hidden="1" x14ac:dyDescent="0.3">
      <c r="A203" s="28">
        <v>8470530</v>
      </c>
      <c r="B203" s="29" t="s">
        <v>367</v>
      </c>
      <c r="C203" s="30">
        <v>492200</v>
      </c>
      <c r="D203" s="31" t="s">
        <v>1263</v>
      </c>
      <c r="E203" s="45" t="s">
        <v>1265</v>
      </c>
      <c r="F203" s="32">
        <v>6090150</v>
      </c>
      <c r="G203" s="32">
        <v>12159818</v>
      </c>
      <c r="H203" s="32">
        <v>25040687.859999999</v>
      </c>
      <c r="I203" s="33"/>
      <c r="J203" s="32"/>
      <c r="K203" s="32">
        <f t="shared" si="3"/>
        <v>-12880869.859999999</v>
      </c>
      <c r="L203" s="50" t="s">
        <v>1312</v>
      </c>
      <c r="M203" s="26" t="s">
        <v>1320</v>
      </c>
      <c r="N203" s="26" t="s">
        <v>1321</v>
      </c>
      <c r="O203" s="26">
        <v>492200</v>
      </c>
    </row>
    <row r="204" spans="1:15" hidden="1" x14ac:dyDescent="0.3">
      <c r="A204" s="28">
        <v>8470530</v>
      </c>
      <c r="B204" s="29" t="s">
        <v>367</v>
      </c>
      <c r="C204" s="30">
        <v>420310</v>
      </c>
      <c r="D204" s="31" t="s">
        <v>1307</v>
      </c>
      <c r="E204" s="45" t="s">
        <v>942</v>
      </c>
      <c r="F204" s="32">
        <v>2974196</v>
      </c>
      <c r="G204" s="32">
        <v>3551324</v>
      </c>
      <c r="H204" s="32">
        <v>4940773.51</v>
      </c>
      <c r="I204" s="33"/>
      <c r="J204" s="32"/>
      <c r="K204" s="32">
        <f t="shared" si="3"/>
        <v>-1389449.5099999998</v>
      </c>
      <c r="L204" s="50" t="s">
        <v>1312</v>
      </c>
      <c r="M204" s="26" t="s">
        <v>1320</v>
      </c>
      <c r="N204" s="26" t="s">
        <v>1321</v>
      </c>
      <c r="O204" s="26" t="e">
        <v>#N/A</v>
      </c>
    </row>
    <row r="205" spans="1:15" hidden="1" x14ac:dyDescent="0.3">
      <c r="A205" s="28">
        <v>8470530</v>
      </c>
      <c r="B205" s="29" t="s">
        <v>367</v>
      </c>
      <c r="C205" s="30">
        <v>421600</v>
      </c>
      <c r="D205" s="31" t="s">
        <v>925</v>
      </c>
      <c r="E205" s="45" t="s">
        <v>948</v>
      </c>
      <c r="F205" s="32">
        <v>2070129</v>
      </c>
      <c r="G205" s="32">
        <v>2818429</v>
      </c>
      <c r="H205" s="32">
        <v>3976041.33</v>
      </c>
      <c r="I205" s="33"/>
      <c r="J205" s="32"/>
      <c r="K205" s="32">
        <f t="shared" si="3"/>
        <v>-1157612.33</v>
      </c>
      <c r="L205" s="50" t="s">
        <v>1312</v>
      </c>
      <c r="M205" s="26" t="s">
        <v>1320</v>
      </c>
      <c r="N205" s="26" t="s">
        <v>1321</v>
      </c>
      <c r="O205" s="26" t="e">
        <v>#N/A</v>
      </c>
    </row>
    <row r="206" spans="1:15" hidden="1" x14ac:dyDescent="0.3">
      <c r="A206" s="28">
        <v>8470530</v>
      </c>
      <c r="B206" s="29" t="s">
        <v>367</v>
      </c>
      <c r="C206" s="30">
        <v>421600</v>
      </c>
      <c r="D206" s="31" t="s">
        <v>925</v>
      </c>
      <c r="E206" s="45" t="s">
        <v>950</v>
      </c>
      <c r="F206" s="32">
        <v>2599344</v>
      </c>
      <c r="G206" s="32">
        <v>2596024</v>
      </c>
      <c r="H206" s="32">
        <v>3499526.5</v>
      </c>
      <c r="I206" s="33"/>
      <c r="J206" s="32"/>
      <c r="K206" s="32">
        <f t="shared" si="3"/>
        <v>-903502.5</v>
      </c>
      <c r="L206" s="50" t="s">
        <v>1312</v>
      </c>
      <c r="M206" s="26" t="s">
        <v>1320</v>
      </c>
      <c r="N206" s="26" t="s">
        <v>1321</v>
      </c>
      <c r="O206" s="26" t="e">
        <v>#N/A</v>
      </c>
    </row>
    <row r="207" spans="1:15" hidden="1" x14ac:dyDescent="0.3">
      <c r="A207" s="28">
        <v>8470530</v>
      </c>
      <c r="B207" s="29" t="s">
        <v>367</v>
      </c>
      <c r="C207" s="30">
        <v>428111</v>
      </c>
      <c r="D207" s="31" t="s">
        <v>974</v>
      </c>
      <c r="E207" s="45" t="s">
        <v>977</v>
      </c>
      <c r="F207" s="32">
        <v>3058446</v>
      </c>
      <c r="G207" s="32">
        <v>3198446</v>
      </c>
      <c r="H207" s="32">
        <v>3847536.23</v>
      </c>
      <c r="I207" s="33"/>
      <c r="J207" s="32"/>
      <c r="K207" s="32">
        <f t="shared" si="3"/>
        <v>-649090.23</v>
      </c>
      <c r="L207" s="50" t="s">
        <v>1312</v>
      </c>
      <c r="M207" s="26" t="s">
        <v>1320</v>
      </c>
      <c r="N207" s="26" t="s">
        <v>1321</v>
      </c>
      <c r="O207" s="26" t="e">
        <v>#N/A</v>
      </c>
    </row>
    <row r="208" spans="1:15" hidden="1" x14ac:dyDescent="0.3">
      <c r="A208" s="28">
        <v>8470530</v>
      </c>
      <c r="B208" s="29" t="s">
        <v>367</v>
      </c>
      <c r="C208" s="30">
        <v>432120</v>
      </c>
      <c r="D208" s="31" t="s">
        <v>994</v>
      </c>
      <c r="E208" s="45" t="s">
        <v>999</v>
      </c>
      <c r="F208" s="32">
        <v>4644901</v>
      </c>
      <c r="G208" s="32">
        <v>2443146</v>
      </c>
      <c r="H208" s="32">
        <v>2914112.1</v>
      </c>
      <c r="I208" s="33"/>
      <c r="J208" s="32"/>
      <c r="K208" s="32">
        <f t="shared" si="3"/>
        <v>-470966.10000000009</v>
      </c>
      <c r="L208" s="50" t="s">
        <v>1312</v>
      </c>
      <c r="M208" s="26" t="s">
        <v>1320</v>
      </c>
      <c r="N208" s="26" t="s">
        <v>1321</v>
      </c>
      <c r="O208" s="26" t="e">
        <v>#N/A</v>
      </c>
    </row>
    <row r="209" spans="1:15" hidden="1" x14ac:dyDescent="0.3">
      <c r="A209" s="28">
        <v>8470530</v>
      </c>
      <c r="B209" s="29" t="s">
        <v>367</v>
      </c>
      <c r="C209" s="30">
        <v>436110</v>
      </c>
      <c r="D209" s="31" t="s">
        <v>708</v>
      </c>
      <c r="E209" s="45" t="s">
        <v>1017</v>
      </c>
      <c r="F209" s="32">
        <v>35780</v>
      </c>
      <c r="G209" s="32">
        <v>245780</v>
      </c>
      <c r="H209" s="32">
        <v>299549.53000000003</v>
      </c>
      <c r="I209" s="33"/>
      <c r="J209" s="32"/>
      <c r="K209" s="32">
        <f t="shared" si="3"/>
        <v>-53769.530000000028</v>
      </c>
      <c r="L209" s="50" t="s">
        <v>1312</v>
      </c>
      <c r="M209" s="26" t="s">
        <v>1320</v>
      </c>
      <c r="N209" s="26" t="s">
        <v>1321</v>
      </c>
      <c r="O209" s="26" t="e">
        <v>#N/A</v>
      </c>
    </row>
    <row r="210" spans="1:15" hidden="1" x14ac:dyDescent="0.3">
      <c r="A210" s="28">
        <v>8470530</v>
      </c>
      <c r="B210" s="29" t="s">
        <v>367</v>
      </c>
      <c r="C210" s="30">
        <v>436110</v>
      </c>
      <c r="D210" s="31" t="s">
        <v>708</v>
      </c>
      <c r="E210" s="45" t="s">
        <v>1018</v>
      </c>
      <c r="F210" s="32">
        <v>13608</v>
      </c>
      <c r="G210" s="32">
        <v>73608</v>
      </c>
      <c r="H210" s="32">
        <v>94794.3</v>
      </c>
      <c r="I210" s="33"/>
      <c r="J210" s="32"/>
      <c r="K210" s="32">
        <f t="shared" si="3"/>
        <v>-21186.300000000003</v>
      </c>
      <c r="L210" s="50" t="s">
        <v>1312</v>
      </c>
      <c r="M210" s="26" t="s">
        <v>1320</v>
      </c>
      <c r="N210" s="26" t="s">
        <v>1321</v>
      </c>
      <c r="O210" s="26" t="e">
        <v>#N/A</v>
      </c>
    </row>
    <row r="211" spans="1:15" hidden="1" x14ac:dyDescent="0.3">
      <c r="A211" s="28">
        <v>8470530</v>
      </c>
      <c r="B211" s="29" t="s">
        <v>367</v>
      </c>
      <c r="C211" s="30">
        <v>430330</v>
      </c>
      <c r="D211" s="31" t="s">
        <v>990</v>
      </c>
      <c r="E211" s="45" t="s">
        <v>991</v>
      </c>
      <c r="F211" s="32">
        <v>0</v>
      </c>
      <c r="G211" s="32">
        <v>-20000</v>
      </c>
      <c r="H211" s="32">
        <v>7.2759576141834308E-12</v>
      </c>
      <c r="I211" s="33"/>
      <c r="J211" s="32"/>
      <c r="K211" s="32">
        <f t="shared" si="3"/>
        <v>-20000.000000000007</v>
      </c>
      <c r="L211" s="50" t="s">
        <v>1312</v>
      </c>
      <c r="M211" s="26" t="s">
        <v>1320</v>
      </c>
      <c r="N211" s="26" t="s">
        <v>1321</v>
      </c>
      <c r="O211" s="26" t="e">
        <v>#N/A</v>
      </c>
    </row>
    <row r="212" spans="1:15" hidden="1" x14ac:dyDescent="0.3">
      <c r="A212" s="28">
        <v>8470530</v>
      </c>
      <c r="B212" s="29" t="s">
        <v>367</v>
      </c>
      <c r="C212" s="30">
        <v>429900</v>
      </c>
      <c r="D212" s="31" t="s">
        <v>987</v>
      </c>
      <c r="E212" s="45" t="s">
        <v>988</v>
      </c>
      <c r="F212" s="32">
        <v>138875</v>
      </c>
      <c r="G212" s="32">
        <v>138875</v>
      </c>
      <c r="H212" s="32">
        <v>155101</v>
      </c>
      <c r="I212" s="33"/>
      <c r="J212" s="32"/>
      <c r="K212" s="32">
        <f t="shared" si="3"/>
        <v>-16226</v>
      </c>
      <c r="L212" s="50" t="s">
        <v>1312</v>
      </c>
      <c r="M212" s="26" t="s">
        <v>1320</v>
      </c>
      <c r="N212" s="26" t="s">
        <v>1321</v>
      </c>
      <c r="O212" s="26" t="e">
        <v>#N/A</v>
      </c>
    </row>
    <row r="213" spans="1:15" hidden="1" x14ac:dyDescent="0.3">
      <c r="A213" s="28">
        <v>8470530</v>
      </c>
      <c r="B213" s="29" t="s">
        <v>367</v>
      </c>
      <c r="C213" s="30">
        <v>420310</v>
      </c>
      <c r="D213" s="31" t="s">
        <v>1307</v>
      </c>
      <c r="E213" s="45" t="s">
        <v>941</v>
      </c>
      <c r="F213" s="32">
        <v>237882</v>
      </c>
      <c r="G213" s="32">
        <v>0</v>
      </c>
      <c r="H213" s="32">
        <v>0</v>
      </c>
      <c r="I213" s="33"/>
      <c r="J213" s="32"/>
      <c r="K213" s="32">
        <f t="shared" si="3"/>
        <v>0</v>
      </c>
      <c r="L213" s="50" t="s">
        <v>1312</v>
      </c>
      <c r="M213" s="26" t="s">
        <v>1320</v>
      </c>
      <c r="N213" s="26" t="s">
        <v>1321</v>
      </c>
      <c r="O213" s="26" t="e">
        <v>#N/A</v>
      </c>
    </row>
    <row r="214" spans="1:15" hidden="1" x14ac:dyDescent="0.3">
      <c r="A214" s="28">
        <v>8470530</v>
      </c>
      <c r="B214" s="29" t="s">
        <v>367</v>
      </c>
      <c r="C214" s="30">
        <v>420310</v>
      </c>
      <c r="D214" s="31" t="s">
        <v>1307</v>
      </c>
      <c r="E214" s="45" t="s">
        <v>943</v>
      </c>
      <c r="F214" s="32">
        <v>710000</v>
      </c>
      <c r="G214" s="32">
        <v>0</v>
      </c>
      <c r="H214" s="32">
        <v>0</v>
      </c>
      <c r="I214" s="33"/>
      <c r="J214" s="32"/>
      <c r="K214" s="32">
        <f t="shared" si="3"/>
        <v>0</v>
      </c>
      <c r="L214" s="50" t="s">
        <v>1312</v>
      </c>
      <c r="M214" s="26" t="s">
        <v>1320</v>
      </c>
      <c r="N214" s="26" t="s">
        <v>1321</v>
      </c>
      <c r="O214" s="26" t="e">
        <v>#N/A</v>
      </c>
    </row>
    <row r="215" spans="1:15" hidden="1" x14ac:dyDescent="0.3">
      <c r="A215" s="28">
        <v>8470530</v>
      </c>
      <c r="B215" s="29" t="s">
        <v>367</v>
      </c>
      <c r="C215" s="30">
        <v>428200</v>
      </c>
      <c r="D215" s="31" t="s">
        <v>935</v>
      </c>
      <c r="E215" s="45" t="s">
        <v>985</v>
      </c>
      <c r="F215" s="32"/>
      <c r="G215" s="32"/>
      <c r="H215" s="32">
        <v>0</v>
      </c>
      <c r="I215" s="33"/>
      <c r="J215" s="32"/>
      <c r="K215" s="32">
        <f t="shared" si="3"/>
        <v>0</v>
      </c>
      <c r="L215" s="50" t="s">
        <v>1312</v>
      </c>
      <c r="M215" s="26" t="s">
        <v>1320</v>
      </c>
      <c r="N215" s="26" t="s">
        <v>1321</v>
      </c>
      <c r="O215" s="26" t="e">
        <v>#N/A</v>
      </c>
    </row>
    <row r="216" spans="1:15" hidden="1" x14ac:dyDescent="0.3">
      <c r="A216" s="28">
        <v>8470530</v>
      </c>
      <c r="B216" s="29" t="s">
        <v>367</v>
      </c>
      <c r="C216" s="30">
        <v>432120</v>
      </c>
      <c r="D216" s="31" t="s">
        <v>994</v>
      </c>
      <c r="E216" s="45" t="s">
        <v>998</v>
      </c>
      <c r="F216" s="32"/>
      <c r="G216" s="32"/>
      <c r="H216" s="32">
        <v>0</v>
      </c>
      <c r="I216" s="33"/>
      <c r="J216" s="32"/>
      <c r="K216" s="32">
        <f t="shared" si="3"/>
        <v>0</v>
      </c>
      <c r="L216" s="50" t="s">
        <v>1312</v>
      </c>
      <c r="M216" s="26" t="s">
        <v>1320</v>
      </c>
      <c r="N216" s="26" t="s">
        <v>1321</v>
      </c>
      <c r="O216" s="26" t="e">
        <v>#N/A</v>
      </c>
    </row>
    <row r="217" spans="1:15" hidden="1" x14ac:dyDescent="0.3">
      <c r="A217" s="28">
        <v>8470530</v>
      </c>
      <c r="B217" s="29" t="s">
        <v>367</v>
      </c>
      <c r="C217" s="30">
        <v>432120</v>
      </c>
      <c r="D217" s="31" t="s">
        <v>994</v>
      </c>
      <c r="E217" s="45" t="s">
        <v>1000</v>
      </c>
      <c r="F217" s="32">
        <v>200000</v>
      </c>
      <c r="G217" s="32">
        <v>8580</v>
      </c>
      <c r="H217" s="32">
        <v>8580</v>
      </c>
      <c r="I217" s="33"/>
      <c r="J217" s="32"/>
      <c r="K217" s="32">
        <f t="shared" si="3"/>
        <v>0</v>
      </c>
      <c r="L217" s="50" t="s">
        <v>1312</v>
      </c>
      <c r="M217" s="26" t="s">
        <v>1320</v>
      </c>
      <c r="N217" s="26" t="s">
        <v>1321</v>
      </c>
      <c r="O217" s="26" t="e">
        <v>#N/A</v>
      </c>
    </row>
    <row r="218" spans="1:15" hidden="1" x14ac:dyDescent="0.3">
      <c r="A218" s="28">
        <v>8470530</v>
      </c>
      <c r="B218" s="29" t="s">
        <v>367</v>
      </c>
      <c r="C218" s="30">
        <v>432540</v>
      </c>
      <c r="D218" s="31" t="s">
        <v>1008</v>
      </c>
      <c r="E218" s="45" t="s">
        <v>1009</v>
      </c>
      <c r="F218" s="32">
        <v>0</v>
      </c>
      <c r="G218" s="32">
        <v>0</v>
      </c>
      <c r="H218" s="32">
        <v>0</v>
      </c>
      <c r="I218" s="33"/>
      <c r="J218" s="32"/>
      <c r="K218" s="32">
        <f t="shared" si="3"/>
        <v>0</v>
      </c>
      <c r="L218" s="50" t="s">
        <v>1312</v>
      </c>
      <c r="M218" s="26" t="s">
        <v>1320</v>
      </c>
      <c r="N218" s="26" t="s">
        <v>1321</v>
      </c>
      <c r="O218" s="26" t="e">
        <v>#N/A</v>
      </c>
    </row>
    <row r="219" spans="1:15" hidden="1" x14ac:dyDescent="0.3">
      <c r="A219" s="28">
        <v>8470530</v>
      </c>
      <c r="B219" s="29" t="s">
        <v>367</v>
      </c>
      <c r="C219" s="30">
        <v>432690</v>
      </c>
      <c r="D219" s="31" t="s">
        <v>780</v>
      </c>
      <c r="E219" s="45" t="s">
        <v>1012</v>
      </c>
      <c r="F219" s="32"/>
      <c r="G219" s="32"/>
      <c r="H219" s="32">
        <v>0</v>
      </c>
      <c r="I219" s="33"/>
      <c r="J219" s="32"/>
      <c r="K219" s="32">
        <f t="shared" si="3"/>
        <v>0</v>
      </c>
      <c r="L219" s="50" t="s">
        <v>1312</v>
      </c>
      <c r="M219" s="26" t="s">
        <v>1320</v>
      </c>
      <c r="N219" s="26" t="s">
        <v>1321</v>
      </c>
      <c r="O219" s="26" t="e">
        <v>#N/A</v>
      </c>
    </row>
    <row r="220" spans="1:15" hidden="1" x14ac:dyDescent="0.3">
      <c r="A220" s="28">
        <v>8470530</v>
      </c>
      <c r="B220" s="29" t="s">
        <v>367</v>
      </c>
      <c r="C220" s="30">
        <v>436110</v>
      </c>
      <c r="D220" s="31" t="s">
        <v>708</v>
      </c>
      <c r="E220" s="45" t="s">
        <v>1016</v>
      </c>
      <c r="F220" s="32">
        <v>0</v>
      </c>
      <c r="G220" s="32">
        <v>0</v>
      </c>
      <c r="H220" s="32">
        <v>0</v>
      </c>
      <c r="I220" s="33"/>
      <c r="J220" s="32"/>
      <c r="K220" s="32">
        <f t="shared" si="3"/>
        <v>0</v>
      </c>
      <c r="L220" s="50" t="s">
        <v>1312</v>
      </c>
      <c r="M220" s="26" t="s">
        <v>1320</v>
      </c>
      <c r="N220" s="26" t="s">
        <v>1321</v>
      </c>
      <c r="O220" s="26" t="e">
        <v>#N/A</v>
      </c>
    </row>
    <row r="221" spans="1:15" hidden="1" x14ac:dyDescent="0.3">
      <c r="A221" s="28">
        <v>8470530</v>
      </c>
      <c r="B221" s="29" t="s">
        <v>367</v>
      </c>
      <c r="C221" s="30">
        <v>492200</v>
      </c>
      <c r="D221" s="31" t="s">
        <v>1263</v>
      </c>
      <c r="E221" s="45" t="s">
        <v>1264</v>
      </c>
      <c r="F221" s="32">
        <v>7523465</v>
      </c>
      <c r="G221" s="32">
        <v>0</v>
      </c>
      <c r="H221" s="32">
        <v>0</v>
      </c>
      <c r="I221" s="33"/>
      <c r="J221" s="32"/>
      <c r="K221" s="32">
        <f t="shared" si="3"/>
        <v>0</v>
      </c>
      <c r="L221" s="50" t="s">
        <v>1312</v>
      </c>
      <c r="M221" s="26" t="s">
        <v>1320</v>
      </c>
      <c r="N221" s="26" t="s">
        <v>1321</v>
      </c>
      <c r="O221" s="26">
        <v>492200</v>
      </c>
    </row>
    <row r="222" spans="1:15" hidden="1" x14ac:dyDescent="0.3">
      <c r="A222" s="28">
        <v>8470530</v>
      </c>
      <c r="B222" s="29" t="s">
        <v>367</v>
      </c>
      <c r="C222" s="30">
        <v>492200</v>
      </c>
      <c r="D222" s="31" t="s">
        <v>1263</v>
      </c>
      <c r="E222" s="45" t="s">
        <v>1268</v>
      </c>
      <c r="F222" s="32"/>
      <c r="G222" s="32"/>
      <c r="H222" s="32">
        <v>0</v>
      </c>
      <c r="I222" s="33"/>
      <c r="J222" s="32"/>
      <c r="K222" s="32">
        <f t="shared" si="3"/>
        <v>0</v>
      </c>
      <c r="L222" s="50" t="s">
        <v>1312</v>
      </c>
      <c r="M222" s="26" t="s">
        <v>1320</v>
      </c>
      <c r="N222" s="26" t="s">
        <v>1321</v>
      </c>
      <c r="O222" s="26">
        <v>492200</v>
      </c>
    </row>
    <row r="223" spans="1:15" hidden="1" x14ac:dyDescent="0.3">
      <c r="A223" s="28">
        <v>8470530</v>
      </c>
      <c r="B223" s="29" t="s">
        <v>367</v>
      </c>
      <c r="C223" s="30">
        <v>421600</v>
      </c>
      <c r="D223" s="31" t="s">
        <v>925</v>
      </c>
      <c r="E223" s="45" t="s">
        <v>951</v>
      </c>
      <c r="F223" s="32">
        <v>872780</v>
      </c>
      <c r="G223" s="32">
        <v>843400</v>
      </c>
      <c r="H223" s="32">
        <v>843396.09</v>
      </c>
      <c r="I223" s="33"/>
      <c r="J223" s="32"/>
      <c r="K223" s="32">
        <f t="shared" si="3"/>
        <v>3.9100000000325963</v>
      </c>
      <c r="L223" s="50" t="s">
        <v>1312</v>
      </c>
      <c r="M223" s="26" t="s">
        <v>1320</v>
      </c>
      <c r="N223" s="26" t="s">
        <v>1321</v>
      </c>
      <c r="O223" s="26" t="e">
        <v>#N/A</v>
      </c>
    </row>
    <row r="224" spans="1:15" hidden="1" x14ac:dyDescent="0.3">
      <c r="A224" s="28">
        <v>8470530</v>
      </c>
      <c r="B224" s="29" t="s">
        <v>367</v>
      </c>
      <c r="C224" s="30">
        <v>425510</v>
      </c>
      <c r="D224" s="31" t="s">
        <v>681</v>
      </c>
      <c r="E224" s="45" t="s">
        <v>955</v>
      </c>
      <c r="F224" s="32">
        <v>78</v>
      </c>
      <c r="G224" s="32">
        <v>78</v>
      </c>
      <c r="H224" s="32">
        <v>0</v>
      </c>
      <c r="I224" s="33"/>
      <c r="J224" s="32"/>
      <c r="K224" s="32">
        <f t="shared" si="3"/>
        <v>78</v>
      </c>
      <c r="L224" s="50" t="s">
        <v>1312</v>
      </c>
      <c r="M224" s="26" t="s">
        <v>1320</v>
      </c>
      <c r="N224" s="26" t="s">
        <v>1321</v>
      </c>
      <c r="O224" s="26" t="e">
        <v>#N/A</v>
      </c>
    </row>
    <row r="225" spans="1:15" hidden="1" x14ac:dyDescent="0.3">
      <c r="A225" s="28">
        <v>8470530</v>
      </c>
      <c r="B225" s="29" t="s">
        <v>367</v>
      </c>
      <c r="C225" s="30">
        <v>432540</v>
      </c>
      <c r="D225" s="31" t="s">
        <v>1008</v>
      </c>
      <c r="E225" s="45" t="s">
        <v>1011</v>
      </c>
      <c r="F225" s="32">
        <v>0</v>
      </c>
      <c r="G225" s="32">
        <v>3320</v>
      </c>
      <c r="H225" s="32">
        <v>3160</v>
      </c>
      <c r="I225" s="33"/>
      <c r="J225" s="32"/>
      <c r="K225" s="32">
        <f t="shared" si="3"/>
        <v>160</v>
      </c>
      <c r="L225" s="50" t="s">
        <v>1312</v>
      </c>
      <c r="M225" s="26" t="s">
        <v>1320</v>
      </c>
      <c r="N225" s="26" t="s">
        <v>1321</v>
      </c>
      <c r="O225" s="26" t="e">
        <v>#N/A</v>
      </c>
    </row>
    <row r="226" spans="1:15" hidden="1" x14ac:dyDescent="0.3">
      <c r="A226" s="28">
        <v>8470530</v>
      </c>
      <c r="B226" s="29" t="s">
        <v>367</v>
      </c>
      <c r="C226" s="30">
        <v>432170</v>
      </c>
      <c r="D226" s="31" t="s">
        <v>1002</v>
      </c>
      <c r="E226" s="45" t="s">
        <v>1003</v>
      </c>
      <c r="F226" s="32">
        <v>28558</v>
      </c>
      <c r="G226" s="32">
        <v>28558</v>
      </c>
      <c r="H226" s="32">
        <v>27198</v>
      </c>
      <c r="I226" s="33"/>
      <c r="J226" s="32"/>
      <c r="K226" s="32">
        <f t="shared" si="3"/>
        <v>1360</v>
      </c>
      <c r="L226" s="50" t="s">
        <v>1312</v>
      </c>
      <c r="M226" s="26" t="s">
        <v>1320</v>
      </c>
      <c r="N226" s="26" t="s">
        <v>1321</v>
      </c>
      <c r="O226" s="26" t="e">
        <v>#N/A</v>
      </c>
    </row>
    <row r="227" spans="1:15" hidden="1" x14ac:dyDescent="0.3">
      <c r="A227" s="28">
        <v>8470530</v>
      </c>
      <c r="B227" s="29" t="s">
        <v>367</v>
      </c>
      <c r="C227" s="30">
        <v>435740</v>
      </c>
      <c r="D227" s="31" t="s">
        <v>1014</v>
      </c>
      <c r="E227" s="45" t="s">
        <v>1015</v>
      </c>
      <c r="F227" s="32">
        <v>3000</v>
      </c>
      <c r="G227" s="32">
        <v>3000</v>
      </c>
      <c r="H227" s="32">
        <v>0</v>
      </c>
      <c r="I227" s="33"/>
      <c r="J227" s="32"/>
      <c r="K227" s="32">
        <f t="shared" si="3"/>
        <v>3000</v>
      </c>
      <c r="L227" s="50" t="s">
        <v>1312</v>
      </c>
      <c r="M227" s="26" t="s">
        <v>1320</v>
      </c>
      <c r="N227" s="26" t="s">
        <v>1321</v>
      </c>
      <c r="O227" s="26" t="e">
        <v>#N/A</v>
      </c>
    </row>
    <row r="228" spans="1:15" hidden="1" x14ac:dyDescent="0.3">
      <c r="A228" s="28">
        <v>8470530</v>
      </c>
      <c r="B228" s="29" t="s">
        <v>367</v>
      </c>
      <c r="C228" s="30">
        <v>426210</v>
      </c>
      <c r="D228" s="31" t="s">
        <v>957</v>
      </c>
      <c r="E228" s="45" t="s">
        <v>958</v>
      </c>
      <c r="F228" s="32">
        <v>6221</v>
      </c>
      <c r="G228" s="32">
        <v>6221</v>
      </c>
      <c r="H228" s="32">
        <v>2826</v>
      </c>
      <c r="I228" s="33"/>
      <c r="J228" s="32"/>
      <c r="K228" s="32">
        <f t="shared" si="3"/>
        <v>3395</v>
      </c>
      <c r="L228" s="50" t="s">
        <v>1312</v>
      </c>
      <c r="M228" s="26" t="s">
        <v>1320</v>
      </c>
      <c r="N228" s="26" t="s">
        <v>1321</v>
      </c>
      <c r="O228" s="26" t="e">
        <v>#N/A</v>
      </c>
    </row>
    <row r="229" spans="1:15" hidden="1" x14ac:dyDescent="0.3">
      <c r="A229" s="28">
        <v>8470530</v>
      </c>
      <c r="B229" s="29" t="s">
        <v>367</v>
      </c>
      <c r="C229" s="30">
        <v>430330</v>
      </c>
      <c r="D229" s="31" t="s">
        <v>990</v>
      </c>
      <c r="E229" s="45" t="s">
        <v>992</v>
      </c>
      <c r="F229" s="32"/>
      <c r="G229" s="32"/>
      <c r="H229" s="32">
        <v>-3600</v>
      </c>
      <c r="I229" s="33"/>
      <c r="J229" s="32"/>
      <c r="K229" s="32">
        <f t="shared" si="3"/>
        <v>3600</v>
      </c>
      <c r="L229" s="50" t="s">
        <v>1312</v>
      </c>
      <c r="M229" s="26" t="s">
        <v>1320</v>
      </c>
      <c r="N229" s="26" t="s">
        <v>1321</v>
      </c>
      <c r="O229" s="26" t="e">
        <v>#N/A</v>
      </c>
    </row>
    <row r="230" spans="1:15" hidden="1" x14ac:dyDescent="0.3">
      <c r="A230" s="28">
        <v>8470530</v>
      </c>
      <c r="B230" s="29" t="s">
        <v>367</v>
      </c>
      <c r="C230" s="30">
        <v>432540</v>
      </c>
      <c r="D230" s="31" t="s">
        <v>1008</v>
      </c>
      <c r="E230" s="45" t="s">
        <v>1010</v>
      </c>
      <c r="F230" s="32">
        <v>10000</v>
      </c>
      <c r="G230" s="32">
        <v>19000</v>
      </c>
      <c r="H230" s="32">
        <v>14584.21</v>
      </c>
      <c r="I230" s="33"/>
      <c r="J230" s="32"/>
      <c r="K230" s="32">
        <f t="shared" si="3"/>
        <v>4415.7900000000009</v>
      </c>
      <c r="L230" s="50" t="s">
        <v>1312</v>
      </c>
      <c r="M230" s="26" t="s">
        <v>1320</v>
      </c>
      <c r="N230" s="26" t="s">
        <v>1321</v>
      </c>
      <c r="O230" s="26" t="e">
        <v>#N/A</v>
      </c>
    </row>
    <row r="231" spans="1:15" hidden="1" x14ac:dyDescent="0.3">
      <c r="A231" s="28">
        <v>8470530</v>
      </c>
      <c r="B231" s="29" t="s">
        <v>367</v>
      </c>
      <c r="C231" s="30">
        <v>432320</v>
      </c>
      <c r="D231" s="31" t="s">
        <v>1005</v>
      </c>
      <c r="E231" s="45" t="s">
        <v>1006</v>
      </c>
      <c r="F231" s="32">
        <v>5000</v>
      </c>
      <c r="G231" s="32">
        <v>5000</v>
      </c>
      <c r="H231" s="32">
        <v>-1570.38</v>
      </c>
      <c r="I231" s="33"/>
      <c r="J231" s="32"/>
      <c r="K231" s="32">
        <f t="shared" si="3"/>
        <v>6570.38</v>
      </c>
      <c r="L231" s="50" t="s">
        <v>1312</v>
      </c>
      <c r="M231" s="26" t="s">
        <v>1320</v>
      </c>
      <c r="N231" s="26" t="s">
        <v>1321</v>
      </c>
      <c r="O231" s="26" t="e">
        <v>#N/A</v>
      </c>
    </row>
    <row r="232" spans="1:15" hidden="1" x14ac:dyDescent="0.3">
      <c r="A232" s="28">
        <v>8470530</v>
      </c>
      <c r="B232" s="29" t="s">
        <v>367</v>
      </c>
      <c r="C232" s="30">
        <v>426220</v>
      </c>
      <c r="D232" s="31" t="s">
        <v>960</v>
      </c>
      <c r="E232" s="45" t="s">
        <v>962</v>
      </c>
      <c r="F232" s="32">
        <v>0</v>
      </c>
      <c r="G232" s="32">
        <v>8362</v>
      </c>
      <c r="H232" s="32">
        <v>0</v>
      </c>
      <c r="I232" s="33"/>
      <c r="J232" s="32"/>
      <c r="K232" s="32">
        <f t="shared" si="3"/>
        <v>8362</v>
      </c>
      <c r="L232" s="50" t="s">
        <v>1312</v>
      </c>
      <c r="M232" s="26" t="s">
        <v>1320</v>
      </c>
      <c r="N232" s="26" t="s">
        <v>1321</v>
      </c>
      <c r="O232" s="26" t="e">
        <v>#N/A</v>
      </c>
    </row>
    <row r="233" spans="1:15" hidden="1" x14ac:dyDescent="0.3">
      <c r="A233" s="28">
        <v>8470530</v>
      </c>
      <c r="B233" s="29" t="s">
        <v>367</v>
      </c>
      <c r="C233" s="30">
        <v>426900</v>
      </c>
      <c r="D233" s="31" t="s">
        <v>971</v>
      </c>
      <c r="E233" s="45" t="s">
        <v>972</v>
      </c>
      <c r="F233" s="32">
        <v>30000</v>
      </c>
      <c r="G233" s="32">
        <v>30000</v>
      </c>
      <c r="H233" s="32">
        <v>17870.55</v>
      </c>
      <c r="I233" s="33"/>
      <c r="J233" s="32"/>
      <c r="K233" s="32">
        <f t="shared" si="3"/>
        <v>12129.45</v>
      </c>
      <c r="L233" s="50" t="s">
        <v>1312</v>
      </c>
      <c r="M233" s="26" t="s">
        <v>1320</v>
      </c>
      <c r="N233" s="26" t="s">
        <v>1321</v>
      </c>
      <c r="O233" s="26" t="e">
        <v>#N/A</v>
      </c>
    </row>
    <row r="234" spans="1:15" hidden="1" x14ac:dyDescent="0.3">
      <c r="A234" s="28">
        <v>8470530</v>
      </c>
      <c r="B234" s="29" t="s">
        <v>367</v>
      </c>
      <c r="C234" s="30">
        <v>426800</v>
      </c>
      <c r="D234" s="31" t="s">
        <v>968</v>
      </c>
      <c r="E234" s="45" t="s">
        <v>969</v>
      </c>
      <c r="F234" s="32">
        <v>20000</v>
      </c>
      <c r="G234" s="32">
        <v>20000</v>
      </c>
      <c r="H234" s="32">
        <v>6245</v>
      </c>
      <c r="I234" s="33"/>
      <c r="J234" s="32"/>
      <c r="K234" s="32">
        <f t="shared" si="3"/>
        <v>13755</v>
      </c>
      <c r="L234" s="50" t="s">
        <v>1312</v>
      </c>
      <c r="M234" s="26" t="s">
        <v>1320</v>
      </c>
      <c r="N234" s="26" t="s">
        <v>1321</v>
      </c>
      <c r="O234" s="26" t="e">
        <v>#N/A</v>
      </c>
    </row>
    <row r="235" spans="1:15" hidden="1" x14ac:dyDescent="0.3">
      <c r="A235" s="28">
        <v>8470530</v>
      </c>
      <c r="B235" s="29" t="s">
        <v>367</v>
      </c>
      <c r="C235" s="30">
        <v>436220</v>
      </c>
      <c r="D235" s="31" t="s">
        <v>1020</v>
      </c>
      <c r="E235" s="45" t="s">
        <v>1021</v>
      </c>
      <c r="F235" s="32">
        <v>0</v>
      </c>
      <c r="G235" s="32">
        <v>246360</v>
      </c>
      <c r="H235" s="32">
        <v>222400</v>
      </c>
      <c r="I235" s="33"/>
      <c r="J235" s="32"/>
      <c r="K235" s="32">
        <f t="shared" si="3"/>
        <v>23960</v>
      </c>
      <c r="L235" s="50" t="s">
        <v>1312</v>
      </c>
      <c r="M235" s="26" t="s">
        <v>1320</v>
      </c>
      <c r="N235" s="26" t="s">
        <v>1321</v>
      </c>
      <c r="O235" s="26" t="e">
        <v>#N/A</v>
      </c>
    </row>
    <row r="236" spans="1:15" hidden="1" x14ac:dyDescent="0.3">
      <c r="A236" s="28">
        <v>8470530</v>
      </c>
      <c r="B236" s="29" t="s">
        <v>367</v>
      </c>
      <c r="C236" s="30">
        <v>426220</v>
      </c>
      <c r="D236" s="31" t="s">
        <v>960</v>
      </c>
      <c r="E236" s="45" t="s">
        <v>963</v>
      </c>
      <c r="F236" s="32">
        <v>48801</v>
      </c>
      <c r="G236" s="32">
        <v>48801</v>
      </c>
      <c r="H236" s="32">
        <v>23713.63</v>
      </c>
      <c r="I236" s="33"/>
      <c r="J236" s="32"/>
      <c r="K236" s="32">
        <f t="shared" si="3"/>
        <v>25087.37</v>
      </c>
      <c r="L236" s="50" t="s">
        <v>1312</v>
      </c>
      <c r="M236" s="26" t="s">
        <v>1320</v>
      </c>
      <c r="N236" s="26" t="s">
        <v>1321</v>
      </c>
      <c r="O236" s="26" t="e">
        <v>#N/A</v>
      </c>
    </row>
    <row r="237" spans="1:15" hidden="1" x14ac:dyDescent="0.3">
      <c r="A237" s="28">
        <v>8470530</v>
      </c>
      <c r="B237" s="29" t="s">
        <v>367</v>
      </c>
      <c r="C237" s="30">
        <v>428111</v>
      </c>
      <c r="D237" s="31" t="s">
        <v>974</v>
      </c>
      <c r="E237" s="45" t="s">
        <v>975</v>
      </c>
      <c r="F237" s="32">
        <v>7349560</v>
      </c>
      <c r="G237" s="32">
        <v>7209560</v>
      </c>
      <c r="H237" s="32">
        <v>7180435.5099999998</v>
      </c>
      <c r="I237" s="33"/>
      <c r="J237" s="32"/>
      <c r="K237" s="32">
        <f t="shared" si="3"/>
        <v>29124.490000000224</v>
      </c>
      <c r="L237" s="50" t="s">
        <v>1312</v>
      </c>
      <c r="M237" s="26" t="s">
        <v>1320</v>
      </c>
      <c r="N237" s="26" t="s">
        <v>1321</v>
      </c>
      <c r="O237" s="26" t="e">
        <v>#N/A</v>
      </c>
    </row>
    <row r="238" spans="1:15" hidden="1" x14ac:dyDescent="0.3">
      <c r="A238" s="28">
        <v>8470530</v>
      </c>
      <c r="B238" s="29" t="s">
        <v>367</v>
      </c>
      <c r="C238" s="30">
        <v>495140</v>
      </c>
      <c r="D238" s="31" t="s">
        <v>1277</v>
      </c>
      <c r="E238" s="45" t="s">
        <v>1278</v>
      </c>
      <c r="F238" s="32">
        <v>51057</v>
      </c>
      <c r="G238" s="32">
        <v>51057</v>
      </c>
      <c r="H238" s="32">
        <v>18149.5</v>
      </c>
      <c r="I238" s="33"/>
      <c r="J238" s="32"/>
      <c r="K238" s="32">
        <f t="shared" si="3"/>
        <v>32907.5</v>
      </c>
      <c r="L238" s="50" t="s">
        <v>1312</v>
      </c>
      <c r="M238" s="26" t="s">
        <v>1320</v>
      </c>
      <c r="N238" s="26" t="s">
        <v>1321</v>
      </c>
      <c r="O238" s="26">
        <v>495140</v>
      </c>
    </row>
    <row r="239" spans="1:15" hidden="1" x14ac:dyDescent="0.3">
      <c r="A239" s="28">
        <v>8470530</v>
      </c>
      <c r="B239" s="29" t="s">
        <v>367</v>
      </c>
      <c r="C239" s="30">
        <v>492200</v>
      </c>
      <c r="D239" s="31" t="s">
        <v>1263</v>
      </c>
      <c r="E239" s="45" t="s">
        <v>1269</v>
      </c>
      <c r="F239" s="32">
        <v>38000</v>
      </c>
      <c r="G239" s="32">
        <v>38000</v>
      </c>
      <c r="H239" s="32">
        <v>0</v>
      </c>
      <c r="I239" s="33"/>
      <c r="J239" s="32"/>
      <c r="K239" s="32">
        <f t="shared" si="3"/>
        <v>38000</v>
      </c>
      <c r="L239" s="50" t="s">
        <v>1312</v>
      </c>
      <c r="M239" s="26" t="s">
        <v>1320</v>
      </c>
      <c r="N239" s="26" t="s">
        <v>1321</v>
      </c>
      <c r="O239" s="26">
        <v>492200</v>
      </c>
    </row>
    <row r="240" spans="1:15" hidden="1" x14ac:dyDescent="0.3">
      <c r="A240" s="28">
        <v>8470530</v>
      </c>
      <c r="B240" s="29" t="s">
        <v>367</v>
      </c>
      <c r="C240" s="30">
        <v>492610</v>
      </c>
      <c r="D240" s="31" t="s">
        <v>1272</v>
      </c>
      <c r="E240" s="45" t="s">
        <v>1275</v>
      </c>
      <c r="F240" s="32"/>
      <c r="G240" s="32"/>
      <c r="H240" s="32">
        <v>-41758.5</v>
      </c>
      <c r="I240" s="33"/>
      <c r="J240" s="32"/>
      <c r="K240" s="32">
        <f t="shared" si="3"/>
        <v>41758.5</v>
      </c>
      <c r="L240" s="50" t="s">
        <v>1312</v>
      </c>
      <c r="M240" s="26" t="s">
        <v>1320</v>
      </c>
      <c r="N240" s="26" t="s">
        <v>1321</v>
      </c>
      <c r="O240" s="26">
        <v>492610</v>
      </c>
    </row>
    <row r="241" spans="1:15" hidden="1" x14ac:dyDescent="0.3">
      <c r="A241" s="28">
        <v>8470530</v>
      </c>
      <c r="B241" s="29" t="s">
        <v>367</v>
      </c>
      <c r="C241" s="30">
        <v>426250</v>
      </c>
      <c r="D241" s="31" t="s">
        <v>965</v>
      </c>
      <c r="E241" s="45" t="s">
        <v>966</v>
      </c>
      <c r="F241" s="32">
        <v>50000</v>
      </c>
      <c r="G241" s="32">
        <v>50000</v>
      </c>
      <c r="H241" s="32">
        <v>4650.8100000000004</v>
      </c>
      <c r="I241" s="33"/>
      <c r="J241" s="32"/>
      <c r="K241" s="32">
        <f t="shared" si="3"/>
        <v>45349.19</v>
      </c>
      <c r="L241" s="50" t="s">
        <v>1312</v>
      </c>
      <c r="M241" s="26" t="s">
        <v>1320</v>
      </c>
      <c r="N241" s="26" t="s">
        <v>1321</v>
      </c>
      <c r="O241" s="26" t="e">
        <v>#N/A</v>
      </c>
    </row>
    <row r="242" spans="1:15" ht="39" hidden="1" x14ac:dyDescent="0.3">
      <c r="A242" s="28">
        <v>8470530</v>
      </c>
      <c r="B242" s="29" t="s">
        <v>367</v>
      </c>
      <c r="C242" s="30">
        <v>492610</v>
      </c>
      <c r="D242" s="31" t="s">
        <v>1272</v>
      </c>
      <c r="E242" s="45" t="s">
        <v>1274</v>
      </c>
      <c r="F242" s="32">
        <v>0</v>
      </c>
      <c r="G242" s="32">
        <v>200000</v>
      </c>
      <c r="H242" s="32">
        <v>142490</v>
      </c>
      <c r="I242" s="33"/>
      <c r="J242" s="32"/>
      <c r="K242" s="32">
        <f t="shared" si="3"/>
        <v>57510</v>
      </c>
      <c r="L242" s="47" t="s">
        <v>1333</v>
      </c>
      <c r="M242" s="26" t="s">
        <v>1320</v>
      </c>
      <c r="N242" s="26" t="s">
        <v>1321</v>
      </c>
      <c r="O242" s="26">
        <v>492610</v>
      </c>
    </row>
    <row r="243" spans="1:15" ht="26" hidden="1" x14ac:dyDescent="0.3">
      <c r="A243" s="28">
        <v>8470530</v>
      </c>
      <c r="B243" s="29" t="s">
        <v>367</v>
      </c>
      <c r="C243" s="30">
        <v>428112</v>
      </c>
      <c r="D243" s="31" t="s">
        <v>980</v>
      </c>
      <c r="E243" s="45" t="s">
        <v>981</v>
      </c>
      <c r="F243" s="32">
        <v>1153128</v>
      </c>
      <c r="G243" s="32">
        <v>1153128</v>
      </c>
      <c r="H243" s="32">
        <v>1089518.06</v>
      </c>
      <c r="I243" s="33"/>
      <c r="J243" s="32"/>
      <c r="K243" s="32">
        <f t="shared" si="3"/>
        <v>63609.939999999944</v>
      </c>
      <c r="L243" s="47" t="s">
        <v>1334</v>
      </c>
      <c r="M243" s="26" t="s">
        <v>1320</v>
      </c>
      <c r="N243" s="26" t="s">
        <v>1321</v>
      </c>
      <c r="O243" s="26" t="e">
        <v>#N/A</v>
      </c>
    </row>
    <row r="244" spans="1:15" ht="26" hidden="1" x14ac:dyDescent="0.3">
      <c r="A244" s="28">
        <v>8470530</v>
      </c>
      <c r="B244" s="29" t="s">
        <v>367</v>
      </c>
      <c r="C244" s="30">
        <v>432120</v>
      </c>
      <c r="D244" s="31" t="s">
        <v>994</v>
      </c>
      <c r="E244" s="45" t="s">
        <v>995</v>
      </c>
      <c r="F244" s="32">
        <v>209866</v>
      </c>
      <c r="G244" s="32">
        <v>504174</v>
      </c>
      <c r="H244" s="32">
        <v>424725.24</v>
      </c>
      <c r="I244" s="33"/>
      <c r="J244" s="32"/>
      <c r="K244" s="32">
        <f t="shared" si="3"/>
        <v>79448.760000000009</v>
      </c>
      <c r="L244" s="47" t="s">
        <v>1335</v>
      </c>
      <c r="M244" s="26" t="s">
        <v>1320</v>
      </c>
      <c r="N244" s="26" t="s">
        <v>1321</v>
      </c>
      <c r="O244" s="26" t="e">
        <v>#N/A</v>
      </c>
    </row>
    <row r="245" spans="1:15" ht="39" hidden="1" x14ac:dyDescent="0.3">
      <c r="A245" s="28">
        <v>8470530</v>
      </c>
      <c r="B245" s="29" t="s">
        <v>367</v>
      </c>
      <c r="C245" s="30">
        <v>492316</v>
      </c>
      <c r="D245" s="31" t="s">
        <v>777</v>
      </c>
      <c r="E245" s="45" t="s">
        <v>1270</v>
      </c>
      <c r="F245" s="32">
        <v>245879</v>
      </c>
      <c r="G245" s="32">
        <v>245879</v>
      </c>
      <c r="H245" s="32">
        <v>146450</v>
      </c>
      <c r="I245" s="33"/>
      <c r="J245" s="32"/>
      <c r="K245" s="32">
        <f t="shared" si="3"/>
        <v>99429</v>
      </c>
      <c r="L245" s="47" t="s">
        <v>1333</v>
      </c>
      <c r="M245" s="26" t="s">
        <v>1320</v>
      </c>
      <c r="N245" s="26" t="s">
        <v>1321</v>
      </c>
      <c r="O245" s="26">
        <v>492316</v>
      </c>
    </row>
    <row r="246" spans="1:15" ht="26" hidden="1" x14ac:dyDescent="0.3">
      <c r="A246" s="28">
        <v>8470530</v>
      </c>
      <c r="B246" s="29" t="s">
        <v>367</v>
      </c>
      <c r="C246" s="30">
        <v>428112</v>
      </c>
      <c r="D246" s="31" t="s">
        <v>980</v>
      </c>
      <c r="E246" s="45" t="s">
        <v>984</v>
      </c>
      <c r="F246" s="32">
        <v>153570</v>
      </c>
      <c r="G246" s="32">
        <v>153570</v>
      </c>
      <c r="H246" s="32">
        <v>0</v>
      </c>
      <c r="I246" s="33"/>
      <c r="J246" s="32"/>
      <c r="K246" s="32">
        <f t="shared" si="3"/>
        <v>153570</v>
      </c>
      <c r="L246" s="47" t="s">
        <v>1334</v>
      </c>
      <c r="M246" s="26" t="s">
        <v>1320</v>
      </c>
      <c r="N246" s="26" t="s">
        <v>1321</v>
      </c>
      <c r="O246" s="26" t="e">
        <v>#N/A</v>
      </c>
    </row>
    <row r="247" spans="1:15" ht="26" hidden="1" x14ac:dyDescent="0.3">
      <c r="A247" s="28">
        <v>8470530</v>
      </c>
      <c r="B247" s="29" t="s">
        <v>367</v>
      </c>
      <c r="C247" s="30">
        <v>428112</v>
      </c>
      <c r="D247" s="31" t="s">
        <v>980</v>
      </c>
      <c r="E247" s="45" t="s">
        <v>983</v>
      </c>
      <c r="F247" s="32">
        <v>1703132</v>
      </c>
      <c r="G247" s="32">
        <v>1703132</v>
      </c>
      <c r="H247" s="32">
        <v>1515252.2</v>
      </c>
      <c r="I247" s="33"/>
      <c r="J247" s="32"/>
      <c r="K247" s="32">
        <f t="shared" si="3"/>
        <v>187879.80000000005</v>
      </c>
      <c r="L247" s="47" t="s">
        <v>1334</v>
      </c>
      <c r="M247" s="26" t="s">
        <v>1320</v>
      </c>
      <c r="N247" s="26" t="s">
        <v>1321</v>
      </c>
      <c r="O247" s="26" t="e">
        <v>#N/A</v>
      </c>
    </row>
    <row r="248" spans="1:15" ht="26" hidden="1" x14ac:dyDescent="0.3">
      <c r="A248" s="28">
        <v>8470530</v>
      </c>
      <c r="B248" s="29" t="s">
        <v>367</v>
      </c>
      <c r="C248" s="30">
        <v>428111</v>
      </c>
      <c r="D248" s="31" t="s">
        <v>974</v>
      </c>
      <c r="E248" s="45" t="s">
        <v>978</v>
      </c>
      <c r="F248" s="32">
        <v>442627</v>
      </c>
      <c r="G248" s="32">
        <v>442627</v>
      </c>
      <c r="H248" s="32">
        <v>215086.31</v>
      </c>
      <c r="I248" s="33"/>
      <c r="J248" s="32"/>
      <c r="K248" s="32">
        <f t="shared" si="3"/>
        <v>227540.69</v>
      </c>
      <c r="L248" s="47" t="s">
        <v>1334</v>
      </c>
      <c r="M248" s="26" t="s">
        <v>1320</v>
      </c>
      <c r="N248" s="26" t="s">
        <v>1321</v>
      </c>
      <c r="O248" s="26" t="e">
        <v>#N/A</v>
      </c>
    </row>
    <row r="249" spans="1:15" hidden="1" x14ac:dyDescent="0.3">
      <c r="A249" s="28">
        <v>8470530</v>
      </c>
      <c r="B249" s="29" t="s">
        <v>367</v>
      </c>
      <c r="C249" s="30">
        <v>421000</v>
      </c>
      <c r="D249" s="31" t="s">
        <v>675</v>
      </c>
      <c r="E249" s="45" t="s">
        <v>944</v>
      </c>
      <c r="F249" s="32">
        <v>0</v>
      </c>
      <c r="G249" s="32">
        <v>350000</v>
      </c>
      <c r="H249" s="32">
        <v>0</v>
      </c>
      <c r="I249" s="33"/>
      <c r="J249" s="32"/>
      <c r="K249" s="32">
        <f t="shared" si="3"/>
        <v>350000</v>
      </c>
      <c r="L249" s="47" t="s">
        <v>1336</v>
      </c>
      <c r="M249" s="26" t="s">
        <v>1320</v>
      </c>
      <c r="N249" s="26" t="s">
        <v>1321</v>
      </c>
      <c r="O249" s="26" t="e">
        <v>#N/A</v>
      </c>
    </row>
    <row r="250" spans="1:15" hidden="1" x14ac:dyDescent="0.3">
      <c r="A250" s="28">
        <v>8470530</v>
      </c>
      <c r="B250" s="29" t="s">
        <v>367</v>
      </c>
      <c r="C250" s="30">
        <v>422900</v>
      </c>
      <c r="D250" s="31" t="s">
        <v>953</v>
      </c>
      <c r="E250" s="45" t="s">
        <v>954</v>
      </c>
      <c r="F250" s="32">
        <v>0</v>
      </c>
      <c r="G250" s="32">
        <v>350000</v>
      </c>
      <c r="H250" s="32">
        <v>0</v>
      </c>
      <c r="I250" s="33"/>
      <c r="J250" s="32"/>
      <c r="K250" s="32">
        <f t="shared" si="3"/>
        <v>350000</v>
      </c>
      <c r="L250" s="47" t="s">
        <v>1337</v>
      </c>
      <c r="M250" s="26" t="s">
        <v>1320</v>
      </c>
      <c r="N250" s="26" t="s">
        <v>1321</v>
      </c>
      <c r="O250" s="26" t="e">
        <v>#N/A</v>
      </c>
    </row>
    <row r="251" spans="1:15" hidden="1" x14ac:dyDescent="0.3">
      <c r="A251" s="28">
        <v>8470530</v>
      </c>
      <c r="B251" s="29" t="s">
        <v>367</v>
      </c>
      <c r="C251" s="30">
        <v>421600</v>
      </c>
      <c r="D251" s="31" t="s">
        <v>925</v>
      </c>
      <c r="E251" s="45" t="s">
        <v>949</v>
      </c>
      <c r="F251" s="32">
        <v>1483570</v>
      </c>
      <c r="G251" s="32">
        <v>1923458</v>
      </c>
      <c r="H251" s="32">
        <v>1516765.97</v>
      </c>
      <c r="I251" s="33"/>
      <c r="J251" s="32"/>
      <c r="K251" s="32">
        <f t="shared" si="3"/>
        <v>406692.03</v>
      </c>
      <c r="L251" s="47" t="s">
        <v>1338</v>
      </c>
      <c r="M251" s="26" t="s">
        <v>1320</v>
      </c>
      <c r="N251" s="26" t="s">
        <v>1321</v>
      </c>
      <c r="O251" s="26" t="e">
        <v>#N/A</v>
      </c>
    </row>
    <row r="252" spans="1:15" ht="26" hidden="1" x14ac:dyDescent="0.3">
      <c r="A252" s="28">
        <v>8470530</v>
      </c>
      <c r="B252" s="29" t="s">
        <v>367</v>
      </c>
      <c r="C252" s="30">
        <v>432120</v>
      </c>
      <c r="D252" s="31" t="s">
        <v>994</v>
      </c>
      <c r="E252" s="45" t="s">
        <v>997</v>
      </c>
      <c r="F252" s="32">
        <v>152708</v>
      </c>
      <c r="G252" s="32">
        <v>1052708</v>
      </c>
      <c r="H252" s="32">
        <v>493435.92</v>
      </c>
      <c r="I252" s="33"/>
      <c r="J252" s="32"/>
      <c r="K252" s="32">
        <f t="shared" si="3"/>
        <v>559272.08000000007</v>
      </c>
      <c r="L252" s="47" t="s">
        <v>1335</v>
      </c>
      <c r="M252" s="26" t="s">
        <v>1320</v>
      </c>
      <c r="N252" s="26" t="s">
        <v>1321</v>
      </c>
      <c r="O252" s="26" t="e">
        <v>#N/A</v>
      </c>
    </row>
    <row r="253" spans="1:15" hidden="1" x14ac:dyDescent="0.3">
      <c r="A253" s="28">
        <v>8470530</v>
      </c>
      <c r="B253" s="29" t="s">
        <v>367</v>
      </c>
      <c r="C253" s="30">
        <v>420310</v>
      </c>
      <c r="D253" s="31" t="s">
        <v>1307</v>
      </c>
      <c r="E253" s="45" t="s">
        <v>940</v>
      </c>
      <c r="F253" s="32">
        <v>3624891</v>
      </c>
      <c r="G253" s="32">
        <v>4505005</v>
      </c>
      <c r="H253" s="32">
        <v>3935286.72</v>
      </c>
      <c r="I253" s="33"/>
      <c r="J253" s="32"/>
      <c r="K253" s="32">
        <f t="shared" si="3"/>
        <v>569718.2799999998</v>
      </c>
      <c r="L253" s="47" t="s">
        <v>1338</v>
      </c>
      <c r="M253" s="26" t="s">
        <v>1320</v>
      </c>
      <c r="N253" s="26" t="s">
        <v>1321</v>
      </c>
      <c r="O253" s="26" t="e">
        <v>#N/A</v>
      </c>
    </row>
    <row r="254" spans="1:15" hidden="1" x14ac:dyDescent="0.3">
      <c r="A254" s="28">
        <v>8470530</v>
      </c>
      <c r="B254" s="29" t="s">
        <v>367</v>
      </c>
      <c r="C254" s="30">
        <v>426220</v>
      </c>
      <c r="D254" s="31" t="s">
        <v>960</v>
      </c>
      <c r="E254" s="45" t="s">
        <v>961</v>
      </c>
      <c r="F254" s="32">
        <v>1667782</v>
      </c>
      <c r="G254" s="32">
        <v>1603947</v>
      </c>
      <c r="H254" s="32">
        <v>960436.74</v>
      </c>
      <c r="I254" s="33"/>
      <c r="J254" s="32"/>
      <c r="K254" s="32">
        <f t="shared" si="3"/>
        <v>643510.26</v>
      </c>
      <c r="L254" s="47" t="s">
        <v>1339</v>
      </c>
      <c r="M254" s="26" t="s">
        <v>1320</v>
      </c>
      <c r="N254" s="26" t="s">
        <v>1321</v>
      </c>
      <c r="O254" s="26" t="e">
        <v>#N/A</v>
      </c>
    </row>
    <row r="255" spans="1:15" ht="26" hidden="1" x14ac:dyDescent="0.3">
      <c r="A255" s="28">
        <v>8470530</v>
      </c>
      <c r="B255" s="29" t="s">
        <v>367</v>
      </c>
      <c r="C255" s="30">
        <v>428112</v>
      </c>
      <c r="D255" s="31" t="s">
        <v>980</v>
      </c>
      <c r="E255" s="45" t="s">
        <v>982</v>
      </c>
      <c r="F255" s="32">
        <v>1654060</v>
      </c>
      <c r="G255" s="32">
        <v>1681399</v>
      </c>
      <c r="H255" s="32">
        <v>857985.93</v>
      </c>
      <c r="I255" s="33"/>
      <c r="J255" s="32"/>
      <c r="K255" s="32">
        <f t="shared" si="3"/>
        <v>823413.07</v>
      </c>
      <c r="L255" s="47" t="s">
        <v>1334</v>
      </c>
      <c r="M255" s="26" t="s">
        <v>1320</v>
      </c>
      <c r="N255" s="26" t="s">
        <v>1321</v>
      </c>
      <c r="O255" s="26" t="e">
        <v>#N/A</v>
      </c>
    </row>
    <row r="256" spans="1:15" ht="39" hidden="1" x14ac:dyDescent="0.3">
      <c r="A256" s="28">
        <v>8470530</v>
      </c>
      <c r="B256" s="29" t="s">
        <v>367</v>
      </c>
      <c r="C256" s="30">
        <v>492610</v>
      </c>
      <c r="D256" s="31" t="s">
        <v>1272</v>
      </c>
      <c r="E256" s="45" t="s">
        <v>1273</v>
      </c>
      <c r="F256" s="32">
        <v>4202925</v>
      </c>
      <c r="G256" s="32">
        <v>2456175</v>
      </c>
      <c r="H256" s="32">
        <v>1623493.7</v>
      </c>
      <c r="I256" s="33"/>
      <c r="J256" s="32"/>
      <c r="K256" s="32">
        <f t="shared" si="3"/>
        <v>832681.3</v>
      </c>
      <c r="L256" s="47" t="s">
        <v>1333</v>
      </c>
      <c r="M256" s="26" t="s">
        <v>1320</v>
      </c>
      <c r="N256" s="26" t="s">
        <v>1321</v>
      </c>
      <c r="O256" s="26">
        <v>492610</v>
      </c>
    </row>
    <row r="257" spans="1:15" ht="26" hidden="1" x14ac:dyDescent="0.3">
      <c r="A257" s="28">
        <v>8470530</v>
      </c>
      <c r="B257" s="29" t="s">
        <v>367</v>
      </c>
      <c r="C257" s="30">
        <v>421100</v>
      </c>
      <c r="D257" s="31" t="s">
        <v>946</v>
      </c>
      <c r="E257" s="45" t="s">
        <v>947</v>
      </c>
      <c r="F257" s="32">
        <v>863098</v>
      </c>
      <c r="G257" s="32">
        <v>863098</v>
      </c>
      <c r="H257" s="32">
        <v>-19783.55</v>
      </c>
      <c r="I257" s="33"/>
      <c r="J257" s="32"/>
      <c r="K257" s="32">
        <f t="shared" si="3"/>
        <v>882881.55</v>
      </c>
      <c r="L257" s="47" t="s">
        <v>1340</v>
      </c>
      <c r="M257" s="26" t="s">
        <v>1320</v>
      </c>
      <c r="N257" s="26" t="s">
        <v>1321</v>
      </c>
      <c r="O257" s="26" t="e">
        <v>#N/A</v>
      </c>
    </row>
    <row r="258" spans="1:15" ht="26" hidden="1" x14ac:dyDescent="0.3">
      <c r="A258" s="28">
        <v>8470530</v>
      </c>
      <c r="B258" s="29" t="s">
        <v>367</v>
      </c>
      <c r="C258" s="30">
        <v>432120</v>
      </c>
      <c r="D258" s="31" t="s">
        <v>994</v>
      </c>
      <c r="E258" s="45" t="s">
        <v>996</v>
      </c>
      <c r="F258" s="32">
        <v>6250679</v>
      </c>
      <c r="G258" s="32">
        <v>6229964</v>
      </c>
      <c r="H258" s="32">
        <v>5040562.12</v>
      </c>
      <c r="I258" s="33"/>
      <c r="J258" s="32"/>
      <c r="K258" s="32">
        <f t="shared" ref="K258:K321" si="4">G258-H258-I258-J258</f>
        <v>1189401.8799999999</v>
      </c>
      <c r="L258" s="47" t="s">
        <v>1341</v>
      </c>
      <c r="M258" s="26" t="s">
        <v>1320</v>
      </c>
      <c r="N258" s="26" t="s">
        <v>1321</v>
      </c>
      <c r="O258" s="26" t="e">
        <v>#N/A</v>
      </c>
    </row>
    <row r="259" spans="1:15" ht="26" hidden="1" x14ac:dyDescent="0.3">
      <c r="A259" s="28">
        <v>8470530</v>
      </c>
      <c r="B259" s="29" t="s">
        <v>367</v>
      </c>
      <c r="C259" s="30">
        <v>428111</v>
      </c>
      <c r="D259" s="31" t="s">
        <v>974</v>
      </c>
      <c r="E259" s="45" t="s">
        <v>976</v>
      </c>
      <c r="F259" s="32">
        <v>4531198</v>
      </c>
      <c r="G259" s="32">
        <v>4690931</v>
      </c>
      <c r="H259" s="32">
        <v>3253301.43</v>
      </c>
      <c r="I259" s="33"/>
      <c r="J259" s="32"/>
      <c r="K259" s="32">
        <f t="shared" si="4"/>
        <v>1437629.5699999998</v>
      </c>
      <c r="L259" s="47" t="s">
        <v>1334</v>
      </c>
      <c r="M259" s="26" t="s">
        <v>1320</v>
      </c>
      <c r="N259" s="26" t="s">
        <v>1321</v>
      </c>
      <c r="O259" s="26" t="e">
        <v>#N/A</v>
      </c>
    </row>
    <row r="260" spans="1:15" ht="39" hidden="1" x14ac:dyDescent="0.3">
      <c r="A260" s="28">
        <v>8470530</v>
      </c>
      <c r="B260" s="29" t="s">
        <v>367</v>
      </c>
      <c r="C260" s="30">
        <v>492200</v>
      </c>
      <c r="D260" s="31" t="s">
        <v>1263</v>
      </c>
      <c r="E260" s="45" t="s">
        <v>1267</v>
      </c>
      <c r="F260" s="32">
        <v>6910200</v>
      </c>
      <c r="G260" s="32">
        <v>6819769</v>
      </c>
      <c r="H260" s="32">
        <v>2319769</v>
      </c>
      <c r="I260" s="33"/>
      <c r="J260" s="32"/>
      <c r="K260" s="32">
        <f t="shared" si="4"/>
        <v>4500000</v>
      </c>
      <c r="L260" s="47" t="s">
        <v>1333</v>
      </c>
      <c r="M260" s="26" t="s">
        <v>1320</v>
      </c>
      <c r="N260" s="26" t="s">
        <v>1321</v>
      </c>
      <c r="O260" s="26">
        <v>492200</v>
      </c>
    </row>
    <row r="261" spans="1:15" ht="39" hidden="1" x14ac:dyDescent="0.3">
      <c r="A261" s="28">
        <v>8470530</v>
      </c>
      <c r="B261" s="29" t="s">
        <v>367</v>
      </c>
      <c r="C261" s="30">
        <v>492200</v>
      </c>
      <c r="D261" s="31" t="s">
        <v>1263</v>
      </c>
      <c r="E261" s="45" t="s">
        <v>1266</v>
      </c>
      <c r="F261" s="32">
        <v>0</v>
      </c>
      <c r="G261" s="32">
        <v>6551196</v>
      </c>
      <c r="H261" s="32">
        <v>1343400</v>
      </c>
      <c r="I261" s="33"/>
      <c r="J261" s="32"/>
      <c r="K261" s="32">
        <f t="shared" si="4"/>
        <v>5207796</v>
      </c>
      <c r="L261" s="47" t="s">
        <v>1342</v>
      </c>
      <c r="M261" s="26" t="s">
        <v>1320</v>
      </c>
      <c r="N261" s="26" t="s">
        <v>1321</v>
      </c>
      <c r="O261" s="26">
        <v>492200</v>
      </c>
    </row>
    <row r="262" spans="1:15" hidden="1" x14ac:dyDescent="0.3">
      <c r="A262" s="28">
        <v>8470540</v>
      </c>
      <c r="B262" s="29" t="s">
        <v>377</v>
      </c>
      <c r="C262" s="30">
        <v>435410</v>
      </c>
      <c r="D262" s="31" t="s">
        <v>702</v>
      </c>
      <c r="E262" s="45" t="s">
        <v>1027</v>
      </c>
      <c r="F262" s="32">
        <v>465000</v>
      </c>
      <c r="G262" s="32">
        <v>0</v>
      </c>
      <c r="H262" s="32">
        <v>0</v>
      </c>
      <c r="I262" s="33"/>
      <c r="J262" s="32"/>
      <c r="K262" s="32">
        <f t="shared" si="4"/>
        <v>0</v>
      </c>
      <c r="L262" s="50" t="s">
        <v>1312</v>
      </c>
      <c r="M262" s="26" t="s">
        <v>1320</v>
      </c>
      <c r="N262" s="26" t="s">
        <v>1321</v>
      </c>
      <c r="O262" s="26" t="e">
        <v>#N/A</v>
      </c>
    </row>
    <row r="263" spans="1:15" hidden="1" x14ac:dyDescent="0.3">
      <c r="A263" s="28">
        <v>8470540</v>
      </c>
      <c r="B263" s="29" t="s">
        <v>377</v>
      </c>
      <c r="C263" s="30">
        <v>432540</v>
      </c>
      <c r="D263" s="31" t="s">
        <v>1008</v>
      </c>
      <c r="E263" s="45" t="s">
        <v>1026</v>
      </c>
      <c r="F263" s="32">
        <v>25000</v>
      </c>
      <c r="G263" s="32">
        <v>45000</v>
      </c>
      <c r="H263" s="32">
        <v>37508.81</v>
      </c>
      <c r="I263" s="33"/>
      <c r="J263" s="32"/>
      <c r="K263" s="32">
        <f t="shared" si="4"/>
        <v>7491.1900000000023</v>
      </c>
      <c r="L263" s="50" t="s">
        <v>1312</v>
      </c>
      <c r="M263" s="26" t="s">
        <v>1320</v>
      </c>
      <c r="N263" s="26" t="s">
        <v>1321</v>
      </c>
      <c r="O263" s="26" t="e">
        <v>#N/A</v>
      </c>
    </row>
    <row r="264" spans="1:15" hidden="1" x14ac:dyDescent="0.3">
      <c r="A264" s="28">
        <v>8470540</v>
      </c>
      <c r="B264" s="29" t="s">
        <v>377</v>
      </c>
      <c r="C264" s="30">
        <v>430330</v>
      </c>
      <c r="D264" s="31" t="s">
        <v>990</v>
      </c>
      <c r="E264" s="45" t="s">
        <v>1023</v>
      </c>
      <c r="F264" s="32">
        <v>0</v>
      </c>
      <c r="G264" s="32">
        <v>797755</v>
      </c>
      <c r="H264" s="32">
        <v>581760</v>
      </c>
      <c r="I264" s="33"/>
      <c r="J264" s="32"/>
      <c r="K264" s="32">
        <f t="shared" si="4"/>
        <v>215995</v>
      </c>
      <c r="L264" s="47" t="s">
        <v>1343</v>
      </c>
      <c r="M264" s="26" t="s">
        <v>1320</v>
      </c>
      <c r="N264" s="26" t="s">
        <v>1321</v>
      </c>
      <c r="O264" s="26" t="e">
        <v>#N/A</v>
      </c>
    </row>
    <row r="265" spans="1:15" ht="39" hidden="1" x14ac:dyDescent="0.3">
      <c r="A265" s="28">
        <v>8470540</v>
      </c>
      <c r="B265" s="29" t="s">
        <v>377</v>
      </c>
      <c r="C265" s="30">
        <v>432120</v>
      </c>
      <c r="D265" s="31" t="s">
        <v>994</v>
      </c>
      <c r="E265" s="45" t="s">
        <v>1025</v>
      </c>
      <c r="F265" s="32">
        <v>4389857</v>
      </c>
      <c r="G265" s="32">
        <v>4409857</v>
      </c>
      <c r="H265" s="32">
        <v>3409176.66</v>
      </c>
      <c r="I265" s="33"/>
      <c r="J265" s="32"/>
      <c r="K265" s="32">
        <f t="shared" si="4"/>
        <v>1000680.3399999999</v>
      </c>
      <c r="L265" s="47" t="s">
        <v>1342</v>
      </c>
      <c r="M265" s="26" t="s">
        <v>1320</v>
      </c>
      <c r="N265" s="26" t="s">
        <v>1321</v>
      </c>
      <c r="O265" s="26" t="e">
        <v>#N/A</v>
      </c>
    </row>
    <row r="266" spans="1:15" ht="208" hidden="1" x14ac:dyDescent="0.3">
      <c r="A266" s="28">
        <v>8470540</v>
      </c>
      <c r="B266" s="29" t="s">
        <v>377</v>
      </c>
      <c r="C266" s="30">
        <v>421100</v>
      </c>
      <c r="D266" s="31" t="s">
        <v>946</v>
      </c>
      <c r="E266" s="45" t="s">
        <v>1022</v>
      </c>
      <c r="F266" s="32">
        <v>4009370</v>
      </c>
      <c r="G266" s="32">
        <v>4009370</v>
      </c>
      <c r="H266" s="32">
        <v>2818066.67</v>
      </c>
      <c r="I266" s="33"/>
      <c r="J266" s="32"/>
      <c r="K266" s="32">
        <f t="shared" si="4"/>
        <v>1191303.33</v>
      </c>
      <c r="L266" s="47" t="s">
        <v>1344</v>
      </c>
      <c r="M266" s="26" t="s">
        <v>1320</v>
      </c>
      <c r="N266" s="26" t="s">
        <v>1321</v>
      </c>
      <c r="O266" s="26" t="e">
        <v>#N/A</v>
      </c>
    </row>
    <row r="267" spans="1:15" ht="39" hidden="1" x14ac:dyDescent="0.3">
      <c r="A267" s="28">
        <v>8470540</v>
      </c>
      <c r="B267" s="29" t="s">
        <v>377</v>
      </c>
      <c r="C267" s="30">
        <v>432120</v>
      </c>
      <c r="D267" s="31" t="s">
        <v>994</v>
      </c>
      <c r="E267" s="45" t="s">
        <v>1024</v>
      </c>
      <c r="F267" s="32">
        <v>9870670</v>
      </c>
      <c r="G267" s="32">
        <v>9500670</v>
      </c>
      <c r="H267" s="32">
        <v>8245171.2599999998</v>
      </c>
      <c r="I267" s="33"/>
      <c r="J267" s="32"/>
      <c r="K267" s="32">
        <f t="shared" si="4"/>
        <v>1255498.7400000002</v>
      </c>
      <c r="L267" s="47" t="s">
        <v>1342</v>
      </c>
      <c r="M267" s="26" t="s">
        <v>1320</v>
      </c>
      <c r="N267" s="26" t="s">
        <v>1321</v>
      </c>
      <c r="O267" s="26" t="e">
        <v>#N/A</v>
      </c>
    </row>
    <row r="268" spans="1:15" hidden="1" x14ac:dyDescent="0.3">
      <c r="A268" s="28">
        <v>8470620</v>
      </c>
      <c r="B268" s="29" t="s">
        <v>410</v>
      </c>
      <c r="C268" s="30">
        <v>421000</v>
      </c>
      <c r="D268" s="31" t="s">
        <v>675</v>
      </c>
      <c r="E268" s="45" t="s">
        <v>1031</v>
      </c>
      <c r="F268" s="32">
        <v>68000</v>
      </c>
      <c r="G268" s="32">
        <v>0</v>
      </c>
      <c r="H268" s="32">
        <v>0</v>
      </c>
      <c r="I268" s="33"/>
      <c r="J268" s="32"/>
      <c r="K268" s="32">
        <f t="shared" si="4"/>
        <v>0</v>
      </c>
      <c r="L268" s="50" t="s">
        <v>1312</v>
      </c>
      <c r="M268" s="26" t="s">
        <v>1322</v>
      </c>
      <c r="N268" s="26" t="s">
        <v>1323</v>
      </c>
      <c r="O268" s="26" t="e">
        <v>#N/A</v>
      </c>
    </row>
    <row r="269" spans="1:15" hidden="1" x14ac:dyDescent="0.3">
      <c r="A269" s="28">
        <v>8470620</v>
      </c>
      <c r="B269" s="29" t="s">
        <v>410</v>
      </c>
      <c r="C269" s="30">
        <v>426610</v>
      </c>
      <c r="D269" s="31" t="s">
        <v>687</v>
      </c>
      <c r="E269" s="45" t="s">
        <v>1039</v>
      </c>
      <c r="F269" s="32">
        <v>31680</v>
      </c>
      <c r="G269" s="32">
        <v>31680</v>
      </c>
      <c r="H269" s="32">
        <v>31680</v>
      </c>
      <c r="I269" s="33"/>
      <c r="J269" s="32"/>
      <c r="K269" s="32">
        <f t="shared" si="4"/>
        <v>0</v>
      </c>
      <c r="L269" s="50" t="s">
        <v>1312</v>
      </c>
      <c r="M269" s="26" t="s">
        <v>1322</v>
      </c>
      <c r="N269" s="26" t="s">
        <v>1323</v>
      </c>
      <c r="O269" s="26" t="e">
        <v>#N/A</v>
      </c>
    </row>
    <row r="270" spans="1:15" hidden="1" x14ac:dyDescent="0.3">
      <c r="A270" s="28">
        <v>8470620</v>
      </c>
      <c r="B270" s="31" t="s">
        <v>410</v>
      </c>
      <c r="C270" s="30">
        <v>495140</v>
      </c>
      <c r="D270" s="31" t="s">
        <v>1277</v>
      </c>
      <c r="E270" s="45" t="s">
        <v>1279</v>
      </c>
      <c r="F270" s="32"/>
      <c r="G270" s="32"/>
      <c r="H270" s="32">
        <v>0</v>
      </c>
      <c r="I270" s="33"/>
      <c r="J270" s="32"/>
      <c r="K270" s="32">
        <f t="shared" si="4"/>
        <v>0</v>
      </c>
      <c r="L270" s="50" t="s">
        <v>1312</v>
      </c>
      <c r="M270" s="26" t="s">
        <v>1322</v>
      </c>
      <c r="N270" s="26" t="s">
        <v>1323</v>
      </c>
      <c r="O270" s="26">
        <v>495140</v>
      </c>
    </row>
    <row r="271" spans="1:15" hidden="1" x14ac:dyDescent="0.3">
      <c r="A271" s="28">
        <v>8470620</v>
      </c>
      <c r="B271" s="29" t="s">
        <v>410</v>
      </c>
      <c r="C271" s="30">
        <v>425300</v>
      </c>
      <c r="D271" s="31" t="s">
        <v>1308</v>
      </c>
      <c r="E271" s="45" t="s">
        <v>1035</v>
      </c>
      <c r="F271" s="32">
        <v>3511</v>
      </c>
      <c r="G271" s="32">
        <v>3511</v>
      </c>
      <c r="H271" s="32">
        <v>1157.08</v>
      </c>
      <c r="I271" s="33"/>
      <c r="J271" s="32"/>
      <c r="K271" s="32">
        <f t="shared" si="4"/>
        <v>2353.92</v>
      </c>
      <c r="L271" s="50" t="s">
        <v>1312</v>
      </c>
      <c r="M271" s="26" t="s">
        <v>1322</v>
      </c>
      <c r="N271" s="26" t="s">
        <v>1323</v>
      </c>
      <c r="O271" s="26" t="e">
        <v>#N/A</v>
      </c>
    </row>
    <row r="272" spans="1:15" hidden="1" x14ac:dyDescent="0.3">
      <c r="A272" s="28">
        <v>8470620</v>
      </c>
      <c r="B272" s="29" t="s">
        <v>410</v>
      </c>
      <c r="C272" s="30">
        <v>436110</v>
      </c>
      <c r="D272" s="31" t="s">
        <v>708</v>
      </c>
      <c r="E272" s="45" t="s">
        <v>1040</v>
      </c>
      <c r="F272" s="32">
        <v>15000</v>
      </c>
      <c r="G272" s="32">
        <v>15000</v>
      </c>
      <c r="H272" s="32">
        <v>4566.87</v>
      </c>
      <c r="I272" s="33"/>
      <c r="J272" s="32"/>
      <c r="K272" s="32">
        <f t="shared" si="4"/>
        <v>10433.130000000001</v>
      </c>
      <c r="L272" s="50" t="s">
        <v>1312</v>
      </c>
      <c r="M272" s="26" t="s">
        <v>1322</v>
      </c>
      <c r="N272" s="26" t="s">
        <v>1323</v>
      </c>
      <c r="O272" s="26" t="e">
        <v>#N/A</v>
      </c>
    </row>
    <row r="273" spans="1:15" hidden="1" x14ac:dyDescent="0.3">
      <c r="A273" s="28">
        <v>8470620</v>
      </c>
      <c r="B273" s="29" t="s">
        <v>410</v>
      </c>
      <c r="C273" s="30">
        <v>436120</v>
      </c>
      <c r="D273" s="31" t="s">
        <v>1042</v>
      </c>
      <c r="E273" s="45" t="s">
        <v>1043</v>
      </c>
      <c r="F273" s="32">
        <v>0</v>
      </c>
      <c r="G273" s="32">
        <v>2500</v>
      </c>
      <c r="H273" s="32">
        <v>-20280.82</v>
      </c>
      <c r="I273" s="33"/>
      <c r="J273" s="32"/>
      <c r="K273" s="32">
        <f t="shared" si="4"/>
        <v>22780.82</v>
      </c>
      <c r="L273" s="50" t="s">
        <v>1312</v>
      </c>
      <c r="M273" s="26" t="s">
        <v>1322</v>
      </c>
      <c r="N273" s="26" t="s">
        <v>1323</v>
      </c>
      <c r="O273" s="26" t="e">
        <v>#N/A</v>
      </c>
    </row>
    <row r="274" spans="1:15" hidden="1" x14ac:dyDescent="0.3">
      <c r="A274" s="28">
        <v>8470620</v>
      </c>
      <c r="B274" s="29" t="s">
        <v>410</v>
      </c>
      <c r="C274" s="30">
        <v>425350</v>
      </c>
      <c r="D274" s="31" t="s">
        <v>1037</v>
      </c>
      <c r="E274" s="45" t="s">
        <v>1038</v>
      </c>
      <c r="F274" s="32">
        <v>90000</v>
      </c>
      <c r="G274" s="32">
        <v>87500</v>
      </c>
      <c r="H274" s="32">
        <v>57762.92</v>
      </c>
      <c r="I274" s="33"/>
      <c r="J274" s="32"/>
      <c r="K274" s="32">
        <f t="shared" si="4"/>
        <v>29737.08</v>
      </c>
      <c r="L274" s="50" t="s">
        <v>1312</v>
      </c>
      <c r="M274" s="26" t="s">
        <v>1322</v>
      </c>
      <c r="N274" s="26" t="s">
        <v>1323</v>
      </c>
      <c r="O274" s="26" t="e">
        <v>#N/A</v>
      </c>
    </row>
    <row r="275" spans="1:15" ht="130" hidden="1" x14ac:dyDescent="0.3">
      <c r="A275" s="28">
        <v>8470620</v>
      </c>
      <c r="B275" s="29" t="s">
        <v>410</v>
      </c>
      <c r="C275" s="30">
        <v>421100</v>
      </c>
      <c r="D275" s="31" t="s">
        <v>946</v>
      </c>
      <c r="E275" s="45" t="s">
        <v>1032</v>
      </c>
      <c r="F275" s="32">
        <v>524160</v>
      </c>
      <c r="G275" s="32">
        <v>555160</v>
      </c>
      <c r="H275" s="32">
        <v>451033.33</v>
      </c>
      <c r="I275" s="33"/>
      <c r="J275" s="32"/>
      <c r="K275" s="32">
        <f t="shared" si="4"/>
        <v>104126.66999999998</v>
      </c>
      <c r="L275" s="47" t="s">
        <v>1345</v>
      </c>
      <c r="M275" s="26" t="s">
        <v>1322</v>
      </c>
      <c r="N275" s="26" t="s">
        <v>1323</v>
      </c>
      <c r="O275" s="26" t="e">
        <v>#N/A</v>
      </c>
    </row>
    <row r="276" spans="1:15" ht="221" hidden="1" x14ac:dyDescent="0.3">
      <c r="A276" s="28">
        <v>8470620</v>
      </c>
      <c r="B276" s="29" t="s">
        <v>410</v>
      </c>
      <c r="C276" s="30">
        <v>420130</v>
      </c>
      <c r="D276" s="31" t="s">
        <v>1029</v>
      </c>
      <c r="E276" s="45" t="s">
        <v>1030</v>
      </c>
      <c r="F276" s="32">
        <v>319725</v>
      </c>
      <c r="G276" s="32">
        <v>319725</v>
      </c>
      <c r="H276" s="32">
        <v>203515</v>
      </c>
      <c r="I276" s="33"/>
      <c r="J276" s="32"/>
      <c r="K276" s="32">
        <f t="shared" si="4"/>
        <v>116210</v>
      </c>
      <c r="L276" s="47" t="s">
        <v>1346</v>
      </c>
      <c r="M276" s="26" t="s">
        <v>1322</v>
      </c>
      <c r="N276" s="26" t="s">
        <v>1323</v>
      </c>
      <c r="O276" s="26" t="e">
        <v>#N/A</v>
      </c>
    </row>
    <row r="277" spans="1:15" hidden="1" x14ac:dyDescent="0.3">
      <c r="A277" s="28">
        <v>8470720</v>
      </c>
      <c r="B277" s="29" t="s">
        <v>441</v>
      </c>
      <c r="C277" s="30">
        <v>421700</v>
      </c>
      <c r="D277" s="31" t="s">
        <v>1305</v>
      </c>
      <c r="E277" s="45" t="s">
        <v>1045</v>
      </c>
      <c r="F277" s="32">
        <v>0</v>
      </c>
      <c r="G277" s="32">
        <v>2000</v>
      </c>
      <c r="H277" s="32">
        <v>2000</v>
      </c>
      <c r="I277" s="33"/>
      <c r="J277" s="32"/>
      <c r="K277" s="32">
        <f t="shared" si="4"/>
        <v>0</v>
      </c>
      <c r="L277" s="50" t="s">
        <v>1312</v>
      </c>
      <c r="M277" s="26" t="s">
        <v>1320</v>
      </c>
      <c r="N277" s="26" t="s">
        <v>1324</v>
      </c>
      <c r="O277" s="26" t="e">
        <v>#N/A</v>
      </c>
    </row>
    <row r="278" spans="1:15" hidden="1" x14ac:dyDescent="0.3">
      <c r="A278" s="28">
        <v>8470720</v>
      </c>
      <c r="B278" s="29" t="s">
        <v>441</v>
      </c>
      <c r="C278" s="30">
        <v>428200</v>
      </c>
      <c r="D278" s="31" t="s">
        <v>935</v>
      </c>
      <c r="E278" s="45" t="s">
        <v>1048</v>
      </c>
      <c r="F278" s="32">
        <v>0</v>
      </c>
      <c r="G278" s="32">
        <v>9300</v>
      </c>
      <c r="H278" s="32">
        <v>9300</v>
      </c>
      <c r="I278" s="33"/>
      <c r="J278" s="32"/>
      <c r="K278" s="32">
        <f t="shared" si="4"/>
        <v>0</v>
      </c>
      <c r="L278" s="50" t="s">
        <v>1312</v>
      </c>
      <c r="M278" s="26" t="s">
        <v>1320</v>
      </c>
      <c r="N278" s="26" t="s">
        <v>1324</v>
      </c>
      <c r="O278" s="26" t="e">
        <v>#N/A</v>
      </c>
    </row>
    <row r="279" spans="1:15" hidden="1" x14ac:dyDescent="0.3">
      <c r="A279" s="28">
        <v>8470720</v>
      </c>
      <c r="B279" s="29" t="s">
        <v>441</v>
      </c>
      <c r="C279" s="30">
        <v>426900</v>
      </c>
      <c r="D279" s="31" t="s">
        <v>971</v>
      </c>
      <c r="E279" s="45" t="s">
        <v>1046</v>
      </c>
      <c r="F279" s="32">
        <v>8262</v>
      </c>
      <c r="G279" s="32">
        <v>8262</v>
      </c>
      <c r="H279" s="32">
        <v>-10121</v>
      </c>
      <c r="I279" s="33"/>
      <c r="J279" s="32"/>
      <c r="K279" s="32">
        <f t="shared" si="4"/>
        <v>18383</v>
      </c>
      <c r="L279" s="50" t="s">
        <v>1312</v>
      </c>
      <c r="M279" s="26" t="s">
        <v>1320</v>
      </c>
      <c r="N279" s="26" t="s">
        <v>1324</v>
      </c>
      <c r="O279" s="26" t="e">
        <v>#N/A</v>
      </c>
    </row>
    <row r="280" spans="1:15" hidden="1" x14ac:dyDescent="0.3">
      <c r="A280" s="28">
        <v>8470720</v>
      </c>
      <c r="B280" s="29" t="s">
        <v>441</v>
      </c>
      <c r="C280" s="30">
        <v>436120</v>
      </c>
      <c r="D280" s="31" t="s">
        <v>1042</v>
      </c>
      <c r="E280" s="45" t="s">
        <v>1050</v>
      </c>
      <c r="F280" s="32">
        <v>45814</v>
      </c>
      <c r="G280" s="32">
        <v>57314</v>
      </c>
      <c r="H280" s="32">
        <v>32300.76</v>
      </c>
      <c r="I280" s="33"/>
      <c r="J280" s="32"/>
      <c r="K280" s="32">
        <f t="shared" si="4"/>
        <v>25013.24</v>
      </c>
      <c r="L280" s="50" t="s">
        <v>1312</v>
      </c>
      <c r="M280" s="26" t="s">
        <v>1320</v>
      </c>
      <c r="N280" s="26" t="s">
        <v>1324</v>
      </c>
      <c r="O280" s="26" t="e">
        <v>#N/A</v>
      </c>
    </row>
    <row r="281" spans="1:15" hidden="1" x14ac:dyDescent="0.3">
      <c r="A281" s="28">
        <v>8470720</v>
      </c>
      <c r="B281" s="29" t="s">
        <v>441</v>
      </c>
      <c r="C281" s="30">
        <v>428200</v>
      </c>
      <c r="D281" s="31" t="s">
        <v>935</v>
      </c>
      <c r="E281" s="45" t="s">
        <v>1047</v>
      </c>
      <c r="F281" s="32">
        <v>250127</v>
      </c>
      <c r="G281" s="32">
        <v>238827</v>
      </c>
      <c r="H281" s="32">
        <v>192932.11</v>
      </c>
      <c r="I281" s="33"/>
      <c r="J281" s="32"/>
      <c r="K281" s="32">
        <f t="shared" si="4"/>
        <v>45894.890000000014</v>
      </c>
      <c r="L281" s="50" t="s">
        <v>1312</v>
      </c>
      <c r="M281" s="26" t="s">
        <v>1320</v>
      </c>
      <c r="N281" s="26" t="s">
        <v>1324</v>
      </c>
      <c r="O281" s="26" t="e">
        <v>#N/A</v>
      </c>
    </row>
    <row r="282" spans="1:15" hidden="1" x14ac:dyDescent="0.3">
      <c r="A282" s="28">
        <v>8470720</v>
      </c>
      <c r="B282" s="29" t="s">
        <v>441</v>
      </c>
      <c r="C282" s="30">
        <v>421000</v>
      </c>
      <c r="D282" s="31" t="s">
        <v>675</v>
      </c>
      <c r="E282" s="45" t="s">
        <v>1044</v>
      </c>
      <c r="F282" s="32"/>
      <c r="G282" s="32"/>
      <c r="H282" s="32">
        <v>-97932.7</v>
      </c>
      <c r="I282" s="33"/>
      <c r="J282" s="32"/>
      <c r="K282" s="32">
        <f t="shared" si="4"/>
        <v>97932.7</v>
      </c>
      <c r="L282" s="47" t="s">
        <v>1310</v>
      </c>
      <c r="M282" s="26" t="s">
        <v>1320</v>
      </c>
      <c r="N282" s="26" t="s">
        <v>1324</v>
      </c>
      <c r="O282" s="26" t="e">
        <v>#N/A</v>
      </c>
    </row>
    <row r="283" spans="1:15" hidden="1" x14ac:dyDescent="0.3">
      <c r="A283" s="28">
        <v>8470720</v>
      </c>
      <c r="B283" s="29" t="s">
        <v>441</v>
      </c>
      <c r="C283" s="30">
        <v>435410</v>
      </c>
      <c r="D283" s="31" t="s">
        <v>702</v>
      </c>
      <c r="E283" s="45" t="s">
        <v>1049</v>
      </c>
      <c r="F283" s="32">
        <v>385799</v>
      </c>
      <c r="G283" s="32">
        <v>839299</v>
      </c>
      <c r="H283" s="32">
        <v>631727.16</v>
      </c>
      <c r="I283" s="33"/>
      <c r="J283" s="32"/>
      <c r="K283" s="32">
        <f t="shared" si="4"/>
        <v>207571.83999999997</v>
      </c>
      <c r="L283" s="47" t="s">
        <v>1310</v>
      </c>
      <c r="M283" s="26" t="s">
        <v>1320</v>
      </c>
      <c r="N283" s="26" t="s">
        <v>1324</v>
      </c>
      <c r="O283" s="26" t="e">
        <v>#N/A</v>
      </c>
    </row>
    <row r="284" spans="1:15" hidden="1" x14ac:dyDescent="0.3">
      <c r="A284" s="28">
        <v>8470730</v>
      </c>
      <c r="B284" s="29" t="s">
        <v>452</v>
      </c>
      <c r="C284" s="30">
        <v>427200</v>
      </c>
      <c r="D284" s="31" t="s">
        <v>729</v>
      </c>
      <c r="E284" s="45" t="s">
        <v>1056</v>
      </c>
      <c r="F284" s="32">
        <v>4420</v>
      </c>
      <c r="G284" s="32">
        <v>4420</v>
      </c>
      <c r="H284" s="32">
        <v>9360</v>
      </c>
      <c r="I284" s="33"/>
      <c r="J284" s="32"/>
      <c r="K284" s="32">
        <f t="shared" si="4"/>
        <v>-4940</v>
      </c>
      <c r="L284" s="50" t="s">
        <v>1312</v>
      </c>
      <c r="M284" s="26" t="s">
        <v>1320</v>
      </c>
      <c r="N284" s="26" t="s">
        <v>1325</v>
      </c>
      <c r="O284" s="26" t="e">
        <v>#N/A</v>
      </c>
    </row>
    <row r="285" spans="1:15" hidden="1" x14ac:dyDescent="0.3">
      <c r="A285" s="28">
        <v>8470730</v>
      </c>
      <c r="B285" s="29" t="s">
        <v>452</v>
      </c>
      <c r="C285" s="30">
        <v>425100</v>
      </c>
      <c r="D285" s="31" t="s">
        <v>1306</v>
      </c>
      <c r="E285" s="45" t="s">
        <v>1052</v>
      </c>
      <c r="F285" s="32"/>
      <c r="G285" s="32"/>
      <c r="H285" s="32">
        <v>0</v>
      </c>
      <c r="I285" s="33"/>
      <c r="J285" s="32"/>
      <c r="K285" s="32">
        <f t="shared" si="4"/>
        <v>0</v>
      </c>
      <c r="L285" s="50" t="s">
        <v>1312</v>
      </c>
      <c r="M285" s="26" t="s">
        <v>1320</v>
      </c>
      <c r="N285" s="26" t="s">
        <v>1325</v>
      </c>
      <c r="O285" s="26" t="e">
        <v>#N/A</v>
      </c>
    </row>
    <row r="286" spans="1:15" hidden="1" x14ac:dyDescent="0.3">
      <c r="A286" s="28">
        <v>8470730</v>
      </c>
      <c r="B286" s="29" t="s">
        <v>452</v>
      </c>
      <c r="C286" s="30">
        <v>428640</v>
      </c>
      <c r="D286" s="31" t="s">
        <v>699</v>
      </c>
      <c r="E286" s="45" t="s">
        <v>1059</v>
      </c>
      <c r="F286" s="32">
        <v>40000</v>
      </c>
      <c r="G286" s="32">
        <v>0</v>
      </c>
      <c r="H286" s="32">
        <v>0</v>
      </c>
      <c r="I286" s="33"/>
      <c r="J286" s="32"/>
      <c r="K286" s="32">
        <f t="shared" si="4"/>
        <v>0</v>
      </c>
      <c r="L286" s="50" t="s">
        <v>1312</v>
      </c>
      <c r="M286" s="26" t="s">
        <v>1320</v>
      </c>
      <c r="N286" s="26" t="s">
        <v>1325</v>
      </c>
      <c r="O286" s="26" t="e">
        <v>#N/A</v>
      </c>
    </row>
    <row r="287" spans="1:15" hidden="1" x14ac:dyDescent="0.3">
      <c r="A287" s="28">
        <v>8470730</v>
      </c>
      <c r="B287" s="29" t="s">
        <v>452</v>
      </c>
      <c r="C287" s="30">
        <v>425510</v>
      </c>
      <c r="D287" s="31" t="s">
        <v>681</v>
      </c>
      <c r="E287" s="45" t="s">
        <v>1053</v>
      </c>
      <c r="F287" s="32">
        <v>15000</v>
      </c>
      <c r="G287" s="32">
        <v>15000</v>
      </c>
      <c r="H287" s="32">
        <v>8764.9500000000007</v>
      </c>
      <c r="I287" s="33"/>
      <c r="J287" s="32"/>
      <c r="K287" s="32">
        <f t="shared" si="4"/>
        <v>6235.0499999999993</v>
      </c>
      <c r="L287" s="50" t="s">
        <v>1312</v>
      </c>
      <c r="M287" s="26" t="s">
        <v>1320</v>
      </c>
      <c r="N287" s="26" t="s">
        <v>1325</v>
      </c>
      <c r="O287" s="26" t="e">
        <v>#N/A</v>
      </c>
    </row>
    <row r="288" spans="1:15" hidden="1" x14ac:dyDescent="0.3">
      <c r="A288" s="28">
        <v>8470730</v>
      </c>
      <c r="B288" s="29" t="s">
        <v>452</v>
      </c>
      <c r="C288" s="30">
        <v>425900</v>
      </c>
      <c r="D288" s="31" t="s">
        <v>684</v>
      </c>
      <c r="E288" s="45" t="s">
        <v>1054</v>
      </c>
      <c r="F288" s="32">
        <v>6363</v>
      </c>
      <c r="G288" s="32">
        <v>6363</v>
      </c>
      <c r="H288" s="32">
        <v>0</v>
      </c>
      <c r="I288" s="33"/>
      <c r="J288" s="32"/>
      <c r="K288" s="32">
        <f t="shared" si="4"/>
        <v>6363</v>
      </c>
      <c r="L288" s="50" t="s">
        <v>1312</v>
      </c>
      <c r="M288" s="26" t="s">
        <v>1320</v>
      </c>
      <c r="N288" s="26" t="s">
        <v>1325</v>
      </c>
      <c r="O288" s="26" t="e">
        <v>#N/A</v>
      </c>
    </row>
    <row r="289" spans="1:15" hidden="1" x14ac:dyDescent="0.3">
      <c r="A289" s="28">
        <v>8470730</v>
      </c>
      <c r="B289" s="29" t="s">
        <v>452</v>
      </c>
      <c r="C289" s="30">
        <v>427900</v>
      </c>
      <c r="D289" s="31" t="s">
        <v>693</v>
      </c>
      <c r="E289" s="45" t="s">
        <v>1057</v>
      </c>
      <c r="F289" s="32">
        <v>10000</v>
      </c>
      <c r="G289" s="32">
        <v>10000</v>
      </c>
      <c r="H289" s="32">
        <v>0</v>
      </c>
      <c r="I289" s="33"/>
      <c r="J289" s="32"/>
      <c r="K289" s="32">
        <f t="shared" si="4"/>
        <v>10000</v>
      </c>
      <c r="L289" s="50" t="s">
        <v>1312</v>
      </c>
      <c r="M289" s="26" t="s">
        <v>1320</v>
      </c>
      <c r="N289" s="26" t="s">
        <v>1325</v>
      </c>
      <c r="O289" s="26" t="e">
        <v>#N/A</v>
      </c>
    </row>
    <row r="290" spans="1:15" hidden="1" x14ac:dyDescent="0.3">
      <c r="A290" s="28">
        <v>8470730</v>
      </c>
      <c r="B290" s="29" t="s">
        <v>452</v>
      </c>
      <c r="C290" s="30">
        <v>426610</v>
      </c>
      <c r="D290" s="31" t="s">
        <v>687</v>
      </c>
      <c r="E290" s="45" t="s">
        <v>1055</v>
      </c>
      <c r="F290" s="32">
        <v>365000</v>
      </c>
      <c r="G290" s="32">
        <v>365000</v>
      </c>
      <c r="H290" s="32">
        <v>354291.93</v>
      </c>
      <c r="I290" s="33"/>
      <c r="J290" s="32"/>
      <c r="K290" s="32">
        <f t="shared" si="4"/>
        <v>10708.070000000007</v>
      </c>
      <c r="L290" s="50" t="s">
        <v>1312</v>
      </c>
      <c r="M290" s="26" t="s">
        <v>1320</v>
      </c>
      <c r="N290" s="26" t="s">
        <v>1325</v>
      </c>
      <c r="O290" s="26" t="e">
        <v>#N/A</v>
      </c>
    </row>
    <row r="291" spans="1:15" hidden="1" x14ac:dyDescent="0.3">
      <c r="A291" s="28">
        <v>8470730</v>
      </c>
      <c r="B291" s="29" t="s">
        <v>452</v>
      </c>
      <c r="C291" s="30">
        <v>436110</v>
      </c>
      <c r="D291" s="31" t="s">
        <v>708</v>
      </c>
      <c r="E291" s="45" t="s">
        <v>1060</v>
      </c>
      <c r="F291" s="32">
        <v>75479</v>
      </c>
      <c r="G291" s="32">
        <v>75479</v>
      </c>
      <c r="H291" s="32">
        <v>40440</v>
      </c>
      <c r="I291" s="33"/>
      <c r="J291" s="32"/>
      <c r="K291" s="32">
        <f t="shared" si="4"/>
        <v>35039</v>
      </c>
      <c r="L291" s="50" t="s">
        <v>1312</v>
      </c>
      <c r="M291" s="26" t="s">
        <v>1320</v>
      </c>
      <c r="N291" s="26" t="s">
        <v>1325</v>
      </c>
      <c r="O291" s="26" t="e">
        <v>#N/A</v>
      </c>
    </row>
    <row r="292" spans="1:15" hidden="1" x14ac:dyDescent="0.3">
      <c r="A292" s="28">
        <v>8470730</v>
      </c>
      <c r="B292" s="29" t="s">
        <v>452</v>
      </c>
      <c r="C292" s="30">
        <v>421000</v>
      </c>
      <c r="D292" s="31" t="s">
        <v>675</v>
      </c>
      <c r="E292" s="45" t="s">
        <v>1051</v>
      </c>
      <c r="F292" s="32">
        <v>35000</v>
      </c>
      <c r="G292" s="32">
        <v>47000</v>
      </c>
      <c r="H292" s="32">
        <v>7345</v>
      </c>
      <c r="I292" s="33"/>
      <c r="J292" s="32"/>
      <c r="K292" s="32">
        <f t="shared" si="4"/>
        <v>39655</v>
      </c>
      <c r="L292" s="50" t="s">
        <v>1312</v>
      </c>
      <c r="M292" s="26" t="s">
        <v>1320</v>
      </c>
      <c r="N292" s="26" t="s">
        <v>1325</v>
      </c>
      <c r="O292" s="26" t="e">
        <v>#N/A</v>
      </c>
    </row>
    <row r="293" spans="1:15" hidden="1" x14ac:dyDescent="0.3">
      <c r="A293" s="28">
        <v>8470730</v>
      </c>
      <c r="B293" s="29" t="s">
        <v>452</v>
      </c>
      <c r="C293" s="30">
        <v>428090</v>
      </c>
      <c r="D293" s="31" t="s">
        <v>696</v>
      </c>
      <c r="E293" s="45" t="s">
        <v>1058</v>
      </c>
      <c r="F293" s="32">
        <v>0</v>
      </c>
      <c r="G293" s="32">
        <v>40000</v>
      </c>
      <c r="H293" s="32">
        <v>0</v>
      </c>
      <c r="I293" s="33"/>
      <c r="J293" s="32"/>
      <c r="K293" s="32">
        <f t="shared" si="4"/>
        <v>40000</v>
      </c>
      <c r="L293" s="50" t="s">
        <v>1312</v>
      </c>
      <c r="M293" s="26" t="s">
        <v>1320</v>
      </c>
      <c r="N293" s="26" t="s">
        <v>1325</v>
      </c>
      <c r="O293" s="26" t="e">
        <v>#N/A</v>
      </c>
    </row>
    <row r="294" spans="1:15" hidden="1" x14ac:dyDescent="0.3">
      <c r="A294" s="28">
        <v>8470730</v>
      </c>
      <c r="B294" s="31" t="s">
        <v>452</v>
      </c>
      <c r="C294" s="30">
        <v>495140</v>
      </c>
      <c r="D294" s="31" t="s">
        <v>1277</v>
      </c>
      <c r="E294" s="45" t="s">
        <v>1280</v>
      </c>
      <c r="F294" s="32">
        <v>110494</v>
      </c>
      <c r="G294" s="32">
        <v>110494</v>
      </c>
      <c r="H294" s="32">
        <v>18149.5</v>
      </c>
      <c r="I294" s="33"/>
      <c r="J294" s="32"/>
      <c r="K294" s="32">
        <f t="shared" si="4"/>
        <v>92344.5</v>
      </c>
      <c r="L294" s="47" t="s">
        <v>1310</v>
      </c>
      <c r="M294" s="26" t="s">
        <v>1320</v>
      </c>
      <c r="N294" s="26" t="s">
        <v>1325</v>
      </c>
      <c r="O294" s="26">
        <v>495140</v>
      </c>
    </row>
    <row r="295" spans="1:15" hidden="1" x14ac:dyDescent="0.3">
      <c r="A295" s="28">
        <v>8470810</v>
      </c>
      <c r="B295" s="29" t="s">
        <v>481</v>
      </c>
      <c r="C295" s="30">
        <v>421100</v>
      </c>
      <c r="D295" s="31" t="s">
        <v>946</v>
      </c>
      <c r="E295" s="45" t="s">
        <v>1064</v>
      </c>
      <c r="F295" s="32">
        <v>24291785</v>
      </c>
      <c r="G295" s="32">
        <v>1524278</v>
      </c>
      <c r="H295" s="32">
        <v>1705887.11</v>
      </c>
      <c r="I295" s="33"/>
      <c r="J295" s="32"/>
      <c r="K295" s="32">
        <f t="shared" si="4"/>
        <v>-181609.1100000001</v>
      </c>
      <c r="L295" s="50" t="s">
        <v>1312</v>
      </c>
      <c r="M295" s="26" t="s">
        <v>1320</v>
      </c>
      <c r="N295" s="26" t="s">
        <v>1326</v>
      </c>
      <c r="O295" s="26" t="e">
        <v>#N/A</v>
      </c>
    </row>
    <row r="296" spans="1:15" hidden="1" x14ac:dyDescent="0.3">
      <c r="A296" s="28">
        <v>8470810</v>
      </c>
      <c r="B296" s="29" t="s">
        <v>481</v>
      </c>
      <c r="C296" s="30">
        <v>420810</v>
      </c>
      <c r="D296" s="31" t="s">
        <v>1062</v>
      </c>
      <c r="E296" s="45" t="s">
        <v>1063</v>
      </c>
      <c r="F296" s="32">
        <v>300000</v>
      </c>
      <c r="G296" s="32">
        <v>300000</v>
      </c>
      <c r="H296" s="32">
        <v>300000</v>
      </c>
      <c r="I296" s="33"/>
      <c r="J296" s="32"/>
      <c r="K296" s="32">
        <f t="shared" si="4"/>
        <v>0</v>
      </c>
      <c r="L296" s="50" t="s">
        <v>1312</v>
      </c>
      <c r="M296" s="26" t="s">
        <v>1320</v>
      </c>
      <c r="N296" s="26" t="s">
        <v>1326</v>
      </c>
      <c r="O296" s="26" t="e">
        <v>#N/A</v>
      </c>
    </row>
    <row r="297" spans="1:15" hidden="1" x14ac:dyDescent="0.3">
      <c r="A297" s="28">
        <v>8470810</v>
      </c>
      <c r="B297" s="29" t="s">
        <v>481</v>
      </c>
      <c r="C297" s="30">
        <v>426610</v>
      </c>
      <c r="D297" s="31" t="s">
        <v>687</v>
      </c>
      <c r="E297" s="45" t="s">
        <v>1065</v>
      </c>
      <c r="F297" s="32"/>
      <c r="G297" s="32"/>
      <c r="H297" s="32">
        <v>0</v>
      </c>
      <c r="I297" s="33"/>
      <c r="J297" s="32"/>
      <c r="K297" s="32">
        <f t="shared" si="4"/>
        <v>0</v>
      </c>
      <c r="L297" s="50" t="s">
        <v>1312</v>
      </c>
      <c r="M297" s="26" t="s">
        <v>1320</v>
      </c>
      <c r="N297" s="26" t="s">
        <v>1326</v>
      </c>
      <c r="O297" s="26" t="e">
        <v>#N/A</v>
      </c>
    </row>
    <row r="298" spans="1:15" hidden="1" x14ac:dyDescent="0.3">
      <c r="A298" s="28">
        <v>8470810</v>
      </c>
      <c r="B298" s="29" t="s">
        <v>481</v>
      </c>
      <c r="C298" s="30">
        <v>492310</v>
      </c>
      <c r="D298" s="31" t="s">
        <v>1248</v>
      </c>
      <c r="E298" s="45" t="s">
        <v>1281</v>
      </c>
      <c r="F298" s="32">
        <v>3472296</v>
      </c>
      <c r="G298" s="32">
        <v>3472296</v>
      </c>
      <c r="H298" s="32">
        <v>3471424</v>
      </c>
      <c r="I298" s="33"/>
      <c r="J298" s="32"/>
      <c r="K298" s="32">
        <f t="shared" si="4"/>
        <v>872</v>
      </c>
      <c r="L298" s="50" t="s">
        <v>1312</v>
      </c>
      <c r="M298" s="26" t="s">
        <v>1320</v>
      </c>
      <c r="N298" s="26" t="s">
        <v>1326</v>
      </c>
      <c r="O298" s="26">
        <v>492310</v>
      </c>
    </row>
    <row r="299" spans="1:15" hidden="1" x14ac:dyDescent="0.3">
      <c r="A299" s="28">
        <v>8470810</v>
      </c>
      <c r="B299" s="29" t="s">
        <v>481</v>
      </c>
      <c r="C299" s="30">
        <v>495110</v>
      </c>
      <c r="D299" s="31" t="s">
        <v>1284</v>
      </c>
      <c r="E299" s="45" t="s">
        <v>1285</v>
      </c>
      <c r="F299" s="32">
        <v>800000</v>
      </c>
      <c r="G299" s="32">
        <v>800000</v>
      </c>
      <c r="H299" s="32">
        <v>796333.2</v>
      </c>
      <c r="I299" s="33"/>
      <c r="J299" s="32"/>
      <c r="K299" s="32">
        <f t="shared" si="4"/>
        <v>3666.8000000000466</v>
      </c>
      <c r="L299" s="50" t="s">
        <v>1312</v>
      </c>
      <c r="M299" s="26" t="s">
        <v>1320</v>
      </c>
      <c r="N299" s="26" t="s">
        <v>1326</v>
      </c>
      <c r="O299" s="26">
        <v>495110</v>
      </c>
    </row>
    <row r="300" spans="1:15" hidden="1" x14ac:dyDescent="0.3">
      <c r="A300" s="28">
        <v>8470810</v>
      </c>
      <c r="B300" s="29" t="s">
        <v>481</v>
      </c>
      <c r="C300" s="30">
        <v>430230</v>
      </c>
      <c r="D300" s="31" t="s">
        <v>1076</v>
      </c>
      <c r="E300" s="45" t="s">
        <v>1077</v>
      </c>
      <c r="F300" s="32">
        <v>2044000</v>
      </c>
      <c r="G300" s="32">
        <v>2599810</v>
      </c>
      <c r="H300" s="32">
        <v>2593733.34</v>
      </c>
      <c r="I300" s="33"/>
      <c r="J300" s="32"/>
      <c r="K300" s="32">
        <f t="shared" si="4"/>
        <v>6076.660000000149</v>
      </c>
      <c r="L300" s="50" t="s">
        <v>1312</v>
      </c>
      <c r="M300" s="26" t="s">
        <v>1320</v>
      </c>
      <c r="N300" s="26" t="s">
        <v>1326</v>
      </c>
      <c r="O300" s="26" t="e">
        <v>#N/A</v>
      </c>
    </row>
    <row r="301" spans="1:15" hidden="1" x14ac:dyDescent="0.3">
      <c r="A301" s="28">
        <v>8470810</v>
      </c>
      <c r="B301" s="29" t="s">
        <v>481</v>
      </c>
      <c r="C301" s="30">
        <v>428090</v>
      </c>
      <c r="D301" s="31" t="s">
        <v>696</v>
      </c>
      <c r="E301" s="45" t="s">
        <v>1074</v>
      </c>
      <c r="F301" s="32">
        <v>11500</v>
      </c>
      <c r="G301" s="32">
        <v>10000</v>
      </c>
      <c r="H301" s="32">
        <v>0</v>
      </c>
      <c r="I301" s="33"/>
      <c r="J301" s="32"/>
      <c r="K301" s="32">
        <f t="shared" si="4"/>
        <v>10000</v>
      </c>
      <c r="L301" s="50" t="s">
        <v>1312</v>
      </c>
      <c r="M301" s="26" t="s">
        <v>1320</v>
      </c>
      <c r="N301" s="26" t="s">
        <v>1326</v>
      </c>
      <c r="O301" s="26" t="e">
        <v>#N/A</v>
      </c>
    </row>
    <row r="302" spans="1:15" hidden="1" x14ac:dyDescent="0.3">
      <c r="A302" s="28">
        <v>8470810</v>
      </c>
      <c r="B302" s="29" t="s">
        <v>481</v>
      </c>
      <c r="C302" s="30">
        <v>427850</v>
      </c>
      <c r="D302" s="31" t="s">
        <v>1071</v>
      </c>
      <c r="E302" s="45" t="s">
        <v>1073</v>
      </c>
      <c r="F302" s="32">
        <v>1716216</v>
      </c>
      <c r="G302" s="32">
        <v>1716216</v>
      </c>
      <c r="H302" s="32">
        <v>1695109.4</v>
      </c>
      <c r="I302" s="33"/>
      <c r="J302" s="32"/>
      <c r="K302" s="32">
        <f t="shared" si="4"/>
        <v>21106.600000000093</v>
      </c>
      <c r="L302" s="50" t="s">
        <v>1312</v>
      </c>
      <c r="M302" s="26" t="s">
        <v>1320</v>
      </c>
      <c r="N302" s="26" t="s">
        <v>1326</v>
      </c>
      <c r="O302" s="26" t="e">
        <v>#N/A</v>
      </c>
    </row>
    <row r="303" spans="1:15" hidden="1" x14ac:dyDescent="0.3">
      <c r="A303" s="28">
        <v>8470810</v>
      </c>
      <c r="B303" s="29" t="s">
        <v>481</v>
      </c>
      <c r="C303" s="30">
        <v>427810</v>
      </c>
      <c r="D303" s="31" t="s">
        <v>1068</v>
      </c>
      <c r="E303" s="45" t="s">
        <v>1069</v>
      </c>
      <c r="F303" s="32">
        <v>1068281</v>
      </c>
      <c r="G303" s="32">
        <v>1046971</v>
      </c>
      <c r="H303" s="32">
        <v>1000636.43</v>
      </c>
      <c r="I303" s="33"/>
      <c r="J303" s="32"/>
      <c r="K303" s="32">
        <f t="shared" si="4"/>
        <v>46334.569999999949</v>
      </c>
      <c r="L303" s="50" t="s">
        <v>1312</v>
      </c>
      <c r="M303" s="26" t="s">
        <v>1320</v>
      </c>
      <c r="N303" s="26" t="s">
        <v>1326</v>
      </c>
      <c r="O303" s="26" t="e">
        <v>#N/A</v>
      </c>
    </row>
    <row r="304" spans="1:15" ht="52" hidden="1" x14ac:dyDescent="0.3">
      <c r="A304" s="28">
        <v>8470810</v>
      </c>
      <c r="B304" s="29" t="s">
        <v>481</v>
      </c>
      <c r="C304" s="30">
        <v>492316</v>
      </c>
      <c r="D304" s="31" t="s">
        <v>777</v>
      </c>
      <c r="E304" s="45" t="s">
        <v>1282</v>
      </c>
      <c r="F304" s="32"/>
      <c r="G304" s="32"/>
      <c r="H304" s="32">
        <v>-53578</v>
      </c>
      <c r="I304" s="33"/>
      <c r="J304" s="32"/>
      <c r="K304" s="32">
        <f t="shared" si="4"/>
        <v>53578</v>
      </c>
      <c r="L304" s="47" t="s">
        <v>1347</v>
      </c>
      <c r="M304" s="26" t="s">
        <v>1320</v>
      </c>
      <c r="N304" s="26" t="s">
        <v>1326</v>
      </c>
      <c r="O304" s="26">
        <v>492316</v>
      </c>
    </row>
    <row r="305" spans="1:15" ht="52" hidden="1" x14ac:dyDescent="0.3">
      <c r="A305" s="28">
        <v>8470810</v>
      </c>
      <c r="B305" s="29" t="s">
        <v>481</v>
      </c>
      <c r="C305" s="30">
        <v>427850</v>
      </c>
      <c r="D305" s="31" t="s">
        <v>1071</v>
      </c>
      <c r="E305" s="45" t="s">
        <v>1072</v>
      </c>
      <c r="F305" s="32">
        <v>2112872</v>
      </c>
      <c r="G305" s="32">
        <v>2962872</v>
      </c>
      <c r="H305" s="32">
        <v>2812668.59</v>
      </c>
      <c r="I305" s="33"/>
      <c r="J305" s="32"/>
      <c r="K305" s="32">
        <f t="shared" si="4"/>
        <v>150203.41000000015</v>
      </c>
      <c r="L305" s="47" t="s">
        <v>1348</v>
      </c>
      <c r="M305" s="26" t="s">
        <v>1320</v>
      </c>
      <c r="N305" s="26" t="s">
        <v>1326</v>
      </c>
      <c r="O305" s="26" t="e">
        <v>#N/A</v>
      </c>
    </row>
    <row r="306" spans="1:15" ht="247" hidden="1" x14ac:dyDescent="0.3">
      <c r="A306" s="28">
        <v>8470810</v>
      </c>
      <c r="B306" s="29" t="s">
        <v>481</v>
      </c>
      <c r="C306" s="30">
        <v>426610</v>
      </c>
      <c r="D306" s="31" t="s">
        <v>687</v>
      </c>
      <c r="E306" s="45" t="s">
        <v>1066</v>
      </c>
      <c r="F306" s="32">
        <v>9324328</v>
      </c>
      <c r="G306" s="32">
        <v>9217828</v>
      </c>
      <c r="H306" s="32">
        <v>8722313.4399999995</v>
      </c>
      <c r="I306" s="33"/>
      <c r="J306" s="32"/>
      <c r="K306" s="32">
        <f t="shared" si="4"/>
        <v>495514.56000000052</v>
      </c>
      <c r="L306" s="47" t="s">
        <v>1349</v>
      </c>
      <c r="M306" s="26" t="s">
        <v>1320</v>
      </c>
      <c r="N306" s="26" t="s">
        <v>1326</v>
      </c>
      <c r="O306" s="26" t="e">
        <v>#N/A</v>
      </c>
    </row>
    <row r="307" spans="1:15" ht="208" hidden="1" x14ac:dyDescent="0.3">
      <c r="A307" s="28">
        <v>8470810</v>
      </c>
      <c r="B307" s="29" t="s">
        <v>481</v>
      </c>
      <c r="C307" s="30">
        <v>432205</v>
      </c>
      <c r="D307" s="31" t="s">
        <v>1079</v>
      </c>
      <c r="E307" s="45" t="s">
        <v>1080</v>
      </c>
      <c r="F307" s="32">
        <v>14436370</v>
      </c>
      <c r="G307" s="32">
        <v>13903370</v>
      </c>
      <c r="H307" s="32">
        <v>12846395.300000001</v>
      </c>
      <c r="I307" s="33"/>
      <c r="J307" s="32"/>
      <c r="K307" s="32">
        <f t="shared" si="4"/>
        <v>1056974.6999999993</v>
      </c>
      <c r="L307" s="47" t="s">
        <v>1350</v>
      </c>
      <c r="M307" s="26" t="s">
        <v>1320</v>
      </c>
      <c r="N307" s="26" t="s">
        <v>1326</v>
      </c>
      <c r="O307" s="26" t="e">
        <v>#N/A</v>
      </c>
    </row>
    <row r="308" spans="1:15" hidden="1" x14ac:dyDescent="0.3">
      <c r="A308" s="28">
        <v>8471010</v>
      </c>
      <c r="B308" s="29" t="s">
        <v>1082</v>
      </c>
      <c r="C308" s="30">
        <v>425510</v>
      </c>
      <c r="D308" s="31" t="s">
        <v>681</v>
      </c>
      <c r="E308" s="45" t="s">
        <v>1084</v>
      </c>
      <c r="F308" s="32">
        <v>11250</v>
      </c>
      <c r="G308" s="32">
        <v>0</v>
      </c>
      <c r="H308" s="32">
        <v>0</v>
      </c>
      <c r="I308" s="33"/>
      <c r="J308" s="32"/>
      <c r="K308" s="32">
        <f t="shared" si="4"/>
        <v>0</v>
      </c>
      <c r="L308" s="50" t="s">
        <v>1312</v>
      </c>
      <c r="M308" s="60" t="s">
        <v>1317</v>
      </c>
      <c r="N308" s="26" t="s">
        <v>1317</v>
      </c>
      <c r="O308" s="26" t="e">
        <v>#N/A</v>
      </c>
    </row>
    <row r="309" spans="1:15" hidden="1" x14ac:dyDescent="0.3">
      <c r="A309" s="28">
        <v>8471010</v>
      </c>
      <c r="B309" s="29" t="s">
        <v>1082</v>
      </c>
      <c r="C309" s="30">
        <v>425550</v>
      </c>
      <c r="D309" s="31" t="s">
        <v>723</v>
      </c>
      <c r="E309" s="45" t="s">
        <v>1085</v>
      </c>
      <c r="F309" s="32">
        <v>21000</v>
      </c>
      <c r="G309" s="32">
        <v>0</v>
      </c>
      <c r="H309" s="32">
        <v>0</v>
      </c>
      <c r="I309" s="33"/>
      <c r="J309" s="32"/>
      <c r="K309" s="32">
        <f t="shared" si="4"/>
        <v>0</v>
      </c>
      <c r="L309" s="50" t="s">
        <v>1312</v>
      </c>
      <c r="M309" s="60" t="s">
        <v>1317</v>
      </c>
      <c r="N309" s="26" t="s">
        <v>1317</v>
      </c>
      <c r="O309" s="26" t="e">
        <v>#N/A</v>
      </c>
    </row>
    <row r="310" spans="1:15" hidden="1" x14ac:dyDescent="0.3">
      <c r="A310" s="28">
        <v>8471010</v>
      </c>
      <c r="B310" s="29" t="s">
        <v>1082</v>
      </c>
      <c r="C310" s="30">
        <v>425720</v>
      </c>
      <c r="D310" s="31" t="s">
        <v>765</v>
      </c>
      <c r="E310" s="45" t="s">
        <v>1086</v>
      </c>
      <c r="F310" s="32">
        <v>24000</v>
      </c>
      <c r="G310" s="32">
        <v>24000</v>
      </c>
      <c r="H310" s="32">
        <v>23528</v>
      </c>
      <c r="I310" s="33"/>
      <c r="J310" s="32"/>
      <c r="K310" s="32">
        <f t="shared" si="4"/>
        <v>472</v>
      </c>
      <c r="L310" s="50" t="s">
        <v>1312</v>
      </c>
      <c r="M310" s="60" t="s">
        <v>1317</v>
      </c>
      <c r="N310" s="26" t="s">
        <v>1317</v>
      </c>
      <c r="O310" s="26" t="e">
        <v>#N/A</v>
      </c>
    </row>
    <row r="311" spans="1:15" hidden="1" x14ac:dyDescent="0.3">
      <c r="A311" s="28">
        <v>8471010</v>
      </c>
      <c r="B311" s="29" t="s">
        <v>1082</v>
      </c>
      <c r="C311" s="30">
        <v>436120</v>
      </c>
      <c r="D311" s="31" t="s">
        <v>1042</v>
      </c>
      <c r="E311" s="45" t="s">
        <v>1089</v>
      </c>
      <c r="F311" s="32">
        <v>3500</v>
      </c>
      <c r="G311" s="32">
        <v>3500</v>
      </c>
      <c r="H311" s="32">
        <v>0</v>
      </c>
      <c r="I311" s="33"/>
      <c r="J311" s="32"/>
      <c r="K311" s="32">
        <f t="shared" si="4"/>
        <v>3500</v>
      </c>
      <c r="L311" s="50" t="s">
        <v>1312</v>
      </c>
      <c r="M311" s="60" t="s">
        <v>1317</v>
      </c>
      <c r="N311" s="26" t="s">
        <v>1317</v>
      </c>
      <c r="O311" s="26" t="e">
        <v>#N/A</v>
      </c>
    </row>
    <row r="312" spans="1:15" hidden="1" x14ac:dyDescent="0.3">
      <c r="A312" s="28">
        <v>8471010</v>
      </c>
      <c r="B312" s="29" t="s">
        <v>1082</v>
      </c>
      <c r="C312" s="30">
        <v>425100</v>
      </c>
      <c r="D312" s="31" t="s">
        <v>1306</v>
      </c>
      <c r="E312" s="45" t="s">
        <v>1083</v>
      </c>
      <c r="F312" s="32">
        <v>37500</v>
      </c>
      <c r="G312" s="32">
        <v>97500</v>
      </c>
      <c r="H312" s="32">
        <v>86900</v>
      </c>
      <c r="I312" s="33"/>
      <c r="J312" s="32"/>
      <c r="K312" s="32">
        <f t="shared" si="4"/>
        <v>10600</v>
      </c>
      <c r="L312" s="50" t="s">
        <v>1312</v>
      </c>
      <c r="M312" s="60" t="s">
        <v>1317</v>
      </c>
      <c r="N312" s="26" t="s">
        <v>1317</v>
      </c>
      <c r="O312" s="26" t="e">
        <v>#N/A</v>
      </c>
    </row>
    <row r="313" spans="1:15" hidden="1" x14ac:dyDescent="0.3">
      <c r="A313" s="28">
        <v>8471010</v>
      </c>
      <c r="B313" s="29" t="s">
        <v>1082</v>
      </c>
      <c r="C313" s="30">
        <v>425900</v>
      </c>
      <c r="D313" s="31" t="s">
        <v>684</v>
      </c>
      <c r="E313" s="45" t="s">
        <v>1087</v>
      </c>
      <c r="F313" s="32">
        <v>37500</v>
      </c>
      <c r="G313" s="32">
        <v>37500</v>
      </c>
      <c r="H313" s="32">
        <v>26586</v>
      </c>
      <c r="I313" s="33"/>
      <c r="J313" s="32"/>
      <c r="K313" s="32">
        <f t="shared" si="4"/>
        <v>10914</v>
      </c>
      <c r="L313" s="50" t="s">
        <v>1312</v>
      </c>
      <c r="M313" s="60" t="s">
        <v>1317</v>
      </c>
      <c r="N313" s="26" t="s">
        <v>1317</v>
      </c>
      <c r="O313" s="26" t="e">
        <v>#N/A</v>
      </c>
    </row>
    <row r="314" spans="1:15" hidden="1" x14ac:dyDescent="0.3">
      <c r="A314" s="28">
        <v>8471010</v>
      </c>
      <c r="B314" s="29" t="s">
        <v>1082</v>
      </c>
      <c r="C314" s="30">
        <v>436110</v>
      </c>
      <c r="D314" s="31" t="s">
        <v>708</v>
      </c>
      <c r="E314" s="45" t="s">
        <v>1088</v>
      </c>
      <c r="F314" s="32">
        <v>57750</v>
      </c>
      <c r="G314" s="32">
        <v>30000</v>
      </c>
      <c r="H314" s="32">
        <v>0</v>
      </c>
      <c r="I314" s="33"/>
      <c r="J314" s="32"/>
      <c r="K314" s="32">
        <f t="shared" si="4"/>
        <v>30000</v>
      </c>
      <c r="L314" s="50" t="s">
        <v>1312</v>
      </c>
      <c r="M314" s="60" t="s">
        <v>1317</v>
      </c>
      <c r="N314" s="26" t="s">
        <v>1317</v>
      </c>
      <c r="O314" s="26" t="e">
        <v>#N/A</v>
      </c>
    </row>
    <row r="315" spans="1:15" x14ac:dyDescent="0.3">
      <c r="A315" s="28">
        <v>8471110</v>
      </c>
      <c r="B315" s="29" t="s">
        <v>501</v>
      </c>
      <c r="C315" s="30">
        <v>425510</v>
      </c>
      <c r="D315" s="31" t="s">
        <v>681</v>
      </c>
      <c r="E315" s="45" t="s">
        <v>1090</v>
      </c>
      <c r="F315" s="32"/>
      <c r="G315" s="32"/>
      <c r="H315" s="32">
        <v>0</v>
      </c>
      <c r="I315" s="33"/>
      <c r="J315" s="32"/>
      <c r="K315" s="32">
        <f t="shared" si="4"/>
        <v>0</v>
      </c>
      <c r="L315" s="50" t="s">
        <v>1312</v>
      </c>
      <c r="M315" s="61" t="s">
        <v>1327</v>
      </c>
      <c r="N315" s="26" t="s">
        <v>1327</v>
      </c>
      <c r="O315" s="26" t="e">
        <v>#N/A</v>
      </c>
    </row>
    <row r="316" spans="1:15" x14ac:dyDescent="0.3">
      <c r="A316" s="28">
        <v>8471110</v>
      </c>
      <c r="B316" s="29" t="s">
        <v>501</v>
      </c>
      <c r="C316" s="30">
        <v>425770</v>
      </c>
      <c r="D316" s="31" t="s">
        <v>771</v>
      </c>
      <c r="E316" s="45" t="s">
        <v>1091</v>
      </c>
      <c r="F316" s="32"/>
      <c r="G316" s="32"/>
      <c r="H316" s="32">
        <v>0</v>
      </c>
      <c r="I316" s="33"/>
      <c r="J316" s="32"/>
      <c r="K316" s="32">
        <f t="shared" si="4"/>
        <v>0</v>
      </c>
      <c r="L316" s="50" t="s">
        <v>1312</v>
      </c>
      <c r="M316" s="61" t="s">
        <v>1327</v>
      </c>
      <c r="N316" s="26" t="s">
        <v>1327</v>
      </c>
      <c r="O316" s="26" t="e">
        <v>#N/A</v>
      </c>
    </row>
    <row r="317" spans="1:15" hidden="1" x14ac:dyDescent="0.3">
      <c r="A317" s="28">
        <v>8471121</v>
      </c>
      <c r="B317" s="29" t="s">
        <v>1093</v>
      </c>
      <c r="C317" s="30">
        <v>435523</v>
      </c>
      <c r="D317" s="31" t="s">
        <v>1096</v>
      </c>
      <c r="E317" s="45" t="s">
        <v>1097</v>
      </c>
      <c r="F317" s="32">
        <v>0</v>
      </c>
      <c r="G317" s="32">
        <v>0</v>
      </c>
      <c r="H317" s="32">
        <v>0</v>
      </c>
      <c r="I317" s="33"/>
      <c r="J317" s="32"/>
      <c r="K317" s="32">
        <f t="shared" si="4"/>
        <v>0</v>
      </c>
      <c r="L317" s="50" t="s">
        <v>1312</v>
      </c>
      <c r="M317" s="60" t="e">
        <v>#N/A</v>
      </c>
      <c r="N317" s="26" t="e">
        <v>#N/A</v>
      </c>
      <c r="O317" s="26" t="e">
        <v>#N/A</v>
      </c>
    </row>
    <row r="318" spans="1:15" hidden="1" x14ac:dyDescent="0.3">
      <c r="A318" s="28">
        <v>8471121</v>
      </c>
      <c r="B318" s="29" t="s">
        <v>1093</v>
      </c>
      <c r="C318" s="30">
        <v>429900</v>
      </c>
      <c r="D318" s="31" t="s">
        <v>987</v>
      </c>
      <c r="E318" s="45" t="s">
        <v>1094</v>
      </c>
      <c r="F318" s="32">
        <v>7932</v>
      </c>
      <c r="G318" s="32">
        <v>7932</v>
      </c>
      <c r="H318" s="32">
        <v>0</v>
      </c>
      <c r="I318" s="33"/>
      <c r="J318" s="32"/>
      <c r="K318" s="32">
        <f t="shared" si="4"/>
        <v>7932</v>
      </c>
      <c r="L318" s="50" t="s">
        <v>1312</v>
      </c>
      <c r="M318" s="60" t="e">
        <v>#N/A</v>
      </c>
      <c r="N318" s="26" t="e">
        <v>#N/A</v>
      </c>
      <c r="O318" s="26" t="e">
        <v>#N/A</v>
      </c>
    </row>
    <row r="319" spans="1:15" x14ac:dyDescent="0.3">
      <c r="A319" s="28">
        <v>8471130</v>
      </c>
      <c r="B319" s="29" t="s">
        <v>519</v>
      </c>
      <c r="C319" s="30">
        <v>435523</v>
      </c>
      <c r="D319" s="31" t="s">
        <v>1096</v>
      </c>
      <c r="E319" s="45" t="s">
        <v>1102</v>
      </c>
      <c r="F319" s="32"/>
      <c r="G319" s="32"/>
      <c r="H319" s="32">
        <v>0</v>
      </c>
      <c r="I319" s="33"/>
      <c r="J319" s="32"/>
      <c r="K319" s="32">
        <f t="shared" si="4"/>
        <v>0</v>
      </c>
      <c r="L319" s="50" t="s">
        <v>1312</v>
      </c>
      <c r="M319" s="61" t="s">
        <v>1327</v>
      </c>
      <c r="N319" s="26" t="s">
        <v>1327</v>
      </c>
      <c r="O319" s="26" t="e">
        <v>#N/A</v>
      </c>
    </row>
    <row r="320" spans="1:15" x14ac:dyDescent="0.3">
      <c r="A320" s="28">
        <v>8471130</v>
      </c>
      <c r="B320" s="31" t="s">
        <v>519</v>
      </c>
      <c r="C320" s="30">
        <v>492316</v>
      </c>
      <c r="D320" s="31" t="s">
        <v>777</v>
      </c>
      <c r="E320" s="45" t="s">
        <v>1286</v>
      </c>
      <c r="F320" s="32">
        <v>0</v>
      </c>
      <c r="G320" s="32">
        <v>0</v>
      </c>
      <c r="H320" s="32">
        <v>0</v>
      </c>
      <c r="I320" s="33"/>
      <c r="J320" s="32"/>
      <c r="K320" s="32">
        <f t="shared" si="4"/>
        <v>0</v>
      </c>
      <c r="L320" s="50" t="s">
        <v>1312</v>
      </c>
      <c r="M320" s="26" t="s">
        <v>1327</v>
      </c>
      <c r="N320" s="26" t="s">
        <v>1327</v>
      </c>
      <c r="O320" s="26">
        <v>492316</v>
      </c>
    </row>
    <row r="321" spans="1:15" x14ac:dyDescent="0.3">
      <c r="A321" s="28">
        <v>8471130</v>
      </c>
      <c r="B321" s="29" t="s">
        <v>519</v>
      </c>
      <c r="C321" s="30">
        <v>420570</v>
      </c>
      <c r="D321" s="31" t="s">
        <v>669</v>
      </c>
      <c r="E321" s="45" t="s">
        <v>1098</v>
      </c>
      <c r="F321" s="32"/>
      <c r="G321" s="32"/>
      <c r="H321" s="32">
        <v>-550.95000000000005</v>
      </c>
      <c r="I321" s="33"/>
      <c r="J321" s="32"/>
      <c r="K321" s="32">
        <f t="shared" si="4"/>
        <v>550.95000000000005</v>
      </c>
      <c r="L321" s="50" t="s">
        <v>1312</v>
      </c>
      <c r="M321" s="61" t="s">
        <v>1327</v>
      </c>
      <c r="N321" s="26" t="s">
        <v>1327</v>
      </c>
      <c r="O321" s="26" t="e">
        <v>#N/A</v>
      </c>
    </row>
    <row r="322" spans="1:15" x14ac:dyDescent="0.3">
      <c r="A322" s="28">
        <v>8471130</v>
      </c>
      <c r="B322" s="29" t="s">
        <v>519</v>
      </c>
      <c r="C322" s="30">
        <v>427900</v>
      </c>
      <c r="D322" s="31" t="s">
        <v>693</v>
      </c>
      <c r="E322" s="45" t="s">
        <v>1101</v>
      </c>
      <c r="F322" s="32">
        <v>5000</v>
      </c>
      <c r="G322" s="32">
        <v>5000</v>
      </c>
      <c r="H322" s="32">
        <v>0</v>
      </c>
      <c r="I322" s="33"/>
      <c r="J322" s="32"/>
      <c r="K322" s="32">
        <f t="shared" ref="K322:K385" si="5">G322-H322-I322-J322</f>
        <v>5000</v>
      </c>
      <c r="L322" s="50" t="s">
        <v>1312</v>
      </c>
      <c r="M322" s="61" t="s">
        <v>1327</v>
      </c>
      <c r="N322" s="26" t="s">
        <v>1327</v>
      </c>
      <c r="O322" s="26" t="e">
        <v>#N/A</v>
      </c>
    </row>
    <row r="323" spans="1:15" x14ac:dyDescent="0.3">
      <c r="A323" s="28">
        <v>8471130</v>
      </c>
      <c r="B323" s="29" t="s">
        <v>519</v>
      </c>
      <c r="C323" s="30">
        <v>426900</v>
      </c>
      <c r="D323" s="31" t="s">
        <v>971</v>
      </c>
      <c r="E323" s="45" t="s">
        <v>1100</v>
      </c>
      <c r="F323" s="32">
        <v>10000</v>
      </c>
      <c r="G323" s="32">
        <v>10000</v>
      </c>
      <c r="H323" s="32">
        <v>0</v>
      </c>
      <c r="I323" s="33"/>
      <c r="J323" s="32"/>
      <c r="K323" s="32">
        <f t="shared" si="5"/>
        <v>10000</v>
      </c>
      <c r="L323" s="50" t="s">
        <v>1312</v>
      </c>
      <c r="M323" s="61" t="s">
        <v>1327</v>
      </c>
      <c r="N323" s="26" t="s">
        <v>1327</v>
      </c>
      <c r="O323" s="26" t="e">
        <v>#N/A</v>
      </c>
    </row>
    <row r="324" spans="1:15" x14ac:dyDescent="0.3">
      <c r="A324" s="28">
        <v>8471130</v>
      </c>
      <c r="B324" s="29" t="s">
        <v>519</v>
      </c>
      <c r="C324" s="30">
        <v>436120</v>
      </c>
      <c r="D324" s="31" t="s">
        <v>1042</v>
      </c>
      <c r="E324" s="45" t="s">
        <v>1104</v>
      </c>
      <c r="F324" s="32">
        <v>10000</v>
      </c>
      <c r="G324" s="32">
        <v>10000</v>
      </c>
      <c r="H324" s="32">
        <v>0</v>
      </c>
      <c r="I324" s="33"/>
      <c r="J324" s="32"/>
      <c r="K324" s="32">
        <f t="shared" si="5"/>
        <v>10000</v>
      </c>
      <c r="L324" s="50" t="s">
        <v>1312</v>
      </c>
      <c r="M324" s="61" t="s">
        <v>1327</v>
      </c>
      <c r="N324" s="26" t="s">
        <v>1327</v>
      </c>
      <c r="O324" s="26" t="e">
        <v>#N/A</v>
      </c>
    </row>
    <row r="325" spans="1:15" x14ac:dyDescent="0.3">
      <c r="A325" s="28">
        <v>8471130</v>
      </c>
      <c r="B325" s="29" t="s">
        <v>519</v>
      </c>
      <c r="C325" s="30">
        <v>435523</v>
      </c>
      <c r="D325" s="31" t="s">
        <v>1096</v>
      </c>
      <c r="E325" s="45" t="s">
        <v>1103</v>
      </c>
      <c r="F325" s="32">
        <v>500000</v>
      </c>
      <c r="G325" s="32">
        <v>280000</v>
      </c>
      <c r="H325" s="32">
        <v>198468.28</v>
      </c>
      <c r="I325" s="33"/>
      <c r="J325" s="32"/>
      <c r="K325" s="32">
        <f t="shared" si="5"/>
        <v>81531.72</v>
      </c>
      <c r="L325" s="48" t="s">
        <v>1310</v>
      </c>
      <c r="M325" s="61" t="s">
        <v>1327</v>
      </c>
      <c r="N325" s="26" t="s">
        <v>1327</v>
      </c>
      <c r="O325" s="26" t="e">
        <v>#N/A</v>
      </c>
    </row>
    <row r="326" spans="1:15" ht="26" x14ac:dyDescent="0.3">
      <c r="A326" s="28">
        <v>8471130</v>
      </c>
      <c r="B326" s="29" t="s">
        <v>519</v>
      </c>
      <c r="C326" s="30">
        <v>426610</v>
      </c>
      <c r="D326" s="31" t="s">
        <v>687</v>
      </c>
      <c r="E326" s="45" t="s">
        <v>1099</v>
      </c>
      <c r="F326" s="32">
        <v>500000</v>
      </c>
      <c r="G326" s="32">
        <v>352600</v>
      </c>
      <c r="H326" s="32">
        <v>214870.5</v>
      </c>
      <c r="I326" s="33"/>
      <c r="J326" s="32"/>
      <c r="K326" s="32">
        <f t="shared" si="5"/>
        <v>137729.5</v>
      </c>
      <c r="L326" s="47" t="s">
        <v>1351</v>
      </c>
      <c r="M326" s="61" t="s">
        <v>1327</v>
      </c>
      <c r="N326" s="26" t="s">
        <v>1327</v>
      </c>
      <c r="O326" s="26" t="e">
        <v>#N/A</v>
      </c>
    </row>
    <row r="327" spans="1:15" x14ac:dyDescent="0.3">
      <c r="A327" s="28">
        <v>8471140</v>
      </c>
      <c r="B327" s="29" t="s">
        <v>530</v>
      </c>
      <c r="C327" s="30">
        <v>420570</v>
      </c>
      <c r="D327" s="31" t="s">
        <v>669</v>
      </c>
      <c r="E327" s="45" t="s">
        <v>1105</v>
      </c>
      <c r="F327" s="32">
        <v>400000</v>
      </c>
      <c r="G327" s="32">
        <v>400000</v>
      </c>
      <c r="H327" s="32">
        <v>11867277.859999999</v>
      </c>
      <c r="I327" s="33"/>
      <c r="J327" s="32"/>
      <c r="K327" s="32">
        <f t="shared" si="5"/>
        <v>-11467277.859999999</v>
      </c>
      <c r="L327" s="50" t="s">
        <v>1312</v>
      </c>
      <c r="M327" s="61" t="s">
        <v>1327</v>
      </c>
      <c r="N327" s="26" t="s">
        <v>1327</v>
      </c>
      <c r="O327" s="26" t="e">
        <v>#N/A</v>
      </c>
    </row>
    <row r="328" spans="1:15" x14ac:dyDescent="0.3">
      <c r="A328" s="28">
        <v>8471140</v>
      </c>
      <c r="B328" s="29" t="s">
        <v>530</v>
      </c>
      <c r="C328" s="30">
        <v>426610</v>
      </c>
      <c r="D328" s="31" t="s">
        <v>687</v>
      </c>
      <c r="E328" s="45" t="s">
        <v>1106</v>
      </c>
      <c r="F328" s="32">
        <v>300000</v>
      </c>
      <c r="G328" s="32">
        <v>0</v>
      </c>
      <c r="H328" s="32">
        <v>0</v>
      </c>
      <c r="I328" s="33"/>
      <c r="J328" s="32"/>
      <c r="K328" s="32">
        <f t="shared" si="5"/>
        <v>0</v>
      </c>
      <c r="L328" s="50" t="s">
        <v>1312</v>
      </c>
      <c r="M328" s="61" t="s">
        <v>1327</v>
      </c>
      <c r="N328" s="26" t="s">
        <v>1327</v>
      </c>
      <c r="O328" s="26" t="e">
        <v>#N/A</v>
      </c>
    </row>
    <row r="329" spans="1:15" x14ac:dyDescent="0.3">
      <c r="A329" s="28">
        <v>8471140</v>
      </c>
      <c r="B329" s="29" t="s">
        <v>530</v>
      </c>
      <c r="C329" s="30">
        <v>426900</v>
      </c>
      <c r="D329" s="31" t="s">
        <v>971</v>
      </c>
      <c r="E329" s="45" t="s">
        <v>1107</v>
      </c>
      <c r="F329" s="32">
        <v>10000</v>
      </c>
      <c r="G329" s="32">
        <v>10000</v>
      </c>
      <c r="H329" s="32">
        <v>0</v>
      </c>
      <c r="I329" s="33"/>
      <c r="J329" s="32"/>
      <c r="K329" s="32">
        <f t="shared" si="5"/>
        <v>10000</v>
      </c>
      <c r="L329" s="50" t="s">
        <v>1312</v>
      </c>
      <c r="M329" s="61" t="s">
        <v>1327</v>
      </c>
      <c r="N329" s="26" t="s">
        <v>1327</v>
      </c>
      <c r="O329" s="26" t="e">
        <v>#N/A</v>
      </c>
    </row>
    <row r="330" spans="1:15" ht="39" x14ac:dyDescent="0.3">
      <c r="A330" s="28">
        <v>8471140</v>
      </c>
      <c r="B330" s="31" t="s">
        <v>530</v>
      </c>
      <c r="C330" s="30">
        <v>492316</v>
      </c>
      <c r="D330" s="31" t="s">
        <v>777</v>
      </c>
      <c r="E330" s="45" t="s">
        <v>1287</v>
      </c>
      <c r="F330" s="32">
        <v>1248535</v>
      </c>
      <c r="G330" s="32">
        <v>1606304</v>
      </c>
      <c r="H330" s="32">
        <v>1011699.92</v>
      </c>
      <c r="I330" s="33"/>
      <c r="J330" s="32"/>
      <c r="K330" s="32">
        <f t="shared" si="5"/>
        <v>594604.07999999996</v>
      </c>
      <c r="L330" s="47" t="s">
        <v>1352</v>
      </c>
      <c r="M330" s="26" t="s">
        <v>1327</v>
      </c>
      <c r="N330" s="26" t="s">
        <v>1327</v>
      </c>
      <c r="O330" s="26">
        <v>492316</v>
      </c>
    </row>
    <row r="331" spans="1:15" ht="52" x14ac:dyDescent="0.3">
      <c r="A331" s="28">
        <v>8471140</v>
      </c>
      <c r="B331" s="29" t="s">
        <v>530</v>
      </c>
      <c r="C331" s="30">
        <v>435523</v>
      </c>
      <c r="D331" s="31" t="s">
        <v>1096</v>
      </c>
      <c r="E331" s="45" t="s">
        <v>1108</v>
      </c>
      <c r="F331" s="32">
        <v>92538664</v>
      </c>
      <c r="G331" s="32">
        <v>94712011</v>
      </c>
      <c r="H331" s="32">
        <v>83770903.290000096</v>
      </c>
      <c r="I331" s="33"/>
      <c r="J331" s="32"/>
      <c r="K331" s="32">
        <f t="shared" si="5"/>
        <v>10941107.709999904</v>
      </c>
      <c r="L331" s="47" t="s">
        <v>1353</v>
      </c>
      <c r="M331" s="61" t="s">
        <v>1327</v>
      </c>
      <c r="N331" s="26" t="s">
        <v>1327</v>
      </c>
      <c r="O331" s="26" t="e">
        <v>#N/A</v>
      </c>
    </row>
    <row r="332" spans="1:15" x14ac:dyDescent="0.3">
      <c r="A332" s="28">
        <v>8471150</v>
      </c>
      <c r="B332" s="29" t="s">
        <v>540</v>
      </c>
      <c r="C332" s="30">
        <v>425510</v>
      </c>
      <c r="D332" s="31" t="s">
        <v>681</v>
      </c>
      <c r="E332" s="45" t="s">
        <v>1111</v>
      </c>
      <c r="F332" s="32">
        <v>0</v>
      </c>
      <c r="G332" s="32">
        <v>10000</v>
      </c>
      <c r="H332" s="32">
        <v>10137.75</v>
      </c>
      <c r="I332" s="33"/>
      <c r="J332" s="32"/>
      <c r="K332" s="32">
        <f t="shared" si="5"/>
        <v>-137.75</v>
      </c>
      <c r="L332" s="50" t="s">
        <v>1312</v>
      </c>
      <c r="M332" s="61" t="s">
        <v>1327</v>
      </c>
      <c r="N332" s="26" t="s">
        <v>1327</v>
      </c>
      <c r="O332" s="26" t="e">
        <v>#N/A</v>
      </c>
    </row>
    <row r="333" spans="1:15" x14ac:dyDescent="0.3">
      <c r="A333" s="28">
        <v>8471150</v>
      </c>
      <c r="B333" s="29" t="s">
        <v>540</v>
      </c>
      <c r="C333" s="30">
        <v>420900</v>
      </c>
      <c r="D333" s="31" t="s">
        <v>672</v>
      </c>
      <c r="E333" s="45" t="s">
        <v>1109</v>
      </c>
      <c r="F333" s="32"/>
      <c r="G333" s="32"/>
      <c r="H333" s="32">
        <v>0</v>
      </c>
      <c r="I333" s="33"/>
      <c r="J333" s="32"/>
      <c r="K333" s="32">
        <f t="shared" si="5"/>
        <v>0</v>
      </c>
      <c r="L333" s="50" t="s">
        <v>1312</v>
      </c>
      <c r="M333" s="61" t="s">
        <v>1327</v>
      </c>
      <c r="N333" s="26" t="s">
        <v>1327</v>
      </c>
      <c r="O333" s="26" t="e">
        <v>#N/A</v>
      </c>
    </row>
    <row r="334" spans="1:15" x14ac:dyDescent="0.3">
      <c r="A334" s="28">
        <v>8471150</v>
      </c>
      <c r="B334" s="29" t="s">
        <v>540</v>
      </c>
      <c r="C334" s="30">
        <v>425550</v>
      </c>
      <c r="D334" s="31" t="s">
        <v>723</v>
      </c>
      <c r="E334" s="45" t="s">
        <v>1112</v>
      </c>
      <c r="F334" s="32">
        <v>0</v>
      </c>
      <c r="G334" s="32">
        <v>40000</v>
      </c>
      <c r="H334" s="32">
        <v>0</v>
      </c>
      <c r="I334" s="33"/>
      <c r="J334" s="32"/>
      <c r="K334" s="32">
        <f t="shared" si="5"/>
        <v>40000</v>
      </c>
      <c r="L334" s="50" t="s">
        <v>1312</v>
      </c>
      <c r="M334" s="61" t="s">
        <v>1327</v>
      </c>
      <c r="N334" s="26" t="s">
        <v>1327</v>
      </c>
      <c r="O334" s="26" t="e">
        <v>#N/A</v>
      </c>
    </row>
    <row r="335" spans="1:15" x14ac:dyDescent="0.3">
      <c r="A335" s="28">
        <v>8471150</v>
      </c>
      <c r="B335" s="29" t="s">
        <v>540</v>
      </c>
      <c r="C335" s="30">
        <v>426610</v>
      </c>
      <c r="D335" s="31" t="s">
        <v>687</v>
      </c>
      <c r="E335" s="45" t="s">
        <v>1113</v>
      </c>
      <c r="F335" s="32">
        <v>98576</v>
      </c>
      <c r="G335" s="32">
        <v>178576</v>
      </c>
      <c r="H335" s="32">
        <v>76378.73</v>
      </c>
      <c r="I335" s="33"/>
      <c r="J335" s="32"/>
      <c r="K335" s="32">
        <f t="shared" si="5"/>
        <v>102197.27</v>
      </c>
      <c r="L335" s="48" t="s">
        <v>1313</v>
      </c>
      <c r="M335" s="61" t="s">
        <v>1327</v>
      </c>
      <c r="N335" s="26" t="s">
        <v>1327</v>
      </c>
      <c r="O335" s="26" t="e">
        <v>#N/A</v>
      </c>
    </row>
    <row r="336" spans="1:15" x14ac:dyDescent="0.3">
      <c r="A336" s="28">
        <v>8471150</v>
      </c>
      <c r="B336" s="29" t="s">
        <v>540</v>
      </c>
      <c r="C336" s="30">
        <v>420900</v>
      </c>
      <c r="D336" s="31" t="s">
        <v>672</v>
      </c>
      <c r="E336" s="45" t="s">
        <v>1110</v>
      </c>
      <c r="F336" s="32">
        <v>3199193</v>
      </c>
      <c r="G336" s="32">
        <v>3069193</v>
      </c>
      <c r="H336" s="32">
        <v>2639907.12</v>
      </c>
      <c r="I336" s="33"/>
      <c r="J336" s="32"/>
      <c r="K336" s="32">
        <f t="shared" si="5"/>
        <v>429285.87999999989</v>
      </c>
      <c r="L336" s="48" t="s">
        <v>1311</v>
      </c>
      <c r="M336" s="61" t="s">
        <v>1327</v>
      </c>
      <c r="N336" s="26" t="s">
        <v>1327</v>
      </c>
      <c r="O336" s="26" t="e">
        <v>#N/A</v>
      </c>
    </row>
    <row r="337" spans="1:15" x14ac:dyDescent="0.3">
      <c r="A337" s="28">
        <v>8471160</v>
      </c>
      <c r="B337" s="29" t="s">
        <v>548</v>
      </c>
      <c r="C337" s="30">
        <v>422100</v>
      </c>
      <c r="D337" s="31" t="s">
        <v>1115</v>
      </c>
      <c r="E337" s="45" t="s">
        <v>1116</v>
      </c>
      <c r="F337" s="32">
        <v>150000</v>
      </c>
      <c r="G337" s="32">
        <v>100000</v>
      </c>
      <c r="H337" s="32">
        <v>100000</v>
      </c>
      <c r="I337" s="33"/>
      <c r="J337" s="32"/>
      <c r="K337" s="32">
        <f t="shared" si="5"/>
        <v>0</v>
      </c>
      <c r="L337" s="50" t="s">
        <v>1312</v>
      </c>
      <c r="M337" s="61" t="s">
        <v>1327</v>
      </c>
      <c r="N337" s="26" t="s">
        <v>1327</v>
      </c>
      <c r="O337" s="26" t="e">
        <v>#N/A</v>
      </c>
    </row>
    <row r="338" spans="1:15" x14ac:dyDescent="0.3">
      <c r="A338" s="28">
        <v>8471160</v>
      </c>
      <c r="B338" s="29" t="s">
        <v>548</v>
      </c>
      <c r="C338" s="30">
        <v>430330</v>
      </c>
      <c r="D338" s="31" t="s">
        <v>990</v>
      </c>
      <c r="E338" s="45" t="s">
        <v>1119</v>
      </c>
      <c r="F338" s="32"/>
      <c r="G338" s="32"/>
      <c r="H338" s="32">
        <v>0</v>
      </c>
      <c r="I338" s="33"/>
      <c r="J338" s="32"/>
      <c r="K338" s="32">
        <f t="shared" si="5"/>
        <v>0</v>
      </c>
      <c r="L338" s="50" t="s">
        <v>1312</v>
      </c>
      <c r="M338" s="61" t="s">
        <v>1327</v>
      </c>
      <c r="N338" s="26" t="s">
        <v>1327</v>
      </c>
      <c r="O338" s="26" t="e">
        <v>#N/A</v>
      </c>
    </row>
    <row r="339" spans="1:15" x14ac:dyDescent="0.3">
      <c r="A339" s="28">
        <v>8471160</v>
      </c>
      <c r="B339" s="29" t="s">
        <v>548</v>
      </c>
      <c r="C339" s="30">
        <v>432209</v>
      </c>
      <c r="D339" s="31" t="s">
        <v>777</v>
      </c>
      <c r="E339" s="45" t="s">
        <v>1120</v>
      </c>
      <c r="F339" s="32"/>
      <c r="G339" s="32"/>
      <c r="H339" s="32">
        <v>0</v>
      </c>
      <c r="I339" s="33"/>
      <c r="J339" s="32"/>
      <c r="K339" s="32">
        <f t="shared" si="5"/>
        <v>0</v>
      </c>
      <c r="L339" s="50" t="s">
        <v>1312</v>
      </c>
      <c r="M339" s="61" t="s">
        <v>1327</v>
      </c>
      <c r="N339" s="26" t="s">
        <v>1327</v>
      </c>
      <c r="O339" s="26" t="e">
        <v>#N/A</v>
      </c>
    </row>
    <row r="340" spans="1:15" x14ac:dyDescent="0.3">
      <c r="A340" s="28">
        <v>8471160</v>
      </c>
      <c r="B340" s="29" t="s">
        <v>548</v>
      </c>
      <c r="C340" s="30">
        <v>435508</v>
      </c>
      <c r="D340" s="31" t="s">
        <v>786</v>
      </c>
      <c r="E340" s="45" t="s">
        <v>1122</v>
      </c>
      <c r="F340" s="32"/>
      <c r="G340" s="32"/>
      <c r="H340" s="32">
        <v>0</v>
      </c>
      <c r="I340" s="33"/>
      <c r="J340" s="32"/>
      <c r="K340" s="32">
        <f t="shared" si="5"/>
        <v>0</v>
      </c>
      <c r="L340" s="50" t="s">
        <v>1312</v>
      </c>
      <c r="M340" s="61" t="s">
        <v>1327</v>
      </c>
      <c r="N340" s="26" t="s">
        <v>1327</v>
      </c>
      <c r="O340" s="26" t="e">
        <v>#N/A</v>
      </c>
    </row>
    <row r="341" spans="1:15" x14ac:dyDescent="0.3">
      <c r="A341" s="28">
        <v>8471160</v>
      </c>
      <c r="B341" s="29" t="s">
        <v>548</v>
      </c>
      <c r="C341" s="30">
        <v>426610</v>
      </c>
      <c r="D341" s="31" t="s">
        <v>687</v>
      </c>
      <c r="E341" s="45" t="s">
        <v>1117</v>
      </c>
      <c r="F341" s="32">
        <v>100000</v>
      </c>
      <c r="G341" s="32">
        <v>93581</v>
      </c>
      <c r="H341" s="32">
        <v>51393.919999999998</v>
      </c>
      <c r="I341" s="33"/>
      <c r="J341" s="32"/>
      <c r="K341" s="32">
        <f t="shared" si="5"/>
        <v>42187.08</v>
      </c>
      <c r="L341" s="50" t="s">
        <v>1312</v>
      </c>
      <c r="M341" s="61" t="s">
        <v>1327</v>
      </c>
      <c r="N341" s="26" t="s">
        <v>1327</v>
      </c>
      <c r="O341" s="26" t="e">
        <v>#N/A</v>
      </c>
    </row>
    <row r="342" spans="1:15" ht="117" x14ac:dyDescent="0.3">
      <c r="A342" s="28">
        <v>8471160</v>
      </c>
      <c r="B342" s="29" t="s">
        <v>548</v>
      </c>
      <c r="C342" s="30">
        <v>435508</v>
      </c>
      <c r="D342" s="31" t="s">
        <v>786</v>
      </c>
      <c r="E342" s="45" t="s">
        <v>1123</v>
      </c>
      <c r="F342" s="32">
        <v>1869526</v>
      </c>
      <c r="G342" s="32">
        <v>1753166</v>
      </c>
      <c r="H342" s="32">
        <v>1706315.81</v>
      </c>
      <c r="I342" s="33"/>
      <c r="J342" s="32"/>
      <c r="K342" s="32">
        <f t="shared" si="5"/>
        <v>46850.189999999944</v>
      </c>
      <c r="L342" s="47" t="s">
        <v>1354</v>
      </c>
      <c r="M342" s="61" t="s">
        <v>1327</v>
      </c>
      <c r="N342" s="26" t="s">
        <v>1327</v>
      </c>
      <c r="O342" s="26" t="e">
        <v>#N/A</v>
      </c>
    </row>
    <row r="343" spans="1:15" ht="117" x14ac:dyDescent="0.3">
      <c r="A343" s="28">
        <v>8471160</v>
      </c>
      <c r="B343" s="29" t="s">
        <v>548</v>
      </c>
      <c r="C343" s="30">
        <v>430120</v>
      </c>
      <c r="D343" s="31" t="s">
        <v>795</v>
      </c>
      <c r="E343" s="45" t="s">
        <v>1118</v>
      </c>
      <c r="F343" s="32">
        <v>0</v>
      </c>
      <c r="G343" s="32">
        <v>180000</v>
      </c>
      <c r="H343" s="32">
        <v>0</v>
      </c>
      <c r="I343" s="33"/>
      <c r="J343" s="32"/>
      <c r="K343" s="32">
        <f t="shared" si="5"/>
        <v>180000</v>
      </c>
      <c r="L343" s="47" t="s">
        <v>1355</v>
      </c>
      <c r="M343" s="61" t="s">
        <v>1327</v>
      </c>
      <c r="N343" s="26" t="s">
        <v>1327</v>
      </c>
      <c r="O343" s="26" t="e">
        <v>#N/A</v>
      </c>
    </row>
    <row r="344" spans="1:15" ht="130" x14ac:dyDescent="0.3">
      <c r="A344" s="28">
        <v>8471160</v>
      </c>
      <c r="B344" s="29" t="s">
        <v>548</v>
      </c>
      <c r="C344" s="30">
        <v>492200</v>
      </c>
      <c r="D344" s="31" t="s">
        <v>1263</v>
      </c>
      <c r="E344" s="45" t="s">
        <v>1288</v>
      </c>
      <c r="F344" s="32">
        <v>6000000</v>
      </c>
      <c r="G344" s="32">
        <v>3139782</v>
      </c>
      <c r="H344" s="32">
        <v>1834890.5</v>
      </c>
      <c r="I344" s="33"/>
      <c r="J344" s="32"/>
      <c r="K344" s="32">
        <f t="shared" si="5"/>
        <v>1304891.5</v>
      </c>
      <c r="L344" s="47" t="s">
        <v>1356</v>
      </c>
      <c r="M344" s="26" t="s">
        <v>1327</v>
      </c>
      <c r="N344" s="26" t="s">
        <v>1327</v>
      </c>
      <c r="O344" s="26">
        <v>492200</v>
      </c>
    </row>
    <row r="345" spans="1:15" ht="117" x14ac:dyDescent="0.3">
      <c r="A345" s="28">
        <v>8471160</v>
      </c>
      <c r="B345" s="29" t="s">
        <v>548</v>
      </c>
      <c r="C345" s="30">
        <v>492316</v>
      </c>
      <c r="D345" s="31" t="s">
        <v>777</v>
      </c>
      <c r="E345" s="45" t="s">
        <v>1289</v>
      </c>
      <c r="F345" s="32">
        <v>9652373</v>
      </c>
      <c r="G345" s="32">
        <v>10282373</v>
      </c>
      <c r="H345" s="32">
        <v>7403823.8399999999</v>
      </c>
      <c r="I345" s="33"/>
      <c r="J345" s="32"/>
      <c r="K345" s="32">
        <f t="shared" si="5"/>
        <v>2878549.16</v>
      </c>
      <c r="L345" s="47" t="s">
        <v>1357</v>
      </c>
      <c r="M345" s="26" t="s">
        <v>1327</v>
      </c>
      <c r="N345" s="26" t="s">
        <v>1327</v>
      </c>
      <c r="O345" s="26">
        <v>492316</v>
      </c>
    </row>
    <row r="346" spans="1:15" ht="117" x14ac:dyDescent="0.3">
      <c r="A346" s="28">
        <v>8471160</v>
      </c>
      <c r="B346" s="29" t="s">
        <v>548</v>
      </c>
      <c r="C346" s="30">
        <v>432209</v>
      </c>
      <c r="D346" s="31" t="s">
        <v>777</v>
      </c>
      <c r="E346" s="45" t="s">
        <v>1121</v>
      </c>
      <c r="F346" s="32">
        <v>14032358</v>
      </c>
      <c r="G346" s="32">
        <v>15114177</v>
      </c>
      <c r="H346" s="32">
        <v>10701612.01</v>
      </c>
      <c r="I346" s="33"/>
      <c r="J346" s="32"/>
      <c r="K346" s="32">
        <f t="shared" si="5"/>
        <v>4412564.99</v>
      </c>
      <c r="L346" s="47" t="s">
        <v>1358</v>
      </c>
      <c r="M346" s="61" t="s">
        <v>1327</v>
      </c>
      <c r="N346" s="26" t="s">
        <v>1327</v>
      </c>
      <c r="O346" s="26" t="e">
        <v>#N/A</v>
      </c>
    </row>
    <row r="347" spans="1:15" x14ac:dyDescent="0.3">
      <c r="A347" s="28">
        <v>8471170</v>
      </c>
      <c r="B347" s="29" t="s">
        <v>559</v>
      </c>
      <c r="C347" s="30">
        <v>492310</v>
      </c>
      <c r="D347" s="31" t="s">
        <v>1248</v>
      </c>
      <c r="E347" s="45" t="s">
        <v>1290</v>
      </c>
      <c r="F347" s="32">
        <v>10000</v>
      </c>
      <c r="G347" s="32">
        <v>10000</v>
      </c>
      <c r="H347" s="32">
        <v>9510</v>
      </c>
      <c r="I347" s="33"/>
      <c r="J347" s="32"/>
      <c r="K347" s="32">
        <f t="shared" si="5"/>
        <v>490</v>
      </c>
      <c r="L347" s="50" t="s">
        <v>1312</v>
      </c>
      <c r="M347" s="26" t="s">
        <v>1327</v>
      </c>
      <c r="N347" s="26" t="s">
        <v>1327</v>
      </c>
      <c r="O347" s="26">
        <v>492310</v>
      </c>
    </row>
    <row r="348" spans="1:15" x14ac:dyDescent="0.3">
      <c r="A348" s="28">
        <v>8471170</v>
      </c>
      <c r="B348" s="29" t="s">
        <v>559</v>
      </c>
      <c r="C348" s="30">
        <v>420810</v>
      </c>
      <c r="D348" s="31" t="s">
        <v>1062</v>
      </c>
      <c r="E348" s="45" t="s">
        <v>1124</v>
      </c>
      <c r="F348" s="32">
        <v>1100000</v>
      </c>
      <c r="G348" s="32">
        <v>800000</v>
      </c>
      <c r="H348" s="32">
        <v>798441</v>
      </c>
      <c r="I348" s="33"/>
      <c r="J348" s="32"/>
      <c r="K348" s="32">
        <f t="shared" si="5"/>
        <v>1559</v>
      </c>
      <c r="L348" s="50" t="s">
        <v>1312</v>
      </c>
      <c r="M348" s="61" t="s">
        <v>1327</v>
      </c>
      <c r="N348" s="26" t="s">
        <v>1327</v>
      </c>
      <c r="O348" s="26" t="e">
        <v>#N/A</v>
      </c>
    </row>
    <row r="349" spans="1:15" x14ac:dyDescent="0.3">
      <c r="A349" s="28">
        <v>8471170</v>
      </c>
      <c r="B349" s="29" t="s">
        <v>559</v>
      </c>
      <c r="C349" s="30">
        <v>492316</v>
      </c>
      <c r="D349" s="31" t="s">
        <v>777</v>
      </c>
      <c r="E349" s="45" t="s">
        <v>1291</v>
      </c>
      <c r="F349" s="32">
        <v>6595858</v>
      </c>
      <c r="G349" s="32">
        <v>6595858</v>
      </c>
      <c r="H349" s="32">
        <v>6593486</v>
      </c>
      <c r="I349" s="33"/>
      <c r="J349" s="32"/>
      <c r="K349" s="32">
        <f t="shared" si="5"/>
        <v>2372</v>
      </c>
      <c r="L349" s="50" t="s">
        <v>1312</v>
      </c>
      <c r="M349" s="26" t="s">
        <v>1327</v>
      </c>
      <c r="N349" s="26" t="s">
        <v>1327</v>
      </c>
      <c r="O349" s="26">
        <v>492316</v>
      </c>
    </row>
    <row r="350" spans="1:15" x14ac:dyDescent="0.3">
      <c r="A350" s="28">
        <v>8471170</v>
      </c>
      <c r="B350" s="29" t="s">
        <v>559</v>
      </c>
      <c r="C350" s="30">
        <v>426610</v>
      </c>
      <c r="D350" s="31" t="s">
        <v>687</v>
      </c>
      <c r="E350" s="45" t="s">
        <v>1125</v>
      </c>
      <c r="F350" s="32">
        <v>1015642</v>
      </c>
      <c r="G350" s="32">
        <v>1315642</v>
      </c>
      <c r="H350" s="32">
        <v>1268350.46</v>
      </c>
      <c r="I350" s="33"/>
      <c r="J350" s="32"/>
      <c r="K350" s="32">
        <f t="shared" si="5"/>
        <v>47291.540000000037</v>
      </c>
      <c r="L350" s="50" t="s">
        <v>1312</v>
      </c>
      <c r="M350" s="61" t="s">
        <v>1327</v>
      </c>
      <c r="N350" s="26" t="s">
        <v>1327</v>
      </c>
      <c r="O350" s="26" t="e">
        <v>#N/A</v>
      </c>
    </row>
    <row r="351" spans="1:15" ht="130" x14ac:dyDescent="0.3">
      <c r="A351" s="28">
        <v>8471170</v>
      </c>
      <c r="B351" s="29" t="s">
        <v>559</v>
      </c>
      <c r="C351" s="30">
        <v>495110</v>
      </c>
      <c r="D351" s="31" t="s">
        <v>1284</v>
      </c>
      <c r="E351" s="45" t="s">
        <v>1292</v>
      </c>
      <c r="F351" s="32">
        <v>190000</v>
      </c>
      <c r="G351" s="32">
        <v>190000</v>
      </c>
      <c r="H351" s="32">
        <v>33644</v>
      </c>
      <c r="I351" s="33"/>
      <c r="J351" s="32"/>
      <c r="K351" s="32">
        <f t="shared" si="5"/>
        <v>156356</v>
      </c>
      <c r="L351" s="47" t="s">
        <v>1359</v>
      </c>
      <c r="M351" s="26" t="s">
        <v>1327</v>
      </c>
      <c r="N351" s="26" t="s">
        <v>1327</v>
      </c>
      <c r="O351" s="26">
        <v>495110</v>
      </c>
    </row>
    <row r="352" spans="1:15" hidden="1" x14ac:dyDescent="0.3">
      <c r="A352" s="28">
        <v>8471210</v>
      </c>
      <c r="B352" s="29" t="s">
        <v>567</v>
      </c>
      <c r="C352" s="30">
        <v>425745</v>
      </c>
      <c r="D352" s="31" t="s">
        <v>751</v>
      </c>
      <c r="E352" s="45" t="s">
        <v>1126</v>
      </c>
      <c r="F352" s="32"/>
      <c r="G352" s="32"/>
      <c r="H352" s="32">
        <v>0</v>
      </c>
      <c r="I352" s="33"/>
      <c r="J352" s="32"/>
      <c r="K352" s="32">
        <f t="shared" si="5"/>
        <v>0</v>
      </c>
      <c r="L352" s="50" t="s">
        <v>1312</v>
      </c>
      <c r="M352" s="60" t="s">
        <v>1317</v>
      </c>
      <c r="N352" s="26" t="s">
        <v>1317</v>
      </c>
      <c r="O352" s="26" t="e">
        <v>#N/A</v>
      </c>
    </row>
    <row r="353" spans="1:15" hidden="1" x14ac:dyDescent="0.3">
      <c r="A353" s="28">
        <v>8471210</v>
      </c>
      <c r="B353" s="29" t="s">
        <v>567</v>
      </c>
      <c r="C353" s="30">
        <v>425746</v>
      </c>
      <c r="D353" s="31" t="s">
        <v>1128</v>
      </c>
      <c r="E353" s="45" t="s">
        <v>1129</v>
      </c>
      <c r="F353" s="32"/>
      <c r="G353" s="32"/>
      <c r="H353" s="32">
        <v>0</v>
      </c>
      <c r="I353" s="33"/>
      <c r="J353" s="32"/>
      <c r="K353" s="32">
        <f t="shared" si="5"/>
        <v>0</v>
      </c>
      <c r="L353" s="50" t="s">
        <v>1312</v>
      </c>
      <c r="M353" s="60" t="s">
        <v>1317</v>
      </c>
      <c r="N353" s="26" t="s">
        <v>1317</v>
      </c>
      <c r="O353" s="26" t="e">
        <v>#N/A</v>
      </c>
    </row>
    <row r="354" spans="1:15" hidden="1" x14ac:dyDescent="0.3">
      <c r="A354" s="28">
        <v>8471210</v>
      </c>
      <c r="B354" s="29" t="s">
        <v>567</v>
      </c>
      <c r="C354" s="30">
        <v>425760</v>
      </c>
      <c r="D354" s="31" t="s">
        <v>804</v>
      </c>
      <c r="E354" s="45" t="s">
        <v>1130</v>
      </c>
      <c r="F354" s="32"/>
      <c r="G354" s="32"/>
      <c r="H354" s="32">
        <v>0</v>
      </c>
      <c r="I354" s="33"/>
      <c r="J354" s="32"/>
      <c r="K354" s="32">
        <f t="shared" si="5"/>
        <v>0</v>
      </c>
      <c r="L354" s="50" t="s">
        <v>1312</v>
      </c>
      <c r="M354" s="60" t="s">
        <v>1317</v>
      </c>
      <c r="N354" s="26" t="s">
        <v>1317</v>
      </c>
      <c r="O354" s="26" t="e">
        <v>#N/A</v>
      </c>
    </row>
    <row r="355" spans="1:15" hidden="1" x14ac:dyDescent="0.3">
      <c r="A355" s="28">
        <v>8471220</v>
      </c>
      <c r="B355" s="29" t="s">
        <v>584</v>
      </c>
      <c r="C355" s="30">
        <v>425550</v>
      </c>
      <c r="D355" s="31" t="s">
        <v>723</v>
      </c>
      <c r="E355" s="45" t="s">
        <v>1132</v>
      </c>
      <c r="F355" s="32">
        <v>1</v>
      </c>
      <c r="G355" s="32">
        <v>1</v>
      </c>
      <c r="H355" s="32">
        <v>0</v>
      </c>
      <c r="I355" s="33"/>
      <c r="J355" s="32"/>
      <c r="K355" s="32">
        <f t="shared" si="5"/>
        <v>1</v>
      </c>
      <c r="L355" s="50" t="s">
        <v>1312</v>
      </c>
      <c r="M355" s="60" t="s">
        <v>1317</v>
      </c>
      <c r="N355" s="26" t="s">
        <v>1317</v>
      </c>
      <c r="O355" s="26" t="e">
        <v>#N/A</v>
      </c>
    </row>
    <row r="356" spans="1:15" hidden="1" x14ac:dyDescent="0.3">
      <c r="A356" s="28">
        <v>8471220</v>
      </c>
      <c r="B356" s="29" t="s">
        <v>584</v>
      </c>
      <c r="C356" s="30">
        <v>425510</v>
      </c>
      <c r="D356" s="31" t="s">
        <v>681</v>
      </c>
      <c r="E356" s="45" t="s">
        <v>1131</v>
      </c>
      <c r="F356" s="32">
        <v>2000</v>
      </c>
      <c r="G356" s="32">
        <v>2000</v>
      </c>
      <c r="H356" s="32">
        <v>0</v>
      </c>
      <c r="I356" s="33"/>
      <c r="J356" s="32"/>
      <c r="K356" s="32">
        <f t="shared" si="5"/>
        <v>2000</v>
      </c>
      <c r="L356" s="50" t="s">
        <v>1312</v>
      </c>
      <c r="M356" s="60" t="s">
        <v>1317</v>
      </c>
      <c r="N356" s="26" t="s">
        <v>1317</v>
      </c>
      <c r="O356" s="26" t="e">
        <v>#N/A</v>
      </c>
    </row>
    <row r="357" spans="1:15" hidden="1" x14ac:dyDescent="0.3">
      <c r="A357" s="28">
        <v>8471220</v>
      </c>
      <c r="B357" s="29" t="s">
        <v>584</v>
      </c>
      <c r="C357" s="30">
        <v>436120</v>
      </c>
      <c r="D357" s="31" t="s">
        <v>1042</v>
      </c>
      <c r="E357" s="45" t="s">
        <v>1140</v>
      </c>
      <c r="F357" s="32">
        <v>5686</v>
      </c>
      <c r="G357" s="32">
        <v>5686</v>
      </c>
      <c r="H357" s="32">
        <v>0</v>
      </c>
      <c r="I357" s="33"/>
      <c r="J357" s="32"/>
      <c r="K357" s="32">
        <f t="shared" si="5"/>
        <v>5686</v>
      </c>
      <c r="L357" s="50" t="s">
        <v>1312</v>
      </c>
      <c r="M357" s="60" t="s">
        <v>1317</v>
      </c>
      <c r="N357" s="26" t="s">
        <v>1317</v>
      </c>
      <c r="O357" s="26" t="e">
        <v>#N/A</v>
      </c>
    </row>
    <row r="358" spans="1:15" hidden="1" x14ac:dyDescent="0.3">
      <c r="A358" s="28">
        <v>8471220</v>
      </c>
      <c r="B358" s="29" t="s">
        <v>584</v>
      </c>
      <c r="C358" s="30">
        <v>426900</v>
      </c>
      <c r="D358" s="31" t="s">
        <v>971</v>
      </c>
      <c r="E358" s="45" t="s">
        <v>1137</v>
      </c>
      <c r="F358" s="32">
        <v>10000</v>
      </c>
      <c r="G358" s="32">
        <v>10000</v>
      </c>
      <c r="H358" s="32">
        <v>0</v>
      </c>
      <c r="I358" s="33"/>
      <c r="J358" s="32"/>
      <c r="K358" s="32">
        <f t="shared" si="5"/>
        <v>10000</v>
      </c>
      <c r="L358" s="50" t="s">
        <v>1312</v>
      </c>
      <c r="M358" s="60" t="s">
        <v>1317</v>
      </c>
      <c r="N358" s="26" t="s">
        <v>1317</v>
      </c>
      <c r="O358" s="26" t="e">
        <v>#N/A</v>
      </c>
    </row>
    <row r="359" spans="1:15" hidden="1" x14ac:dyDescent="0.3">
      <c r="A359" s="28">
        <v>8471220</v>
      </c>
      <c r="B359" s="29" t="s">
        <v>584</v>
      </c>
      <c r="C359" s="30">
        <v>425741</v>
      </c>
      <c r="D359" s="31" t="s">
        <v>1134</v>
      </c>
      <c r="E359" s="45" t="s">
        <v>1135</v>
      </c>
      <c r="F359" s="32"/>
      <c r="G359" s="32"/>
      <c r="H359" s="32">
        <v>-19400</v>
      </c>
      <c r="I359" s="33"/>
      <c r="J359" s="32"/>
      <c r="K359" s="32">
        <f t="shared" si="5"/>
        <v>19400</v>
      </c>
      <c r="L359" s="50" t="s">
        <v>1312</v>
      </c>
      <c r="M359" s="60" t="s">
        <v>1317</v>
      </c>
      <c r="N359" s="26" t="s">
        <v>1317</v>
      </c>
      <c r="O359" s="26" t="e">
        <v>#N/A</v>
      </c>
    </row>
    <row r="360" spans="1:15" ht="39" hidden="1" x14ac:dyDescent="0.3">
      <c r="A360" s="28">
        <v>8471220</v>
      </c>
      <c r="B360" s="29" t="s">
        <v>584</v>
      </c>
      <c r="C360" s="30">
        <v>436110</v>
      </c>
      <c r="D360" s="31" t="s">
        <v>708</v>
      </c>
      <c r="E360" s="45" t="s">
        <v>1139</v>
      </c>
      <c r="F360" s="32">
        <v>250000</v>
      </c>
      <c r="G360" s="32">
        <v>150000</v>
      </c>
      <c r="H360" s="32">
        <v>21820</v>
      </c>
      <c r="I360" s="33"/>
      <c r="J360" s="32"/>
      <c r="K360" s="32">
        <f t="shared" si="5"/>
        <v>128180</v>
      </c>
      <c r="L360" s="47" t="s">
        <v>1360</v>
      </c>
      <c r="M360" s="60" t="s">
        <v>1317</v>
      </c>
      <c r="N360" s="26" t="s">
        <v>1317</v>
      </c>
      <c r="O360" s="26" t="e">
        <v>#N/A</v>
      </c>
    </row>
    <row r="361" spans="1:15" ht="65" hidden="1" x14ac:dyDescent="0.3">
      <c r="A361" s="28">
        <v>8471220</v>
      </c>
      <c r="B361" s="29" t="s">
        <v>584</v>
      </c>
      <c r="C361" s="30">
        <v>435340</v>
      </c>
      <c r="D361" s="31" t="s">
        <v>869</v>
      </c>
      <c r="E361" s="45" t="s">
        <v>1138</v>
      </c>
      <c r="F361" s="32">
        <v>11133825</v>
      </c>
      <c r="G361" s="32">
        <v>10152825</v>
      </c>
      <c r="H361" s="32">
        <v>9483734.2200000007</v>
      </c>
      <c r="I361" s="33"/>
      <c r="J361" s="32"/>
      <c r="K361" s="32">
        <f t="shared" si="5"/>
        <v>669090.77999999933</v>
      </c>
      <c r="L361" s="47" t="s">
        <v>1361</v>
      </c>
      <c r="M361" s="60" t="s">
        <v>1317</v>
      </c>
      <c r="N361" s="26" t="s">
        <v>1317</v>
      </c>
      <c r="O361" s="26" t="e">
        <v>#N/A</v>
      </c>
    </row>
    <row r="362" spans="1:15" ht="39" hidden="1" x14ac:dyDescent="0.3">
      <c r="A362" s="28">
        <v>8471220</v>
      </c>
      <c r="B362" s="29" t="s">
        <v>584</v>
      </c>
      <c r="C362" s="30">
        <v>425741</v>
      </c>
      <c r="D362" s="31" t="s">
        <v>1134</v>
      </c>
      <c r="E362" s="45" t="s">
        <v>1136</v>
      </c>
      <c r="F362" s="32">
        <v>0</v>
      </c>
      <c r="G362" s="32">
        <v>46232000</v>
      </c>
      <c r="H362" s="32">
        <v>40250800</v>
      </c>
      <c r="I362" s="33"/>
      <c r="J362" s="32"/>
      <c r="K362" s="32">
        <f t="shared" si="5"/>
        <v>5981200</v>
      </c>
      <c r="L362" s="47" t="s">
        <v>1362</v>
      </c>
      <c r="M362" s="60" t="s">
        <v>1317</v>
      </c>
      <c r="N362" s="26" t="s">
        <v>1317</v>
      </c>
      <c r="O362" s="26" t="e">
        <v>#N/A</v>
      </c>
    </row>
    <row r="363" spans="1:15" hidden="1" x14ac:dyDescent="0.3">
      <c r="A363" s="28">
        <v>8471230</v>
      </c>
      <c r="B363" s="29" t="s">
        <v>595</v>
      </c>
      <c r="C363" s="30">
        <v>425742</v>
      </c>
      <c r="D363" s="31" t="s">
        <v>1142</v>
      </c>
      <c r="E363" s="45" t="s">
        <v>1143</v>
      </c>
      <c r="F363" s="32">
        <v>1944196</v>
      </c>
      <c r="G363" s="32">
        <v>929184</v>
      </c>
      <c r="H363" s="32">
        <v>967573.09</v>
      </c>
      <c r="I363" s="33"/>
      <c r="J363" s="32"/>
      <c r="K363" s="32">
        <f t="shared" si="5"/>
        <v>-38389.089999999967</v>
      </c>
      <c r="L363" s="50" t="s">
        <v>1312</v>
      </c>
      <c r="M363" s="60" t="s">
        <v>1317</v>
      </c>
      <c r="N363" s="26" t="s">
        <v>1317</v>
      </c>
      <c r="O363" s="26" t="e">
        <v>#N/A</v>
      </c>
    </row>
    <row r="364" spans="1:15" hidden="1" x14ac:dyDescent="0.3">
      <c r="A364" s="28">
        <v>8471230</v>
      </c>
      <c r="B364" s="29" t="s">
        <v>595</v>
      </c>
      <c r="C364" s="30">
        <v>426610</v>
      </c>
      <c r="D364" s="31" t="s">
        <v>687</v>
      </c>
      <c r="E364" s="45" t="s">
        <v>1144</v>
      </c>
      <c r="F364" s="32">
        <v>73019</v>
      </c>
      <c r="G364" s="32">
        <v>105019</v>
      </c>
      <c r="H364" s="32">
        <v>95604.5</v>
      </c>
      <c r="I364" s="33"/>
      <c r="J364" s="32"/>
      <c r="K364" s="32">
        <f t="shared" si="5"/>
        <v>9414.5</v>
      </c>
      <c r="L364" s="50" t="s">
        <v>1312</v>
      </c>
      <c r="M364" s="60" t="s">
        <v>1317</v>
      </c>
      <c r="N364" s="26" t="s">
        <v>1317</v>
      </c>
      <c r="O364" s="26" t="e">
        <v>#N/A</v>
      </c>
    </row>
    <row r="365" spans="1:15" hidden="1" x14ac:dyDescent="0.3">
      <c r="A365" s="28">
        <v>8471240</v>
      </c>
      <c r="B365" s="29" t="s">
        <v>606</v>
      </c>
      <c r="C365" s="30">
        <v>426610</v>
      </c>
      <c r="D365" s="31" t="s">
        <v>687</v>
      </c>
      <c r="E365" s="45" t="s">
        <v>1148</v>
      </c>
      <c r="F365" s="32">
        <v>495270</v>
      </c>
      <c r="G365" s="32">
        <v>495462</v>
      </c>
      <c r="H365" s="32">
        <v>495462</v>
      </c>
      <c r="I365" s="33"/>
      <c r="J365" s="32"/>
      <c r="K365" s="32">
        <f t="shared" si="5"/>
        <v>0</v>
      </c>
      <c r="L365" s="50" t="s">
        <v>1312</v>
      </c>
      <c r="M365" s="60" t="s">
        <v>1317</v>
      </c>
      <c r="N365" s="26" t="s">
        <v>1317</v>
      </c>
      <c r="O365" s="26" t="e">
        <v>#N/A</v>
      </c>
    </row>
    <row r="366" spans="1:15" hidden="1" x14ac:dyDescent="0.3">
      <c r="A366" s="28">
        <v>8471240</v>
      </c>
      <c r="B366" s="29" t="s">
        <v>606</v>
      </c>
      <c r="C366" s="30">
        <v>425720</v>
      </c>
      <c r="D366" s="31" t="s">
        <v>765</v>
      </c>
      <c r="E366" s="45" t="s">
        <v>1146</v>
      </c>
      <c r="F366" s="32"/>
      <c r="G366" s="32"/>
      <c r="H366" s="32">
        <v>-94.58</v>
      </c>
      <c r="I366" s="33"/>
      <c r="J366" s="32"/>
      <c r="K366" s="32">
        <f t="shared" si="5"/>
        <v>94.58</v>
      </c>
      <c r="L366" s="50" t="s">
        <v>1312</v>
      </c>
      <c r="M366" s="60" t="s">
        <v>1317</v>
      </c>
      <c r="N366" s="26" t="s">
        <v>1317</v>
      </c>
      <c r="O366" s="26" t="e">
        <v>#N/A</v>
      </c>
    </row>
    <row r="367" spans="1:15" ht="52" hidden="1" x14ac:dyDescent="0.3">
      <c r="A367" s="28">
        <v>8471240</v>
      </c>
      <c r="B367" s="29" t="s">
        <v>606</v>
      </c>
      <c r="C367" s="30">
        <v>425761</v>
      </c>
      <c r="D367" s="31" t="s">
        <v>832</v>
      </c>
      <c r="E367" s="45" t="s">
        <v>1147</v>
      </c>
      <c r="F367" s="32">
        <v>399867</v>
      </c>
      <c r="G367" s="32">
        <v>313175</v>
      </c>
      <c r="H367" s="32">
        <v>236379.63</v>
      </c>
      <c r="I367" s="33"/>
      <c r="J367" s="32"/>
      <c r="K367" s="32">
        <f t="shared" si="5"/>
        <v>76795.37</v>
      </c>
      <c r="L367" s="47" t="s">
        <v>1363</v>
      </c>
      <c r="M367" s="60" t="s">
        <v>1317</v>
      </c>
      <c r="N367" s="26" t="s">
        <v>1317</v>
      </c>
      <c r="O367" s="26" t="e">
        <v>#N/A</v>
      </c>
    </row>
    <row r="368" spans="1:15" hidden="1" x14ac:dyDescent="0.3">
      <c r="A368" s="28">
        <v>8471240</v>
      </c>
      <c r="B368" s="29" t="s">
        <v>606</v>
      </c>
      <c r="C368" s="30">
        <v>425510</v>
      </c>
      <c r="D368" s="31" t="s">
        <v>681</v>
      </c>
      <c r="E368" s="45" t="s">
        <v>1145</v>
      </c>
      <c r="F368" s="32">
        <v>0</v>
      </c>
      <c r="G368" s="32">
        <v>86500</v>
      </c>
      <c r="H368" s="32">
        <v>2887.5</v>
      </c>
      <c r="I368" s="33"/>
      <c r="J368" s="32"/>
      <c r="K368" s="32">
        <f t="shared" si="5"/>
        <v>83612.5</v>
      </c>
      <c r="L368" s="47" t="s">
        <v>1310</v>
      </c>
      <c r="M368" s="60" t="s">
        <v>1317</v>
      </c>
      <c r="N368" s="26" t="s">
        <v>1317</v>
      </c>
      <c r="O368" s="26" t="e">
        <v>#N/A</v>
      </c>
    </row>
    <row r="369" spans="1:15" hidden="1" x14ac:dyDescent="0.3">
      <c r="A369" s="28">
        <v>8471250</v>
      </c>
      <c r="B369" s="29" t="s">
        <v>615</v>
      </c>
      <c r="C369" s="30">
        <v>428090</v>
      </c>
      <c r="D369" s="31" t="s">
        <v>696</v>
      </c>
      <c r="E369" s="45" t="s">
        <v>1155</v>
      </c>
      <c r="F369" s="32">
        <v>0</v>
      </c>
      <c r="G369" s="32">
        <v>4400</v>
      </c>
      <c r="H369" s="32">
        <v>0</v>
      </c>
      <c r="I369" s="33"/>
      <c r="J369" s="32"/>
      <c r="K369" s="32">
        <f t="shared" si="5"/>
        <v>4400</v>
      </c>
      <c r="L369" s="50" t="s">
        <v>1312</v>
      </c>
      <c r="M369" s="60" t="s">
        <v>1317</v>
      </c>
      <c r="N369" s="26" t="s">
        <v>1317</v>
      </c>
      <c r="O369" s="26" t="e">
        <v>#N/A</v>
      </c>
    </row>
    <row r="370" spans="1:15" hidden="1" x14ac:dyDescent="0.3">
      <c r="A370" s="28">
        <v>8471250</v>
      </c>
      <c r="B370" s="29" t="s">
        <v>615</v>
      </c>
      <c r="C370" s="30">
        <v>436110</v>
      </c>
      <c r="D370" s="31" t="s">
        <v>708</v>
      </c>
      <c r="E370" s="45" t="s">
        <v>1156</v>
      </c>
      <c r="F370" s="32"/>
      <c r="G370" s="32"/>
      <c r="H370" s="32">
        <v>-5910</v>
      </c>
      <c r="I370" s="33"/>
      <c r="J370" s="32"/>
      <c r="K370" s="32">
        <f t="shared" si="5"/>
        <v>5910</v>
      </c>
      <c r="L370" s="50" t="s">
        <v>1312</v>
      </c>
      <c r="M370" s="60" t="s">
        <v>1317</v>
      </c>
      <c r="N370" s="26" t="s">
        <v>1317</v>
      </c>
      <c r="O370" s="26" t="e">
        <v>#N/A</v>
      </c>
    </row>
    <row r="371" spans="1:15" ht="78" hidden="1" x14ac:dyDescent="0.3">
      <c r="A371" s="28">
        <v>8471250</v>
      </c>
      <c r="B371" s="29" t="s">
        <v>615</v>
      </c>
      <c r="C371" s="30">
        <v>426610</v>
      </c>
      <c r="D371" s="31" t="s">
        <v>687</v>
      </c>
      <c r="E371" s="45" t="s">
        <v>1154</v>
      </c>
      <c r="F371" s="32">
        <v>0</v>
      </c>
      <c r="G371" s="32">
        <v>65000</v>
      </c>
      <c r="H371" s="32">
        <v>0</v>
      </c>
      <c r="I371" s="33"/>
      <c r="J371" s="32"/>
      <c r="K371" s="32">
        <f t="shared" si="5"/>
        <v>65000</v>
      </c>
      <c r="L371" s="47" t="s">
        <v>1364</v>
      </c>
      <c r="M371" s="60" t="s">
        <v>1317</v>
      </c>
      <c r="N371" s="26" t="s">
        <v>1317</v>
      </c>
      <c r="O371" s="26" t="e">
        <v>#N/A</v>
      </c>
    </row>
    <row r="372" spans="1:15" ht="52" hidden="1" x14ac:dyDescent="0.3">
      <c r="A372" s="28">
        <v>8471250</v>
      </c>
      <c r="B372" s="29" t="s">
        <v>615</v>
      </c>
      <c r="C372" s="30">
        <v>425762</v>
      </c>
      <c r="D372" s="31" t="s">
        <v>1152</v>
      </c>
      <c r="E372" s="45" t="s">
        <v>1153</v>
      </c>
      <c r="F372" s="32">
        <v>0</v>
      </c>
      <c r="G372" s="32">
        <v>150000</v>
      </c>
      <c r="H372" s="32">
        <v>0</v>
      </c>
      <c r="I372" s="33"/>
      <c r="J372" s="32"/>
      <c r="K372" s="32">
        <f t="shared" si="5"/>
        <v>150000</v>
      </c>
      <c r="L372" s="47" t="s">
        <v>1365</v>
      </c>
      <c r="M372" s="60" t="s">
        <v>1317</v>
      </c>
      <c r="N372" s="26" t="s">
        <v>1317</v>
      </c>
      <c r="O372" s="26" t="e">
        <v>#N/A</v>
      </c>
    </row>
    <row r="373" spans="1:15" ht="247" hidden="1" x14ac:dyDescent="0.3">
      <c r="A373" s="28">
        <v>8471250</v>
      </c>
      <c r="B373" s="29" t="s">
        <v>615</v>
      </c>
      <c r="C373" s="30">
        <v>425510</v>
      </c>
      <c r="D373" s="31" t="s">
        <v>681</v>
      </c>
      <c r="E373" s="45" t="s">
        <v>1149</v>
      </c>
      <c r="F373" s="32">
        <v>150000</v>
      </c>
      <c r="G373" s="32">
        <v>430000</v>
      </c>
      <c r="H373" s="32">
        <v>255064.92</v>
      </c>
      <c r="I373" s="33"/>
      <c r="J373" s="32"/>
      <c r="K373" s="32">
        <f t="shared" si="5"/>
        <v>174935.08</v>
      </c>
      <c r="L373" s="47" t="s">
        <v>1366</v>
      </c>
      <c r="M373" s="60" t="s">
        <v>1317</v>
      </c>
      <c r="N373" s="26" t="s">
        <v>1317</v>
      </c>
      <c r="O373" s="26" t="e">
        <v>#N/A</v>
      </c>
    </row>
    <row r="374" spans="1:15" ht="182" hidden="1" x14ac:dyDescent="0.3">
      <c r="A374" s="28">
        <v>8471250</v>
      </c>
      <c r="B374" s="29" t="s">
        <v>615</v>
      </c>
      <c r="C374" s="30">
        <v>425720</v>
      </c>
      <c r="D374" s="31" t="s">
        <v>765</v>
      </c>
      <c r="E374" s="45" t="s">
        <v>1150</v>
      </c>
      <c r="F374" s="32">
        <v>392000</v>
      </c>
      <c r="G374" s="32">
        <v>671550</v>
      </c>
      <c r="H374" s="32">
        <v>370000</v>
      </c>
      <c r="I374" s="33"/>
      <c r="J374" s="32"/>
      <c r="K374" s="32">
        <f t="shared" si="5"/>
        <v>301550</v>
      </c>
      <c r="L374" s="47" t="s">
        <v>1367</v>
      </c>
      <c r="M374" s="60" t="s">
        <v>1317</v>
      </c>
      <c r="N374" s="26" t="s">
        <v>1317</v>
      </c>
      <c r="O374" s="26" t="e">
        <v>#N/A</v>
      </c>
    </row>
    <row r="375" spans="1:15" hidden="1" x14ac:dyDescent="0.3">
      <c r="A375" s="28">
        <v>8471260</v>
      </c>
      <c r="B375" s="29" t="s">
        <v>623</v>
      </c>
      <c r="C375" s="30">
        <v>422400</v>
      </c>
      <c r="D375" s="31" t="s">
        <v>1161</v>
      </c>
      <c r="E375" s="45" t="s">
        <v>1162</v>
      </c>
      <c r="F375" s="32">
        <v>0</v>
      </c>
      <c r="G375" s="32">
        <v>1240</v>
      </c>
      <c r="H375" s="32">
        <v>1240</v>
      </c>
      <c r="I375" s="33"/>
      <c r="J375" s="32"/>
      <c r="K375" s="32">
        <f t="shared" si="5"/>
        <v>0</v>
      </c>
      <c r="L375" s="50" t="s">
        <v>1312</v>
      </c>
      <c r="M375" s="60" t="s">
        <v>1317</v>
      </c>
      <c r="N375" s="26" t="s">
        <v>1317</v>
      </c>
      <c r="O375" s="26" t="e">
        <v>#N/A</v>
      </c>
    </row>
    <row r="376" spans="1:15" hidden="1" x14ac:dyDescent="0.3">
      <c r="A376" s="28">
        <v>8471260</v>
      </c>
      <c r="B376" s="29" t="s">
        <v>623</v>
      </c>
      <c r="C376" s="30">
        <v>425750</v>
      </c>
      <c r="D376" s="31" t="s">
        <v>1168</v>
      </c>
      <c r="E376" s="45" t="s">
        <v>1169</v>
      </c>
      <c r="F376" s="32">
        <v>25000</v>
      </c>
      <c r="G376" s="32">
        <v>25000</v>
      </c>
      <c r="H376" s="32">
        <v>25000</v>
      </c>
      <c r="I376" s="33"/>
      <c r="J376" s="32"/>
      <c r="K376" s="32">
        <f t="shared" si="5"/>
        <v>0</v>
      </c>
      <c r="L376" s="50" t="s">
        <v>1312</v>
      </c>
      <c r="M376" s="60" t="s">
        <v>1317</v>
      </c>
      <c r="N376" s="26" t="s">
        <v>1317</v>
      </c>
      <c r="O376" s="26" t="e">
        <v>#N/A</v>
      </c>
    </row>
    <row r="377" spans="1:15" hidden="1" x14ac:dyDescent="0.3">
      <c r="A377" s="28">
        <v>8471260</v>
      </c>
      <c r="B377" s="29" t="s">
        <v>623</v>
      </c>
      <c r="C377" s="30">
        <v>428090</v>
      </c>
      <c r="D377" s="31" t="s">
        <v>696</v>
      </c>
      <c r="E377" s="45" t="s">
        <v>1173</v>
      </c>
      <c r="F377" s="32">
        <v>0</v>
      </c>
      <c r="G377" s="32">
        <v>0</v>
      </c>
      <c r="H377" s="32">
        <v>0</v>
      </c>
      <c r="I377" s="33"/>
      <c r="J377" s="32"/>
      <c r="K377" s="32">
        <f t="shared" si="5"/>
        <v>0</v>
      </c>
      <c r="L377" s="50" t="s">
        <v>1312</v>
      </c>
      <c r="M377" s="60" t="s">
        <v>1317</v>
      </c>
      <c r="N377" s="26" t="s">
        <v>1317</v>
      </c>
      <c r="O377" s="26" t="e">
        <v>#N/A</v>
      </c>
    </row>
    <row r="378" spans="1:15" hidden="1" x14ac:dyDescent="0.3">
      <c r="A378" s="28">
        <v>8471260</v>
      </c>
      <c r="B378" s="29" t="s">
        <v>623</v>
      </c>
      <c r="C378" s="30">
        <v>430230</v>
      </c>
      <c r="D378" s="31" t="s">
        <v>1076</v>
      </c>
      <c r="E378" s="45" t="s">
        <v>1177</v>
      </c>
      <c r="F378" s="32">
        <v>5500</v>
      </c>
      <c r="G378" s="32">
        <v>5500</v>
      </c>
      <c r="H378" s="32">
        <v>5500</v>
      </c>
      <c r="I378" s="33"/>
      <c r="J378" s="32"/>
      <c r="K378" s="32">
        <f t="shared" si="5"/>
        <v>0</v>
      </c>
      <c r="L378" s="50" t="s">
        <v>1312</v>
      </c>
      <c r="M378" s="60" t="s">
        <v>1317</v>
      </c>
      <c r="N378" s="26" t="s">
        <v>1317</v>
      </c>
      <c r="O378" s="26" t="e">
        <v>#N/A</v>
      </c>
    </row>
    <row r="379" spans="1:15" hidden="1" x14ac:dyDescent="0.3">
      <c r="A379" s="28">
        <v>8471260</v>
      </c>
      <c r="B379" s="29" t="s">
        <v>623</v>
      </c>
      <c r="C379" s="30">
        <v>428112</v>
      </c>
      <c r="D379" s="31" t="s">
        <v>980</v>
      </c>
      <c r="E379" s="45" t="s">
        <v>1175</v>
      </c>
      <c r="F379" s="32">
        <v>194144</v>
      </c>
      <c r="G379" s="32">
        <v>166805</v>
      </c>
      <c r="H379" s="32">
        <v>166804.99</v>
      </c>
      <c r="I379" s="33"/>
      <c r="J379" s="32"/>
      <c r="K379" s="32">
        <f t="shared" si="5"/>
        <v>1.0000000009313226E-2</v>
      </c>
      <c r="L379" s="50" t="s">
        <v>1312</v>
      </c>
      <c r="M379" s="60" t="s">
        <v>1317</v>
      </c>
      <c r="N379" s="26" t="s">
        <v>1317</v>
      </c>
      <c r="O379" s="26" t="e">
        <v>#N/A</v>
      </c>
    </row>
    <row r="380" spans="1:15" hidden="1" x14ac:dyDescent="0.3">
      <c r="A380" s="28">
        <v>8471260</v>
      </c>
      <c r="B380" s="29" t="s">
        <v>623</v>
      </c>
      <c r="C380" s="30">
        <v>428111</v>
      </c>
      <c r="D380" s="31" t="s">
        <v>974</v>
      </c>
      <c r="E380" s="45" t="s">
        <v>1174</v>
      </c>
      <c r="F380" s="32">
        <v>665918</v>
      </c>
      <c r="G380" s="32">
        <v>506185</v>
      </c>
      <c r="H380" s="32">
        <v>506184.86</v>
      </c>
      <c r="I380" s="33"/>
      <c r="J380" s="32"/>
      <c r="K380" s="32">
        <f t="shared" si="5"/>
        <v>0.14000000001396984</v>
      </c>
      <c r="L380" s="50" t="s">
        <v>1312</v>
      </c>
      <c r="M380" s="60" t="s">
        <v>1317</v>
      </c>
      <c r="N380" s="26" t="s">
        <v>1317</v>
      </c>
      <c r="O380" s="26" t="e">
        <v>#N/A</v>
      </c>
    </row>
    <row r="381" spans="1:15" hidden="1" x14ac:dyDescent="0.3">
      <c r="A381" s="28">
        <v>8471260</v>
      </c>
      <c r="B381" s="29" t="s">
        <v>623</v>
      </c>
      <c r="C381" s="30">
        <v>426220</v>
      </c>
      <c r="D381" s="31" t="s">
        <v>960</v>
      </c>
      <c r="E381" s="45" t="s">
        <v>1172</v>
      </c>
      <c r="F381" s="32">
        <v>16267</v>
      </c>
      <c r="G381" s="32">
        <v>7905</v>
      </c>
      <c r="H381" s="32">
        <v>7904.54000000001</v>
      </c>
      <c r="I381" s="33"/>
      <c r="J381" s="32"/>
      <c r="K381" s="32">
        <f t="shared" si="5"/>
        <v>0.45999999999003194</v>
      </c>
      <c r="L381" s="50" t="s">
        <v>1312</v>
      </c>
      <c r="M381" s="60" t="s">
        <v>1317</v>
      </c>
      <c r="N381" s="26" t="s">
        <v>1317</v>
      </c>
      <c r="O381" s="26" t="e">
        <v>#N/A</v>
      </c>
    </row>
    <row r="382" spans="1:15" hidden="1" x14ac:dyDescent="0.3">
      <c r="A382" s="28">
        <v>8471260</v>
      </c>
      <c r="B382" s="29" t="s">
        <v>623</v>
      </c>
      <c r="C382" s="30">
        <v>421600</v>
      </c>
      <c r="D382" s="31" t="s">
        <v>925</v>
      </c>
      <c r="E382" s="45" t="s">
        <v>1159</v>
      </c>
      <c r="F382" s="32">
        <v>395724</v>
      </c>
      <c r="G382" s="32">
        <v>1751</v>
      </c>
      <c r="H382" s="32">
        <v>1750.45</v>
      </c>
      <c r="I382" s="33"/>
      <c r="J382" s="32"/>
      <c r="K382" s="32">
        <f t="shared" si="5"/>
        <v>0.54999999999995453</v>
      </c>
      <c r="L382" s="50" t="s">
        <v>1312</v>
      </c>
      <c r="M382" s="60" t="s">
        <v>1317</v>
      </c>
      <c r="N382" s="26" t="s">
        <v>1317</v>
      </c>
      <c r="O382" s="26" t="e">
        <v>#N/A</v>
      </c>
    </row>
    <row r="383" spans="1:15" hidden="1" x14ac:dyDescent="0.3">
      <c r="A383" s="28">
        <v>8471260</v>
      </c>
      <c r="B383" s="29" t="s">
        <v>623</v>
      </c>
      <c r="C383" s="30">
        <v>432120</v>
      </c>
      <c r="D383" s="31" t="s">
        <v>994</v>
      </c>
      <c r="E383" s="45" t="s">
        <v>1178</v>
      </c>
      <c r="F383" s="32">
        <v>677010</v>
      </c>
      <c r="G383" s="32">
        <v>118837</v>
      </c>
      <c r="H383" s="32">
        <v>118836.36</v>
      </c>
      <c r="I383" s="33"/>
      <c r="J383" s="32"/>
      <c r="K383" s="32">
        <f t="shared" si="5"/>
        <v>0.63999999999941792</v>
      </c>
      <c r="L383" s="50" t="s">
        <v>1312</v>
      </c>
      <c r="M383" s="60" t="s">
        <v>1317</v>
      </c>
      <c r="N383" s="26" t="s">
        <v>1317</v>
      </c>
      <c r="O383" s="26" t="e">
        <v>#N/A</v>
      </c>
    </row>
    <row r="384" spans="1:15" hidden="1" x14ac:dyDescent="0.3">
      <c r="A384" s="28">
        <v>8471260</v>
      </c>
      <c r="B384" s="29" t="s">
        <v>623</v>
      </c>
      <c r="C384" s="30">
        <v>435530</v>
      </c>
      <c r="D384" s="31" t="s">
        <v>789</v>
      </c>
      <c r="E384" s="45" t="s">
        <v>1179</v>
      </c>
      <c r="F384" s="32">
        <v>0</v>
      </c>
      <c r="G384" s="32">
        <v>32000</v>
      </c>
      <c r="H384" s="32">
        <v>31417</v>
      </c>
      <c r="I384" s="33"/>
      <c r="J384" s="32"/>
      <c r="K384" s="32">
        <f t="shared" si="5"/>
        <v>583</v>
      </c>
      <c r="L384" s="50" t="s">
        <v>1312</v>
      </c>
      <c r="M384" s="60" t="s">
        <v>1317</v>
      </c>
      <c r="N384" s="26" t="s">
        <v>1317</v>
      </c>
      <c r="O384" s="26" t="e">
        <v>#N/A</v>
      </c>
    </row>
    <row r="385" spans="1:15" hidden="1" x14ac:dyDescent="0.3">
      <c r="A385" s="28">
        <v>8471260</v>
      </c>
      <c r="B385" s="29" t="s">
        <v>623</v>
      </c>
      <c r="C385" s="30">
        <v>425900</v>
      </c>
      <c r="D385" s="31" t="s">
        <v>684</v>
      </c>
      <c r="E385" s="45" t="s">
        <v>1171</v>
      </c>
      <c r="F385" s="32">
        <v>0</v>
      </c>
      <c r="G385" s="32">
        <v>42300</v>
      </c>
      <c r="H385" s="32">
        <v>7085.98</v>
      </c>
      <c r="I385" s="33"/>
      <c r="J385" s="32"/>
      <c r="K385" s="32">
        <f t="shared" si="5"/>
        <v>35214.020000000004</v>
      </c>
      <c r="L385" s="50" t="s">
        <v>1312</v>
      </c>
      <c r="M385" s="60" t="s">
        <v>1317</v>
      </c>
      <c r="N385" s="26" t="s">
        <v>1317</v>
      </c>
      <c r="O385" s="26" t="e">
        <v>#N/A</v>
      </c>
    </row>
    <row r="386" spans="1:15" hidden="1" x14ac:dyDescent="0.3">
      <c r="A386" s="28">
        <v>8471260</v>
      </c>
      <c r="B386" s="29" t="s">
        <v>623</v>
      </c>
      <c r="C386" s="30">
        <v>428640</v>
      </c>
      <c r="D386" s="31" t="s">
        <v>699</v>
      </c>
      <c r="E386" s="45" t="s">
        <v>1176</v>
      </c>
      <c r="F386" s="32">
        <v>2375</v>
      </c>
      <c r="G386" s="32">
        <v>62375</v>
      </c>
      <c r="H386" s="32">
        <v>10810.35</v>
      </c>
      <c r="I386" s="33"/>
      <c r="J386" s="32"/>
      <c r="K386" s="32">
        <f t="shared" ref="K386:K447" si="6">G386-H386-I386-J386</f>
        <v>51564.65</v>
      </c>
      <c r="L386" s="47">
        <v>0</v>
      </c>
      <c r="M386" s="60" t="s">
        <v>1317</v>
      </c>
      <c r="N386" s="26" t="s">
        <v>1317</v>
      </c>
      <c r="O386" s="26" t="e">
        <v>#N/A</v>
      </c>
    </row>
    <row r="387" spans="1:15" hidden="1" x14ac:dyDescent="0.3">
      <c r="A387" s="28">
        <v>8471260</v>
      </c>
      <c r="B387" s="29" t="s">
        <v>623</v>
      </c>
      <c r="C387" s="30">
        <v>425760</v>
      </c>
      <c r="D387" s="31" t="s">
        <v>804</v>
      </c>
      <c r="E387" s="45" t="s">
        <v>1170</v>
      </c>
      <c r="F387" s="32">
        <v>0</v>
      </c>
      <c r="G387" s="32">
        <v>323360</v>
      </c>
      <c r="H387" s="32">
        <v>229618.26</v>
      </c>
      <c r="I387" s="33"/>
      <c r="J387" s="32"/>
      <c r="K387" s="32">
        <f t="shared" si="6"/>
        <v>93741.739999999991</v>
      </c>
      <c r="L387" s="47">
        <v>0</v>
      </c>
      <c r="M387" s="60" t="s">
        <v>1317</v>
      </c>
      <c r="N387" s="26" t="s">
        <v>1317</v>
      </c>
      <c r="O387" s="26" t="e">
        <v>#N/A</v>
      </c>
    </row>
    <row r="388" spans="1:15" ht="104" hidden="1" x14ac:dyDescent="0.3">
      <c r="A388" s="28">
        <v>8471260</v>
      </c>
      <c r="B388" s="29" t="s">
        <v>623</v>
      </c>
      <c r="C388" s="30">
        <v>421100</v>
      </c>
      <c r="D388" s="31" t="s">
        <v>946</v>
      </c>
      <c r="E388" s="45" t="s">
        <v>1158</v>
      </c>
      <c r="F388" s="32">
        <v>1696000</v>
      </c>
      <c r="G388" s="32">
        <v>1469700</v>
      </c>
      <c r="H388" s="32">
        <v>1286731.25</v>
      </c>
      <c r="I388" s="33"/>
      <c r="J388" s="32"/>
      <c r="K388" s="32">
        <f t="shared" si="6"/>
        <v>182968.75</v>
      </c>
      <c r="L388" s="47" t="s">
        <v>1368</v>
      </c>
      <c r="M388" s="60" t="s">
        <v>1317</v>
      </c>
      <c r="N388" s="26" t="s">
        <v>1317</v>
      </c>
      <c r="O388" s="26" t="e">
        <v>#N/A</v>
      </c>
    </row>
    <row r="389" spans="1:15" hidden="1" x14ac:dyDescent="0.3">
      <c r="A389" s="28">
        <v>8471260</v>
      </c>
      <c r="B389" s="29" t="s">
        <v>623</v>
      </c>
      <c r="C389" s="30">
        <v>420310</v>
      </c>
      <c r="D389" s="31" t="s">
        <v>1307</v>
      </c>
      <c r="E389" s="45" t="s">
        <v>1157</v>
      </c>
      <c r="F389" s="32">
        <v>737101</v>
      </c>
      <c r="G389" s="32">
        <v>227741</v>
      </c>
      <c r="H389" s="32">
        <v>-2820.15</v>
      </c>
      <c r="I389" s="33"/>
      <c r="J389" s="32"/>
      <c r="K389" s="32">
        <f t="shared" si="6"/>
        <v>230561.15</v>
      </c>
      <c r="L389" s="47" t="s">
        <v>1369</v>
      </c>
      <c r="M389" s="60" t="s">
        <v>1317</v>
      </c>
      <c r="N389" s="26" t="s">
        <v>1317</v>
      </c>
      <c r="O389" s="26" t="e">
        <v>#N/A</v>
      </c>
    </row>
    <row r="390" spans="1:15" ht="195" hidden="1" x14ac:dyDescent="0.3">
      <c r="A390" s="28">
        <v>8471260</v>
      </c>
      <c r="B390" s="29" t="s">
        <v>623</v>
      </c>
      <c r="C390" s="30">
        <v>425747</v>
      </c>
      <c r="D390" s="31" t="s">
        <v>1165</v>
      </c>
      <c r="E390" s="45" t="s">
        <v>1166</v>
      </c>
      <c r="F390" s="32">
        <v>213000</v>
      </c>
      <c r="G390" s="32">
        <v>1080000</v>
      </c>
      <c r="H390" s="32">
        <v>797.13</v>
      </c>
      <c r="I390" s="33"/>
      <c r="J390" s="32"/>
      <c r="K390" s="32">
        <f t="shared" si="6"/>
        <v>1079202.8700000001</v>
      </c>
      <c r="L390" s="47" t="s">
        <v>1370</v>
      </c>
      <c r="M390" s="60" t="s">
        <v>1317</v>
      </c>
      <c r="N390" s="26" t="s">
        <v>1317</v>
      </c>
      <c r="O390" s="26" t="e">
        <v>#N/A</v>
      </c>
    </row>
    <row r="391" spans="1:15" ht="409.5" hidden="1" x14ac:dyDescent="0.3">
      <c r="A391" s="28">
        <v>8471260</v>
      </c>
      <c r="B391" s="29" t="s">
        <v>623</v>
      </c>
      <c r="C391" s="30">
        <v>425746</v>
      </c>
      <c r="D391" s="31" t="s">
        <v>1128</v>
      </c>
      <c r="E391" s="45" t="s">
        <v>1163</v>
      </c>
      <c r="F391" s="32">
        <v>7141150</v>
      </c>
      <c r="G391" s="32">
        <v>11371150</v>
      </c>
      <c r="H391" s="32">
        <v>8221710.8799999999</v>
      </c>
      <c r="I391" s="33"/>
      <c r="J391" s="32"/>
      <c r="K391" s="32">
        <f t="shared" si="6"/>
        <v>3149439.12</v>
      </c>
      <c r="L391" s="47" t="s">
        <v>1371</v>
      </c>
      <c r="M391" s="60" t="s">
        <v>1317</v>
      </c>
      <c r="N391" s="26" t="s">
        <v>1317</v>
      </c>
      <c r="O391" s="26" t="e">
        <v>#N/A</v>
      </c>
    </row>
    <row r="392" spans="1:15" hidden="1" x14ac:dyDescent="0.3">
      <c r="A392" s="28">
        <v>8471270</v>
      </c>
      <c r="B392" s="29" t="s">
        <v>634</v>
      </c>
      <c r="C392" s="30">
        <v>436120</v>
      </c>
      <c r="D392" s="31" t="s">
        <v>1042</v>
      </c>
      <c r="E392" s="45" t="s">
        <v>1184</v>
      </c>
      <c r="F392" s="32">
        <v>0</v>
      </c>
      <c r="G392" s="32">
        <v>0</v>
      </c>
      <c r="H392" s="32">
        <v>0</v>
      </c>
      <c r="I392" s="33"/>
      <c r="J392" s="32"/>
      <c r="K392" s="32">
        <f t="shared" si="6"/>
        <v>0</v>
      </c>
      <c r="L392" s="50" t="s">
        <v>1312</v>
      </c>
      <c r="M392" s="60" t="s">
        <v>1317</v>
      </c>
      <c r="N392" s="26" t="s">
        <v>1317</v>
      </c>
      <c r="O392" s="26" t="e">
        <v>#N/A</v>
      </c>
    </row>
    <row r="393" spans="1:15" hidden="1" x14ac:dyDescent="0.3">
      <c r="A393" s="28">
        <v>8471270</v>
      </c>
      <c r="B393" s="29" t="s">
        <v>634</v>
      </c>
      <c r="C393" s="30">
        <v>435310</v>
      </c>
      <c r="D393" s="31" t="s">
        <v>733</v>
      </c>
      <c r="E393" s="45" t="s">
        <v>1180</v>
      </c>
      <c r="F393" s="32">
        <v>227</v>
      </c>
      <c r="G393" s="32">
        <v>227</v>
      </c>
      <c r="H393" s="32">
        <v>-8404.76</v>
      </c>
      <c r="I393" s="33"/>
      <c r="J393" s="32"/>
      <c r="K393" s="32">
        <f t="shared" si="6"/>
        <v>8631.76</v>
      </c>
      <c r="L393" s="50" t="s">
        <v>1312</v>
      </c>
      <c r="M393" s="60" t="s">
        <v>1317</v>
      </c>
      <c r="N393" s="26" t="s">
        <v>1317</v>
      </c>
      <c r="O393" s="26" t="e">
        <v>#N/A</v>
      </c>
    </row>
    <row r="394" spans="1:15" ht="234" hidden="1" x14ac:dyDescent="0.3">
      <c r="A394" s="28">
        <v>8471270</v>
      </c>
      <c r="B394" s="29" t="s">
        <v>634</v>
      </c>
      <c r="C394" s="30">
        <v>435330</v>
      </c>
      <c r="D394" s="31" t="s">
        <v>1182</v>
      </c>
      <c r="E394" s="45" t="s">
        <v>1183</v>
      </c>
      <c r="F394" s="32">
        <v>12960003</v>
      </c>
      <c r="G394" s="32">
        <v>13400003</v>
      </c>
      <c r="H394" s="32">
        <v>13236762.58</v>
      </c>
      <c r="I394" s="33"/>
      <c r="J394" s="32"/>
      <c r="K394" s="32">
        <f t="shared" si="6"/>
        <v>163240.41999999993</v>
      </c>
      <c r="L394" s="47" t="s">
        <v>1372</v>
      </c>
      <c r="M394" s="60" t="s">
        <v>1317</v>
      </c>
      <c r="N394" s="26" t="s">
        <v>1317</v>
      </c>
      <c r="O394" s="26" t="e">
        <v>#N/A</v>
      </c>
    </row>
    <row r="395" spans="1:15" hidden="1" x14ac:dyDescent="0.3">
      <c r="A395" s="28">
        <v>8471280</v>
      </c>
      <c r="B395" s="29" t="s">
        <v>644</v>
      </c>
      <c r="C395" s="30">
        <v>425510</v>
      </c>
      <c r="D395" s="31" t="s">
        <v>681</v>
      </c>
      <c r="E395" s="45" t="s">
        <v>1185</v>
      </c>
      <c r="F395" s="32">
        <v>10000</v>
      </c>
      <c r="G395" s="32">
        <v>10000</v>
      </c>
      <c r="H395" s="32">
        <v>14261</v>
      </c>
      <c r="I395" s="33"/>
      <c r="J395" s="32"/>
      <c r="K395" s="32">
        <f t="shared" si="6"/>
        <v>-4261</v>
      </c>
      <c r="L395" s="50" t="s">
        <v>1312</v>
      </c>
      <c r="M395" s="60" t="s">
        <v>1317</v>
      </c>
      <c r="N395" s="26" t="s">
        <v>1317</v>
      </c>
      <c r="O395" s="26" t="e">
        <v>#N/A</v>
      </c>
    </row>
    <row r="396" spans="1:15" hidden="1" x14ac:dyDescent="0.3">
      <c r="A396" s="28">
        <v>8471280</v>
      </c>
      <c r="B396" s="29" t="s">
        <v>644</v>
      </c>
      <c r="C396" s="30">
        <v>428640</v>
      </c>
      <c r="D396" s="31" t="s">
        <v>699</v>
      </c>
      <c r="E396" s="45" t="s">
        <v>1189</v>
      </c>
      <c r="F396" s="32">
        <v>2000</v>
      </c>
      <c r="G396" s="32">
        <v>2000</v>
      </c>
      <c r="H396" s="32">
        <v>866.25</v>
      </c>
      <c r="I396" s="33"/>
      <c r="J396" s="32"/>
      <c r="K396" s="32">
        <f t="shared" si="6"/>
        <v>1133.75</v>
      </c>
      <c r="L396" s="50" t="s">
        <v>1312</v>
      </c>
      <c r="M396" s="60" t="s">
        <v>1317</v>
      </c>
      <c r="N396" s="26" t="s">
        <v>1317</v>
      </c>
      <c r="O396" s="26" t="e">
        <v>#N/A</v>
      </c>
    </row>
    <row r="397" spans="1:15" hidden="1" x14ac:dyDescent="0.3">
      <c r="A397" s="28">
        <v>8471280</v>
      </c>
      <c r="B397" s="29" t="s">
        <v>644</v>
      </c>
      <c r="C397" s="30">
        <v>425770</v>
      </c>
      <c r="D397" s="31" t="s">
        <v>771</v>
      </c>
      <c r="E397" s="45" t="s">
        <v>1187</v>
      </c>
      <c r="F397" s="32">
        <v>32721</v>
      </c>
      <c r="G397" s="32">
        <v>32721</v>
      </c>
      <c r="H397" s="32">
        <v>30906.93</v>
      </c>
      <c r="I397" s="33"/>
      <c r="J397" s="32"/>
      <c r="K397" s="32">
        <f t="shared" si="6"/>
        <v>1814.0699999999997</v>
      </c>
      <c r="L397" s="50" t="s">
        <v>1312</v>
      </c>
      <c r="M397" s="60" t="s">
        <v>1317</v>
      </c>
      <c r="N397" s="26" t="s">
        <v>1317</v>
      </c>
      <c r="O397" s="26" t="e">
        <v>#N/A</v>
      </c>
    </row>
    <row r="398" spans="1:15" hidden="1" x14ac:dyDescent="0.3">
      <c r="A398" s="28">
        <v>8471280</v>
      </c>
      <c r="B398" s="29" t="s">
        <v>644</v>
      </c>
      <c r="C398" s="30">
        <v>426610</v>
      </c>
      <c r="D398" s="31" t="s">
        <v>687</v>
      </c>
      <c r="E398" s="45" t="s">
        <v>1188</v>
      </c>
      <c r="F398" s="32">
        <v>120000</v>
      </c>
      <c r="G398" s="32">
        <v>120000</v>
      </c>
      <c r="H398" s="32">
        <v>117689.83</v>
      </c>
      <c r="I398" s="33"/>
      <c r="J398" s="32"/>
      <c r="K398" s="32">
        <f t="shared" si="6"/>
        <v>2310.1699999999983</v>
      </c>
      <c r="L398" s="50" t="s">
        <v>1312</v>
      </c>
      <c r="M398" s="60" t="s">
        <v>1317</v>
      </c>
      <c r="N398" s="26" t="s">
        <v>1317</v>
      </c>
      <c r="O398" s="26" t="e">
        <v>#N/A</v>
      </c>
    </row>
    <row r="399" spans="1:15" hidden="1" x14ac:dyDescent="0.3">
      <c r="A399" s="28">
        <v>8471280</v>
      </c>
      <c r="B399" s="29" t="s">
        <v>644</v>
      </c>
      <c r="C399" s="30">
        <v>425550</v>
      </c>
      <c r="D399" s="31" t="s">
        <v>723</v>
      </c>
      <c r="E399" s="45" t="s">
        <v>1186</v>
      </c>
      <c r="F399" s="32">
        <v>20000</v>
      </c>
      <c r="G399" s="32">
        <v>20000</v>
      </c>
      <c r="H399" s="32">
        <v>7346</v>
      </c>
      <c r="I399" s="33"/>
      <c r="J399" s="32"/>
      <c r="K399" s="32">
        <f t="shared" si="6"/>
        <v>12654</v>
      </c>
      <c r="L399" s="50" t="s">
        <v>1312</v>
      </c>
      <c r="M399" s="60" t="s">
        <v>1317</v>
      </c>
      <c r="N399" s="26" t="s">
        <v>1317</v>
      </c>
      <c r="O399" s="26" t="e">
        <v>#N/A</v>
      </c>
    </row>
    <row r="400" spans="1:15" hidden="1" x14ac:dyDescent="0.3">
      <c r="A400" s="28">
        <v>8471305</v>
      </c>
      <c r="B400" s="29" t="s">
        <v>651</v>
      </c>
      <c r="C400" s="30">
        <v>425749</v>
      </c>
      <c r="D400" s="31" t="s">
        <v>754</v>
      </c>
      <c r="E400" s="45" t="s">
        <v>1204</v>
      </c>
      <c r="F400" s="32">
        <v>10773054</v>
      </c>
      <c r="G400" s="32">
        <v>13598539</v>
      </c>
      <c r="H400" s="32">
        <v>14604066.380000001</v>
      </c>
      <c r="I400" s="33"/>
      <c r="J400" s="32"/>
      <c r="K400" s="32">
        <f t="shared" si="6"/>
        <v>-1005527.3800000008</v>
      </c>
      <c r="L400" s="50" t="s">
        <v>1312</v>
      </c>
      <c r="M400" s="60" t="s">
        <v>1316</v>
      </c>
      <c r="N400" s="26" t="s">
        <v>1328</v>
      </c>
      <c r="O400" s="26" t="e">
        <v>#N/A</v>
      </c>
    </row>
    <row r="401" spans="1:15" hidden="1" x14ac:dyDescent="0.3">
      <c r="A401" s="28">
        <v>8471305</v>
      </c>
      <c r="B401" s="29" t="s">
        <v>651</v>
      </c>
      <c r="C401" s="30">
        <v>425745</v>
      </c>
      <c r="D401" s="31" t="s">
        <v>751</v>
      </c>
      <c r="E401" s="45" t="s">
        <v>1202</v>
      </c>
      <c r="F401" s="32">
        <v>0</v>
      </c>
      <c r="G401" s="32">
        <v>0</v>
      </c>
      <c r="H401" s="32">
        <v>16828</v>
      </c>
      <c r="I401" s="33"/>
      <c r="J401" s="32"/>
      <c r="K401" s="32">
        <f t="shared" si="6"/>
        <v>-16828</v>
      </c>
      <c r="L401" s="50" t="s">
        <v>1312</v>
      </c>
      <c r="M401" s="60" t="s">
        <v>1316</v>
      </c>
      <c r="N401" s="26" t="s">
        <v>1328</v>
      </c>
      <c r="O401" s="26" t="e">
        <v>#N/A</v>
      </c>
    </row>
    <row r="402" spans="1:15" hidden="1" x14ac:dyDescent="0.3">
      <c r="A402" s="28">
        <v>8471305</v>
      </c>
      <c r="B402" s="29" t="s">
        <v>651</v>
      </c>
      <c r="C402" s="30">
        <v>421000</v>
      </c>
      <c r="D402" s="31" t="s">
        <v>675</v>
      </c>
      <c r="E402" s="45" t="s">
        <v>1193</v>
      </c>
      <c r="F402" s="32">
        <v>332160</v>
      </c>
      <c r="G402" s="32">
        <v>0</v>
      </c>
      <c r="H402" s="32">
        <v>0</v>
      </c>
      <c r="I402" s="33"/>
      <c r="J402" s="32"/>
      <c r="K402" s="32">
        <f t="shared" si="6"/>
        <v>0</v>
      </c>
      <c r="L402" s="50" t="s">
        <v>1312</v>
      </c>
      <c r="M402" s="60" t="s">
        <v>1316</v>
      </c>
      <c r="N402" s="26" t="s">
        <v>1328</v>
      </c>
      <c r="O402" s="26" t="e">
        <v>#N/A</v>
      </c>
    </row>
    <row r="403" spans="1:15" hidden="1" x14ac:dyDescent="0.3">
      <c r="A403" s="28">
        <v>8471305</v>
      </c>
      <c r="B403" s="29" t="s">
        <v>651</v>
      </c>
      <c r="C403" s="30">
        <v>425750</v>
      </c>
      <c r="D403" s="31" t="s">
        <v>1168</v>
      </c>
      <c r="E403" s="45" t="s">
        <v>1205</v>
      </c>
      <c r="F403" s="32"/>
      <c r="G403" s="32"/>
      <c r="H403" s="32">
        <v>0</v>
      </c>
      <c r="I403" s="33"/>
      <c r="J403" s="32"/>
      <c r="K403" s="32">
        <f t="shared" si="6"/>
        <v>0</v>
      </c>
      <c r="L403" s="50" t="s">
        <v>1312</v>
      </c>
      <c r="M403" s="60" t="s">
        <v>1316</v>
      </c>
      <c r="N403" s="26" t="s">
        <v>1328</v>
      </c>
      <c r="O403" s="26" t="e">
        <v>#N/A</v>
      </c>
    </row>
    <row r="404" spans="1:15" hidden="1" x14ac:dyDescent="0.3">
      <c r="A404" s="28">
        <v>8471305</v>
      </c>
      <c r="B404" s="29" t="s">
        <v>651</v>
      </c>
      <c r="C404" s="30">
        <v>432210</v>
      </c>
      <c r="D404" s="31" t="e">
        <v>#N/A</v>
      </c>
      <c r="E404" s="45" t="s">
        <v>1227</v>
      </c>
      <c r="F404" s="32">
        <v>0</v>
      </c>
      <c r="G404" s="32">
        <v>0</v>
      </c>
      <c r="H404" s="32">
        <v>0</v>
      </c>
      <c r="I404" s="33"/>
      <c r="J404" s="32"/>
      <c r="K404" s="32">
        <f t="shared" si="6"/>
        <v>0</v>
      </c>
      <c r="L404" s="50" t="s">
        <v>1312</v>
      </c>
      <c r="M404" s="60" t="s">
        <v>1316</v>
      </c>
      <c r="N404" s="26" t="s">
        <v>1328</v>
      </c>
      <c r="O404" s="26" t="e">
        <v>#N/A</v>
      </c>
    </row>
    <row r="405" spans="1:15" hidden="1" x14ac:dyDescent="0.3">
      <c r="A405" s="28">
        <v>8471305</v>
      </c>
      <c r="B405" s="29" t="s">
        <v>651</v>
      </c>
      <c r="C405" s="30">
        <v>420550</v>
      </c>
      <c r="D405" s="31" t="s">
        <v>666</v>
      </c>
      <c r="E405" s="45" t="s">
        <v>1190</v>
      </c>
      <c r="F405" s="32">
        <v>1</v>
      </c>
      <c r="G405" s="32">
        <v>1</v>
      </c>
      <c r="H405" s="32">
        <v>0</v>
      </c>
      <c r="I405" s="33"/>
      <c r="J405" s="32"/>
      <c r="K405" s="32">
        <f t="shared" si="6"/>
        <v>1</v>
      </c>
      <c r="L405" s="50" t="s">
        <v>1312</v>
      </c>
      <c r="M405" s="60" t="s">
        <v>1316</v>
      </c>
      <c r="N405" s="26" t="s">
        <v>1328</v>
      </c>
      <c r="O405" s="26" t="e">
        <v>#N/A</v>
      </c>
    </row>
    <row r="406" spans="1:15" hidden="1" x14ac:dyDescent="0.3">
      <c r="A406" s="28">
        <v>8471305</v>
      </c>
      <c r="B406" s="29" t="s">
        <v>651</v>
      </c>
      <c r="C406" s="30">
        <v>427100</v>
      </c>
      <c r="D406" s="31" t="s">
        <v>726</v>
      </c>
      <c r="E406" s="45" t="s">
        <v>1214</v>
      </c>
      <c r="F406" s="32">
        <v>1</v>
      </c>
      <c r="G406" s="32">
        <v>1</v>
      </c>
      <c r="H406" s="32">
        <v>0</v>
      </c>
      <c r="I406" s="33"/>
      <c r="J406" s="32"/>
      <c r="K406" s="32">
        <f t="shared" si="6"/>
        <v>1</v>
      </c>
      <c r="L406" s="50" t="s">
        <v>1312</v>
      </c>
      <c r="M406" s="60" t="s">
        <v>1316</v>
      </c>
      <c r="N406" s="26" t="s">
        <v>1328</v>
      </c>
      <c r="O406" s="26" t="e">
        <v>#N/A</v>
      </c>
    </row>
    <row r="407" spans="1:15" hidden="1" x14ac:dyDescent="0.3">
      <c r="A407" s="28">
        <v>8471305</v>
      </c>
      <c r="B407" s="29" t="s">
        <v>651</v>
      </c>
      <c r="C407" s="30">
        <v>428400</v>
      </c>
      <c r="D407" s="31" t="s">
        <v>1220</v>
      </c>
      <c r="E407" s="45" t="s">
        <v>1221</v>
      </c>
      <c r="F407" s="32">
        <v>1</v>
      </c>
      <c r="G407" s="32">
        <v>1</v>
      </c>
      <c r="H407" s="32">
        <v>0</v>
      </c>
      <c r="I407" s="33"/>
      <c r="J407" s="32"/>
      <c r="K407" s="32">
        <f t="shared" si="6"/>
        <v>1</v>
      </c>
      <c r="L407" s="50" t="s">
        <v>1312</v>
      </c>
      <c r="M407" s="60" t="s">
        <v>1316</v>
      </c>
      <c r="N407" s="26" t="s">
        <v>1328</v>
      </c>
      <c r="O407" s="26" t="e">
        <v>#N/A</v>
      </c>
    </row>
    <row r="408" spans="1:15" hidden="1" x14ac:dyDescent="0.3">
      <c r="A408" s="28">
        <v>8471305</v>
      </c>
      <c r="B408" s="29" t="s">
        <v>651</v>
      </c>
      <c r="C408" s="30">
        <v>435410</v>
      </c>
      <c r="D408" s="31" t="s">
        <v>702</v>
      </c>
      <c r="E408" s="45" t="s">
        <v>1232</v>
      </c>
      <c r="F408" s="32">
        <v>1</v>
      </c>
      <c r="G408" s="32">
        <v>1</v>
      </c>
      <c r="H408" s="32">
        <v>0</v>
      </c>
      <c r="I408" s="33"/>
      <c r="J408" s="32"/>
      <c r="K408" s="32">
        <f t="shared" si="6"/>
        <v>1</v>
      </c>
      <c r="L408" s="50" t="s">
        <v>1312</v>
      </c>
      <c r="M408" s="60" t="s">
        <v>1316</v>
      </c>
      <c r="N408" s="26" t="s">
        <v>1328</v>
      </c>
      <c r="O408" s="26" t="e">
        <v>#N/A</v>
      </c>
    </row>
    <row r="409" spans="1:15" hidden="1" x14ac:dyDescent="0.3">
      <c r="A409" s="28">
        <v>8471305</v>
      </c>
      <c r="B409" s="29" t="s">
        <v>651</v>
      </c>
      <c r="C409" s="30">
        <v>432209</v>
      </c>
      <c r="D409" s="31" t="s">
        <v>777</v>
      </c>
      <c r="E409" s="45" t="s">
        <v>1224</v>
      </c>
      <c r="F409" s="32">
        <v>125000</v>
      </c>
      <c r="G409" s="32">
        <v>55650</v>
      </c>
      <c r="H409" s="32">
        <v>55631.5</v>
      </c>
      <c r="I409" s="33"/>
      <c r="J409" s="32"/>
      <c r="K409" s="32">
        <f t="shared" si="6"/>
        <v>18.5</v>
      </c>
      <c r="L409" s="50" t="s">
        <v>1312</v>
      </c>
      <c r="M409" s="60" t="s">
        <v>1316</v>
      </c>
      <c r="N409" s="26" t="s">
        <v>1328</v>
      </c>
      <c r="O409" s="26" t="e">
        <v>#N/A</v>
      </c>
    </row>
    <row r="410" spans="1:15" hidden="1" x14ac:dyDescent="0.3">
      <c r="A410" s="28">
        <v>8471305</v>
      </c>
      <c r="B410" s="29" t="s">
        <v>651</v>
      </c>
      <c r="C410" s="30">
        <v>435530</v>
      </c>
      <c r="D410" s="31" t="s">
        <v>789</v>
      </c>
      <c r="E410" s="45" t="s">
        <v>1235</v>
      </c>
      <c r="F410" s="32">
        <v>1001</v>
      </c>
      <c r="G410" s="32">
        <v>1001</v>
      </c>
      <c r="H410" s="32">
        <v>924.33</v>
      </c>
      <c r="I410" s="33"/>
      <c r="J410" s="32"/>
      <c r="K410" s="32">
        <f t="shared" si="6"/>
        <v>76.669999999999959</v>
      </c>
      <c r="L410" s="50" t="s">
        <v>1312</v>
      </c>
      <c r="M410" s="60" t="s">
        <v>1316</v>
      </c>
      <c r="N410" s="26" t="s">
        <v>1328</v>
      </c>
      <c r="O410" s="26" t="e">
        <v>#N/A</v>
      </c>
    </row>
    <row r="411" spans="1:15" hidden="1" x14ac:dyDescent="0.3">
      <c r="A411" s="28">
        <v>8471305</v>
      </c>
      <c r="B411" s="29" t="s">
        <v>651</v>
      </c>
      <c r="C411" s="30">
        <v>428640</v>
      </c>
      <c r="D411" s="31" t="s">
        <v>699</v>
      </c>
      <c r="E411" s="45" t="s">
        <v>1222</v>
      </c>
      <c r="F411" s="32">
        <v>1936</v>
      </c>
      <c r="G411" s="32">
        <v>1936</v>
      </c>
      <c r="H411" s="32">
        <v>1200</v>
      </c>
      <c r="I411" s="33"/>
      <c r="J411" s="32"/>
      <c r="K411" s="32">
        <f t="shared" si="6"/>
        <v>736</v>
      </c>
      <c r="L411" s="50" t="s">
        <v>1312</v>
      </c>
      <c r="M411" s="60" t="s">
        <v>1316</v>
      </c>
      <c r="N411" s="26" t="s">
        <v>1328</v>
      </c>
      <c r="O411" s="26" t="e">
        <v>#N/A</v>
      </c>
    </row>
    <row r="412" spans="1:15" hidden="1" x14ac:dyDescent="0.3">
      <c r="A412" s="28">
        <v>8471305</v>
      </c>
      <c r="B412" s="29" t="s">
        <v>651</v>
      </c>
      <c r="C412" s="30">
        <v>421700</v>
      </c>
      <c r="D412" s="31" t="s">
        <v>1305</v>
      </c>
      <c r="E412" s="45" t="s">
        <v>1194</v>
      </c>
      <c r="F412" s="32">
        <v>186258</v>
      </c>
      <c r="G412" s="32">
        <v>86258</v>
      </c>
      <c r="H412" s="32">
        <v>85014.13</v>
      </c>
      <c r="I412" s="33"/>
      <c r="J412" s="32"/>
      <c r="K412" s="32">
        <f t="shared" si="6"/>
        <v>1243.8699999999953</v>
      </c>
      <c r="L412" s="50" t="s">
        <v>1312</v>
      </c>
      <c r="M412" s="60" t="s">
        <v>1316</v>
      </c>
      <c r="N412" s="26" t="s">
        <v>1328</v>
      </c>
      <c r="O412" s="26" t="e">
        <v>#N/A</v>
      </c>
    </row>
    <row r="413" spans="1:15" hidden="1" x14ac:dyDescent="0.3">
      <c r="A413" s="28">
        <v>8471305</v>
      </c>
      <c r="B413" s="29" t="s">
        <v>651</v>
      </c>
      <c r="C413" s="30">
        <v>426610</v>
      </c>
      <c r="D413" s="31" t="s">
        <v>687</v>
      </c>
      <c r="E413" s="45" t="s">
        <v>1212</v>
      </c>
      <c r="F413" s="32">
        <v>787759</v>
      </c>
      <c r="G413" s="32">
        <v>1217024</v>
      </c>
      <c r="H413" s="32">
        <v>1212147.98</v>
      </c>
      <c r="I413" s="33"/>
      <c r="J413" s="32"/>
      <c r="K413" s="32">
        <f t="shared" si="6"/>
        <v>4876.0200000000186</v>
      </c>
      <c r="L413" s="50" t="s">
        <v>1312</v>
      </c>
      <c r="M413" s="60" t="s">
        <v>1316</v>
      </c>
      <c r="N413" s="26" t="s">
        <v>1328</v>
      </c>
      <c r="O413" s="26" t="e">
        <v>#N/A</v>
      </c>
    </row>
    <row r="414" spans="1:15" hidden="1" x14ac:dyDescent="0.3">
      <c r="A414" s="28">
        <v>8471305</v>
      </c>
      <c r="B414" s="29" t="s">
        <v>651</v>
      </c>
      <c r="C414" s="30">
        <v>427200</v>
      </c>
      <c r="D414" s="31" t="s">
        <v>729</v>
      </c>
      <c r="E414" s="45" t="s">
        <v>1215</v>
      </c>
      <c r="F414" s="32">
        <v>164073</v>
      </c>
      <c r="G414" s="32">
        <v>164073</v>
      </c>
      <c r="H414" s="32">
        <v>158351.81</v>
      </c>
      <c r="I414" s="33"/>
      <c r="J414" s="32"/>
      <c r="K414" s="32">
        <f t="shared" si="6"/>
        <v>5721.1900000000023</v>
      </c>
      <c r="L414" s="50" t="s">
        <v>1312</v>
      </c>
      <c r="M414" s="60" t="s">
        <v>1316</v>
      </c>
      <c r="N414" s="26" t="s">
        <v>1328</v>
      </c>
      <c r="O414" s="26" t="e">
        <v>#N/A</v>
      </c>
    </row>
    <row r="415" spans="1:15" hidden="1" x14ac:dyDescent="0.3">
      <c r="A415" s="28">
        <v>8471305</v>
      </c>
      <c r="B415" s="29" t="s">
        <v>651</v>
      </c>
      <c r="C415" s="30">
        <v>422900</v>
      </c>
      <c r="D415" s="31" t="s">
        <v>953</v>
      </c>
      <c r="E415" s="45" t="s">
        <v>1196</v>
      </c>
      <c r="F415" s="32">
        <v>61934</v>
      </c>
      <c r="G415" s="32">
        <v>61934</v>
      </c>
      <c r="H415" s="32">
        <v>53742.06</v>
      </c>
      <c r="I415" s="33"/>
      <c r="J415" s="32"/>
      <c r="K415" s="32">
        <f t="shared" si="6"/>
        <v>8191.9400000000023</v>
      </c>
      <c r="L415" s="50" t="s">
        <v>1312</v>
      </c>
      <c r="M415" s="60" t="s">
        <v>1316</v>
      </c>
      <c r="N415" s="26" t="s">
        <v>1328</v>
      </c>
      <c r="O415" s="26" t="e">
        <v>#N/A</v>
      </c>
    </row>
    <row r="416" spans="1:15" hidden="1" x14ac:dyDescent="0.3">
      <c r="A416" s="28">
        <v>8471305</v>
      </c>
      <c r="B416" s="29" t="s">
        <v>651</v>
      </c>
      <c r="C416" s="30">
        <v>426100</v>
      </c>
      <c r="D416" s="31" t="s">
        <v>930</v>
      </c>
      <c r="E416" s="45" t="s">
        <v>1211</v>
      </c>
      <c r="F416" s="32">
        <v>10000</v>
      </c>
      <c r="G416" s="32">
        <v>10000</v>
      </c>
      <c r="H416" s="32">
        <v>0</v>
      </c>
      <c r="I416" s="33"/>
      <c r="J416" s="32"/>
      <c r="K416" s="32">
        <f t="shared" si="6"/>
        <v>10000</v>
      </c>
      <c r="L416" s="50" t="s">
        <v>1312</v>
      </c>
      <c r="M416" s="60" t="s">
        <v>1316</v>
      </c>
      <c r="N416" s="26" t="s">
        <v>1328</v>
      </c>
      <c r="O416" s="26" t="e">
        <v>#N/A</v>
      </c>
    </row>
    <row r="417" spans="1:15" hidden="1" x14ac:dyDescent="0.3">
      <c r="A417" s="28">
        <v>8471305</v>
      </c>
      <c r="B417" s="29" t="s">
        <v>651</v>
      </c>
      <c r="C417" s="30">
        <v>427810</v>
      </c>
      <c r="D417" s="31" t="s">
        <v>1068</v>
      </c>
      <c r="E417" s="45" t="s">
        <v>1217</v>
      </c>
      <c r="F417" s="32">
        <v>10000</v>
      </c>
      <c r="G417" s="32">
        <v>10000</v>
      </c>
      <c r="H417" s="32">
        <v>0</v>
      </c>
      <c r="I417" s="33"/>
      <c r="J417" s="32"/>
      <c r="K417" s="32">
        <f t="shared" si="6"/>
        <v>10000</v>
      </c>
      <c r="L417" s="50" t="s">
        <v>1312</v>
      </c>
      <c r="M417" s="60" t="s">
        <v>1316</v>
      </c>
      <c r="N417" s="26" t="s">
        <v>1328</v>
      </c>
      <c r="O417" s="26" t="e">
        <v>#N/A</v>
      </c>
    </row>
    <row r="418" spans="1:15" hidden="1" x14ac:dyDescent="0.3">
      <c r="A418" s="28">
        <v>8471305</v>
      </c>
      <c r="B418" s="29" t="s">
        <v>651</v>
      </c>
      <c r="C418" s="30">
        <v>427710</v>
      </c>
      <c r="D418" s="31" t="s">
        <v>690</v>
      </c>
      <c r="E418" s="45" t="s">
        <v>1216</v>
      </c>
      <c r="F418" s="32">
        <v>26780</v>
      </c>
      <c r="G418" s="32">
        <v>26780</v>
      </c>
      <c r="H418" s="32">
        <v>14706.73</v>
      </c>
      <c r="I418" s="33"/>
      <c r="J418" s="32"/>
      <c r="K418" s="32">
        <f t="shared" si="6"/>
        <v>12073.27</v>
      </c>
      <c r="L418" s="50" t="s">
        <v>1312</v>
      </c>
      <c r="M418" s="60" t="s">
        <v>1316</v>
      </c>
      <c r="N418" s="26" t="s">
        <v>1328</v>
      </c>
      <c r="O418" s="26" t="e">
        <v>#N/A</v>
      </c>
    </row>
    <row r="419" spans="1:15" hidden="1" x14ac:dyDescent="0.3">
      <c r="A419" s="28">
        <v>8471305</v>
      </c>
      <c r="B419" s="29" t="s">
        <v>651</v>
      </c>
      <c r="C419" s="30">
        <v>432205</v>
      </c>
      <c r="D419" s="31" t="s">
        <v>1079</v>
      </c>
      <c r="E419" s="45" t="s">
        <v>1223</v>
      </c>
      <c r="F419" s="32">
        <v>114851</v>
      </c>
      <c r="G419" s="32">
        <v>114851</v>
      </c>
      <c r="H419" s="32">
        <v>99532.62</v>
      </c>
      <c r="I419" s="33"/>
      <c r="J419" s="32"/>
      <c r="K419" s="32">
        <f t="shared" si="6"/>
        <v>15318.380000000005</v>
      </c>
      <c r="L419" s="50" t="s">
        <v>1312</v>
      </c>
      <c r="M419" s="60" t="s">
        <v>1316</v>
      </c>
      <c r="N419" s="26" t="s">
        <v>1328</v>
      </c>
      <c r="O419" s="26" t="e">
        <v>#N/A</v>
      </c>
    </row>
    <row r="420" spans="1:15" hidden="1" x14ac:dyDescent="0.3">
      <c r="A420" s="28">
        <v>8471305</v>
      </c>
      <c r="B420" s="29" t="s">
        <v>651</v>
      </c>
      <c r="C420" s="30">
        <v>425742</v>
      </c>
      <c r="D420" s="31" t="s">
        <v>1142</v>
      </c>
      <c r="E420" s="45" t="s">
        <v>1201</v>
      </c>
      <c r="F420" s="32">
        <v>90000</v>
      </c>
      <c r="G420" s="32">
        <v>90000</v>
      </c>
      <c r="H420" s="32">
        <v>74619.92</v>
      </c>
      <c r="I420" s="33"/>
      <c r="J420" s="32"/>
      <c r="K420" s="32">
        <f t="shared" si="6"/>
        <v>15380.080000000002</v>
      </c>
      <c r="L420" s="50" t="s">
        <v>1312</v>
      </c>
      <c r="M420" s="60" t="s">
        <v>1316</v>
      </c>
      <c r="N420" s="26" t="s">
        <v>1328</v>
      </c>
      <c r="O420" s="26" t="e">
        <v>#N/A</v>
      </c>
    </row>
    <row r="421" spans="1:15" hidden="1" x14ac:dyDescent="0.3">
      <c r="A421" s="28">
        <v>8471305</v>
      </c>
      <c r="B421" s="29" t="s">
        <v>651</v>
      </c>
      <c r="C421" s="30">
        <v>426900</v>
      </c>
      <c r="D421" s="31" t="s">
        <v>971</v>
      </c>
      <c r="E421" s="45" t="s">
        <v>1213</v>
      </c>
      <c r="F421" s="32">
        <v>16408</v>
      </c>
      <c r="G421" s="32">
        <v>16408</v>
      </c>
      <c r="H421" s="32">
        <v>290</v>
      </c>
      <c r="I421" s="33"/>
      <c r="J421" s="32"/>
      <c r="K421" s="32">
        <f t="shared" si="6"/>
        <v>16118</v>
      </c>
      <c r="L421" s="50" t="s">
        <v>1312</v>
      </c>
      <c r="M421" s="60" t="s">
        <v>1316</v>
      </c>
      <c r="N421" s="26" t="s">
        <v>1328</v>
      </c>
      <c r="O421" s="26" t="e">
        <v>#N/A</v>
      </c>
    </row>
    <row r="422" spans="1:15" hidden="1" x14ac:dyDescent="0.3">
      <c r="A422" s="28">
        <v>8471305</v>
      </c>
      <c r="B422" s="29" t="s">
        <v>651</v>
      </c>
      <c r="C422" s="30">
        <v>428090</v>
      </c>
      <c r="D422" s="31" t="s">
        <v>696</v>
      </c>
      <c r="E422" s="45" t="s">
        <v>1218</v>
      </c>
      <c r="F422" s="32">
        <v>17601</v>
      </c>
      <c r="G422" s="32">
        <v>16951</v>
      </c>
      <c r="H422" s="32">
        <v>0</v>
      </c>
      <c r="I422" s="33"/>
      <c r="J422" s="32"/>
      <c r="K422" s="32">
        <f t="shared" si="6"/>
        <v>16951</v>
      </c>
      <c r="L422" s="50" t="s">
        <v>1312</v>
      </c>
      <c r="M422" s="60" t="s">
        <v>1316</v>
      </c>
      <c r="N422" s="26" t="s">
        <v>1328</v>
      </c>
      <c r="O422" s="26" t="e">
        <v>#N/A</v>
      </c>
    </row>
    <row r="423" spans="1:15" hidden="1" x14ac:dyDescent="0.3">
      <c r="A423" s="28">
        <v>8471305</v>
      </c>
      <c r="B423" s="29" t="s">
        <v>651</v>
      </c>
      <c r="C423" s="30">
        <v>435508</v>
      </c>
      <c r="D423" s="31" t="s">
        <v>786</v>
      </c>
      <c r="E423" s="45" t="s">
        <v>1233</v>
      </c>
      <c r="F423" s="32">
        <v>55000</v>
      </c>
      <c r="G423" s="32">
        <v>260000</v>
      </c>
      <c r="H423" s="32">
        <v>241814.92</v>
      </c>
      <c r="I423" s="33"/>
      <c r="J423" s="32"/>
      <c r="K423" s="32">
        <f t="shared" si="6"/>
        <v>18185.079999999987</v>
      </c>
      <c r="L423" s="50" t="s">
        <v>1312</v>
      </c>
      <c r="M423" s="60" t="s">
        <v>1316</v>
      </c>
      <c r="N423" s="26" t="s">
        <v>1328</v>
      </c>
      <c r="O423" s="26" t="e">
        <v>#N/A</v>
      </c>
    </row>
    <row r="424" spans="1:15" hidden="1" x14ac:dyDescent="0.3">
      <c r="A424" s="28">
        <v>8471305</v>
      </c>
      <c r="B424" s="29" t="s">
        <v>651</v>
      </c>
      <c r="C424" s="30">
        <v>425763</v>
      </c>
      <c r="D424" s="31" t="s">
        <v>768</v>
      </c>
      <c r="E424" s="45" t="s">
        <v>1208</v>
      </c>
      <c r="F424" s="32">
        <v>50872</v>
      </c>
      <c r="G424" s="32">
        <v>50872</v>
      </c>
      <c r="H424" s="32">
        <v>32580</v>
      </c>
      <c r="I424" s="33"/>
      <c r="J424" s="32"/>
      <c r="K424" s="32">
        <f t="shared" si="6"/>
        <v>18292</v>
      </c>
      <c r="L424" s="50" t="s">
        <v>1312</v>
      </c>
      <c r="M424" s="60" t="s">
        <v>1316</v>
      </c>
      <c r="N424" s="26" t="s">
        <v>1328</v>
      </c>
      <c r="O424" s="26" t="e">
        <v>#N/A</v>
      </c>
    </row>
    <row r="425" spans="1:15" hidden="1" x14ac:dyDescent="0.3">
      <c r="A425" s="28">
        <v>8471305</v>
      </c>
      <c r="B425" s="29" t="s">
        <v>651</v>
      </c>
      <c r="C425" s="30">
        <v>436120</v>
      </c>
      <c r="D425" s="31" t="s">
        <v>1042</v>
      </c>
      <c r="E425" s="45" t="s">
        <v>1237</v>
      </c>
      <c r="F425" s="32">
        <v>62348</v>
      </c>
      <c r="G425" s="32">
        <v>27348</v>
      </c>
      <c r="H425" s="32">
        <v>7188.06</v>
      </c>
      <c r="I425" s="33"/>
      <c r="J425" s="32"/>
      <c r="K425" s="32">
        <f t="shared" si="6"/>
        <v>20159.939999999999</v>
      </c>
      <c r="L425" s="50" t="s">
        <v>1312</v>
      </c>
      <c r="M425" s="60" t="s">
        <v>1316</v>
      </c>
      <c r="N425" s="26" t="s">
        <v>1328</v>
      </c>
      <c r="O425" s="26" t="e">
        <v>#N/A</v>
      </c>
    </row>
    <row r="426" spans="1:15" hidden="1" x14ac:dyDescent="0.3">
      <c r="A426" s="28">
        <v>8471305</v>
      </c>
      <c r="B426" s="29" t="s">
        <v>651</v>
      </c>
      <c r="C426" s="30">
        <v>435519</v>
      </c>
      <c r="D426" s="31" t="s">
        <v>705</v>
      </c>
      <c r="E426" s="45" t="s">
        <v>1234</v>
      </c>
      <c r="F426" s="32">
        <v>25000</v>
      </c>
      <c r="G426" s="32">
        <v>25000</v>
      </c>
      <c r="H426" s="32">
        <v>1000</v>
      </c>
      <c r="I426" s="33"/>
      <c r="J426" s="32"/>
      <c r="K426" s="32">
        <f t="shared" si="6"/>
        <v>24000</v>
      </c>
      <c r="L426" s="50" t="s">
        <v>1312</v>
      </c>
      <c r="M426" s="60" t="s">
        <v>1316</v>
      </c>
      <c r="N426" s="26" t="s">
        <v>1328</v>
      </c>
      <c r="O426" s="26" t="e">
        <v>#N/A</v>
      </c>
    </row>
    <row r="427" spans="1:15" hidden="1" x14ac:dyDescent="0.3">
      <c r="A427" s="28">
        <v>8471305</v>
      </c>
      <c r="B427" s="29" t="s">
        <v>651</v>
      </c>
      <c r="C427" s="30">
        <v>435350</v>
      </c>
      <c r="D427" s="31" t="s">
        <v>783</v>
      </c>
      <c r="E427" s="45" t="s">
        <v>1231</v>
      </c>
      <c r="F427" s="32">
        <v>0</v>
      </c>
      <c r="G427" s="32">
        <v>100000</v>
      </c>
      <c r="H427" s="32">
        <v>74471.19</v>
      </c>
      <c r="I427" s="33"/>
      <c r="J427" s="32"/>
      <c r="K427" s="32">
        <f t="shared" si="6"/>
        <v>25528.809999999998</v>
      </c>
      <c r="L427" s="50" t="s">
        <v>1312</v>
      </c>
      <c r="M427" s="60" t="s">
        <v>1316</v>
      </c>
      <c r="N427" s="26" t="s">
        <v>1328</v>
      </c>
      <c r="O427" s="26" t="e">
        <v>#N/A</v>
      </c>
    </row>
    <row r="428" spans="1:15" hidden="1" x14ac:dyDescent="0.3">
      <c r="A428" s="28">
        <v>8471305</v>
      </c>
      <c r="B428" s="29" t="s">
        <v>651</v>
      </c>
      <c r="C428" s="30">
        <v>422100</v>
      </c>
      <c r="D428" s="31" t="s">
        <v>1115</v>
      </c>
      <c r="E428" s="45" t="s">
        <v>1195</v>
      </c>
      <c r="F428" s="32">
        <v>59066</v>
      </c>
      <c r="G428" s="32">
        <v>59066</v>
      </c>
      <c r="H428" s="32">
        <v>31000</v>
      </c>
      <c r="I428" s="33"/>
      <c r="J428" s="32"/>
      <c r="K428" s="32">
        <f t="shared" si="6"/>
        <v>28066</v>
      </c>
      <c r="L428" s="50" t="s">
        <v>1312</v>
      </c>
      <c r="M428" s="60" t="s">
        <v>1316</v>
      </c>
      <c r="N428" s="26" t="s">
        <v>1328</v>
      </c>
      <c r="O428" s="26" t="e">
        <v>#N/A</v>
      </c>
    </row>
    <row r="429" spans="1:15" hidden="1" x14ac:dyDescent="0.3">
      <c r="A429" s="28">
        <v>8471305</v>
      </c>
      <c r="B429" s="29" t="s">
        <v>651</v>
      </c>
      <c r="C429" s="30">
        <v>425900</v>
      </c>
      <c r="D429" s="31" t="s">
        <v>684</v>
      </c>
      <c r="E429" s="45" t="s">
        <v>1210</v>
      </c>
      <c r="F429" s="32">
        <v>53508</v>
      </c>
      <c r="G429" s="32">
        <v>53508</v>
      </c>
      <c r="H429" s="32">
        <v>20410.759999999998</v>
      </c>
      <c r="I429" s="33"/>
      <c r="J429" s="32"/>
      <c r="K429" s="32">
        <f t="shared" si="6"/>
        <v>33097.240000000005</v>
      </c>
      <c r="L429" s="50" t="s">
        <v>1312</v>
      </c>
      <c r="M429" s="60" t="s">
        <v>1316</v>
      </c>
      <c r="N429" s="26" t="s">
        <v>1328</v>
      </c>
      <c r="O429" s="26" t="e">
        <v>#N/A</v>
      </c>
    </row>
    <row r="430" spans="1:15" hidden="1" x14ac:dyDescent="0.3">
      <c r="A430" s="28">
        <v>8471305</v>
      </c>
      <c r="B430" s="29" t="s">
        <v>651</v>
      </c>
      <c r="C430" s="30">
        <v>425770</v>
      </c>
      <c r="D430" s="31" t="s">
        <v>771</v>
      </c>
      <c r="E430" s="45" t="s">
        <v>1209</v>
      </c>
      <c r="F430" s="32">
        <v>59112</v>
      </c>
      <c r="G430" s="32">
        <v>59112</v>
      </c>
      <c r="H430" s="32">
        <v>25711</v>
      </c>
      <c r="I430" s="33"/>
      <c r="J430" s="32"/>
      <c r="K430" s="32">
        <f t="shared" si="6"/>
        <v>33401</v>
      </c>
      <c r="L430" s="50" t="s">
        <v>1312</v>
      </c>
      <c r="M430" s="60" t="s">
        <v>1316</v>
      </c>
      <c r="N430" s="26" t="s">
        <v>1328</v>
      </c>
      <c r="O430" s="26" t="e">
        <v>#N/A</v>
      </c>
    </row>
    <row r="431" spans="1:15" hidden="1" x14ac:dyDescent="0.3">
      <c r="A431" s="28">
        <v>8471305</v>
      </c>
      <c r="B431" s="29" t="s">
        <v>651</v>
      </c>
      <c r="C431" s="30">
        <v>435330</v>
      </c>
      <c r="D431" s="31" t="s">
        <v>1182</v>
      </c>
      <c r="E431" s="45" t="s">
        <v>1229</v>
      </c>
      <c r="F431" s="32">
        <v>1</v>
      </c>
      <c r="G431" s="32">
        <v>16001</v>
      </c>
      <c r="H431" s="32">
        <v>-22387</v>
      </c>
      <c r="I431" s="33"/>
      <c r="J431" s="32"/>
      <c r="K431" s="32">
        <f t="shared" si="6"/>
        <v>38388</v>
      </c>
      <c r="L431" s="50" t="s">
        <v>1312</v>
      </c>
      <c r="M431" s="60" t="s">
        <v>1316</v>
      </c>
      <c r="N431" s="26" t="s">
        <v>1328</v>
      </c>
      <c r="O431" s="26" t="e">
        <v>#N/A</v>
      </c>
    </row>
    <row r="432" spans="1:15" hidden="1" x14ac:dyDescent="0.3">
      <c r="A432" s="28">
        <v>8471305</v>
      </c>
      <c r="B432" s="29" t="s">
        <v>651</v>
      </c>
      <c r="C432" s="30">
        <v>435310</v>
      </c>
      <c r="D432" s="31" t="s">
        <v>733</v>
      </c>
      <c r="E432" s="45" t="s">
        <v>1228</v>
      </c>
      <c r="F432" s="32">
        <v>50000</v>
      </c>
      <c r="G432" s="32">
        <v>50000</v>
      </c>
      <c r="H432" s="32">
        <v>11084.8</v>
      </c>
      <c r="I432" s="33"/>
      <c r="J432" s="32"/>
      <c r="K432" s="32">
        <f t="shared" si="6"/>
        <v>38915.199999999997</v>
      </c>
      <c r="L432" s="50" t="s">
        <v>1312</v>
      </c>
      <c r="M432" s="60" t="s">
        <v>1316</v>
      </c>
      <c r="N432" s="26" t="s">
        <v>1328</v>
      </c>
      <c r="O432" s="26" t="e">
        <v>#N/A</v>
      </c>
    </row>
    <row r="433" spans="1:15" hidden="1" x14ac:dyDescent="0.3">
      <c r="A433" s="28">
        <v>8471305</v>
      </c>
      <c r="B433" s="29" t="s">
        <v>651</v>
      </c>
      <c r="C433" s="30">
        <v>425762</v>
      </c>
      <c r="D433" s="31" t="s">
        <v>1152</v>
      </c>
      <c r="E433" s="45" t="s">
        <v>1207</v>
      </c>
      <c r="F433" s="32">
        <v>59066</v>
      </c>
      <c r="G433" s="32">
        <v>49066</v>
      </c>
      <c r="H433" s="32">
        <v>0</v>
      </c>
      <c r="I433" s="33"/>
      <c r="J433" s="32"/>
      <c r="K433" s="32">
        <f t="shared" si="6"/>
        <v>49066</v>
      </c>
      <c r="L433" s="50" t="s">
        <v>1312</v>
      </c>
      <c r="M433" s="60" t="s">
        <v>1316</v>
      </c>
      <c r="N433" s="26" t="s">
        <v>1328</v>
      </c>
      <c r="O433" s="26" t="e">
        <v>#N/A</v>
      </c>
    </row>
    <row r="434" spans="1:15" hidden="1" x14ac:dyDescent="0.3">
      <c r="A434" s="28">
        <v>8471305</v>
      </c>
      <c r="B434" s="29" t="s">
        <v>651</v>
      </c>
      <c r="C434" s="30">
        <v>436110</v>
      </c>
      <c r="D434" s="31" t="s">
        <v>708</v>
      </c>
      <c r="E434" s="45" t="s">
        <v>1236</v>
      </c>
      <c r="F434" s="32">
        <v>77114</v>
      </c>
      <c r="G434" s="32">
        <v>77114</v>
      </c>
      <c r="H434" s="32">
        <v>22000</v>
      </c>
      <c r="I434" s="33"/>
      <c r="J434" s="32"/>
      <c r="K434" s="32">
        <f t="shared" si="6"/>
        <v>55114</v>
      </c>
      <c r="L434" s="47" t="s">
        <v>1310</v>
      </c>
      <c r="M434" s="60" t="s">
        <v>1316</v>
      </c>
      <c r="N434" s="26" t="s">
        <v>1328</v>
      </c>
      <c r="O434" s="26" t="e">
        <v>#N/A</v>
      </c>
    </row>
    <row r="435" spans="1:15" ht="26" hidden="1" x14ac:dyDescent="0.3">
      <c r="A435" s="28">
        <v>8471305</v>
      </c>
      <c r="B435" s="29" t="s">
        <v>651</v>
      </c>
      <c r="C435" s="30">
        <v>425760</v>
      </c>
      <c r="D435" s="31" t="s">
        <v>804</v>
      </c>
      <c r="E435" s="45" t="s">
        <v>1206</v>
      </c>
      <c r="F435" s="32">
        <v>4146</v>
      </c>
      <c r="G435" s="32">
        <v>64146</v>
      </c>
      <c r="H435" s="32">
        <v>8693.83</v>
      </c>
      <c r="I435" s="33"/>
      <c r="J435" s="32"/>
      <c r="K435" s="32">
        <f t="shared" si="6"/>
        <v>55452.17</v>
      </c>
      <c r="L435" s="47" t="s">
        <v>1373</v>
      </c>
      <c r="M435" s="60" t="s">
        <v>1316</v>
      </c>
      <c r="N435" s="26" t="s">
        <v>1328</v>
      </c>
      <c r="O435" s="26" t="e">
        <v>#N/A</v>
      </c>
    </row>
    <row r="436" spans="1:15" ht="39" hidden="1" x14ac:dyDescent="0.3">
      <c r="A436" s="28">
        <v>8471305</v>
      </c>
      <c r="B436" s="29" t="s">
        <v>651</v>
      </c>
      <c r="C436" s="30">
        <v>425550</v>
      </c>
      <c r="D436" s="31" t="s">
        <v>723</v>
      </c>
      <c r="E436" s="45" t="s">
        <v>1199</v>
      </c>
      <c r="F436" s="32">
        <v>53774</v>
      </c>
      <c r="G436" s="32">
        <v>123774</v>
      </c>
      <c r="H436" s="32">
        <v>47146.720000000001</v>
      </c>
      <c r="I436" s="33"/>
      <c r="J436" s="32"/>
      <c r="K436" s="32">
        <f t="shared" si="6"/>
        <v>76627.28</v>
      </c>
      <c r="L436" s="47" t="s">
        <v>1374</v>
      </c>
      <c r="M436" s="60" t="s">
        <v>1316</v>
      </c>
      <c r="N436" s="26" t="s">
        <v>1328</v>
      </c>
      <c r="O436" s="26" t="e">
        <v>#N/A</v>
      </c>
    </row>
    <row r="437" spans="1:15" ht="39" hidden="1" x14ac:dyDescent="0.3">
      <c r="A437" s="28">
        <v>8471305</v>
      </c>
      <c r="B437" s="29" t="s">
        <v>651</v>
      </c>
      <c r="C437" s="30">
        <v>425100</v>
      </c>
      <c r="D437" s="31" t="s">
        <v>1306</v>
      </c>
      <c r="E437" s="45" t="s">
        <v>1197</v>
      </c>
      <c r="F437" s="32">
        <v>129220</v>
      </c>
      <c r="G437" s="32">
        <v>79220</v>
      </c>
      <c r="H437" s="32">
        <v>257.85000000000002</v>
      </c>
      <c r="I437" s="33"/>
      <c r="J437" s="32"/>
      <c r="K437" s="32">
        <f t="shared" si="6"/>
        <v>78962.149999999994</v>
      </c>
      <c r="L437" s="47" t="s">
        <v>1375</v>
      </c>
      <c r="M437" s="60" t="s">
        <v>1316</v>
      </c>
      <c r="N437" s="26" t="s">
        <v>1328</v>
      </c>
      <c r="O437" s="26" t="e">
        <v>#N/A</v>
      </c>
    </row>
    <row r="438" spans="1:15" ht="26" hidden="1" x14ac:dyDescent="0.3">
      <c r="A438" s="28">
        <v>8471305</v>
      </c>
      <c r="B438" s="29" t="s">
        <v>651</v>
      </c>
      <c r="C438" s="30">
        <v>425746</v>
      </c>
      <c r="D438" s="31" t="s">
        <v>1128</v>
      </c>
      <c r="E438" s="45" t="s">
        <v>1203</v>
      </c>
      <c r="F438" s="32">
        <v>95665</v>
      </c>
      <c r="G438" s="32">
        <v>95665</v>
      </c>
      <c r="H438" s="32">
        <v>0</v>
      </c>
      <c r="I438" s="33"/>
      <c r="J438" s="32"/>
      <c r="K438" s="32">
        <f t="shared" si="6"/>
        <v>95665</v>
      </c>
      <c r="L438" s="47" t="s">
        <v>1376</v>
      </c>
      <c r="M438" s="60" t="s">
        <v>1316</v>
      </c>
      <c r="N438" s="26" t="s">
        <v>1328</v>
      </c>
      <c r="O438" s="26" t="e">
        <v>#N/A</v>
      </c>
    </row>
    <row r="439" spans="1:15" ht="52" hidden="1" x14ac:dyDescent="0.3">
      <c r="A439" s="28">
        <v>8471305</v>
      </c>
      <c r="B439" s="29" t="s">
        <v>651</v>
      </c>
      <c r="C439" s="30">
        <v>425510</v>
      </c>
      <c r="D439" s="31" t="s">
        <v>681</v>
      </c>
      <c r="E439" s="45" t="s">
        <v>1198</v>
      </c>
      <c r="F439" s="32">
        <v>114961</v>
      </c>
      <c r="G439" s="32">
        <v>234961</v>
      </c>
      <c r="H439" s="32">
        <v>83485.8</v>
      </c>
      <c r="I439" s="33"/>
      <c r="J439" s="32"/>
      <c r="K439" s="32">
        <f t="shared" si="6"/>
        <v>151475.20000000001</v>
      </c>
      <c r="L439" s="47" t="s">
        <v>1377</v>
      </c>
      <c r="M439" s="60" t="s">
        <v>1316</v>
      </c>
      <c r="N439" s="26" t="s">
        <v>1328</v>
      </c>
      <c r="O439" s="26" t="e">
        <v>#N/A</v>
      </c>
    </row>
    <row r="440" spans="1:15" ht="78" hidden="1" x14ac:dyDescent="0.3">
      <c r="A440" s="28">
        <v>8471305</v>
      </c>
      <c r="B440" s="29" t="s">
        <v>651</v>
      </c>
      <c r="C440" s="30">
        <v>420570</v>
      </c>
      <c r="D440" s="31" t="s">
        <v>669</v>
      </c>
      <c r="E440" s="45" t="s">
        <v>1191</v>
      </c>
      <c r="F440" s="32">
        <v>1</v>
      </c>
      <c r="G440" s="32">
        <v>16980288</v>
      </c>
      <c r="H440" s="32">
        <v>16778285</v>
      </c>
      <c r="I440" s="33"/>
      <c r="J440" s="32"/>
      <c r="K440" s="32">
        <f t="shared" si="6"/>
        <v>202003</v>
      </c>
      <c r="L440" s="47" t="s">
        <v>1378</v>
      </c>
      <c r="M440" s="60" t="s">
        <v>1316</v>
      </c>
      <c r="N440" s="26" t="s">
        <v>1328</v>
      </c>
      <c r="O440" s="26" t="e">
        <v>#N/A</v>
      </c>
    </row>
    <row r="441" spans="1:15" ht="39" hidden="1" x14ac:dyDescent="0.3">
      <c r="A441" s="28">
        <v>8471305</v>
      </c>
      <c r="B441" s="29" t="s">
        <v>651</v>
      </c>
      <c r="C441" s="30">
        <v>435340</v>
      </c>
      <c r="D441" s="31" t="s">
        <v>869</v>
      </c>
      <c r="E441" s="45" t="s">
        <v>1230</v>
      </c>
      <c r="F441" s="32">
        <v>408343</v>
      </c>
      <c r="G441" s="32">
        <v>292343</v>
      </c>
      <c r="H441" s="32">
        <v>82603.820000000007</v>
      </c>
      <c r="I441" s="33"/>
      <c r="J441" s="32"/>
      <c r="K441" s="32">
        <f t="shared" si="6"/>
        <v>209739.18</v>
      </c>
      <c r="L441" s="47" t="s">
        <v>1379</v>
      </c>
      <c r="M441" s="60" t="s">
        <v>1316</v>
      </c>
      <c r="N441" s="26" t="s">
        <v>1328</v>
      </c>
      <c r="O441" s="26" t="e">
        <v>#N/A</v>
      </c>
    </row>
    <row r="442" spans="1:15" ht="26" hidden="1" x14ac:dyDescent="0.3">
      <c r="A442" s="28">
        <v>8471305</v>
      </c>
      <c r="B442" s="29" t="s">
        <v>651</v>
      </c>
      <c r="C442" s="30">
        <v>492610</v>
      </c>
      <c r="D442" s="31" t="s">
        <v>1272</v>
      </c>
      <c r="E442" s="45" t="s">
        <v>1295</v>
      </c>
      <c r="F442" s="32">
        <v>1630483</v>
      </c>
      <c r="G442" s="32">
        <v>650000</v>
      </c>
      <c r="H442" s="32">
        <v>327989.92</v>
      </c>
      <c r="I442" s="33"/>
      <c r="J442" s="32"/>
      <c r="K442" s="32">
        <f t="shared" si="6"/>
        <v>322010.08</v>
      </c>
      <c r="L442" s="47" t="s">
        <v>1380</v>
      </c>
      <c r="M442" s="26" t="s">
        <v>1316</v>
      </c>
      <c r="N442" s="26" t="s">
        <v>1328</v>
      </c>
      <c r="O442" s="26">
        <v>492610</v>
      </c>
    </row>
    <row r="443" spans="1:15" ht="39" hidden="1" x14ac:dyDescent="0.3">
      <c r="A443" s="28">
        <v>8471305</v>
      </c>
      <c r="B443" s="29" t="s">
        <v>651</v>
      </c>
      <c r="C443" s="30">
        <v>495140</v>
      </c>
      <c r="D443" s="31" t="s">
        <v>1277</v>
      </c>
      <c r="E443" s="45" t="s">
        <v>1296</v>
      </c>
      <c r="F443" s="32">
        <v>4653254</v>
      </c>
      <c r="G443" s="32">
        <v>500000</v>
      </c>
      <c r="H443" s="32">
        <v>0</v>
      </c>
      <c r="I443" s="33"/>
      <c r="J443" s="32"/>
      <c r="K443" s="32">
        <f t="shared" si="6"/>
        <v>500000</v>
      </c>
      <c r="L443" s="47" t="s">
        <v>1381</v>
      </c>
      <c r="M443" s="26" t="s">
        <v>1316</v>
      </c>
      <c r="N443" s="26" t="s">
        <v>1328</v>
      </c>
      <c r="O443" s="26">
        <v>495140</v>
      </c>
    </row>
    <row r="444" spans="1:15" ht="39" hidden="1" x14ac:dyDescent="0.3">
      <c r="A444" s="28">
        <v>8471305</v>
      </c>
      <c r="B444" s="29" t="s">
        <v>651</v>
      </c>
      <c r="C444" s="30">
        <v>492310</v>
      </c>
      <c r="D444" s="31" t="s">
        <v>1248</v>
      </c>
      <c r="E444" s="45" t="s">
        <v>1293</v>
      </c>
      <c r="F444" s="32">
        <v>2697637</v>
      </c>
      <c r="G444" s="32">
        <v>4910637</v>
      </c>
      <c r="H444" s="32">
        <v>4058968.47</v>
      </c>
      <c r="I444" s="33"/>
      <c r="J444" s="32"/>
      <c r="K444" s="32">
        <f t="shared" si="6"/>
        <v>851668.5299999998</v>
      </c>
      <c r="L444" s="47" t="s">
        <v>1382</v>
      </c>
      <c r="M444" s="26" t="s">
        <v>1316</v>
      </c>
      <c r="N444" s="26" t="s">
        <v>1328</v>
      </c>
      <c r="O444" s="26">
        <v>492310</v>
      </c>
    </row>
    <row r="445" spans="1:15" ht="39" hidden="1" x14ac:dyDescent="0.3">
      <c r="A445" s="28">
        <v>8471305</v>
      </c>
      <c r="B445" s="29" t="s">
        <v>651</v>
      </c>
      <c r="C445" s="30">
        <v>420810</v>
      </c>
      <c r="D445" s="31" t="s">
        <v>1062</v>
      </c>
      <c r="E445" s="45" t="s">
        <v>1192</v>
      </c>
      <c r="F445" s="32">
        <v>1429265</v>
      </c>
      <c r="G445" s="32">
        <v>1000000</v>
      </c>
      <c r="H445" s="32">
        <v>41519.35</v>
      </c>
      <c r="I445" s="33"/>
      <c r="J445" s="32"/>
      <c r="K445" s="32">
        <f t="shared" si="6"/>
        <v>958480.65</v>
      </c>
      <c r="L445" s="47" t="s">
        <v>1383</v>
      </c>
      <c r="M445" s="60" t="s">
        <v>1316</v>
      </c>
      <c r="N445" s="26" t="s">
        <v>1328</v>
      </c>
      <c r="O445" s="26" t="e">
        <v>#N/A</v>
      </c>
    </row>
    <row r="446" spans="1:15" ht="39" hidden="1" x14ac:dyDescent="0.3">
      <c r="A446" s="28">
        <v>8471305</v>
      </c>
      <c r="B446" s="29" t="s">
        <v>651</v>
      </c>
      <c r="C446" s="30">
        <v>425720</v>
      </c>
      <c r="D446" s="31" t="s">
        <v>765</v>
      </c>
      <c r="E446" s="45" t="s">
        <v>1200</v>
      </c>
      <c r="F446" s="32">
        <v>2092953</v>
      </c>
      <c r="G446" s="32">
        <v>3421083</v>
      </c>
      <c r="H446" s="32">
        <v>1377538.15</v>
      </c>
      <c r="I446" s="33"/>
      <c r="J446" s="32"/>
      <c r="K446" s="32">
        <f t="shared" si="6"/>
        <v>2043544.85</v>
      </c>
      <c r="L446" s="47" t="s">
        <v>1384</v>
      </c>
      <c r="M446" s="60" t="s">
        <v>1316</v>
      </c>
      <c r="N446" s="26" t="s">
        <v>1328</v>
      </c>
      <c r="O446" s="26" t="e">
        <v>#N/A</v>
      </c>
    </row>
    <row r="447" spans="1:15" ht="26" hidden="1" x14ac:dyDescent="0.3">
      <c r="A447" s="28">
        <v>8471305</v>
      </c>
      <c r="B447" s="29" t="s">
        <v>651</v>
      </c>
      <c r="C447" s="30">
        <v>492316</v>
      </c>
      <c r="D447" s="31" t="s">
        <v>777</v>
      </c>
      <c r="E447" s="45" t="s">
        <v>1294</v>
      </c>
      <c r="F447" s="32">
        <v>18440891</v>
      </c>
      <c r="G447" s="32">
        <v>20306628</v>
      </c>
      <c r="H447" s="32">
        <v>11810091.060000001</v>
      </c>
      <c r="I447" s="33"/>
      <c r="J447" s="32"/>
      <c r="K447" s="32">
        <f t="shared" si="6"/>
        <v>8496536.9399999995</v>
      </c>
      <c r="L447" s="47" t="s">
        <v>1385</v>
      </c>
      <c r="M447" s="26" t="s">
        <v>1316</v>
      </c>
      <c r="N447" s="26" t="s">
        <v>1328</v>
      </c>
      <c r="O447" s="26">
        <v>492316</v>
      </c>
    </row>
    <row r="448" spans="1:15" ht="13.5" hidden="1" thickBot="1" x14ac:dyDescent="0.35">
      <c r="F448" s="52">
        <f>SUM(F2:F447)</f>
        <v>505847000</v>
      </c>
      <c r="G448" s="53">
        <f t="shared" ref="G448:H448" si="7">SUM(G2:G447)</f>
        <v>559724149</v>
      </c>
      <c r="H448" s="53">
        <f t="shared" si="7"/>
        <v>497770721.22000039</v>
      </c>
      <c r="I448" s="53">
        <f>SUM(I2:I447)</f>
        <v>0</v>
      </c>
      <c r="J448" s="53">
        <f t="shared" ref="J448" si="8">SUM(J2:J447)</f>
        <v>0</v>
      </c>
      <c r="K448" s="53">
        <f t="shared" ref="K448" si="9">SUM(K2:K447)</f>
        <v>61953427.779999889</v>
      </c>
    </row>
    <row r="449" spans="6:11" x14ac:dyDescent="0.3">
      <c r="F449" s="58">
        <f>SUBTOTAL(9,F1:F448)</f>
        <v>139535725</v>
      </c>
      <c r="G449" s="58">
        <f t="shared" ref="G449:K449" si="10">SUBTOTAL(9,G1:G448)</f>
        <v>140258263</v>
      </c>
      <c r="H449" s="58">
        <f t="shared" si="10"/>
        <v>130290560.04000011</v>
      </c>
      <c r="I449" s="58">
        <f t="shared" si="10"/>
        <v>0</v>
      </c>
      <c r="J449" s="58">
        <f t="shared" si="10"/>
        <v>0</v>
      </c>
      <c r="K449" s="58">
        <f t="shared" si="10"/>
        <v>9967702.959999904</v>
      </c>
    </row>
  </sheetData>
  <autoFilter ref="A1:O448" xr:uid="{00000000-0001-0000-0000-000000000000}">
    <filterColumn colId="13">
      <filters>
        <filter val="Senior Vice President, Research Office"/>
      </filters>
    </filterColumn>
  </autoFilter>
  <sortState xmlns:xlrd2="http://schemas.microsoft.com/office/spreadsheetml/2017/richdata2" ref="A2:N934">
    <sortCondition ref="A2:A934"/>
  </sortState>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54"/>
  <sheetViews>
    <sheetView workbookViewId="0"/>
  </sheetViews>
  <sheetFormatPr defaultRowHeight="14.5" x14ac:dyDescent="0.35"/>
  <cols>
    <col min="1" max="1" width="13.1796875" bestFit="1" customWidth="1"/>
    <col min="2" max="2" width="21.7265625" style="42" bestFit="1" customWidth="1"/>
    <col min="3" max="3" width="21" style="42" bestFit="1" customWidth="1"/>
    <col min="4" max="4" width="20.81640625" style="42" bestFit="1" customWidth="1"/>
  </cols>
  <sheetData>
    <row r="3" spans="1:4" x14ac:dyDescent="0.35">
      <c r="A3" s="40" t="s">
        <v>1298</v>
      </c>
      <c r="B3" s="42" t="s">
        <v>1299</v>
      </c>
      <c r="C3" s="42" t="s">
        <v>1300</v>
      </c>
      <c r="D3" s="42" t="s">
        <v>1301</v>
      </c>
    </row>
    <row r="4" spans="1:4" x14ac:dyDescent="0.35">
      <c r="A4" s="41">
        <v>8470110</v>
      </c>
      <c r="B4" s="42">
        <v>230869</v>
      </c>
      <c r="C4" s="42">
        <v>-132349.12</v>
      </c>
      <c r="D4" s="42">
        <v>230869</v>
      </c>
    </row>
    <row r="5" spans="1:4" x14ac:dyDescent="0.35">
      <c r="A5" s="41">
        <v>8470120</v>
      </c>
      <c r="B5" s="42">
        <v>400000</v>
      </c>
      <c r="C5" s="42">
        <v>160833</v>
      </c>
      <c r="D5" s="42">
        <v>400000</v>
      </c>
    </row>
    <row r="6" spans="1:4" x14ac:dyDescent="0.35">
      <c r="A6" s="41">
        <v>8470130</v>
      </c>
      <c r="B6" s="42">
        <v>270750</v>
      </c>
      <c r="C6" s="42">
        <v>264134.5</v>
      </c>
      <c r="D6" s="42">
        <v>403500</v>
      </c>
    </row>
    <row r="7" spans="1:4" x14ac:dyDescent="0.35">
      <c r="A7" s="41">
        <v>8470140</v>
      </c>
      <c r="B7" s="42">
        <v>7350367</v>
      </c>
      <c r="C7" s="42">
        <v>4343977.3100000005</v>
      </c>
      <c r="D7" s="42">
        <v>6363535</v>
      </c>
    </row>
    <row r="8" spans="1:4" x14ac:dyDescent="0.35">
      <c r="A8" s="41">
        <v>8470150</v>
      </c>
      <c r="B8" s="42">
        <v>18596</v>
      </c>
      <c r="D8" s="42">
        <v>18596</v>
      </c>
    </row>
    <row r="9" spans="1:4" x14ac:dyDescent="0.35">
      <c r="A9" s="41">
        <v>8470220</v>
      </c>
      <c r="B9" s="42">
        <v>160720</v>
      </c>
      <c r="C9" s="42">
        <v>160720</v>
      </c>
      <c r="D9" s="42">
        <v>160720</v>
      </c>
    </row>
    <row r="10" spans="1:4" x14ac:dyDescent="0.35">
      <c r="A10" s="41">
        <v>8470230</v>
      </c>
      <c r="B10" s="42">
        <v>101094297</v>
      </c>
      <c r="C10" s="42">
        <v>77854203.460000008</v>
      </c>
      <c r="D10" s="42">
        <v>104483969</v>
      </c>
    </row>
    <row r="11" spans="1:4" x14ac:dyDescent="0.35">
      <c r="A11" s="41">
        <v>8470305</v>
      </c>
      <c r="B11" s="42">
        <v>865814</v>
      </c>
      <c r="C11" s="42">
        <v>402877.65</v>
      </c>
      <c r="D11" s="42">
        <v>1019114</v>
      </c>
    </row>
    <row r="12" spans="1:4" x14ac:dyDescent="0.35">
      <c r="A12" s="41">
        <v>8470310</v>
      </c>
      <c r="B12" s="42">
        <v>1220151</v>
      </c>
      <c r="C12" s="42">
        <v>640844.75</v>
      </c>
      <c r="D12" s="42">
        <v>1141151</v>
      </c>
    </row>
    <row r="13" spans="1:4" x14ac:dyDescent="0.35">
      <c r="A13" s="41">
        <v>8470315</v>
      </c>
      <c r="B13" s="42">
        <v>345863</v>
      </c>
      <c r="C13" s="42">
        <v>306348.74</v>
      </c>
      <c r="D13" s="42">
        <v>349036</v>
      </c>
    </row>
    <row r="14" spans="1:4" x14ac:dyDescent="0.35">
      <c r="A14" s="41">
        <v>8470320</v>
      </c>
      <c r="B14" s="42">
        <v>209335</v>
      </c>
      <c r="C14" s="42">
        <v>143960.21</v>
      </c>
      <c r="D14" s="42">
        <v>213985</v>
      </c>
    </row>
    <row r="15" spans="1:4" x14ac:dyDescent="0.35">
      <c r="A15" s="41">
        <v>8470325</v>
      </c>
      <c r="B15" s="42">
        <v>3822494</v>
      </c>
      <c r="C15" s="42">
        <v>3100691.3899999997</v>
      </c>
      <c r="D15" s="42">
        <v>258494</v>
      </c>
    </row>
    <row r="16" spans="1:4" x14ac:dyDescent="0.35">
      <c r="A16" s="41">
        <v>8470330</v>
      </c>
      <c r="B16" s="42">
        <v>856093</v>
      </c>
      <c r="C16" s="42">
        <v>420330</v>
      </c>
      <c r="D16" s="42">
        <v>869093</v>
      </c>
    </row>
    <row r="17" spans="1:4" x14ac:dyDescent="0.35">
      <c r="A17" s="41">
        <v>8470335</v>
      </c>
      <c r="B17" s="42">
        <v>398041</v>
      </c>
      <c r="C17" s="42">
        <v>248362.50000000003</v>
      </c>
      <c r="D17" s="42">
        <v>454868</v>
      </c>
    </row>
    <row r="18" spans="1:4" x14ac:dyDescent="0.35">
      <c r="A18" s="41">
        <v>8470340</v>
      </c>
      <c r="B18" s="42">
        <v>1066786</v>
      </c>
      <c r="C18" s="42">
        <v>695253.28</v>
      </c>
      <c r="D18" s="42">
        <v>1097786</v>
      </c>
    </row>
    <row r="19" spans="1:4" x14ac:dyDescent="0.35">
      <c r="A19" s="41">
        <v>8470345</v>
      </c>
      <c r="B19" s="42">
        <v>314215</v>
      </c>
      <c r="C19" s="42">
        <v>190100.77000000002</v>
      </c>
      <c r="D19" s="42">
        <v>314215</v>
      </c>
    </row>
    <row r="20" spans="1:4" x14ac:dyDescent="0.35">
      <c r="A20" s="41">
        <v>8470350</v>
      </c>
      <c r="B20" s="42">
        <v>1387825</v>
      </c>
      <c r="C20" s="42">
        <v>198428.26</v>
      </c>
      <c r="D20" s="42">
        <v>1487825</v>
      </c>
    </row>
    <row r="21" spans="1:4" x14ac:dyDescent="0.35">
      <c r="A21" s="41">
        <v>8470405</v>
      </c>
      <c r="B21" s="42">
        <v>606931</v>
      </c>
      <c r="C21" s="42">
        <v>288362.03999999998</v>
      </c>
      <c r="D21" s="42">
        <v>655002</v>
      </c>
    </row>
    <row r="22" spans="1:4" x14ac:dyDescent="0.35">
      <c r="A22" s="41">
        <v>8470410</v>
      </c>
      <c r="B22" s="42">
        <v>58357</v>
      </c>
      <c r="C22" s="42">
        <v>7313.17</v>
      </c>
      <c r="D22" s="42">
        <v>58357</v>
      </c>
    </row>
    <row r="23" spans="1:4" x14ac:dyDescent="0.35">
      <c r="A23" s="41">
        <v>8470415</v>
      </c>
      <c r="B23" s="42">
        <v>1220448</v>
      </c>
      <c r="C23" s="42">
        <v>646305.92999999993</v>
      </c>
      <c r="D23" s="42">
        <v>1220448</v>
      </c>
    </row>
    <row r="24" spans="1:4" x14ac:dyDescent="0.35">
      <c r="A24" s="41">
        <v>8470425</v>
      </c>
      <c r="B24" s="42">
        <v>2945752</v>
      </c>
      <c r="C24" s="42">
        <v>385227.68</v>
      </c>
      <c r="D24" s="42">
        <v>2949331</v>
      </c>
    </row>
    <row r="25" spans="1:4" x14ac:dyDescent="0.35">
      <c r="A25" s="41">
        <v>8470430</v>
      </c>
      <c r="B25" s="42">
        <v>202675</v>
      </c>
      <c r="C25" s="42">
        <v>2910.79</v>
      </c>
      <c r="D25" s="42">
        <v>269000</v>
      </c>
    </row>
    <row r="26" spans="1:4" x14ac:dyDescent="0.35">
      <c r="A26" s="41">
        <v>8470435</v>
      </c>
      <c r="B26" s="42">
        <v>197209</v>
      </c>
      <c r="C26" s="42">
        <v>6347.69</v>
      </c>
      <c r="D26" s="42">
        <v>253209</v>
      </c>
    </row>
    <row r="27" spans="1:4" x14ac:dyDescent="0.35">
      <c r="A27" s="41">
        <v>8470440</v>
      </c>
      <c r="B27" s="42">
        <v>305472</v>
      </c>
      <c r="C27" s="42">
        <v>16484.32</v>
      </c>
      <c r="D27" s="42">
        <v>358156</v>
      </c>
    </row>
    <row r="28" spans="1:4" x14ac:dyDescent="0.35">
      <c r="A28" s="41">
        <v>8470445</v>
      </c>
      <c r="B28" s="42">
        <v>149959</v>
      </c>
      <c r="C28" s="42">
        <v>56102.55</v>
      </c>
      <c r="D28" s="42">
        <v>155000</v>
      </c>
    </row>
    <row r="29" spans="1:4" x14ac:dyDescent="0.35">
      <c r="A29" s="41">
        <v>8470450</v>
      </c>
      <c r="B29" s="42">
        <v>238037</v>
      </c>
      <c r="C29" s="42">
        <v>9045.3299999999963</v>
      </c>
      <c r="D29" s="42">
        <v>258037</v>
      </c>
    </row>
    <row r="30" spans="1:4" x14ac:dyDescent="0.35">
      <c r="A30" s="41">
        <v>8470520</v>
      </c>
      <c r="B30" s="42">
        <v>1076521</v>
      </c>
      <c r="C30" s="42">
        <v>381648.98</v>
      </c>
      <c r="D30" s="42">
        <v>1076521</v>
      </c>
    </row>
    <row r="31" spans="1:4" x14ac:dyDescent="0.35">
      <c r="A31" s="41">
        <v>8470530</v>
      </c>
      <c r="B31" s="42">
        <v>79304907</v>
      </c>
      <c r="C31" s="42">
        <v>39501140.240000002</v>
      </c>
      <c r="D31" s="42">
        <v>74059144</v>
      </c>
    </row>
    <row r="32" spans="1:4" x14ac:dyDescent="0.35">
      <c r="A32" s="41">
        <v>8470540</v>
      </c>
      <c r="B32" s="42">
        <v>18762652</v>
      </c>
      <c r="C32" s="42">
        <v>8287282.5</v>
      </c>
      <c r="D32" s="42">
        <v>18759897</v>
      </c>
    </row>
    <row r="33" spans="1:4" x14ac:dyDescent="0.35">
      <c r="A33" s="41">
        <v>8470620</v>
      </c>
      <c r="B33" s="42">
        <v>1015076</v>
      </c>
      <c r="C33" s="42">
        <v>688016.32000000007</v>
      </c>
      <c r="D33" s="42">
        <v>1052076</v>
      </c>
    </row>
    <row r="34" spans="1:4" x14ac:dyDescent="0.35">
      <c r="A34" s="41">
        <v>8470720</v>
      </c>
      <c r="B34" s="42">
        <v>1155002</v>
      </c>
      <c r="C34" s="42">
        <v>571404.44000000006</v>
      </c>
      <c r="D34" s="42">
        <v>690002</v>
      </c>
    </row>
    <row r="35" spans="1:4" x14ac:dyDescent="0.35">
      <c r="A35" s="41">
        <v>8470730</v>
      </c>
      <c r="B35" s="42">
        <v>673756</v>
      </c>
      <c r="C35" s="42">
        <v>416048.02999999997</v>
      </c>
      <c r="D35" s="42">
        <v>661756</v>
      </c>
    </row>
    <row r="36" spans="1:4" x14ac:dyDescent="0.35">
      <c r="A36" s="41">
        <v>8470810</v>
      </c>
      <c r="B36" s="42">
        <v>37553641</v>
      </c>
      <c r="C36" s="42">
        <v>22736075.52</v>
      </c>
      <c r="D36" s="42">
        <v>59577648</v>
      </c>
    </row>
    <row r="37" spans="1:4" x14ac:dyDescent="0.35">
      <c r="A37" s="41">
        <v>8471010</v>
      </c>
      <c r="B37" s="42">
        <v>192500</v>
      </c>
      <c r="C37" s="42">
        <v>35781.5</v>
      </c>
      <c r="D37" s="42">
        <v>192500</v>
      </c>
    </row>
    <row r="38" spans="1:4" x14ac:dyDescent="0.35">
      <c r="A38" s="41">
        <v>8471110</v>
      </c>
      <c r="C38" s="42">
        <v>-3500</v>
      </c>
    </row>
    <row r="39" spans="1:4" x14ac:dyDescent="0.35">
      <c r="A39" s="41">
        <v>8471121</v>
      </c>
      <c r="B39" s="42">
        <v>7932</v>
      </c>
      <c r="D39" s="42">
        <v>7932</v>
      </c>
    </row>
    <row r="40" spans="1:4" x14ac:dyDescent="0.35">
      <c r="A40" s="41">
        <v>8471130</v>
      </c>
      <c r="B40" s="42">
        <v>657600</v>
      </c>
      <c r="C40" s="42">
        <v>-196080.91</v>
      </c>
      <c r="D40" s="42">
        <v>1025000</v>
      </c>
    </row>
    <row r="41" spans="1:4" x14ac:dyDescent="0.35">
      <c r="A41" s="41">
        <v>8471140</v>
      </c>
      <c r="B41" s="42">
        <v>96728315</v>
      </c>
      <c r="C41" s="42">
        <v>73027623.100000098</v>
      </c>
      <c r="D41" s="42">
        <v>94497199</v>
      </c>
    </row>
    <row r="42" spans="1:4" x14ac:dyDescent="0.35">
      <c r="A42" s="41">
        <v>8471150</v>
      </c>
      <c r="B42" s="42">
        <v>3297769</v>
      </c>
      <c r="C42" s="42">
        <v>2638931.5299999998</v>
      </c>
      <c r="D42" s="42">
        <v>3297769</v>
      </c>
    </row>
    <row r="43" spans="1:4" x14ac:dyDescent="0.35">
      <c r="A43" s="41">
        <v>8471160</v>
      </c>
      <c r="B43" s="42">
        <v>30663079</v>
      </c>
      <c r="C43" s="42">
        <v>10053000.6</v>
      </c>
      <c r="D43" s="42">
        <v>31804257</v>
      </c>
    </row>
    <row r="44" spans="1:4" x14ac:dyDescent="0.35">
      <c r="A44" s="41">
        <v>8471170</v>
      </c>
      <c r="B44" s="42">
        <v>8911500</v>
      </c>
      <c r="C44" s="42">
        <v>996142.63</v>
      </c>
      <c r="D44" s="42">
        <v>8911500</v>
      </c>
    </row>
    <row r="45" spans="1:4" x14ac:dyDescent="0.35">
      <c r="A45" s="41">
        <v>8471210</v>
      </c>
      <c r="C45" s="42">
        <v>-101505</v>
      </c>
    </row>
    <row r="46" spans="1:4" x14ac:dyDescent="0.35">
      <c r="A46" s="41">
        <v>8471220</v>
      </c>
      <c r="B46" s="42">
        <v>56552512</v>
      </c>
      <c r="C46" s="42">
        <v>42780499.439999998</v>
      </c>
      <c r="D46" s="42">
        <v>11401512</v>
      </c>
    </row>
    <row r="47" spans="1:4" x14ac:dyDescent="0.35">
      <c r="A47" s="41">
        <v>8471230</v>
      </c>
      <c r="B47" s="42">
        <v>1034203</v>
      </c>
      <c r="C47" s="42">
        <v>881777.59</v>
      </c>
      <c r="D47" s="42">
        <v>2017215</v>
      </c>
    </row>
    <row r="48" spans="1:4" x14ac:dyDescent="0.35">
      <c r="A48" s="41">
        <v>8471240</v>
      </c>
      <c r="B48" s="42">
        <v>895137</v>
      </c>
      <c r="C48" s="42">
        <v>335032.05000000005</v>
      </c>
      <c r="D48" s="42">
        <v>895137</v>
      </c>
    </row>
    <row r="49" spans="1:4" x14ac:dyDescent="0.35">
      <c r="A49" s="41">
        <v>8471250</v>
      </c>
      <c r="B49" s="42">
        <v>1320950</v>
      </c>
      <c r="C49" s="42">
        <v>480372.42</v>
      </c>
      <c r="D49" s="42">
        <v>542000</v>
      </c>
    </row>
    <row r="50" spans="1:4" x14ac:dyDescent="0.35">
      <c r="A50" s="41">
        <v>8471260</v>
      </c>
      <c r="B50" s="42">
        <v>15441849</v>
      </c>
      <c r="C50" s="42">
        <v>5597576.080000001</v>
      </c>
      <c r="D50" s="42">
        <v>11769189</v>
      </c>
    </row>
    <row r="51" spans="1:4" x14ac:dyDescent="0.35">
      <c r="A51" s="41">
        <v>8471270</v>
      </c>
      <c r="B51" s="42">
        <v>13400230</v>
      </c>
      <c r="C51" s="42">
        <v>12883339.52</v>
      </c>
      <c r="D51" s="42">
        <v>12960230</v>
      </c>
    </row>
    <row r="52" spans="1:4" x14ac:dyDescent="0.35">
      <c r="A52" s="41">
        <v>8471280</v>
      </c>
      <c r="B52" s="42">
        <v>184721</v>
      </c>
      <c r="C52" s="42">
        <v>153407.51</v>
      </c>
      <c r="D52" s="42">
        <v>184721</v>
      </c>
    </row>
    <row r="53" spans="1:4" x14ac:dyDescent="0.35">
      <c r="A53" s="41">
        <v>8471305</v>
      </c>
      <c r="B53" s="42">
        <v>64957241</v>
      </c>
      <c r="C53" s="42">
        <v>38568439.820000008</v>
      </c>
      <c r="D53" s="42">
        <v>45020499</v>
      </c>
    </row>
    <row r="54" spans="1:4" x14ac:dyDescent="0.35">
      <c r="A54" s="41" t="s">
        <v>10</v>
      </c>
      <c r="B54" s="42">
        <v>559724149</v>
      </c>
      <c r="C54" s="42">
        <v>351129270.11000007</v>
      </c>
      <c r="D54" s="42">
        <v>505847000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O946"/>
  <sheetViews>
    <sheetView showGridLines="0" tabSelected="1" topLeftCell="C477" workbookViewId="0">
      <selection activeCell="M944" sqref="M944"/>
    </sheetView>
  </sheetViews>
  <sheetFormatPr defaultRowHeight="14.5" x14ac:dyDescent="0.35"/>
  <cols>
    <col min="1" max="1" width="17.81640625" customWidth="1"/>
    <col min="2" max="2" width="11.453125" customWidth="1"/>
    <col min="3" max="3" width="12.1796875" customWidth="1"/>
    <col min="4" max="4" width="12" customWidth="1"/>
    <col min="5" max="5" width="9" customWidth="1"/>
    <col min="6" max="6" width="19.7265625" customWidth="1"/>
    <col min="7" max="7" width="33.54296875" customWidth="1"/>
    <col min="8" max="9" width="11" customWidth="1"/>
    <col min="10" max="10" width="9.81640625" customWidth="1"/>
    <col min="11" max="12" width="9" customWidth="1"/>
    <col min="13" max="13" width="9.81640625" customWidth="1"/>
    <col min="14" max="14" width="0.7265625" customWidth="1"/>
  </cols>
  <sheetData>
    <row r="1" spans="1:15" x14ac:dyDescent="0.35">
      <c r="A1" s="1" t="s">
        <v>0</v>
      </c>
      <c r="B1" s="1" t="s">
        <v>1</v>
      </c>
      <c r="C1" s="1" t="s">
        <v>2</v>
      </c>
      <c r="D1" s="1" t="s">
        <v>3</v>
      </c>
      <c r="E1" s="2" t="s">
        <v>4</v>
      </c>
      <c r="F1" s="2" t="s">
        <v>5</v>
      </c>
      <c r="G1" s="1" t="s">
        <v>6</v>
      </c>
    </row>
    <row r="2" spans="1:15" x14ac:dyDescent="0.35">
      <c r="A2" s="3" t="s">
        <v>7</v>
      </c>
      <c r="B2" s="4">
        <v>563874000</v>
      </c>
      <c r="C2" s="4">
        <v>583925834</v>
      </c>
      <c r="D2" s="4">
        <v>509082062.5</v>
      </c>
      <c r="E2" s="5">
        <v>118416</v>
      </c>
      <c r="F2" s="4">
        <v>134881.25</v>
      </c>
      <c r="G2" s="4">
        <v>74590474.250000194</v>
      </c>
      <c r="H2" s="59">
        <f>D2+E2+F2</f>
        <v>509335359.75</v>
      </c>
    </row>
    <row r="3" spans="1:15" x14ac:dyDescent="0.35">
      <c r="A3" s="3" t="s">
        <v>8</v>
      </c>
      <c r="B3" s="4">
        <v>418640000</v>
      </c>
      <c r="C3" s="4">
        <v>471929380</v>
      </c>
      <c r="D3" s="4">
        <v>327045980.75999999</v>
      </c>
      <c r="E3" s="5">
        <v>16006595.609999999</v>
      </c>
      <c r="F3" s="4">
        <v>43134838.700000003</v>
      </c>
      <c r="G3" s="4">
        <v>85669661.7100005</v>
      </c>
      <c r="H3" s="59">
        <f t="shared" ref="H3:H4" si="0">D3+E3+F3</f>
        <v>386187415.06999999</v>
      </c>
    </row>
    <row r="4" spans="1:15" x14ac:dyDescent="0.35">
      <c r="A4" s="3" t="s">
        <v>9</v>
      </c>
      <c r="B4" s="4">
        <v>87207000</v>
      </c>
      <c r="C4" s="4">
        <v>87794769</v>
      </c>
      <c r="D4" s="4">
        <v>24083289.350000001</v>
      </c>
      <c r="E4" s="5">
        <v>12654528.050000001</v>
      </c>
      <c r="F4" s="4">
        <v>38415558.07</v>
      </c>
      <c r="G4" s="4">
        <v>12641393.529999999</v>
      </c>
      <c r="H4" s="59">
        <f t="shared" si="0"/>
        <v>75153375.469999999</v>
      </c>
    </row>
    <row r="5" spans="1:15" x14ac:dyDescent="0.35">
      <c r="A5" s="6" t="s">
        <v>10</v>
      </c>
      <c r="B5" s="7">
        <v>1069721000</v>
      </c>
      <c r="C5" s="7">
        <v>1143649983</v>
      </c>
      <c r="D5" s="7">
        <v>860211332.60999894</v>
      </c>
      <c r="E5" s="8">
        <v>28779539.66</v>
      </c>
      <c r="F5" s="7">
        <v>81685278.019999996</v>
      </c>
      <c r="G5" s="7">
        <v>172901529.49000099</v>
      </c>
    </row>
    <row r="6" spans="1:15" x14ac:dyDescent="0.35">
      <c r="A6" s="9" t="s">
        <v>11</v>
      </c>
    </row>
    <row r="8" spans="1:15" x14ac:dyDescent="0.35">
      <c r="A8" s="9" t="s">
        <v>11</v>
      </c>
    </row>
    <row r="9" spans="1:15" ht="21" x14ac:dyDescent="0.35">
      <c r="A9" s="10" t="s">
        <v>12</v>
      </c>
      <c r="B9" s="11" t="s">
        <v>0</v>
      </c>
      <c r="C9" s="12" t="s">
        <v>13</v>
      </c>
      <c r="D9" s="10" t="s">
        <v>14</v>
      </c>
      <c r="E9" s="1" t="s">
        <v>15</v>
      </c>
      <c r="F9" s="12" t="s">
        <v>16</v>
      </c>
      <c r="G9" s="1" t="s">
        <v>17</v>
      </c>
      <c r="H9" s="13" t="s">
        <v>1</v>
      </c>
      <c r="I9" s="13" t="s">
        <v>2</v>
      </c>
      <c r="J9" s="13" t="s">
        <v>3</v>
      </c>
      <c r="K9" s="13" t="s">
        <v>4</v>
      </c>
      <c r="L9" s="10" t="s">
        <v>5</v>
      </c>
      <c r="M9" s="1" t="s">
        <v>6</v>
      </c>
    </row>
    <row r="10" spans="1:15" ht="14.5" hidden="1" customHeight="1" x14ac:dyDescent="0.35">
      <c r="A10" s="62" t="s">
        <v>18</v>
      </c>
      <c r="B10" s="54" t="s">
        <v>7</v>
      </c>
      <c r="C10" s="55" t="s">
        <v>19</v>
      </c>
      <c r="D10" s="56" t="s">
        <v>20</v>
      </c>
      <c r="E10" s="3" t="s">
        <v>21</v>
      </c>
      <c r="F10" s="3" t="s">
        <v>22</v>
      </c>
      <c r="G10" s="3" t="s">
        <v>23</v>
      </c>
      <c r="H10" s="4">
        <v>2640332</v>
      </c>
      <c r="I10" s="4">
        <v>2249332</v>
      </c>
      <c r="J10" s="4">
        <v>1991456.11</v>
      </c>
      <c r="K10" s="16"/>
      <c r="L10" s="17"/>
      <c r="M10" s="4">
        <v>257875.89</v>
      </c>
      <c r="O10" t="s">
        <v>1388</v>
      </c>
    </row>
    <row r="11" spans="1:15" ht="21" hidden="1" x14ac:dyDescent="0.35">
      <c r="A11" s="63"/>
      <c r="B11" s="54" t="s">
        <v>7</v>
      </c>
      <c r="C11" s="55" t="str">
        <f>C10</f>
        <v>8470110</v>
      </c>
      <c r="D11" s="56" t="str">
        <f>D10</f>
        <v>KUST - Office of the President</v>
      </c>
      <c r="E11" s="3" t="s">
        <v>24</v>
      </c>
      <c r="F11" s="3" t="s">
        <v>25</v>
      </c>
      <c r="G11" s="3" t="s">
        <v>26</v>
      </c>
      <c r="H11" s="4">
        <v>26400</v>
      </c>
      <c r="I11" s="4">
        <v>26400</v>
      </c>
      <c r="J11" s="4">
        <v>19400</v>
      </c>
      <c r="K11" s="16"/>
      <c r="L11" s="17"/>
      <c r="M11" s="4">
        <v>7000</v>
      </c>
      <c r="O11" t="s">
        <v>1388</v>
      </c>
    </row>
    <row r="12" spans="1:15" ht="21" hidden="1" x14ac:dyDescent="0.35">
      <c r="A12" s="63"/>
      <c r="B12" s="54" t="s">
        <v>7</v>
      </c>
      <c r="C12" s="55" t="str">
        <f t="shared" ref="C12:C21" si="1">C11</f>
        <v>8470110</v>
      </c>
      <c r="D12" s="56" t="str">
        <f t="shared" ref="D12:D21" si="2">D11</f>
        <v>KUST - Office of the President</v>
      </c>
      <c r="E12" s="3" t="s">
        <v>27</v>
      </c>
      <c r="F12" s="3" t="s">
        <v>28</v>
      </c>
      <c r="G12" s="3" t="s">
        <v>29</v>
      </c>
      <c r="H12" s="4">
        <v>1323904</v>
      </c>
      <c r="I12" s="4">
        <v>1323904</v>
      </c>
      <c r="J12" s="4">
        <v>1232927.74</v>
      </c>
      <c r="K12" s="16"/>
      <c r="L12" s="17"/>
      <c r="M12" s="4">
        <v>90976.26</v>
      </c>
      <c r="O12" t="s">
        <v>1388</v>
      </c>
    </row>
    <row r="13" spans="1:15" ht="21" hidden="1" x14ac:dyDescent="0.35">
      <c r="A13" s="63"/>
      <c r="B13" s="54" t="s">
        <v>7</v>
      </c>
      <c r="C13" s="55" t="str">
        <f t="shared" si="1"/>
        <v>8470110</v>
      </c>
      <c r="D13" s="56" t="str">
        <f t="shared" si="2"/>
        <v>KUST - Office of the President</v>
      </c>
      <c r="E13" s="3" t="s">
        <v>30</v>
      </c>
      <c r="F13" s="3" t="s">
        <v>31</v>
      </c>
      <c r="G13" s="3" t="s">
        <v>32</v>
      </c>
      <c r="H13" s="4">
        <v>808316</v>
      </c>
      <c r="I13" s="4">
        <v>808316</v>
      </c>
      <c r="J13" s="4">
        <v>143835.62</v>
      </c>
      <c r="K13" s="16"/>
      <c r="L13" s="17"/>
      <c r="M13" s="4">
        <v>664480.38</v>
      </c>
      <c r="O13" t="s">
        <v>1388</v>
      </c>
    </row>
    <row r="14" spans="1:15" ht="21" hidden="1" x14ac:dyDescent="0.35">
      <c r="A14" s="63"/>
      <c r="B14" s="54" t="s">
        <v>7</v>
      </c>
      <c r="C14" s="55" t="str">
        <f t="shared" si="1"/>
        <v>8470110</v>
      </c>
      <c r="D14" s="56" t="str">
        <f t="shared" si="2"/>
        <v>KUST - Office of the President</v>
      </c>
      <c r="E14" s="3" t="s">
        <v>33</v>
      </c>
      <c r="F14" s="3" t="s">
        <v>34</v>
      </c>
      <c r="G14" s="3" t="s">
        <v>35</v>
      </c>
      <c r="H14" s="4">
        <v>303120</v>
      </c>
      <c r="I14" s="4">
        <v>292620</v>
      </c>
      <c r="J14" s="4">
        <v>241740</v>
      </c>
      <c r="K14" s="16"/>
      <c r="L14" s="17"/>
      <c r="M14" s="4">
        <v>50880</v>
      </c>
      <c r="O14" t="s">
        <v>1388</v>
      </c>
    </row>
    <row r="15" spans="1:15" ht="21" hidden="1" x14ac:dyDescent="0.35">
      <c r="A15" s="63"/>
      <c r="B15" s="54" t="s">
        <v>7</v>
      </c>
      <c r="C15" s="55" t="str">
        <f t="shared" si="1"/>
        <v>8470110</v>
      </c>
      <c r="D15" s="56" t="str">
        <f t="shared" si="2"/>
        <v>KUST - Office of the President</v>
      </c>
      <c r="E15" s="3" t="s">
        <v>36</v>
      </c>
      <c r="F15" s="3" t="s">
        <v>37</v>
      </c>
      <c r="G15" s="3" t="s">
        <v>38</v>
      </c>
      <c r="H15" s="4">
        <v>86400</v>
      </c>
      <c r="I15" s="4">
        <v>73600</v>
      </c>
      <c r="J15" s="4">
        <v>68960</v>
      </c>
      <c r="K15" s="16"/>
      <c r="L15" s="17"/>
      <c r="M15" s="4">
        <v>4640</v>
      </c>
      <c r="O15" t="s">
        <v>1388</v>
      </c>
    </row>
    <row r="16" spans="1:15" ht="21" hidden="1" x14ac:dyDescent="0.35">
      <c r="A16" s="63"/>
      <c r="B16" s="54" t="s">
        <v>7</v>
      </c>
      <c r="C16" s="55" t="str">
        <f t="shared" si="1"/>
        <v>8470110</v>
      </c>
      <c r="D16" s="56" t="str">
        <f t="shared" si="2"/>
        <v>KUST - Office of the President</v>
      </c>
      <c r="E16" s="3" t="s">
        <v>39</v>
      </c>
      <c r="F16" s="3" t="s">
        <v>40</v>
      </c>
      <c r="G16" s="3" t="s">
        <v>41</v>
      </c>
      <c r="H16" s="4">
        <v>880008</v>
      </c>
      <c r="I16" s="4">
        <v>828445</v>
      </c>
      <c r="J16" s="4">
        <v>713170</v>
      </c>
      <c r="K16" s="16"/>
      <c r="L16" s="17"/>
      <c r="M16" s="4">
        <v>115275</v>
      </c>
      <c r="O16" t="s">
        <v>1388</v>
      </c>
    </row>
    <row r="17" spans="1:15" ht="21" hidden="1" x14ac:dyDescent="0.35">
      <c r="A17" s="63"/>
      <c r="B17" s="54" t="s">
        <v>7</v>
      </c>
      <c r="C17" s="55" t="str">
        <f t="shared" si="1"/>
        <v>8470110</v>
      </c>
      <c r="D17" s="56" t="str">
        <f t="shared" si="2"/>
        <v>KUST - Office of the President</v>
      </c>
      <c r="E17" s="3" t="s">
        <v>42</v>
      </c>
      <c r="F17" s="3" t="s">
        <v>43</v>
      </c>
      <c r="G17" s="3" t="s">
        <v>44</v>
      </c>
      <c r="H17" s="4">
        <v>200000</v>
      </c>
      <c r="I17" s="4">
        <v>176490</v>
      </c>
      <c r="J17" s="4">
        <v>173781</v>
      </c>
      <c r="K17" s="16"/>
      <c r="L17" s="17"/>
      <c r="M17" s="4">
        <v>2709</v>
      </c>
      <c r="O17" t="s">
        <v>1388</v>
      </c>
    </row>
    <row r="18" spans="1:15" ht="21" hidden="1" x14ac:dyDescent="0.35">
      <c r="A18" s="63"/>
      <c r="B18" s="54" t="s">
        <v>7</v>
      </c>
      <c r="C18" s="55" t="str">
        <f t="shared" si="1"/>
        <v>8470110</v>
      </c>
      <c r="D18" s="56" t="str">
        <f t="shared" si="2"/>
        <v>KUST - Office of the President</v>
      </c>
      <c r="E18" s="3" t="s">
        <v>45</v>
      </c>
      <c r="F18" s="3" t="s">
        <v>46</v>
      </c>
      <c r="G18" s="3" t="s">
        <v>47</v>
      </c>
      <c r="H18" s="4">
        <v>0</v>
      </c>
      <c r="I18" s="4">
        <v>18500</v>
      </c>
      <c r="J18" s="4">
        <v>11554.4</v>
      </c>
      <c r="K18" s="16"/>
      <c r="L18" s="17"/>
      <c r="M18" s="4">
        <v>6945.6</v>
      </c>
      <c r="O18" t="s">
        <v>1388</v>
      </c>
    </row>
    <row r="19" spans="1:15" ht="21" hidden="1" x14ac:dyDescent="0.35">
      <c r="A19" s="63"/>
      <c r="B19" s="54" t="s">
        <v>7</v>
      </c>
      <c r="C19" s="55" t="str">
        <f t="shared" si="1"/>
        <v>8470110</v>
      </c>
      <c r="D19" s="56" t="str">
        <f t="shared" si="2"/>
        <v>KUST - Office of the President</v>
      </c>
      <c r="E19" s="3" t="s">
        <v>48</v>
      </c>
      <c r="F19" s="3" t="s">
        <v>22</v>
      </c>
      <c r="G19" s="3" t="s">
        <v>49</v>
      </c>
      <c r="H19" s="4">
        <v>1700000</v>
      </c>
      <c r="I19" s="4">
        <v>1700000</v>
      </c>
      <c r="J19" s="4">
        <v>70481</v>
      </c>
      <c r="K19" s="16"/>
      <c r="L19" s="17"/>
      <c r="M19" s="4">
        <v>1629519</v>
      </c>
      <c r="O19" t="s">
        <v>1388</v>
      </c>
    </row>
    <row r="20" spans="1:15" ht="21" hidden="1" x14ac:dyDescent="0.35">
      <c r="A20" s="63"/>
      <c r="B20" s="54" t="s">
        <v>7</v>
      </c>
      <c r="C20" s="55" t="str">
        <f t="shared" si="1"/>
        <v>8470110</v>
      </c>
      <c r="D20" s="56" t="str">
        <f t="shared" si="2"/>
        <v>KUST - Office of the President</v>
      </c>
      <c r="E20" s="3" t="s">
        <v>50</v>
      </c>
      <c r="F20" s="3" t="s">
        <v>51</v>
      </c>
      <c r="G20" s="3" t="s">
        <v>52</v>
      </c>
      <c r="H20" s="4">
        <v>381692</v>
      </c>
      <c r="I20" s="4">
        <v>373106</v>
      </c>
      <c r="J20" s="4">
        <v>333643.5</v>
      </c>
      <c r="K20" s="16"/>
      <c r="L20" s="17"/>
      <c r="M20" s="4">
        <v>39462.5</v>
      </c>
      <c r="O20" t="s">
        <v>1388</v>
      </c>
    </row>
    <row r="21" spans="1:15" ht="21" hidden="1" x14ac:dyDescent="0.35">
      <c r="A21" s="63"/>
      <c r="B21" s="54" t="s">
        <v>7</v>
      </c>
      <c r="C21" s="55" t="str">
        <f t="shared" si="1"/>
        <v>8470110</v>
      </c>
      <c r="D21" s="56" t="str">
        <f t="shared" si="2"/>
        <v>KUST - Office of the President</v>
      </c>
      <c r="E21" s="3" t="s">
        <v>53</v>
      </c>
      <c r="F21" s="3" t="s">
        <v>54</v>
      </c>
      <c r="G21" s="3" t="s">
        <v>55</v>
      </c>
      <c r="H21" s="4">
        <v>55284</v>
      </c>
      <c r="I21" s="4">
        <v>55284</v>
      </c>
      <c r="J21" s="4">
        <v>11968.34</v>
      </c>
      <c r="K21" s="16"/>
      <c r="L21" s="17"/>
      <c r="M21" s="4">
        <v>43315.66</v>
      </c>
      <c r="O21" t="s">
        <v>1388</v>
      </c>
    </row>
    <row r="22" spans="1:15" ht="14.5" hidden="1" customHeight="1" x14ac:dyDescent="0.35">
      <c r="A22" s="63"/>
      <c r="B22" s="54" t="s">
        <v>7</v>
      </c>
      <c r="C22" s="55" t="s">
        <v>56</v>
      </c>
      <c r="D22" s="56" t="s">
        <v>57</v>
      </c>
      <c r="E22" s="3" t="s">
        <v>21</v>
      </c>
      <c r="F22" s="3" t="s">
        <v>22</v>
      </c>
      <c r="G22" s="3" t="s">
        <v>58</v>
      </c>
      <c r="H22" s="4">
        <v>965797</v>
      </c>
      <c r="I22" s="4">
        <v>965797</v>
      </c>
      <c r="J22" s="4">
        <v>940944.57</v>
      </c>
      <c r="K22" s="16"/>
      <c r="L22" s="17"/>
      <c r="M22" s="4">
        <v>24852.429999999898</v>
      </c>
      <c r="O22" t="s">
        <v>1388</v>
      </c>
    </row>
    <row r="23" spans="1:15" ht="21" hidden="1" x14ac:dyDescent="0.35">
      <c r="A23" s="63"/>
      <c r="B23" s="54" t="s">
        <v>7</v>
      </c>
      <c r="C23" s="55" t="str">
        <f t="shared" ref="C23:C29" si="3">C22</f>
        <v>8470120</v>
      </c>
      <c r="D23" s="56" t="str">
        <f t="shared" ref="D23:D29" si="4">D22</f>
        <v>KUST - Audit &amp; Compliance</v>
      </c>
      <c r="E23" s="3" t="s">
        <v>27</v>
      </c>
      <c r="F23" s="3" t="s">
        <v>28</v>
      </c>
      <c r="G23" s="3" t="s">
        <v>59</v>
      </c>
      <c r="H23" s="4">
        <v>785199</v>
      </c>
      <c r="I23" s="4">
        <v>897199</v>
      </c>
      <c r="J23" s="4">
        <v>815114.47</v>
      </c>
      <c r="K23" s="16"/>
      <c r="L23" s="17"/>
      <c r="M23" s="4">
        <v>82084.53</v>
      </c>
      <c r="O23" t="s">
        <v>1388</v>
      </c>
    </row>
    <row r="24" spans="1:15" ht="21" hidden="1" x14ac:dyDescent="0.35">
      <c r="A24" s="63"/>
      <c r="B24" s="54" t="s">
        <v>7</v>
      </c>
      <c r="C24" s="55" t="str">
        <f t="shared" si="3"/>
        <v>8470120</v>
      </c>
      <c r="D24" s="56" t="str">
        <f t="shared" si="4"/>
        <v>KUST - Audit &amp; Compliance</v>
      </c>
      <c r="E24" s="3" t="s">
        <v>60</v>
      </c>
      <c r="F24" s="3" t="s">
        <v>61</v>
      </c>
      <c r="G24" s="3" t="s">
        <v>62</v>
      </c>
      <c r="H24" s="4">
        <v>25316</v>
      </c>
      <c r="I24" s="4">
        <v>25316</v>
      </c>
      <c r="J24" s="4">
        <v>-4.5474735088646402E-13</v>
      </c>
      <c r="K24" s="16"/>
      <c r="L24" s="17"/>
      <c r="M24" s="4">
        <v>25316</v>
      </c>
      <c r="O24" t="s">
        <v>1388</v>
      </c>
    </row>
    <row r="25" spans="1:15" ht="21" hidden="1" x14ac:dyDescent="0.35">
      <c r="A25" s="63"/>
      <c r="B25" s="54" t="s">
        <v>7</v>
      </c>
      <c r="C25" s="55" t="str">
        <f t="shared" si="3"/>
        <v>8470120</v>
      </c>
      <c r="D25" s="56" t="str">
        <f t="shared" si="4"/>
        <v>KUST - Audit &amp; Compliance</v>
      </c>
      <c r="E25" s="3" t="s">
        <v>42</v>
      </c>
      <c r="F25" s="3" t="s">
        <v>43</v>
      </c>
      <c r="G25" s="3" t="s">
        <v>63</v>
      </c>
      <c r="H25" s="4">
        <v>6380</v>
      </c>
      <c r="I25" s="4">
        <v>12890</v>
      </c>
      <c r="J25" s="4">
        <v>12412</v>
      </c>
      <c r="K25" s="16"/>
      <c r="L25" s="17"/>
      <c r="M25" s="4">
        <v>478</v>
      </c>
      <c r="O25" t="s">
        <v>1388</v>
      </c>
    </row>
    <row r="26" spans="1:15" ht="21" hidden="1" x14ac:dyDescent="0.35">
      <c r="A26" s="63"/>
      <c r="B26" s="54" t="s">
        <v>7</v>
      </c>
      <c r="C26" s="55" t="str">
        <f t="shared" si="3"/>
        <v>8470120</v>
      </c>
      <c r="D26" s="56" t="str">
        <f t="shared" si="4"/>
        <v>KUST - Audit &amp; Compliance</v>
      </c>
      <c r="E26" s="3" t="s">
        <v>45</v>
      </c>
      <c r="F26" s="3" t="s">
        <v>46</v>
      </c>
      <c r="G26" s="3" t="s">
        <v>64</v>
      </c>
      <c r="H26" s="4">
        <v>14788</v>
      </c>
      <c r="I26" s="4">
        <v>14788</v>
      </c>
      <c r="J26" s="4">
        <v>14107</v>
      </c>
      <c r="K26" s="16"/>
      <c r="L26" s="17"/>
      <c r="M26" s="4">
        <v>681</v>
      </c>
      <c r="O26" t="s">
        <v>1388</v>
      </c>
    </row>
    <row r="27" spans="1:15" ht="21" hidden="1" x14ac:dyDescent="0.35">
      <c r="A27" s="63"/>
      <c r="B27" s="54" t="s">
        <v>7</v>
      </c>
      <c r="C27" s="55" t="str">
        <f t="shared" si="3"/>
        <v>8470120</v>
      </c>
      <c r="D27" s="56" t="str">
        <f t="shared" si="4"/>
        <v>KUST - Audit &amp; Compliance</v>
      </c>
      <c r="E27" s="3" t="s">
        <v>50</v>
      </c>
      <c r="F27" s="3" t="s">
        <v>51</v>
      </c>
      <c r="G27" s="3" t="s">
        <v>65</v>
      </c>
      <c r="H27" s="4">
        <v>89196</v>
      </c>
      <c r="I27" s="4">
        <v>89196</v>
      </c>
      <c r="J27" s="4">
        <v>69364.17</v>
      </c>
      <c r="K27" s="16"/>
      <c r="L27" s="17"/>
      <c r="M27" s="4">
        <v>19831.830000000002</v>
      </c>
      <c r="O27" t="s">
        <v>1388</v>
      </c>
    </row>
    <row r="28" spans="1:15" ht="21" hidden="1" x14ac:dyDescent="0.35">
      <c r="A28" s="63"/>
      <c r="B28" s="54" t="s">
        <v>7</v>
      </c>
      <c r="C28" s="55" t="str">
        <f t="shared" si="3"/>
        <v>8470120</v>
      </c>
      <c r="D28" s="56" t="str">
        <f t="shared" si="4"/>
        <v>KUST - Audit &amp; Compliance</v>
      </c>
      <c r="E28" s="3" t="s">
        <v>66</v>
      </c>
      <c r="F28" s="3" t="s">
        <v>67</v>
      </c>
      <c r="G28" s="3" t="s">
        <v>68</v>
      </c>
      <c r="H28" s="4">
        <v>0</v>
      </c>
      <c r="I28" s="4">
        <v>13000</v>
      </c>
      <c r="J28" s="4">
        <v>12757.1</v>
      </c>
      <c r="K28" s="16"/>
      <c r="L28" s="17"/>
      <c r="M28" s="4">
        <v>242.9</v>
      </c>
      <c r="O28" t="s">
        <v>1388</v>
      </c>
    </row>
    <row r="29" spans="1:15" ht="21" hidden="1" x14ac:dyDescent="0.35">
      <c r="A29" s="63"/>
      <c r="B29" s="54" t="s">
        <v>7</v>
      </c>
      <c r="C29" s="55" t="str">
        <f t="shared" si="3"/>
        <v>8470120</v>
      </c>
      <c r="D29" s="56" t="str">
        <f t="shared" si="4"/>
        <v>KUST - Audit &amp; Compliance</v>
      </c>
      <c r="E29" s="3" t="s">
        <v>53</v>
      </c>
      <c r="F29" s="3" t="s">
        <v>54</v>
      </c>
      <c r="G29" s="3" t="s">
        <v>69</v>
      </c>
      <c r="H29" s="4">
        <v>60473</v>
      </c>
      <c r="I29" s="4">
        <v>60473</v>
      </c>
      <c r="J29" s="4">
        <v>16768.62</v>
      </c>
      <c r="K29" s="16"/>
      <c r="L29" s="17"/>
      <c r="M29" s="4">
        <v>43704.38</v>
      </c>
      <c r="O29" t="s">
        <v>1388</v>
      </c>
    </row>
    <row r="30" spans="1:15" ht="14.5" hidden="1" customHeight="1" x14ac:dyDescent="0.35">
      <c r="A30" s="63"/>
      <c r="B30" s="54" t="s">
        <v>7</v>
      </c>
      <c r="C30" s="55" t="s">
        <v>70</v>
      </c>
      <c r="D30" s="56" t="s">
        <v>71</v>
      </c>
      <c r="E30" s="3" t="s">
        <v>21</v>
      </c>
      <c r="F30" s="3" t="s">
        <v>22</v>
      </c>
      <c r="G30" s="3" t="s">
        <v>72</v>
      </c>
      <c r="H30" s="4">
        <v>1928734</v>
      </c>
      <c r="I30" s="4">
        <v>1816734</v>
      </c>
      <c r="J30" s="4">
        <v>1331263.77</v>
      </c>
      <c r="K30" s="16"/>
      <c r="L30" s="17"/>
      <c r="M30" s="4">
        <v>485470.23</v>
      </c>
      <c r="O30" s="79" t="s">
        <v>1387</v>
      </c>
    </row>
    <row r="31" spans="1:15" ht="21" hidden="1" customHeight="1" x14ac:dyDescent="0.35">
      <c r="A31" s="63"/>
      <c r="B31" s="54" t="s">
        <v>7</v>
      </c>
      <c r="C31" s="55" t="str">
        <f t="shared" ref="C31:C35" si="5">C30</f>
        <v>8470130</v>
      </c>
      <c r="D31" s="56" t="str">
        <f t="shared" ref="D31:D35" si="6">D30</f>
        <v>KUST - Institutional Research &amp; Planning</v>
      </c>
      <c r="E31" s="3" t="s">
        <v>27</v>
      </c>
      <c r="F31" s="3" t="s">
        <v>28</v>
      </c>
      <c r="G31" s="3" t="s">
        <v>73</v>
      </c>
      <c r="H31" s="4">
        <v>1327397</v>
      </c>
      <c r="I31" s="4">
        <v>1327397</v>
      </c>
      <c r="J31" s="4">
        <v>907781.87</v>
      </c>
      <c r="K31" s="16"/>
      <c r="L31" s="17"/>
      <c r="M31" s="4">
        <v>419615.13</v>
      </c>
      <c r="O31" s="79" t="s">
        <v>1387</v>
      </c>
    </row>
    <row r="32" spans="1:15" ht="21" hidden="1" customHeight="1" x14ac:dyDescent="0.35">
      <c r="A32" s="63"/>
      <c r="B32" s="54" t="s">
        <v>7</v>
      </c>
      <c r="C32" s="55" t="str">
        <f t="shared" si="5"/>
        <v>8470130</v>
      </c>
      <c r="D32" s="56" t="str">
        <f t="shared" si="6"/>
        <v>KUST - Institutional Research &amp; Planning</v>
      </c>
      <c r="E32" s="3" t="s">
        <v>42</v>
      </c>
      <c r="F32" s="3" t="s">
        <v>43</v>
      </c>
      <c r="G32" s="3" t="s">
        <v>74</v>
      </c>
      <c r="H32" s="4">
        <v>295000</v>
      </c>
      <c r="I32" s="4">
        <v>132900</v>
      </c>
      <c r="J32" s="4">
        <v>132208</v>
      </c>
      <c r="K32" s="16"/>
      <c r="L32" s="17"/>
      <c r="M32" s="4">
        <v>692</v>
      </c>
      <c r="O32" s="79" t="s">
        <v>1387</v>
      </c>
    </row>
    <row r="33" spans="1:15" ht="21" hidden="1" customHeight="1" x14ac:dyDescent="0.35">
      <c r="A33" s="63"/>
      <c r="B33" s="54" t="s">
        <v>7</v>
      </c>
      <c r="C33" s="55" t="str">
        <f t="shared" si="5"/>
        <v>8470130</v>
      </c>
      <c r="D33" s="56" t="str">
        <f t="shared" si="6"/>
        <v>KUST - Institutional Research &amp; Planning</v>
      </c>
      <c r="E33" s="3" t="s">
        <v>75</v>
      </c>
      <c r="F33" s="3" t="s">
        <v>76</v>
      </c>
      <c r="G33" s="3" t="s">
        <v>77</v>
      </c>
      <c r="H33" s="4">
        <v>28602</v>
      </c>
      <c r="I33" s="4">
        <v>28602</v>
      </c>
      <c r="J33" s="4">
        <v>28601.51</v>
      </c>
      <c r="K33" s="16"/>
      <c r="L33" s="17"/>
      <c r="M33" s="4">
        <v>0.48999999999796301</v>
      </c>
      <c r="O33" s="79" t="s">
        <v>1387</v>
      </c>
    </row>
    <row r="34" spans="1:15" ht="21" hidden="1" customHeight="1" x14ac:dyDescent="0.35">
      <c r="A34" s="63"/>
      <c r="B34" s="54" t="s">
        <v>7</v>
      </c>
      <c r="C34" s="55" t="str">
        <f t="shared" si="5"/>
        <v>8470130</v>
      </c>
      <c r="D34" s="56" t="str">
        <f t="shared" si="6"/>
        <v>KUST - Institutional Research &amp; Planning</v>
      </c>
      <c r="E34" s="3" t="s">
        <v>66</v>
      </c>
      <c r="F34" s="3" t="s">
        <v>67</v>
      </c>
      <c r="G34" s="3" t="s">
        <v>78</v>
      </c>
      <c r="H34" s="4">
        <v>74821</v>
      </c>
      <c r="I34" s="4">
        <v>74821</v>
      </c>
      <c r="J34" s="4">
        <v>10750</v>
      </c>
      <c r="K34" s="16"/>
      <c r="L34" s="17"/>
      <c r="M34" s="4">
        <v>64071</v>
      </c>
      <c r="O34" s="79" t="s">
        <v>1387</v>
      </c>
    </row>
    <row r="35" spans="1:15" ht="21" hidden="1" customHeight="1" x14ac:dyDescent="0.35">
      <c r="A35" s="63"/>
      <c r="B35" s="54" t="s">
        <v>7</v>
      </c>
      <c r="C35" s="55" t="str">
        <f t="shared" si="5"/>
        <v>8470130</v>
      </c>
      <c r="D35" s="56" t="str">
        <f t="shared" si="6"/>
        <v>KUST - Institutional Research &amp; Planning</v>
      </c>
      <c r="E35" s="3" t="s">
        <v>53</v>
      </c>
      <c r="F35" s="3" t="s">
        <v>54</v>
      </c>
      <c r="G35" s="3" t="s">
        <v>79</v>
      </c>
      <c r="H35" s="4">
        <v>113615</v>
      </c>
      <c r="I35" s="4">
        <v>113615</v>
      </c>
      <c r="J35" s="4">
        <v>45972.63</v>
      </c>
      <c r="K35" s="16"/>
      <c r="L35" s="17"/>
      <c r="M35" s="4">
        <v>67642.37</v>
      </c>
      <c r="O35" s="79" t="s">
        <v>1387</v>
      </c>
    </row>
    <row r="36" spans="1:15" ht="14.5" customHeight="1" x14ac:dyDescent="0.35">
      <c r="A36" s="63"/>
      <c r="B36" s="54" t="s">
        <v>7</v>
      </c>
      <c r="C36" s="55" t="s">
        <v>80</v>
      </c>
      <c r="D36" s="56" t="s">
        <v>81</v>
      </c>
      <c r="E36" s="3" t="s">
        <v>21</v>
      </c>
      <c r="F36" s="3" t="s">
        <v>22</v>
      </c>
      <c r="G36" s="3" t="s">
        <v>82</v>
      </c>
      <c r="H36" s="4">
        <v>6302241</v>
      </c>
      <c r="I36" s="4">
        <v>6302241</v>
      </c>
      <c r="J36" s="4">
        <v>5185955.6100000003</v>
      </c>
      <c r="K36" s="5">
        <v>1</v>
      </c>
      <c r="L36" s="4">
        <v>0</v>
      </c>
      <c r="M36" s="4">
        <v>1116284.3899999999</v>
      </c>
      <c r="O36" s="79" t="s">
        <v>1386</v>
      </c>
    </row>
    <row r="37" spans="1:15" ht="21" x14ac:dyDescent="0.35">
      <c r="A37" s="63"/>
      <c r="B37" s="54" t="s">
        <v>7</v>
      </c>
      <c r="C37" s="55" t="str">
        <f t="shared" ref="C37:C47" si="7">C36</f>
        <v>8470140</v>
      </c>
      <c r="D37" s="56" t="str">
        <f t="shared" ref="D37:D47" si="8">D36</f>
        <v>KUST - Communication</v>
      </c>
      <c r="E37" s="3" t="s">
        <v>24</v>
      </c>
      <c r="F37" s="3" t="s">
        <v>25</v>
      </c>
      <c r="G37" s="3" t="s">
        <v>83</v>
      </c>
      <c r="H37" s="4">
        <v>32400</v>
      </c>
      <c r="I37" s="4">
        <v>32400</v>
      </c>
      <c r="J37" s="4">
        <v>27700</v>
      </c>
      <c r="K37" s="16"/>
      <c r="L37" s="17"/>
      <c r="M37" s="4">
        <v>4700</v>
      </c>
      <c r="O37" s="79" t="s">
        <v>1386</v>
      </c>
    </row>
    <row r="38" spans="1:15" ht="21" x14ac:dyDescent="0.35">
      <c r="A38" s="63"/>
      <c r="B38" s="54" t="s">
        <v>7</v>
      </c>
      <c r="C38" s="55" t="str">
        <f t="shared" si="7"/>
        <v>8470140</v>
      </c>
      <c r="D38" s="56" t="str">
        <f t="shared" si="8"/>
        <v>KUST - Communication</v>
      </c>
      <c r="E38" s="3" t="s">
        <v>27</v>
      </c>
      <c r="F38" s="3" t="s">
        <v>28</v>
      </c>
      <c r="G38" s="3" t="s">
        <v>84</v>
      </c>
      <c r="H38" s="4">
        <v>6037317</v>
      </c>
      <c r="I38" s="4">
        <v>6037317</v>
      </c>
      <c r="J38" s="4">
        <v>5179508.75</v>
      </c>
      <c r="K38" s="5">
        <v>1</v>
      </c>
      <c r="L38" s="4">
        <v>0</v>
      </c>
      <c r="M38" s="4">
        <v>857807.24999999895</v>
      </c>
      <c r="O38" s="79" t="s">
        <v>1386</v>
      </c>
    </row>
    <row r="39" spans="1:15" ht="21" x14ac:dyDescent="0.35">
      <c r="A39" s="63"/>
      <c r="B39" s="54" t="s">
        <v>7</v>
      </c>
      <c r="C39" s="55" t="str">
        <f t="shared" si="7"/>
        <v>8470140</v>
      </c>
      <c r="D39" s="56" t="str">
        <f t="shared" si="8"/>
        <v>KUST - Communication</v>
      </c>
      <c r="E39" s="3" t="s">
        <v>85</v>
      </c>
      <c r="F39" s="3" t="s">
        <v>86</v>
      </c>
      <c r="G39" s="3" t="s">
        <v>87</v>
      </c>
      <c r="H39" s="4">
        <v>0</v>
      </c>
      <c r="I39" s="4">
        <v>0</v>
      </c>
      <c r="J39" s="17"/>
      <c r="K39" s="16"/>
      <c r="L39" s="17"/>
      <c r="M39" s="4">
        <v>0</v>
      </c>
      <c r="O39" s="79" t="s">
        <v>1386</v>
      </c>
    </row>
    <row r="40" spans="1:15" ht="21" x14ac:dyDescent="0.35">
      <c r="A40" s="63"/>
      <c r="B40" s="54" t="s">
        <v>7</v>
      </c>
      <c r="C40" s="55" t="str">
        <f t="shared" si="7"/>
        <v>8470140</v>
      </c>
      <c r="D40" s="56" t="str">
        <f t="shared" si="8"/>
        <v>KUST - Communication</v>
      </c>
      <c r="E40" s="3" t="s">
        <v>33</v>
      </c>
      <c r="F40" s="3" t="s">
        <v>34</v>
      </c>
      <c r="G40" s="3" t="s">
        <v>88</v>
      </c>
      <c r="H40" s="4">
        <v>147960</v>
      </c>
      <c r="I40" s="4">
        <v>147960</v>
      </c>
      <c r="J40" s="4">
        <v>131100</v>
      </c>
      <c r="K40" s="16"/>
      <c r="L40" s="17"/>
      <c r="M40" s="4">
        <v>16860</v>
      </c>
      <c r="O40" s="79" t="s">
        <v>1386</v>
      </c>
    </row>
    <row r="41" spans="1:15" ht="21" x14ac:dyDescent="0.35">
      <c r="A41" s="63"/>
      <c r="B41" s="54" t="s">
        <v>7</v>
      </c>
      <c r="C41" s="55" t="str">
        <f t="shared" si="7"/>
        <v>8470140</v>
      </c>
      <c r="D41" s="56" t="str">
        <f t="shared" si="8"/>
        <v>KUST - Communication</v>
      </c>
      <c r="E41" s="3" t="s">
        <v>36</v>
      </c>
      <c r="F41" s="3" t="s">
        <v>37</v>
      </c>
      <c r="G41" s="3" t="s">
        <v>89</v>
      </c>
      <c r="H41" s="4">
        <v>108000</v>
      </c>
      <c r="I41" s="4">
        <v>108000</v>
      </c>
      <c r="J41" s="4">
        <v>99980</v>
      </c>
      <c r="K41" s="16"/>
      <c r="L41" s="17"/>
      <c r="M41" s="4">
        <v>8020</v>
      </c>
      <c r="O41" s="79" t="s">
        <v>1386</v>
      </c>
    </row>
    <row r="42" spans="1:15" ht="21" x14ac:dyDescent="0.35">
      <c r="A42" s="63"/>
      <c r="B42" s="54" t="s">
        <v>7</v>
      </c>
      <c r="C42" s="55" t="str">
        <f t="shared" si="7"/>
        <v>8470140</v>
      </c>
      <c r="D42" s="56" t="str">
        <f t="shared" si="8"/>
        <v>KUST - Communication</v>
      </c>
      <c r="E42" s="3" t="s">
        <v>39</v>
      </c>
      <c r="F42" s="3" t="s">
        <v>40</v>
      </c>
      <c r="G42" s="3" t="s">
        <v>90</v>
      </c>
      <c r="H42" s="4">
        <v>553992</v>
      </c>
      <c r="I42" s="4">
        <v>553992</v>
      </c>
      <c r="J42" s="4">
        <v>487660</v>
      </c>
      <c r="K42" s="16"/>
      <c r="L42" s="17"/>
      <c r="M42" s="4">
        <v>66332</v>
      </c>
      <c r="O42" s="79" t="s">
        <v>1386</v>
      </c>
    </row>
    <row r="43" spans="1:15" ht="21" x14ac:dyDescent="0.35">
      <c r="A43" s="63"/>
      <c r="B43" s="54" t="s">
        <v>7</v>
      </c>
      <c r="C43" s="55" t="str">
        <f t="shared" si="7"/>
        <v>8470140</v>
      </c>
      <c r="D43" s="56" t="str">
        <f t="shared" si="8"/>
        <v>KUST - Communication</v>
      </c>
      <c r="E43" s="3" t="s">
        <v>42</v>
      </c>
      <c r="F43" s="3" t="s">
        <v>43</v>
      </c>
      <c r="G43" s="3" t="s">
        <v>91</v>
      </c>
      <c r="H43" s="4">
        <v>445687</v>
      </c>
      <c r="I43" s="4">
        <v>455687</v>
      </c>
      <c r="J43" s="4">
        <v>455655.6</v>
      </c>
      <c r="K43" s="16"/>
      <c r="L43" s="17"/>
      <c r="M43" s="4">
        <v>31.400000000023301</v>
      </c>
      <c r="O43" s="79" t="s">
        <v>1386</v>
      </c>
    </row>
    <row r="44" spans="1:15" ht="21" x14ac:dyDescent="0.35">
      <c r="A44" s="63"/>
      <c r="B44" s="54" t="s">
        <v>7</v>
      </c>
      <c r="C44" s="55" t="str">
        <f t="shared" si="7"/>
        <v>8470140</v>
      </c>
      <c r="D44" s="56" t="str">
        <f t="shared" si="8"/>
        <v>KUST - Communication</v>
      </c>
      <c r="E44" s="3" t="s">
        <v>45</v>
      </c>
      <c r="F44" s="3" t="s">
        <v>46</v>
      </c>
      <c r="G44" s="3" t="s">
        <v>92</v>
      </c>
      <c r="H44" s="4">
        <v>197637</v>
      </c>
      <c r="I44" s="4">
        <v>189637</v>
      </c>
      <c r="J44" s="4">
        <v>179366.27</v>
      </c>
      <c r="K44" s="16"/>
      <c r="L44" s="17"/>
      <c r="M44" s="4">
        <v>10270.73</v>
      </c>
      <c r="O44" s="79" t="s">
        <v>1386</v>
      </c>
    </row>
    <row r="45" spans="1:15" ht="21" x14ac:dyDescent="0.35">
      <c r="A45" s="63"/>
      <c r="B45" s="54" t="s">
        <v>7</v>
      </c>
      <c r="C45" s="55" t="str">
        <f t="shared" si="7"/>
        <v>8470140</v>
      </c>
      <c r="D45" s="56" t="str">
        <f t="shared" si="8"/>
        <v>KUST - Communication</v>
      </c>
      <c r="E45" s="3" t="s">
        <v>50</v>
      </c>
      <c r="F45" s="3" t="s">
        <v>51</v>
      </c>
      <c r="G45" s="3" t="s">
        <v>93</v>
      </c>
      <c r="H45" s="4">
        <v>1078220</v>
      </c>
      <c r="I45" s="4">
        <v>1078220</v>
      </c>
      <c r="J45" s="4">
        <v>974512.9</v>
      </c>
      <c r="K45" s="16"/>
      <c r="L45" s="17"/>
      <c r="M45" s="4">
        <v>103707.1</v>
      </c>
      <c r="O45" s="79" t="s">
        <v>1386</v>
      </c>
    </row>
    <row r="46" spans="1:15" ht="21" x14ac:dyDescent="0.35">
      <c r="A46" s="63"/>
      <c r="B46" s="54" t="s">
        <v>7</v>
      </c>
      <c r="C46" s="55" t="str">
        <f t="shared" si="7"/>
        <v>8470140</v>
      </c>
      <c r="D46" s="56" t="str">
        <f t="shared" si="8"/>
        <v>KUST - Communication</v>
      </c>
      <c r="E46" s="3" t="s">
        <v>66</v>
      </c>
      <c r="F46" s="3" t="s">
        <v>67</v>
      </c>
      <c r="G46" s="3" t="s">
        <v>94</v>
      </c>
      <c r="H46" s="4">
        <v>127275</v>
      </c>
      <c r="I46" s="4">
        <v>127275</v>
      </c>
      <c r="J46" s="4">
        <v>65500</v>
      </c>
      <c r="K46" s="16"/>
      <c r="L46" s="17"/>
      <c r="M46" s="4">
        <v>61775</v>
      </c>
      <c r="O46" s="79" t="s">
        <v>1386</v>
      </c>
    </row>
    <row r="47" spans="1:15" ht="21" x14ac:dyDescent="0.35">
      <c r="A47" s="63"/>
      <c r="B47" s="54" t="s">
        <v>7</v>
      </c>
      <c r="C47" s="55" t="str">
        <f t="shared" si="7"/>
        <v>8470140</v>
      </c>
      <c r="D47" s="56" t="str">
        <f t="shared" si="8"/>
        <v>KUST - Communication</v>
      </c>
      <c r="E47" s="3" t="s">
        <v>53</v>
      </c>
      <c r="F47" s="3" t="s">
        <v>54</v>
      </c>
      <c r="G47" s="3" t="s">
        <v>95</v>
      </c>
      <c r="H47" s="4">
        <v>220609</v>
      </c>
      <c r="I47" s="4">
        <v>220609</v>
      </c>
      <c r="J47" s="4">
        <v>106288.38</v>
      </c>
      <c r="K47" s="16"/>
      <c r="L47" s="17"/>
      <c r="M47" s="4">
        <v>114320.62</v>
      </c>
      <c r="O47" s="79" t="s">
        <v>1386</v>
      </c>
    </row>
    <row r="48" spans="1:15" ht="21" hidden="1" x14ac:dyDescent="0.35">
      <c r="A48" s="63"/>
      <c r="B48" s="54" t="s">
        <v>7</v>
      </c>
      <c r="C48" s="55" t="s">
        <v>96</v>
      </c>
      <c r="D48" s="56" t="s">
        <v>97</v>
      </c>
      <c r="E48" s="3" t="s">
        <v>98</v>
      </c>
      <c r="F48" s="3" t="s">
        <v>99</v>
      </c>
      <c r="G48" s="3" t="s">
        <v>100</v>
      </c>
      <c r="H48" s="4">
        <v>312000</v>
      </c>
      <c r="I48" s="4">
        <v>312000</v>
      </c>
      <c r="J48" s="4">
        <v>286000</v>
      </c>
      <c r="K48" s="16"/>
      <c r="L48" s="17"/>
      <c r="M48" s="4">
        <v>26000</v>
      </c>
      <c r="O48" t="s">
        <v>1388</v>
      </c>
    </row>
    <row r="49" spans="1:15" ht="21" hidden="1" x14ac:dyDescent="0.35">
      <c r="A49" s="63"/>
      <c r="B49" s="54" t="s">
        <v>7</v>
      </c>
      <c r="C49" s="55" t="str">
        <f t="shared" ref="C49:C56" si="9">C48</f>
        <v>8470150</v>
      </c>
      <c r="D49" s="56" t="str">
        <f t="shared" ref="D49:D56" si="10">D48</f>
        <v>KUST - General Counsel</v>
      </c>
      <c r="E49" s="3" t="s">
        <v>21</v>
      </c>
      <c r="F49" s="3" t="s">
        <v>22</v>
      </c>
      <c r="G49" s="3" t="s">
        <v>101</v>
      </c>
      <c r="H49" s="4">
        <v>1021814</v>
      </c>
      <c r="I49" s="4">
        <v>1021814</v>
      </c>
      <c r="J49" s="4">
        <v>939385</v>
      </c>
      <c r="K49" s="16"/>
      <c r="L49" s="17"/>
      <c r="M49" s="4">
        <v>82429</v>
      </c>
      <c r="O49" t="s">
        <v>1388</v>
      </c>
    </row>
    <row r="50" spans="1:15" ht="21" hidden="1" x14ac:dyDescent="0.35">
      <c r="A50" s="63"/>
      <c r="B50" s="54" t="s">
        <v>7</v>
      </c>
      <c r="C50" s="55" t="str">
        <f t="shared" si="9"/>
        <v>8470150</v>
      </c>
      <c r="D50" s="56" t="str">
        <f t="shared" si="10"/>
        <v>KUST - General Counsel</v>
      </c>
      <c r="E50" s="3" t="s">
        <v>27</v>
      </c>
      <c r="F50" s="3" t="s">
        <v>28</v>
      </c>
      <c r="G50" s="3" t="s">
        <v>102</v>
      </c>
      <c r="H50" s="4">
        <v>516289</v>
      </c>
      <c r="I50" s="4">
        <v>713289</v>
      </c>
      <c r="J50" s="4">
        <v>587419</v>
      </c>
      <c r="K50" s="16"/>
      <c r="L50" s="17"/>
      <c r="M50" s="4">
        <v>125870</v>
      </c>
      <c r="O50" t="s">
        <v>1388</v>
      </c>
    </row>
    <row r="51" spans="1:15" ht="21" hidden="1" x14ac:dyDescent="0.35">
      <c r="A51" s="63"/>
      <c r="B51" s="54" t="s">
        <v>7</v>
      </c>
      <c r="C51" s="55" t="str">
        <f t="shared" si="9"/>
        <v>8470150</v>
      </c>
      <c r="D51" s="56" t="str">
        <f t="shared" si="10"/>
        <v>KUST - General Counsel</v>
      </c>
      <c r="E51" s="3" t="s">
        <v>36</v>
      </c>
      <c r="F51" s="3" t="s">
        <v>37</v>
      </c>
      <c r="G51" s="3" t="s">
        <v>103</v>
      </c>
      <c r="H51" s="4">
        <v>0</v>
      </c>
      <c r="I51" s="4">
        <v>17800</v>
      </c>
      <c r="J51" s="4">
        <v>14840</v>
      </c>
      <c r="K51" s="16"/>
      <c r="L51" s="17"/>
      <c r="M51" s="4">
        <v>2960</v>
      </c>
      <c r="O51" t="s">
        <v>1388</v>
      </c>
    </row>
    <row r="52" spans="1:15" ht="21" hidden="1" x14ac:dyDescent="0.35">
      <c r="A52" s="63"/>
      <c r="B52" s="54" t="s">
        <v>7</v>
      </c>
      <c r="C52" s="55" t="str">
        <f t="shared" si="9"/>
        <v>8470150</v>
      </c>
      <c r="D52" s="56" t="str">
        <f t="shared" si="10"/>
        <v>KUST - General Counsel</v>
      </c>
      <c r="E52" s="3" t="s">
        <v>42</v>
      </c>
      <c r="F52" s="3" t="s">
        <v>43</v>
      </c>
      <c r="G52" s="3" t="s">
        <v>104</v>
      </c>
      <c r="H52" s="4">
        <v>0</v>
      </c>
      <c r="I52" s="4">
        <v>100000</v>
      </c>
      <c r="J52" s="4">
        <v>100000</v>
      </c>
      <c r="K52" s="16"/>
      <c r="L52" s="17"/>
      <c r="M52" s="4">
        <v>0</v>
      </c>
      <c r="O52" t="s">
        <v>1388</v>
      </c>
    </row>
    <row r="53" spans="1:15" ht="21" hidden="1" x14ac:dyDescent="0.35">
      <c r="A53" s="63"/>
      <c r="B53" s="54" t="s">
        <v>7</v>
      </c>
      <c r="C53" s="55" t="str">
        <f t="shared" si="9"/>
        <v>8470150</v>
      </c>
      <c r="D53" s="56" t="str">
        <f t="shared" si="10"/>
        <v>KUST - General Counsel</v>
      </c>
      <c r="E53" s="3" t="s">
        <v>45</v>
      </c>
      <c r="F53" s="3" t="s">
        <v>46</v>
      </c>
      <c r="G53" s="3" t="s">
        <v>105</v>
      </c>
      <c r="H53" s="4">
        <v>0</v>
      </c>
      <c r="I53" s="4">
        <v>11563</v>
      </c>
      <c r="J53" s="4">
        <v>9378</v>
      </c>
      <c r="K53" s="16"/>
      <c r="L53" s="17"/>
      <c r="M53" s="4">
        <v>2185</v>
      </c>
      <c r="O53" t="s">
        <v>1388</v>
      </c>
    </row>
    <row r="54" spans="1:15" ht="21" hidden="1" x14ac:dyDescent="0.35">
      <c r="A54" s="63"/>
      <c r="B54" s="54" t="s">
        <v>7</v>
      </c>
      <c r="C54" s="55" t="str">
        <f t="shared" si="9"/>
        <v>8470150</v>
      </c>
      <c r="D54" s="56" t="str">
        <f t="shared" si="10"/>
        <v>KUST - General Counsel</v>
      </c>
      <c r="E54" s="3" t="s">
        <v>50</v>
      </c>
      <c r="F54" s="3" t="s">
        <v>51</v>
      </c>
      <c r="G54" s="3" t="s">
        <v>106</v>
      </c>
      <c r="H54" s="4">
        <v>0</v>
      </c>
      <c r="I54" s="4">
        <v>53586</v>
      </c>
      <c r="J54" s="4">
        <v>46119.9</v>
      </c>
      <c r="K54" s="16"/>
      <c r="L54" s="17"/>
      <c r="M54" s="4">
        <v>7466.1</v>
      </c>
      <c r="O54" t="s">
        <v>1388</v>
      </c>
    </row>
    <row r="55" spans="1:15" ht="21" hidden="1" x14ac:dyDescent="0.35">
      <c r="A55" s="63"/>
      <c r="B55" s="54" t="s">
        <v>7</v>
      </c>
      <c r="C55" s="55" t="str">
        <f t="shared" si="9"/>
        <v>8470150</v>
      </c>
      <c r="D55" s="56" t="str">
        <f t="shared" si="10"/>
        <v>KUST - General Counsel</v>
      </c>
      <c r="E55" s="3" t="s">
        <v>66</v>
      </c>
      <c r="F55" s="3" t="s">
        <v>67</v>
      </c>
      <c r="G55" s="3" t="s">
        <v>107</v>
      </c>
      <c r="H55" s="4">
        <v>0</v>
      </c>
      <c r="I55" s="4">
        <v>41000</v>
      </c>
      <c r="J55" s="4">
        <v>40300</v>
      </c>
      <c r="K55" s="16"/>
      <c r="L55" s="17"/>
      <c r="M55" s="4">
        <v>700</v>
      </c>
      <c r="O55" t="s">
        <v>1388</v>
      </c>
    </row>
    <row r="56" spans="1:15" ht="21" hidden="1" x14ac:dyDescent="0.35">
      <c r="A56" s="63"/>
      <c r="B56" s="54" t="s">
        <v>7</v>
      </c>
      <c r="C56" s="55" t="str">
        <f t="shared" si="9"/>
        <v>8470150</v>
      </c>
      <c r="D56" s="56" t="str">
        <f t="shared" si="10"/>
        <v>KUST - General Counsel</v>
      </c>
      <c r="E56" s="3" t="s">
        <v>53</v>
      </c>
      <c r="F56" s="3" t="s">
        <v>54</v>
      </c>
      <c r="G56" s="3" t="s">
        <v>108</v>
      </c>
      <c r="H56" s="4">
        <v>51520</v>
      </c>
      <c r="I56" s="4">
        <v>51520</v>
      </c>
      <c r="J56" s="4">
        <v>46336.95</v>
      </c>
      <c r="K56" s="16"/>
      <c r="L56" s="17"/>
      <c r="M56" s="4">
        <v>5183.05</v>
      </c>
      <c r="O56" t="s">
        <v>1388</v>
      </c>
    </row>
    <row r="57" spans="1:15" ht="14.5" customHeight="1" x14ac:dyDescent="0.35">
      <c r="A57" s="63"/>
      <c r="B57" s="54" t="s">
        <v>7</v>
      </c>
      <c r="C57" s="55" t="s">
        <v>109</v>
      </c>
      <c r="D57" s="56" t="s">
        <v>110</v>
      </c>
      <c r="E57" s="3" t="s">
        <v>21</v>
      </c>
      <c r="F57" s="3" t="s">
        <v>22</v>
      </c>
      <c r="G57" s="3" t="s">
        <v>111</v>
      </c>
      <c r="H57" s="4">
        <v>0</v>
      </c>
      <c r="I57" s="4">
        <v>94646</v>
      </c>
      <c r="J57" s="4">
        <v>88671</v>
      </c>
      <c r="K57" s="16"/>
      <c r="L57" s="17"/>
      <c r="M57" s="4">
        <v>5975</v>
      </c>
      <c r="O57" s="79" t="s">
        <v>1386</v>
      </c>
    </row>
    <row r="58" spans="1:15" ht="21" x14ac:dyDescent="0.35">
      <c r="A58" s="63"/>
      <c r="B58" s="54" t="s">
        <v>7</v>
      </c>
      <c r="C58" s="55" t="str">
        <f t="shared" ref="C58:C59" si="11">C57</f>
        <v>8470220</v>
      </c>
      <c r="D58" s="56" t="str">
        <f t="shared" ref="D58:D59" si="12">D57</f>
        <v>KUST - Office of the Provost</v>
      </c>
      <c r="E58" s="3" t="s">
        <v>27</v>
      </c>
      <c r="F58" s="3" t="s">
        <v>28</v>
      </c>
      <c r="G58" s="3" t="s">
        <v>112</v>
      </c>
      <c r="H58" s="4">
        <v>0</v>
      </c>
      <c r="I58" s="4">
        <v>64000</v>
      </c>
      <c r="J58" s="4">
        <v>50000</v>
      </c>
      <c r="K58" s="16"/>
      <c r="L58" s="17"/>
      <c r="M58" s="4">
        <v>14000</v>
      </c>
      <c r="O58" s="79" t="s">
        <v>1386</v>
      </c>
    </row>
    <row r="59" spans="1:15" ht="21" x14ac:dyDescent="0.35">
      <c r="A59" s="63"/>
      <c r="B59" s="54" t="s">
        <v>7</v>
      </c>
      <c r="C59" s="55" t="str">
        <f t="shared" si="11"/>
        <v>8470220</v>
      </c>
      <c r="D59" s="56" t="str">
        <f t="shared" si="12"/>
        <v>KUST - Office of the Provost</v>
      </c>
      <c r="E59" s="3" t="s">
        <v>66</v>
      </c>
      <c r="F59" s="3" t="s">
        <v>67</v>
      </c>
      <c r="G59" s="3" t="s">
        <v>113</v>
      </c>
      <c r="H59" s="4">
        <v>0</v>
      </c>
      <c r="I59" s="4">
        <v>9000</v>
      </c>
      <c r="J59" s="4">
        <v>8800</v>
      </c>
      <c r="K59" s="16"/>
      <c r="L59" s="17"/>
      <c r="M59" s="4">
        <v>200</v>
      </c>
      <c r="O59" s="79" t="s">
        <v>1386</v>
      </c>
    </row>
    <row r="60" spans="1:15" ht="14.5" customHeight="1" x14ac:dyDescent="0.35">
      <c r="A60" s="63"/>
      <c r="B60" s="54" t="s">
        <v>7</v>
      </c>
      <c r="C60" s="55" t="s">
        <v>114</v>
      </c>
      <c r="D60" s="56" t="s">
        <v>115</v>
      </c>
      <c r="E60" s="3" t="s">
        <v>21</v>
      </c>
      <c r="F60" s="3" t="s">
        <v>22</v>
      </c>
      <c r="G60" s="3" t="s">
        <v>116</v>
      </c>
      <c r="H60" s="4">
        <v>1431386</v>
      </c>
      <c r="I60" s="4">
        <v>1431386</v>
      </c>
      <c r="J60" s="4">
        <v>1377608</v>
      </c>
      <c r="K60" s="16"/>
      <c r="L60" s="17"/>
      <c r="M60" s="4">
        <v>53778</v>
      </c>
      <c r="O60" s="79" t="s">
        <v>1386</v>
      </c>
    </row>
    <row r="61" spans="1:15" ht="21" x14ac:dyDescent="0.35">
      <c r="A61" s="63"/>
      <c r="B61" s="54" t="s">
        <v>7</v>
      </c>
      <c r="C61" s="55" t="str">
        <f t="shared" ref="C61:C68" si="13">C60</f>
        <v>8470230</v>
      </c>
      <c r="D61" s="56" t="str">
        <f t="shared" ref="D61:D68" si="14">D60</f>
        <v>KUST - Graduate Studies</v>
      </c>
      <c r="E61" s="3" t="s">
        <v>24</v>
      </c>
      <c r="F61" s="3" t="s">
        <v>25</v>
      </c>
      <c r="G61" s="3" t="s">
        <v>117</v>
      </c>
      <c r="H61" s="4">
        <v>10800</v>
      </c>
      <c r="I61" s="4">
        <v>10800</v>
      </c>
      <c r="J61" s="4">
        <v>9900</v>
      </c>
      <c r="K61" s="16"/>
      <c r="L61" s="17"/>
      <c r="M61" s="4">
        <v>900</v>
      </c>
      <c r="O61" s="79" t="s">
        <v>1386</v>
      </c>
    </row>
    <row r="62" spans="1:15" ht="21" x14ac:dyDescent="0.35">
      <c r="A62" s="63"/>
      <c r="B62" s="54" t="s">
        <v>7</v>
      </c>
      <c r="C62" s="55" t="str">
        <f t="shared" si="13"/>
        <v>8470230</v>
      </c>
      <c r="D62" s="56" t="str">
        <f t="shared" si="14"/>
        <v>KUST - Graduate Studies</v>
      </c>
      <c r="E62" s="3" t="s">
        <v>27</v>
      </c>
      <c r="F62" s="3" t="s">
        <v>28</v>
      </c>
      <c r="G62" s="3" t="s">
        <v>118</v>
      </c>
      <c r="H62" s="4">
        <v>1599276</v>
      </c>
      <c r="I62" s="4">
        <v>1599276</v>
      </c>
      <c r="J62" s="4">
        <v>1553576.25</v>
      </c>
      <c r="K62" s="16"/>
      <c r="L62" s="17"/>
      <c r="M62" s="4">
        <v>45699.75</v>
      </c>
      <c r="O62" s="79" t="s">
        <v>1386</v>
      </c>
    </row>
    <row r="63" spans="1:15" ht="21" x14ac:dyDescent="0.35">
      <c r="A63" s="63"/>
      <c r="B63" s="54" t="s">
        <v>7</v>
      </c>
      <c r="C63" s="55" t="str">
        <f t="shared" si="13"/>
        <v>8470230</v>
      </c>
      <c r="D63" s="56" t="str">
        <f t="shared" si="14"/>
        <v>KUST - Graduate Studies</v>
      </c>
      <c r="E63" s="3" t="s">
        <v>36</v>
      </c>
      <c r="F63" s="3" t="s">
        <v>37</v>
      </c>
      <c r="G63" s="3" t="s">
        <v>119</v>
      </c>
      <c r="H63" s="4">
        <v>43200</v>
      </c>
      <c r="I63" s="4">
        <v>43200</v>
      </c>
      <c r="J63" s="4">
        <v>42000</v>
      </c>
      <c r="K63" s="16"/>
      <c r="L63" s="17"/>
      <c r="M63" s="4">
        <v>1200</v>
      </c>
      <c r="O63" s="79" t="s">
        <v>1386</v>
      </c>
    </row>
    <row r="64" spans="1:15" ht="21" x14ac:dyDescent="0.35">
      <c r="A64" s="63"/>
      <c r="B64" s="54" t="s">
        <v>7</v>
      </c>
      <c r="C64" s="55" t="str">
        <f t="shared" si="13"/>
        <v>8470230</v>
      </c>
      <c r="D64" s="56" t="str">
        <f t="shared" si="14"/>
        <v>KUST - Graduate Studies</v>
      </c>
      <c r="E64" s="3" t="s">
        <v>42</v>
      </c>
      <c r="F64" s="3" t="s">
        <v>43</v>
      </c>
      <c r="G64" s="3" t="s">
        <v>120</v>
      </c>
      <c r="H64" s="4">
        <v>0</v>
      </c>
      <c r="I64" s="4">
        <v>140000</v>
      </c>
      <c r="J64" s="4">
        <v>140000</v>
      </c>
      <c r="K64" s="16"/>
      <c r="L64" s="17"/>
      <c r="M64" s="4">
        <v>0</v>
      </c>
      <c r="O64" s="79" t="s">
        <v>1386</v>
      </c>
    </row>
    <row r="65" spans="1:15" ht="21" x14ac:dyDescent="0.35">
      <c r="A65" s="63"/>
      <c r="B65" s="54" t="s">
        <v>7</v>
      </c>
      <c r="C65" s="55" t="str">
        <f t="shared" si="13"/>
        <v>8470230</v>
      </c>
      <c r="D65" s="56" t="str">
        <f t="shared" si="14"/>
        <v>KUST - Graduate Studies</v>
      </c>
      <c r="E65" s="3" t="s">
        <v>45</v>
      </c>
      <c r="F65" s="3" t="s">
        <v>46</v>
      </c>
      <c r="G65" s="3" t="s">
        <v>121</v>
      </c>
      <c r="H65" s="4">
        <v>57993</v>
      </c>
      <c r="I65" s="4">
        <v>57993</v>
      </c>
      <c r="J65" s="4">
        <v>57820</v>
      </c>
      <c r="K65" s="16"/>
      <c r="L65" s="17"/>
      <c r="M65" s="4">
        <v>173</v>
      </c>
      <c r="O65" s="79" t="s">
        <v>1386</v>
      </c>
    </row>
    <row r="66" spans="1:15" ht="21" x14ac:dyDescent="0.35">
      <c r="A66" s="63"/>
      <c r="B66" s="54" t="s">
        <v>7</v>
      </c>
      <c r="C66" s="55" t="str">
        <f t="shared" si="13"/>
        <v>8470230</v>
      </c>
      <c r="D66" s="56" t="str">
        <f t="shared" si="14"/>
        <v>KUST - Graduate Studies</v>
      </c>
      <c r="E66" s="3" t="s">
        <v>50</v>
      </c>
      <c r="F66" s="3" t="s">
        <v>51</v>
      </c>
      <c r="G66" s="3" t="s">
        <v>122</v>
      </c>
      <c r="H66" s="4">
        <v>388737</v>
      </c>
      <c r="I66" s="4">
        <v>388737</v>
      </c>
      <c r="J66" s="4">
        <v>378051.01</v>
      </c>
      <c r="K66" s="16"/>
      <c r="L66" s="17"/>
      <c r="M66" s="4">
        <v>10685.99</v>
      </c>
      <c r="O66" s="79" t="s">
        <v>1386</v>
      </c>
    </row>
    <row r="67" spans="1:15" ht="21" x14ac:dyDescent="0.35">
      <c r="A67" s="63"/>
      <c r="B67" s="54" t="s">
        <v>7</v>
      </c>
      <c r="C67" s="55" t="str">
        <f t="shared" si="13"/>
        <v>8470230</v>
      </c>
      <c r="D67" s="56" t="str">
        <f t="shared" si="14"/>
        <v>KUST - Graduate Studies</v>
      </c>
      <c r="E67" s="3" t="s">
        <v>66</v>
      </c>
      <c r="F67" s="3" t="s">
        <v>67</v>
      </c>
      <c r="G67" s="3" t="s">
        <v>123</v>
      </c>
      <c r="H67" s="4">
        <v>37199</v>
      </c>
      <c r="I67" s="4">
        <v>50399</v>
      </c>
      <c r="J67" s="4">
        <v>8550</v>
      </c>
      <c r="K67" s="16"/>
      <c r="L67" s="17"/>
      <c r="M67" s="4">
        <v>41849</v>
      </c>
      <c r="O67" s="79" t="s">
        <v>1386</v>
      </c>
    </row>
    <row r="68" spans="1:15" ht="21" x14ac:dyDescent="0.35">
      <c r="A68" s="63"/>
      <c r="B68" s="54" t="s">
        <v>7</v>
      </c>
      <c r="C68" s="55" t="str">
        <f t="shared" si="13"/>
        <v>8470230</v>
      </c>
      <c r="D68" s="56" t="str">
        <f t="shared" si="14"/>
        <v>KUST - Graduate Studies</v>
      </c>
      <c r="E68" s="3" t="s">
        <v>53</v>
      </c>
      <c r="F68" s="3" t="s">
        <v>54</v>
      </c>
      <c r="G68" s="3" t="s">
        <v>124</v>
      </c>
      <c r="H68" s="4">
        <v>120473</v>
      </c>
      <c r="I68" s="4">
        <v>1037473</v>
      </c>
      <c r="J68" s="4">
        <v>1026922.84</v>
      </c>
      <c r="K68" s="16"/>
      <c r="L68" s="17"/>
      <c r="M68" s="4">
        <v>10550.1599999999</v>
      </c>
      <c r="O68" s="79" t="s">
        <v>1386</v>
      </c>
    </row>
    <row r="69" spans="1:15" ht="14.5" customHeight="1" x14ac:dyDescent="0.35">
      <c r="A69" s="63"/>
      <c r="B69" s="54" t="s">
        <v>7</v>
      </c>
      <c r="C69" s="55" t="s">
        <v>125</v>
      </c>
      <c r="D69" s="56" t="s">
        <v>126</v>
      </c>
      <c r="E69" s="3" t="s">
        <v>21</v>
      </c>
      <c r="F69" s="3" t="s">
        <v>22</v>
      </c>
      <c r="G69" s="3" t="s">
        <v>127</v>
      </c>
      <c r="H69" s="4">
        <v>1201749</v>
      </c>
      <c r="I69" s="4">
        <v>1089926</v>
      </c>
      <c r="J69" s="4">
        <v>981518.37</v>
      </c>
      <c r="K69" s="16"/>
      <c r="L69" s="17"/>
      <c r="M69" s="4">
        <v>108407.63</v>
      </c>
      <c r="O69" s="79" t="s">
        <v>1386</v>
      </c>
    </row>
    <row r="70" spans="1:15" ht="21" x14ac:dyDescent="0.35">
      <c r="A70" s="63"/>
      <c r="B70" s="54" t="s">
        <v>7</v>
      </c>
      <c r="C70" s="55" t="str">
        <f t="shared" ref="C70:C75" si="15">C69</f>
        <v>8470305</v>
      </c>
      <c r="D70" s="56" t="str">
        <f t="shared" ref="D70:D75" si="16">D69</f>
        <v>KUST - Dean Of Engineering</v>
      </c>
      <c r="E70" s="3" t="s">
        <v>27</v>
      </c>
      <c r="F70" s="3" t="s">
        <v>28</v>
      </c>
      <c r="G70" s="3" t="s">
        <v>128</v>
      </c>
      <c r="H70" s="4">
        <v>1552194</v>
      </c>
      <c r="I70" s="4">
        <v>1498371</v>
      </c>
      <c r="J70" s="4">
        <v>1413001.92</v>
      </c>
      <c r="K70" s="16"/>
      <c r="L70" s="17"/>
      <c r="M70" s="4">
        <v>85369.080000000104</v>
      </c>
      <c r="O70" s="79" t="s">
        <v>1386</v>
      </c>
    </row>
    <row r="71" spans="1:15" ht="21" x14ac:dyDescent="0.35">
      <c r="A71" s="63"/>
      <c r="B71" s="54" t="s">
        <v>7</v>
      </c>
      <c r="C71" s="55" t="str">
        <f t="shared" si="15"/>
        <v>8470305</v>
      </c>
      <c r="D71" s="56" t="str">
        <f t="shared" si="16"/>
        <v>KUST - Dean Of Engineering</v>
      </c>
      <c r="E71" s="3" t="s">
        <v>60</v>
      </c>
      <c r="F71" s="3" t="s">
        <v>61</v>
      </c>
      <c r="G71" s="3" t="s">
        <v>129</v>
      </c>
      <c r="H71" s="4">
        <v>2095</v>
      </c>
      <c r="I71" s="4">
        <v>2095</v>
      </c>
      <c r="J71" s="17"/>
      <c r="K71" s="16"/>
      <c r="L71" s="17"/>
      <c r="M71" s="4">
        <v>2095</v>
      </c>
      <c r="O71" s="79" t="s">
        <v>1386</v>
      </c>
    </row>
    <row r="72" spans="1:15" ht="21" x14ac:dyDescent="0.35">
      <c r="A72" s="63"/>
      <c r="B72" s="54" t="s">
        <v>7</v>
      </c>
      <c r="C72" s="55" t="str">
        <f t="shared" si="15"/>
        <v>8470305</v>
      </c>
      <c r="D72" s="56" t="str">
        <f t="shared" si="16"/>
        <v>KUST - Dean Of Engineering</v>
      </c>
      <c r="E72" s="3" t="s">
        <v>42</v>
      </c>
      <c r="F72" s="3" t="s">
        <v>43</v>
      </c>
      <c r="G72" s="3" t="s">
        <v>130</v>
      </c>
      <c r="H72" s="4">
        <v>0</v>
      </c>
      <c r="I72" s="4">
        <v>60000</v>
      </c>
      <c r="J72" s="4">
        <v>60000</v>
      </c>
      <c r="K72" s="16"/>
      <c r="L72" s="17"/>
      <c r="M72" s="4">
        <v>0</v>
      </c>
      <c r="O72" s="79" t="s">
        <v>1386</v>
      </c>
    </row>
    <row r="73" spans="1:15" ht="21" x14ac:dyDescent="0.35">
      <c r="A73" s="63"/>
      <c r="B73" s="54" t="s">
        <v>7</v>
      </c>
      <c r="C73" s="55" t="str">
        <f t="shared" si="15"/>
        <v>8470305</v>
      </c>
      <c r="D73" s="56" t="str">
        <f t="shared" si="16"/>
        <v>KUST - Dean Of Engineering</v>
      </c>
      <c r="E73" s="3" t="s">
        <v>45</v>
      </c>
      <c r="F73" s="3" t="s">
        <v>46</v>
      </c>
      <c r="G73" s="3" t="s">
        <v>131</v>
      </c>
      <c r="H73" s="4">
        <v>71323</v>
      </c>
      <c r="I73" s="4">
        <v>78323</v>
      </c>
      <c r="J73" s="4">
        <v>71367</v>
      </c>
      <c r="K73" s="16"/>
      <c r="L73" s="17"/>
      <c r="M73" s="4">
        <v>6956</v>
      </c>
      <c r="O73" s="79" t="s">
        <v>1386</v>
      </c>
    </row>
    <row r="74" spans="1:15" ht="21" x14ac:dyDescent="0.35">
      <c r="A74" s="63"/>
      <c r="B74" s="54" t="s">
        <v>7</v>
      </c>
      <c r="C74" s="55" t="str">
        <f t="shared" si="15"/>
        <v>8470305</v>
      </c>
      <c r="D74" s="56" t="str">
        <f t="shared" si="16"/>
        <v>KUST - Dean Of Engineering</v>
      </c>
      <c r="E74" s="3" t="s">
        <v>50</v>
      </c>
      <c r="F74" s="3" t="s">
        <v>51</v>
      </c>
      <c r="G74" s="3" t="s">
        <v>132</v>
      </c>
      <c r="H74" s="4">
        <v>330042</v>
      </c>
      <c r="I74" s="4">
        <v>330042</v>
      </c>
      <c r="J74" s="4">
        <v>329040.90000000002</v>
      </c>
      <c r="K74" s="16"/>
      <c r="L74" s="17"/>
      <c r="M74" s="4">
        <v>1001.10000000003</v>
      </c>
      <c r="O74" s="79" t="s">
        <v>1386</v>
      </c>
    </row>
    <row r="75" spans="1:15" ht="21" x14ac:dyDescent="0.35">
      <c r="A75" s="63"/>
      <c r="B75" s="54" t="s">
        <v>7</v>
      </c>
      <c r="C75" s="55" t="str">
        <f t="shared" si="15"/>
        <v>8470305</v>
      </c>
      <c r="D75" s="56" t="str">
        <f t="shared" si="16"/>
        <v>KUST - Dean Of Engineering</v>
      </c>
      <c r="E75" s="3" t="s">
        <v>53</v>
      </c>
      <c r="F75" s="3" t="s">
        <v>54</v>
      </c>
      <c r="G75" s="3" t="s">
        <v>133</v>
      </c>
      <c r="H75" s="4">
        <v>16189</v>
      </c>
      <c r="I75" s="4">
        <v>9189</v>
      </c>
      <c r="J75" s="4">
        <v>8214.0300000000007</v>
      </c>
      <c r="K75" s="16"/>
      <c r="L75" s="17"/>
      <c r="M75" s="4">
        <v>974.969999999999</v>
      </c>
      <c r="O75" s="79" t="s">
        <v>1386</v>
      </c>
    </row>
    <row r="76" spans="1:15" ht="14.5" customHeight="1" x14ac:dyDescent="0.35">
      <c r="A76" s="63"/>
      <c r="B76" s="54" t="s">
        <v>7</v>
      </c>
      <c r="C76" s="55" t="s">
        <v>134</v>
      </c>
      <c r="D76" s="56" t="s">
        <v>135</v>
      </c>
      <c r="E76" s="3" t="s">
        <v>21</v>
      </c>
      <c r="F76" s="3" t="s">
        <v>22</v>
      </c>
      <c r="G76" s="3" t="s">
        <v>136</v>
      </c>
      <c r="H76" s="4">
        <v>5920415</v>
      </c>
      <c r="I76" s="4">
        <v>5860415</v>
      </c>
      <c r="J76" s="4">
        <v>5376004</v>
      </c>
      <c r="K76" s="16"/>
      <c r="L76" s="17"/>
      <c r="M76" s="4">
        <v>484411</v>
      </c>
      <c r="O76" s="79" t="s">
        <v>1386</v>
      </c>
    </row>
    <row r="77" spans="1:15" ht="21" x14ac:dyDescent="0.35">
      <c r="A77" s="63"/>
      <c r="B77" s="54" t="s">
        <v>7</v>
      </c>
      <c r="C77" s="55" t="str">
        <f t="shared" ref="C77:C85" si="17">C76</f>
        <v>8470310</v>
      </c>
      <c r="D77" s="56" t="str">
        <f t="shared" ref="D77:D85" si="18">D76</f>
        <v>KUST - Aerospace Engineering</v>
      </c>
      <c r="E77" s="3" t="s">
        <v>27</v>
      </c>
      <c r="F77" s="3" t="s">
        <v>28</v>
      </c>
      <c r="G77" s="3" t="s">
        <v>137</v>
      </c>
      <c r="H77" s="4">
        <v>4656775</v>
      </c>
      <c r="I77" s="4">
        <v>4656775</v>
      </c>
      <c r="J77" s="4">
        <v>4189351</v>
      </c>
      <c r="K77" s="16"/>
      <c r="L77" s="17"/>
      <c r="M77" s="4">
        <v>467424</v>
      </c>
      <c r="O77" s="79" t="s">
        <v>1386</v>
      </c>
    </row>
    <row r="78" spans="1:15" ht="21" x14ac:dyDescent="0.35">
      <c r="A78" s="63"/>
      <c r="B78" s="54" t="s">
        <v>7</v>
      </c>
      <c r="C78" s="55" t="str">
        <f t="shared" si="17"/>
        <v>8470310</v>
      </c>
      <c r="D78" s="56" t="str">
        <f t="shared" si="18"/>
        <v>KUST - Aerospace Engineering</v>
      </c>
      <c r="E78" s="3" t="s">
        <v>60</v>
      </c>
      <c r="F78" s="3" t="s">
        <v>61</v>
      </c>
      <c r="G78" s="3" t="s">
        <v>138</v>
      </c>
      <c r="H78" s="4">
        <v>346335</v>
      </c>
      <c r="I78" s="4">
        <v>406335</v>
      </c>
      <c r="J78" s="4">
        <v>371027.16</v>
      </c>
      <c r="K78" s="16"/>
      <c r="L78" s="17"/>
      <c r="M78" s="4">
        <v>35307.839999999997</v>
      </c>
      <c r="O78" s="79" t="s">
        <v>1386</v>
      </c>
    </row>
    <row r="79" spans="1:15" ht="21" x14ac:dyDescent="0.35">
      <c r="A79" s="63"/>
      <c r="B79" s="54" t="s">
        <v>7</v>
      </c>
      <c r="C79" s="55" t="str">
        <f t="shared" si="17"/>
        <v>8470310</v>
      </c>
      <c r="D79" s="56" t="str">
        <f t="shared" si="18"/>
        <v>KUST - Aerospace Engineering</v>
      </c>
      <c r="E79" s="3" t="s">
        <v>36</v>
      </c>
      <c r="F79" s="3" t="s">
        <v>37</v>
      </c>
      <c r="G79" s="3" t="s">
        <v>139</v>
      </c>
      <c r="H79" s="4">
        <v>36000</v>
      </c>
      <c r="I79" s="4">
        <v>36000</v>
      </c>
      <c r="J79" s="4">
        <v>35340</v>
      </c>
      <c r="K79" s="16"/>
      <c r="L79" s="17"/>
      <c r="M79" s="4">
        <v>660</v>
      </c>
      <c r="O79" s="79" t="s">
        <v>1386</v>
      </c>
    </row>
    <row r="80" spans="1:15" ht="21" x14ac:dyDescent="0.35">
      <c r="A80" s="63"/>
      <c r="B80" s="54" t="s">
        <v>7</v>
      </c>
      <c r="C80" s="55" t="str">
        <f t="shared" si="17"/>
        <v>8470310</v>
      </c>
      <c r="D80" s="56" t="str">
        <f t="shared" si="18"/>
        <v>KUST - Aerospace Engineering</v>
      </c>
      <c r="E80" s="3" t="s">
        <v>42</v>
      </c>
      <c r="F80" s="3" t="s">
        <v>43</v>
      </c>
      <c r="G80" s="3" t="s">
        <v>140</v>
      </c>
      <c r="H80" s="4">
        <v>609920</v>
      </c>
      <c r="I80" s="4">
        <v>567604</v>
      </c>
      <c r="J80" s="4">
        <v>566996.54</v>
      </c>
      <c r="K80" s="16"/>
      <c r="L80" s="17"/>
      <c r="M80" s="4">
        <v>607.45999999996297</v>
      </c>
      <c r="O80" s="79" t="s">
        <v>1386</v>
      </c>
    </row>
    <row r="81" spans="1:15" ht="21" x14ac:dyDescent="0.35">
      <c r="A81" s="63"/>
      <c r="B81" s="54" t="s">
        <v>7</v>
      </c>
      <c r="C81" s="55" t="str">
        <f t="shared" si="17"/>
        <v>8470310</v>
      </c>
      <c r="D81" s="56" t="str">
        <f t="shared" si="18"/>
        <v>KUST - Aerospace Engineering</v>
      </c>
      <c r="E81" s="3" t="s">
        <v>45</v>
      </c>
      <c r="F81" s="3" t="s">
        <v>46</v>
      </c>
      <c r="G81" s="3" t="s">
        <v>141</v>
      </c>
      <c r="H81" s="4">
        <v>33553</v>
      </c>
      <c r="I81" s="4">
        <v>33553</v>
      </c>
      <c r="J81" s="4">
        <v>30624</v>
      </c>
      <c r="K81" s="16"/>
      <c r="L81" s="17"/>
      <c r="M81" s="4">
        <v>2929</v>
      </c>
      <c r="O81" s="79" t="s">
        <v>1386</v>
      </c>
    </row>
    <row r="82" spans="1:15" ht="21" x14ac:dyDescent="0.35">
      <c r="A82" s="63"/>
      <c r="B82" s="54" t="s">
        <v>7</v>
      </c>
      <c r="C82" s="55" t="str">
        <f t="shared" si="17"/>
        <v>8470310</v>
      </c>
      <c r="D82" s="56" t="str">
        <f t="shared" si="18"/>
        <v>KUST - Aerospace Engineering</v>
      </c>
      <c r="E82" s="3" t="s">
        <v>75</v>
      </c>
      <c r="F82" s="3" t="s">
        <v>76</v>
      </c>
      <c r="G82" s="3" t="s">
        <v>142</v>
      </c>
      <c r="H82" s="4">
        <v>0</v>
      </c>
      <c r="I82" s="4">
        <v>122005</v>
      </c>
      <c r="J82" s="4">
        <v>122004.21</v>
      </c>
      <c r="K82" s="16"/>
      <c r="L82" s="17"/>
      <c r="M82" s="4">
        <v>0.78999999999359705</v>
      </c>
      <c r="O82" s="79" t="s">
        <v>1386</v>
      </c>
    </row>
    <row r="83" spans="1:15" ht="21" x14ac:dyDescent="0.35">
      <c r="A83" s="63"/>
      <c r="B83" s="54" t="s">
        <v>7</v>
      </c>
      <c r="C83" s="55" t="str">
        <f t="shared" si="17"/>
        <v>8470310</v>
      </c>
      <c r="D83" s="56" t="str">
        <f t="shared" si="18"/>
        <v>KUST - Aerospace Engineering</v>
      </c>
      <c r="E83" s="3" t="s">
        <v>50</v>
      </c>
      <c r="F83" s="3" t="s">
        <v>51</v>
      </c>
      <c r="G83" s="3" t="s">
        <v>143</v>
      </c>
      <c r="H83" s="4">
        <v>132241</v>
      </c>
      <c r="I83" s="4">
        <v>132241</v>
      </c>
      <c r="J83" s="4">
        <v>121050.15</v>
      </c>
      <c r="K83" s="16"/>
      <c r="L83" s="17"/>
      <c r="M83" s="4">
        <v>11190.85</v>
      </c>
      <c r="O83" s="79" t="s">
        <v>1386</v>
      </c>
    </row>
    <row r="84" spans="1:15" ht="21" x14ac:dyDescent="0.35">
      <c r="A84" s="63"/>
      <c r="B84" s="54" t="s">
        <v>7</v>
      </c>
      <c r="C84" s="55" t="str">
        <f t="shared" si="17"/>
        <v>8470310</v>
      </c>
      <c r="D84" s="56" t="str">
        <f t="shared" si="18"/>
        <v>KUST - Aerospace Engineering</v>
      </c>
      <c r="E84" s="3" t="s">
        <v>66</v>
      </c>
      <c r="F84" s="3" t="s">
        <v>67</v>
      </c>
      <c r="G84" s="3" t="s">
        <v>144</v>
      </c>
      <c r="H84" s="4">
        <v>440711</v>
      </c>
      <c r="I84" s="4">
        <v>440711</v>
      </c>
      <c r="J84" s="4">
        <v>216200</v>
      </c>
      <c r="K84" s="16"/>
      <c r="L84" s="17"/>
      <c r="M84" s="4">
        <v>224511</v>
      </c>
      <c r="O84" s="79" t="s">
        <v>1386</v>
      </c>
    </row>
    <row r="85" spans="1:15" ht="21" x14ac:dyDescent="0.35">
      <c r="A85" s="63"/>
      <c r="B85" s="54" t="s">
        <v>7</v>
      </c>
      <c r="C85" s="55" t="str">
        <f t="shared" si="17"/>
        <v>8470310</v>
      </c>
      <c r="D85" s="56" t="str">
        <f t="shared" si="18"/>
        <v>KUST - Aerospace Engineering</v>
      </c>
      <c r="E85" s="3" t="s">
        <v>53</v>
      </c>
      <c r="F85" s="3" t="s">
        <v>54</v>
      </c>
      <c r="G85" s="3" t="s">
        <v>145</v>
      </c>
      <c r="H85" s="4">
        <v>364598</v>
      </c>
      <c r="I85" s="4">
        <v>354234</v>
      </c>
      <c r="J85" s="4">
        <v>264068.55</v>
      </c>
      <c r="K85" s="16"/>
      <c r="L85" s="17"/>
      <c r="M85" s="4">
        <v>90165.45</v>
      </c>
      <c r="O85" s="79" t="s">
        <v>1386</v>
      </c>
    </row>
    <row r="86" spans="1:15" ht="14.5" customHeight="1" x14ac:dyDescent="0.35">
      <c r="A86" s="63"/>
      <c r="B86" s="54" t="s">
        <v>7</v>
      </c>
      <c r="C86" s="55" t="s">
        <v>146</v>
      </c>
      <c r="D86" s="56" t="s">
        <v>147</v>
      </c>
      <c r="E86" s="3" t="s">
        <v>21</v>
      </c>
      <c r="F86" s="3" t="s">
        <v>22</v>
      </c>
      <c r="G86" s="3" t="s">
        <v>148</v>
      </c>
      <c r="H86" s="4">
        <v>5223584</v>
      </c>
      <c r="I86" s="4">
        <v>5223584</v>
      </c>
      <c r="J86" s="4">
        <v>4318160.03</v>
      </c>
      <c r="K86" s="16"/>
      <c r="L86" s="17"/>
      <c r="M86" s="4">
        <v>905423.97000000102</v>
      </c>
      <c r="O86" s="79" t="s">
        <v>1386</v>
      </c>
    </row>
    <row r="87" spans="1:15" ht="21" x14ac:dyDescent="0.35">
      <c r="A87" s="63"/>
      <c r="B87" s="54" t="s">
        <v>7</v>
      </c>
      <c r="C87" s="55" t="str">
        <f t="shared" ref="C87:C95" si="19">C86</f>
        <v>8470315</v>
      </c>
      <c r="D87" s="56" t="str">
        <f t="shared" ref="D87:D95" si="20">D86</f>
        <v>KUST - Biomedical Engineering</v>
      </c>
      <c r="E87" s="3" t="s">
        <v>27</v>
      </c>
      <c r="F87" s="3" t="s">
        <v>28</v>
      </c>
      <c r="G87" s="3" t="s">
        <v>149</v>
      </c>
      <c r="H87" s="4">
        <v>3676719</v>
      </c>
      <c r="I87" s="4">
        <v>3223719</v>
      </c>
      <c r="J87" s="4">
        <v>2935433.97</v>
      </c>
      <c r="K87" s="16"/>
      <c r="L87" s="17"/>
      <c r="M87" s="4">
        <v>288285.03000000003</v>
      </c>
      <c r="O87" s="79" t="s">
        <v>1386</v>
      </c>
    </row>
    <row r="88" spans="1:15" ht="21" x14ac:dyDescent="0.35">
      <c r="A88" s="63"/>
      <c r="B88" s="54" t="s">
        <v>7</v>
      </c>
      <c r="C88" s="55" t="str">
        <f t="shared" si="19"/>
        <v>8470315</v>
      </c>
      <c r="D88" s="56" t="str">
        <f t="shared" si="20"/>
        <v>KUST - Biomedical Engineering</v>
      </c>
      <c r="E88" s="3" t="s">
        <v>60</v>
      </c>
      <c r="F88" s="3" t="s">
        <v>61</v>
      </c>
      <c r="G88" s="3" t="s">
        <v>150</v>
      </c>
      <c r="H88" s="4">
        <v>345560</v>
      </c>
      <c r="I88" s="4">
        <v>265560</v>
      </c>
      <c r="J88" s="4">
        <v>178673</v>
      </c>
      <c r="K88" s="16"/>
      <c r="L88" s="17"/>
      <c r="M88" s="4">
        <v>86887</v>
      </c>
      <c r="O88" s="79" t="s">
        <v>1386</v>
      </c>
    </row>
    <row r="89" spans="1:15" ht="21" x14ac:dyDescent="0.35">
      <c r="A89" s="63"/>
      <c r="B89" s="54" t="s">
        <v>7</v>
      </c>
      <c r="C89" s="55" t="str">
        <f t="shared" si="19"/>
        <v>8470315</v>
      </c>
      <c r="D89" s="56" t="str">
        <f t="shared" si="20"/>
        <v>KUST - Biomedical Engineering</v>
      </c>
      <c r="E89" s="3" t="s">
        <v>42</v>
      </c>
      <c r="F89" s="3" t="s">
        <v>43</v>
      </c>
      <c r="G89" s="3" t="s">
        <v>151</v>
      </c>
      <c r="H89" s="4">
        <v>387850</v>
      </c>
      <c r="I89" s="4">
        <v>413850</v>
      </c>
      <c r="J89" s="4">
        <v>412989.01</v>
      </c>
      <c r="K89" s="16"/>
      <c r="L89" s="17"/>
      <c r="M89" s="4">
        <v>860.98999999999103</v>
      </c>
      <c r="O89" s="79" t="s">
        <v>1386</v>
      </c>
    </row>
    <row r="90" spans="1:15" ht="21" x14ac:dyDescent="0.35">
      <c r="A90" s="63"/>
      <c r="B90" s="54" t="s">
        <v>7</v>
      </c>
      <c r="C90" s="55" t="str">
        <f t="shared" si="19"/>
        <v>8470315</v>
      </c>
      <c r="D90" s="56" t="str">
        <f t="shared" si="20"/>
        <v>KUST - Biomedical Engineering</v>
      </c>
      <c r="E90" s="3" t="s">
        <v>45</v>
      </c>
      <c r="F90" s="3" t="s">
        <v>46</v>
      </c>
      <c r="G90" s="3" t="s">
        <v>152</v>
      </c>
      <c r="H90" s="4">
        <v>72287</v>
      </c>
      <c r="I90" s="4">
        <v>72287</v>
      </c>
      <c r="J90" s="4">
        <v>35318</v>
      </c>
      <c r="K90" s="16"/>
      <c r="L90" s="17"/>
      <c r="M90" s="4">
        <v>36969</v>
      </c>
      <c r="O90" s="79" t="s">
        <v>1386</v>
      </c>
    </row>
    <row r="91" spans="1:15" ht="21" x14ac:dyDescent="0.35">
      <c r="A91" s="63"/>
      <c r="B91" s="54" t="s">
        <v>7</v>
      </c>
      <c r="C91" s="55" t="str">
        <f t="shared" si="19"/>
        <v>8470315</v>
      </c>
      <c r="D91" s="56" t="str">
        <f t="shared" si="20"/>
        <v>KUST - Biomedical Engineering</v>
      </c>
      <c r="E91" s="3" t="s">
        <v>75</v>
      </c>
      <c r="F91" s="3" t="s">
        <v>76</v>
      </c>
      <c r="G91" s="3" t="s">
        <v>153</v>
      </c>
      <c r="H91" s="4">
        <v>0</v>
      </c>
      <c r="I91" s="4">
        <v>72576</v>
      </c>
      <c r="J91" s="4">
        <v>72575.789999999994</v>
      </c>
      <c r="K91" s="16"/>
      <c r="L91" s="17"/>
      <c r="M91" s="4">
        <v>0.20999999999185101</v>
      </c>
      <c r="O91" s="79" t="s">
        <v>1386</v>
      </c>
    </row>
    <row r="92" spans="1:15" ht="21" x14ac:dyDescent="0.35">
      <c r="A92" s="63"/>
      <c r="B92" s="54" t="s">
        <v>7</v>
      </c>
      <c r="C92" s="55" t="str">
        <f t="shared" si="19"/>
        <v>8470315</v>
      </c>
      <c r="D92" s="56" t="str">
        <f t="shared" si="20"/>
        <v>KUST - Biomedical Engineering</v>
      </c>
      <c r="E92" s="3" t="s">
        <v>50</v>
      </c>
      <c r="F92" s="3" t="s">
        <v>51</v>
      </c>
      <c r="G92" s="3" t="s">
        <v>154</v>
      </c>
      <c r="H92" s="4">
        <v>262779</v>
      </c>
      <c r="I92" s="4">
        <v>182779</v>
      </c>
      <c r="J92" s="4">
        <v>127717.95</v>
      </c>
      <c r="K92" s="16"/>
      <c r="L92" s="17"/>
      <c r="M92" s="4">
        <v>55061.05</v>
      </c>
      <c r="O92" s="79" t="s">
        <v>1386</v>
      </c>
    </row>
    <row r="93" spans="1:15" ht="21" x14ac:dyDescent="0.35">
      <c r="A93" s="63"/>
      <c r="B93" s="54" t="s">
        <v>7</v>
      </c>
      <c r="C93" s="55" t="str">
        <f t="shared" si="19"/>
        <v>8470315</v>
      </c>
      <c r="D93" s="56" t="str">
        <f t="shared" si="20"/>
        <v>KUST - Biomedical Engineering</v>
      </c>
      <c r="E93" s="3" t="s">
        <v>155</v>
      </c>
      <c r="F93" s="3" t="s">
        <v>156</v>
      </c>
      <c r="G93" s="3" t="s">
        <v>157</v>
      </c>
      <c r="H93" s="4">
        <v>24156</v>
      </c>
      <c r="I93" s="4">
        <v>24156</v>
      </c>
      <c r="J93" s="4">
        <v>23049.45</v>
      </c>
      <c r="K93" s="16"/>
      <c r="L93" s="17"/>
      <c r="M93" s="4">
        <v>1106.55</v>
      </c>
      <c r="O93" s="79" t="s">
        <v>1386</v>
      </c>
    </row>
    <row r="94" spans="1:15" ht="21" x14ac:dyDescent="0.35">
      <c r="A94" s="63"/>
      <c r="B94" s="54" t="s">
        <v>7</v>
      </c>
      <c r="C94" s="55" t="str">
        <f t="shared" si="19"/>
        <v>8470315</v>
      </c>
      <c r="D94" s="56" t="str">
        <f t="shared" si="20"/>
        <v>KUST - Biomedical Engineering</v>
      </c>
      <c r="E94" s="3" t="s">
        <v>66</v>
      </c>
      <c r="F94" s="3" t="s">
        <v>67</v>
      </c>
      <c r="G94" s="3" t="s">
        <v>158</v>
      </c>
      <c r="H94" s="4">
        <v>0</v>
      </c>
      <c r="I94" s="4">
        <v>193285</v>
      </c>
      <c r="J94" s="4">
        <v>192982.28</v>
      </c>
      <c r="K94" s="16"/>
      <c r="L94" s="17"/>
      <c r="M94" s="4">
        <v>302.72000000000099</v>
      </c>
      <c r="O94" s="79" t="s">
        <v>1386</v>
      </c>
    </row>
    <row r="95" spans="1:15" ht="21" x14ac:dyDescent="0.35">
      <c r="A95" s="63"/>
      <c r="B95" s="54" t="s">
        <v>7</v>
      </c>
      <c r="C95" s="55" t="str">
        <f t="shared" si="19"/>
        <v>8470315</v>
      </c>
      <c r="D95" s="56" t="str">
        <f t="shared" si="20"/>
        <v>KUST - Biomedical Engineering</v>
      </c>
      <c r="E95" s="3" t="s">
        <v>53</v>
      </c>
      <c r="F95" s="3" t="s">
        <v>54</v>
      </c>
      <c r="G95" s="3" t="s">
        <v>159</v>
      </c>
      <c r="H95" s="4">
        <v>231367</v>
      </c>
      <c r="I95" s="4">
        <v>231367</v>
      </c>
      <c r="J95" s="4">
        <v>198507.87</v>
      </c>
      <c r="K95" s="16"/>
      <c r="L95" s="17"/>
      <c r="M95" s="4">
        <v>32859.129999999997</v>
      </c>
      <c r="O95" s="79" t="s">
        <v>1386</v>
      </c>
    </row>
    <row r="96" spans="1:15" ht="14.5" customHeight="1" x14ac:dyDescent="0.35">
      <c r="A96" s="63"/>
      <c r="B96" s="54" t="s">
        <v>7</v>
      </c>
      <c r="C96" s="55" t="s">
        <v>160</v>
      </c>
      <c r="D96" s="56" t="s">
        <v>161</v>
      </c>
      <c r="E96" s="3" t="s">
        <v>21</v>
      </c>
      <c r="F96" s="3" t="s">
        <v>22</v>
      </c>
      <c r="G96" s="3" t="s">
        <v>162</v>
      </c>
      <c r="H96" s="4">
        <v>15035757</v>
      </c>
      <c r="I96" s="4">
        <v>15035757</v>
      </c>
      <c r="J96" s="4">
        <v>13609331</v>
      </c>
      <c r="K96" s="16"/>
      <c r="L96" s="17"/>
      <c r="M96" s="4">
        <v>1426426</v>
      </c>
      <c r="O96" s="79" t="s">
        <v>1386</v>
      </c>
    </row>
    <row r="97" spans="1:15" ht="21" x14ac:dyDescent="0.35">
      <c r="A97" s="63"/>
      <c r="B97" s="54" t="s">
        <v>7</v>
      </c>
      <c r="C97" s="55" t="str">
        <f t="shared" ref="C97:C104" si="21">C96</f>
        <v>8470320</v>
      </c>
      <c r="D97" s="56" t="str">
        <f t="shared" ref="D97:D104" si="22">D96</f>
        <v>KUST - Chemical Engineering</v>
      </c>
      <c r="E97" s="3" t="s">
        <v>27</v>
      </c>
      <c r="F97" s="3" t="s">
        <v>28</v>
      </c>
      <c r="G97" s="3" t="s">
        <v>163</v>
      </c>
      <c r="H97" s="4">
        <v>10209318</v>
      </c>
      <c r="I97" s="4">
        <v>10209318</v>
      </c>
      <c r="J97" s="4">
        <v>9295779.4800000004</v>
      </c>
      <c r="K97" s="16"/>
      <c r="L97" s="17"/>
      <c r="M97" s="4">
        <v>913538.52</v>
      </c>
      <c r="O97" s="79" t="s">
        <v>1386</v>
      </c>
    </row>
    <row r="98" spans="1:15" ht="21" x14ac:dyDescent="0.35">
      <c r="A98" s="63"/>
      <c r="B98" s="54" t="s">
        <v>7</v>
      </c>
      <c r="C98" s="55" t="str">
        <f t="shared" si="21"/>
        <v>8470320</v>
      </c>
      <c r="D98" s="56" t="str">
        <f t="shared" si="22"/>
        <v>KUST - Chemical Engineering</v>
      </c>
      <c r="E98" s="3" t="s">
        <v>60</v>
      </c>
      <c r="F98" s="3" t="s">
        <v>61</v>
      </c>
      <c r="G98" s="3" t="s">
        <v>164</v>
      </c>
      <c r="H98" s="4">
        <v>1385951</v>
      </c>
      <c r="I98" s="4">
        <v>1385951</v>
      </c>
      <c r="J98" s="4">
        <v>1279260</v>
      </c>
      <c r="K98" s="16"/>
      <c r="L98" s="17"/>
      <c r="M98" s="4">
        <v>106691</v>
      </c>
      <c r="O98" s="79" t="s">
        <v>1386</v>
      </c>
    </row>
    <row r="99" spans="1:15" ht="21" x14ac:dyDescent="0.35">
      <c r="A99" s="63"/>
      <c r="B99" s="54" t="s">
        <v>7</v>
      </c>
      <c r="C99" s="55" t="str">
        <f t="shared" si="21"/>
        <v>8470320</v>
      </c>
      <c r="D99" s="56" t="str">
        <f t="shared" si="22"/>
        <v>KUST - Chemical Engineering</v>
      </c>
      <c r="E99" s="3" t="s">
        <v>36</v>
      </c>
      <c r="F99" s="3" t="s">
        <v>37</v>
      </c>
      <c r="G99" s="3" t="s">
        <v>165</v>
      </c>
      <c r="H99" s="4">
        <v>79200</v>
      </c>
      <c r="I99" s="4">
        <v>79200</v>
      </c>
      <c r="J99" s="4">
        <v>72600</v>
      </c>
      <c r="K99" s="16"/>
      <c r="L99" s="17"/>
      <c r="M99" s="4">
        <v>6600</v>
      </c>
      <c r="O99" s="79" t="s">
        <v>1386</v>
      </c>
    </row>
    <row r="100" spans="1:15" ht="21" x14ac:dyDescent="0.35">
      <c r="A100" s="63"/>
      <c r="B100" s="54" t="s">
        <v>7</v>
      </c>
      <c r="C100" s="55" t="str">
        <f t="shared" si="21"/>
        <v>8470320</v>
      </c>
      <c r="D100" s="56" t="str">
        <f t="shared" si="22"/>
        <v>KUST - Chemical Engineering</v>
      </c>
      <c r="E100" s="3" t="s">
        <v>42</v>
      </c>
      <c r="F100" s="3" t="s">
        <v>43</v>
      </c>
      <c r="G100" s="3" t="s">
        <v>166</v>
      </c>
      <c r="H100" s="4">
        <v>992499</v>
      </c>
      <c r="I100" s="4">
        <v>851499</v>
      </c>
      <c r="J100" s="4">
        <v>850621.85</v>
      </c>
      <c r="K100" s="16"/>
      <c r="L100" s="17"/>
      <c r="M100" s="4">
        <v>877.15000000002306</v>
      </c>
      <c r="O100" s="79" t="s">
        <v>1386</v>
      </c>
    </row>
    <row r="101" spans="1:15" ht="21" x14ac:dyDescent="0.35">
      <c r="A101" s="63"/>
      <c r="B101" s="54" t="s">
        <v>7</v>
      </c>
      <c r="C101" s="55" t="str">
        <f t="shared" si="21"/>
        <v>8470320</v>
      </c>
      <c r="D101" s="56" t="str">
        <f t="shared" si="22"/>
        <v>KUST - Chemical Engineering</v>
      </c>
      <c r="E101" s="3" t="s">
        <v>45</v>
      </c>
      <c r="F101" s="3" t="s">
        <v>46</v>
      </c>
      <c r="G101" s="3" t="s">
        <v>167</v>
      </c>
      <c r="H101" s="4">
        <v>319625</v>
      </c>
      <c r="I101" s="4">
        <v>319625</v>
      </c>
      <c r="J101" s="4">
        <v>292081</v>
      </c>
      <c r="K101" s="16"/>
      <c r="L101" s="17"/>
      <c r="M101" s="4">
        <v>27544</v>
      </c>
      <c r="O101" s="79" t="s">
        <v>1386</v>
      </c>
    </row>
    <row r="102" spans="1:15" ht="21" x14ac:dyDescent="0.35">
      <c r="A102" s="63"/>
      <c r="B102" s="54" t="s">
        <v>7</v>
      </c>
      <c r="C102" s="55" t="str">
        <f t="shared" si="21"/>
        <v>8470320</v>
      </c>
      <c r="D102" s="56" t="str">
        <f t="shared" si="22"/>
        <v>KUST - Chemical Engineering</v>
      </c>
      <c r="E102" s="3" t="s">
        <v>50</v>
      </c>
      <c r="F102" s="3" t="s">
        <v>51</v>
      </c>
      <c r="G102" s="3" t="s">
        <v>168</v>
      </c>
      <c r="H102" s="4">
        <v>1190357</v>
      </c>
      <c r="I102" s="4">
        <v>1190357</v>
      </c>
      <c r="J102" s="4">
        <v>1092233.24</v>
      </c>
      <c r="K102" s="16"/>
      <c r="L102" s="17"/>
      <c r="M102" s="4">
        <v>98123.76</v>
      </c>
      <c r="O102" s="79" t="s">
        <v>1386</v>
      </c>
    </row>
    <row r="103" spans="1:15" ht="21" x14ac:dyDescent="0.35">
      <c r="A103" s="63"/>
      <c r="B103" s="54" t="s">
        <v>7</v>
      </c>
      <c r="C103" s="55" t="str">
        <f t="shared" si="21"/>
        <v>8470320</v>
      </c>
      <c r="D103" s="56" t="str">
        <f t="shared" si="22"/>
        <v>KUST - Chemical Engineering</v>
      </c>
      <c r="E103" s="3" t="s">
        <v>66</v>
      </c>
      <c r="F103" s="3" t="s">
        <v>67</v>
      </c>
      <c r="G103" s="3" t="s">
        <v>169</v>
      </c>
      <c r="H103" s="4">
        <v>887785</v>
      </c>
      <c r="I103" s="4">
        <v>876500</v>
      </c>
      <c r="J103" s="4">
        <v>499400</v>
      </c>
      <c r="K103" s="16"/>
      <c r="L103" s="17"/>
      <c r="M103" s="4">
        <v>377100</v>
      </c>
      <c r="O103" s="79" t="s">
        <v>1386</v>
      </c>
    </row>
    <row r="104" spans="1:15" ht="21" x14ac:dyDescent="0.35">
      <c r="A104" s="63"/>
      <c r="B104" s="54" t="s">
        <v>7</v>
      </c>
      <c r="C104" s="55" t="str">
        <f t="shared" si="21"/>
        <v>8470320</v>
      </c>
      <c r="D104" s="56" t="str">
        <f t="shared" si="22"/>
        <v>KUST - Chemical Engineering</v>
      </c>
      <c r="E104" s="3" t="s">
        <v>53</v>
      </c>
      <c r="F104" s="3" t="s">
        <v>54</v>
      </c>
      <c r="G104" s="3" t="s">
        <v>170</v>
      </c>
      <c r="H104" s="4">
        <v>587153</v>
      </c>
      <c r="I104" s="4">
        <v>437153</v>
      </c>
      <c r="J104" s="4">
        <v>402144.1</v>
      </c>
      <c r="K104" s="16"/>
      <c r="L104" s="17"/>
      <c r="M104" s="4">
        <v>35008.9</v>
      </c>
      <c r="O104" s="79" t="s">
        <v>1386</v>
      </c>
    </row>
    <row r="105" spans="1:15" ht="14.5" customHeight="1" x14ac:dyDescent="0.35">
      <c r="A105" s="63"/>
      <c r="B105" s="54" t="s">
        <v>7</v>
      </c>
      <c r="C105" s="55" t="s">
        <v>171</v>
      </c>
      <c r="D105" s="56" t="s">
        <v>172</v>
      </c>
      <c r="E105" s="3" t="s">
        <v>21</v>
      </c>
      <c r="F105" s="3" t="s">
        <v>22</v>
      </c>
      <c r="G105" s="3" t="s">
        <v>173</v>
      </c>
      <c r="H105" s="4">
        <v>5933713</v>
      </c>
      <c r="I105" s="4">
        <v>5933713</v>
      </c>
      <c r="J105" s="4">
        <v>5490061.7000000002</v>
      </c>
      <c r="K105" s="16"/>
      <c r="L105" s="17"/>
      <c r="M105" s="4">
        <v>443651.30000000098</v>
      </c>
      <c r="O105" s="79" t="s">
        <v>1386</v>
      </c>
    </row>
    <row r="106" spans="1:15" ht="21" x14ac:dyDescent="0.35">
      <c r="A106" s="63"/>
      <c r="B106" s="54" t="s">
        <v>7</v>
      </c>
      <c r="C106" s="55" t="str">
        <f t="shared" ref="C106:C113" si="23">C105</f>
        <v>8470325</v>
      </c>
      <c r="D106" s="56" t="str">
        <f t="shared" ref="D106:D113" si="24">D105</f>
        <v>KUST - Civil Engineering</v>
      </c>
      <c r="E106" s="3" t="s">
        <v>27</v>
      </c>
      <c r="F106" s="3" t="s">
        <v>28</v>
      </c>
      <c r="G106" s="3" t="s">
        <v>174</v>
      </c>
      <c r="H106" s="4">
        <v>4024978</v>
      </c>
      <c r="I106" s="4">
        <v>4024978</v>
      </c>
      <c r="J106" s="4">
        <v>3720406.06</v>
      </c>
      <c r="K106" s="16"/>
      <c r="L106" s="17"/>
      <c r="M106" s="4">
        <v>304571.94</v>
      </c>
      <c r="O106" s="79" t="s">
        <v>1386</v>
      </c>
    </row>
    <row r="107" spans="1:15" ht="21" x14ac:dyDescent="0.35">
      <c r="A107" s="63"/>
      <c r="B107" s="54" t="s">
        <v>7</v>
      </c>
      <c r="C107" s="55" t="str">
        <f t="shared" si="23"/>
        <v>8470325</v>
      </c>
      <c r="D107" s="56" t="str">
        <f t="shared" si="24"/>
        <v>KUST - Civil Engineering</v>
      </c>
      <c r="E107" s="3" t="s">
        <v>60</v>
      </c>
      <c r="F107" s="3" t="s">
        <v>61</v>
      </c>
      <c r="G107" s="3" t="s">
        <v>175</v>
      </c>
      <c r="H107" s="4">
        <v>120518</v>
      </c>
      <c r="I107" s="4">
        <v>120518</v>
      </c>
      <c r="J107" s="4">
        <v>110000</v>
      </c>
      <c r="K107" s="16"/>
      <c r="L107" s="17"/>
      <c r="M107" s="4">
        <v>10518</v>
      </c>
      <c r="O107" s="79" t="s">
        <v>1386</v>
      </c>
    </row>
    <row r="108" spans="1:15" ht="21" x14ac:dyDescent="0.35">
      <c r="A108" s="63"/>
      <c r="B108" s="54" t="s">
        <v>7</v>
      </c>
      <c r="C108" s="55" t="str">
        <f t="shared" si="23"/>
        <v>8470325</v>
      </c>
      <c r="D108" s="56" t="str">
        <f t="shared" si="24"/>
        <v>KUST - Civil Engineering</v>
      </c>
      <c r="E108" s="3" t="s">
        <v>36</v>
      </c>
      <c r="F108" s="3" t="s">
        <v>37</v>
      </c>
      <c r="G108" s="3" t="s">
        <v>176</v>
      </c>
      <c r="H108" s="4">
        <v>0</v>
      </c>
      <c r="I108" s="4">
        <v>10000</v>
      </c>
      <c r="J108" s="4">
        <v>9000</v>
      </c>
      <c r="K108" s="16"/>
      <c r="L108" s="17"/>
      <c r="M108" s="4">
        <v>1000</v>
      </c>
      <c r="O108" s="79" t="s">
        <v>1386</v>
      </c>
    </row>
    <row r="109" spans="1:15" ht="21" x14ac:dyDescent="0.35">
      <c r="A109" s="63"/>
      <c r="B109" s="54" t="s">
        <v>7</v>
      </c>
      <c r="C109" s="55" t="str">
        <f t="shared" si="23"/>
        <v>8470325</v>
      </c>
      <c r="D109" s="56" t="str">
        <f t="shared" si="24"/>
        <v>KUST - Civil Engineering</v>
      </c>
      <c r="E109" s="3" t="s">
        <v>42</v>
      </c>
      <c r="F109" s="3" t="s">
        <v>43</v>
      </c>
      <c r="G109" s="3" t="s">
        <v>177</v>
      </c>
      <c r="H109" s="4">
        <v>453484</v>
      </c>
      <c r="I109" s="4">
        <v>483484</v>
      </c>
      <c r="J109" s="4">
        <v>479600</v>
      </c>
      <c r="K109" s="16"/>
      <c r="L109" s="17"/>
      <c r="M109" s="4">
        <v>3884</v>
      </c>
      <c r="O109" s="79" t="s">
        <v>1386</v>
      </c>
    </row>
    <row r="110" spans="1:15" ht="21" x14ac:dyDescent="0.35">
      <c r="A110" s="63"/>
      <c r="B110" s="54" t="s">
        <v>7</v>
      </c>
      <c r="C110" s="55" t="str">
        <f t="shared" si="23"/>
        <v>8470325</v>
      </c>
      <c r="D110" s="56" t="str">
        <f t="shared" si="24"/>
        <v>KUST - Civil Engineering</v>
      </c>
      <c r="E110" s="3" t="s">
        <v>45</v>
      </c>
      <c r="F110" s="3" t="s">
        <v>46</v>
      </c>
      <c r="G110" s="3" t="s">
        <v>178</v>
      </c>
      <c r="H110" s="4">
        <v>40960</v>
      </c>
      <c r="I110" s="4">
        <v>52960</v>
      </c>
      <c r="J110" s="4">
        <v>46891.63</v>
      </c>
      <c r="K110" s="16"/>
      <c r="L110" s="17"/>
      <c r="M110" s="4">
        <v>6068.37</v>
      </c>
      <c r="O110" s="79" t="s">
        <v>1386</v>
      </c>
    </row>
    <row r="111" spans="1:15" ht="21" x14ac:dyDescent="0.35">
      <c r="A111" s="63"/>
      <c r="B111" s="54" t="s">
        <v>7</v>
      </c>
      <c r="C111" s="55" t="str">
        <f t="shared" si="23"/>
        <v>8470325</v>
      </c>
      <c r="D111" s="56" t="str">
        <f t="shared" si="24"/>
        <v>KUST - Civil Engineering</v>
      </c>
      <c r="E111" s="3" t="s">
        <v>50</v>
      </c>
      <c r="F111" s="3" t="s">
        <v>51</v>
      </c>
      <c r="G111" s="3" t="s">
        <v>179</v>
      </c>
      <c r="H111" s="4">
        <v>129793</v>
      </c>
      <c r="I111" s="4">
        <v>209793</v>
      </c>
      <c r="J111" s="4">
        <v>175956.38</v>
      </c>
      <c r="K111" s="16"/>
      <c r="L111" s="17"/>
      <c r="M111" s="4">
        <v>33836.620000000003</v>
      </c>
      <c r="O111" s="79" t="s">
        <v>1386</v>
      </c>
    </row>
    <row r="112" spans="1:15" ht="21" x14ac:dyDescent="0.35">
      <c r="A112" s="63"/>
      <c r="B112" s="54" t="s">
        <v>7</v>
      </c>
      <c r="C112" s="55" t="str">
        <f t="shared" si="23"/>
        <v>8470325</v>
      </c>
      <c r="D112" s="56" t="str">
        <f t="shared" si="24"/>
        <v>KUST - Civil Engineering</v>
      </c>
      <c r="E112" s="3" t="s">
        <v>66</v>
      </c>
      <c r="F112" s="3" t="s">
        <v>67</v>
      </c>
      <c r="G112" s="3" t="s">
        <v>180</v>
      </c>
      <c r="H112" s="4">
        <v>295842</v>
      </c>
      <c r="I112" s="4">
        <v>283842</v>
      </c>
      <c r="J112" s="4">
        <v>217450</v>
      </c>
      <c r="K112" s="16"/>
      <c r="L112" s="17"/>
      <c r="M112" s="4">
        <v>66392</v>
      </c>
      <c r="O112" s="79" t="s">
        <v>1386</v>
      </c>
    </row>
    <row r="113" spans="1:15" ht="21" x14ac:dyDescent="0.35">
      <c r="A113" s="63"/>
      <c r="B113" s="54" t="s">
        <v>7</v>
      </c>
      <c r="C113" s="55" t="str">
        <f t="shared" si="23"/>
        <v>8470325</v>
      </c>
      <c r="D113" s="56" t="str">
        <f t="shared" si="24"/>
        <v>KUST - Civil Engineering</v>
      </c>
      <c r="E113" s="3" t="s">
        <v>53</v>
      </c>
      <c r="F113" s="3" t="s">
        <v>54</v>
      </c>
      <c r="G113" s="3" t="s">
        <v>181</v>
      </c>
      <c r="H113" s="4">
        <v>348171</v>
      </c>
      <c r="I113" s="4">
        <v>348171</v>
      </c>
      <c r="J113" s="4">
        <v>241698.6</v>
      </c>
      <c r="K113" s="16"/>
      <c r="L113" s="17"/>
      <c r="M113" s="4">
        <v>106472.4</v>
      </c>
      <c r="O113" s="79" t="s">
        <v>1386</v>
      </c>
    </row>
    <row r="114" spans="1:15" ht="14.5" customHeight="1" x14ac:dyDescent="0.35">
      <c r="A114" s="63"/>
      <c r="B114" s="54" t="s">
        <v>7</v>
      </c>
      <c r="C114" s="55" t="s">
        <v>182</v>
      </c>
      <c r="D114" s="56" t="s">
        <v>183</v>
      </c>
      <c r="E114" s="3" t="s">
        <v>21</v>
      </c>
      <c r="F114" s="3" t="s">
        <v>22</v>
      </c>
      <c r="G114" s="3" t="s">
        <v>184</v>
      </c>
      <c r="H114" s="4">
        <v>31340440</v>
      </c>
      <c r="I114" s="4">
        <v>31204980</v>
      </c>
      <c r="J114" s="4">
        <v>28249673.66</v>
      </c>
      <c r="K114" s="16"/>
      <c r="L114" s="17"/>
      <c r="M114" s="4">
        <v>2955306.34</v>
      </c>
      <c r="O114" s="79" t="s">
        <v>1386</v>
      </c>
    </row>
    <row r="115" spans="1:15" ht="21" customHeight="1" x14ac:dyDescent="0.35">
      <c r="A115" s="63"/>
      <c r="B115" s="54" t="s">
        <v>7</v>
      </c>
      <c r="C115" s="55" t="str">
        <f t="shared" ref="C115:C126" si="25">C114</f>
        <v>8470330</v>
      </c>
      <c r="D115" s="56" t="str">
        <f t="shared" ref="D115:D126" si="26">D114</f>
        <v>KUST - Electrical &amp; Computer Engineering</v>
      </c>
      <c r="E115" s="3" t="s">
        <v>24</v>
      </c>
      <c r="F115" s="3" t="s">
        <v>25</v>
      </c>
      <c r="G115" s="3" t="s">
        <v>185</v>
      </c>
      <c r="H115" s="4">
        <v>25200</v>
      </c>
      <c r="I115" s="4">
        <v>25200</v>
      </c>
      <c r="J115" s="4">
        <v>22400</v>
      </c>
      <c r="K115" s="16"/>
      <c r="L115" s="17"/>
      <c r="M115" s="4">
        <v>2800</v>
      </c>
      <c r="O115" s="79" t="s">
        <v>1386</v>
      </c>
    </row>
    <row r="116" spans="1:15" ht="21" customHeight="1" x14ac:dyDescent="0.35">
      <c r="A116" s="63"/>
      <c r="B116" s="54" t="s">
        <v>7</v>
      </c>
      <c r="C116" s="55" t="str">
        <f t="shared" si="25"/>
        <v>8470330</v>
      </c>
      <c r="D116" s="56" t="str">
        <f t="shared" si="26"/>
        <v>KUST - Electrical &amp; Computer Engineering</v>
      </c>
      <c r="E116" s="3" t="s">
        <v>27</v>
      </c>
      <c r="F116" s="3" t="s">
        <v>28</v>
      </c>
      <c r="G116" s="3" t="s">
        <v>186</v>
      </c>
      <c r="H116" s="4">
        <v>20767770</v>
      </c>
      <c r="I116" s="4">
        <v>20056770</v>
      </c>
      <c r="J116" s="4">
        <v>18287303.760000002</v>
      </c>
      <c r="K116" s="16"/>
      <c r="L116" s="17"/>
      <c r="M116" s="4">
        <v>1769466.24</v>
      </c>
      <c r="O116" s="79" t="s">
        <v>1386</v>
      </c>
    </row>
    <row r="117" spans="1:15" ht="21" customHeight="1" x14ac:dyDescent="0.35">
      <c r="A117" s="63"/>
      <c r="B117" s="54" t="s">
        <v>7</v>
      </c>
      <c r="C117" s="55" t="str">
        <f t="shared" si="25"/>
        <v>8470330</v>
      </c>
      <c r="D117" s="56" t="str">
        <f t="shared" si="26"/>
        <v>KUST - Electrical &amp; Computer Engineering</v>
      </c>
      <c r="E117" s="3" t="s">
        <v>33</v>
      </c>
      <c r="F117" s="3" t="s">
        <v>34</v>
      </c>
      <c r="G117" s="3" t="s">
        <v>187</v>
      </c>
      <c r="H117" s="4">
        <v>280800</v>
      </c>
      <c r="I117" s="4">
        <v>280800</v>
      </c>
      <c r="J117" s="4">
        <v>249600</v>
      </c>
      <c r="K117" s="16"/>
      <c r="L117" s="17"/>
      <c r="M117" s="4">
        <v>31200</v>
      </c>
      <c r="O117" s="79" t="s">
        <v>1386</v>
      </c>
    </row>
    <row r="118" spans="1:15" ht="21" customHeight="1" x14ac:dyDescent="0.35">
      <c r="A118" s="63"/>
      <c r="B118" s="54" t="s">
        <v>7</v>
      </c>
      <c r="C118" s="55" t="str">
        <f t="shared" si="25"/>
        <v>8470330</v>
      </c>
      <c r="D118" s="56" t="str">
        <f t="shared" si="26"/>
        <v>KUST - Electrical &amp; Computer Engineering</v>
      </c>
      <c r="E118" s="3" t="s">
        <v>60</v>
      </c>
      <c r="F118" s="3" t="s">
        <v>61</v>
      </c>
      <c r="G118" s="3" t="s">
        <v>188</v>
      </c>
      <c r="H118" s="4">
        <v>1262312</v>
      </c>
      <c r="I118" s="4">
        <v>1399312</v>
      </c>
      <c r="J118" s="4">
        <v>1278841.1599999999</v>
      </c>
      <c r="K118" s="16"/>
      <c r="L118" s="17"/>
      <c r="M118" s="4">
        <v>120470.84</v>
      </c>
      <c r="O118" s="79" t="s">
        <v>1386</v>
      </c>
    </row>
    <row r="119" spans="1:15" ht="21" customHeight="1" x14ac:dyDescent="0.35">
      <c r="A119" s="63"/>
      <c r="B119" s="54" t="s">
        <v>7</v>
      </c>
      <c r="C119" s="55" t="str">
        <f t="shared" si="25"/>
        <v>8470330</v>
      </c>
      <c r="D119" s="56" t="str">
        <f t="shared" si="26"/>
        <v>KUST - Electrical &amp; Computer Engineering</v>
      </c>
      <c r="E119" s="3" t="s">
        <v>36</v>
      </c>
      <c r="F119" s="3" t="s">
        <v>37</v>
      </c>
      <c r="G119" s="3" t="s">
        <v>189</v>
      </c>
      <c r="H119" s="4">
        <v>404000</v>
      </c>
      <c r="I119" s="4">
        <v>404000</v>
      </c>
      <c r="J119" s="4">
        <v>311100</v>
      </c>
      <c r="K119" s="16"/>
      <c r="L119" s="17"/>
      <c r="M119" s="4">
        <v>92900</v>
      </c>
      <c r="O119" s="79" t="s">
        <v>1386</v>
      </c>
    </row>
    <row r="120" spans="1:15" ht="21" customHeight="1" x14ac:dyDescent="0.35">
      <c r="A120" s="63"/>
      <c r="B120" s="54" t="s">
        <v>7</v>
      </c>
      <c r="C120" s="55" t="str">
        <f t="shared" si="25"/>
        <v>8470330</v>
      </c>
      <c r="D120" s="56" t="str">
        <f t="shared" si="26"/>
        <v>KUST - Electrical &amp; Computer Engineering</v>
      </c>
      <c r="E120" s="3" t="s">
        <v>39</v>
      </c>
      <c r="F120" s="3" t="s">
        <v>40</v>
      </c>
      <c r="G120" s="3" t="s">
        <v>190</v>
      </c>
      <c r="H120" s="4">
        <v>936000</v>
      </c>
      <c r="I120" s="4">
        <v>936000</v>
      </c>
      <c r="J120" s="4">
        <v>832000</v>
      </c>
      <c r="K120" s="16"/>
      <c r="L120" s="17"/>
      <c r="M120" s="4">
        <v>104000</v>
      </c>
      <c r="O120" s="79" t="s">
        <v>1386</v>
      </c>
    </row>
    <row r="121" spans="1:15" ht="21" customHeight="1" x14ac:dyDescent="0.35">
      <c r="A121" s="63"/>
      <c r="B121" s="54" t="s">
        <v>7</v>
      </c>
      <c r="C121" s="55" t="str">
        <f t="shared" si="25"/>
        <v>8470330</v>
      </c>
      <c r="D121" s="56" t="str">
        <f t="shared" si="26"/>
        <v>KUST - Electrical &amp; Computer Engineering</v>
      </c>
      <c r="E121" s="3" t="s">
        <v>42</v>
      </c>
      <c r="F121" s="3" t="s">
        <v>43</v>
      </c>
      <c r="G121" s="3" t="s">
        <v>191</v>
      </c>
      <c r="H121" s="4">
        <v>2465461</v>
      </c>
      <c r="I121" s="4">
        <v>2058946</v>
      </c>
      <c r="J121" s="4">
        <v>2057974.03</v>
      </c>
      <c r="K121" s="16"/>
      <c r="L121" s="17"/>
      <c r="M121" s="4">
        <v>971.96999999997195</v>
      </c>
      <c r="O121" s="79" t="s">
        <v>1386</v>
      </c>
    </row>
    <row r="122" spans="1:15" ht="21" customHeight="1" x14ac:dyDescent="0.35">
      <c r="A122" s="63"/>
      <c r="B122" s="54" t="s">
        <v>7</v>
      </c>
      <c r="C122" s="55" t="str">
        <f t="shared" si="25"/>
        <v>8470330</v>
      </c>
      <c r="D122" s="56" t="str">
        <f t="shared" si="26"/>
        <v>KUST - Electrical &amp; Computer Engineering</v>
      </c>
      <c r="E122" s="3" t="s">
        <v>45</v>
      </c>
      <c r="F122" s="3" t="s">
        <v>46</v>
      </c>
      <c r="G122" s="3" t="s">
        <v>192</v>
      </c>
      <c r="H122" s="4">
        <v>436564</v>
      </c>
      <c r="I122" s="4">
        <v>436564</v>
      </c>
      <c r="J122" s="4">
        <v>396672.63</v>
      </c>
      <c r="K122" s="16"/>
      <c r="L122" s="17"/>
      <c r="M122" s="4">
        <v>39891.370000000003</v>
      </c>
      <c r="O122" s="79" t="s">
        <v>1386</v>
      </c>
    </row>
    <row r="123" spans="1:15" ht="21" customHeight="1" x14ac:dyDescent="0.35">
      <c r="A123" s="63"/>
      <c r="B123" s="54" t="s">
        <v>7</v>
      </c>
      <c r="C123" s="55" t="str">
        <f t="shared" si="25"/>
        <v>8470330</v>
      </c>
      <c r="D123" s="56" t="str">
        <f t="shared" si="26"/>
        <v>KUST - Electrical &amp; Computer Engineering</v>
      </c>
      <c r="E123" s="3" t="s">
        <v>75</v>
      </c>
      <c r="F123" s="3" t="s">
        <v>76</v>
      </c>
      <c r="G123" s="3" t="s">
        <v>193</v>
      </c>
      <c r="H123" s="4">
        <v>104769</v>
      </c>
      <c r="I123" s="4">
        <v>240229</v>
      </c>
      <c r="J123" s="4">
        <v>215539.64</v>
      </c>
      <c r="K123" s="16"/>
      <c r="L123" s="17"/>
      <c r="M123" s="4">
        <v>24689.360000000001</v>
      </c>
      <c r="O123" s="79" t="s">
        <v>1386</v>
      </c>
    </row>
    <row r="124" spans="1:15" ht="21" customHeight="1" x14ac:dyDescent="0.35">
      <c r="A124" s="63"/>
      <c r="B124" s="54" t="s">
        <v>7</v>
      </c>
      <c r="C124" s="55" t="str">
        <f t="shared" si="25"/>
        <v>8470330</v>
      </c>
      <c r="D124" s="56" t="str">
        <f t="shared" si="26"/>
        <v>KUST - Electrical &amp; Computer Engineering</v>
      </c>
      <c r="E124" s="3" t="s">
        <v>50</v>
      </c>
      <c r="F124" s="3" t="s">
        <v>51</v>
      </c>
      <c r="G124" s="3" t="s">
        <v>194</v>
      </c>
      <c r="H124" s="4">
        <v>2009952</v>
      </c>
      <c r="I124" s="4">
        <v>2009952</v>
      </c>
      <c r="J124" s="4">
        <v>1851978.08</v>
      </c>
      <c r="K124" s="16"/>
      <c r="L124" s="17"/>
      <c r="M124" s="4">
        <v>157973.92000000001</v>
      </c>
      <c r="O124" s="79" t="s">
        <v>1386</v>
      </c>
    </row>
    <row r="125" spans="1:15" ht="21" customHeight="1" x14ac:dyDescent="0.35">
      <c r="A125" s="63"/>
      <c r="B125" s="54" t="s">
        <v>7</v>
      </c>
      <c r="C125" s="55" t="str">
        <f t="shared" si="25"/>
        <v>8470330</v>
      </c>
      <c r="D125" s="56" t="str">
        <f t="shared" si="26"/>
        <v>KUST - Electrical &amp; Computer Engineering</v>
      </c>
      <c r="E125" s="3" t="s">
        <v>66</v>
      </c>
      <c r="F125" s="3" t="s">
        <v>67</v>
      </c>
      <c r="G125" s="3" t="s">
        <v>195</v>
      </c>
      <c r="H125" s="4">
        <v>2350705</v>
      </c>
      <c r="I125" s="4">
        <v>1601705</v>
      </c>
      <c r="J125" s="4">
        <v>1466640.69</v>
      </c>
      <c r="K125" s="16"/>
      <c r="L125" s="17"/>
      <c r="M125" s="4">
        <v>135064.31</v>
      </c>
      <c r="O125" s="79" t="s">
        <v>1386</v>
      </c>
    </row>
    <row r="126" spans="1:15" ht="21" customHeight="1" x14ac:dyDescent="0.35">
      <c r="A126" s="63"/>
      <c r="B126" s="54" t="s">
        <v>7</v>
      </c>
      <c r="C126" s="55" t="str">
        <f t="shared" si="25"/>
        <v>8470330</v>
      </c>
      <c r="D126" s="56" t="str">
        <f t="shared" si="26"/>
        <v>KUST - Electrical &amp; Computer Engineering</v>
      </c>
      <c r="E126" s="3" t="s">
        <v>53</v>
      </c>
      <c r="F126" s="3" t="s">
        <v>54</v>
      </c>
      <c r="G126" s="3" t="s">
        <v>196</v>
      </c>
      <c r="H126" s="4">
        <v>1441089</v>
      </c>
      <c r="I126" s="4">
        <v>1101453</v>
      </c>
      <c r="J126" s="4">
        <v>1097897.4099999999</v>
      </c>
      <c r="K126" s="16"/>
      <c r="L126" s="17"/>
      <c r="M126" s="4">
        <v>3555.5899999998501</v>
      </c>
      <c r="O126" s="79" t="s">
        <v>1386</v>
      </c>
    </row>
    <row r="127" spans="1:15" ht="14.5" customHeight="1" x14ac:dyDescent="0.35">
      <c r="A127" s="63"/>
      <c r="B127" s="54" t="s">
        <v>7</v>
      </c>
      <c r="C127" s="55" t="s">
        <v>197</v>
      </c>
      <c r="D127" s="56" t="s">
        <v>198</v>
      </c>
      <c r="E127" s="3" t="s">
        <v>21</v>
      </c>
      <c r="F127" s="3" t="s">
        <v>22</v>
      </c>
      <c r="G127" s="3" t="s">
        <v>199</v>
      </c>
      <c r="H127" s="4">
        <v>7664322</v>
      </c>
      <c r="I127" s="4">
        <v>7485462</v>
      </c>
      <c r="J127" s="4">
        <v>6385633.9699999997</v>
      </c>
      <c r="K127" s="16"/>
      <c r="L127" s="17"/>
      <c r="M127" s="4">
        <v>1099828.03</v>
      </c>
      <c r="O127" s="79" t="s">
        <v>1386</v>
      </c>
    </row>
    <row r="128" spans="1:15" ht="21" customHeight="1" x14ac:dyDescent="0.35">
      <c r="A128" s="63"/>
      <c r="B128" s="54" t="s">
        <v>7</v>
      </c>
      <c r="C128" s="55" t="str">
        <f t="shared" ref="C128:C136" si="27">C127</f>
        <v>8470335</v>
      </c>
      <c r="D128" s="56" t="str">
        <f t="shared" ref="D128:D136" si="28">D127</f>
        <v>KUST - Industrial &amp; Systems Engineering</v>
      </c>
      <c r="E128" s="3" t="s">
        <v>27</v>
      </c>
      <c r="F128" s="3" t="s">
        <v>28</v>
      </c>
      <c r="G128" s="3" t="s">
        <v>200</v>
      </c>
      <c r="H128" s="4">
        <v>4832927</v>
      </c>
      <c r="I128" s="4">
        <v>4832927</v>
      </c>
      <c r="J128" s="4">
        <v>4017634.24</v>
      </c>
      <c r="K128" s="16"/>
      <c r="L128" s="17"/>
      <c r="M128" s="4">
        <v>815292.76</v>
      </c>
      <c r="O128" s="79" t="s">
        <v>1386</v>
      </c>
    </row>
    <row r="129" spans="1:15" ht="21" customHeight="1" x14ac:dyDescent="0.35">
      <c r="A129" s="63"/>
      <c r="B129" s="54" t="s">
        <v>7</v>
      </c>
      <c r="C129" s="55" t="str">
        <f t="shared" si="27"/>
        <v>8470335</v>
      </c>
      <c r="D129" s="56" t="str">
        <f t="shared" si="28"/>
        <v>KUST - Industrial &amp; Systems Engineering</v>
      </c>
      <c r="E129" s="3" t="s">
        <v>60</v>
      </c>
      <c r="F129" s="3" t="s">
        <v>61</v>
      </c>
      <c r="G129" s="3" t="s">
        <v>201</v>
      </c>
      <c r="H129" s="4">
        <v>180777</v>
      </c>
      <c r="I129" s="4">
        <v>180777</v>
      </c>
      <c r="J129" s="4">
        <v>165000</v>
      </c>
      <c r="K129" s="16"/>
      <c r="L129" s="17"/>
      <c r="M129" s="4">
        <v>15777</v>
      </c>
      <c r="O129" s="79" t="s">
        <v>1386</v>
      </c>
    </row>
    <row r="130" spans="1:15" ht="21" customHeight="1" x14ac:dyDescent="0.35">
      <c r="A130" s="63"/>
      <c r="B130" s="54" t="s">
        <v>7</v>
      </c>
      <c r="C130" s="55" t="str">
        <f t="shared" si="27"/>
        <v>8470335</v>
      </c>
      <c r="D130" s="56" t="str">
        <f t="shared" si="28"/>
        <v>KUST - Industrial &amp; Systems Engineering</v>
      </c>
      <c r="E130" s="3" t="s">
        <v>36</v>
      </c>
      <c r="F130" s="3" t="s">
        <v>37</v>
      </c>
      <c r="G130" s="3" t="s">
        <v>202</v>
      </c>
      <c r="H130" s="4">
        <v>21600</v>
      </c>
      <c r="I130" s="4">
        <v>11600</v>
      </c>
      <c r="J130" s="4">
        <v>11460</v>
      </c>
      <c r="K130" s="16"/>
      <c r="L130" s="17"/>
      <c r="M130" s="4">
        <v>140</v>
      </c>
      <c r="O130" s="79" t="s">
        <v>1386</v>
      </c>
    </row>
    <row r="131" spans="1:15" ht="21" customHeight="1" x14ac:dyDescent="0.35">
      <c r="A131" s="63"/>
      <c r="B131" s="54" t="s">
        <v>7</v>
      </c>
      <c r="C131" s="55" t="str">
        <f t="shared" si="27"/>
        <v>8470335</v>
      </c>
      <c r="D131" s="56" t="str">
        <f t="shared" si="28"/>
        <v>KUST - Industrial &amp; Systems Engineering</v>
      </c>
      <c r="E131" s="3" t="s">
        <v>42</v>
      </c>
      <c r="F131" s="3" t="s">
        <v>43</v>
      </c>
      <c r="G131" s="3" t="s">
        <v>203</v>
      </c>
      <c r="H131" s="4">
        <v>444008</v>
      </c>
      <c r="I131" s="4">
        <v>444008</v>
      </c>
      <c r="J131" s="4">
        <v>388906.5</v>
      </c>
      <c r="K131" s="16"/>
      <c r="L131" s="17"/>
      <c r="M131" s="4">
        <v>55101.5</v>
      </c>
      <c r="O131" s="79" t="s">
        <v>1386</v>
      </c>
    </row>
    <row r="132" spans="1:15" ht="21" customHeight="1" x14ac:dyDescent="0.35">
      <c r="A132" s="63"/>
      <c r="B132" s="54" t="s">
        <v>7</v>
      </c>
      <c r="C132" s="55" t="str">
        <f t="shared" si="27"/>
        <v>8470335</v>
      </c>
      <c r="D132" s="56" t="str">
        <f t="shared" si="28"/>
        <v>KUST - Industrial &amp; Systems Engineering</v>
      </c>
      <c r="E132" s="3" t="s">
        <v>45</v>
      </c>
      <c r="F132" s="3" t="s">
        <v>46</v>
      </c>
      <c r="G132" s="3" t="s">
        <v>204</v>
      </c>
      <c r="H132" s="4">
        <v>33553</v>
      </c>
      <c r="I132" s="4">
        <v>33553</v>
      </c>
      <c r="J132" s="4">
        <v>16704</v>
      </c>
      <c r="K132" s="16"/>
      <c r="L132" s="17"/>
      <c r="M132" s="4">
        <v>16849</v>
      </c>
      <c r="O132" s="79" t="s">
        <v>1386</v>
      </c>
    </row>
    <row r="133" spans="1:15" ht="21" customHeight="1" x14ac:dyDescent="0.35">
      <c r="A133" s="63"/>
      <c r="B133" s="54" t="s">
        <v>7</v>
      </c>
      <c r="C133" s="55" t="str">
        <f t="shared" si="27"/>
        <v>8470335</v>
      </c>
      <c r="D133" s="56" t="str">
        <f t="shared" si="28"/>
        <v>KUST - Industrial &amp; Systems Engineering</v>
      </c>
      <c r="E133" s="3" t="s">
        <v>75</v>
      </c>
      <c r="F133" s="3" t="s">
        <v>76</v>
      </c>
      <c r="G133" s="3" t="s">
        <v>205</v>
      </c>
      <c r="H133" s="4">
        <v>0</v>
      </c>
      <c r="I133" s="4">
        <v>170702</v>
      </c>
      <c r="J133" s="4">
        <v>170701.52</v>
      </c>
      <c r="K133" s="16"/>
      <c r="L133" s="17"/>
      <c r="M133" s="4">
        <v>0.48000000001047699</v>
      </c>
      <c r="O133" s="79" t="s">
        <v>1386</v>
      </c>
    </row>
    <row r="134" spans="1:15" ht="21" customHeight="1" x14ac:dyDescent="0.35">
      <c r="A134" s="63"/>
      <c r="B134" s="54" t="s">
        <v>7</v>
      </c>
      <c r="C134" s="55" t="str">
        <f t="shared" si="27"/>
        <v>8470335</v>
      </c>
      <c r="D134" s="56" t="str">
        <f t="shared" si="28"/>
        <v>KUST - Industrial &amp; Systems Engineering</v>
      </c>
      <c r="E134" s="3" t="s">
        <v>50</v>
      </c>
      <c r="F134" s="3" t="s">
        <v>51</v>
      </c>
      <c r="G134" s="3" t="s">
        <v>206</v>
      </c>
      <c r="H134" s="4">
        <v>129280</v>
      </c>
      <c r="I134" s="4">
        <v>129280</v>
      </c>
      <c r="J134" s="4">
        <v>64854.9</v>
      </c>
      <c r="K134" s="16"/>
      <c r="L134" s="17"/>
      <c r="M134" s="4">
        <v>64425.1</v>
      </c>
      <c r="O134" s="79" t="s">
        <v>1386</v>
      </c>
    </row>
    <row r="135" spans="1:15" ht="21" customHeight="1" x14ac:dyDescent="0.35">
      <c r="A135" s="63"/>
      <c r="B135" s="54" t="s">
        <v>7</v>
      </c>
      <c r="C135" s="55" t="str">
        <f t="shared" si="27"/>
        <v>8470335</v>
      </c>
      <c r="D135" s="56" t="str">
        <f t="shared" si="28"/>
        <v>KUST - Industrial &amp; Systems Engineering</v>
      </c>
      <c r="E135" s="3" t="s">
        <v>66</v>
      </c>
      <c r="F135" s="3" t="s">
        <v>67</v>
      </c>
      <c r="G135" s="3" t="s">
        <v>207</v>
      </c>
      <c r="H135" s="4">
        <v>0</v>
      </c>
      <c r="I135" s="4">
        <v>283158</v>
      </c>
      <c r="J135" s="4">
        <v>282607.40000000002</v>
      </c>
      <c r="K135" s="16"/>
      <c r="L135" s="17"/>
      <c r="M135" s="4">
        <v>550.60000000003504</v>
      </c>
      <c r="O135" s="79" t="s">
        <v>1386</v>
      </c>
    </row>
    <row r="136" spans="1:15" ht="21" customHeight="1" x14ac:dyDescent="0.35">
      <c r="A136" s="63"/>
      <c r="B136" s="54" t="s">
        <v>7</v>
      </c>
      <c r="C136" s="55" t="str">
        <f t="shared" si="27"/>
        <v>8470335</v>
      </c>
      <c r="D136" s="56" t="str">
        <f t="shared" si="28"/>
        <v>KUST - Industrial &amp; Systems Engineering</v>
      </c>
      <c r="E136" s="3" t="s">
        <v>53</v>
      </c>
      <c r="F136" s="3" t="s">
        <v>54</v>
      </c>
      <c r="G136" s="3" t="s">
        <v>208</v>
      </c>
      <c r="H136" s="4">
        <v>353983</v>
      </c>
      <c r="I136" s="4">
        <v>353983</v>
      </c>
      <c r="J136" s="4">
        <v>317407.86</v>
      </c>
      <c r="K136" s="16"/>
      <c r="L136" s="17"/>
      <c r="M136" s="4">
        <v>36575.14</v>
      </c>
      <c r="O136" s="79" t="s">
        <v>1386</v>
      </c>
    </row>
    <row r="137" spans="1:15" ht="14.5" customHeight="1" x14ac:dyDescent="0.35">
      <c r="A137" s="63"/>
      <c r="B137" s="54" t="s">
        <v>7</v>
      </c>
      <c r="C137" s="55" t="s">
        <v>209</v>
      </c>
      <c r="D137" s="56" t="s">
        <v>210</v>
      </c>
      <c r="E137" s="3" t="s">
        <v>21</v>
      </c>
      <c r="F137" s="3" t="s">
        <v>22</v>
      </c>
      <c r="G137" s="3" t="s">
        <v>211</v>
      </c>
      <c r="H137" s="4">
        <v>21904566</v>
      </c>
      <c r="I137" s="4">
        <v>21837664</v>
      </c>
      <c r="J137" s="4">
        <v>19790485.300000001</v>
      </c>
      <c r="K137" s="16"/>
      <c r="L137" s="17"/>
      <c r="M137" s="4">
        <v>2047178.7</v>
      </c>
      <c r="O137" s="79" t="s">
        <v>1386</v>
      </c>
    </row>
    <row r="138" spans="1:15" ht="21" x14ac:dyDescent="0.35">
      <c r="A138" s="63"/>
      <c r="B138" s="54" t="s">
        <v>7</v>
      </c>
      <c r="C138" s="55" t="str">
        <f t="shared" ref="C138:C146" si="29">C137</f>
        <v>8470340</v>
      </c>
      <c r="D138" s="56" t="str">
        <f t="shared" ref="D138:D146" si="30">D137</f>
        <v>KUST - Mechanical Engineering</v>
      </c>
      <c r="E138" s="3" t="s">
        <v>27</v>
      </c>
      <c r="F138" s="3" t="s">
        <v>28</v>
      </c>
      <c r="G138" s="3" t="s">
        <v>212</v>
      </c>
      <c r="H138" s="4">
        <v>15563797</v>
      </c>
      <c r="I138" s="4">
        <v>15563797</v>
      </c>
      <c r="J138" s="4">
        <v>13646191.77</v>
      </c>
      <c r="K138" s="16"/>
      <c r="L138" s="17"/>
      <c r="M138" s="4">
        <v>1917605.23</v>
      </c>
      <c r="O138" s="79" t="s">
        <v>1386</v>
      </c>
    </row>
    <row r="139" spans="1:15" ht="21" x14ac:dyDescent="0.35">
      <c r="A139" s="63"/>
      <c r="B139" s="54" t="s">
        <v>7</v>
      </c>
      <c r="C139" s="55" t="str">
        <f t="shared" si="29"/>
        <v>8470340</v>
      </c>
      <c r="D139" s="56" t="str">
        <f t="shared" si="30"/>
        <v>KUST - Mechanical Engineering</v>
      </c>
      <c r="E139" s="3" t="s">
        <v>60</v>
      </c>
      <c r="F139" s="3" t="s">
        <v>61</v>
      </c>
      <c r="G139" s="3" t="s">
        <v>213</v>
      </c>
      <c r="H139" s="4">
        <v>1226226</v>
      </c>
      <c r="I139" s="4">
        <v>1226226</v>
      </c>
      <c r="J139" s="4">
        <v>1179179.26</v>
      </c>
      <c r="K139" s="16"/>
      <c r="L139" s="17"/>
      <c r="M139" s="4">
        <v>47046.74</v>
      </c>
      <c r="O139" s="79" t="s">
        <v>1386</v>
      </c>
    </row>
    <row r="140" spans="1:15" ht="21" x14ac:dyDescent="0.35">
      <c r="A140" s="63"/>
      <c r="B140" s="54" t="s">
        <v>7</v>
      </c>
      <c r="C140" s="55" t="str">
        <f t="shared" si="29"/>
        <v>8470340</v>
      </c>
      <c r="D140" s="56" t="str">
        <f t="shared" si="30"/>
        <v>KUST - Mechanical Engineering</v>
      </c>
      <c r="E140" s="3" t="s">
        <v>36</v>
      </c>
      <c r="F140" s="3" t="s">
        <v>37</v>
      </c>
      <c r="G140" s="3" t="s">
        <v>214</v>
      </c>
      <c r="H140" s="4">
        <v>129600</v>
      </c>
      <c r="I140" s="4">
        <v>129600</v>
      </c>
      <c r="J140" s="4">
        <v>117680</v>
      </c>
      <c r="K140" s="16"/>
      <c r="L140" s="17"/>
      <c r="M140" s="4">
        <v>11920</v>
      </c>
      <c r="O140" s="79" t="s">
        <v>1386</v>
      </c>
    </row>
    <row r="141" spans="1:15" ht="21" x14ac:dyDescent="0.35">
      <c r="A141" s="63"/>
      <c r="B141" s="54" t="s">
        <v>7</v>
      </c>
      <c r="C141" s="55" t="str">
        <f t="shared" si="29"/>
        <v>8470340</v>
      </c>
      <c r="D141" s="56" t="str">
        <f t="shared" si="30"/>
        <v>KUST - Mechanical Engineering</v>
      </c>
      <c r="E141" s="3" t="s">
        <v>42</v>
      </c>
      <c r="F141" s="3" t="s">
        <v>43</v>
      </c>
      <c r="G141" s="3" t="s">
        <v>215</v>
      </c>
      <c r="H141" s="4">
        <v>1805570</v>
      </c>
      <c r="I141" s="4">
        <v>1497570</v>
      </c>
      <c r="J141" s="4">
        <v>1497171</v>
      </c>
      <c r="K141" s="16"/>
      <c r="L141" s="17"/>
      <c r="M141" s="4">
        <v>399</v>
      </c>
      <c r="O141" s="79" t="s">
        <v>1386</v>
      </c>
    </row>
    <row r="142" spans="1:15" ht="21" x14ac:dyDescent="0.35">
      <c r="A142" s="63"/>
      <c r="B142" s="54" t="s">
        <v>7</v>
      </c>
      <c r="C142" s="55" t="str">
        <f t="shared" si="29"/>
        <v>8470340</v>
      </c>
      <c r="D142" s="56" t="str">
        <f t="shared" si="30"/>
        <v>KUST - Mechanical Engineering</v>
      </c>
      <c r="E142" s="3" t="s">
        <v>45</v>
      </c>
      <c r="F142" s="3" t="s">
        <v>46</v>
      </c>
      <c r="G142" s="3" t="s">
        <v>216</v>
      </c>
      <c r="H142" s="4">
        <v>247170</v>
      </c>
      <c r="I142" s="4">
        <v>247170</v>
      </c>
      <c r="J142" s="4">
        <v>227763.9</v>
      </c>
      <c r="K142" s="16"/>
      <c r="L142" s="17"/>
      <c r="M142" s="4">
        <v>19406.099999999999</v>
      </c>
      <c r="O142" s="79" t="s">
        <v>1386</v>
      </c>
    </row>
    <row r="143" spans="1:15" ht="21" x14ac:dyDescent="0.35">
      <c r="A143" s="63"/>
      <c r="B143" s="54" t="s">
        <v>7</v>
      </c>
      <c r="C143" s="55" t="str">
        <f t="shared" si="29"/>
        <v>8470340</v>
      </c>
      <c r="D143" s="56" t="str">
        <f t="shared" si="30"/>
        <v>KUST - Mechanical Engineering</v>
      </c>
      <c r="E143" s="3" t="s">
        <v>75</v>
      </c>
      <c r="F143" s="3" t="s">
        <v>76</v>
      </c>
      <c r="G143" s="3" t="s">
        <v>217</v>
      </c>
      <c r="H143" s="4">
        <v>0</v>
      </c>
      <c r="I143" s="4">
        <v>174902</v>
      </c>
      <c r="J143" s="4">
        <v>174894.74</v>
      </c>
      <c r="K143" s="16"/>
      <c r="L143" s="17"/>
      <c r="M143" s="4">
        <v>7.2600000000093097</v>
      </c>
      <c r="O143" s="79" t="s">
        <v>1386</v>
      </c>
    </row>
    <row r="144" spans="1:15" ht="21" x14ac:dyDescent="0.35">
      <c r="A144" s="63"/>
      <c r="B144" s="54" t="s">
        <v>7</v>
      </c>
      <c r="C144" s="55" t="str">
        <f t="shared" si="29"/>
        <v>8470340</v>
      </c>
      <c r="D144" s="56" t="str">
        <f t="shared" si="30"/>
        <v>KUST - Mechanical Engineering</v>
      </c>
      <c r="E144" s="3" t="s">
        <v>50</v>
      </c>
      <c r="F144" s="3" t="s">
        <v>51</v>
      </c>
      <c r="G144" s="3" t="s">
        <v>218</v>
      </c>
      <c r="H144" s="4">
        <v>953684</v>
      </c>
      <c r="I144" s="4">
        <v>953684</v>
      </c>
      <c r="J144" s="4">
        <v>881974.13</v>
      </c>
      <c r="K144" s="16"/>
      <c r="L144" s="17"/>
      <c r="M144" s="4">
        <v>71709.87</v>
      </c>
      <c r="O144" s="79" t="s">
        <v>1386</v>
      </c>
    </row>
    <row r="145" spans="1:15" ht="21" x14ac:dyDescent="0.35">
      <c r="A145" s="63"/>
      <c r="B145" s="54" t="s">
        <v>7</v>
      </c>
      <c r="C145" s="55" t="str">
        <f t="shared" si="29"/>
        <v>8470340</v>
      </c>
      <c r="D145" s="56" t="str">
        <f t="shared" si="30"/>
        <v>KUST - Mechanical Engineering</v>
      </c>
      <c r="E145" s="3" t="s">
        <v>66</v>
      </c>
      <c r="F145" s="3" t="s">
        <v>67</v>
      </c>
      <c r="G145" s="3" t="s">
        <v>219</v>
      </c>
      <c r="H145" s="4">
        <v>2034289</v>
      </c>
      <c r="I145" s="4">
        <v>802289</v>
      </c>
      <c r="J145" s="4">
        <v>781459.8</v>
      </c>
      <c r="K145" s="16"/>
      <c r="L145" s="17"/>
      <c r="M145" s="4">
        <v>20829.2</v>
      </c>
      <c r="O145" s="79" t="s">
        <v>1386</v>
      </c>
    </row>
    <row r="146" spans="1:15" ht="21" x14ac:dyDescent="0.35">
      <c r="A146" s="63"/>
      <c r="B146" s="54" t="s">
        <v>7</v>
      </c>
      <c r="C146" s="55" t="str">
        <f t="shared" si="29"/>
        <v>8470340</v>
      </c>
      <c r="D146" s="56" t="str">
        <f t="shared" si="30"/>
        <v>KUST - Mechanical Engineering</v>
      </c>
      <c r="E146" s="3" t="s">
        <v>53</v>
      </c>
      <c r="F146" s="3" t="s">
        <v>54</v>
      </c>
      <c r="G146" s="3" t="s">
        <v>220</v>
      </c>
      <c r="H146" s="4">
        <v>1034549</v>
      </c>
      <c r="I146" s="4">
        <v>1034549</v>
      </c>
      <c r="J146" s="4">
        <v>846687.18</v>
      </c>
      <c r="K146" s="16"/>
      <c r="L146" s="17"/>
      <c r="M146" s="4">
        <v>187861.82</v>
      </c>
      <c r="O146" s="79" t="s">
        <v>1386</v>
      </c>
    </row>
    <row r="147" spans="1:15" ht="14.5" customHeight="1" x14ac:dyDescent="0.35">
      <c r="A147" s="63"/>
      <c r="B147" s="54" t="s">
        <v>7</v>
      </c>
      <c r="C147" s="55" t="s">
        <v>221</v>
      </c>
      <c r="D147" s="56" t="s">
        <v>222</v>
      </c>
      <c r="E147" s="3" t="s">
        <v>21</v>
      </c>
      <c r="F147" s="3" t="s">
        <v>22</v>
      </c>
      <c r="G147" s="3" t="s">
        <v>223</v>
      </c>
      <c r="H147" s="4">
        <v>2187725</v>
      </c>
      <c r="I147" s="4">
        <v>2187725</v>
      </c>
      <c r="J147" s="4">
        <v>2163875.6</v>
      </c>
      <c r="K147" s="16"/>
      <c r="L147" s="17"/>
      <c r="M147" s="4">
        <v>23849.3999999999</v>
      </c>
      <c r="O147" s="79" t="s">
        <v>1386</v>
      </c>
    </row>
    <row r="148" spans="1:15" ht="21" x14ac:dyDescent="0.35">
      <c r="A148" s="63"/>
      <c r="B148" s="54" t="s">
        <v>7</v>
      </c>
      <c r="C148" s="55" t="str">
        <f t="shared" ref="C148:C155" si="31">C147</f>
        <v>8470345</v>
      </c>
      <c r="D148" s="56" t="str">
        <f t="shared" ref="D148:D155" si="32">D147</f>
        <v>KUST - Nuclear Engineering</v>
      </c>
      <c r="E148" s="3" t="s">
        <v>27</v>
      </c>
      <c r="F148" s="3" t="s">
        <v>28</v>
      </c>
      <c r="G148" s="3" t="s">
        <v>224</v>
      </c>
      <c r="H148" s="4">
        <v>1946743</v>
      </c>
      <c r="I148" s="4">
        <v>1926743</v>
      </c>
      <c r="J148" s="4">
        <v>1751477.51</v>
      </c>
      <c r="K148" s="16"/>
      <c r="L148" s="17"/>
      <c r="M148" s="4">
        <v>175265.49</v>
      </c>
      <c r="O148" s="79" t="s">
        <v>1386</v>
      </c>
    </row>
    <row r="149" spans="1:15" ht="21" x14ac:dyDescent="0.35">
      <c r="A149" s="63"/>
      <c r="B149" s="54" t="s">
        <v>7</v>
      </c>
      <c r="C149" s="55" t="str">
        <f t="shared" si="31"/>
        <v>8470345</v>
      </c>
      <c r="D149" s="56" t="str">
        <f t="shared" si="32"/>
        <v>KUST - Nuclear Engineering</v>
      </c>
      <c r="E149" s="3" t="s">
        <v>60</v>
      </c>
      <c r="F149" s="3" t="s">
        <v>61</v>
      </c>
      <c r="G149" s="3" t="s">
        <v>225</v>
      </c>
      <c r="H149" s="4">
        <v>117265</v>
      </c>
      <c r="I149" s="4">
        <v>217265</v>
      </c>
      <c r="J149" s="4">
        <v>182312.63</v>
      </c>
      <c r="K149" s="16"/>
      <c r="L149" s="17"/>
      <c r="M149" s="4">
        <v>34952.370000000003</v>
      </c>
      <c r="O149" s="79" t="s">
        <v>1386</v>
      </c>
    </row>
    <row r="150" spans="1:15" ht="21" x14ac:dyDescent="0.35">
      <c r="A150" s="63"/>
      <c r="B150" s="54" t="s">
        <v>7</v>
      </c>
      <c r="C150" s="55" t="str">
        <f t="shared" si="31"/>
        <v>8470345</v>
      </c>
      <c r="D150" s="56" t="str">
        <f t="shared" si="32"/>
        <v>KUST - Nuclear Engineering</v>
      </c>
      <c r="E150" s="3" t="s">
        <v>36</v>
      </c>
      <c r="F150" s="3" t="s">
        <v>37</v>
      </c>
      <c r="G150" s="3" t="s">
        <v>226</v>
      </c>
      <c r="H150" s="4">
        <v>72000</v>
      </c>
      <c r="I150" s="4">
        <v>72000</v>
      </c>
      <c r="J150" s="4">
        <v>66680</v>
      </c>
      <c r="K150" s="16"/>
      <c r="L150" s="17"/>
      <c r="M150" s="4">
        <v>5320</v>
      </c>
      <c r="O150" s="79" t="s">
        <v>1386</v>
      </c>
    </row>
    <row r="151" spans="1:15" ht="21" x14ac:dyDescent="0.35">
      <c r="A151" s="63"/>
      <c r="B151" s="54" t="s">
        <v>7</v>
      </c>
      <c r="C151" s="55" t="str">
        <f t="shared" si="31"/>
        <v>8470345</v>
      </c>
      <c r="D151" s="56" t="str">
        <f t="shared" si="32"/>
        <v>KUST - Nuclear Engineering</v>
      </c>
      <c r="E151" s="3" t="s">
        <v>42</v>
      </c>
      <c r="F151" s="3" t="s">
        <v>43</v>
      </c>
      <c r="G151" s="3" t="s">
        <v>227</v>
      </c>
      <c r="H151" s="4">
        <v>296800</v>
      </c>
      <c r="I151" s="4">
        <v>260800</v>
      </c>
      <c r="J151" s="4">
        <v>260609</v>
      </c>
      <c r="K151" s="16"/>
      <c r="L151" s="17"/>
      <c r="M151" s="4">
        <v>191</v>
      </c>
      <c r="O151" s="79" t="s">
        <v>1386</v>
      </c>
    </row>
    <row r="152" spans="1:15" ht="21" x14ac:dyDescent="0.35">
      <c r="A152" s="63"/>
      <c r="B152" s="54" t="s">
        <v>7</v>
      </c>
      <c r="C152" s="55" t="str">
        <f t="shared" si="31"/>
        <v>8470345</v>
      </c>
      <c r="D152" s="56" t="str">
        <f t="shared" si="32"/>
        <v>KUST - Nuclear Engineering</v>
      </c>
      <c r="E152" s="3" t="s">
        <v>45</v>
      </c>
      <c r="F152" s="3" t="s">
        <v>46</v>
      </c>
      <c r="G152" s="3" t="s">
        <v>228</v>
      </c>
      <c r="H152" s="4">
        <v>60259</v>
      </c>
      <c r="I152" s="4">
        <v>60259</v>
      </c>
      <c r="J152" s="4">
        <v>55900</v>
      </c>
      <c r="K152" s="16"/>
      <c r="L152" s="17"/>
      <c r="M152" s="4">
        <v>4359</v>
      </c>
      <c r="O152" s="79" t="s">
        <v>1386</v>
      </c>
    </row>
    <row r="153" spans="1:15" ht="21" x14ac:dyDescent="0.35">
      <c r="A153" s="63"/>
      <c r="B153" s="54" t="s">
        <v>7</v>
      </c>
      <c r="C153" s="55" t="str">
        <f t="shared" si="31"/>
        <v>8470345</v>
      </c>
      <c r="D153" s="56" t="str">
        <f t="shared" si="32"/>
        <v>KUST - Nuclear Engineering</v>
      </c>
      <c r="E153" s="3" t="s">
        <v>50</v>
      </c>
      <c r="F153" s="3" t="s">
        <v>51</v>
      </c>
      <c r="G153" s="3" t="s">
        <v>229</v>
      </c>
      <c r="H153" s="4">
        <v>238647</v>
      </c>
      <c r="I153" s="4">
        <v>238647</v>
      </c>
      <c r="J153" s="4">
        <v>221323.8</v>
      </c>
      <c r="K153" s="16"/>
      <c r="L153" s="17"/>
      <c r="M153" s="4">
        <v>17323.2</v>
      </c>
      <c r="O153" s="79" t="s">
        <v>1386</v>
      </c>
    </row>
    <row r="154" spans="1:15" ht="21" x14ac:dyDescent="0.35">
      <c r="A154" s="63"/>
      <c r="B154" s="54" t="s">
        <v>7</v>
      </c>
      <c r="C154" s="55" t="str">
        <f t="shared" si="31"/>
        <v>8470345</v>
      </c>
      <c r="D154" s="56" t="str">
        <f t="shared" si="32"/>
        <v>KUST - Nuclear Engineering</v>
      </c>
      <c r="E154" s="3" t="s">
        <v>66</v>
      </c>
      <c r="F154" s="3" t="s">
        <v>67</v>
      </c>
      <c r="G154" s="3" t="s">
        <v>230</v>
      </c>
      <c r="H154" s="4">
        <v>0</v>
      </c>
      <c r="I154" s="4">
        <v>45000</v>
      </c>
      <c r="J154" s="4">
        <v>44650</v>
      </c>
      <c r="K154" s="16"/>
      <c r="L154" s="17"/>
      <c r="M154" s="4">
        <v>350</v>
      </c>
      <c r="O154" s="79" t="s">
        <v>1386</v>
      </c>
    </row>
    <row r="155" spans="1:15" ht="21" x14ac:dyDescent="0.35">
      <c r="A155" s="63"/>
      <c r="B155" s="54" t="s">
        <v>7</v>
      </c>
      <c r="C155" s="55" t="str">
        <f t="shared" si="31"/>
        <v>8470345</v>
      </c>
      <c r="D155" s="56" t="str">
        <f t="shared" si="32"/>
        <v>KUST - Nuclear Engineering</v>
      </c>
      <c r="E155" s="3" t="s">
        <v>53</v>
      </c>
      <c r="F155" s="3" t="s">
        <v>54</v>
      </c>
      <c r="G155" s="3" t="s">
        <v>231</v>
      </c>
      <c r="H155" s="4">
        <v>105135</v>
      </c>
      <c r="I155" s="4">
        <v>105135</v>
      </c>
      <c r="J155" s="4">
        <v>99594</v>
      </c>
      <c r="K155" s="16"/>
      <c r="L155" s="17"/>
      <c r="M155" s="4">
        <v>5541</v>
      </c>
      <c r="O155" s="79" t="s">
        <v>1386</v>
      </c>
    </row>
    <row r="156" spans="1:15" ht="14.5" customHeight="1" x14ac:dyDescent="0.35">
      <c r="A156" s="63"/>
      <c r="B156" s="54" t="s">
        <v>7</v>
      </c>
      <c r="C156" s="55" t="s">
        <v>232</v>
      </c>
      <c r="D156" s="56" t="s">
        <v>233</v>
      </c>
      <c r="E156" s="3" t="s">
        <v>21</v>
      </c>
      <c r="F156" s="3" t="s">
        <v>22</v>
      </c>
      <c r="G156" s="3" t="s">
        <v>234</v>
      </c>
      <c r="H156" s="4">
        <v>4381404</v>
      </c>
      <c r="I156" s="4">
        <v>4381404</v>
      </c>
      <c r="J156" s="4">
        <v>4031009.9</v>
      </c>
      <c r="K156" s="16"/>
      <c r="L156" s="17"/>
      <c r="M156" s="4">
        <v>350394.1</v>
      </c>
      <c r="O156" s="79" t="s">
        <v>1386</v>
      </c>
    </row>
    <row r="157" spans="1:15" ht="21" x14ac:dyDescent="0.35">
      <c r="A157" s="63"/>
      <c r="B157" s="54" t="s">
        <v>7</v>
      </c>
      <c r="C157" s="55" t="str">
        <f t="shared" ref="C157:C164" si="33">C156</f>
        <v>8470350</v>
      </c>
      <c r="D157" s="56" t="str">
        <f t="shared" ref="D157:D164" si="34">D156</f>
        <v>KUST - Petroleum Engineering</v>
      </c>
      <c r="E157" s="3" t="s">
        <v>27</v>
      </c>
      <c r="F157" s="3" t="s">
        <v>28</v>
      </c>
      <c r="G157" s="3" t="s">
        <v>235</v>
      </c>
      <c r="H157" s="4">
        <v>3719341</v>
      </c>
      <c r="I157" s="4">
        <v>3719341</v>
      </c>
      <c r="J157" s="4">
        <v>3420175.57</v>
      </c>
      <c r="K157" s="16"/>
      <c r="L157" s="17"/>
      <c r="M157" s="4">
        <v>299165.429999999</v>
      </c>
      <c r="O157" s="79" t="s">
        <v>1386</v>
      </c>
    </row>
    <row r="158" spans="1:15" ht="21" x14ac:dyDescent="0.35">
      <c r="A158" s="63"/>
      <c r="B158" s="54" t="s">
        <v>7</v>
      </c>
      <c r="C158" s="55" t="str">
        <f t="shared" si="33"/>
        <v>8470350</v>
      </c>
      <c r="D158" s="56" t="str">
        <f t="shared" si="34"/>
        <v>KUST - Petroleum Engineering</v>
      </c>
      <c r="E158" s="3" t="s">
        <v>60</v>
      </c>
      <c r="F158" s="3" t="s">
        <v>61</v>
      </c>
      <c r="G158" s="3" t="s">
        <v>236</v>
      </c>
      <c r="H158" s="4">
        <v>60259</v>
      </c>
      <c r="I158" s="4">
        <v>60259</v>
      </c>
      <c r="J158" s="4">
        <v>55000</v>
      </c>
      <c r="K158" s="16"/>
      <c r="L158" s="17"/>
      <c r="M158" s="4">
        <v>5259</v>
      </c>
      <c r="O158" s="79" t="s">
        <v>1386</v>
      </c>
    </row>
    <row r="159" spans="1:15" ht="21" x14ac:dyDescent="0.35">
      <c r="A159" s="63"/>
      <c r="B159" s="54" t="s">
        <v>7</v>
      </c>
      <c r="C159" s="55" t="str">
        <f t="shared" si="33"/>
        <v>8470350</v>
      </c>
      <c r="D159" s="56" t="str">
        <f t="shared" si="34"/>
        <v>KUST - Petroleum Engineering</v>
      </c>
      <c r="E159" s="3" t="s">
        <v>36</v>
      </c>
      <c r="F159" s="3" t="s">
        <v>37</v>
      </c>
      <c r="G159" s="3" t="s">
        <v>237</v>
      </c>
      <c r="H159" s="4">
        <v>79200</v>
      </c>
      <c r="I159" s="4">
        <v>79200</v>
      </c>
      <c r="J159" s="4">
        <v>72600</v>
      </c>
      <c r="K159" s="16"/>
      <c r="L159" s="17"/>
      <c r="M159" s="4">
        <v>6600</v>
      </c>
      <c r="O159" s="79" t="s">
        <v>1386</v>
      </c>
    </row>
    <row r="160" spans="1:15" ht="21" x14ac:dyDescent="0.35">
      <c r="A160" s="63"/>
      <c r="B160" s="54" t="s">
        <v>7</v>
      </c>
      <c r="C160" s="55" t="str">
        <f t="shared" si="33"/>
        <v>8470350</v>
      </c>
      <c r="D160" s="56" t="str">
        <f t="shared" si="34"/>
        <v>KUST - Petroleum Engineering</v>
      </c>
      <c r="E160" s="3" t="s">
        <v>42</v>
      </c>
      <c r="F160" s="3" t="s">
        <v>43</v>
      </c>
      <c r="G160" s="3" t="s">
        <v>238</v>
      </c>
      <c r="H160" s="4">
        <v>213325</v>
      </c>
      <c r="I160" s="4">
        <v>281632</v>
      </c>
      <c r="J160" s="4">
        <v>278122</v>
      </c>
      <c r="K160" s="16"/>
      <c r="L160" s="17"/>
      <c r="M160" s="4">
        <v>3510</v>
      </c>
      <c r="O160" s="79" t="s">
        <v>1386</v>
      </c>
    </row>
    <row r="161" spans="1:15" ht="21" x14ac:dyDescent="0.35">
      <c r="A161" s="63"/>
      <c r="B161" s="54" t="s">
        <v>7</v>
      </c>
      <c r="C161" s="55" t="str">
        <f t="shared" si="33"/>
        <v>8470350</v>
      </c>
      <c r="D161" s="56" t="str">
        <f t="shared" si="34"/>
        <v>KUST - Petroleum Engineering</v>
      </c>
      <c r="E161" s="3" t="s">
        <v>45</v>
      </c>
      <c r="F161" s="3" t="s">
        <v>46</v>
      </c>
      <c r="G161" s="3" t="s">
        <v>239</v>
      </c>
      <c r="H161" s="4">
        <v>127324</v>
      </c>
      <c r="I161" s="4">
        <v>127324</v>
      </c>
      <c r="J161" s="4">
        <v>116008.57</v>
      </c>
      <c r="K161" s="16"/>
      <c r="L161" s="17"/>
      <c r="M161" s="4">
        <v>11315.43</v>
      </c>
      <c r="O161" s="79" t="s">
        <v>1386</v>
      </c>
    </row>
    <row r="162" spans="1:15" ht="21" x14ac:dyDescent="0.35">
      <c r="A162" s="63"/>
      <c r="B162" s="54" t="s">
        <v>7</v>
      </c>
      <c r="C162" s="55" t="str">
        <f t="shared" si="33"/>
        <v>8470350</v>
      </c>
      <c r="D162" s="56" t="str">
        <f t="shared" si="34"/>
        <v>KUST - Petroleum Engineering</v>
      </c>
      <c r="E162" s="3" t="s">
        <v>50</v>
      </c>
      <c r="F162" s="3" t="s">
        <v>51</v>
      </c>
      <c r="G162" s="3" t="s">
        <v>240</v>
      </c>
      <c r="H162" s="4">
        <v>508610</v>
      </c>
      <c r="I162" s="4">
        <v>508610</v>
      </c>
      <c r="J162" s="4">
        <v>453919.13</v>
      </c>
      <c r="K162" s="16"/>
      <c r="L162" s="17"/>
      <c r="M162" s="4">
        <v>54690.869999999901</v>
      </c>
      <c r="O162" s="79" t="s">
        <v>1386</v>
      </c>
    </row>
    <row r="163" spans="1:15" ht="21" x14ac:dyDescent="0.35">
      <c r="A163" s="63"/>
      <c r="B163" s="54" t="s">
        <v>7</v>
      </c>
      <c r="C163" s="55" t="str">
        <f t="shared" si="33"/>
        <v>8470350</v>
      </c>
      <c r="D163" s="56" t="str">
        <f t="shared" si="34"/>
        <v>KUST - Petroleum Engineering</v>
      </c>
      <c r="E163" s="3" t="s">
        <v>66</v>
      </c>
      <c r="F163" s="3" t="s">
        <v>67</v>
      </c>
      <c r="G163" s="3" t="s">
        <v>241</v>
      </c>
      <c r="H163" s="4">
        <v>154359</v>
      </c>
      <c r="I163" s="4">
        <v>154359</v>
      </c>
      <c r="J163" s="4">
        <v>75350</v>
      </c>
      <c r="K163" s="16"/>
      <c r="L163" s="17"/>
      <c r="M163" s="4">
        <v>79009</v>
      </c>
      <c r="O163" s="79" t="s">
        <v>1386</v>
      </c>
    </row>
    <row r="164" spans="1:15" ht="21" x14ac:dyDescent="0.35">
      <c r="A164" s="63"/>
      <c r="B164" s="54" t="s">
        <v>7</v>
      </c>
      <c r="C164" s="55" t="str">
        <f t="shared" si="33"/>
        <v>8470350</v>
      </c>
      <c r="D164" s="56" t="str">
        <f t="shared" si="34"/>
        <v>KUST - Petroleum Engineering</v>
      </c>
      <c r="E164" s="3" t="s">
        <v>53</v>
      </c>
      <c r="F164" s="3" t="s">
        <v>54</v>
      </c>
      <c r="G164" s="3" t="s">
        <v>242</v>
      </c>
      <c r="H164" s="4">
        <v>243460</v>
      </c>
      <c r="I164" s="4">
        <v>243460</v>
      </c>
      <c r="J164" s="4">
        <v>184025.18</v>
      </c>
      <c r="K164" s="16"/>
      <c r="L164" s="17"/>
      <c r="M164" s="4">
        <v>59434.82</v>
      </c>
      <c r="O164" s="79" t="s">
        <v>1386</v>
      </c>
    </row>
    <row r="165" spans="1:15" ht="14.5" customHeight="1" x14ac:dyDescent="0.35">
      <c r="A165" s="63"/>
      <c r="B165" s="54" t="s">
        <v>7</v>
      </c>
      <c r="C165" s="55" t="s">
        <v>243</v>
      </c>
      <c r="D165" s="56" t="s">
        <v>244</v>
      </c>
      <c r="E165" s="3" t="s">
        <v>21</v>
      </c>
      <c r="F165" s="3" t="s">
        <v>22</v>
      </c>
      <c r="G165" s="3" t="s">
        <v>245</v>
      </c>
      <c r="H165" s="4">
        <v>711817</v>
      </c>
      <c r="I165" s="4">
        <v>711817</v>
      </c>
      <c r="J165" s="4">
        <v>511200.67</v>
      </c>
      <c r="K165" s="16"/>
      <c r="L165" s="17"/>
      <c r="M165" s="4">
        <v>200616.33</v>
      </c>
      <c r="O165" s="79" t="s">
        <v>1386</v>
      </c>
    </row>
    <row r="166" spans="1:15" ht="21" x14ac:dyDescent="0.35">
      <c r="A166" s="63"/>
      <c r="B166" s="54" t="s">
        <v>7</v>
      </c>
      <c r="C166" s="55" t="str">
        <f t="shared" ref="C166:C172" si="35">C165</f>
        <v>8470405</v>
      </c>
      <c r="D166" s="56" t="str">
        <f t="shared" ref="D166:D172" si="36">D165</f>
        <v>KUST - Dean Of Arts &amp; Science</v>
      </c>
      <c r="E166" s="3" t="s">
        <v>27</v>
      </c>
      <c r="F166" s="3" t="s">
        <v>28</v>
      </c>
      <c r="G166" s="3" t="s">
        <v>246</v>
      </c>
      <c r="H166" s="4">
        <v>860326</v>
      </c>
      <c r="I166" s="4">
        <v>860326</v>
      </c>
      <c r="J166" s="4">
        <v>623329.14</v>
      </c>
      <c r="K166" s="16"/>
      <c r="L166" s="17"/>
      <c r="M166" s="4">
        <v>236996.86</v>
      </c>
      <c r="O166" s="79" t="s">
        <v>1386</v>
      </c>
    </row>
    <row r="167" spans="1:15" ht="21" x14ac:dyDescent="0.35">
      <c r="A167" s="63"/>
      <c r="B167" s="54" t="s">
        <v>7</v>
      </c>
      <c r="C167" s="55" t="str">
        <f t="shared" si="35"/>
        <v>8470405</v>
      </c>
      <c r="D167" s="56" t="str">
        <f t="shared" si="36"/>
        <v>KUST - Dean Of Arts &amp; Science</v>
      </c>
      <c r="E167" s="3" t="s">
        <v>85</v>
      </c>
      <c r="F167" s="3" t="s">
        <v>86</v>
      </c>
      <c r="G167" s="3" t="s">
        <v>247</v>
      </c>
      <c r="H167" s="4">
        <v>0</v>
      </c>
      <c r="I167" s="4">
        <v>0</v>
      </c>
      <c r="J167" s="17"/>
      <c r="K167" s="16"/>
      <c r="L167" s="17"/>
      <c r="M167" s="4">
        <v>0</v>
      </c>
      <c r="O167" s="79" t="s">
        <v>1386</v>
      </c>
    </row>
    <row r="168" spans="1:15" ht="21" x14ac:dyDescent="0.35">
      <c r="A168" s="63"/>
      <c r="B168" s="54" t="s">
        <v>7</v>
      </c>
      <c r="C168" s="55" t="str">
        <f t="shared" si="35"/>
        <v>8470405</v>
      </c>
      <c r="D168" s="56" t="str">
        <f t="shared" si="36"/>
        <v>KUST - Dean Of Arts &amp; Science</v>
      </c>
      <c r="E168" s="3" t="s">
        <v>42</v>
      </c>
      <c r="F168" s="3" t="s">
        <v>43</v>
      </c>
      <c r="G168" s="3" t="s">
        <v>248</v>
      </c>
      <c r="H168" s="4">
        <v>91485</v>
      </c>
      <c r="I168" s="4">
        <v>50485</v>
      </c>
      <c r="J168" s="4">
        <v>39500</v>
      </c>
      <c r="K168" s="16"/>
      <c r="L168" s="17"/>
      <c r="M168" s="4">
        <v>10985</v>
      </c>
      <c r="O168" s="79" t="s">
        <v>1386</v>
      </c>
    </row>
    <row r="169" spans="1:15" ht="21" x14ac:dyDescent="0.35">
      <c r="A169" s="63"/>
      <c r="B169" s="54" t="s">
        <v>7</v>
      </c>
      <c r="C169" s="55" t="str">
        <f t="shared" si="35"/>
        <v>8470405</v>
      </c>
      <c r="D169" s="56" t="str">
        <f t="shared" si="36"/>
        <v>KUST - Dean Of Arts &amp; Science</v>
      </c>
      <c r="E169" s="3" t="s">
        <v>45</v>
      </c>
      <c r="F169" s="3" t="s">
        <v>46</v>
      </c>
      <c r="G169" s="3" t="s">
        <v>249</v>
      </c>
      <c r="H169" s="4">
        <v>36784</v>
      </c>
      <c r="I169" s="4">
        <v>36784</v>
      </c>
      <c r="J169" s="4">
        <v>25313.83</v>
      </c>
      <c r="K169" s="16"/>
      <c r="L169" s="17"/>
      <c r="M169" s="4">
        <v>11470.17</v>
      </c>
      <c r="O169" s="79" t="s">
        <v>1386</v>
      </c>
    </row>
    <row r="170" spans="1:15" ht="21" x14ac:dyDescent="0.35">
      <c r="A170" s="63"/>
      <c r="B170" s="54" t="s">
        <v>7</v>
      </c>
      <c r="C170" s="55" t="str">
        <f t="shared" si="35"/>
        <v>8470405</v>
      </c>
      <c r="D170" s="56" t="str">
        <f t="shared" si="36"/>
        <v>KUST - Dean Of Arts &amp; Science</v>
      </c>
      <c r="E170" s="3" t="s">
        <v>50</v>
      </c>
      <c r="F170" s="3" t="s">
        <v>51</v>
      </c>
      <c r="G170" s="3" t="s">
        <v>250</v>
      </c>
      <c r="H170" s="4">
        <v>127842</v>
      </c>
      <c r="I170" s="4">
        <v>127842</v>
      </c>
      <c r="J170" s="4">
        <v>114874.42</v>
      </c>
      <c r="K170" s="16"/>
      <c r="L170" s="17"/>
      <c r="M170" s="4">
        <v>12967.58</v>
      </c>
      <c r="O170" s="79" t="s">
        <v>1386</v>
      </c>
    </row>
    <row r="171" spans="1:15" ht="21" x14ac:dyDescent="0.35">
      <c r="A171" s="63"/>
      <c r="B171" s="54" t="s">
        <v>7</v>
      </c>
      <c r="C171" s="55" t="str">
        <f t="shared" si="35"/>
        <v>8470405</v>
      </c>
      <c r="D171" s="56" t="str">
        <f t="shared" si="36"/>
        <v>KUST - Dean Of Arts &amp; Science</v>
      </c>
      <c r="E171" s="3" t="s">
        <v>66</v>
      </c>
      <c r="F171" s="3" t="s">
        <v>67</v>
      </c>
      <c r="G171" s="3" t="s">
        <v>251</v>
      </c>
      <c r="H171" s="4">
        <v>0</v>
      </c>
      <c r="I171" s="4">
        <v>10000</v>
      </c>
      <c r="J171" s="4">
        <v>9600</v>
      </c>
      <c r="K171" s="16"/>
      <c r="L171" s="17"/>
      <c r="M171" s="4">
        <v>400</v>
      </c>
      <c r="O171" s="79" t="s">
        <v>1386</v>
      </c>
    </row>
    <row r="172" spans="1:15" ht="21" x14ac:dyDescent="0.35">
      <c r="A172" s="63"/>
      <c r="B172" s="54" t="s">
        <v>7</v>
      </c>
      <c r="C172" s="55" t="str">
        <f t="shared" si="35"/>
        <v>8470405</v>
      </c>
      <c r="D172" s="56" t="str">
        <f t="shared" si="36"/>
        <v>KUST - Dean Of Arts &amp; Science</v>
      </c>
      <c r="E172" s="3" t="s">
        <v>53</v>
      </c>
      <c r="F172" s="3" t="s">
        <v>54</v>
      </c>
      <c r="G172" s="3" t="s">
        <v>252</v>
      </c>
      <c r="H172" s="4">
        <v>64284</v>
      </c>
      <c r="I172" s="4">
        <v>64284</v>
      </c>
      <c r="J172" s="4">
        <v>18143.73</v>
      </c>
      <c r="K172" s="16"/>
      <c r="L172" s="17"/>
      <c r="M172" s="4">
        <v>46140.27</v>
      </c>
      <c r="O172" s="79" t="s">
        <v>1386</v>
      </c>
    </row>
    <row r="173" spans="1:15" x14ac:dyDescent="0.35">
      <c r="A173" s="63"/>
      <c r="B173" s="54" t="s">
        <v>7</v>
      </c>
      <c r="C173" s="55" t="s">
        <v>253</v>
      </c>
      <c r="D173" s="56" t="s">
        <v>254</v>
      </c>
      <c r="E173" s="3" t="s">
        <v>21</v>
      </c>
      <c r="F173" s="3" t="s">
        <v>22</v>
      </c>
      <c r="G173" s="3" t="s">
        <v>255</v>
      </c>
      <c r="H173" s="4">
        <v>8501168</v>
      </c>
      <c r="I173" s="4">
        <v>8141168</v>
      </c>
      <c r="J173" s="4">
        <v>7134832.8700000001</v>
      </c>
      <c r="K173" s="16"/>
      <c r="L173" s="17"/>
      <c r="M173" s="4">
        <v>1006335.13</v>
      </c>
      <c r="O173" s="79" t="s">
        <v>1386</v>
      </c>
    </row>
    <row r="174" spans="1:15" ht="21" x14ac:dyDescent="0.35">
      <c r="A174" s="63"/>
      <c r="B174" s="54" t="s">
        <v>7</v>
      </c>
      <c r="C174" s="55" t="str">
        <f t="shared" ref="C174:C180" si="37">C173</f>
        <v>8470415</v>
      </c>
      <c r="D174" s="56" t="str">
        <f t="shared" ref="D174:D180" si="38">D173</f>
        <v>KUST - Chemistry</v>
      </c>
      <c r="E174" s="3" t="s">
        <v>27</v>
      </c>
      <c r="F174" s="3" t="s">
        <v>28</v>
      </c>
      <c r="G174" s="3" t="s">
        <v>256</v>
      </c>
      <c r="H174" s="4">
        <v>6684836</v>
      </c>
      <c r="I174" s="4">
        <v>6444836</v>
      </c>
      <c r="J174" s="4">
        <v>5209557.0999999996</v>
      </c>
      <c r="K174" s="16"/>
      <c r="L174" s="17"/>
      <c r="M174" s="4">
        <v>1235278.8999999999</v>
      </c>
      <c r="O174" s="79" t="s">
        <v>1386</v>
      </c>
    </row>
    <row r="175" spans="1:15" ht="21" x14ac:dyDescent="0.35">
      <c r="A175" s="63"/>
      <c r="B175" s="54" t="s">
        <v>7</v>
      </c>
      <c r="C175" s="55" t="str">
        <f t="shared" si="37"/>
        <v>8470415</v>
      </c>
      <c r="D175" s="56" t="str">
        <f t="shared" si="38"/>
        <v>KUST - Chemistry</v>
      </c>
      <c r="E175" s="3" t="s">
        <v>60</v>
      </c>
      <c r="F175" s="3" t="s">
        <v>61</v>
      </c>
      <c r="G175" s="3" t="s">
        <v>257</v>
      </c>
      <c r="H175" s="4">
        <v>482070</v>
      </c>
      <c r="I175" s="4">
        <v>482070</v>
      </c>
      <c r="J175" s="4">
        <v>447841.97</v>
      </c>
      <c r="K175" s="16"/>
      <c r="L175" s="17"/>
      <c r="M175" s="4">
        <v>34228.03</v>
      </c>
      <c r="O175" s="79" t="s">
        <v>1386</v>
      </c>
    </row>
    <row r="176" spans="1:15" ht="21" customHeight="1" x14ac:dyDescent="0.35">
      <c r="A176" s="63"/>
      <c r="B176" s="54" t="s">
        <v>7</v>
      </c>
      <c r="C176" s="55" t="str">
        <f t="shared" si="37"/>
        <v>8470415</v>
      </c>
      <c r="D176" s="56" t="str">
        <f t="shared" si="38"/>
        <v>KUST - Chemistry</v>
      </c>
      <c r="E176" s="3" t="s">
        <v>42</v>
      </c>
      <c r="F176" s="3" t="s">
        <v>43</v>
      </c>
      <c r="G176" s="3" t="s">
        <v>258</v>
      </c>
      <c r="H176" s="4">
        <v>760467</v>
      </c>
      <c r="I176" s="4">
        <v>622467</v>
      </c>
      <c r="J176" s="4">
        <v>611297</v>
      </c>
      <c r="K176" s="16"/>
      <c r="L176" s="17"/>
      <c r="M176" s="4">
        <v>11170</v>
      </c>
      <c r="O176" s="79" t="s">
        <v>1386</v>
      </c>
    </row>
    <row r="177" spans="1:15" ht="21" customHeight="1" x14ac:dyDescent="0.35">
      <c r="A177" s="63"/>
      <c r="B177" s="54" t="s">
        <v>7</v>
      </c>
      <c r="C177" s="55" t="str">
        <f t="shared" si="37"/>
        <v>8470415</v>
      </c>
      <c r="D177" s="56" t="str">
        <f t="shared" si="38"/>
        <v>KUST - Chemistry</v>
      </c>
      <c r="E177" s="3" t="s">
        <v>45</v>
      </c>
      <c r="F177" s="3" t="s">
        <v>46</v>
      </c>
      <c r="G177" s="3" t="s">
        <v>259</v>
      </c>
      <c r="H177" s="4">
        <v>16427</v>
      </c>
      <c r="I177" s="4">
        <v>16427</v>
      </c>
      <c r="J177" s="4">
        <v>14993</v>
      </c>
      <c r="K177" s="16"/>
      <c r="L177" s="17"/>
      <c r="M177" s="4">
        <v>1434</v>
      </c>
      <c r="O177" s="79" t="s">
        <v>1386</v>
      </c>
    </row>
    <row r="178" spans="1:15" ht="21" customHeight="1" x14ac:dyDescent="0.35">
      <c r="A178" s="63"/>
      <c r="B178" s="54" t="s">
        <v>7</v>
      </c>
      <c r="C178" s="55" t="str">
        <f t="shared" si="37"/>
        <v>8470415</v>
      </c>
      <c r="D178" s="56" t="str">
        <f t="shared" si="38"/>
        <v>KUST - Chemistry</v>
      </c>
      <c r="E178" s="3" t="s">
        <v>50</v>
      </c>
      <c r="F178" s="3" t="s">
        <v>51</v>
      </c>
      <c r="G178" s="3" t="s">
        <v>260</v>
      </c>
      <c r="H178" s="4">
        <v>72441</v>
      </c>
      <c r="I178" s="4">
        <v>72441</v>
      </c>
      <c r="J178" s="4">
        <v>66118.8</v>
      </c>
      <c r="K178" s="16"/>
      <c r="L178" s="17"/>
      <c r="M178" s="4">
        <v>6322.2</v>
      </c>
      <c r="O178" s="79" t="s">
        <v>1386</v>
      </c>
    </row>
    <row r="179" spans="1:15" ht="21" customHeight="1" x14ac:dyDescent="0.35">
      <c r="A179" s="63"/>
      <c r="B179" s="54" t="s">
        <v>7</v>
      </c>
      <c r="C179" s="55" t="str">
        <f t="shared" si="37"/>
        <v>8470415</v>
      </c>
      <c r="D179" s="56" t="str">
        <f t="shared" si="38"/>
        <v>KUST - Chemistry</v>
      </c>
      <c r="E179" s="3" t="s">
        <v>66</v>
      </c>
      <c r="F179" s="3" t="s">
        <v>67</v>
      </c>
      <c r="G179" s="3" t="s">
        <v>261</v>
      </c>
      <c r="H179" s="4">
        <v>0</v>
      </c>
      <c r="I179" s="4">
        <v>453000</v>
      </c>
      <c r="J179" s="4">
        <v>452401.64</v>
      </c>
      <c r="K179" s="16"/>
      <c r="L179" s="17"/>
      <c r="M179" s="4">
        <v>598.35999999998603</v>
      </c>
      <c r="O179" s="79" t="s">
        <v>1386</v>
      </c>
    </row>
    <row r="180" spans="1:15" ht="21" customHeight="1" x14ac:dyDescent="0.35">
      <c r="A180" s="63"/>
      <c r="B180" s="54" t="s">
        <v>7</v>
      </c>
      <c r="C180" s="55" t="str">
        <f t="shared" si="37"/>
        <v>8470415</v>
      </c>
      <c r="D180" s="56" t="str">
        <f t="shared" si="38"/>
        <v>KUST - Chemistry</v>
      </c>
      <c r="E180" s="3" t="s">
        <v>53</v>
      </c>
      <c r="F180" s="3" t="s">
        <v>54</v>
      </c>
      <c r="G180" s="3" t="s">
        <v>262</v>
      </c>
      <c r="H180" s="4">
        <v>548111</v>
      </c>
      <c r="I180" s="4">
        <v>548111</v>
      </c>
      <c r="J180" s="4">
        <v>366326.17</v>
      </c>
      <c r="K180" s="16"/>
      <c r="L180" s="17"/>
      <c r="M180" s="4">
        <v>181784.83</v>
      </c>
      <c r="O180" s="79" t="s">
        <v>1386</v>
      </c>
    </row>
    <row r="181" spans="1:15" x14ac:dyDescent="0.35">
      <c r="A181" s="63"/>
      <c r="B181" s="54" t="s">
        <v>7</v>
      </c>
      <c r="C181" s="55" t="s">
        <v>263</v>
      </c>
      <c r="D181" s="56" t="s">
        <v>264</v>
      </c>
      <c r="E181" s="3" t="s">
        <v>21</v>
      </c>
      <c r="F181" s="3" t="s">
        <v>22</v>
      </c>
      <c r="G181" s="3" t="s">
        <v>265</v>
      </c>
      <c r="H181" s="4">
        <v>8133381</v>
      </c>
      <c r="I181" s="4">
        <v>8133381</v>
      </c>
      <c r="J181" s="4">
        <v>7348476.9699999997</v>
      </c>
      <c r="K181" s="16"/>
      <c r="L181" s="17"/>
      <c r="M181" s="4">
        <v>784904.02999999898</v>
      </c>
      <c r="O181" s="79" t="s">
        <v>1386</v>
      </c>
    </row>
    <row r="182" spans="1:15" ht="21" x14ac:dyDescent="0.35">
      <c r="A182" s="63"/>
      <c r="B182" s="54" t="s">
        <v>7</v>
      </c>
      <c r="C182" s="55" t="str">
        <f t="shared" ref="C182:C189" si="39">C181</f>
        <v>8470425</v>
      </c>
      <c r="D182" s="56" t="str">
        <f t="shared" ref="D182:D189" si="40">D181</f>
        <v>KUST - Physics</v>
      </c>
      <c r="E182" s="3" t="s">
        <v>27</v>
      </c>
      <c r="F182" s="3" t="s">
        <v>28</v>
      </c>
      <c r="G182" s="3" t="s">
        <v>266</v>
      </c>
      <c r="H182" s="4">
        <v>6042368</v>
      </c>
      <c r="I182" s="4">
        <v>6042368</v>
      </c>
      <c r="J182" s="4">
        <v>5570553.3099999996</v>
      </c>
      <c r="K182" s="16"/>
      <c r="L182" s="17"/>
      <c r="M182" s="4">
        <v>471814.68999999901</v>
      </c>
      <c r="O182" s="79" t="s">
        <v>1386</v>
      </c>
    </row>
    <row r="183" spans="1:15" ht="21" x14ac:dyDescent="0.35">
      <c r="A183" s="63"/>
      <c r="B183" s="54" t="s">
        <v>7</v>
      </c>
      <c r="C183" s="55" t="str">
        <f t="shared" si="39"/>
        <v>8470425</v>
      </c>
      <c r="D183" s="56" t="str">
        <f t="shared" si="40"/>
        <v>KUST - Physics</v>
      </c>
      <c r="E183" s="3" t="s">
        <v>60</v>
      </c>
      <c r="F183" s="3" t="s">
        <v>61</v>
      </c>
      <c r="G183" s="3" t="s">
        <v>267</v>
      </c>
      <c r="H183" s="4">
        <v>171879</v>
      </c>
      <c r="I183" s="4">
        <v>171879</v>
      </c>
      <c r="J183" s="4">
        <v>150628.21</v>
      </c>
      <c r="K183" s="16"/>
      <c r="L183" s="17"/>
      <c r="M183" s="4">
        <v>21250.79</v>
      </c>
      <c r="O183" s="79" t="s">
        <v>1386</v>
      </c>
    </row>
    <row r="184" spans="1:15" ht="21" customHeight="1" x14ac:dyDescent="0.35">
      <c r="A184" s="63"/>
      <c r="B184" s="54" t="s">
        <v>7</v>
      </c>
      <c r="C184" s="55" t="str">
        <f t="shared" si="39"/>
        <v>8470425</v>
      </c>
      <c r="D184" s="56" t="str">
        <f t="shared" si="40"/>
        <v>KUST - Physics</v>
      </c>
      <c r="E184" s="3" t="s">
        <v>42</v>
      </c>
      <c r="F184" s="3" t="s">
        <v>43</v>
      </c>
      <c r="G184" s="3" t="s">
        <v>268</v>
      </c>
      <c r="H184" s="4">
        <v>1068243</v>
      </c>
      <c r="I184" s="4">
        <v>1096793</v>
      </c>
      <c r="J184" s="4">
        <v>1096098.82</v>
      </c>
      <c r="K184" s="16"/>
      <c r="L184" s="17"/>
      <c r="M184" s="4">
        <v>694.17999999993503</v>
      </c>
      <c r="O184" s="79" t="s">
        <v>1386</v>
      </c>
    </row>
    <row r="185" spans="1:15" ht="21" customHeight="1" x14ac:dyDescent="0.35">
      <c r="A185" s="63"/>
      <c r="B185" s="54" t="s">
        <v>7</v>
      </c>
      <c r="C185" s="55" t="str">
        <f t="shared" si="39"/>
        <v>8470425</v>
      </c>
      <c r="D185" s="56" t="str">
        <f t="shared" si="40"/>
        <v>KUST - Physics</v>
      </c>
      <c r="E185" s="3" t="s">
        <v>45</v>
      </c>
      <c r="F185" s="3" t="s">
        <v>46</v>
      </c>
      <c r="G185" s="3" t="s">
        <v>269</v>
      </c>
      <c r="H185" s="4">
        <v>30898</v>
      </c>
      <c r="I185" s="4">
        <v>30898</v>
      </c>
      <c r="J185" s="4">
        <v>27677.77</v>
      </c>
      <c r="K185" s="16"/>
      <c r="L185" s="17"/>
      <c r="M185" s="4">
        <v>3220.23</v>
      </c>
      <c r="O185" s="79" t="s">
        <v>1386</v>
      </c>
    </row>
    <row r="186" spans="1:15" ht="21" x14ac:dyDescent="0.35">
      <c r="A186" s="63"/>
      <c r="B186" s="54" t="s">
        <v>7</v>
      </c>
      <c r="C186" s="55" t="str">
        <f t="shared" si="39"/>
        <v>8470425</v>
      </c>
      <c r="D186" s="56" t="str">
        <f t="shared" si="40"/>
        <v>KUST - Physics</v>
      </c>
      <c r="E186" s="3" t="s">
        <v>75</v>
      </c>
      <c r="F186" s="3" t="s">
        <v>76</v>
      </c>
      <c r="G186" s="3" t="s">
        <v>270</v>
      </c>
      <c r="H186" s="4">
        <v>47096</v>
      </c>
      <c r="I186" s="4">
        <v>47096</v>
      </c>
      <c r="J186" s="17"/>
      <c r="K186" s="16"/>
      <c r="L186" s="17"/>
      <c r="M186" s="4">
        <v>47096</v>
      </c>
      <c r="O186" s="79" t="s">
        <v>1386</v>
      </c>
    </row>
    <row r="187" spans="1:15" ht="21" customHeight="1" x14ac:dyDescent="0.35">
      <c r="A187" s="63"/>
      <c r="B187" s="54" t="s">
        <v>7</v>
      </c>
      <c r="C187" s="55" t="str">
        <f t="shared" si="39"/>
        <v>8470425</v>
      </c>
      <c r="D187" s="56" t="str">
        <f t="shared" si="40"/>
        <v>KUST - Physics</v>
      </c>
      <c r="E187" s="3" t="s">
        <v>50</v>
      </c>
      <c r="F187" s="3" t="s">
        <v>51</v>
      </c>
      <c r="G187" s="3" t="s">
        <v>271</v>
      </c>
      <c r="H187" s="4">
        <v>134609</v>
      </c>
      <c r="I187" s="4">
        <v>134609</v>
      </c>
      <c r="J187" s="4">
        <v>115626.01</v>
      </c>
      <c r="K187" s="16"/>
      <c r="L187" s="17"/>
      <c r="M187" s="4">
        <v>18982.990000000002</v>
      </c>
      <c r="O187" s="79" t="s">
        <v>1386</v>
      </c>
    </row>
    <row r="188" spans="1:15" ht="21" customHeight="1" x14ac:dyDescent="0.35">
      <c r="A188" s="63"/>
      <c r="B188" s="54" t="s">
        <v>7</v>
      </c>
      <c r="C188" s="55" t="str">
        <f t="shared" si="39"/>
        <v>8470425</v>
      </c>
      <c r="D188" s="56" t="str">
        <f t="shared" si="40"/>
        <v>KUST - Physics</v>
      </c>
      <c r="E188" s="3" t="s">
        <v>66</v>
      </c>
      <c r="F188" s="3" t="s">
        <v>67</v>
      </c>
      <c r="G188" s="3" t="s">
        <v>272</v>
      </c>
      <c r="H188" s="4">
        <v>0</v>
      </c>
      <c r="I188" s="4">
        <v>307000</v>
      </c>
      <c r="J188" s="4">
        <v>306581.90999999997</v>
      </c>
      <c r="K188" s="16"/>
      <c r="L188" s="17"/>
      <c r="M188" s="4">
        <v>418.08999999996701</v>
      </c>
      <c r="O188" s="79" t="s">
        <v>1386</v>
      </c>
    </row>
    <row r="189" spans="1:15" ht="21" customHeight="1" x14ac:dyDescent="0.35">
      <c r="A189" s="63"/>
      <c r="B189" s="54" t="s">
        <v>7</v>
      </c>
      <c r="C189" s="55" t="str">
        <f t="shared" si="39"/>
        <v>8470425</v>
      </c>
      <c r="D189" s="56" t="str">
        <f t="shared" si="40"/>
        <v>KUST - Physics</v>
      </c>
      <c r="E189" s="3" t="s">
        <v>53</v>
      </c>
      <c r="F189" s="3" t="s">
        <v>54</v>
      </c>
      <c r="G189" s="3" t="s">
        <v>273</v>
      </c>
      <c r="H189" s="4">
        <v>545213</v>
      </c>
      <c r="I189" s="4">
        <v>525213</v>
      </c>
      <c r="J189" s="4">
        <v>356352.85</v>
      </c>
      <c r="K189" s="16"/>
      <c r="L189" s="17"/>
      <c r="M189" s="4">
        <v>168860.15</v>
      </c>
      <c r="O189" s="79" t="s">
        <v>1386</v>
      </c>
    </row>
    <row r="190" spans="1:15" ht="14.5" customHeight="1" x14ac:dyDescent="0.35">
      <c r="A190" s="63"/>
      <c r="B190" s="54" t="s">
        <v>7</v>
      </c>
      <c r="C190" s="55" t="s">
        <v>274</v>
      </c>
      <c r="D190" s="56" t="s">
        <v>275</v>
      </c>
      <c r="E190" s="3" t="s">
        <v>21</v>
      </c>
      <c r="F190" s="3" t="s">
        <v>22</v>
      </c>
      <c r="G190" s="3" t="s">
        <v>276</v>
      </c>
      <c r="H190" s="4">
        <v>4835601</v>
      </c>
      <c r="I190" s="4">
        <v>4835601</v>
      </c>
      <c r="J190" s="4">
        <v>4315956.5</v>
      </c>
      <c r="K190" s="16"/>
      <c r="L190" s="17"/>
      <c r="M190" s="4">
        <v>519644.5</v>
      </c>
      <c r="O190" s="79" t="s">
        <v>1386</v>
      </c>
    </row>
    <row r="191" spans="1:15" ht="21" x14ac:dyDescent="0.35">
      <c r="A191" s="63"/>
      <c r="B191" s="54" t="s">
        <v>7</v>
      </c>
      <c r="C191" s="55" t="str">
        <f t="shared" ref="C191:C196" si="41">C190</f>
        <v>8470430</v>
      </c>
      <c r="D191" s="56" t="str">
        <f t="shared" ref="D191:D196" si="42">D190</f>
        <v>KUST - Preparatory Program</v>
      </c>
      <c r="E191" s="3" t="s">
        <v>27</v>
      </c>
      <c r="F191" s="3" t="s">
        <v>28</v>
      </c>
      <c r="G191" s="3" t="s">
        <v>277</v>
      </c>
      <c r="H191" s="4">
        <v>4951046</v>
      </c>
      <c r="I191" s="4">
        <v>4951046</v>
      </c>
      <c r="J191" s="4">
        <v>4474949.9800000004</v>
      </c>
      <c r="K191" s="16"/>
      <c r="L191" s="17"/>
      <c r="M191" s="4">
        <v>476096.02</v>
      </c>
      <c r="O191" s="79" t="s">
        <v>1386</v>
      </c>
    </row>
    <row r="192" spans="1:15" ht="21" x14ac:dyDescent="0.35">
      <c r="A192" s="63"/>
      <c r="B192" s="54" t="s">
        <v>7</v>
      </c>
      <c r="C192" s="55" t="str">
        <f t="shared" si="41"/>
        <v>8470430</v>
      </c>
      <c r="D192" s="56" t="str">
        <f t="shared" si="42"/>
        <v>KUST - Preparatory Program</v>
      </c>
      <c r="E192" s="3" t="s">
        <v>60</v>
      </c>
      <c r="F192" s="3" t="s">
        <v>61</v>
      </c>
      <c r="G192" s="3" t="s">
        <v>278</v>
      </c>
      <c r="H192" s="4">
        <v>24734</v>
      </c>
      <c r="I192" s="4">
        <v>24734</v>
      </c>
      <c r="J192" s="4">
        <v>19117.490000000002</v>
      </c>
      <c r="K192" s="16"/>
      <c r="L192" s="17"/>
      <c r="M192" s="4">
        <v>5616.51</v>
      </c>
      <c r="O192" s="79" t="s">
        <v>1386</v>
      </c>
    </row>
    <row r="193" spans="1:15" ht="21" x14ac:dyDescent="0.35">
      <c r="A193" s="63"/>
      <c r="B193" s="54" t="s">
        <v>7</v>
      </c>
      <c r="C193" s="55" t="str">
        <f t="shared" si="41"/>
        <v>8470430</v>
      </c>
      <c r="D193" s="56" t="str">
        <f t="shared" si="42"/>
        <v>KUST - Preparatory Program</v>
      </c>
      <c r="E193" s="3" t="s">
        <v>42</v>
      </c>
      <c r="F193" s="3" t="s">
        <v>43</v>
      </c>
      <c r="G193" s="3" t="s">
        <v>279</v>
      </c>
      <c r="H193" s="4">
        <v>640107</v>
      </c>
      <c r="I193" s="4">
        <v>721107</v>
      </c>
      <c r="J193" s="4">
        <v>720206.8</v>
      </c>
      <c r="K193" s="16"/>
      <c r="L193" s="17"/>
      <c r="M193" s="4">
        <v>900.19999999995298</v>
      </c>
      <c r="O193" s="79" t="s">
        <v>1386</v>
      </c>
    </row>
    <row r="194" spans="1:15" ht="21" x14ac:dyDescent="0.35">
      <c r="A194" s="63"/>
      <c r="B194" s="54" t="s">
        <v>7</v>
      </c>
      <c r="C194" s="55" t="str">
        <f t="shared" si="41"/>
        <v>8470430</v>
      </c>
      <c r="D194" s="56" t="str">
        <f t="shared" si="42"/>
        <v>KUST - Preparatory Program</v>
      </c>
      <c r="E194" s="3" t="s">
        <v>75</v>
      </c>
      <c r="F194" s="3" t="s">
        <v>76</v>
      </c>
      <c r="G194" s="3" t="s">
        <v>280</v>
      </c>
      <c r="H194" s="4">
        <v>0</v>
      </c>
      <c r="I194" s="4">
        <v>39416</v>
      </c>
      <c r="J194" s="4">
        <v>39415.410000000003</v>
      </c>
      <c r="K194" s="16"/>
      <c r="L194" s="17"/>
      <c r="M194" s="4">
        <v>0.58999999999650798</v>
      </c>
      <c r="O194" s="79" t="s">
        <v>1386</v>
      </c>
    </row>
    <row r="195" spans="1:15" ht="21" x14ac:dyDescent="0.35">
      <c r="A195" s="63"/>
      <c r="B195" s="54" t="s">
        <v>7</v>
      </c>
      <c r="C195" s="55" t="str">
        <f t="shared" si="41"/>
        <v>8470430</v>
      </c>
      <c r="D195" s="56" t="str">
        <f t="shared" si="42"/>
        <v>KUST - Preparatory Program</v>
      </c>
      <c r="E195" s="3" t="s">
        <v>66</v>
      </c>
      <c r="F195" s="3" t="s">
        <v>67</v>
      </c>
      <c r="G195" s="3" t="s">
        <v>281</v>
      </c>
      <c r="H195" s="4">
        <v>570964</v>
      </c>
      <c r="I195" s="4">
        <v>570964</v>
      </c>
      <c r="J195" s="4">
        <v>324800.96000000002</v>
      </c>
      <c r="K195" s="16"/>
      <c r="L195" s="17"/>
      <c r="M195" s="4">
        <v>246163.04</v>
      </c>
      <c r="O195" s="79" t="s">
        <v>1386</v>
      </c>
    </row>
    <row r="196" spans="1:15" ht="21" x14ac:dyDescent="0.35">
      <c r="A196" s="63"/>
      <c r="B196" s="54" t="s">
        <v>7</v>
      </c>
      <c r="C196" s="55" t="str">
        <f t="shared" si="41"/>
        <v>8470430</v>
      </c>
      <c r="D196" s="56" t="str">
        <f t="shared" si="42"/>
        <v>KUST - Preparatory Program</v>
      </c>
      <c r="E196" s="3" t="s">
        <v>53</v>
      </c>
      <c r="F196" s="3" t="s">
        <v>54</v>
      </c>
      <c r="G196" s="3" t="s">
        <v>282</v>
      </c>
      <c r="H196" s="4">
        <v>566390</v>
      </c>
      <c r="I196" s="4">
        <v>406390</v>
      </c>
      <c r="J196" s="4">
        <v>376296.75</v>
      </c>
      <c r="K196" s="16"/>
      <c r="L196" s="17"/>
      <c r="M196" s="4">
        <v>30093.250000000098</v>
      </c>
      <c r="O196" s="79" t="s">
        <v>1386</v>
      </c>
    </row>
    <row r="197" spans="1:15" ht="14.5" customHeight="1" x14ac:dyDescent="0.35">
      <c r="A197" s="63"/>
      <c r="B197" s="54" t="s">
        <v>7</v>
      </c>
      <c r="C197" s="55" t="s">
        <v>283</v>
      </c>
      <c r="D197" s="56" t="s">
        <v>284</v>
      </c>
      <c r="E197" s="3" t="s">
        <v>21</v>
      </c>
      <c r="F197" s="3" t="s">
        <v>22</v>
      </c>
      <c r="G197" s="3" t="s">
        <v>285</v>
      </c>
      <c r="H197" s="4">
        <v>6925828</v>
      </c>
      <c r="I197" s="4">
        <v>6925828</v>
      </c>
      <c r="J197" s="4">
        <v>5985016.2999999998</v>
      </c>
      <c r="K197" s="16"/>
      <c r="L197" s="17"/>
      <c r="M197" s="4">
        <v>940811.7</v>
      </c>
      <c r="O197" s="79" t="s">
        <v>1386</v>
      </c>
    </row>
    <row r="198" spans="1:15" ht="21" x14ac:dyDescent="0.35">
      <c r="A198" s="63"/>
      <c r="B198" s="54" t="s">
        <v>7</v>
      </c>
      <c r="C198" s="55" t="str">
        <f t="shared" ref="C198:C207" si="43">C197</f>
        <v>8470435</v>
      </c>
      <c r="D198" s="56" t="str">
        <f t="shared" ref="D198:D207" si="44">D197</f>
        <v>KUST - Department of English</v>
      </c>
      <c r="E198" s="3" t="s">
        <v>24</v>
      </c>
      <c r="F198" s="3" t="s">
        <v>25</v>
      </c>
      <c r="G198" s="3" t="s">
        <v>286</v>
      </c>
      <c r="H198" s="4">
        <v>8400</v>
      </c>
      <c r="I198" s="4">
        <v>8400</v>
      </c>
      <c r="J198" s="4">
        <v>7700</v>
      </c>
      <c r="K198" s="16"/>
      <c r="L198" s="17"/>
      <c r="M198" s="4">
        <v>700</v>
      </c>
      <c r="O198" s="79" t="s">
        <v>1386</v>
      </c>
    </row>
    <row r="199" spans="1:15" ht="21" x14ac:dyDescent="0.35">
      <c r="A199" s="63"/>
      <c r="B199" s="54" t="s">
        <v>7</v>
      </c>
      <c r="C199" s="55" t="str">
        <f t="shared" si="43"/>
        <v>8470435</v>
      </c>
      <c r="D199" s="56" t="str">
        <f t="shared" si="44"/>
        <v>KUST - Department of English</v>
      </c>
      <c r="E199" s="3" t="s">
        <v>27</v>
      </c>
      <c r="F199" s="3" t="s">
        <v>28</v>
      </c>
      <c r="G199" s="3" t="s">
        <v>287</v>
      </c>
      <c r="H199" s="4">
        <v>5133885</v>
      </c>
      <c r="I199" s="4">
        <v>5133885</v>
      </c>
      <c r="J199" s="4">
        <v>4615746.96</v>
      </c>
      <c r="K199" s="16"/>
      <c r="L199" s="17"/>
      <c r="M199" s="4">
        <v>518138.04</v>
      </c>
      <c r="O199" s="79" t="s">
        <v>1386</v>
      </c>
    </row>
    <row r="200" spans="1:15" ht="21" x14ac:dyDescent="0.35">
      <c r="A200" s="63"/>
      <c r="B200" s="54" t="s">
        <v>7</v>
      </c>
      <c r="C200" s="55" t="str">
        <f t="shared" si="43"/>
        <v>8470435</v>
      </c>
      <c r="D200" s="56" t="str">
        <f t="shared" si="44"/>
        <v>KUST - Department of English</v>
      </c>
      <c r="E200" s="3" t="s">
        <v>33</v>
      </c>
      <c r="F200" s="3" t="s">
        <v>34</v>
      </c>
      <c r="G200" s="3" t="s">
        <v>288</v>
      </c>
      <c r="H200" s="4">
        <v>85920</v>
      </c>
      <c r="I200" s="4">
        <v>85920</v>
      </c>
      <c r="J200" s="4">
        <v>78760</v>
      </c>
      <c r="K200" s="16"/>
      <c r="L200" s="17"/>
      <c r="M200" s="4">
        <v>7160</v>
      </c>
      <c r="O200" s="79" t="s">
        <v>1386</v>
      </c>
    </row>
    <row r="201" spans="1:15" ht="21" x14ac:dyDescent="0.35">
      <c r="A201" s="63"/>
      <c r="B201" s="54" t="s">
        <v>7</v>
      </c>
      <c r="C201" s="55" t="str">
        <f t="shared" si="43"/>
        <v>8470435</v>
      </c>
      <c r="D201" s="56" t="str">
        <f t="shared" si="44"/>
        <v>KUST - Department of English</v>
      </c>
      <c r="E201" s="3" t="s">
        <v>60</v>
      </c>
      <c r="F201" s="3" t="s">
        <v>61</v>
      </c>
      <c r="G201" s="3" t="s">
        <v>289</v>
      </c>
      <c r="H201" s="4">
        <v>220777</v>
      </c>
      <c r="I201" s="4">
        <v>220777</v>
      </c>
      <c r="J201" s="4">
        <v>118350.42</v>
      </c>
      <c r="K201" s="16"/>
      <c r="L201" s="17"/>
      <c r="M201" s="4">
        <v>102426.58</v>
      </c>
      <c r="O201" s="79" t="s">
        <v>1386</v>
      </c>
    </row>
    <row r="202" spans="1:15" ht="21" x14ac:dyDescent="0.35">
      <c r="A202" s="63"/>
      <c r="B202" s="54" t="s">
        <v>7</v>
      </c>
      <c r="C202" s="55" t="str">
        <f t="shared" si="43"/>
        <v>8470435</v>
      </c>
      <c r="D202" s="56" t="str">
        <f t="shared" si="44"/>
        <v>KUST - Department of English</v>
      </c>
      <c r="E202" s="3" t="s">
        <v>39</v>
      </c>
      <c r="F202" s="3" t="s">
        <v>40</v>
      </c>
      <c r="G202" s="3" t="s">
        <v>290</v>
      </c>
      <c r="H202" s="4">
        <v>264000</v>
      </c>
      <c r="I202" s="4">
        <v>264000</v>
      </c>
      <c r="J202" s="4">
        <v>242000</v>
      </c>
      <c r="K202" s="16"/>
      <c r="L202" s="17"/>
      <c r="M202" s="4">
        <v>22000</v>
      </c>
      <c r="O202" s="79" t="s">
        <v>1386</v>
      </c>
    </row>
    <row r="203" spans="1:15" ht="21" x14ac:dyDescent="0.35">
      <c r="A203" s="63"/>
      <c r="B203" s="54" t="s">
        <v>7</v>
      </c>
      <c r="C203" s="55" t="str">
        <f t="shared" si="43"/>
        <v>8470435</v>
      </c>
      <c r="D203" s="56" t="str">
        <f t="shared" si="44"/>
        <v>KUST - Department of English</v>
      </c>
      <c r="E203" s="3" t="s">
        <v>42</v>
      </c>
      <c r="F203" s="3" t="s">
        <v>43</v>
      </c>
      <c r="G203" s="3" t="s">
        <v>291</v>
      </c>
      <c r="H203" s="4">
        <v>516251</v>
      </c>
      <c r="I203" s="4">
        <v>465251</v>
      </c>
      <c r="J203" s="4">
        <v>464443</v>
      </c>
      <c r="K203" s="16"/>
      <c r="L203" s="17"/>
      <c r="M203" s="4">
        <v>808</v>
      </c>
      <c r="O203" s="79" t="s">
        <v>1386</v>
      </c>
    </row>
    <row r="204" spans="1:15" ht="21" x14ac:dyDescent="0.35">
      <c r="A204" s="63"/>
      <c r="B204" s="54" t="s">
        <v>7</v>
      </c>
      <c r="C204" s="55" t="str">
        <f t="shared" si="43"/>
        <v>8470435</v>
      </c>
      <c r="D204" s="56" t="str">
        <f t="shared" si="44"/>
        <v>KUST - Department of English</v>
      </c>
      <c r="E204" s="3" t="s">
        <v>75</v>
      </c>
      <c r="F204" s="3" t="s">
        <v>76</v>
      </c>
      <c r="G204" s="3" t="s">
        <v>292</v>
      </c>
      <c r="H204" s="4">
        <v>31987</v>
      </c>
      <c r="I204" s="4">
        <v>105142</v>
      </c>
      <c r="J204" s="4">
        <v>73153.039999999994</v>
      </c>
      <c r="K204" s="16"/>
      <c r="L204" s="17"/>
      <c r="M204" s="4">
        <v>31988.959999999999</v>
      </c>
      <c r="O204" s="79" t="s">
        <v>1386</v>
      </c>
    </row>
    <row r="205" spans="1:15" ht="21" x14ac:dyDescent="0.35">
      <c r="A205" s="63"/>
      <c r="B205" s="54" t="s">
        <v>7</v>
      </c>
      <c r="C205" s="55" t="str">
        <f t="shared" si="43"/>
        <v>8470435</v>
      </c>
      <c r="D205" s="56" t="str">
        <f t="shared" si="44"/>
        <v>KUST - Department of English</v>
      </c>
      <c r="E205" s="3" t="s">
        <v>50</v>
      </c>
      <c r="F205" s="3" t="s">
        <v>51</v>
      </c>
      <c r="G205" s="3" t="s">
        <v>293</v>
      </c>
      <c r="H205" s="4">
        <v>76613</v>
      </c>
      <c r="I205" s="4">
        <v>76613</v>
      </c>
      <c r="J205" s="4">
        <v>69927</v>
      </c>
      <c r="K205" s="16"/>
      <c r="L205" s="17"/>
      <c r="M205" s="4">
        <v>6686</v>
      </c>
      <c r="O205" s="79" t="s">
        <v>1386</v>
      </c>
    </row>
    <row r="206" spans="1:15" ht="21" x14ac:dyDescent="0.35">
      <c r="A206" s="63"/>
      <c r="B206" s="54" t="s">
        <v>7</v>
      </c>
      <c r="C206" s="55" t="str">
        <f t="shared" si="43"/>
        <v>8470435</v>
      </c>
      <c r="D206" s="56" t="str">
        <f t="shared" si="44"/>
        <v>KUST - Department of English</v>
      </c>
      <c r="E206" s="3" t="s">
        <v>66</v>
      </c>
      <c r="F206" s="3" t="s">
        <v>67</v>
      </c>
      <c r="G206" s="3" t="s">
        <v>294</v>
      </c>
      <c r="H206" s="4">
        <v>446764</v>
      </c>
      <c r="I206" s="4">
        <v>446764</v>
      </c>
      <c r="J206" s="4">
        <v>221892.44</v>
      </c>
      <c r="K206" s="16"/>
      <c r="L206" s="17"/>
      <c r="M206" s="4">
        <v>224871.56</v>
      </c>
      <c r="O206" s="79" t="s">
        <v>1386</v>
      </c>
    </row>
    <row r="207" spans="1:15" ht="21" x14ac:dyDescent="0.35">
      <c r="A207" s="63"/>
      <c r="B207" s="54" t="s">
        <v>7</v>
      </c>
      <c r="C207" s="55" t="str">
        <f t="shared" si="43"/>
        <v>8470435</v>
      </c>
      <c r="D207" s="56" t="str">
        <f t="shared" si="44"/>
        <v>KUST - Department of English</v>
      </c>
      <c r="E207" s="3" t="s">
        <v>53</v>
      </c>
      <c r="F207" s="3" t="s">
        <v>54</v>
      </c>
      <c r="G207" s="3" t="s">
        <v>295</v>
      </c>
      <c r="H207" s="4">
        <v>487588</v>
      </c>
      <c r="I207" s="4">
        <v>487588</v>
      </c>
      <c r="J207" s="4">
        <v>416473.77</v>
      </c>
      <c r="K207" s="16"/>
      <c r="L207" s="17"/>
      <c r="M207" s="4">
        <v>71114.23</v>
      </c>
      <c r="O207" s="79" t="s">
        <v>1386</v>
      </c>
    </row>
    <row r="208" spans="1:15" ht="14.5" customHeight="1" x14ac:dyDescent="0.35">
      <c r="A208" s="63"/>
      <c r="B208" s="54" t="s">
        <v>7</v>
      </c>
      <c r="C208" s="55" t="s">
        <v>296</v>
      </c>
      <c r="D208" s="56" t="s">
        <v>297</v>
      </c>
      <c r="E208" s="3" t="s">
        <v>21</v>
      </c>
      <c r="F208" s="3" t="s">
        <v>22</v>
      </c>
      <c r="G208" s="3" t="s">
        <v>298</v>
      </c>
      <c r="H208" s="4">
        <v>7605246</v>
      </c>
      <c r="I208" s="4">
        <v>7605246</v>
      </c>
      <c r="J208" s="4">
        <v>6566863.0599999996</v>
      </c>
      <c r="K208" s="16"/>
      <c r="L208" s="17"/>
      <c r="M208" s="4">
        <v>1038382.94</v>
      </c>
      <c r="O208" s="79" t="s">
        <v>1386</v>
      </c>
    </row>
    <row r="209" spans="1:15" ht="21" x14ac:dyDescent="0.35">
      <c r="A209" s="63"/>
      <c r="B209" s="54" t="s">
        <v>7</v>
      </c>
      <c r="C209" s="55" t="str">
        <f t="shared" ref="C209:C217" si="45">C208</f>
        <v>8470440</v>
      </c>
      <c r="D209" s="56" t="str">
        <f t="shared" ref="D209:D217" si="46">D208</f>
        <v>KUST - Humanities &amp; Social Sciences</v>
      </c>
      <c r="E209" s="3" t="s">
        <v>27</v>
      </c>
      <c r="F209" s="3" t="s">
        <v>28</v>
      </c>
      <c r="G209" s="3" t="s">
        <v>299</v>
      </c>
      <c r="H209" s="4">
        <v>6803122</v>
      </c>
      <c r="I209" s="4">
        <v>6803122</v>
      </c>
      <c r="J209" s="4">
        <v>5944327.9900000002</v>
      </c>
      <c r="K209" s="16"/>
      <c r="L209" s="17"/>
      <c r="M209" s="4">
        <v>858794.00999999896</v>
      </c>
      <c r="O209" s="79" t="s">
        <v>1386</v>
      </c>
    </row>
    <row r="210" spans="1:15" ht="21" x14ac:dyDescent="0.35">
      <c r="A210" s="63"/>
      <c r="B210" s="54" t="s">
        <v>7</v>
      </c>
      <c r="C210" s="55" t="str">
        <f t="shared" si="45"/>
        <v>8470440</v>
      </c>
      <c r="D210" s="56" t="str">
        <f t="shared" si="46"/>
        <v>KUST - Humanities &amp; Social Sciences</v>
      </c>
      <c r="E210" s="3" t="s">
        <v>60</v>
      </c>
      <c r="F210" s="3" t="s">
        <v>61</v>
      </c>
      <c r="G210" s="3" t="s">
        <v>300</v>
      </c>
      <c r="H210" s="4">
        <v>160518</v>
      </c>
      <c r="I210" s="4">
        <v>132518</v>
      </c>
      <c r="J210" s="4">
        <v>65042.64</v>
      </c>
      <c r="K210" s="16"/>
      <c r="L210" s="17"/>
      <c r="M210" s="4">
        <v>67475.360000000001</v>
      </c>
      <c r="O210" s="79" t="s">
        <v>1386</v>
      </c>
    </row>
    <row r="211" spans="1:15" ht="21" x14ac:dyDescent="0.35">
      <c r="A211" s="63"/>
      <c r="B211" s="54" t="s">
        <v>7</v>
      </c>
      <c r="C211" s="55" t="str">
        <f t="shared" si="45"/>
        <v>8470440</v>
      </c>
      <c r="D211" s="56" t="str">
        <f t="shared" si="46"/>
        <v>KUST - Humanities &amp; Social Sciences</v>
      </c>
      <c r="E211" s="3" t="s">
        <v>36</v>
      </c>
      <c r="F211" s="3" t="s">
        <v>37</v>
      </c>
      <c r="G211" s="3" t="s">
        <v>301</v>
      </c>
      <c r="H211" s="4">
        <v>57600</v>
      </c>
      <c r="I211" s="4">
        <v>57600</v>
      </c>
      <c r="J211" s="4">
        <v>52800</v>
      </c>
      <c r="K211" s="16"/>
      <c r="L211" s="17"/>
      <c r="M211" s="4">
        <v>4800</v>
      </c>
      <c r="O211" s="79" t="s">
        <v>1386</v>
      </c>
    </row>
    <row r="212" spans="1:15" ht="21" x14ac:dyDescent="0.35">
      <c r="A212" s="63"/>
      <c r="B212" s="54" t="s">
        <v>7</v>
      </c>
      <c r="C212" s="55" t="str">
        <f t="shared" si="45"/>
        <v>8470440</v>
      </c>
      <c r="D212" s="56" t="str">
        <f t="shared" si="46"/>
        <v>KUST - Humanities &amp; Social Sciences</v>
      </c>
      <c r="E212" s="3" t="s">
        <v>42</v>
      </c>
      <c r="F212" s="3" t="s">
        <v>43</v>
      </c>
      <c r="G212" s="3" t="s">
        <v>302</v>
      </c>
      <c r="H212" s="4">
        <v>694513</v>
      </c>
      <c r="I212" s="4">
        <v>620952</v>
      </c>
      <c r="J212" s="4">
        <v>592293.19999999995</v>
      </c>
      <c r="K212" s="16"/>
      <c r="L212" s="17"/>
      <c r="M212" s="4">
        <v>28658.799999999999</v>
      </c>
      <c r="O212" s="79" t="s">
        <v>1386</v>
      </c>
    </row>
    <row r="213" spans="1:15" ht="21" x14ac:dyDescent="0.35">
      <c r="A213" s="63"/>
      <c r="B213" s="54" t="s">
        <v>7</v>
      </c>
      <c r="C213" s="55" t="str">
        <f t="shared" si="45"/>
        <v>8470440</v>
      </c>
      <c r="D213" s="56" t="str">
        <f t="shared" si="46"/>
        <v>KUST - Humanities &amp; Social Sciences</v>
      </c>
      <c r="E213" s="3" t="s">
        <v>45</v>
      </c>
      <c r="F213" s="3" t="s">
        <v>46</v>
      </c>
      <c r="G213" s="3" t="s">
        <v>303</v>
      </c>
      <c r="H213" s="4">
        <v>49499</v>
      </c>
      <c r="I213" s="4">
        <v>49499</v>
      </c>
      <c r="J213" s="4">
        <v>46213</v>
      </c>
      <c r="K213" s="16"/>
      <c r="L213" s="17"/>
      <c r="M213" s="4">
        <v>3286</v>
      </c>
      <c r="O213" s="79" t="s">
        <v>1386</v>
      </c>
    </row>
    <row r="214" spans="1:15" ht="21" x14ac:dyDescent="0.35">
      <c r="A214" s="63"/>
      <c r="B214" s="54" t="s">
        <v>7</v>
      </c>
      <c r="C214" s="55" t="str">
        <f t="shared" si="45"/>
        <v>8470440</v>
      </c>
      <c r="D214" s="56" t="str">
        <f t="shared" si="46"/>
        <v>KUST - Humanities &amp; Social Sciences</v>
      </c>
      <c r="E214" s="3" t="s">
        <v>75</v>
      </c>
      <c r="F214" s="3" t="s">
        <v>76</v>
      </c>
      <c r="G214" s="3" t="s">
        <v>304</v>
      </c>
      <c r="H214" s="4">
        <v>53260</v>
      </c>
      <c r="I214" s="4">
        <v>188519</v>
      </c>
      <c r="J214" s="4">
        <v>188409.7</v>
      </c>
      <c r="K214" s="16"/>
      <c r="L214" s="17"/>
      <c r="M214" s="4">
        <v>109.299999999988</v>
      </c>
      <c r="O214" s="79" t="s">
        <v>1386</v>
      </c>
    </row>
    <row r="215" spans="1:15" ht="21" x14ac:dyDescent="0.35">
      <c r="A215" s="63"/>
      <c r="B215" s="54" t="s">
        <v>7</v>
      </c>
      <c r="C215" s="55" t="str">
        <f t="shared" si="45"/>
        <v>8470440</v>
      </c>
      <c r="D215" s="56" t="str">
        <f t="shared" si="46"/>
        <v>KUST - Humanities &amp; Social Sciences</v>
      </c>
      <c r="E215" s="3" t="s">
        <v>50</v>
      </c>
      <c r="F215" s="3" t="s">
        <v>51</v>
      </c>
      <c r="G215" s="3" t="s">
        <v>305</v>
      </c>
      <c r="H215" s="4">
        <v>200870</v>
      </c>
      <c r="I215" s="4">
        <v>228870</v>
      </c>
      <c r="J215" s="4">
        <v>209482.5</v>
      </c>
      <c r="K215" s="16"/>
      <c r="L215" s="17"/>
      <c r="M215" s="4">
        <v>19387.5</v>
      </c>
      <c r="O215" s="79" t="s">
        <v>1386</v>
      </c>
    </row>
    <row r="216" spans="1:15" ht="21" x14ac:dyDescent="0.35">
      <c r="A216" s="63"/>
      <c r="B216" s="54" t="s">
        <v>7</v>
      </c>
      <c r="C216" s="55" t="str">
        <f t="shared" si="45"/>
        <v>8470440</v>
      </c>
      <c r="D216" s="56" t="str">
        <f t="shared" si="46"/>
        <v>KUST - Humanities &amp; Social Sciences</v>
      </c>
      <c r="E216" s="3" t="s">
        <v>66</v>
      </c>
      <c r="F216" s="3" t="s">
        <v>67</v>
      </c>
      <c r="G216" s="3" t="s">
        <v>306</v>
      </c>
      <c r="H216" s="4">
        <v>480733</v>
      </c>
      <c r="I216" s="4">
        <v>480733</v>
      </c>
      <c r="J216" s="4">
        <v>262397.31</v>
      </c>
      <c r="K216" s="16"/>
      <c r="L216" s="17"/>
      <c r="M216" s="4">
        <v>218335.69</v>
      </c>
      <c r="O216" s="79" t="s">
        <v>1386</v>
      </c>
    </row>
    <row r="217" spans="1:15" ht="21" x14ac:dyDescent="0.35">
      <c r="A217" s="63"/>
      <c r="B217" s="54" t="s">
        <v>7</v>
      </c>
      <c r="C217" s="55" t="str">
        <f t="shared" si="45"/>
        <v>8470440</v>
      </c>
      <c r="D217" s="56" t="str">
        <f t="shared" si="46"/>
        <v>KUST - Humanities &amp; Social Sciences</v>
      </c>
      <c r="E217" s="3" t="s">
        <v>53</v>
      </c>
      <c r="F217" s="3" t="s">
        <v>54</v>
      </c>
      <c r="G217" s="3" t="s">
        <v>307</v>
      </c>
      <c r="H217" s="4">
        <v>512496</v>
      </c>
      <c r="I217" s="4">
        <v>546233</v>
      </c>
      <c r="J217" s="4">
        <v>539781.29</v>
      </c>
      <c r="K217" s="16"/>
      <c r="L217" s="17"/>
      <c r="M217" s="4">
        <v>6451.70999999996</v>
      </c>
      <c r="O217" s="79" t="s">
        <v>1386</v>
      </c>
    </row>
    <row r="218" spans="1:15" ht="14.5" customHeight="1" x14ac:dyDescent="0.35">
      <c r="A218" s="63"/>
      <c r="B218" s="54" t="s">
        <v>7</v>
      </c>
      <c r="C218" s="55" t="s">
        <v>308</v>
      </c>
      <c r="D218" s="56" t="s">
        <v>309</v>
      </c>
      <c r="E218" s="3" t="s">
        <v>21</v>
      </c>
      <c r="F218" s="3" t="s">
        <v>22</v>
      </c>
      <c r="G218" s="3" t="s">
        <v>310</v>
      </c>
      <c r="H218" s="4">
        <v>12908067</v>
      </c>
      <c r="I218" s="4">
        <v>12908067</v>
      </c>
      <c r="J218" s="4">
        <v>11780640.609999999</v>
      </c>
      <c r="K218" s="16"/>
      <c r="L218" s="17"/>
      <c r="M218" s="4">
        <v>1127426.3899999999</v>
      </c>
      <c r="O218" s="79" t="s">
        <v>1386</v>
      </c>
    </row>
    <row r="219" spans="1:15" ht="21" x14ac:dyDescent="0.35">
      <c r="A219" s="63"/>
      <c r="B219" s="54" t="s">
        <v>7</v>
      </c>
      <c r="C219" s="55" t="str">
        <f t="shared" ref="C219:C226" si="47">C218</f>
        <v>8470445</v>
      </c>
      <c r="D219" s="56" t="str">
        <f t="shared" ref="D219:D226" si="48">D218</f>
        <v>KUST - Mathematics</v>
      </c>
      <c r="E219" s="3" t="s">
        <v>27</v>
      </c>
      <c r="F219" s="3" t="s">
        <v>28</v>
      </c>
      <c r="G219" s="3" t="s">
        <v>311</v>
      </c>
      <c r="H219" s="4">
        <v>9172090</v>
      </c>
      <c r="I219" s="4">
        <v>9172090</v>
      </c>
      <c r="J219" s="4">
        <v>8064791.2999999998</v>
      </c>
      <c r="K219" s="16"/>
      <c r="L219" s="17"/>
      <c r="M219" s="4">
        <v>1107298.7</v>
      </c>
      <c r="O219" s="79" t="s">
        <v>1386</v>
      </c>
    </row>
    <row r="220" spans="1:15" ht="21" x14ac:dyDescent="0.35">
      <c r="A220" s="63"/>
      <c r="B220" s="54" t="s">
        <v>7</v>
      </c>
      <c r="C220" s="55" t="str">
        <f t="shared" si="47"/>
        <v>8470445</v>
      </c>
      <c r="D220" s="56" t="str">
        <f t="shared" si="48"/>
        <v>KUST - Mathematics</v>
      </c>
      <c r="E220" s="3" t="s">
        <v>60</v>
      </c>
      <c r="F220" s="3" t="s">
        <v>61</v>
      </c>
      <c r="G220" s="3" t="s">
        <v>312</v>
      </c>
      <c r="H220" s="4">
        <v>120518</v>
      </c>
      <c r="I220" s="4">
        <v>120518</v>
      </c>
      <c r="J220" s="4">
        <v>120333.33</v>
      </c>
      <c r="K220" s="16"/>
      <c r="L220" s="17"/>
      <c r="M220" s="4">
        <v>184.669999999998</v>
      </c>
      <c r="O220" s="79" t="s">
        <v>1386</v>
      </c>
    </row>
    <row r="221" spans="1:15" ht="21" x14ac:dyDescent="0.35">
      <c r="A221" s="63"/>
      <c r="B221" s="54" t="s">
        <v>7</v>
      </c>
      <c r="C221" s="55" t="str">
        <f t="shared" si="47"/>
        <v>8470445</v>
      </c>
      <c r="D221" s="56" t="str">
        <f t="shared" si="48"/>
        <v>KUST - Mathematics</v>
      </c>
      <c r="E221" s="3" t="s">
        <v>42</v>
      </c>
      <c r="F221" s="3" t="s">
        <v>43</v>
      </c>
      <c r="G221" s="3" t="s">
        <v>313</v>
      </c>
      <c r="H221" s="4">
        <v>1240824</v>
      </c>
      <c r="I221" s="4">
        <v>1164824</v>
      </c>
      <c r="J221" s="4">
        <v>1164212.6599999999</v>
      </c>
      <c r="K221" s="16"/>
      <c r="L221" s="17"/>
      <c r="M221" s="4">
        <v>611.33999999985099</v>
      </c>
      <c r="O221" s="79" t="s">
        <v>1386</v>
      </c>
    </row>
    <row r="222" spans="1:15" ht="21" x14ac:dyDescent="0.35">
      <c r="A222" s="63"/>
      <c r="B222" s="54" t="s">
        <v>7</v>
      </c>
      <c r="C222" s="55" t="str">
        <f t="shared" si="47"/>
        <v>8470445</v>
      </c>
      <c r="D222" s="56" t="str">
        <f t="shared" si="48"/>
        <v>KUST - Mathematics</v>
      </c>
      <c r="E222" s="3" t="s">
        <v>45</v>
      </c>
      <c r="F222" s="3" t="s">
        <v>46</v>
      </c>
      <c r="G222" s="3" t="s">
        <v>314</v>
      </c>
      <c r="H222" s="4">
        <v>16162</v>
      </c>
      <c r="I222" s="4">
        <v>16162</v>
      </c>
      <c r="J222" s="4">
        <v>14751</v>
      </c>
      <c r="K222" s="16"/>
      <c r="L222" s="17"/>
      <c r="M222" s="4">
        <v>1411</v>
      </c>
      <c r="O222" s="79" t="s">
        <v>1386</v>
      </c>
    </row>
    <row r="223" spans="1:15" ht="21" x14ac:dyDescent="0.35">
      <c r="A223" s="63"/>
      <c r="B223" s="54" t="s">
        <v>7</v>
      </c>
      <c r="C223" s="55" t="str">
        <f t="shared" si="47"/>
        <v>8470445</v>
      </c>
      <c r="D223" s="56" t="str">
        <f t="shared" si="48"/>
        <v>KUST - Mathematics</v>
      </c>
      <c r="E223" s="3" t="s">
        <v>75</v>
      </c>
      <c r="F223" s="3" t="s">
        <v>76</v>
      </c>
      <c r="G223" s="3" t="s">
        <v>315</v>
      </c>
      <c r="H223" s="4">
        <v>34902</v>
      </c>
      <c r="I223" s="4">
        <v>7262</v>
      </c>
      <c r="J223" s="17"/>
      <c r="K223" s="16"/>
      <c r="L223" s="17"/>
      <c r="M223" s="4">
        <v>7262</v>
      </c>
      <c r="O223" s="79" t="s">
        <v>1386</v>
      </c>
    </row>
    <row r="224" spans="1:15" ht="21" x14ac:dyDescent="0.35">
      <c r="A224" s="63"/>
      <c r="B224" s="54" t="s">
        <v>7</v>
      </c>
      <c r="C224" s="55" t="str">
        <f t="shared" si="47"/>
        <v>8470445</v>
      </c>
      <c r="D224" s="56" t="str">
        <f t="shared" si="48"/>
        <v>KUST - Mathematics</v>
      </c>
      <c r="E224" s="3" t="s">
        <v>50</v>
      </c>
      <c r="F224" s="3" t="s">
        <v>51</v>
      </c>
      <c r="G224" s="3" t="s">
        <v>316</v>
      </c>
      <c r="H224" s="4">
        <v>76180</v>
      </c>
      <c r="I224" s="4">
        <v>76180</v>
      </c>
      <c r="J224" s="4">
        <v>69531</v>
      </c>
      <c r="K224" s="16"/>
      <c r="L224" s="17"/>
      <c r="M224" s="4">
        <v>6649</v>
      </c>
      <c r="O224" s="79" t="s">
        <v>1386</v>
      </c>
    </row>
    <row r="225" spans="1:15" ht="21" x14ac:dyDescent="0.35">
      <c r="A225" s="63"/>
      <c r="B225" s="54" t="s">
        <v>7</v>
      </c>
      <c r="C225" s="55" t="str">
        <f t="shared" si="47"/>
        <v>8470445</v>
      </c>
      <c r="D225" s="56" t="str">
        <f t="shared" si="48"/>
        <v>KUST - Mathematics</v>
      </c>
      <c r="E225" s="3" t="s">
        <v>66</v>
      </c>
      <c r="F225" s="3" t="s">
        <v>67</v>
      </c>
      <c r="G225" s="3" t="s">
        <v>317</v>
      </c>
      <c r="H225" s="4">
        <v>1183239</v>
      </c>
      <c r="I225" s="4">
        <v>1181299</v>
      </c>
      <c r="J225" s="4">
        <v>505376.39</v>
      </c>
      <c r="K225" s="16"/>
      <c r="L225" s="17"/>
      <c r="M225" s="4">
        <v>675922.61</v>
      </c>
      <c r="O225" s="79" t="s">
        <v>1386</v>
      </c>
    </row>
    <row r="226" spans="1:15" ht="21" x14ac:dyDescent="0.35">
      <c r="A226" s="63"/>
      <c r="B226" s="54" t="s">
        <v>7</v>
      </c>
      <c r="C226" s="55" t="str">
        <f t="shared" si="47"/>
        <v>8470445</v>
      </c>
      <c r="D226" s="56" t="str">
        <f t="shared" si="48"/>
        <v>KUST - Mathematics</v>
      </c>
      <c r="E226" s="3" t="s">
        <v>53</v>
      </c>
      <c r="F226" s="3" t="s">
        <v>54</v>
      </c>
      <c r="G226" s="3" t="s">
        <v>318</v>
      </c>
      <c r="H226" s="4">
        <v>775725</v>
      </c>
      <c r="I226" s="4">
        <v>775725</v>
      </c>
      <c r="J226" s="4">
        <v>623947.5</v>
      </c>
      <c r="K226" s="16"/>
      <c r="L226" s="17"/>
      <c r="M226" s="4">
        <v>151777.5</v>
      </c>
      <c r="O226" s="79" t="s">
        <v>1386</v>
      </c>
    </row>
    <row r="227" spans="1:15" ht="14.5" customHeight="1" x14ac:dyDescent="0.35">
      <c r="A227" s="63"/>
      <c r="B227" s="54" t="s">
        <v>7</v>
      </c>
      <c r="C227" s="55" t="s">
        <v>319</v>
      </c>
      <c r="D227" s="56" t="s">
        <v>320</v>
      </c>
      <c r="E227" s="3" t="s">
        <v>21</v>
      </c>
      <c r="F227" s="3" t="s">
        <v>22</v>
      </c>
      <c r="G227" s="3" t="s">
        <v>321</v>
      </c>
      <c r="H227" s="4">
        <v>6726267</v>
      </c>
      <c r="I227" s="4">
        <v>6125267</v>
      </c>
      <c r="J227" s="4">
        <v>5562598.8700000001</v>
      </c>
      <c r="K227" s="16"/>
      <c r="L227" s="17"/>
      <c r="M227" s="4">
        <v>562668.13</v>
      </c>
      <c r="O227" s="79" t="s">
        <v>1386</v>
      </c>
    </row>
    <row r="228" spans="1:15" ht="21" x14ac:dyDescent="0.35">
      <c r="A228" s="63"/>
      <c r="B228" s="54" t="s">
        <v>7</v>
      </c>
      <c r="C228" s="55" t="str">
        <f t="shared" ref="C228:C236" si="49">C227</f>
        <v>8470450</v>
      </c>
      <c r="D228" s="56" t="str">
        <f t="shared" ref="D228:D236" si="50">D227</f>
        <v>KUST - Earth Science</v>
      </c>
      <c r="E228" s="3" t="s">
        <v>27</v>
      </c>
      <c r="F228" s="3" t="s">
        <v>28</v>
      </c>
      <c r="G228" s="3" t="s">
        <v>322</v>
      </c>
      <c r="H228" s="4">
        <v>4905856</v>
      </c>
      <c r="I228" s="4">
        <v>4905856</v>
      </c>
      <c r="J228" s="4">
        <v>3865546.92</v>
      </c>
      <c r="K228" s="16"/>
      <c r="L228" s="17"/>
      <c r="M228" s="4">
        <v>1040309.08</v>
      </c>
      <c r="O228" s="79" t="s">
        <v>1386</v>
      </c>
    </row>
    <row r="229" spans="1:15" ht="21" x14ac:dyDescent="0.35">
      <c r="A229" s="63"/>
      <c r="B229" s="54" t="s">
        <v>7</v>
      </c>
      <c r="C229" s="55" t="str">
        <f t="shared" si="49"/>
        <v>8470450</v>
      </c>
      <c r="D229" s="56" t="str">
        <f t="shared" si="50"/>
        <v>KUST - Earth Science</v>
      </c>
      <c r="E229" s="3" t="s">
        <v>60</v>
      </c>
      <c r="F229" s="3" t="s">
        <v>61</v>
      </c>
      <c r="G229" s="3" t="s">
        <v>323</v>
      </c>
      <c r="H229" s="4">
        <v>0</v>
      </c>
      <c r="I229" s="4">
        <v>136000</v>
      </c>
      <c r="J229" s="4">
        <v>88333.33</v>
      </c>
      <c r="K229" s="16"/>
      <c r="L229" s="17"/>
      <c r="M229" s="4">
        <v>47666.67</v>
      </c>
      <c r="O229" s="79" t="s">
        <v>1386</v>
      </c>
    </row>
    <row r="230" spans="1:15" ht="21" x14ac:dyDescent="0.35">
      <c r="A230" s="63"/>
      <c r="B230" s="54" t="s">
        <v>7</v>
      </c>
      <c r="C230" s="55" t="str">
        <f t="shared" si="49"/>
        <v>8470450</v>
      </c>
      <c r="D230" s="56" t="str">
        <f t="shared" si="50"/>
        <v>KUST - Earth Science</v>
      </c>
      <c r="E230" s="3" t="s">
        <v>36</v>
      </c>
      <c r="F230" s="3" t="s">
        <v>37</v>
      </c>
      <c r="G230" s="3" t="s">
        <v>324</v>
      </c>
      <c r="H230" s="4">
        <v>14400</v>
      </c>
      <c r="I230" s="4">
        <v>14400</v>
      </c>
      <c r="J230" s="4">
        <v>13200</v>
      </c>
      <c r="K230" s="16"/>
      <c r="L230" s="17"/>
      <c r="M230" s="4">
        <v>1200</v>
      </c>
      <c r="O230" s="79" t="s">
        <v>1386</v>
      </c>
    </row>
    <row r="231" spans="1:15" ht="21" x14ac:dyDescent="0.35">
      <c r="A231" s="63"/>
      <c r="B231" s="54" t="s">
        <v>7</v>
      </c>
      <c r="C231" s="55" t="str">
        <f t="shared" si="49"/>
        <v>8470450</v>
      </c>
      <c r="D231" s="56" t="str">
        <f t="shared" si="50"/>
        <v>KUST - Earth Science</v>
      </c>
      <c r="E231" s="3" t="s">
        <v>42</v>
      </c>
      <c r="F231" s="3" t="s">
        <v>43</v>
      </c>
      <c r="G231" s="3" t="s">
        <v>325</v>
      </c>
      <c r="H231" s="4">
        <v>584557</v>
      </c>
      <c r="I231" s="4">
        <v>413557</v>
      </c>
      <c r="J231" s="4">
        <v>410331</v>
      </c>
      <c r="K231" s="16"/>
      <c r="L231" s="17"/>
      <c r="M231" s="4">
        <v>3226</v>
      </c>
      <c r="O231" s="79" t="s">
        <v>1386</v>
      </c>
    </row>
    <row r="232" spans="1:15" ht="21" x14ac:dyDescent="0.35">
      <c r="A232" s="63"/>
      <c r="B232" s="54" t="s">
        <v>7</v>
      </c>
      <c r="C232" s="55" t="str">
        <f t="shared" si="49"/>
        <v>8470450</v>
      </c>
      <c r="D232" s="56" t="str">
        <f t="shared" si="50"/>
        <v>KUST - Earth Science</v>
      </c>
      <c r="E232" s="3" t="s">
        <v>45</v>
      </c>
      <c r="F232" s="3" t="s">
        <v>46</v>
      </c>
      <c r="G232" s="3" t="s">
        <v>326</v>
      </c>
      <c r="H232" s="4">
        <v>76360</v>
      </c>
      <c r="I232" s="4">
        <v>76360</v>
      </c>
      <c r="J232" s="4">
        <v>69950.8</v>
      </c>
      <c r="K232" s="16"/>
      <c r="L232" s="17"/>
      <c r="M232" s="4">
        <v>6409.2</v>
      </c>
      <c r="O232" s="79" t="s">
        <v>1386</v>
      </c>
    </row>
    <row r="233" spans="1:15" ht="21" x14ac:dyDescent="0.35">
      <c r="A233" s="63"/>
      <c r="B233" s="54" t="s">
        <v>7</v>
      </c>
      <c r="C233" s="55" t="str">
        <f t="shared" si="49"/>
        <v>8470450</v>
      </c>
      <c r="D233" s="56" t="str">
        <f t="shared" si="50"/>
        <v>KUST - Earth Science</v>
      </c>
      <c r="E233" s="3" t="s">
        <v>75</v>
      </c>
      <c r="F233" s="3" t="s">
        <v>76</v>
      </c>
      <c r="G233" s="3" t="s">
        <v>327</v>
      </c>
      <c r="H233" s="4">
        <v>0</v>
      </c>
      <c r="I233" s="4">
        <v>112991</v>
      </c>
      <c r="J233" s="4">
        <v>112988.47</v>
      </c>
      <c r="K233" s="16"/>
      <c r="L233" s="17"/>
      <c r="M233" s="4">
        <v>2.5299999999988398</v>
      </c>
      <c r="O233" s="79" t="s">
        <v>1386</v>
      </c>
    </row>
    <row r="234" spans="1:15" ht="21" x14ac:dyDescent="0.35">
      <c r="A234" s="63"/>
      <c r="B234" s="54" t="s">
        <v>7</v>
      </c>
      <c r="C234" s="55" t="str">
        <f t="shared" si="49"/>
        <v>8470450</v>
      </c>
      <c r="D234" s="56" t="str">
        <f t="shared" si="50"/>
        <v>KUST - Earth Science</v>
      </c>
      <c r="E234" s="3" t="s">
        <v>50</v>
      </c>
      <c r="F234" s="3" t="s">
        <v>51</v>
      </c>
      <c r="G234" s="3" t="s">
        <v>328</v>
      </c>
      <c r="H234" s="4">
        <v>290774</v>
      </c>
      <c r="I234" s="4">
        <v>290774</v>
      </c>
      <c r="J234" s="4">
        <v>266521.65000000002</v>
      </c>
      <c r="K234" s="16"/>
      <c r="L234" s="17"/>
      <c r="M234" s="4">
        <v>24252.35</v>
      </c>
      <c r="O234" s="79" t="s">
        <v>1386</v>
      </c>
    </row>
    <row r="235" spans="1:15" ht="21" x14ac:dyDescent="0.35">
      <c r="A235" s="63"/>
      <c r="B235" s="54" t="s">
        <v>7</v>
      </c>
      <c r="C235" s="55" t="str">
        <f t="shared" si="49"/>
        <v>8470450</v>
      </c>
      <c r="D235" s="56" t="str">
        <f t="shared" si="50"/>
        <v>KUST - Earth Science</v>
      </c>
      <c r="E235" s="3" t="s">
        <v>66</v>
      </c>
      <c r="F235" s="3" t="s">
        <v>67</v>
      </c>
      <c r="G235" s="3" t="s">
        <v>329</v>
      </c>
      <c r="H235" s="4">
        <v>0</v>
      </c>
      <c r="I235" s="4">
        <v>207321</v>
      </c>
      <c r="J235" s="4">
        <v>206718.07999999999</v>
      </c>
      <c r="K235" s="16"/>
      <c r="L235" s="17"/>
      <c r="M235" s="4">
        <v>602.92000000001303</v>
      </c>
      <c r="O235" s="79" t="s">
        <v>1386</v>
      </c>
    </row>
    <row r="236" spans="1:15" ht="21" x14ac:dyDescent="0.35">
      <c r="A236" s="63"/>
      <c r="B236" s="54" t="s">
        <v>7</v>
      </c>
      <c r="C236" s="55" t="str">
        <f t="shared" si="49"/>
        <v>8470450</v>
      </c>
      <c r="D236" s="56" t="str">
        <f t="shared" si="50"/>
        <v>KUST - Earth Science</v>
      </c>
      <c r="E236" s="3" t="s">
        <v>53</v>
      </c>
      <c r="F236" s="3" t="s">
        <v>54</v>
      </c>
      <c r="G236" s="3" t="s">
        <v>330</v>
      </c>
      <c r="H236" s="4">
        <v>336030</v>
      </c>
      <c r="I236" s="4">
        <v>268030</v>
      </c>
      <c r="J236" s="4">
        <v>256141.71</v>
      </c>
      <c r="K236" s="16"/>
      <c r="L236" s="17"/>
      <c r="M236" s="4">
        <v>11888.29</v>
      </c>
      <c r="O236" s="79" t="s">
        <v>1386</v>
      </c>
    </row>
    <row r="237" spans="1:15" x14ac:dyDescent="0.35">
      <c r="A237" s="63"/>
      <c r="B237" s="54" t="s">
        <v>7</v>
      </c>
      <c r="C237" s="55" t="s">
        <v>331</v>
      </c>
      <c r="D237" s="56" t="s">
        <v>332</v>
      </c>
      <c r="E237" s="3" t="s">
        <v>21</v>
      </c>
      <c r="F237" s="3" t="s">
        <v>22</v>
      </c>
      <c r="G237" s="3" t="s">
        <v>333</v>
      </c>
      <c r="H237" s="4">
        <v>0</v>
      </c>
      <c r="I237" s="4">
        <v>360000</v>
      </c>
      <c r="J237" s="4">
        <v>295080</v>
      </c>
      <c r="K237" s="16"/>
      <c r="L237" s="17"/>
      <c r="M237" s="4">
        <v>64920</v>
      </c>
      <c r="O237" s="79" t="s">
        <v>1386</v>
      </c>
    </row>
    <row r="238" spans="1:15" ht="21" x14ac:dyDescent="0.35">
      <c r="A238" s="63"/>
      <c r="B238" s="54" t="s">
        <v>7</v>
      </c>
      <c r="C238" s="55" t="str">
        <f t="shared" ref="C238:C240" si="51">C237</f>
        <v>8470455</v>
      </c>
      <c r="D238" s="56" t="str">
        <f t="shared" ref="D238:D240" si="52">D237</f>
        <v>KUST – Biology</v>
      </c>
      <c r="E238" s="3" t="s">
        <v>27</v>
      </c>
      <c r="F238" s="3" t="s">
        <v>28</v>
      </c>
      <c r="G238" s="3" t="s">
        <v>334</v>
      </c>
      <c r="H238" s="4">
        <v>0</v>
      </c>
      <c r="I238" s="4">
        <v>240000</v>
      </c>
      <c r="J238" s="4">
        <v>200000</v>
      </c>
      <c r="K238" s="16"/>
      <c r="L238" s="17"/>
      <c r="M238" s="4">
        <v>40000</v>
      </c>
      <c r="O238" s="79" t="s">
        <v>1386</v>
      </c>
    </row>
    <row r="239" spans="1:15" ht="21" customHeight="1" x14ac:dyDescent="0.35">
      <c r="A239" s="63"/>
      <c r="B239" s="54" t="s">
        <v>7</v>
      </c>
      <c r="C239" s="55" t="str">
        <f t="shared" si="51"/>
        <v>8470455</v>
      </c>
      <c r="D239" s="56" t="str">
        <f t="shared" si="52"/>
        <v>KUST – Biology</v>
      </c>
      <c r="E239" s="3" t="s">
        <v>42</v>
      </c>
      <c r="F239" s="3" t="s">
        <v>43</v>
      </c>
      <c r="G239" s="3" t="s">
        <v>335</v>
      </c>
      <c r="H239" s="4">
        <v>0</v>
      </c>
      <c r="I239" s="4">
        <v>19790</v>
      </c>
      <c r="J239" s="4">
        <v>9779</v>
      </c>
      <c r="K239" s="16"/>
      <c r="L239" s="17"/>
      <c r="M239" s="4">
        <v>10011</v>
      </c>
      <c r="O239" s="79" t="s">
        <v>1386</v>
      </c>
    </row>
    <row r="240" spans="1:15" ht="21" customHeight="1" x14ac:dyDescent="0.35">
      <c r="A240" s="63"/>
      <c r="B240" s="54" t="s">
        <v>7</v>
      </c>
      <c r="C240" s="55" t="str">
        <f t="shared" si="51"/>
        <v>8470455</v>
      </c>
      <c r="D240" s="56" t="str">
        <f t="shared" si="52"/>
        <v>KUST – Biology</v>
      </c>
      <c r="E240" s="3" t="s">
        <v>66</v>
      </c>
      <c r="F240" s="3" t="s">
        <v>67</v>
      </c>
      <c r="G240" s="3" t="s">
        <v>336</v>
      </c>
      <c r="H240" s="4">
        <v>0</v>
      </c>
      <c r="I240" s="4">
        <v>25000</v>
      </c>
      <c r="J240" s="4">
        <v>24050</v>
      </c>
      <c r="K240" s="16"/>
      <c r="L240" s="17"/>
      <c r="M240" s="4">
        <v>950</v>
      </c>
      <c r="O240" s="79" t="s">
        <v>1386</v>
      </c>
    </row>
    <row r="241" spans="1:15" ht="14.5" hidden="1" customHeight="1" x14ac:dyDescent="0.35">
      <c r="A241" s="63"/>
      <c r="B241" s="54" t="s">
        <v>7</v>
      </c>
      <c r="C241" s="55" t="s">
        <v>337</v>
      </c>
      <c r="D241" s="56" t="s">
        <v>338</v>
      </c>
      <c r="E241" s="3" t="s">
        <v>21</v>
      </c>
      <c r="F241" s="3" t="s">
        <v>22</v>
      </c>
      <c r="G241" s="3" t="s">
        <v>339</v>
      </c>
      <c r="H241" s="4">
        <v>2403499</v>
      </c>
      <c r="I241" s="4">
        <v>1603499</v>
      </c>
      <c r="J241" s="4">
        <v>1555772.8</v>
      </c>
      <c r="K241" s="16"/>
      <c r="L241" s="17"/>
      <c r="M241" s="4">
        <v>47726.199999999699</v>
      </c>
      <c r="O241" t="s">
        <v>1388</v>
      </c>
    </row>
    <row r="242" spans="1:15" ht="21" hidden="1" customHeight="1" x14ac:dyDescent="0.35">
      <c r="A242" s="63"/>
      <c r="B242" s="54" t="s">
        <v>7</v>
      </c>
      <c r="C242" s="55" t="str">
        <f t="shared" ref="C242:C253" si="53">C241</f>
        <v>8470510</v>
      </c>
      <c r="D242" s="56" t="str">
        <f t="shared" ref="D242:D253" si="54">D241</f>
        <v>KUST - VP/ Administration, Facilities &amp; EHS Office</v>
      </c>
      <c r="E242" s="3" t="s">
        <v>24</v>
      </c>
      <c r="F242" s="3" t="s">
        <v>25</v>
      </c>
      <c r="G242" s="3" t="s">
        <v>340</v>
      </c>
      <c r="H242" s="4">
        <v>226800</v>
      </c>
      <c r="I242" s="4">
        <v>226800</v>
      </c>
      <c r="J242" s="4">
        <v>118400</v>
      </c>
      <c r="K242" s="16"/>
      <c r="L242" s="17"/>
      <c r="M242" s="4">
        <v>108400</v>
      </c>
      <c r="O242" t="s">
        <v>1388</v>
      </c>
    </row>
    <row r="243" spans="1:15" ht="21" hidden="1" customHeight="1" x14ac:dyDescent="0.35">
      <c r="A243" s="63"/>
      <c r="B243" s="54" t="s">
        <v>7</v>
      </c>
      <c r="C243" s="55" t="str">
        <f t="shared" si="53"/>
        <v>8470510</v>
      </c>
      <c r="D243" s="56" t="str">
        <f t="shared" si="54"/>
        <v>KUST - VP/ Administration, Facilities &amp; EHS Office</v>
      </c>
      <c r="E243" s="3" t="s">
        <v>27</v>
      </c>
      <c r="F243" s="3" t="s">
        <v>28</v>
      </c>
      <c r="G243" s="3" t="s">
        <v>341</v>
      </c>
      <c r="H243" s="4">
        <v>1566326</v>
      </c>
      <c r="I243" s="4">
        <v>1226326</v>
      </c>
      <c r="J243" s="4">
        <v>1105660.78</v>
      </c>
      <c r="K243" s="16"/>
      <c r="L243" s="17"/>
      <c r="M243" s="4">
        <v>120665.22</v>
      </c>
      <c r="O243" t="s">
        <v>1388</v>
      </c>
    </row>
    <row r="244" spans="1:15" ht="21" hidden="1" customHeight="1" x14ac:dyDescent="0.35">
      <c r="A244" s="63"/>
      <c r="B244" s="54" t="s">
        <v>7</v>
      </c>
      <c r="C244" s="55" t="str">
        <f t="shared" si="53"/>
        <v>8470510</v>
      </c>
      <c r="D244" s="56" t="str">
        <f t="shared" si="54"/>
        <v>KUST - VP/ Administration, Facilities &amp; EHS Office</v>
      </c>
      <c r="E244" s="3" t="s">
        <v>33</v>
      </c>
      <c r="F244" s="3" t="s">
        <v>34</v>
      </c>
      <c r="G244" s="3" t="s">
        <v>342</v>
      </c>
      <c r="H244" s="4">
        <v>572460</v>
      </c>
      <c r="I244" s="4">
        <v>512460</v>
      </c>
      <c r="J244" s="4">
        <v>344003</v>
      </c>
      <c r="K244" s="16"/>
      <c r="L244" s="17"/>
      <c r="M244" s="4">
        <v>168457</v>
      </c>
      <c r="O244" t="s">
        <v>1388</v>
      </c>
    </row>
    <row r="245" spans="1:15" ht="21" hidden="1" customHeight="1" x14ac:dyDescent="0.35">
      <c r="A245" s="63"/>
      <c r="B245" s="54" t="s">
        <v>7</v>
      </c>
      <c r="C245" s="55" t="str">
        <f t="shared" si="53"/>
        <v>8470510</v>
      </c>
      <c r="D245" s="56" t="str">
        <f t="shared" si="54"/>
        <v>KUST - VP/ Administration, Facilities &amp; EHS Office</v>
      </c>
      <c r="E245" s="3" t="s">
        <v>343</v>
      </c>
      <c r="F245" s="3" t="s">
        <v>344</v>
      </c>
      <c r="G245" s="3" t="s">
        <v>345</v>
      </c>
      <c r="H245" s="4">
        <v>0</v>
      </c>
      <c r="I245" s="4">
        <v>0</v>
      </c>
      <c r="J245" s="17"/>
      <c r="K245" s="16"/>
      <c r="L245" s="17"/>
      <c r="M245" s="4">
        <v>0</v>
      </c>
      <c r="O245" t="s">
        <v>1388</v>
      </c>
    </row>
    <row r="246" spans="1:15" ht="21" hidden="1" customHeight="1" x14ac:dyDescent="0.35">
      <c r="A246" s="63"/>
      <c r="B246" s="54" t="s">
        <v>7</v>
      </c>
      <c r="C246" s="55" t="str">
        <f t="shared" si="53"/>
        <v>8470510</v>
      </c>
      <c r="D246" s="56" t="str">
        <f t="shared" si="54"/>
        <v>KUST - VP/ Administration, Facilities &amp; EHS Office</v>
      </c>
      <c r="E246" s="3" t="s">
        <v>36</v>
      </c>
      <c r="F246" s="3" t="s">
        <v>37</v>
      </c>
      <c r="G246" s="3" t="s">
        <v>346</v>
      </c>
      <c r="H246" s="4">
        <v>180000</v>
      </c>
      <c r="I246" s="4">
        <v>180000</v>
      </c>
      <c r="J246" s="4">
        <v>129840</v>
      </c>
      <c r="K246" s="16"/>
      <c r="L246" s="17"/>
      <c r="M246" s="4">
        <v>50160</v>
      </c>
      <c r="O246" t="s">
        <v>1388</v>
      </c>
    </row>
    <row r="247" spans="1:15" ht="21" hidden="1" customHeight="1" x14ac:dyDescent="0.35">
      <c r="A247" s="63"/>
      <c r="B247" s="54" t="s">
        <v>7</v>
      </c>
      <c r="C247" s="55" t="str">
        <f t="shared" si="53"/>
        <v>8470510</v>
      </c>
      <c r="D247" s="56" t="str">
        <f t="shared" si="54"/>
        <v>KUST - VP/ Administration, Facilities &amp; EHS Office</v>
      </c>
      <c r="E247" s="3" t="s">
        <v>39</v>
      </c>
      <c r="F247" s="3" t="s">
        <v>40</v>
      </c>
      <c r="G247" s="3" t="s">
        <v>347</v>
      </c>
      <c r="H247" s="4">
        <v>2280905</v>
      </c>
      <c r="I247" s="4">
        <v>1358905</v>
      </c>
      <c r="J247" s="4">
        <v>1310026.68</v>
      </c>
      <c r="K247" s="16"/>
      <c r="L247" s="17"/>
      <c r="M247" s="4">
        <v>48878.320000000102</v>
      </c>
      <c r="O247" t="s">
        <v>1388</v>
      </c>
    </row>
    <row r="248" spans="1:15" ht="21" hidden="1" customHeight="1" x14ac:dyDescent="0.35">
      <c r="A248" s="63"/>
      <c r="B248" s="54" t="s">
        <v>7</v>
      </c>
      <c r="C248" s="55" t="str">
        <f t="shared" si="53"/>
        <v>8470510</v>
      </c>
      <c r="D248" s="56" t="str">
        <f t="shared" si="54"/>
        <v>KUST - VP/ Administration, Facilities &amp; EHS Office</v>
      </c>
      <c r="E248" s="3" t="s">
        <v>42</v>
      </c>
      <c r="F248" s="3" t="s">
        <v>43</v>
      </c>
      <c r="G248" s="3" t="s">
        <v>348</v>
      </c>
      <c r="H248" s="4">
        <v>148334</v>
      </c>
      <c r="I248" s="4">
        <v>148334</v>
      </c>
      <c r="J248" s="4">
        <v>140000</v>
      </c>
      <c r="K248" s="16"/>
      <c r="L248" s="17"/>
      <c r="M248" s="4">
        <v>8334</v>
      </c>
      <c r="O248" t="s">
        <v>1388</v>
      </c>
    </row>
    <row r="249" spans="1:15" ht="21" hidden="1" customHeight="1" x14ac:dyDescent="0.35">
      <c r="A249" s="63"/>
      <c r="B249" s="54" t="s">
        <v>7</v>
      </c>
      <c r="C249" s="55" t="str">
        <f t="shared" si="53"/>
        <v>8470510</v>
      </c>
      <c r="D249" s="56" t="str">
        <f t="shared" si="54"/>
        <v>KUST - VP/ Administration, Facilities &amp; EHS Office</v>
      </c>
      <c r="E249" s="3" t="s">
        <v>349</v>
      </c>
      <c r="F249" s="3" t="s">
        <v>350</v>
      </c>
      <c r="G249" s="3" t="s">
        <v>351</v>
      </c>
      <c r="H249" s="4">
        <v>10800</v>
      </c>
      <c r="I249" s="4">
        <v>10800</v>
      </c>
      <c r="J249" s="4">
        <v>8100</v>
      </c>
      <c r="K249" s="16"/>
      <c r="L249" s="17"/>
      <c r="M249" s="4">
        <v>2700</v>
      </c>
      <c r="O249" t="s">
        <v>1388</v>
      </c>
    </row>
    <row r="250" spans="1:15" ht="21" hidden="1" customHeight="1" x14ac:dyDescent="0.35">
      <c r="A250" s="63"/>
      <c r="B250" s="54" t="s">
        <v>7</v>
      </c>
      <c r="C250" s="55" t="str">
        <f t="shared" si="53"/>
        <v>8470510</v>
      </c>
      <c r="D250" s="56" t="str">
        <f t="shared" si="54"/>
        <v>KUST - VP/ Administration, Facilities &amp; EHS Office</v>
      </c>
      <c r="E250" s="3" t="s">
        <v>45</v>
      </c>
      <c r="F250" s="3" t="s">
        <v>46</v>
      </c>
      <c r="G250" s="3" t="s">
        <v>352</v>
      </c>
      <c r="H250" s="4">
        <v>0</v>
      </c>
      <c r="I250" s="4">
        <v>30000</v>
      </c>
      <c r="J250" s="4">
        <v>24031.63</v>
      </c>
      <c r="K250" s="16"/>
      <c r="L250" s="17"/>
      <c r="M250" s="4">
        <v>5968.37</v>
      </c>
      <c r="O250" t="s">
        <v>1388</v>
      </c>
    </row>
    <row r="251" spans="1:15" ht="21" hidden="1" customHeight="1" x14ac:dyDescent="0.35">
      <c r="A251" s="63"/>
      <c r="B251" s="54" t="s">
        <v>7</v>
      </c>
      <c r="C251" s="55" t="str">
        <f t="shared" si="53"/>
        <v>8470510</v>
      </c>
      <c r="D251" s="56" t="str">
        <f t="shared" si="54"/>
        <v>KUST - VP/ Administration, Facilities &amp; EHS Office</v>
      </c>
      <c r="E251" s="3" t="s">
        <v>75</v>
      </c>
      <c r="F251" s="3" t="s">
        <v>76</v>
      </c>
      <c r="G251" s="3" t="s">
        <v>353</v>
      </c>
      <c r="H251" s="4">
        <v>209539</v>
      </c>
      <c r="I251" s="4">
        <v>209539</v>
      </c>
      <c r="J251" s="4">
        <v>137592.48000000001</v>
      </c>
      <c r="K251" s="16"/>
      <c r="L251" s="17"/>
      <c r="M251" s="4">
        <v>71946.52</v>
      </c>
      <c r="O251" t="s">
        <v>1388</v>
      </c>
    </row>
    <row r="252" spans="1:15" ht="21" hidden="1" customHeight="1" x14ac:dyDescent="0.35">
      <c r="A252" s="63"/>
      <c r="B252" s="54" t="s">
        <v>7</v>
      </c>
      <c r="C252" s="55" t="str">
        <f t="shared" si="53"/>
        <v>8470510</v>
      </c>
      <c r="D252" s="56" t="str">
        <f t="shared" si="54"/>
        <v>KUST - VP/ Administration, Facilities &amp; EHS Office</v>
      </c>
      <c r="E252" s="3" t="s">
        <v>50</v>
      </c>
      <c r="F252" s="3" t="s">
        <v>51</v>
      </c>
      <c r="G252" s="3" t="s">
        <v>354</v>
      </c>
      <c r="H252" s="4">
        <v>735455</v>
      </c>
      <c r="I252" s="4">
        <v>535455</v>
      </c>
      <c r="J252" s="4">
        <v>450183.1</v>
      </c>
      <c r="K252" s="16"/>
      <c r="L252" s="17"/>
      <c r="M252" s="4">
        <v>85271.900000000096</v>
      </c>
      <c r="O252" t="s">
        <v>1388</v>
      </c>
    </row>
    <row r="253" spans="1:15" ht="21" hidden="1" customHeight="1" x14ac:dyDescent="0.35">
      <c r="A253" s="63"/>
      <c r="B253" s="54" t="s">
        <v>7</v>
      </c>
      <c r="C253" s="55" t="str">
        <f t="shared" si="53"/>
        <v>8470510</v>
      </c>
      <c r="D253" s="56" t="str">
        <f t="shared" si="54"/>
        <v>KUST - VP/ Administration, Facilities &amp; EHS Office</v>
      </c>
      <c r="E253" s="3" t="s">
        <v>53</v>
      </c>
      <c r="F253" s="3" t="s">
        <v>54</v>
      </c>
      <c r="G253" s="3" t="s">
        <v>355</v>
      </c>
      <c r="H253" s="4">
        <v>0</v>
      </c>
      <c r="I253" s="4">
        <v>21664</v>
      </c>
      <c r="J253" s="4">
        <v>19151.330000000002</v>
      </c>
      <c r="K253" s="16"/>
      <c r="L253" s="17"/>
      <c r="M253" s="4">
        <v>2512.67</v>
      </c>
      <c r="O253" t="s">
        <v>1388</v>
      </c>
    </row>
    <row r="254" spans="1:15" ht="14.5" customHeight="1" x14ac:dyDescent="0.35">
      <c r="A254" s="63"/>
      <c r="B254" s="54" t="s">
        <v>7</v>
      </c>
      <c r="C254" s="55" t="s">
        <v>356</v>
      </c>
      <c r="D254" s="56" t="s">
        <v>357</v>
      </c>
      <c r="E254" s="3" t="s">
        <v>21</v>
      </c>
      <c r="F254" s="3" t="s">
        <v>22</v>
      </c>
      <c r="G254" s="3" t="s">
        <v>358</v>
      </c>
      <c r="H254" s="4">
        <v>1796253</v>
      </c>
      <c r="I254" s="4">
        <v>1796253</v>
      </c>
      <c r="J254" s="4">
        <v>1602822</v>
      </c>
      <c r="K254" s="16"/>
      <c r="L254" s="17"/>
      <c r="M254" s="4">
        <v>193431</v>
      </c>
      <c r="O254" s="79" t="s">
        <v>1386</v>
      </c>
    </row>
    <row r="255" spans="1:15" ht="21" customHeight="1" x14ac:dyDescent="0.35">
      <c r="A255" s="63"/>
      <c r="B255" s="54" t="s">
        <v>7</v>
      </c>
      <c r="C255" s="55" t="str">
        <f t="shared" ref="C255:C261" si="55">C254</f>
        <v>8470520</v>
      </c>
      <c r="D255" s="56" t="str">
        <f t="shared" ref="D255:D261" si="56">D254</f>
        <v>KUST - Environment, Health &amp; Safety</v>
      </c>
      <c r="E255" s="3" t="s">
        <v>27</v>
      </c>
      <c r="F255" s="3" t="s">
        <v>28</v>
      </c>
      <c r="G255" s="3" t="s">
        <v>359</v>
      </c>
      <c r="H255" s="4">
        <v>1583916</v>
      </c>
      <c r="I255" s="4">
        <v>1583916</v>
      </c>
      <c r="J255" s="4">
        <v>1534778.34</v>
      </c>
      <c r="K255" s="16"/>
      <c r="L255" s="17"/>
      <c r="M255" s="4">
        <v>49137.659999999902</v>
      </c>
      <c r="O255" s="79" t="s">
        <v>1386</v>
      </c>
    </row>
    <row r="256" spans="1:15" ht="21" customHeight="1" x14ac:dyDescent="0.35">
      <c r="A256" s="63"/>
      <c r="B256" s="54" t="s">
        <v>7</v>
      </c>
      <c r="C256" s="55" t="str">
        <f t="shared" si="55"/>
        <v>8470520</v>
      </c>
      <c r="D256" s="56" t="str">
        <f t="shared" si="56"/>
        <v>KUST - Environment, Health &amp; Safety</v>
      </c>
      <c r="E256" s="3" t="s">
        <v>36</v>
      </c>
      <c r="F256" s="3" t="s">
        <v>37</v>
      </c>
      <c r="G256" s="3" t="s">
        <v>360</v>
      </c>
      <c r="H256" s="4">
        <v>43200</v>
      </c>
      <c r="I256" s="4">
        <v>43200</v>
      </c>
      <c r="J256" s="4">
        <v>41880</v>
      </c>
      <c r="K256" s="16"/>
      <c r="L256" s="17"/>
      <c r="M256" s="4">
        <v>1320</v>
      </c>
      <c r="O256" s="79" t="s">
        <v>1386</v>
      </c>
    </row>
    <row r="257" spans="1:15" ht="21" customHeight="1" x14ac:dyDescent="0.35">
      <c r="A257" s="63"/>
      <c r="B257" s="54" t="s">
        <v>7</v>
      </c>
      <c r="C257" s="55" t="str">
        <f t="shared" si="55"/>
        <v>8470520</v>
      </c>
      <c r="D257" s="56" t="str">
        <f t="shared" si="56"/>
        <v>KUST - Environment, Health &amp; Safety</v>
      </c>
      <c r="E257" s="3" t="s">
        <v>42</v>
      </c>
      <c r="F257" s="3" t="s">
        <v>43</v>
      </c>
      <c r="G257" s="3" t="s">
        <v>361</v>
      </c>
      <c r="H257" s="4">
        <v>357105</v>
      </c>
      <c r="I257" s="4">
        <v>245905</v>
      </c>
      <c r="J257" s="4">
        <v>245900.6</v>
      </c>
      <c r="K257" s="16"/>
      <c r="L257" s="17"/>
      <c r="M257" s="4">
        <v>4.3999999999941801</v>
      </c>
      <c r="O257" s="79" t="s">
        <v>1386</v>
      </c>
    </row>
    <row r="258" spans="1:15" ht="21" customHeight="1" x14ac:dyDescent="0.35">
      <c r="A258" s="63"/>
      <c r="B258" s="54" t="s">
        <v>7</v>
      </c>
      <c r="C258" s="55" t="str">
        <f t="shared" si="55"/>
        <v>8470520</v>
      </c>
      <c r="D258" s="56" t="str">
        <f t="shared" si="56"/>
        <v>KUST - Environment, Health &amp; Safety</v>
      </c>
      <c r="E258" s="3" t="s">
        <v>45</v>
      </c>
      <c r="F258" s="3" t="s">
        <v>46</v>
      </c>
      <c r="G258" s="3" t="s">
        <v>362</v>
      </c>
      <c r="H258" s="4">
        <v>52878</v>
      </c>
      <c r="I258" s="4">
        <v>52878</v>
      </c>
      <c r="J258" s="4">
        <v>48140</v>
      </c>
      <c r="K258" s="16"/>
      <c r="L258" s="17"/>
      <c r="M258" s="4">
        <v>4738</v>
      </c>
      <c r="O258" s="79" t="s">
        <v>1386</v>
      </c>
    </row>
    <row r="259" spans="1:15" ht="21" customHeight="1" x14ac:dyDescent="0.35">
      <c r="A259" s="63"/>
      <c r="B259" s="54" t="s">
        <v>7</v>
      </c>
      <c r="C259" s="55" t="str">
        <f t="shared" si="55"/>
        <v>8470520</v>
      </c>
      <c r="D259" s="56" t="str">
        <f t="shared" si="56"/>
        <v>KUST - Environment, Health &amp; Safety</v>
      </c>
      <c r="E259" s="3" t="s">
        <v>50</v>
      </c>
      <c r="F259" s="3" t="s">
        <v>51</v>
      </c>
      <c r="G259" s="3" t="s">
        <v>363</v>
      </c>
      <c r="H259" s="4">
        <v>243764</v>
      </c>
      <c r="I259" s="4">
        <v>243764</v>
      </c>
      <c r="J259" s="4">
        <v>231592.5</v>
      </c>
      <c r="K259" s="16"/>
      <c r="L259" s="17"/>
      <c r="M259" s="4">
        <v>12171.5</v>
      </c>
      <c r="O259" s="79" t="s">
        <v>1386</v>
      </c>
    </row>
    <row r="260" spans="1:15" ht="21" customHeight="1" x14ac:dyDescent="0.35">
      <c r="A260" s="63"/>
      <c r="B260" s="54" t="s">
        <v>7</v>
      </c>
      <c r="C260" s="55" t="str">
        <f t="shared" si="55"/>
        <v>8470520</v>
      </c>
      <c r="D260" s="56" t="str">
        <f t="shared" si="56"/>
        <v>KUST - Environment, Health &amp; Safety</v>
      </c>
      <c r="E260" s="3" t="s">
        <v>66</v>
      </c>
      <c r="F260" s="3" t="s">
        <v>67</v>
      </c>
      <c r="G260" s="3" t="s">
        <v>364</v>
      </c>
      <c r="H260" s="4">
        <v>83697</v>
      </c>
      <c r="I260" s="4">
        <v>83697</v>
      </c>
      <c r="J260" s="4">
        <v>60500</v>
      </c>
      <c r="K260" s="16"/>
      <c r="L260" s="17"/>
      <c r="M260" s="4">
        <v>23197</v>
      </c>
      <c r="O260" s="79" t="s">
        <v>1386</v>
      </c>
    </row>
    <row r="261" spans="1:15" ht="21" customHeight="1" x14ac:dyDescent="0.35">
      <c r="A261" s="63"/>
      <c r="B261" s="54" t="s">
        <v>7</v>
      </c>
      <c r="C261" s="55" t="str">
        <f t="shared" si="55"/>
        <v>8470520</v>
      </c>
      <c r="D261" s="56" t="str">
        <f t="shared" si="56"/>
        <v>KUST - Environment, Health &amp; Safety</v>
      </c>
      <c r="E261" s="3" t="s">
        <v>53</v>
      </c>
      <c r="F261" s="3" t="s">
        <v>54</v>
      </c>
      <c r="G261" s="3" t="s">
        <v>365</v>
      </c>
      <c r="H261" s="4">
        <v>137610</v>
      </c>
      <c r="I261" s="4">
        <v>137610</v>
      </c>
      <c r="J261" s="4">
        <v>87358.59</v>
      </c>
      <c r="K261" s="16"/>
      <c r="L261" s="17"/>
      <c r="M261" s="4">
        <v>50251.41</v>
      </c>
      <c r="O261" s="79" t="s">
        <v>1386</v>
      </c>
    </row>
    <row r="262" spans="1:15" ht="14.5" hidden="1" customHeight="1" x14ac:dyDescent="0.35">
      <c r="A262" s="63"/>
      <c r="B262" s="54" t="s">
        <v>7</v>
      </c>
      <c r="C262" s="55" t="s">
        <v>366</v>
      </c>
      <c r="D262" s="56" t="s">
        <v>367</v>
      </c>
      <c r="E262" s="3" t="s">
        <v>21</v>
      </c>
      <c r="F262" s="3" t="s">
        <v>22</v>
      </c>
      <c r="G262" s="3" t="s">
        <v>368</v>
      </c>
      <c r="H262" s="4">
        <v>2102378</v>
      </c>
      <c r="I262" s="4">
        <v>2102378</v>
      </c>
      <c r="J262" s="4">
        <v>1786948</v>
      </c>
      <c r="K262" s="16"/>
      <c r="L262" s="17"/>
      <c r="M262" s="4">
        <v>315430</v>
      </c>
      <c r="O262" t="s">
        <v>1388</v>
      </c>
    </row>
    <row r="263" spans="1:15" ht="21" hidden="1" x14ac:dyDescent="0.35">
      <c r="A263" s="63"/>
      <c r="B263" s="54" t="s">
        <v>7</v>
      </c>
      <c r="C263" s="55" t="str">
        <f t="shared" ref="C263:C269" si="57">C262</f>
        <v>8470530</v>
      </c>
      <c r="D263" s="56" t="str">
        <f t="shared" ref="D263:D269" si="58">D262</f>
        <v>KUST - Facilities Management</v>
      </c>
      <c r="E263" s="3" t="s">
        <v>27</v>
      </c>
      <c r="F263" s="3" t="s">
        <v>28</v>
      </c>
      <c r="G263" s="3" t="s">
        <v>369</v>
      </c>
      <c r="H263" s="4">
        <v>1139539</v>
      </c>
      <c r="I263" s="4">
        <v>1139539</v>
      </c>
      <c r="J263" s="4">
        <v>965275.27</v>
      </c>
      <c r="K263" s="16"/>
      <c r="L263" s="17"/>
      <c r="M263" s="4">
        <v>174263.73</v>
      </c>
      <c r="O263" t="s">
        <v>1388</v>
      </c>
    </row>
    <row r="264" spans="1:15" ht="21" hidden="1" x14ac:dyDescent="0.35">
      <c r="A264" s="63"/>
      <c r="B264" s="54" t="s">
        <v>7</v>
      </c>
      <c r="C264" s="55" t="str">
        <f t="shared" si="57"/>
        <v>8470530</v>
      </c>
      <c r="D264" s="56" t="str">
        <f t="shared" si="58"/>
        <v>KUST - Facilities Management</v>
      </c>
      <c r="E264" s="3" t="s">
        <v>36</v>
      </c>
      <c r="F264" s="3" t="s">
        <v>37</v>
      </c>
      <c r="G264" s="3" t="s">
        <v>370</v>
      </c>
      <c r="H264" s="4">
        <v>21600</v>
      </c>
      <c r="I264" s="4">
        <v>24600</v>
      </c>
      <c r="J264" s="4">
        <v>21640</v>
      </c>
      <c r="K264" s="16"/>
      <c r="L264" s="17"/>
      <c r="M264" s="4">
        <v>2960</v>
      </c>
      <c r="O264" t="s">
        <v>1388</v>
      </c>
    </row>
    <row r="265" spans="1:15" ht="21" hidden="1" x14ac:dyDescent="0.35">
      <c r="A265" s="63"/>
      <c r="B265" s="54" t="s">
        <v>7</v>
      </c>
      <c r="C265" s="55" t="str">
        <f t="shared" si="57"/>
        <v>8470530</v>
      </c>
      <c r="D265" s="56" t="str">
        <f t="shared" si="58"/>
        <v>KUST - Facilities Management</v>
      </c>
      <c r="E265" s="3" t="s">
        <v>42</v>
      </c>
      <c r="F265" s="3" t="s">
        <v>43</v>
      </c>
      <c r="G265" s="3" t="s">
        <v>371</v>
      </c>
      <c r="H265" s="4">
        <v>164125</v>
      </c>
      <c r="I265" s="4">
        <v>197125</v>
      </c>
      <c r="J265" s="4">
        <v>196987.5</v>
      </c>
      <c r="K265" s="16"/>
      <c r="L265" s="17"/>
      <c r="M265" s="4">
        <v>137.5</v>
      </c>
      <c r="O265" t="s">
        <v>1388</v>
      </c>
    </row>
    <row r="266" spans="1:15" ht="21" hidden="1" x14ac:dyDescent="0.35">
      <c r="A266" s="63"/>
      <c r="B266" s="54" t="s">
        <v>7</v>
      </c>
      <c r="C266" s="55" t="str">
        <f t="shared" si="57"/>
        <v>8470530</v>
      </c>
      <c r="D266" s="56" t="str">
        <f t="shared" si="58"/>
        <v>KUST - Facilities Management</v>
      </c>
      <c r="E266" s="3" t="s">
        <v>45</v>
      </c>
      <c r="F266" s="3" t="s">
        <v>46</v>
      </c>
      <c r="G266" s="3" t="s">
        <v>372</v>
      </c>
      <c r="H266" s="4">
        <v>13607</v>
      </c>
      <c r="I266" s="4">
        <v>13607</v>
      </c>
      <c r="J266" s="4">
        <v>12984</v>
      </c>
      <c r="K266" s="16"/>
      <c r="L266" s="17"/>
      <c r="M266" s="4">
        <v>623</v>
      </c>
      <c r="O266" t="s">
        <v>1388</v>
      </c>
    </row>
    <row r="267" spans="1:15" ht="21" hidden="1" x14ac:dyDescent="0.35">
      <c r="A267" s="63"/>
      <c r="B267" s="54" t="s">
        <v>7</v>
      </c>
      <c r="C267" s="55" t="str">
        <f t="shared" si="57"/>
        <v>8470530</v>
      </c>
      <c r="D267" s="56" t="str">
        <f t="shared" si="58"/>
        <v>KUST - Facilities Management</v>
      </c>
      <c r="E267" s="3" t="s">
        <v>50</v>
      </c>
      <c r="F267" s="3" t="s">
        <v>51</v>
      </c>
      <c r="G267" s="3" t="s">
        <v>373</v>
      </c>
      <c r="H267" s="4">
        <v>66927</v>
      </c>
      <c r="I267" s="4">
        <v>66927</v>
      </c>
      <c r="J267" s="4">
        <v>64004.55</v>
      </c>
      <c r="K267" s="16"/>
      <c r="L267" s="17"/>
      <c r="M267" s="4">
        <v>2922.4499999999898</v>
      </c>
      <c r="O267" t="s">
        <v>1388</v>
      </c>
    </row>
    <row r="268" spans="1:15" ht="21" hidden="1" x14ac:dyDescent="0.35">
      <c r="A268" s="63"/>
      <c r="B268" s="54" t="s">
        <v>7</v>
      </c>
      <c r="C268" s="55" t="str">
        <f t="shared" si="57"/>
        <v>8470530</v>
      </c>
      <c r="D268" s="56" t="str">
        <f t="shared" si="58"/>
        <v>KUST - Facilities Management</v>
      </c>
      <c r="E268" s="3" t="s">
        <v>66</v>
      </c>
      <c r="F268" s="3" t="s">
        <v>67</v>
      </c>
      <c r="G268" s="3" t="s">
        <v>374</v>
      </c>
      <c r="H268" s="4">
        <v>0</v>
      </c>
      <c r="I268" s="4">
        <v>65000</v>
      </c>
      <c r="J268" s="4">
        <v>64500</v>
      </c>
      <c r="K268" s="16"/>
      <c r="L268" s="17"/>
      <c r="M268" s="4">
        <v>500</v>
      </c>
      <c r="O268" t="s">
        <v>1388</v>
      </c>
    </row>
    <row r="269" spans="1:15" ht="21" hidden="1" x14ac:dyDescent="0.35">
      <c r="A269" s="63"/>
      <c r="B269" s="54" t="s">
        <v>7</v>
      </c>
      <c r="C269" s="55" t="str">
        <f t="shared" si="57"/>
        <v>8470530</v>
      </c>
      <c r="D269" s="56" t="str">
        <f t="shared" si="58"/>
        <v>KUST - Facilities Management</v>
      </c>
      <c r="E269" s="3" t="s">
        <v>53</v>
      </c>
      <c r="F269" s="3" t="s">
        <v>54</v>
      </c>
      <c r="G269" s="3" t="s">
        <v>375</v>
      </c>
      <c r="H269" s="4">
        <v>117231</v>
      </c>
      <c r="I269" s="4">
        <v>114231</v>
      </c>
      <c r="J269" s="4">
        <v>56419.22</v>
      </c>
      <c r="K269" s="16"/>
      <c r="L269" s="17"/>
      <c r="M269" s="4">
        <v>57811.78</v>
      </c>
      <c r="O269" t="s">
        <v>1388</v>
      </c>
    </row>
    <row r="270" spans="1:15" ht="14.5" hidden="1" customHeight="1" x14ac:dyDescent="0.35">
      <c r="A270" s="63"/>
      <c r="B270" s="54" t="s">
        <v>7</v>
      </c>
      <c r="C270" s="55" t="s">
        <v>376</v>
      </c>
      <c r="D270" s="56" t="s">
        <v>377</v>
      </c>
      <c r="E270" s="3" t="s">
        <v>21</v>
      </c>
      <c r="F270" s="3" t="s">
        <v>22</v>
      </c>
      <c r="G270" s="3" t="s">
        <v>378</v>
      </c>
      <c r="H270" s="4">
        <v>1844544</v>
      </c>
      <c r="I270" s="4">
        <v>2644544</v>
      </c>
      <c r="J270" s="4">
        <v>2471951</v>
      </c>
      <c r="K270" s="16"/>
      <c r="L270" s="17"/>
      <c r="M270" s="4">
        <v>172593</v>
      </c>
      <c r="O270" t="s">
        <v>1388</v>
      </c>
    </row>
    <row r="271" spans="1:15" ht="21" hidden="1" x14ac:dyDescent="0.35">
      <c r="A271" s="63"/>
      <c r="B271" s="54" t="s">
        <v>7</v>
      </c>
      <c r="C271" s="55" t="str">
        <f t="shared" ref="C271:C276" si="59">C270</f>
        <v>8470540</v>
      </c>
      <c r="D271" s="56" t="str">
        <f t="shared" ref="D271:D276" si="60">D270</f>
        <v>KUST - Administration</v>
      </c>
      <c r="E271" s="3" t="s">
        <v>24</v>
      </c>
      <c r="F271" s="3" t="s">
        <v>25</v>
      </c>
      <c r="G271" s="3" t="s">
        <v>379</v>
      </c>
      <c r="H271" s="4">
        <v>0</v>
      </c>
      <c r="I271" s="4">
        <v>0</v>
      </c>
      <c r="J271" s="17"/>
      <c r="K271" s="16"/>
      <c r="L271" s="17"/>
      <c r="M271" s="4">
        <v>0</v>
      </c>
      <c r="O271" t="s">
        <v>1388</v>
      </c>
    </row>
    <row r="272" spans="1:15" ht="21" hidden="1" x14ac:dyDescent="0.35">
      <c r="A272" s="63"/>
      <c r="B272" s="54" t="s">
        <v>7</v>
      </c>
      <c r="C272" s="55" t="str">
        <f t="shared" si="59"/>
        <v>8470540</v>
      </c>
      <c r="D272" s="56" t="str">
        <f t="shared" si="60"/>
        <v>KUST - Administration</v>
      </c>
      <c r="E272" s="3" t="s">
        <v>27</v>
      </c>
      <c r="F272" s="3" t="s">
        <v>28</v>
      </c>
      <c r="G272" s="3" t="s">
        <v>380</v>
      </c>
      <c r="H272" s="4">
        <v>2897432</v>
      </c>
      <c r="I272" s="4">
        <v>4250432</v>
      </c>
      <c r="J272" s="4">
        <v>3848975.36</v>
      </c>
      <c r="K272" s="16"/>
      <c r="L272" s="17"/>
      <c r="M272" s="4">
        <v>401456.64000000001</v>
      </c>
      <c r="O272" t="s">
        <v>1388</v>
      </c>
    </row>
    <row r="273" spans="1:15" ht="21" hidden="1" x14ac:dyDescent="0.35">
      <c r="A273" s="63"/>
      <c r="B273" s="54" t="s">
        <v>7</v>
      </c>
      <c r="C273" s="55" t="str">
        <f t="shared" si="59"/>
        <v>8470540</v>
      </c>
      <c r="D273" s="56" t="str">
        <f t="shared" si="60"/>
        <v>KUST - Administration</v>
      </c>
      <c r="E273" s="3" t="s">
        <v>36</v>
      </c>
      <c r="F273" s="3" t="s">
        <v>37</v>
      </c>
      <c r="G273" s="3" t="s">
        <v>381</v>
      </c>
      <c r="H273" s="4">
        <v>151200</v>
      </c>
      <c r="I273" s="4">
        <v>325200</v>
      </c>
      <c r="J273" s="4">
        <v>257220</v>
      </c>
      <c r="K273" s="16"/>
      <c r="L273" s="17"/>
      <c r="M273" s="4">
        <v>67980</v>
      </c>
      <c r="O273" t="s">
        <v>1388</v>
      </c>
    </row>
    <row r="274" spans="1:15" ht="21" hidden="1" x14ac:dyDescent="0.35">
      <c r="A274" s="63"/>
      <c r="B274" s="54" t="s">
        <v>7</v>
      </c>
      <c r="C274" s="55" t="str">
        <f t="shared" si="59"/>
        <v>8470540</v>
      </c>
      <c r="D274" s="56" t="str">
        <f t="shared" si="60"/>
        <v>KUST - Administration</v>
      </c>
      <c r="E274" s="3" t="s">
        <v>42</v>
      </c>
      <c r="F274" s="3" t="s">
        <v>43</v>
      </c>
      <c r="G274" s="3" t="s">
        <v>382</v>
      </c>
      <c r="H274" s="4">
        <v>0</v>
      </c>
      <c r="I274" s="4">
        <v>179550</v>
      </c>
      <c r="J274" s="4">
        <v>179550</v>
      </c>
      <c r="K274" s="16"/>
      <c r="L274" s="17"/>
      <c r="M274" s="4">
        <v>0</v>
      </c>
      <c r="O274" t="s">
        <v>1388</v>
      </c>
    </row>
    <row r="275" spans="1:15" ht="21" hidden="1" x14ac:dyDescent="0.35">
      <c r="A275" s="63"/>
      <c r="B275" s="54" t="s">
        <v>7</v>
      </c>
      <c r="C275" s="55" t="str">
        <f t="shared" si="59"/>
        <v>8470540</v>
      </c>
      <c r="D275" s="56" t="str">
        <f t="shared" si="60"/>
        <v>KUST - Administration</v>
      </c>
      <c r="E275" s="3" t="s">
        <v>45</v>
      </c>
      <c r="F275" s="3" t="s">
        <v>46</v>
      </c>
      <c r="G275" s="3" t="s">
        <v>383</v>
      </c>
      <c r="H275" s="4">
        <v>153720</v>
      </c>
      <c r="I275" s="4">
        <v>245720</v>
      </c>
      <c r="J275" s="4">
        <v>198481</v>
      </c>
      <c r="K275" s="16"/>
      <c r="L275" s="17"/>
      <c r="M275" s="4">
        <v>47239</v>
      </c>
      <c r="O275" t="s">
        <v>1388</v>
      </c>
    </row>
    <row r="276" spans="1:15" ht="21" hidden="1" x14ac:dyDescent="0.35">
      <c r="A276" s="63"/>
      <c r="B276" s="54" t="s">
        <v>7</v>
      </c>
      <c r="C276" s="55" t="str">
        <f t="shared" si="59"/>
        <v>8470540</v>
      </c>
      <c r="D276" s="56" t="str">
        <f t="shared" si="60"/>
        <v>KUST - Administration</v>
      </c>
      <c r="E276" s="3" t="s">
        <v>50</v>
      </c>
      <c r="F276" s="3" t="s">
        <v>51</v>
      </c>
      <c r="G276" s="3" t="s">
        <v>384</v>
      </c>
      <c r="H276" s="4">
        <v>735521</v>
      </c>
      <c r="I276" s="4">
        <v>1075521</v>
      </c>
      <c r="J276" s="4">
        <v>957342.45</v>
      </c>
      <c r="K276" s="16"/>
      <c r="L276" s="17"/>
      <c r="M276" s="4">
        <v>118178.55</v>
      </c>
      <c r="O276" t="s">
        <v>1388</v>
      </c>
    </row>
    <row r="277" spans="1:15" ht="14.5" hidden="1" customHeight="1" x14ac:dyDescent="0.35">
      <c r="A277" s="63"/>
      <c r="B277" s="54" t="s">
        <v>7</v>
      </c>
      <c r="C277" s="55" t="s">
        <v>385</v>
      </c>
      <c r="D277" s="56" t="s">
        <v>386</v>
      </c>
      <c r="E277" s="3" t="s">
        <v>21</v>
      </c>
      <c r="F277" s="3" t="s">
        <v>22</v>
      </c>
      <c r="G277" s="3" t="s">
        <v>387</v>
      </c>
      <c r="H277" s="4">
        <v>1444570</v>
      </c>
      <c r="I277" s="4">
        <v>1444570</v>
      </c>
      <c r="J277" s="4">
        <v>1142749</v>
      </c>
      <c r="K277" s="16"/>
      <c r="L277" s="17"/>
      <c r="M277" s="4">
        <v>301821</v>
      </c>
      <c r="O277" t="s">
        <v>1388</v>
      </c>
    </row>
    <row r="278" spans="1:15" ht="21" hidden="1" x14ac:dyDescent="0.35">
      <c r="A278" s="63"/>
      <c r="B278" s="54" t="s">
        <v>7</v>
      </c>
      <c r="C278" s="55" t="str">
        <f t="shared" ref="C278:C284" si="61">C277</f>
        <v>8470550</v>
      </c>
      <c r="D278" s="56" t="str">
        <f t="shared" ref="D278:D284" si="62">D277</f>
        <v>KUST -Space and Projects Planning</v>
      </c>
      <c r="E278" s="3" t="s">
        <v>27</v>
      </c>
      <c r="F278" s="3" t="s">
        <v>28</v>
      </c>
      <c r="G278" s="3" t="s">
        <v>388</v>
      </c>
      <c r="H278" s="4">
        <v>1247308</v>
      </c>
      <c r="I278" s="4">
        <v>1173308</v>
      </c>
      <c r="J278" s="4">
        <v>1035876</v>
      </c>
      <c r="K278" s="16"/>
      <c r="L278" s="17"/>
      <c r="M278" s="4">
        <v>137432</v>
      </c>
      <c r="O278" t="s">
        <v>1388</v>
      </c>
    </row>
    <row r="279" spans="1:15" ht="21" hidden="1" x14ac:dyDescent="0.35">
      <c r="A279" s="63"/>
      <c r="B279" s="54" t="s">
        <v>7</v>
      </c>
      <c r="C279" s="55" t="str">
        <f t="shared" si="61"/>
        <v>8470550</v>
      </c>
      <c r="D279" s="56" t="str">
        <f t="shared" si="62"/>
        <v>KUST -Space and Projects Planning</v>
      </c>
      <c r="E279" s="3" t="s">
        <v>36</v>
      </c>
      <c r="F279" s="3" t="s">
        <v>37</v>
      </c>
      <c r="G279" s="3" t="s">
        <v>389</v>
      </c>
      <c r="H279" s="4">
        <v>21600</v>
      </c>
      <c r="I279" s="4">
        <v>21600</v>
      </c>
      <c r="J279" s="4">
        <v>19800</v>
      </c>
      <c r="K279" s="16"/>
      <c r="L279" s="17"/>
      <c r="M279" s="4">
        <v>1800</v>
      </c>
      <c r="O279" t="s">
        <v>1388</v>
      </c>
    </row>
    <row r="280" spans="1:15" ht="21" hidden="1" x14ac:dyDescent="0.35">
      <c r="A280" s="63"/>
      <c r="B280" s="54" t="s">
        <v>7</v>
      </c>
      <c r="C280" s="55" t="str">
        <f t="shared" si="61"/>
        <v>8470550</v>
      </c>
      <c r="D280" s="56" t="str">
        <f t="shared" si="62"/>
        <v>KUST -Space and Projects Planning</v>
      </c>
      <c r="E280" s="3" t="s">
        <v>42</v>
      </c>
      <c r="F280" s="3" t="s">
        <v>43</v>
      </c>
      <c r="G280" s="3" t="s">
        <v>390</v>
      </c>
      <c r="H280" s="4">
        <v>225000</v>
      </c>
      <c r="I280" s="4">
        <v>136650</v>
      </c>
      <c r="J280" s="4">
        <v>91000</v>
      </c>
      <c r="K280" s="16"/>
      <c r="L280" s="17"/>
      <c r="M280" s="4">
        <v>45650</v>
      </c>
      <c r="O280" t="s">
        <v>1388</v>
      </c>
    </row>
    <row r="281" spans="1:15" ht="21" hidden="1" x14ac:dyDescent="0.35">
      <c r="A281" s="63"/>
      <c r="B281" s="54" t="s">
        <v>7</v>
      </c>
      <c r="C281" s="55" t="str">
        <f t="shared" si="61"/>
        <v>8470550</v>
      </c>
      <c r="D281" s="56" t="str">
        <f t="shared" si="62"/>
        <v>KUST -Space and Projects Planning</v>
      </c>
      <c r="E281" s="3" t="s">
        <v>45</v>
      </c>
      <c r="F281" s="3" t="s">
        <v>46</v>
      </c>
      <c r="G281" s="3" t="s">
        <v>391</v>
      </c>
      <c r="H281" s="4">
        <v>50758</v>
      </c>
      <c r="I281" s="4">
        <v>50758</v>
      </c>
      <c r="J281" s="4">
        <v>33625</v>
      </c>
      <c r="K281" s="16"/>
      <c r="L281" s="17"/>
      <c r="M281" s="4">
        <v>17133</v>
      </c>
      <c r="O281" t="s">
        <v>1388</v>
      </c>
    </row>
    <row r="282" spans="1:15" ht="21" hidden="1" x14ac:dyDescent="0.35">
      <c r="A282" s="63"/>
      <c r="B282" s="54" t="s">
        <v>7</v>
      </c>
      <c r="C282" s="55" t="str">
        <f t="shared" si="61"/>
        <v>8470550</v>
      </c>
      <c r="D282" s="56" t="str">
        <f t="shared" si="62"/>
        <v>KUST -Space and Projects Planning</v>
      </c>
      <c r="E282" s="3" t="s">
        <v>50</v>
      </c>
      <c r="F282" s="3" t="s">
        <v>51</v>
      </c>
      <c r="G282" s="3" t="s">
        <v>392</v>
      </c>
      <c r="H282" s="4">
        <v>169742</v>
      </c>
      <c r="I282" s="4">
        <v>169742</v>
      </c>
      <c r="J282" s="4">
        <v>155274.15</v>
      </c>
      <c r="K282" s="16"/>
      <c r="L282" s="17"/>
      <c r="M282" s="4">
        <v>14467.85</v>
      </c>
      <c r="O282" t="s">
        <v>1388</v>
      </c>
    </row>
    <row r="283" spans="1:15" ht="21" hidden="1" x14ac:dyDescent="0.35">
      <c r="A283" s="63"/>
      <c r="B283" s="54" t="s">
        <v>7</v>
      </c>
      <c r="C283" s="55" t="str">
        <f t="shared" si="61"/>
        <v>8470550</v>
      </c>
      <c r="D283" s="56" t="str">
        <f t="shared" si="62"/>
        <v>KUST -Space and Projects Planning</v>
      </c>
      <c r="E283" s="3" t="s">
        <v>66</v>
      </c>
      <c r="F283" s="3" t="s">
        <v>67</v>
      </c>
      <c r="G283" s="3" t="s">
        <v>393</v>
      </c>
      <c r="H283" s="4">
        <v>81034</v>
      </c>
      <c r="I283" s="4">
        <v>81034</v>
      </c>
      <c r="J283" s="4">
        <v>27250</v>
      </c>
      <c r="K283" s="16"/>
      <c r="L283" s="17"/>
      <c r="M283" s="4">
        <v>53784</v>
      </c>
      <c r="O283" t="s">
        <v>1388</v>
      </c>
    </row>
    <row r="284" spans="1:15" ht="21" hidden="1" x14ac:dyDescent="0.35">
      <c r="A284" s="63"/>
      <c r="B284" s="54" t="s">
        <v>7</v>
      </c>
      <c r="C284" s="55" t="str">
        <f t="shared" si="61"/>
        <v>8470550</v>
      </c>
      <c r="D284" s="56" t="str">
        <f t="shared" si="62"/>
        <v>KUST -Space and Projects Planning</v>
      </c>
      <c r="E284" s="3" t="s">
        <v>53</v>
      </c>
      <c r="F284" s="3" t="s">
        <v>54</v>
      </c>
      <c r="G284" s="3" t="s">
        <v>394</v>
      </c>
      <c r="H284" s="4">
        <v>101182</v>
      </c>
      <c r="I284" s="4">
        <v>101182</v>
      </c>
      <c r="J284" s="4">
        <v>78446.61</v>
      </c>
      <c r="K284" s="16"/>
      <c r="L284" s="17"/>
      <c r="M284" s="4">
        <v>22735.39</v>
      </c>
      <c r="O284" t="s">
        <v>1388</v>
      </c>
    </row>
    <row r="285" spans="1:15" ht="14.5" hidden="1" customHeight="1" x14ac:dyDescent="0.35">
      <c r="A285" s="63"/>
      <c r="B285" s="54" t="s">
        <v>7</v>
      </c>
      <c r="C285" s="55" t="s">
        <v>395</v>
      </c>
      <c r="D285" s="56" t="s">
        <v>396</v>
      </c>
      <c r="E285" s="3" t="s">
        <v>21</v>
      </c>
      <c r="F285" s="3" t="s">
        <v>22</v>
      </c>
      <c r="G285" s="3" t="s">
        <v>397</v>
      </c>
      <c r="H285" s="4">
        <v>2190923</v>
      </c>
      <c r="I285" s="4">
        <v>2190923</v>
      </c>
      <c r="J285" s="4">
        <v>1921817</v>
      </c>
      <c r="K285" s="16"/>
      <c r="L285" s="17"/>
      <c r="M285" s="4">
        <v>269106</v>
      </c>
      <c r="O285" t="s">
        <v>1388</v>
      </c>
    </row>
    <row r="286" spans="1:15" ht="21" hidden="1" customHeight="1" x14ac:dyDescent="0.35">
      <c r="A286" s="63"/>
      <c r="B286" s="54" t="s">
        <v>7</v>
      </c>
      <c r="C286" s="55" t="str">
        <f t="shared" ref="C286:C296" si="63">C285</f>
        <v>8470610</v>
      </c>
      <c r="D286" s="56" t="str">
        <f t="shared" ref="D286:D296" si="64">D285</f>
        <v>KUST - VP/ Finance &amp; Business Development Office</v>
      </c>
      <c r="E286" s="3" t="s">
        <v>24</v>
      </c>
      <c r="F286" s="3" t="s">
        <v>25</v>
      </c>
      <c r="G286" s="3" t="s">
        <v>398</v>
      </c>
      <c r="H286" s="4">
        <v>19200</v>
      </c>
      <c r="I286" s="4">
        <v>19200</v>
      </c>
      <c r="J286" s="4">
        <v>16200</v>
      </c>
      <c r="K286" s="16"/>
      <c r="L286" s="17"/>
      <c r="M286" s="4">
        <v>3000</v>
      </c>
      <c r="O286" t="s">
        <v>1388</v>
      </c>
    </row>
    <row r="287" spans="1:15" ht="21" hidden="1" customHeight="1" x14ac:dyDescent="0.35">
      <c r="A287" s="63"/>
      <c r="B287" s="54" t="s">
        <v>7</v>
      </c>
      <c r="C287" s="55" t="str">
        <f t="shared" si="63"/>
        <v>8470610</v>
      </c>
      <c r="D287" s="56" t="str">
        <f t="shared" si="64"/>
        <v>KUST - VP/ Finance &amp; Business Development Office</v>
      </c>
      <c r="E287" s="3" t="s">
        <v>27</v>
      </c>
      <c r="F287" s="3" t="s">
        <v>28</v>
      </c>
      <c r="G287" s="3" t="s">
        <v>399</v>
      </c>
      <c r="H287" s="4">
        <v>2532723</v>
      </c>
      <c r="I287" s="4">
        <v>2532723</v>
      </c>
      <c r="J287" s="4">
        <v>2281637.66</v>
      </c>
      <c r="K287" s="16"/>
      <c r="L287" s="17"/>
      <c r="M287" s="4">
        <v>251085.34</v>
      </c>
      <c r="O287" t="s">
        <v>1388</v>
      </c>
    </row>
    <row r="288" spans="1:15" ht="21" hidden="1" customHeight="1" x14ac:dyDescent="0.35">
      <c r="A288" s="63"/>
      <c r="B288" s="54" t="s">
        <v>7</v>
      </c>
      <c r="C288" s="55" t="str">
        <f t="shared" si="63"/>
        <v>8470610</v>
      </c>
      <c r="D288" s="56" t="str">
        <f t="shared" si="64"/>
        <v>KUST - VP/ Finance &amp; Business Development Office</v>
      </c>
      <c r="E288" s="3" t="s">
        <v>33</v>
      </c>
      <c r="F288" s="3" t="s">
        <v>34</v>
      </c>
      <c r="G288" s="3" t="s">
        <v>400</v>
      </c>
      <c r="H288" s="4">
        <v>112680</v>
      </c>
      <c r="I288" s="4">
        <v>112680</v>
      </c>
      <c r="J288" s="4">
        <v>84510</v>
      </c>
      <c r="K288" s="16"/>
      <c r="L288" s="17"/>
      <c r="M288" s="4">
        <v>28170</v>
      </c>
      <c r="O288" t="s">
        <v>1388</v>
      </c>
    </row>
    <row r="289" spans="1:15" ht="21" hidden="1" customHeight="1" x14ac:dyDescent="0.35">
      <c r="A289" s="63"/>
      <c r="B289" s="54" t="s">
        <v>7</v>
      </c>
      <c r="C289" s="55" t="str">
        <f t="shared" si="63"/>
        <v>8470610</v>
      </c>
      <c r="D289" s="56" t="str">
        <f t="shared" si="64"/>
        <v>KUST - VP/ Finance &amp; Business Development Office</v>
      </c>
      <c r="E289" s="3" t="s">
        <v>60</v>
      </c>
      <c r="F289" s="3" t="s">
        <v>61</v>
      </c>
      <c r="G289" s="3" t="s">
        <v>401</v>
      </c>
      <c r="H289" s="4">
        <v>49413</v>
      </c>
      <c r="I289" s="4">
        <v>39413</v>
      </c>
      <c r="J289" s="4">
        <v>20500</v>
      </c>
      <c r="K289" s="16"/>
      <c r="L289" s="17"/>
      <c r="M289" s="4">
        <v>18913</v>
      </c>
      <c r="O289" t="s">
        <v>1388</v>
      </c>
    </row>
    <row r="290" spans="1:15" ht="21" hidden="1" customHeight="1" x14ac:dyDescent="0.35">
      <c r="A290" s="63"/>
      <c r="B290" s="54" t="s">
        <v>7</v>
      </c>
      <c r="C290" s="55" t="str">
        <f t="shared" si="63"/>
        <v>8470610</v>
      </c>
      <c r="D290" s="56" t="str">
        <f t="shared" si="64"/>
        <v>KUST - VP/ Finance &amp; Business Development Office</v>
      </c>
      <c r="E290" s="3" t="s">
        <v>36</v>
      </c>
      <c r="F290" s="3" t="s">
        <v>37</v>
      </c>
      <c r="G290" s="3" t="s">
        <v>402</v>
      </c>
      <c r="H290" s="4">
        <v>72000</v>
      </c>
      <c r="I290" s="4">
        <v>72000</v>
      </c>
      <c r="J290" s="4">
        <v>66000</v>
      </c>
      <c r="K290" s="16"/>
      <c r="L290" s="17"/>
      <c r="M290" s="4">
        <v>6000</v>
      </c>
      <c r="O290" t="s">
        <v>1388</v>
      </c>
    </row>
    <row r="291" spans="1:15" ht="21" hidden="1" customHeight="1" x14ac:dyDescent="0.35">
      <c r="A291" s="63"/>
      <c r="B291" s="54" t="s">
        <v>7</v>
      </c>
      <c r="C291" s="55" t="str">
        <f t="shared" si="63"/>
        <v>8470610</v>
      </c>
      <c r="D291" s="56" t="str">
        <f t="shared" si="64"/>
        <v>KUST - VP/ Finance &amp; Business Development Office</v>
      </c>
      <c r="E291" s="3" t="s">
        <v>39</v>
      </c>
      <c r="F291" s="3" t="s">
        <v>40</v>
      </c>
      <c r="G291" s="3" t="s">
        <v>403</v>
      </c>
      <c r="H291" s="4">
        <v>336000</v>
      </c>
      <c r="I291" s="4">
        <v>308000</v>
      </c>
      <c r="J291" s="4">
        <v>252000</v>
      </c>
      <c r="K291" s="16"/>
      <c r="L291" s="17"/>
      <c r="M291" s="4">
        <v>56000</v>
      </c>
      <c r="O291" t="s">
        <v>1388</v>
      </c>
    </row>
    <row r="292" spans="1:15" ht="21" hidden="1" customHeight="1" x14ac:dyDescent="0.35">
      <c r="A292" s="63"/>
      <c r="B292" s="54" t="s">
        <v>7</v>
      </c>
      <c r="C292" s="55" t="str">
        <f t="shared" si="63"/>
        <v>8470610</v>
      </c>
      <c r="D292" s="56" t="str">
        <f t="shared" si="64"/>
        <v>KUST - VP/ Finance &amp; Business Development Office</v>
      </c>
      <c r="E292" s="3" t="s">
        <v>42</v>
      </c>
      <c r="F292" s="3" t="s">
        <v>43</v>
      </c>
      <c r="G292" s="3" t="s">
        <v>404</v>
      </c>
      <c r="H292" s="4">
        <v>0</v>
      </c>
      <c r="I292" s="4">
        <v>104379</v>
      </c>
      <c r="J292" s="4">
        <v>104378.6</v>
      </c>
      <c r="K292" s="16"/>
      <c r="L292" s="17"/>
      <c r="M292" s="4">
        <v>0.39999999999417901</v>
      </c>
      <c r="O292" t="s">
        <v>1388</v>
      </c>
    </row>
    <row r="293" spans="1:15" ht="21" hidden="1" customHeight="1" x14ac:dyDescent="0.35">
      <c r="A293" s="63"/>
      <c r="B293" s="54" t="s">
        <v>7</v>
      </c>
      <c r="C293" s="55" t="str">
        <f t="shared" si="63"/>
        <v>8470610</v>
      </c>
      <c r="D293" s="56" t="str">
        <f t="shared" si="64"/>
        <v>KUST - VP/ Finance &amp; Business Development Office</v>
      </c>
      <c r="E293" s="3" t="s">
        <v>45</v>
      </c>
      <c r="F293" s="3" t="s">
        <v>46</v>
      </c>
      <c r="G293" s="3" t="s">
        <v>405</v>
      </c>
      <c r="H293" s="4">
        <v>99343</v>
      </c>
      <c r="I293" s="4">
        <v>99343</v>
      </c>
      <c r="J293" s="4">
        <v>91677</v>
      </c>
      <c r="K293" s="16"/>
      <c r="L293" s="17"/>
      <c r="M293" s="4">
        <v>7666</v>
      </c>
      <c r="O293" t="s">
        <v>1388</v>
      </c>
    </row>
    <row r="294" spans="1:15" ht="21" hidden="1" customHeight="1" x14ac:dyDescent="0.35">
      <c r="A294" s="63"/>
      <c r="B294" s="54" t="s">
        <v>7</v>
      </c>
      <c r="C294" s="55" t="str">
        <f t="shared" si="63"/>
        <v>8470610</v>
      </c>
      <c r="D294" s="56" t="str">
        <f t="shared" si="64"/>
        <v>KUST - VP/ Finance &amp; Business Development Office</v>
      </c>
      <c r="E294" s="3" t="s">
        <v>50</v>
      </c>
      <c r="F294" s="3" t="s">
        <v>51</v>
      </c>
      <c r="G294" s="3" t="s">
        <v>406</v>
      </c>
      <c r="H294" s="4">
        <v>647770</v>
      </c>
      <c r="I294" s="4">
        <v>647770</v>
      </c>
      <c r="J294" s="4">
        <v>575792.4</v>
      </c>
      <c r="K294" s="16"/>
      <c r="L294" s="17"/>
      <c r="M294" s="4">
        <v>71977.600000000006</v>
      </c>
      <c r="O294" t="s">
        <v>1388</v>
      </c>
    </row>
    <row r="295" spans="1:15" ht="21" hidden="1" customHeight="1" x14ac:dyDescent="0.35">
      <c r="A295" s="63"/>
      <c r="B295" s="54" t="s">
        <v>7</v>
      </c>
      <c r="C295" s="55" t="str">
        <f t="shared" si="63"/>
        <v>8470610</v>
      </c>
      <c r="D295" s="56" t="str">
        <f t="shared" si="64"/>
        <v>KUST - VP/ Finance &amp; Business Development Office</v>
      </c>
      <c r="E295" s="3" t="s">
        <v>66</v>
      </c>
      <c r="F295" s="3" t="s">
        <v>67</v>
      </c>
      <c r="G295" s="3" t="s">
        <v>407</v>
      </c>
      <c r="H295" s="4">
        <v>0</v>
      </c>
      <c r="I295" s="4">
        <v>65920</v>
      </c>
      <c r="J295" s="4">
        <v>47720</v>
      </c>
      <c r="K295" s="16"/>
      <c r="L295" s="17"/>
      <c r="M295" s="4">
        <v>18200</v>
      </c>
      <c r="O295" t="s">
        <v>1388</v>
      </c>
    </row>
    <row r="296" spans="1:15" ht="21" hidden="1" customHeight="1" x14ac:dyDescent="0.35">
      <c r="A296" s="63"/>
      <c r="B296" s="54" t="s">
        <v>7</v>
      </c>
      <c r="C296" s="55" t="str">
        <f t="shared" si="63"/>
        <v>8470610</v>
      </c>
      <c r="D296" s="56" t="str">
        <f t="shared" si="64"/>
        <v>KUST - VP/ Finance &amp; Business Development Office</v>
      </c>
      <c r="E296" s="3" t="s">
        <v>53</v>
      </c>
      <c r="F296" s="3" t="s">
        <v>54</v>
      </c>
      <c r="G296" s="3" t="s">
        <v>408</v>
      </c>
      <c r="H296" s="4">
        <v>13000</v>
      </c>
      <c r="I296" s="4">
        <v>17174</v>
      </c>
      <c r="J296" s="4">
        <v>11409.75</v>
      </c>
      <c r="K296" s="16"/>
      <c r="L296" s="17"/>
      <c r="M296" s="4">
        <v>5764.25</v>
      </c>
      <c r="O296" t="s">
        <v>1388</v>
      </c>
    </row>
    <row r="297" spans="1:15" ht="14.5" hidden="1" customHeight="1" x14ac:dyDescent="0.35">
      <c r="A297" s="63"/>
      <c r="B297" s="54" t="s">
        <v>7</v>
      </c>
      <c r="C297" s="55" t="s">
        <v>409</v>
      </c>
      <c r="D297" s="56" t="s">
        <v>410</v>
      </c>
      <c r="E297" s="3" t="s">
        <v>21</v>
      </c>
      <c r="F297" s="3" t="s">
        <v>22</v>
      </c>
      <c r="G297" s="3" t="s">
        <v>411</v>
      </c>
      <c r="H297" s="4">
        <v>3852723</v>
      </c>
      <c r="I297" s="4">
        <v>3852723</v>
      </c>
      <c r="J297" s="4">
        <v>3805165.04</v>
      </c>
      <c r="K297" s="16"/>
      <c r="L297" s="17"/>
      <c r="M297" s="4">
        <v>47557.96</v>
      </c>
      <c r="O297" t="s">
        <v>1388</v>
      </c>
    </row>
    <row r="298" spans="1:15" ht="21" hidden="1" x14ac:dyDescent="0.35">
      <c r="A298" s="63"/>
      <c r="B298" s="54" t="s">
        <v>7</v>
      </c>
      <c r="C298" s="55" t="str">
        <f t="shared" ref="C298:C304" si="65">C297</f>
        <v>8470620</v>
      </c>
      <c r="D298" s="56" t="str">
        <f t="shared" ref="D298:D304" si="66">D297</f>
        <v>KUST - Finance Operations</v>
      </c>
      <c r="E298" s="3" t="s">
        <v>27</v>
      </c>
      <c r="F298" s="3" t="s">
        <v>28</v>
      </c>
      <c r="G298" s="3" t="s">
        <v>412</v>
      </c>
      <c r="H298" s="4">
        <v>5508289</v>
      </c>
      <c r="I298" s="4">
        <v>5508289</v>
      </c>
      <c r="J298" s="4">
        <v>5037362.71</v>
      </c>
      <c r="K298" s="16"/>
      <c r="L298" s="17"/>
      <c r="M298" s="4">
        <v>470926.29</v>
      </c>
      <c r="O298" t="s">
        <v>1388</v>
      </c>
    </row>
    <row r="299" spans="1:15" ht="21" hidden="1" x14ac:dyDescent="0.35">
      <c r="A299" s="63"/>
      <c r="B299" s="54" t="s">
        <v>7</v>
      </c>
      <c r="C299" s="55" t="str">
        <f t="shared" si="65"/>
        <v>8470620</v>
      </c>
      <c r="D299" s="56" t="str">
        <f t="shared" si="66"/>
        <v>KUST - Finance Operations</v>
      </c>
      <c r="E299" s="3" t="s">
        <v>36</v>
      </c>
      <c r="F299" s="3" t="s">
        <v>37</v>
      </c>
      <c r="G299" s="3" t="s">
        <v>413</v>
      </c>
      <c r="H299" s="4">
        <v>86400</v>
      </c>
      <c r="I299" s="4">
        <v>86400</v>
      </c>
      <c r="J299" s="4">
        <v>86160</v>
      </c>
      <c r="K299" s="16"/>
      <c r="L299" s="17"/>
      <c r="M299" s="4">
        <v>240</v>
      </c>
      <c r="O299" t="s">
        <v>1388</v>
      </c>
    </row>
    <row r="300" spans="1:15" ht="21" hidden="1" x14ac:dyDescent="0.35">
      <c r="A300" s="63"/>
      <c r="B300" s="54" t="s">
        <v>7</v>
      </c>
      <c r="C300" s="55" t="str">
        <f t="shared" si="65"/>
        <v>8470620</v>
      </c>
      <c r="D300" s="56" t="str">
        <f t="shared" si="66"/>
        <v>KUST - Finance Operations</v>
      </c>
      <c r="E300" s="3" t="s">
        <v>42</v>
      </c>
      <c r="F300" s="3" t="s">
        <v>43</v>
      </c>
      <c r="G300" s="3" t="s">
        <v>414</v>
      </c>
      <c r="H300" s="4">
        <v>390895</v>
      </c>
      <c r="I300" s="4">
        <v>386626</v>
      </c>
      <c r="J300" s="4">
        <v>347087.25</v>
      </c>
      <c r="K300" s="16"/>
      <c r="L300" s="17"/>
      <c r="M300" s="4">
        <v>39538.75</v>
      </c>
      <c r="O300" t="s">
        <v>1388</v>
      </c>
    </row>
    <row r="301" spans="1:15" ht="21" hidden="1" x14ac:dyDescent="0.35">
      <c r="A301" s="63"/>
      <c r="B301" s="54" t="s">
        <v>7</v>
      </c>
      <c r="C301" s="55" t="str">
        <f t="shared" si="65"/>
        <v>8470620</v>
      </c>
      <c r="D301" s="56" t="str">
        <f t="shared" si="66"/>
        <v>KUST - Finance Operations</v>
      </c>
      <c r="E301" s="3" t="s">
        <v>45</v>
      </c>
      <c r="F301" s="3" t="s">
        <v>46</v>
      </c>
      <c r="G301" s="3" t="s">
        <v>415</v>
      </c>
      <c r="H301" s="4">
        <v>208930</v>
      </c>
      <c r="I301" s="4">
        <v>236930</v>
      </c>
      <c r="J301" s="4">
        <v>214763.2</v>
      </c>
      <c r="K301" s="16"/>
      <c r="L301" s="17"/>
      <c r="M301" s="4">
        <v>22166.799999999999</v>
      </c>
      <c r="O301" t="s">
        <v>1388</v>
      </c>
    </row>
    <row r="302" spans="1:15" ht="21" hidden="1" x14ac:dyDescent="0.35">
      <c r="A302" s="63"/>
      <c r="B302" s="54" t="s">
        <v>7</v>
      </c>
      <c r="C302" s="55" t="str">
        <f t="shared" si="65"/>
        <v>8470620</v>
      </c>
      <c r="D302" s="56" t="str">
        <f t="shared" si="66"/>
        <v>KUST - Finance Operations</v>
      </c>
      <c r="E302" s="3" t="s">
        <v>50</v>
      </c>
      <c r="F302" s="3" t="s">
        <v>51</v>
      </c>
      <c r="G302" s="3" t="s">
        <v>416</v>
      </c>
      <c r="H302" s="4">
        <v>973744</v>
      </c>
      <c r="I302" s="4">
        <v>1128744</v>
      </c>
      <c r="J302" s="4">
        <v>1017840.85</v>
      </c>
      <c r="K302" s="16"/>
      <c r="L302" s="17"/>
      <c r="M302" s="4">
        <v>110903.15</v>
      </c>
      <c r="O302" t="s">
        <v>1388</v>
      </c>
    </row>
    <row r="303" spans="1:15" ht="21" hidden="1" x14ac:dyDescent="0.35">
      <c r="A303" s="63"/>
      <c r="B303" s="54" t="s">
        <v>7</v>
      </c>
      <c r="C303" s="55" t="str">
        <f t="shared" si="65"/>
        <v>8470620</v>
      </c>
      <c r="D303" s="56" t="str">
        <f t="shared" si="66"/>
        <v>KUST - Finance Operations</v>
      </c>
      <c r="E303" s="3" t="s">
        <v>66</v>
      </c>
      <c r="F303" s="3" t="s">
        <v>67</v>
      </c>
      <c r="G303" s="3" t="s">
        <v>417</v>
      </c>
      <c r="H303" s="4">
        <v>128086</v>
      </c>
      <c r="I303" s="4">
        <v>128086</v>
      </c>
      <c r="J303" s="4">
        <v>91050</v>
      </c>
      <c r="K303" s="16"/>
      <c r="L303" s="17"/>
      <c r="M303" s="4">
        <v>37036</v>
      </c>
      <c r="O303" t="s">
        <v>1388</v>
      </c>
    </row>
    <row r="304" spans="1:15" ht="21" hidden="1" x14ac:dyDescent="0.35">
      <c r="A304" s="63"/>
      <c r="B304" s="54" t="s">
        <v>7</v>
      </c>
      <c r="C304" s="55" t="str">
        <f t="shared" si="65"/>
        <v>8470620</v>
      </c>
      <c r="D304" s="56" t="str">
        <f t="shared" si="66"/>
        <v>KUST - Finance Operations</v>
      </c>
      <c r="E304" s="3" t="s">
        <v>53</v>
      </c>
      <c r="F304" s="3" t="s">
        <v>54</v>
      </c>
      <c r="G304" s="3" t="s">
        <v>418</v>
      </c>
      <c r="H304" s="4">
        <v>178082</v>
      </c>
      <c r="I304" s="4">
        <v>178082</v>
      </c>
      <c r="J304" s="4">
        <v>99453.42</v>
      </c>
      <c r="K304" s="16"/>
      <c r="L304" s="17"/>
      <c r="M304" s="4">
        <v>78628.58</v>
      </c>
      <c r="O304" t="s">
        <v>1388</v>
      </c>
    </row>
    <row r="305" spans="1:15" ht="14.5" hidden="1" customHeight="1" x14ac:dyDescent="0.35">
      <c r="A305" s="63"/>
      <c r="B305" s="54" t="s">
        <v>7</v>
      </c>
      <c r="C305" s="55" t="s">
        <v>419</v>
      </c>
      <c r="D305" s="56" t="s">
        <v>420</v>
      </c>
      <c r="E305" s="3" t="s">
        <v>21</v>
      </c>
      <c r="F305" s="3" t="s">
        <v>22</v>
      </c>
      <c r="G305" s="3" t="s">
        <v>421</v>
      </c>
      <c r="H305" s="4">
        <v>542208</v>
      </c>
      <c r="I305" s="4">
        <v>542208</v>
      </c>
      <c r="J305" s="4">
        <v>494890</v>
      </c>
      <c r="K305" s="16"/>
      <c r="L305" s="17"/>
      <c r="M305" s="4">
        <v>47318</v>
      </c>
      <c r="O305" t="s">
        <v>1388</v>
      </c>
    </row>
    <row r="306" spans="1:15" ht="21" hidden="1" x14ac:dyDescent="0.35">
      <c r="A306" s="63"/>
      <c r="B306" s="54" t="s">
        <v>7</v>
      </c>
      <c r="C306" s="55" t="str">
        <f t="shared" ref="C306:C310" si="67">C305</f>
        <v>8470630</v>
      </c>
      <c r="D306" s="56" t="str">
        <f t="shared" ref="D306:D310" si="68">D305</f>
        <v>KUST - Business Development</v>
      </c>
      <c r="E306" s="3" t="s">
        <v>27</v>
      </c>
      <c r="F306" s="3" t="s">
        <v>28</v>
      </c>
      <c r="G306" s="3" t="s">
        <v>422</v>
      </c>
      <c r="H306" s="4">
        <v>389477</v>
      </c>
      <c r="I306" s="4">
        <v>389477</v>
      </c>
      <c r="J306" s="4">
        <v>355487</v>
      </c>
      <c r="K306" s="16"/>
      <c r="L306" s="17"/>
      <c r="M306" s="4">
        <v>33990</v>
      </c>
      <c r="O306" t="s">
        <v>1388</v>
      </c>
    </row>
    <row r="307" spans="1:15" ht="21" hidden="1" x14ac:dyDescent="0.35">
      <c r="A307" s="63"/>
      <c r="B307" s="54" t="s">
        <v>7</v>
      </c>
      <c r="C307" s="55" t="str">
        <f t="shared" si="67"/>
        <v>8470630</v>
      </c>
      <c r="D307" s="56" t="str">
        <f t="shared" si="68"/>
        <v>KUST - Business Development</v>
      </c>
      <c r="E307" s="3" t="s">
        <v>42</v>
      </c>
      <c r="F307" s="3" t="s">
        <v>43</v>
      </c>
      <c r="G307" s="3" t="s">
        <v>423</v>
      </c>
      <c r="H307" s="4">
        <v>0</v>
      </c>
      <c r="I307" s="4">
        <v>10000</v>
      </c>
      <c r="J307" s="4">
        <v>9750</v>
      </c>
      <c r="K307" s="16"/>
      <c r="L307" s="17"/>
      <c r="M307" s="4">
        <v>250</v>
      </c>
      <c r="O307" t="s">
        <v>1388</v>
      </c>
    </row>
    <row r="308" spans="1:15" ht="21" hidden="1" x14ac:dyDescent="0.35">
      <c r="A308" s="63"/>
      <c r="B308" s="54" t="s">
        <v>7</v>
      </c>
      <c r="C308" s="55" t="str">
        <f t="shared" si="67"/>
        <v>8470630</v>
      </c>
      <c r="D308" s="56" t="str">
        <f t="shared" si="68"/>
        <v>KUST - Business Development</v>
      </c>
      <c r="E308" s="3" t="s">
        <v>45</v>
      </c>
      <c r="F308" s="3" t="s">
        <v>46</v>
      </c>
      <c r="G308" s="3" t="s">
        <v>424</v>
      </c>
      <c r="H308" s="4">
        <v>10871</v>
      </c>
      <c r="I308" s="4">
        <v>10871</v>
      </c>
      <c r="J308" s="4">
        <v>9922</v>
      </c>
      <c r="K308" s="16"/>
      <c r="L308" s="17"/>
      <c r="M308" s="4">
        <v>949</v>
      </c>
      <c r="O308" t="s">
        <v>1388</v>
      </c>
    </row>
    <row r="309" spans="1:15" ht="21" hidden="1" x14ac:dyDescent="0.35">
      <c r="A309" s="64"/>
      <c r="B309" s="54" t="s">
        <v>7</v>
      </c>
      <c r="C309" s="55" t="str">
        <f t="shared" si="67"/>
        <v>8470630</v>
      </c>
      <c r="D309" s="56" t="str">
        <f t="shared" si="68"/>
        <v>KUST - Business Development</v>
      </c>
      <c r="E309" s="3" t="s">
        <v>50</v>
      </c>
      <c r="F309" s="3" t="s">
        <v>51</v>
      </c>
      <c r="G309" s="3" t="s">
        <v>425</v>
      </c>
      <c r="H309" s="4">
        <v>50871</v>
      </c>
      <c r="I309" s="4">
        <v>50871</v>
      </c>
      <c r="J309" s="4">
        <v>46431</v>
      </c>
      <c r="K309" s="16"/>
      <c r="L309" s="17"/>
      <c r="M309" s="4">
        <v>4440</v>
      </c>
      <c r="O309" t="s">
        <v>1388</v>
      </c>
    </row>
    <row r="310" spans="1:15" ht="21" hidden="1" x14ac:dyDescent="0.35">
      <c r="A310" s="65" t="s">
        <v>11</v>
      </c>
      <c r="B310" s="54" t="s">
        <v>7</v>
      </c>
      <c r="C310" s="55" t="str">
        <f t="shared" si="67"/>
        <v>8470630</v>
      </c>
      <c r="D310" s="56" t="str">
        <f t="shared" si="68"/>
        <v>KUST - Business Development</v>
      </c>
      <c r="E310" s="3" t="s">
        <v>53</v>
      </c>
      <c r="F310" s="3" t="s">
        <v>54</v>
      </c>
      <c r="G310" s="3" t="s">
        <v>426</v>
      </c>
      <c r="H310" s="4">
        <v>28331</v>
      </c>
      <c r="I310" s="4">
        <v>28331</v>
      </c>
      <c r="J310" s="4">
        <v>17908.11</v>
      </c>
      <c r="K310" s="16"/>
      <c r="L310" s="17"/>
      <c r="M310" s="4">
        <v>10422.89</v>
      </c>
      <c r="O310" t="s">
        <v>1388</v>
      </c>
    </row>
    <row r="311" spans="1:15" ht="14.5" hidden="1" customHeight="1" x14ac:dyDescent="0.35">
      <c r="A311" s="65"/>
      <c r="B311" s="54" t="s">
        <v>7</v>
      </c>
      <c r="C311" s="55" t="s">
        <v>427</v>
      </c>
      <c r="D311" s="56" t="s">
        <v>428</v>
      </c>
      <c r="E311" s="3" t="s">
        <v>21</v>
      </c>
      <c r="F311" s="3" t="s">
        <v>22</v>
      </c>
      <c r="G311" s="3" t="s">
        <v>429</v>
      </c>
      <c r="H311" s="4">
        <v>4996259</v>
      </c>
      <c r="I311" s="4">
        <v>3954459</v>
      </c>
      <c r="J311" s="4">
        <v>3667769.92</v>
      </c>
      <c r="K311" s="16"/>
      <c r="L311" s="17"/>
      <c r="M311" s="4">
        <v>286689.08000000101</v>
      </c>
      <c r="O311" t="s">
        <v>1388</v>
      </c>
    </row>
    <row r="312" spans="1:15" ht="21" hidden="1" customHeight="1" x14ac:dyDescent="0.35">
      <c r="A312" s="65"/>
      <c r="B312" s="54" t="s">
        <v>7</v>
      </c>
      <c r="C312" s="55" t="str">
        <f t="shared" ref="C312:C321" si="69">C311</f>
        <v>8470710</v>
      </c>
      <c r="D312" s="56" t="str">
        <f t="shared" ref="D312:D321" si="70">D311</f>
        <v>KUST - VP/ HR &amp; Procurement Office</v>
      </c>
      <c r="E312" s="3" t="s">
        <v>24</v>
      </c>
      <c r="F312" s="3" t="s">
        <v>25</v>
      </c>
      <c r="G312" s="3" t="s">
        <v>430</v>
      </c>
      <c r="H312" s="4">
        <v>254400</v>
      </c>
      <c r="I312" s="4">
        <v>254400</v>
      </c>
      <c r="J312" s="4">
        <v>186673.33</v>
      </c>
      <c r="K312" s="16"/>
      <c r="L312" s="17"/>
      <c r="M312" s="4">
        <v>67726.67</v>
      </c>
      <c r="O312" t="s">
        <v>1388</v>
      </c>
    </row>
    <row r="313" spans="1:15" ht="21" hidden="1" customHeight="1" x14ac:dyDescent="0.35">
      <c r="A313" s="65"/>
      <c r="B313" s="54" t="s">
        <v>7</v>
      </c>
      <c r="C313" s="55" t="str">
        <f t="shared" si="69"/>
        <v>8470710</v>
      </c>
      <c r="D313" s="56" t="str">
        <f t="shared" si="70"/>
        <v>KUST - VP/ HR &amp; Procurement Office</v>
      </c>
      <c r="E313" s="3" t="s">
        <v>27</v>
      </c>
      <c r="F313" s="3" t="s">
        <v>28</v>
      </c>
      <c r="G313" s="3" t="s">
        <v>431</v>
      </c>
      <c r="H313" s="4">
        <v>3551574</v>
      </c>
      <c r="I313" s="4">
        <v>2939574</v>
      </c>
      <c r="J313" s="4">
        <v>2760554.42</v>
      </c>
      <c r="K313" s="16"/>
      <c r="L313" s="17"/>
      <c r="M313" s="4">
        <v>179019.58</v>
      </c>
      <c r="O313" t="s">
        <v>1388</v>
      </c>
    </row>
    <row r="314" spans="1:15" ht="21" hidden="1" customHeight="1" x14ac:dyDescent="0.35">
      <c r="A314" s="65"/>
      <c r="B314" s="54" t="s">
        <v>7</v>
      </c>
      <c r="C314" s="55" t="str">
        <f t="shared" si="69"/>
        <v>8470710</v>
      </c>
      <c r="D314" s="56" t="str">
        <f t="shared" si="70"/>
        <v>KUST - VP/ HR &amp; Procurement Office</v>
      </c>
      <c r="E314" s="3" t="s">
        <v>33</v>
      </c>
      <c r="F314" s="3" t="s">
        <v>34</v>
      </c>
      <c r="G314" s="3" t="s">
        <v>432</v>
      </c>
      <c r="H314" s="4">
        <v>866820</v>
      </c>
      <c r="I314" s="4">
        <v>801820</v>
      </c>
      <c r="J314" s="4">
        <v>585443.67000000004</v>
      </c>
      <c r="K314" s="16"/>
      <c r="L314" s="17"/>
      <c r="M314" s="4">
        <v>216376.33</v>
      </c>
      <c r="O314" t="s">
        <v>1388</v>
      </c>
    </row>
    <row r="315" spans="1:15" ht="21" hidden="1" customHeight="1" x14ac:dyDescent="0.35">
      <c r="A315" s="65"/>
      <c r="B315" s="54" t="s">
        <v>7</v>
      </c>
      <c r="C315" s="55" t="str">
        <f t="shared" si="69"/>
        <v>8470710</v>
      </c>
      <c r="D315" s="56" t="str">
        <f t="shared" si="70"/>
        <v>KUST - VP/ HR &amp; Procurement Office</v>
      </c>
      <c r="E315" s="3" t="s">
        <v>36</v>
      </c>
      <c r="F315" s="3" t="s">
        <v>37</v>
      </c>
      <c r="G315" s="3" t="s">
        <v>433</v>
      </c>
      <c r="H315" s="4">
        <v>170000</v>
      </c>
      <c r="I315" s="4">
        <v>149600</v>
      </c>
      <c r="J315" s="4">
        <v>108060</v>
      </c>
      <c r="K315" s="16"/>
      <c r="L315" s="17"/>
      <c r="M315" s="4">
        <v>41540</v>
      </c>
      <c r="O315" t="s">
        <v>1388</v>
      </c>
    </row>
    <row r="316" spans="1:15" ht="21" hidden="1" customHeight="1" x14ac:dyDescent="0.35">
      <c r="A316" s="65"/>
      <c r="B316" s="54" t="s">
        <v>7</v>
      </c>
      <c r="C316" s="55" t="str">
        <f t="shared" si="69"/>
        <v>8470710</v>
      </c>
      <c r="D316" s="56" t="str">
        <f t="shared" si="70"/>
        <v>KUST - VP/ HR &amp; Procurement Office</v>
      </c>
      <c r="E316" s="3" t="s">
        <v>39</v>
      </c>
      <c r="F316" s="3" t="s">
        <v>40</v>
      </c>
      <c r="G316" s="3" t="s">
        <v>434</v>
      </c>
      <c r="H316" s="4">
        <v>2644008</v>
      </c>
      <c r="I316" s="4">
        <v>1842008</v>
      </c>
      <c r="J316" s="4">
        <v>1764995.33</v>
      </c>
      <c r="K316" s="16"/>
      <c r="L316" s="17"/>
      <c r="M316" s="4">
        <v>77012.669999999896</v>
      </c>
      <c r="O316" t="s">
        <v>1388</v>
      </c>
    </row>
    <row r="317" spans="1:15" ht="21" hidden="1" customHeight="1" x14ac:dyDescent="0.35">
      <c r="A317" s="65"/>
      <c r="B317" s="54" t="s">
        <v>7</v>
      </c>
      <c r="C317" s="55" t="str">
        <f t="shared" si="69"/>
        <v>8470710</v>
      </c>
      <c r="D317" s="56" t="str">
        <f t="shared" si="70"/>
        <v>KUST - VP/ HR &amp; Procurement Office</v>
      </c>
      <c r="E317" s="3" t="s">
        <v>42</v>
      </c>
      <c r="F317" s="3" t="s">
        <v>43</v>
      </c>
      <c r="G317" s="3" t="s">
        <v>435</v>
      </c>
      <c r="H317" s="4">
        <v>390415</v>
      </c>
      <c r="I317" s="4">
        <v>234143</v>
      </c>
      <c r="J317" s="4">
        <v>233366.5</v>
      </c>
      <c r="K317" s="16"/>
      <c r="L317" s="17"/>
      <c r="M317" s="4">
        <v>776.5</v>
      </c>
      <c r="O317" t="s">
        <v>1388</v>
      </c>
    </row>
    <row r="318" spans="1:15" ht="21" hidden="1" customHeight="1" x14ac:dyDescent="0.35">
      <c r="A318" s="65"/>
      <c r="B318" s="54" t="s">
        <v>7</v>
      </c>
      <c r="C318" s="55" t="str">
        <f t="shared" si="69"/>
        <v>8470710</v>
      </c>
      <c r="D318" s="56" t="str">
        <f t="shared" si="70"/>
        <v>KUST - VP/ HR &amp; Procurement Office</v>
      </c>
      <c r="E318" s="3" t="s">
        <v>45</v>
      </c>
      <c r="F318" s="3" t="s">
        <v>46</v>
      </c>
      <c r="G318" s="3" t="s">
        <v>436</v>
      </c>
      <c r="H318" s="4">
        <v>58210</v>
      </c>
      <c r="I318" s="4">
        <v>58210</v>
      </c>
      <c r="J318" s="4">
        <v>47709</v>
      </c>
      <c r="K318" s="16"/>
      <c r="L318" s="17"/>
      <c r="M318" s="4">
        <v>10501</v>
      </c>
      <c r="O318" t="s">
        <v>1388</v>
      </c>
    </row>
    <row r="319" spans="1:15" ht="21" hidden="1" customHeight="1" x14ac:dyDescent="0.35">
      <c r="A319" s="65"/>
      <c r="B319" s="54" t="s">
        <v>7</v>
      </c>
      <c r="C319" s="55" t="str">
        <f t="shared" si="69"/>
        <v>8470710</v>
      </c>
      <c r="D319" s="56" t="str">
        <f t="shared" si="70"/>
        <v>KUST - VP/ HR &amp; Procurement Office</v>
      </c>
      <c r="E319" s="3" t="s">
        <v>50</v>
      </c>
      <c r="F319" s="3" t="s">
        <v>51</v>
      </c>
      <c r="G319" s="3" t="s">
        <v>437</v>
      </c>
      <c r="H319" s="4">
        <v>1120009</v>
      </c>
      <c r="I319" s="4">
        <v>930009</v>
      </c>
      <c r="J319" s="4">
        <v>785929.85</v>
      </c>
      <c r="K319" s="16"/>
      <c r="L319" s="17"/>
      <c r="M319" s="4">
        <v>144079.15</v>
      </c>
      <c r="O319" t="s">
        <v>1388</v>
      </c>
    </row>
    <row r="320" spans="1:15" ht="21" hidden="1" customHeight="1" x14ac:dyDescent="0.35">
      <c r="A320" s="65"/>
      <c r="B320" s="54" t="s">
        <v>7</v>
      </c>
      <c r="C320" s="55" t="str">
        <f t="shared" si="69"/>
        <v>8470710</v>
      </c>
      <c r="D320" s="56" t="str">
        <f t="shared" si="70"/>
        <v>KUST - VP/ HR &amp; Procurement Office</v>
      </c>
      <c r="E320" s="3" t="s">
        <v>66</v>
      </c>
      <c r="F320" s="3" t="s">
        <v>67</v>
      </c>
      <c r="G320" s="3" t="s">
        <v>438</v>
      </c>
      <c r="H320" s="4">
        <v>47076</v>
      </c>
      <c r="I320" s="4">
        <v>122256</v>
      </c>
      <c r="J320" s="4">
        <v>96370.32</v>
      </c>
      <c r="K320" s="16"/>
      <c r="L320" s="17"/>
      <c r="M320" s="4">
        <v>25885.68</v>
      </c>
      <c r="O320" t="s">
        <v>1388</v>
      </c>
    </row>
    <row r="321" spans="1:15" ht="21" hidden="1" customHeight="1" x14ac:dyDescent="0.35">
      <c r="A321" s="65"/>
      <c r="B321" s="54" t="s">
        <v>7</v>
      </c>
      <c r="C321" s="55" t="str">
        <f t="shared" si="69"/>
        <v>8470710</v>
      </c>
      <c r="D321" s="56" t="str">
        <f t="shared" si="70"/>
        <v>KUST - VP/ HR &amp; Procurement Office</v>
      </c>
      <c r="E321" s="3" t="s">
        <v>53</v>
      </c>
      <c r="F321" s="3" t="s">
        <v>54</v>
      </c>
      <c r="G321" s="3" t="s">
        <v>439</v>
      </c>
      <c r="H321" s="4">
        <v>73710</v>
      </c>
      <c r="I321" s="4">
        <v>73710</v>
      </c>
      <c r="J321" s="4">
        <v>49444.56</v>
      </c>
      <c r="K321" s="16"/>
      <c r="L321" s="17"/>
      <c r="M321" s="4">
        <v>24265.439999999999</v>
      </c>
      <c r="O321" t="s">
        <v>1388</v>
      </c>
    </row>
    <row r="322" spans="1:15" ht="14.5" hidden="1" customHeight="1" x14ac:dyDescent="0.35">
      <c r="A322" s="65"/>
      <c r="B322" s="54" t="s">
        <v>7</v>
      </c>
      <c r="C322" s="55" t="s">
        <v>440</v>
      </c>
      <c r="D322" s="56" t="s">
        <v>441</v>
      </c>
      <c r="E322" s="3" t="s">
        <v>21</v>
      </c>
      <c r="F322" s="3" t="s">
        <v>22</v>
      </c>
      <c r="G322" s="3" t="s">
        <v>442</v>
      </c>
      <c r="H322" s="4">
        <v>2337479</v>
      </c>
      <c r="I322" s="4">
        <v>2335159</v>
      </c>
      <c r="J322" s="4">
        <v>2310196.67</v>
      </c>
      <c r="K322" s="16"/>
      <c r="L322" s="17"/>
      <c r="M322" s="4">
        <v>24962.3300000001</v>
      </c>
      <c r="O322" t="s">
        <v>1388</v>
      </c>
    </row>
    <row r="323" spans="1:15" ht="21" hidden="1" x14ac:dyDescent="0.35">
      <c r="A323" s="65"/>
      <c r="B323" s="54" t="s">
        <v>7</v>
      </c>
      <c r="C323" s="55" t="str">
        <f t="shared" ref="C323:C330" si="71">C322</f>
        <v>8470720</v>
      </c>
      <c r="D323" s="56" t="str">
        <f t="shared" ref="D323:D330" si="72">D322</f>
        <v>KUST - Procurement</v>
      </c>
      <c r="E323" s="3" t="s">
        <v>27</v>
      </c>
      <c r="F323" s="3" t="s">
        <v>28</v>
      </c>
      <c r="G323" s="3" t="s">
        <v>443</v>
      </c>
      <c r="H323" s="4">
        <v>2442071</v>
      </c>
      <c r="I323" s="4">
        <v>3054071</v>
      </c>
      <c r="J323" s="4">
        <v>2734303.67</v>
      </c>
      <c r="K323" s="16"/>
      <c r="L323" s="17"/>
      <c r="M323" s="4">
        <v>319767.33</v>
      </c>
      <c r="O323" t="s">
        <v>1388</v>
      </c>
    </row>
    <row r="324" spans="1:15" ht="21" hidden="1" x14ac:dyDescent="0.35">
      <c r="A324" s="65"/>
      <c r="B324" s="54" t="s">
        <v>7</v>
      </c>
      <c r="C324" s="55" t="str">
        <f t="shared" si="71"/>
        <v>8470720</v>
      </c>
      <c r="D324" s="56" t="str">
        <f t="shared" si="72"/>
        <v>KUST - Procurement</v>
      </c>
      <c r="E324" s="3" t="s">
        <v>60</v>
      </c>
      <c r="F324" s="3" t="s">
        <v>61</v>
      </c>
      <c r="G324" s="3" t="s">
        <v>444</v>
      </c>
      <c r="H324" s="4">
        <v>0</v>
      </c>
      <c r="I324" s="4">
        <v>98800</v>
      </c>
      <c r="J324" s="4">
        <v>55735.3</v>
      </c>
      <c r="K324" s="16"/>
      <c r="L324" s="17"/>
      <c r="M324" s="4">
        <v>43064.7</v>
      </c>
      <c r="O324" t="s">
        <v>1388</v>
      </c>
    </row>
    <row r="325" spans="1:15" ht="21" hidden="1" x14ac:dyDescent="0.35">
      <c r="A325" s="65"/>
      <c r="B325" s="54" t="s">
        <v>7</v>
      </c>
      <c r="C325" s="55" t="str">
        <f t="shared" si="71"/>
        <v>8470720</v>
      </c>
      <c r="D325" s="56" t="str">
        <f t="shared" si="72"/>
        <v>KUST - Procurement</v>
      </c>
      <c r="E325" s="3" t="s">
        <v>36</v>
      </c>
      <c r="F325" s="3" t="s">
        <v>37</v>
      </c>
      <c r="G325" s="3" t="s">
        <v>445</v>
      </c>
      <c r="H325" s="4">
        <v>0</v>
      </c>
      <c r="I325" s="4">
        <v>40720</v>
      </c>
      <c r="J325" s="4">
        <v>34720</v>
      </c>
      <c r="K325" s="16"/>
      <c r="L325" s="17"/>
      <c r="M325" s="4">
        <v>6000</v>
      </c>
      <c r="O325" t="s">
        <v>1388</v>
      </c>
    </row>
    <row r="326" spans="1:15" ht="21" hidden="1" x14ac:dyDescent="0.35">
      <c r="A326" s="65"/>
      <c r="B326" s="54" t="s">
        <v>7</v>
      </c>
      <c r="C326" s="55" t="str">
        <f t="shared" si="71"/>
        <v>8470720</v>
      </c>
      <c r="D326" s="56" t="str">
        <f t="shared" si="72"/>
        <v>KUST - Procurement</v>
      </c>
      <c r="E326" s="3" t="s">
        <v>42</v>
      </c>
      <c r="F326" s="3" t="s">
        <v>43</v>
      </c>
      <c r="G326" s="3" t="s">
        <v>446</v>
      </c>
      <c r="H326" s="4">
        <v>251948</v>
      </c>
      <c r="I326" s="4">
        <v>266948</v>
      </c>
      <c r="J326" s="4">
        <v>266180.52</v>
      </c>
      <c r="K326" s="16"/>
      <c r="L326" s="17"/>
      <c r="M326" s="4">
        <v>767.47999999998103</v>
      </c>
      <c r="O326" t="s">
        <v>1388</v>
      </c>
    </row>
    <row r="327" spans="1:15" ht="21" hidden="1" x14ac:dyDescent="0.35">
      <c r="A327" s="65"/>
      <c r="B327" s="54" t="s">
        <v>7</v>
      </c>
      <c r="C327" s="55" t="str">
        <f t="shared" si="71"/>
        <v>8470720</v>
      </c>
      <c r="D327" s="56" t="str">
        <f t="shared" si="72"/>
        <v>KUST - Procurement</v>
      </c>
      <c r="E327" s="3" t="s">
        <v>45</v>
      </c>
      <c r="F327" s="3" t="s">
        <v>46</v>
      </c>
      <c r="G327" s="3" t="s">
        <v>447</v>
      </c>
      <c r="H327" s="4">
        <v>87948</v>
      </c>
      <c r="I327" s="4">
        <v>128948</v>
      </c>
      <c r="J327" s="4">
        <v>114386.3</v>
      </c>
      <c r="K327" s="16"/>
      <c r="L327" s="17"/>
      <c r="M327" s="4">
        <v>14561.7</v>
      </c>
      <c r="O327" t="s">
        <v>1388</v>
      </c>
    </row>
    <row r="328" spans="1:15" ht="21" hidden="1" x14ac:dyDescent="0.35">
      <c r="A328" s="65"/>
      <c r="B328" s="54" t="s">
        <v>7</v>
      </c>
      <c r="C328" s="55" t="str">
        <f t="shared" si="71"/>
        <v>8470720</v>
      </c>
      <c r="D328" s="56" t="str">
        <f t="shared" si="72"/>
        <v>KUST - Procurement</v>
      </c>
      <c r="E328" s="3" t="s">
        <v>50</v>
      </c>
      <c r="F328" s="3" t="s">
        <v>51</v>
      </c>
      <c r="G328" s="3" t="s">
        <v>448</v>
      </c>
      <c r="H328" s="4">
        <v>406460</v>
      </c>
      <c r="I328" s="4">
        <v>596460</v>
      </c>
      <c r="J328" s="4">
        <v>530171.75</v>
      </c>
      <c r="K328" s="16"/>
      <c r="L328" s="17"/>
      <c r="M328" s="4">
        <v>66288.25</v>
      </c>
      <c r="O328" t="s">
        <v>1388</v>
      </c>
    </row>
    <row r="329" spans="1:15" ht="21" hidden="1" x14ac:dyDescent="0.35">
      <c r="A329" s="65"/>
      <c r="B329" s="54" t="s">
        <v>7</v>
      </c>
      <c r="C329" s="55" t="str">
        <f t="shared" si="71"/>
        <v>8470720</v>
      </c>
      <c r="D329" s="56" t="str">
        <f t="shared" si="72"/>
        <v>KUST - Procurement</v>
      </c>
      <c r="E329" s="3" t="s">
        <v>66</v>
      </c>
      <c r="F329" s="3" t="s">
        <v>67</v>
      </c>
      <c r="G329" s="3" t="s">
        <v>449</v>
      </c>
      <c r="H329" s="4">
        <v>0</v>
      </c>
      <c r="I329" s="4">
        <v>32000</v>
      </c>
      <c r="J329" s="4">
        <v>31100</v>
      </c>
      <c r="K329" s="16"/>
      <c r="L329" s="17"/>
      <c r="M329" s="4">
        <v>900</v>
      </c>
      <c r="O329" t="s">
        <v>1388</v>
      </c>
    </row>
    <row r="330" spans="1:15" ht="21" hidden="1" x14ac:dyDescent="0.35">
      <c r="A330" s="65"/>
      <c r="B330" s="54" t="s">
        <v>7</v>
      </c>
      <c r="C330" s="55" t="str">
        <f t="shared" si="71"/>
        <v>8470720</v>
      </c>
      <c r="D330" s="56" t="str">
        <f t="shared" si="72"/>
        <v>KUST - Procurement</v>
      </c>
      <c r="E330" s="3" t="s">
        <v>53</v>
      </c>
      <c r="F330" s="3" t="s">
        <v>54</v>
      </c>
      <c r="G330" s="3" t="s">
        <v>450</v>
      </c>
      <c r="H330" s="4">
        <v>117183</v>
      </c>
      <c r="I330" s="4">
        <v>117183</v>
      </c>
      <c r="J330" s="4">
        <v>68040.72</v>
      </c>
      <c r="K330" s="16"/>
      <c r="L330" s="17"/>
      <c r="M330" s="4">
        <v>49142.28</v>
      </c>
      <c r="O330" t="s">
        <v>1388</v>
      </c>
    </row>
    <row r="331" spans="1:15" ht="14.5" hidden="1" customHeight="1" x14ac:dyDescent="0.35">
      <c r="A331" s="65"/>
      <c r="B331" s="54" t="s">
        <v>7</v>
      </c>
      <c r="C331" s="55" t="s">
        <v>451</v>
      </c>
      <c r="D331" s="56" t="s">
        <v>452</v>
      </c>
      <c r="E331" s="3" t="s">
        <v>21</v>
      </c>
      <c r="F331" s="3" t="s">
        <v>22</v>
      </c>
      <c r="G331" s="3" t="s">
        <v>453</v>
      </c>
      <c r="H331" s="4">
        <v>3909390</v>
      </c>
      <c r="I331" s="4">
        <v>4472790</v>
      </c>
      <c r="J331" s="4">
        <v>4058402.51</v>
      </c>
      <c r="K331" s="16"/>
      <c r="L331" s="17"/>
      <c r="M331" s="4">
        <v>414387.49</v>
      </c>
      <c r="O331" t="s">
        <v>1388</v>
      </c>
    </row>
    <row r="332" spans="1:15" ht="21" hidden="1" x14ac:dyDescent="0.35">
      <c r="A332" s="65"/>
      <c r="B332" s="54" t="s">
        <v>7</v>
      </c>
      <c r="C332" s="55" t="str">
        <f t="shared" ref="C332:C347" si="73">C331</f>
        <v>8470730</v>
      </c>
      <c r="D332" s="56" t="str">
        <f t="shared" ref="D332:D347" si="74">D331</f>
        <v>KUST - Human Resources</v>
      </c>
      <c r="E332" s="3" t="s">
        <v>27</v>
      </c>
      <c r="F332" s="3" t="s">
        <v>28</v>
      </c>
      <c r="G332" s="3" t="s">
        <v>454</v>
      </c>
      <c r="H332" s="4">
        <v>4923355</v>
      </c>
      <c r="I332" s="4">
        <v>5643355</v>
      </c>
      <c r="J332" s="4">
        <v>5186649.8099999996</v>
      </c>
      <c r="K332" s="16"/>
      <c r="L332" s="17"/>
      <c r="M332" s="4">
        <v>456705.19</v>
      </c>
      <c r="O332" t="s">
        <v>1388</v>
      </c>
    </row>
    <row r="333" spans="1:15" ht="21" hidden="1" x14ac:dyDescent="0.35">
      <c r="A333" s="65"/>
      <c r="B333" s="54" t="s">
        <v>7</v>
      </c>
      <c r="C333" s="55" t="str">
        <f t="shared" si="73"/>
        <v>8470730</v>
      </c>
      <c r="D333" s="56" t="str">
        <f t="shared" si="74"/>
        <v>KUST - Human Resources</v>
      </c>
      <c r="E333" s="3" t="s">
        <v>85</v>
      </c>
      <c r="F333" s="3" t="s">
        <v>86</v>
      </c>
      <c r="G333" s="3" t="s">
        <v>455</v>
      </c>
      <c r="H333" s="4">
        <v>3420878</v>
      </c>
      <c r="I333" s="4">
        <v>1448705</v>
      </c>
      <c r="J333" s="4">
        <v>1191115.6299999999</v>
      </c>
      <c r="K333" s="16"/>
      <c r="L333" s="17"/>
      <c r="M333" s="4">
        <v>257589.37</v>
      </c>
      <c r="O333" t="s">
        <v>1388</v>
      </c>
    </row>
    <row r="334" spans="1:15" ht="21" hidden="1" x14ac:dyDescent="0.35">
      <c r="A334" s="65"/>
      <c r="B334" s="54" t="s">
        <v>7</v>
      </c>
      <c r="C334" s="55" t="str">
        <f t="shared" si="73"/>
        <v>8470730</v>
      </c>
      <c r="D334" s="56" t="str">
        <f t="shared" si="74"/>
        <v>KUST - Human Resources</v>
      </c>
      <c r="E334" s="3" t="s">
        <v>60</v>
      </c>
      <c r="F334" s="3" t="s">
        <v>61</v>
      </c>
      <c r="G334" s="3" t="s">
        <v>456</v>
      </c>
      <c r="H334" s="4">
        <v>50852</v>
      </c>
      <c r="I334" s="4">
        <v>40804</v>
      </c>
      <c r="J334" s="4">
        <v>25053.42</v>
      </c>
      <c r="K334" s="16"/>
      <c r="L334" s="17"/>
      <c r="M334" s="4">
        <v>15750.58</v>
      </c>
      <c r="O334" t="s">
        <v>1388</v>
      </c>
    </row>
    <row r="335" spans="1:15" ht="21" hidden="1" x14ac:dyDescent="0.35">
      <c r="A335" s="65"/>
      <c r="B335" s="54" t="s">
        <v>7</v>
      </c>
      <c r="C335" s="55" t="str">
        <f t="shared" si="73"/>
        <v>8470730</v>
      </c>
      <c r="D335" s="56" t="str">
        <f t="shared" si="74"/>
        <v>KUST - Human Resources</v>
      </c>
      <c r="E335" s="3" t="s">
        <v>36</v>
      </c>
      <c r="F335" s="3" t="s">
        <v>37</v>
      </c>
      <c r="G335" s="3" t="s">
        <v>457</v>
      </c>
      <c r="H335" s="4">
        <v>14400</v>
      </c>
      <c r="I335" s="4">
        <v>33000</v>
      </c>
      <c r="J335" s="4">
        <v>27040</v>
      </c>
      <c r="K335" s="16"/>
      <c r="L335" s="17"/>
      <c r="M335" s="4">
        <v>5960</v>
      </c>
      <c r="O335" t="s">
        <v>1388</v>
      </c>
    </row>
    <row r="336" spans="1:15" ht="21" hidden="1" x14ac:dyDescent="0.35">
      <c r="A336" s="65"/>
      <c r="B336" s="54" t="s">
        <v>7</v>
      </c>
      <c r="C336" s="55" t="str">
        <f t="shared" si="73"/>
        <v>8470730</v>
      </c>
      <c r="D336" s="56" t="str">
        <f t="shared" si="74"/>
        <v>KUST - Human Resources</v>
      </c>
      <c r="E336" s="3" t="s">
        <v>42</v>
      </c>
      <c r="F336" s="3" t="s">
        <v>43</v>
      </c>
      <c r="G336" s="3" t="s">
        <v>458</v>
      </c>
      <c r="H336" s="4">
        <v>355330</v>
      </c>
      <c r="I336" s="4">
        <v>449808</v>
      </c>
      <c r="J336" s="4">
        <v>449807.5</v>
      </c>
      <c r="K336" s="16"/>
      <c r="L336" s="17"/>
      <c r="M336" s="4">
        <v>0.5</v>
      </c>
      <c r="O336" t="s">
        <v>1388</v>
      </c>
    </row>
    <row r="337" spans="1:15" ht="21" hidden="1" x14ac:dyDescent="0.35">
      <c r="A337" s="65"/>
      <c r="B337" s="54" t="s">
        <v>7</v>
      </c>
      <c r="C337" s="55" t="str">
        <f t="shared" si="73"/>
        <v>8470730</v>
      </c>
      <c r="D337" s="56" t="str">
        <f t="shared" si="74"/>
        <v>KUST - Human Resources</v>
      </c>
      <c r="E337" s="3" t="s">
        <v>45</v>
      </c>
      <c r="F337" s="3" t="s">
        <v>46</v>
      </c>
      <c r="G337" s="3" t="s">
        <v>459</v>
      </c>
      <c r="H337" s="4">
        <v>207013</v>
      </c>
      <c r="I337" s="4">
        <v>252013</v>
      </c>
      <c r="J337" s="4">
        <v>227404.14</v>
      </c>
      <c r="K337" s="16"/>
      <c r="L337" s="17"/>
      <c r="M337" s="4">
        <v>24608.86</v>
      </c>
      <c r="O337" t="s">
        <v>1388</v>
      </c>
    </row>
    <row r="338" spans="1:15" ht="21" hidden="1" x14ac:dyDescent="0.35">
      <c r="A338" s="65"/>
      <c r="B338" s="54" t="s">
        <v>7</v>
      </c>
      <c r="C338" s="55" t="str">
        <f t="shared" si="73"/>
        <v>8470730</v>
      </c>
      <c r="D338" s="56" t="str">
        <f t="shared" si="74"/>
        <v>KUST - Human Resources</v>
      </c>
      <c r="E338" s="3" t="s">
        <v>460</v>
      </c>
      <c r="F338" s="3" t="s">
        <v>461</v>
      </c>
      <c r="G338" s="3" t="s">
        <v>462</v>
      </c>
      <c r="H338" s="4">
        <v>3526</v>
      </c>
      <c r="I338" s="4">
        <v>3526</v>
      </c>
      <c r="J338" s="4">
        <v>389.68</v>
      </c>
      <c r="K338" s="16"/>
      <c r="L338" s="17"/>
      <c r="M338" s="4">
        <v>3136.32</v>
      </c>
      <c r="O338" t="s">
        <v>1388</v>
      </c>
    </row>
    <row r="339" spans="1:15" ht="21" hidden="1" x14ac:dyDescent="0.35">
      <c r="A339" s="65"/>
      <c r="B339" s="54" t="s">
        <v>7</v>
      </c>
      <c r="C339" s="55" t="str">
        <f t="shared" si="73"/>
        <v>8470730</v>
      </c>
      <c r="D339" s="56" t="str">
        <f t="shared" si="74"/>
        <v>KUST - Human Resources</v>
      </c>
      <c r="E339" s="3" t="s">
        <v>75</v>
      </c>
      <c r="F339" s="3" t="s">
        <v>76</v>
      </c>
      <c r="G339" s="3" t="s">
        <v>463</v>
      </c>
      <c r="H339" s="4">
        <v>2700000</v>
      </c>
      <c r="I339" s="4">
        <v>1927628</v>
      </c>
      <c r="J339" s="17"/>
      <c r="K339" s="16"/>
      <c r="L339" s="17"/>
      <c r="M339" s="4">
        <v>1927628</v>
      </c>
      <c r="O339" t="s">
        <v>1388</v>
      </c>
    </row>
    <row r="340" spans="1:15" ht="21" hidden="1" x14ac:dyDescent="0.35">
      <c r="A340" s="65"/>
      <c r="B340" s="54" t="s">
        <v>7</v>
      </c>
      <c r="C340" s="55" t="str">
        <f t="shared" si="73"/>
        <v>8470730</v>
      </c>
      <c r="D340" s="56" t="str">
        <f t="shared" si="74"/>
        <v>KUST - Human Resources</v>
      </c>
      <c r="E340" s="3" t="s">
        <v>50</v>
      </c>
      <c r="F340" s="3" t="s">
        <v>51</v>
      </c>
      <c r="G340" s="3" t="s">
        <v>464</v>
      </c>
      <c r="H340" s="4">
        <v>944207</v>
      </c>
      <c r="I340" s="4">
        <v>1156207</v>
      </c>
      <c r="J340" s="4">
        <v>1041510.54</v>
      </c>
      <c r="K340" s="16"/>
      <c r="L340" s="17"/>
      <c r="M340" s="4">
        <v>114696.46</v>
      </c>
      <c r="O340" t="s">
        <v>1388</v>
      </c>
    </row>
    <row r="341" spans="1:15" ht="21" hidden="1" x14ac:dyDescent="0.35">
      <c r="A341" s="65"/>
      <c r="B341" s="54" t="s">
        <v>7</v>
      </c>
      <c r="C341" s="55" t="str">
        <f t="shared" si="73"/>
        <v>8470730</v>
      </c>
      <c r="D341" s="56" t="str">
        <f t="shared" si="74"/>
        <v>KUST - Human Resources</v>
      </c>
      <c r="E341" s="3" t="s">
        <v>465</v>
      </c>
      <c r="F341" s="3" t="s">
        <v>466</v>
      </c>
      <c r="G341" s="3" t="s">
        <v>467</v>
      </c>
      <c r="H341" s="4">
        <v>3894122</v>
      </c>
      <c r="I341" s="4">
        <v>3894122</v>
      </c>
      <c r="J341" s="4">
        <v>1489817.11</v>
      </c>
      <c r="K341" s="5">
        <v>2</v>
      </c>
      <c r="L341" s="4">
        <v>74927.360000000001</v>
      </c>
      <c r="M341" s="4">
        <v>2329375.5299999998</v>
      </c>
      <c r="O341" t="s">
        <v>1388</v>
      </c>
    </row>
    <row r="342" spans="1:15" ht="21" hidden="1" x14ac:dyDescent="0.35">
      <c r="A342" s="65"/>
      <c r="B342" s="54" t="s">
        <v>7</v>
      </c>
      <c r="C342" s="55" t="str">
        <f t="shared" si="73"/>
        <v>8470730</v>
      </c>
      <c r="D342" s="56" t="str">
        <f t="shared" si="74"/>
        <v>KUST - Human Resources</v>
      </c>
      <c r="E342" s="3" t="s">
        <v>468</v>
      </c>
      <c r="F342" s="3" t="s">
        <v>469</v>
      </c>
      <c r="G342" s="3" t="s">
        <v>470</v>
      </c>
      <c r="H342" s="4">
        <v>1658090</v>
      </c>
      <c r="I342" s="4">
        <v>1658090</v>
      </c>
      <c r="J342" s="4">
        <v>1233782.8600000001</v>
      </c>
      <c r="K342" s="5">
        <v>1</v>
      </c>
      <c r="L342" s="17"/>
      <c r="M342" s="4">
        <v>424306.14</v>
      </c>
      <c r="O342" t="s">
        <v>1388</v>
      </c>
    </row>
    <row r="343" spans="1:15" ht="21" hidden="1" x14ac:dyDescent="0.35">
      <c r="A343" s="65"/>
      <c r="B343" s="54" t="s">
        <v>7</v>
      </c>
      <c r="C343" s="55" t="str">
        <f t="shared" si="73"/>
        <v>8470730</v>
      </c>
      <c r="D343" s="56" t="str">
        <f t="shared" si="74"/>
        <v>KUST - Human Resources</v>
      </c>
      <c r="E343" s="3" t="s">
        <v>471</v>
      </c>
      <c r="F343" s="3" t="s">
        <v>472</v>
      </c>
      <c r="G343" s="3" t="s">
        <v>473</v>
      </c>
      <c r="H343" s="4">
        <v>4192998</v>
      </c>
      <c r="I343" s="4">
        <v>4192998</v>
      </c>
      <c r="J343" s="4">
        <v>1375523</v>
      </c>
      <c r="K343" s="16"/>
      <c r="L343" s="17"/>
      <c r="M343" s="4">
        <v>2817475</v>
      </c>
      <c r="O343" t="s">
        <v>1388</v>
      </c>
    </row>
    <row r="344" spans="1:15" ht="21" hidden="1" x14ac:dyDescent="0.35">
      <c r="A344" s="65"/>
      <c r="B344" s="54" t="s">
        <v>7</v>
      </c>
      <c r="C344" s="55" t="str">
        <f t="shared" si="73"/>
        <v>8470730</v>
      </c>
      <c r="D344" s="56" t="str">
        <f t="shared" si="74"/>
        <v>KUST - Human Resources</v>
      </c>
      <c r="E344" s="3" t="s">
        <v>474</v>
      </c>
      <c r="F344" s="3" t="s">
        <v>475</v>
      </c>
      <c r="G344" s="3" t="s">
        <v>476</v>
      </c>
      <c r="H344" s="4">
        <v>1947061</v>
      </c>
      <c r="I344" s="4">
        <v>1947061</v>
      </c>
      <c r="J344" s="4">
        <v>-163739.97</v>
      </c>
      <c r="K344" s="5">
        <v>118411</v>
      </c>
      <c r="L344" s="4">
        <v>59953.89</v>
      </c>
      <c r="M344" s="4">
        <v>1932436.08</v>
      </c>
      <c r="O344" t="s">
        <v>1388</v>
      </c>
    </row>
    <row r="345" spans="1:15" ht="21" hidden="1" x14ac:dyDescent="0.35">
      <c r="A345" s="65"/>
      <c r="B345" s="54" t="s">
        <v>7</v>
      </c>
      <c r="C345" s="55" t="str">
        <f t="shared" si="73"/>
        <v>8470730</v>
      </c>
      <c r="D345" s="56" t="str">
        <f t="shared" si="74"/>
        <v>KUST - Human Resources</v>
      </c>
      <c r="E345" s="67" t="s">
        <v>66</v>
      </c>
      <c r="F345" s="67" t="s">
        <v>67</v>
      </c>
      <c r="G345" s="3" t="s">
        <v>477</v>
      </c>
      <c r="H345" s="17"/>
      <c r="I345" s="17"/>
      <c r="J345" s="17"/>
      <c r="K345" s="16"/>
      <c r="L345" s="4">
        <v>0</v>
      </c>
      <c r="M345" s="4">
        <v>0</v>
      </c>
      <c r="O345" t="s">
        <v>1388</v>
      </c>
    </row>
    <row r="346" spans="1:15" ht="21" hidden="1" x14ac:dyDescent="0.35">
      <c r="A346" s="65"/>
      <c r="B346" s="54" t="s">
        <v>7</v>
      </c>
      <c r="C346" s="55" t="str">
        <f t="shared" si="73"/>
        <v>8470730</v>
      </c>
      <c r="D346" s="56" t="str">
        <f t="shared" si="74"/>
        <v>KUST - Human Resources</v>
      </c>
      <c r="E346" s="68"/>
      <c r="F346" s="68"/>
      <c r="G346" s="3" t="s">
        <v>478</v>
      </c>
      <c r="H346" s="4">
        <v>756294</v>
      </c>
      <c r="I346" s="4">
        <v>539105</v>
      </c>
      <c r="J346" s="4">
        <v>435158.58</v>
      </c>
      <c r="K346" s="16"/>
      <c r="L346" s="17"/>
      <c r="M346" s="4">
        <v>103946.42</v>
      </c>
      <c r="O346" t="s">
        <v>1388</v>
      </c>
    </row>
    <row r="347" spans="1:15" ht="21" hidden="1" x14ac:dyDescent="0.35">
      <c r="A347" s="65"/>
      <c r="B347" s="54" t="s">
        <v>7</v>
      </c>
      <c r="C347" s="55" t="str">
        <f t="shared" si="73"/>
        <v>8470730</v>
      </c>
      <c r="D347" s="56" t="str">
        <f t="shared" si="74"/>
        <v>KUST - Human Resources</v>
      </c>
      <c r="E347" s="3" t="s">
        <v>53</v>
      </c>
      <c r="F347" s="3" t="s">
        <v>54</v>
      </c>
      <c r="G347" s="3" t="s">
        <v>479</v>
      </c>
      <c r="H347" s="4">
        <v>117852</v>
      </c>
      <c r="I347" s="4">
        <v>117852</v>
      </c>
      <c r="J347" s="4">
        <v>89695.86</v>
      </c>
      <c r="K347" s="16"/>
      <c r="L347" s="17"/>
      <c r="M347" s="4">
        <v>28156.14</v>
      </c>
      <c r="O347" t="s">
        <v>1388</v>
      </c>
    </row>
    <row r="348" spans="1:15" ht="21" hidden="1" x14ac:dyDescent="0.35">
      <c r="A348" s="65"/>
      <c r="B348" s="54" t="s">
        <v>7</v>
      </c>
      <c r="C348" s="55" t="s">
        <v>480</v>
      </c>
      <c r="D348" s="56" t="s">
        <v>481</v>
      </c>
      <c r="E348" s="3" t="s">
        <v>27</v>
      </c>
      <c r="F348" s="3" t="s">
        <v>28</v>
      </c>
      <c r="G348" s="3" t="s">
        <v>482</v>
      </c>
      <c r="H348" s="4">
        <v>0</v>
      </c>
      <c r="I348" s="4">
        <v>0</v>
      </c>
      <c r="J348" s="17"/>
      <c r="K348" s="16"/>
      <c r="L348" s="17"/>
      <c r="M348" s="4">
        <v>0</v>
      </c>
      <c r="O348" t="s">
        <v>1388</v>
      </c>
    </row>
    <row r="349" spans="1:15" ht="21" hidden="1" x14ac:dyDescent="0.35">
      <c r="A349" s="65"/>
      <c r="B349" s="54" t="s">
        <v>7</v>
      </c>
      <c r="C349" s="55" t="str">
        <f t="shared" ref="C349:C351" si="75">C348</f>
        <v>8470810</v>
      </c>
      <c r="D349" s="56" t="str">
        <f t="shared" ref="D349:D351" si="76">D348</f>
        <v>KUST - Ankabut office</v>
      </c>
      <c r="E349" s="3" t="s">
        <v>483</v>
      </c>
      <c r="F349" s="3" t="s">
        <v>484</v>
      </c>
      <c r="G349" s="3" t="s">
        <v>485</v>
      </c>
      <c r="H349" s="4">
        <v>0</v>
      </c>
      <c r="I349" s="4">
        <v>22024007</v>
      </c>
      <c r="J349" s="4">
        <v>19335001.93</v>
      </c>
      <c r="K349" s="16"/>
      <c r="L349" s="17"/>
      <c r="M349" s="4">
        <v>2689005.07</v>
      </c>
      <c r="O349" t="s">
        <v>1388</v>
      </c>
    </row>
    <row r="350" spans="1:15" ht="21" hidden="1" x14ac:dyDescent="0.35">
      <c r="A350" s="65"/>
      <c r="B350" s="54" t="s">
        <v>7</v>
      </c>
      <c r="C350" s="55" t="str">
        <f t="shared" si="75"/>
        <v>8470810</v>
      </c>
      <c r="D350" s="56" t="str">
        <f t="shared" si="76"/>
        <v>KUST - Ankabut office</v>
      </c>
      <c r="E350" s="3" t="s">
        <v>486</v>
      </c>
      <c r="F350" s="3" t="s">
        <v>487</v>
      </c>
      <c r="G350" s="3" t="s">
        <v>488</v>
      </c>
      <c r="H350" s="17"/>
      <c r="I350" s="17"/>
      <c r="J350" s="4">
        <v>-898.45</v>
      </c>
      <c r="K350" s="16"/>
      <c r="L350" s="17"/>
      <c r="M350" s="4">
        <v>898.45</v>
      </c>
      <c r="O350" t="s">
        <v>1388</v>
      </c>
    </row>
    <row r="351" spans="1:15" ht="21" hidden="1" x14ac:dyDescent="0.35">
      <c r="A351" s="65"/>
      <c r="B351" s="54" t="s">
        <v>7</v>
      </c>
      <c r="C351" s="55" t="str">
        <f t="shared" si="75"/>
        <v>8470810</v>
      </c>
      <c r="D351" s="56" t="str">
        <f t="shared" si="76"/>
        <v>KUST - Ankabut office</v>
      </c>
      <c r="E351" s="3" t="s">
        <v>53</v>
      </c>
      <c r="F351" s="3" t="s">
        <v>54</v>
      </c>
      <c r="G351" s="3" t="s">
        <v>489</v>
      </c>
      <c r="H351" s="17"/>
      <c r="I351" s="17"/>
      <c r="J351" s="4">
        <v>-8519.16</v>
      </c>
      <c r="K351" s="16"/>
      <c r="L351" s="17"/>
      <c r="M351" s="4">
        <v>8519.16</v>
      </c>
      <c r="O351" t="s">
        <v>1388</v>
      </c>
    </row>
    <row r="352" spans="1:15" ht="14.5" hidden="1" customHeight="1" x14ac:dyDescent="0.35">
      <c r="A352" s="65"/>
      <c r="B352" s="54" t="s">
        <v>7</v>
      </c>
      <c r="C352" s="55" t="s">
        <v>490</v>
      </c>
      <c r="D352" s="56" t="s">
        <v>491</v>
      </c>
      <c r="E352" s="3" t="s">
        <v>21</v>
      </c>
      <c r="F352" s="3" t="s">
        <v>22</v>
      </c>
      <c r="G352" s="3" t="s">
        <v>492</v>
      </c>
      <c r="H352" s="4">
        <v>1182638</v>
      </c>
      <c r="I352" s="4">
        <v>1182638</v>
      </c>
      <c r="J352" s="4">
        <v>1180661</v>
      </c>
      <c r="K352" s="16"/>
      <c r="L352" s="17"/>
      <c r="M352" s="4">
        <v>1977</v>
      </c>
      <c r="O352" t="s">
        <v>1388</v>
      </c>
    </row>
    <row r="353" spans="1:15" ht="21" hidden="1" customHeight="1" x14ac:dyDescent="0.35">
      <c r="A353" s="65"/>
      <c r="B353" s="54" t="s">
        <v>7</v>
      </c>
      <c r="C353" s="55" t="str">
        <f t="shared" ref="C353:C359" si="77">C352</f>
        <v>8470910</v>
      </c>
      <c r="D353" s="56" t="str">
        <f t="shared" ref="D353:D359" si="78">D352</f>
        <v>KUST - Executive Vice President Office</v>
      </c>
      <c r="E353" s="3" t="s">
        <v>24</v>
      </c>
      <c r="F353" s="3" t="s">
        <v>25</v>
      </c>
      <c r="G353" s="3" t="s">
        <v>493</v>
      </c>
      <c r="H353" s="4">
        <v>9600</v>
      </c>
      <c r="I353" s="4">
        <v>11600</v>
      </c>
      <c r="J353" s="4">
        <v>10000</v>
      </c>
      <c r="K353" s="16"/>
      <c r="L353" s="17"/>
      <c r="M353" s="4">
        <v>1600</v>
      </c>
      <c r="O353" t="s">
        <v>1388</v>
      </c>
    </row>
    <row r="354" spans="1:15" ht="21" hidden="1" customHeight="1" x14ac:dyDescent="0.35">
      <c r="A354" s="65"/>
      <c r="B354" s="54" t="s">
        <v>7</v>
      </c>
      <c r="C354" s="55" t="str">
        <f t="shared" si="77"/>
        <v>8470910</v>
      </c>
      <c r="D354" s="56" t="str">
        <f t="shared" si="78"/>
        <v>KUST - Executive Vice President Office</v>
      </c>
      <c r="E354" s="3" t="s">
        <v>27</v>
      </c>
      <c r="F354" s="3" t="s">
        <v>28</v>
      </c>
      <c r="G354" s="3" t="s">
        <v>494</v>
      </c>
      <c r="H354" s="4">
        <v>1558040</v>
      </c>
      <c r="I354" s="4">
        <v>1558040</v>
      </c>
      <c r="J354" s="4">
        <v>1486633.2</v>
      </c>
      <c r="K354" s="16"/>
      <c r="L354" s="17"/>
      <c r="M354" s="4">
        <v>71406.800000000294</v>
      </c>
      <c r="O354" t="s">
        <v>1388</v>
      </c>
    </row>
    <row r="355" spans="1:15" ht="21" hidden="1" customHeight="1" x14ac:dyDescent="0.35">
      <c r="A355" s="65"/>
      <c r="B355" s="54" t="s">
        <v>7</v>
      </c>
      <c r="C355" s="55" t="str">
        <f t="shared" si="77"/>
        <v>8470910</v>
      </c>
      <c r="D355" s="56" t="str">
        <f t="shared" si="78"/>
        <v>KUST - Executive Vice President Office</v>
      </c>
      <c r="E355" s="3" t="s">
        <v>33</v>
      </c>
      <c r="F355" s="3" t="s">
        <v>34</v>
      </c>
      <c r="G355" s="3" t="s">
        <v>495</v>
      </c>
      <c r="H355" s="4">
        <v>48000</v>
      </c>
      <c r="I355" s="4">
        <v>76000</v>
      </c>
      <c r="J355" s="4">
        <v>64640</v>
      </c>
      <c r="K355" s="16"/>
      <c r="L355" s="17"/>
      <c r="M355" s="4">
        <v>11360</v>
      </c>
      <c r="O355" t="s">
        <v>1388</v>
      </c>
    </row>
    <row r="356" spans="1:15" ht="21" hidden="1" customHeight="1" x14ac:dyDescent="0.35">
      <c r="A356" s="65"/>
      <c r="B356" s="54" t="s">
        <v>7</v>
      </c>
      <c r="C356" s="55" t="str">
        <f t="shared" si="77"/>
        <v>8470910</v>
      </c>
      <c r="D356" s="56" t="str">
        <f t="shared" si="78"/>
        <v>KUST - Executive Vice President Office</v>
      </c>
      <c r="E356" s="3" t="s">
        <v>36</v>
      </c>
      <c r="F356" s="3" t="s">
        <v>37</v>
      </c>
      <c r="G356" s="3" t="s">
        <v>496</v>
      </c>
      <c r="H356" s="4">
        <v>0</v>
      </c>
      <c r="I356" s="4">
        <v>5800</v>
      </c>
      <c r="J356" s="4">
        <v>3600</v>
      </c>
      <c r="K356" s="16"/>
      <c r="L356" s="17"/>
      <c r="M356" s="4">
        <v>2200</v>
      </c>
      <c r="O356" t="s">
        <v>1388</v>
      </c>
    </row>
    <row r="357" spans="1:15" ht="21" hidden="1" customHeight="1" x14ac:dyDescent="0.35">
      <c r="A357" s="65"/>
      <c r="B357" s="54" t="s">
        <v>7</v>
      </c>
      <c r="C357" s="55" t="str">
        <f t="shared" si="77"/>
        <v>8470910</v>
      </c>
      <c r="D357" s="56" t="str">
        <f t="shared" si="78"/>
        <v>KUST - Executive Vice President Office</v>
      </c>
      <c r="E357" s="3" t="s">
        <v>39</v>
      </c>
      <c r="F357" s="3" t="s">
        <v>40</v>
      </c>
      <c r="G357" s="3" t="s">
        <v>497</v>
      </c>
      <c r="H357" s="4">
        <v>175992</v>
      </c>
      <c r="I357" s="4">
        <v>285992</v>
      </c>
      <c r="J357" s="4">
        <v>219994</v>
      </c>
      <c r="K357" s="16"/>
      <c r="L357" s="17"/>
      <c r="M357" s="4">
        <v>65998</v>
      </c>
      <c r="O357" t="s">
        <v>1388</v>
      </c>
    </row>
    <row r="358" spans="1:15" ht="21" hidden="1" customHeight="1" x14ac:dyDescent="0.35">
      <c r="A358" s="65"/>
      <c r="B358" s="54" t="s">
        <v>7</v>
      </c>
      <c r="C358" s="55" t="str">
        <f t="shared" si="77"/>
        <v>8470910</v>
      </c>
      <c r="D358" s="56" t="str">
        <f t="shared" si="78"/>
        <v>KUST - Executive Vice President Office</v>
      </c>
      <c r="E358" s="3" t="s">
        <v>45</v>
      </c>
      <c r="F358" s="3" t="s">
        <v>46</v>
      </c>
      <c r="G358" s="3" t="s">
        <v>498</v>
      </c>
      <c r="H358" s="4">
        <v>85704</v>
      </c>
      <c r="I358" s="4">
        <v>85704</v>
      </c>
      <c r="J358" s="4">
        <v>78224.63</v>
      </c>
      <c r="K358" s="16"/>
      <c r="L358" s="17"/>
      <c r="M358" s="4">
        <v>7479.37</v>
      </c>
      <c r="O358" t="s">
        <v>1388</v>
      </c>
    </row>
    <row r="359" spans="1:15" ht="21" hidden="1" customHeight="1" x14ac:dyDescent="0.35">
      <c r="A359" s="65"/>
      <c r="B359" s="54" t="s">
        <v>7</v>
      </c>
      <c r="C359" s="55" t="str">
        <f t="shared" si="77"/>
        <v>8470910</v>
      </c>
      <c r="D359" s="56" t="str">
        <f t="shared" si="78"/>
        <v>KUST - Executive Vice President Office</v>
      </c>
      <c r="E359" s="3" t="s">
        <v>50</v>
      </c>
      <c r="F359" s="3" t="s">
        <v>51</v>
      </c>
      <c r="G359" s="3" t="s">
        <v>499</v>
      </c>
      <c r="H359" s="4">
        <v>420627</v>
      </c>
      <c r="I359" s="4">
        <v>420627</v>
      </c>
      <c r="J359" s="4">
        <v>398033.13</v>
      </c>
      <c r="K359" s="16"/>
      <c r="L359" s="17"/>
      <c r="M359" s="4">
        <v>22593.87</v>
      </c>
      <c r="O359" t="s">
        <v>1388</v>
      </c>
    </row>
    <row r="360" spans="1:15" ht="14.5" hidden="1" customHeight="1" x14ac:dyDescent="0.35">
      <c r="A360" s="65"/>
      <c r="B360" s="54" t="s">
        <v>7</v>
      </c>
      <c r="C360" s="55" t="s">
        <v>500</v>
      </c>
      <c r="D360" s="56" t="s">
        <v>501</v>
      </c>
      <c r="E360" s="3" t="s">
        <v>21</v>
      </c>
      <c r="F360" s="3" t="s">
        <v>22</v>
      </c>
      <c r="G360" s="3" t="s">
        <v>502</v>
      </c>
      <c r="H360" s="4">
        <v>676989</v>
      </c>
      <c r="I360" s="4">
        <v>651904</v>
      </c>
      <c r="J360" s="4">
        <v>481349.85</v>
      </c>
      <c r="K360" s="16"/>
      <c r="L360" s="17"/>
      <c r="M360" s="4">
        <v>170554.15</v>
      </c>
      <c r="O360" s="79" t="s">
        <v>1387</v>
      </c>
    </row>
    <row r="361" spans="1:15" ht="21" hidden="1" customHeight="1" x14ac:dyDescent="0.35">
      <c r="A361" s="65"/>
      <c r="B361" s="54" t="s">
        <v>7</v>
      </c>
      <c r="C361" s="55" t="str">
        <f t="shared" ref="C361:C369" si="79">C360</f>
        <v>8471110</v>
      </c>
      <c r="D361" s="56" t="str">
        <f t="shared" ref="D361:D369" si="80">D360</f>
        <v>KUST - SVP/ Research &amp; Development Office</v>
      </c>
      <c r="E361" s="3" t="s">
        <v>24</v>
      </c>
      <c r="F361" s="3" t="s">
        <v>25</v>
      </c>
      <c r="G361" s="3" t="s">
        <v>503</v>
      </c>
      <c r="H361" s="4">
        <v>18000</v>
      </c>
      <c r="I361" s="4">
        <v>18000</v>
      </c>
      <c r="J361" s="4">
        <v>12100</v>
      </c>
      <c r="K361" s="16"/>
      <c r="L361" s="17"/>
      <c r="M361" s="4">
        <v>5900</v>
      </c>
      <c r="O361" s="79" t="s">
        <v>1387</v>
      </c>
    </row>
    <row r="362" spans="1:15" ht="21" hidden="1" customHeight="1" x14ac:dyDescent="0.35">
      <c r="A362" s="65"/>
      <c r="B362" s="54" t="s">
        <v>7</v>
      </c>
      <c r="C362" s="55" t="str">
        <f t="shared" si="79"/>
        <v>8471110</v>
      </c>
      <c r="D362" s="56" t="str">
        <f t="shared" si="80"/>
        <v>KUST - SVP/ Research &amp; Development Office</v>
      </c>
      <c r="E362" s="3" t="s">
        <v>27</v>
      </c>
      <c r="F362" s="3" t="s">
        <v>28</v>
      </c>
      <c r="G362" s="3" t="s">
        <v>504</v>
      </c>
      <c r="H362" s="4">
        <v>610921</v>
      </c>
      <c r="I362" s="4">
        <v>570921</v>
      </c>
      <c r="J362" s="4">
        <v>463624.15</v>
      </c>
      <c r="K362" s="16"/>
      <c r="L362" s="17"/>
      <c r="M362" s="4">
        <v>107296.85</v>
      </c>
      <c r="O362" s="79" t="s">
        <v>1387</v>
      </c>
    </row>
    <row r="363" spans="1:15" ht="21" hidden="1" customHeight="1" x14ac:dyDescent="0.35">
      <c r="A363" s="65"/>
      <c r="B363" s="54" t="s">
        <v>7</v>
      </c>
      <c r="C363" s="55" t="str">
        <f t="shared" si="79"/>
        <v>8471110</v>
      </c>
      <c r="D363" s="56" t="str">
        <f t="shared" si="80"/>
        <v>KUST - SVP/ Research &amp; Development Office</v>
      </c>
      <c r="E363" s="3" t="s">
        <v>33</v>
      </c>
      <c r="F363" s="3" t="s">
        <v>34</v>
      </c>
      <c r="G363" s="3" t="s">
        <v>505</v>
      </c>
      <c r="H363" s="4">
        <v>133920</v>
      </c>
      <c r="I363" s="4">
        <v>118920</v>
      </c>
      <c r="J363" s="4">
        <v>86120</v>
      </c>
      <c r="K363" s="16"/>
      <c r="L363" s="17"/>
      <c r="M363" s="4">
        <v>32800</v>
      </c>
      <c r="O363" s="79" t="s">
        <v>1387</v>
      </c>
    </row>
    <row r="364" spans="1:15" ht="21" hidden="1" customHeight="1" x14ac:dyDescent="0.35">
      <c r="A364" s="65"/>
      <c r="B364" s="54" t="s">
        <v>7</v>
      </c>
      <c r="C364" s="55" t="str">
        <f t="shared" si="79"/>
        <v>8471110</v>
      </c>
      <c r="D364" s="56" t="str">
        <f t="shared" si="80"/>
        <v>KUST - SVP/ Research &amp; Development Office</v>
      </c>
      <c r="E364" s="3" t="s">
        <v>36</v>
      </c>
      <c r="F364" s="3" t="s">
        <v>37</v>
      </c>
      <c r="G364" s="3" t="s">
        <v>506</v>
      </c>
      <c r="H364" s="4">
        <v>21600</v>
      </c>
      <c r="I364" s="4">
        <v>21600</v>
      </c>
      <c r="J364" s="4">
        <v>16200</v>
      </c>
      <c r="K364" s="16"/>
      <c r="L364" s="17"/>
      <c r="M364" s="4">
        <v>5400</v>
      </c>
      <c r="O364" s="79" t="s">
        <v>1387</v>
      </c>
    </row>
    <row r="365" spans="1:15" ht="21" hidden="1" customHeight="1" x14ac:dyDescent="0.35">
      <c r="A365" s="65"/>
      <c r="B365" s="54" t="s">
        <v>7</v>
      </c>
      <c r="C365" s="55" t="str">
        <f t="shared" si="79"/>
        <v>8471110</v>
      </c>
      <c r="D365" s="56" t="str">
        <f t="shared" si="80"/>
        <v>KUST - SVP/ Research &amp; Development Office</v>
      </c>
      <c r="E365" s="3" t="s">
        <v>39</v>
      </c>
      <c r="F365" s="3" t="s">
        <v>40</v>
      </c>
      <c r="G365" s="3" t="s">
        <v>507</v>
      </c>
      <c r="H365" s="4">
        <v>439992</v>
      </c>
      <c r="I365" s="4">
        <v>428904</v>
      </c>
      <c r="J365" s="4">
        <v>285994</v>
      </c>
      <c r="K365" s="16"/>
      <c r="L365" s="17"/>
      <c r="M365" s="4">
        <v>142910</v>
      </c>
      <c r="O365" s="79" t="s">
        <v>1387</v>
      </c>
    </row>
    <row r="366" spans="1:15" ht="21" hidden="1" customHeight="1" x14ac:dyDescent="0.35">
      <c r="A366" s="65"/>
      <c r="B366" s="54" t="s">
        <v>7</v>
      </c>
      <c r="C366" s="55" t="str">
        <f t="shared" si="79"/>
        <v>8471110</v>
      </c>
      <c r="D366" s="56" t="str">
        <f t="shared" si="80"/>
        <v>KUST - SVP/ Research &amp; Development Office</v>
      </c>
      <c r="E366" s="3" t="s">
        <v>42</v>
      </c>
      <c r="F366" s="3" t="s">
        <v>43</v>
      </c>
      <c r="G366" s="3" t="s">
        <v>508</v>
      </c>
      <c r="H366" s="4">
        <v>19246</v>
      </c>
      <c r="I366" s="4">
        <v>46856</v>
      </c>
      <c r="J366" s="4">
        <v>37212</v>
      </c>
      <c r="K366" s="16"/>
      <c r="L366" s="17"/>
      <c r="M366" s="4">
        <v>9644</v>
      </c>
      <c r="O366" s="79" t="s">
        <v>1387</v>
      </c>
    </row>
    <row r="367" spans="1:15" ht="21" hidden="1" customHeight="1" x14ac:dyDescent="0.35">
      <c r="A367" s="65"/>
      <c r="B367" s="54" t="s">
        <v>7</v>
      </c>
      <c r="C367" s="55" t="str">
        <f t="shared" si="79"/>
        <v>8471110</v>
      </c>
      <c r="D367" s="56" t="str">
        <f t="shared" si="80"/>
        <v>KUST - SVP/ Research &amp; Development Office</v>
      </c>
      <c r="E367" s="3" t="s">
        <v>45</v>
      </c>
      <c r="F367" s="3" t="s">
        <v>46</v>
      </c>
      <c r="G367" s="3" t="s">
        <v>509</v>
      </c>
      <c r="H367" s="4">
        <v>19748</v>
      </c>
      <c r="I367" s="4">
        <v>18665</v>
      </c>
      <c r="J367" s="4">
        <v>16381.4</v>
      </c>
      <c r="K367" s="16"/>
      <c r="L367" s="17"/>
      <c r="M367" s="4">
        <v>2283.6</v>
      </c>
      <c r="O367" s="79" t="s">
        <v>1387</v>
      </c>
    </row>
    <row r="368" spans="1:15" ht="21" hidden="1" customHeight="1" x14ac:dyDescent="0.35">
      <c r="A368" s="65"/>
      <c r="B368" s="54" t="s">
        <v>7</v>
      </c>
      <c r="C368" s="55" t="str">
        <f t="shared" si="79"/>
        <v>8471110</v>
      </c>
      <c r="D368" s="56" t="str">
        <f t="shared" si="80"/>
        <v>KUST - SVP/ Research &amp; Development Office</v>
      </c>
      <c r="E368" s="3" t="s">
        <v>50</v>
      </c>
      <c r="F368" s="3" t="s">
        <v>51</v>
      </c>
      <c r="G368" s="3" t="s">
        <v>510</v>
      </c>
      <c r="H368" s="4">
        <v>322978</v>
      </c>
      <c r="I368" s="4">
        <v>285027</v>
      </c>
      <c r="J368" s="4">
        <v>149026.17000000001</v>
      </c>
      <c r="K368" s="16"/>
      <c r="L368" s="17"/>
      <c r="M368" s="4">
        <v>136000.82999999999</v>
      </c>
      <c r="O368" s="79" t="s">
        <v>1387</v>
      </c>
    </row>
    <row r="369" spans="1:15" ht="21" hidden="1" customHeight="1" x14ac:dyDescent="0.35">
      <c r="A369" s="65"/>
      <c r="B369" s="54" t="s">
        <v>7</v>
      </c>
      <c r="C369" s="55" t="str">
        <f t="shared" si="79"/>
        <v>8471110</v>
      </c>
      <c r="D369" s="56" t="str">
        <f t="shared" si="80"/>
        <v>KUST - SVP/ Research &amp; Development Office</v>
      </c>
      <c r="E369" s="3" t="s">
        <v>53</v>
      </c>
      <c r="F369" s="3" t="s">
        <v>54</v>
      </c>
      <c r="G369" s="3" t="s">
        <v>511</v>
      </c>
      <c r="H369" s="4">
        <v>0</v>
      </c>
      <c r="I369" s="4">
        <v>2078</v>
      </c>
      <c r="J369" s="4">
        <v>2077.02</v>
      </c>
      <c r="K369" s="16"/>
      <c r="L369" s="17"/>
      <c r="M369" s="4">
        <v>0.98000000000001797</v>
      </c>
      <c r="O369" s="79" t="s">
        <v>1387</v>
      </c>
    </row>
    <row r="370" spans="1:15" ht="14.5" customHeight="1" x14ac:dyDescent="0.35">
      <c r="A370" s="65"/>
      <c r="B370" s="54" t="s">
        <v>7</v>
      </c>
      <c r="C370" s="55" t="s">
        <v>512</v>
      </c>
      <c r="D370" s="56" t="s">
        <v>513</v>
      </c>
      <c r="E370" s="3" t="s">
        <v>21</v>
      </c>
      <c r="F370" s="3" t="s">
        <v>22</v>
      </c>
      <c r="G370" s="3" t="s">
        <v>514</v>
      </c>
      <c r="H370" s="4">
        <v>127449</v>
      </c>
      <c r="I370" s="4">
        <v>127449</v>
      </c>
      <c r="J370" s="4">
        <v>108752.1</v>
      </c>
      <c r="K370" s="16"/>
      <c r="L370" s="17"/>
      <c r="M370" s="4">
        <v>18696.900000000001</v>
      </c>
      <c r="O370" s="79" t="s">
        <v>1386</v>
      </c>
    </row>
    <row r="371" spans="1:15" ht="21" x14ac:dyDescent="0.35">
      <c r="A371" s="65"/>
      <c r="B371" s="54" t="s">
        <v>7</v>
      </c>
      <c r="C371" s="55" t="str">
        <f t="shared" ref="C371:C373" si="81">C370</f>
        <v>8471122</v>
      </c>
      <c r="D371" s="56" t="str">
        <f t="shared" ref="D371:D373" si="82">D370</f>
        <v>KUST - Masdar Institute</v>
      </c>
      <c r="E371" s="3" t="s">
        <v>27</v>
      </c>
      <c r="F371" s="3" t="s">
        <v>28</v>
      </c>
      <c r="G371" s="3" t="s">
        <v>515</v>
      </c>
      <c r="H371" s="4">
        <v>84966</v>
      </c>
      <c r="I371" s="4">
        <v>136054</v>
      </c>
      <c r="J371" s="4">
        <v>124614.39999999999</v>
      </c>
      <c r="K371" s="16"/>
      <c r="L371" s="17"/>
      <c r="M371" s="4">
        <v>11439.6</v>
      </c>
      <c r="O371" s="79" t="s">
        <v>1386</v>
      </c>
    </row>
    <row r="372" spans="1:15" ht="21" x14ac:dyDescent="0.35">
      <c r="A372" s="65"/>
      <c r="B372" s="54" t="s">
        <v>7</v>
      </c>
      <c r="C372" s="55" t="str">
        <f t="shared" si="81"/>
        <v>8471122</v>
      </c>
      <c r="D372" s="56" t="str">
        <f t="shared" si="82"/>
        <v>KUST - Masdar Institute</v>
      </c>
      <c r="E372" s="3" t="s">
        <v>45</v>
      </c>
      <c r="F372" s="3" t="s">
        <v>46</v>
      </c>
      <c r="G372" s="3" t="s">
        <v>516</v>
      </c>
      <c r="H372" s="4">
        <v>0</v>
      </c>
      <c r="I372" s="4">
        <v>6357</v>
      </c>
      <c r="J372" s="4">
        <v>5541.9</v>
      </c>
      <c r="K372" s="16"/>
      <c r="L372" s="17"/>
      <c r="M372" s="4">
        <v>815.1</v>
      </c>
      <c r="O372" s="79" t="s">
        <v>1386</v>
      </c>
    </row>
    <row r="373" spans="1:15" ht="21" x14ac:dyDescent="0.35">
      <c r="A373" s="65"/>
      <c r="B373" s="54" t="s">
        <v>7</v>
      </c>
      <c r="C373" s="55" t="str">
        <f t="shared" si="81"/>
        <v>8471122</v>
      </c>
      <c r="D373" s="56" t="str">
        <f t="shared" si="82"/>
        <v>KUST - Masdar Institute</v>
      </c>
      <c r="E373" s="3" t="s">
        <v>50</v>
      </c>
      <c r="F373" s="3" t="s">
        <v>51</v>
      </c>
      <c r="G373" s="3" t="s">
        <v>517</v>
      </c>
      <c r="H373" s="4">
        <v>0</v>
      </c>
      <c r="I373" s="4">
        <v>27400</v>
      </c>
      <c r="J373" s="4">
        <v>24449.18</v>
      </c>
      <c r="K373" s="16"/>
      <c r="L373" s="17"/>
      <c r="M373" s="4">
        <v>2950.82</v>
      </c>
      <c r="O373" s="79" t="s">
        <v>1386</v>
      </c>
    </row>
    <row r="374" spans="1:15" ht="14.5" hidden="1" customHeight="1" x14ac:dyDescent="0.35">
      <c r="A374" s="65"/>
      <c r="B374" s="54" t="s">
        <v>7</v>
      </c>
      <c r="C374" s="55" t="s">
        <v>518</v>
      </c>
      <c r="D374" s="56" t="s">
        <v>519</v>
      </c>
      <c r="E374" s="3" t="s">
        <v>21</v>
      </c>
      <c r="F374" s="3" t="s">
        <v>22</v>
      </c>
      <c r="G374" s="3" t="s">
        <v>520</v>
      </c>
      <c r="H374" s="4">
        <v>2225505</v>
      </c>
      <c r="I374" s="4">
        <v>2225505</v>
      </c>
      <c r="J374" s="4">
        <v>1812343.51</v>
      </c>
      <c r="K374" s="16"/>
      <c r="L374" s="17"/>
      <c r="M374" s="4">
        <v>413161.49</v>
      </c>
      <c r="O374" s="79" t="s">
        <v>1387</v>
      </c>
    </row>
    <row r="375" spans="1:15" ht="21" hidden="1" x14ac:dyDescent="0.35">
      <c r="A375" s="65"/>
      <c r="B375" s="54" t="s">
        <v>7</v>
      </c>
      <c r="C375" s="55" t="str">
        <f t="shared" ref="C375:C382" si="83">C374</f>
        <v>8471130</v>
      </c>
      <c r="D375" s="56" t="str">
        <f t="shared" ref="D375:D382" si="84">D374</f>
        <v>KUST - Research Service</v>
      </c>
      <c r="E375" s="3" t="s">
        <v>27</v>
      </c>
      <c r="F375" s="3" t="s">
        <v>28</v>
      </c>
      <c r="G375" s="3" t="s">
        <v>521</v>
      </c>
      <c r="H375" s="4">
        <v>2309757</v>
      </c>
      <c r="I375" s="4">
        <v>2309757</v>
      </c>
      <c r="J375" s="4">
        <v>1983290.79</v>
      </c>
      <c r="K375" s="16"/>
      <c r="L375" s="17"/>
      <c r="M375" s="4">
        <v>326466.21000000002</v>
      </c>
      <c r="O375" s="79" t="s">
        <v>1387</v>
      </c>
    </row>
    <row r="376" spans="1:15" ht="21" hidden="1" x14ac:dyDescent="0.35">
      <c r="A376" s="65"/>
      <c r="B376" s="54" t="s">
        <v>7</v>
      </c>
      <c r="C376" s="55" t="str">
        <f t="shared" si="83"/>
        <v>8471130</v>
      </c>
      <c r="D376" s="56" t="str">
        <f t="shared" si="84"/>
        <v>KUST - Research Service</v>
      </c>
      <c r="E376" s="3" t="s">
        <v>60</v>
      </c>
      <c r="F376" s="3" t="s">
        <v>61</v>
      </c>
      <c r="G376" s="3" t="s">
        <v>522</v>
      </c>
      <c r="H376" s="4">
        <v>30311</v>
      </c>
      <c r="I376" s="4">
        <v>30311</v>
      </c>
      <c r="J376" s="4">
        <v>15862.7</v>
      </c>
      <c r="K376" s="16"/>
      <c r="L376" s="17"/>
      <c r="M376" s="4">
        <v>14448.3</v>
      </c>
      <c r="O376" s="79" t="s">
        <v>1387</v>
      </c>
    </row>
    <row r="377" spans="1:15" ht="21" hidden="1" x14ac:dyDescent="0.35">
      <c r="A377" s="65"/>
      <c r="B377" s="54" t="s">
        <v>7</v>
      </c>
      <c r="C377" s="55" t="str">
        <f t="shared" si="83"/>
        <v>8471130</v>
      </c>
      <c r="D377" s="56" t="str">
        <f t="shared" si="84"/>
        <v>KUST - Research Service</v>
      </c>
      <c r="E377" s="3" t="s">
        <v>42</v>
      </c>
      <c r="F377" s="3" t="s">
        <v>43</v>
      </c>
      <c r="G377" s="3" t="s">
        <v>523</v>
      </c>
      <c r="H377" s="4">
        <v>126851</v>
      </c>
      <c r="I377" s="4">
        <v>189978</v>
      </c>
      <c r="J377" s="4">
        <v>189977.55</v>
      </c>
      <c r="K377" s="16"/>
      <c r="L377" s="17"/>
      <c r="M377" s="4">
        <v>0.45000000001164198</v>
      </c>
      <c r="O377" s="79" t="s">
        <v>1387</v>
      </c>
    </row>
    <row r="378" spans="1:15" ht="21" hidden="1" x14ac:dyDescent="0.35">
      <c r="A378" s="65"/>
      <c r="B378" s="54" t="s">
        <v>7</v>
      </c>
      <c r="C378" s="55" t="str">
        <f t="shared" si="83"/>
        <v>8471130</v>
      </c>
      <c r="D378" s="56" t="str">
        <f t="shared" si="84"/>
        <v>KUST - Research Service</v>
      </c>
      <c r="E378" s="3" t="s">
        <v>45</v>
      </c>
      <c r="F378" s="3" t="s">
        <v>46</v>
      </c>
      <c r="G378" s="3" t="s">
        <v>524</v>
      </c>
      <c r="H378" s="4">
        <v>77265</v>
      </c>
      <c r="I378" s="4">
        <v>77265</v>
      </c>
      <c r="J378" s="4">
        <v>71817.5</v>
      </c>
      <c r="K378" s="16"/>
      <c r="L378" s="17"/>
      <c r="M378" s="4">
        <v>5447.5</v>
      </c>
      <c r="O378" s="79" t="s">
        <v>1387</v>
      </c>
    </row>
    <row r="379" spans="1:15" ht="21" hidden="1" x14ac:dyDescent="0.35">
      <c r="A379" s="65"/>
      <c r="B379" s="54" t="s">
        <v>7</v>
      </c>
      <c r="C379" s="55" t="str">
        <f t="shared" si="83"/>
        <v>8471130</v>
      </c>
      <c r="D379" s="56" t="str">
        <f t="shared" si="84"/>
        <v>KUST - Research Service</v>
      </c>
      <c r="E379" s="3" t="s">
        <v>75</v>
      </c>
      <c r="F379" s="3" t="s">
        <v>76</v>
      </c>
      <c r="G379" s="3" t="s">
        <v>525</v>
      </c>
      <c r="H379" s="4">
        <v>51488</v>
      </c>
      <c r="I379" s="4">
        <v>51488</v>
      </c>
      <c r="J379" s="17"/>
      <c r="K379" s="16"/>
      <c r="L379" s="17"/>
      <c r="M379" s="4">
        <v>51488</v>
      </c>
      <c r="O379" s="79" t="s">
        <v>1387</v>
      </c>
    </row>
    <row r="380" spans="1:15" ht="21" hidden="1" x14ac:dyDescent="0.35">
      <c r="A380" s="65"/>
      <c r="B380" s="54" t="s">
        <v>7</v>
      </c>
      <c r="C380" s="55" t="str">
        <f t="shared" si="83"/>
        <v>8471130</v>
      </c>
      <c r="D380" s="56" t="str">
        <f t="shared" si="84"/>
        <v>KUST - Research Service</v>
      </c>
      <c r="E380" s="3" t="s">
        <v>50</v>
      </c>
      <c r="F380" s="3" t="s">
        <v>51</v>
      </c>
      <c r="G380" s="3" t="s">
        <v>526</v>
      </c>
      <c r="H380" s="4">
        <v>411865</v>
      </c>
      <c r="I380" s="4">
        <v>411865</v>
      </c>
      <c r="J380" s="4">
        <v>327037.17</v>
      </c>
      <c r="K380" s="16"/>
      <c r="L380" s="17"/>
      <c r="M380" s="4">
        <v>84827.83</v>
      </c>
      <c r="O380" s="79" t="s">
        <v>1387</v>
      </c>
    </row>
    <row r="381" spans="1:15" ht="21" hidden="1" x14ac:dyDescent="0.35">
      <c r="A381" s="65"/>
      <c r="B381" s="54" t="s">
        <v>7</v>
      </c>
      <c r="C381" s="55" t="str">
        <f t="shared" si="83"/>
        <v>8471130</v>
      </c>
      <c r="D381" s="56" t="str">
        <f t="shared" si="84"/>
        <v>KUST - Research Service</v>
      </c>
      <c r="E381" s="3" t="s">
        <v>66</v>
      </c>
      <c r="F381" s="3" t="s">
        <v>67</v>
      </c>
      <c r="G381" s="3" t="s">
        <v>527</v>
      </c>
      <c r="H381" s="4">
        <v>0</v>
      </c>
      <c r="I381" s="4">
        <v>124000</v>
      </c>
      <c r="J381" s="4">
        <v>123247.05</v>
      </c>
      <c r="K381" s="16"/>
      <c r="L381" s="17"/>
      <c r="M381" s="4">
        <v>752.94999999999698</v>
      </c>
      <c r="O381" s="79" t="s">
        <v>1387</v>
      </c>
    </row>
    <row r="382" spans="1:15" ht="21" hidden="1" x14ac:dyDescent="0.35">
      <c r="A382" s="65"/>
      <c r="B382" s="54" t="s">
        <v>7</v>
      </c>
      <c r="C382" s="55" t="str">
        <f t="shared" si="83"/>
        <v>8471130</v>
      </c>
      <c r="D382" s="56" t="str">
        <f t="shared" si="84"/>
        <v>KUST - Research Service</v>
      </c>
      <c r="E382" s="3" t="s">
        <v>53</v>
      </c>
      <c r="F382" s="3" t="s">
        <v>54</v>
      </c>
      <c r="G382" s="3" t="s">
        <v>528</v>
      </c>
      <c r="H382" s="4">
        <v>45284</v>
      </c>
      <c r="I382" s="4">
        <v>45284</v>
      </c>
      <c r="J382" s="17"/>
      <c r="K382" s="16"/>
      <c r="L382" s="17"/>
      <c r="M382" s="4">
        <v>45284</v>
      </c>
      <c r="O382" s="79" t="s">
        <v>1387</v>
      </c>
    </row>
    <row r="383" spans="1:15" ht="14.5" hidden="1" customHeight="1" x14ac:dyDescent="0.35">
      <c r="A383" s="65"/>
      <c r="B383" s="54" t="s">
        <v>7</v>
      </c>
      <c r="C383" s="55" t="s">
        <v>529</v>
      </c>
      <c r="D383" s="56" t="s">
        <v>530</v>
      </c>
      <c r="E383" s="3" t="s">
        <v>21</v>
      </c>
      <c r="F383" s="3" t="s">
        <v>22</v>
      </c>
      <c r="G383" s="3" t="s">
        <v>531</v>
      </c>
      <c r="H383" s="4">
        <v>1202835</v>
      </c>
      <c r="I383" s="4">
        <v>1202835</v>
      </c>
      <c r="J383" s="4">
        <v>724031.2</v>
      </c>
      <c r="K383" s="16"/>
      <c r="L383" s="17"/>
      <c r="M383" s="4">
        <v>478803.8</v>
      </c>
      <c r="O383" s="79" t="s">
        <v>1387</v>
      </c>
    </row>
    <row r="384" spans="1:15" ht="21" hidden="1" customHeight="1" x14ac:dyDescent="0.35">
      <c r="A384" s="65"/>
      <c r="B384" s="54" t="s">
        <v>7</v>
      </c>
      <c r="C384" s="55" t="str">
        <f t="shared" ref="C384:C390" si="85">C383</f>
        <v>8471140</v>
      </c>
      <c r="D384" s="56" t="str">
        <f t="shared" ref="D384:D390" si="86">D383</f>
        <v>KUST - University Sponsored Research</v>
      </c>
      <c r="E384" s="3" t="s">
        <v>27</v>
      </c>
      <c r="F384" s="3" t="s">
        <v>28</v>
      </c>
      <c r="G384" s="3" t="s">
        <v>532</v>
      </c>
      <c r="H384" s="4">
        <v>1003588</v>
      </c>
      <c r="I384" s="4">
        <v>1003588</v>
      </c>
      <c r="J384" s="4">
        <v>823374.36</v>
      </c>
      <c r="K384" s="16"/>
      <c r="L384" s="17"/>
      <c r="M384" s="4">
        <v>180213.64</v>
      </c>
      <c r="O384" s="79" t="s">
        <v>1387</v>
      </c>
    </row>
    <row r="385" spans="1:15" ht="21" hidden="1" customHeight="1" x14ac:dyDescent="0.35">
      <c r="A385" s="65"/>
      <c r="B385" s="54" t="s">
        <v>7</v>
      </c>
      <c r="C385" s="55" t="str">
        <f t="shared" si="85"/>
        <v>8471140</v>
      </c>
      <c r="D385" s="56" t="str">
        <f t="shared" si="86"/>
        <v>KUST - University Sponsored Research</v>
      </c>
      <c r="E385" s="3" t="s">
        <v>42</v>
      </c>
      <c r="F385" s="3" t="s">
        <v>43</v>
      </c>
      <c r="G385" s="3" t="s">
        <v>533</v>
      </c>
      <c r="H385" s="4">
        <v>100000</v>
      </c>
      <c r="I385" s="4">
        <v>82414</v>
      </c>
      <c r="J385" s="4">
        <v>46596</v>
      </c>
      <c r="K385" s="16"/>
      <c r="L385" s="17"/>
      <c r="M385" s="4">
        <v>35818</v>
      </c>
      <c r="O385" s="79" t="s">
        <v>1387</v>
      </c>
    </row>
    <row r="386" spans="1:15" ht="21" hidden="1" customHeight="1" x14ac:dyDescent="0.35">
      <c r="A386" s="65"/>
      <c r="B386" s="54" t="s">
        <v>7</v>
      </c>
      <c r="C386" s="55" t="str">
        <f t="shared" si="85"/>
        <v>8471140</v>
      </c>
      <c r="D386" s="56" t="str">
        <f t="shared" si="86"/>
        <v>KUST - University Sponsored Research</v>
      </c>
      <c r="E386" s="3" t="s">
        <v>45</v>
      </c>
      <c r="F386" s="3" t="s">
        <v>46</v>
      </c>
      <c r="G386" s="3" t="s">
        <v>534</v>
      </c>
      <c r="H386" s="4">
        <v>16356</v>
      </c>
      <c r="I386" s="4">
        <v>16356</v>
      </c>
      <c r="J386" s="4">
        <v>12267</v>
      </c>
      <c r="K386" s="16"/>
      <c r="L386" s="17"/>
      <c r="M386" s="4">
        <v>4089</v>
      </c>
      <c r="O386" s="79" t="s">
        <v>1387</v>
      </c>
    </row>
    <row r="387" spans="1:15" ht="21" hidden="1" customHeight="1" x14ac:dyDescent="0.35">
      <c r="A387" s="65"/>
      <c r="B387" s="54" t="s">
        <v>7</v>
      </c>
      <c r="C387" s="55" t="str">
        <f t="shared" si="85"/>
        <v>8471140</v>
      </c>
      <c r="D387" s="56" t="str">
        <f t="shared" si="86"/>
        <v>KUST - University Sponsored Research</v>
      </c>
      <c r="E387" s="3" t="s">
        <v>50</v>
      </c>
      <c r="F387" s="3" t="s">
        <v>51</v>
      </c>
      <c r="G387" s="3" t="s">
        <v>535</v>
      </c>
      <c r="H387" s="4">
        <v>240000</v>
      </c>
      <c r="I387" s="4">
        <v>265362</v>
      </c>
      <c r="J387" s="4">
        <v>264794.09999999998</v>
      </c>
      <c r="K387" s="16"/>
      <c r="L387" s="17"/>
      <c r="M387" s="4">
        <v>567.90000000008104</v>
      </c>
      <c r="O387" s="79" t="s">
        <v>1387</v>
      </c>
    </row>
    <row r="388" spans="1:15" ht="21" hidden="1" customHeight="1" x14ac:dyDescent="0.35">
      <c r="A388" s="65"/>
      <c r="B388" s="54" t="s">
        <v>7</v>
      </c>
      <c r="C388" s="55" t="str">
        <f t="shared" si="85"/>
        <v>8471140</v>
      </c>
      <c r="D388" s="56" t="str">
        <f t="shared" si="86"/>
        <v>KUST - University Sponsored Research</v>
      </c>
      <c r="E388" s="3" t="s">
        <v>155</v>
      </c>
      <c r="F388" s="3" t="s">
        <v>156</v>
      </c>
      <c r="G388" s="3" t="s">
        <v>536</v>
      </c>
      <c r="H388" s="4">
        <v>0</v>
      </c>
      <c r="I388" s="4">
        <v>5000</v>
      </c>
      <c r="J388" s="4">
        <v>4439.13</v>
      </c>
      <c r="K388" s="16"/>
      <c r="L388" s="17"/>
      <c r="M388" s="4">
        <v>560.87</v>
      </c>
      <c r="O388" s="79" t="s">
        <v>1387</v>
      </c>
    </row>
    <row r="389" spans="1:15" ht="21" hidden="1" customHeight="1" x14ac:dyDescent="0.35">
      <c r="A389" s="65"/>
      <c r="B389" s="54" t="s">
        <v>7</v>
      </c>
      <c r="C389" s="55" t="str">
        <f t="shared" si="85"/>
        <v>8471140</v>
      </c>
      <c r="D389" s="56" t="str">
        <f t="shared" si="86"/>
        <v>KUST - University Sponsored Research</v>
      </c>
      <c r="E389" s="3" t="s">
        <v>66</v>
      </c>
      <c r="F389" s="3" t="s">
        <v>67</v>
      </c>
      <c r="G389" s="3" t="s">
        <v>537</v>
      </c>
      <c r="H389" s="4">
        <v>65000</v>
      </c>
      <c r="I389" s="4">
        <v>65000</v>
      </c>
      <c r="J389" s="4">
        <v>44400</v>
      </c>
      <c r="K389" s="16"/>
      <c r="L389" s="17"/>
      <c r="M389" s="4">
        <v>20600</v>
      </c>
      <c r="O389" s="79" t="s">
        <v>1387</v>
      </c>
    </row>
    <row r="390" spans="1:15" ht="21" hidden="1" customHeight="1" x14ac:dyDescent="0.35">
      <c r="A390" s="65"/>
      <c r="B390" s="54" t="s">
        <v>7</v>
      </c>
      <c r="C390" s="55" t="str">
        <f t="shared" si="85"/>
        <v>8471140</v>
      </c>
      <c r="D390" s="56" t="str">
        <f t="shared" si="86"/>
        <v>KUST - University Sponsored Research</v>
      </c>
      <c r="E390" s="3" t="s">
        <v>53</v>
      </c>
      <c r="F390" s="3" t="s">
        <v>54</v>
      </c>
      <c r="G390" s="3" t="s">
        <v>538</v>
      </c>
      <c r="H390" s="4">
        <v>33237</v>
      </c>
      <c r="I390" s="4">
        <v>33237</v>
      </c>
      <c r="J390" s="17"/>
      <c r="K390" s="16"/>
      <c r="L390" s="17"/>
      <c r="M390" s="4">
        <v>33237</v>
      </c>
      <c r="O390" s="79" t="s">
        <v>1387</v>
      </c>
    </row>
    <row r="391" spans="1:15" ht="14.5" hidden="1" customHeight="1" x14ac:dyDescent="0.35">
      <c r="A391" s="65"/>
      <c r="B391" s="54" t="s">
        <v>7</v>
      </c>
      <c r="C391" s="55" t="s">
        <v>539</v>
      </c>
      <c r="D391" s="56" t="s">
        <v>540</v>
      </c>
      <c r="E391" s="3" t="s">
        <v>21</v>
      </c>
      <c r="F391" s="3" t="s">
        <v>22</v>
      </c>
      <c r="G391" s="3" t="s">
        <v>541</v>
      </c>
      <c r="H391" s="4">
        <v>1684720</v>
      </c>
      <c r="I391" s="4">
        <v>1684720</v>
      </c>
      <c r="J391" s="4">
        <v>1338599.67</v>
      </c>
      <c r="K391" s="16"/>
      <c r="L391" s="17"/>
      <c r="M391" s="4">
        <v>346120.33</v>
      </c>
      <c r="O391" t="s">
        <v>1388</v>
      </c>
    </row>
    <row r="392" spans="1:15" ht="21" hidden="1" customHeight="1" x14ac:dyDescent="0.35">
      <c r="A392" s="65"/>
      <c r="B392" s="54" t="s">
        <v>7</v>
      </c>
      <c r="C392" s="55" t="str">
        <f t="shared" ref="C392:C396" si="87">C391</f>
        <v>8471150</v>
      </c>
      <c r="D392" s="56" t="str">
        <f t="shared" ref="D392:D396" si="88">D391</f>
        <v>KUST - Technology Management &amp; Innovation</v>
      </c>
      <c r="E392" s="3" t="s">
        <v>27</v>
      </c>
      <c r="F392" s="3" t="s">
        <v>28</v>
      </c>
      <c r="G392" s="3" t="s">
        <v>542</v>
      </c>
      <c r="H392" s="4">
        <v>1662374</v>
      </c>
      <c r="I392" s="4">
        <v>1662374</v>
      </c>
      <c r="J392" s="4">
        <v>1351671.33</v>
      </c>
      <c r="K392" s="16"/>
      <c r="L392" s="17"/>
      <c r="M392" s="4">
        <v>310702.67</v>
      </c>
      <c r="O392" t="s">
        <v>1388</v>
      </c>
    </row>
    <row r="393" spans="1:15" ht="21" hidden="1" customHeight="1" x14ac:dyDescent="0.35">
      <c r="A393" s="65"/>
      <c r="B393" s="54" t="s">
        <v>7</v>
      </c>
      <c r="C393" s="55" t="str">
        <f t="shared" si="87"/>
        <v>8471150</v>
      </c>
      <c r="D393" s="56" t="str">
        <f t="shared" si="88"/>
        <v>KUST - Technology Management &amp; Innovation</v>
      </c>
      <c r="E393" s="3" t="s">
        <v>42</v>
      </c>
      <c r="F393" s="3" t="s">
        <v>43</v>
      </c>
      <c r="G393" s="3" t="s">
        <v>543</v>
      </c>
      <c r="H393" s="4">
        <v>170000</v>
      </c>
      <c r="I393" s="4">
        <v>103414</v>
      </c>
      <c r="J393" s="4">
        <v>92768</v>
      </c>
      <c r="K393" s="16"/>
      <c r="L393" s="17"/>
      <c r="M393" s="4">
        <v>10646</v>
      </c>
      <c r="O393" t="s">
        <v>1388</v>
      </c>
    </row>
    <row r="394" spans="1:15" ht="21" hidden="1" customHeight="1" x14ac:dyDescent="0.35">
      <c r="A394" s="65"/>
      <c r="B394" s="54" t="s">
        <v>7</v>
      </c>
      <c r="C394" s="55" t="str">
        <f t="shared" si="87"/>
        <v>8471150</v>
      </c>
      <c r="D394" s="56" t="str">
        <f t="shared" si="88"/>
        <v>KUST - Technology Management &amp; Innovation</v>
      </c>
      <c r="E394" s="3" t="s">
        <v>45</v>
      </c>
      <c r="F394" s="3" t="s">
        <v>46</v>
      </c>
      <c r="G394" s="3" t="s">
        <v>544</v>
      </c>
      <c r="H394" s="4">
        <v>41537</v>
      </c>
      <c r="I394" s="4">
        <v>41537</v>
      </c>
      <c r="J394" s="4">
        <v>38402</v>
      </c>
      <c r="K394" s="16"/>
      <c r="L394" s="17"/>
      <c r="M394" s="4">
        <v>3135</v>
      </c>
      <c r="O394" t="s">
        <v>1388</v>
      </c>
    </row>
    <row r="395" spans="1:15" ht="21" hidden="1" customHeight="1" x14ac:dyDescent="0.35">
      <c r="A395" s="65"/>
      <c r="B395" s="54" t="s">
        <v>7</v>
      </c>
      <c r="C395" s="55" t="str">
        <f t="shared" si="87"/>
        <v>8471150</v>
      </c>
      <c r="D395" s="56" t="str">
        <f t="shared" si="88"/>
        <v>KUST - Technology Management &amp; Innovation</v>
      </c>
      <c r="E395" s="3" t="s">
        <v>50</v>
      </c>
      <c r="F395" s="3" t="s">
        <v>51</v>
      </c>
      <c r="G395" s="3" t="s">
        <v>545</v>
      </c>
      <c r="H395" s="4">
        <v>177590</v>
      </c>
      <c r="I395" s="4">
        <v>177590</v>
      </c>
      <c r="J395" s="4">
        <v>173192.7</v>
      </c>
      <c r="K395" s="16"/>
      <c r="L395" s="17"/>
      <c r="M395" s="4">
        <v>4397.2999999999602</v>
      </c>
      <c r="O395" t="s">
        <v>1388</v>
      </c>
    </row>
    <row r="396" spans="1:15" ht="21" hidden="1" customHeight="1" x14ac:dyDescent="0.35">
      <c r="A396" s="65"/>
      <c r="B396" s="54" t="s">
        <v>7</v>
      </c>
      <c r="C396" s="55" t="str">
        <f t="shared" si="87"/>
        <v>8471150</v>
      </c>
      <c r="D396" s="56" t="str">
        <f t="shared" si="88"/>
        <v>KUST - Technology Management &amp; Innovation</v>
      </c>
      <c r="E396" s="3" t="s">
        <v>53</v>
      </c>
      <c r="F396" s="3" t="s">
        <v>54</v>
      </c>
      <c r="G396" s="3" t="s">
        <v>546</v>
      </c>
      <c r="H396" s="4">
        <v>96520</v>
      </c>
      <c r="I396" s="4">
        <v>96520</v>
      </c>
      <c r="J396" s="4">
        <v>29315.19</v>
      </c>
      <c r="K396" s="16"/>
      <c r="L396" s="17"/>
      <c r="M396" s="4">
        <v>67204.81</v>
      </c>
      <c r="O396" t="s">
        <v>1388</v>
      </c>
    </row>
    <row r="397" spans="1:15" ht="14.5" hidden="1" customHeight="1" x14ac:dyDescent="0.35">
      <c r="A397" s="65"/>
      <c r="B397" s="54" t="s">
        <v>7</v>
      </c>
      <c r="C397" s="55" t="s">
        <v>547</v>
      </c>
      <c r="D397" s="56" t="s">
        <v>548</v>
      </c>
      <c r="E397" s="3" t="s">
        <v>21</v>
      </c>
      <c r="F397" s="3" t="s">
        <v>22</v>
      </c>
      <c r="G397" s="3" t="s">
        <v>549</v>
      </c>
      <c r="H397" s="4">
        <v>2785653</v>
      </c>
      <c r="I397" s="4">
        <v>2785653</v>
      </c>
      <c r="J397" s="4">
        <v>2499752.63</v>
      </c>
      <c r="K397" s="16"/>
      <c r="L397" s="17"/>
      <c r="M397" s="4">
        <v>285900.37</v>
      </c>
      <c r="O397" s="79" t="s">
        <v>1387</v>
      </c>
    </row>
    <row r="398" spans="1:15" ht="21" hidden="1" x14ac:dyDescent="0.35">
      <c r="A398" s="65"/>
      <c r="B398" s="54" t="s">
        <v>7</v>
      </c>
      <c r="C398" s="55" t="str">
        <f t="shared" ref="C398:C405" si="89">C397</f>
        <v>8471160</v>
      </c>
      <c r="D398" s="56" t="str">
        <f t="shared" ref="D398:D405" si="90">D397</f>
        <v>KUST - Research Laboratories</v>
      </c>
      <c r="E398" s="3" t="s">
        <v>27</v>
      </c>
      <c r="F398" s="3" t="s">
        <v>28</v>
      </c>
      <c r="G398" s="3" t="s">
        <v>550</v>
      </c>
      <c r="H398" s="4">
        <v>2476291</v>
      </c>
      <c r="I398" s="4">
        <v>2476291</v>
      </c>
      <c r="J398" s="4">
        <v>2122385.44</v>
      </c>
      <c r="K398" s="16"/>
      <c r="L398" s="17"/>
      <c r="M398" s="4">
        <v>353905.56000000099</v>
      </c>
      <c r="O398" s="79" t="s">
        <v>1387</v>
      </c>
    </row>
    <row r="399" spans="1:15" ht="21" hidden="1" x14ac:dyDescent="0.35">
      <c r="A399" s="65"/>
      <c r="B399" s="54" t="s">
        <v>7</v>
      </c>
      <c r="C399" s="55" t="str">
        <f t="shared" si="89"/>
        <v>8471160</v>
      </c>
      <c r="D399" s="56" t="str">
        <f t="shared" si="90"/>
        <v>KUST - Research Laboratories</v>
      </c>
      <c r="E399" s="3" t="s">
        <v>60</v>
      </c>
      <c r="F399" s="3" t="s">
        <v>61</v>
      </c>
      <c r="G399" s="3" t="s">
        <v>551</v>
      </c>
      <c r="H399" s="4">
        <v>41181</v>
      </c>
      <c r="I399" s="4">
        <v>41181</v>
      </c>
      <c r="J399" s="4">
        <v>20502</v>
      </c>
      <c r="K399" s="16"/>
      <c r="L399" s="17"/>
      <c r="M399" s="4">
        <v>20679</v>
      </c>
      <c r="O399" s="79" t="s">
        <v>1387</v>
      </c>
    </row>
    <row r="400" spans="1:15" ht="21" hidden="1" x14ac:dyDescent="0.35">
      <c r="A400" s="65"/>
      <c r="B400" s="54" t="s">
        <v>7</v>
      </c>
      <c r="C400" s="55" t="str">
        <f t="shared" si="89"/>
        <v>8471160</v>
      </c>
      <c r="D400" s="56" t="str">
        <f t="shared" si="90"/>
        <v>KUST - Research Laboratories</v>
      </c>
      <c r="E400" s="3" t="s">
        <v>42</v>
      </c>
      <c r="F400" s="3" t="s">
        <v>43</v>
      </c>
      <c r="G400" s="3" t="s">
        <v>552</v>
      </c>
      <c r="H400" s="4">
        <v>0</v>
      </c>
      <c r="I400" s="4">
        <v>185012</v>
      </c>
      <c r="J400" s="4">
        <v>183973</v>
      </c>
      <c r="K400" s="16"/>
      <c r="L400" s="17"/>
      <c r="M400" s="4">
        <v>1039</v>
      </c>
      <c r="O400" s="79" t="s">
        <v>1387</v>
      </c>
    </row>
    <row r="401" spans="1:15" ht="21" hidden="1" x14ac:dyDescent="0.35">
      <c r="A401" s="65"/>
      <c r="B401" s="54" t="s">
        <v>7</v>
      </c>
      <c r="C401" s="55" t="str">
        <f t="shared" si="89"/>
        <v>8471160</v>
      </c>
      <c r="D401" s="56" t="str">
        <f t="shared" si="90"/>
        <v>KUST - Research Laboratories</v>
      </c>
      <c r="E401" s="3" t="s">
        <v>45</v>
      </c>
      <c r="F401" s="3" t="s">
        <v>46</v>
      </c>
      <c r="G401" s="3" t="s">
        <v>553</v>
      </c>
      <c r="H401" s="4">
        <v>37093</v>
      </c>
      <c r="I401" s="4">
        <v>37093</v>
      </c>
      <c r="J401" s="4">
        <v>33492</v>
      </c>
      <c r="K401" s="16"/>
      <c r="L401" s="17"/>
      <c r="M401" s="4">
        <v>3601</v>
      </c>
      <c r="O401" s="79" t="s">
        <v>1387</v>
      </c>
    </row>
    <row r="402" spans="1:15" ht="21" hidden="1" x14ac:dyDescent="0.35">
      <c r="A402" s="65"/>
      <c r="B402" s="54" t="s">
        <v>7</v>
      </c>
      <c r="C402" s="55" t="str">
        <f t="shared" si="89"/>
        <v>8471160</v>
      </c>
      <c r="D402" s="56" t="str">
        <f t="shared" si="90"/>
        <v>KUST - Research Laboratories</v>
      </c>
      <c r="E402" s="3" t="s">
        <v>75</v>
      </c>
      <c r="F402" s="3" t="s">
        <v>76</v>
      </c>
      <c r="G402" s="3" t="s">
        <v>554</v>
      </c>
      <c r="H402" s="4">
        <v>31759</v>
      </c>
      <c r="I402" s="4">
        <v>31759</v>
      </c>
      <c r="J402" s="4">
        <v>31758</v>
      </c>
      <c r="K402" s="16"/>
      <c r="L402" s="17"/>
      <c r="M402" s="4">
        <v>1</v>
      </c>
      <c r="O402" s="79" t="s">
        <v>1387</v>
      </c>
    </row>
    <row r="403" spans="1:15" ht="21" hidden="1" x14ac:dyDescent="0.35">
      <c r="A403" s="65"/>
      <c r="B403" s="54" t="s">
        <v>7</v>
      </c>
      <c r="C403" s="55" t="str">
        <f t="shared" si="89"/>
        <v>8471160</v>
      </c>
      <c r="D403" s="56" t="str">
        <f t="shared" si="90"/>
        <v>KUST - Research Laboratories</v>
      </c>
      <c r="E403" s="3" t="s">
        <v>50</v>
      </c>
      <c r="F403" s="3" t="s">
        <v>51</v>
      </c>
      <c r="G403" s="3" t="s">
        <v>555</v>
      </c>
      <c r="H403" s="4">
        <v>152132</v>
      </c>
      <c r="I403" s="4">
        <v>176132</v>
      </c>
      <c r="J403" s="4">
        <v>160569.87</v>
      </c>
      <c r="K403" s="16"/>
      <c r="L403" s="17"/>
      <c r="M403" s="4">
        <v>15562.13</v>
      </c>
      <c r="O403" s="79" t="s">
        <v>1387</v>
      </c>
    </row>
    <row r="404" spans="1:15" ht="21" hidden="1" x14ac:dyDescent="0.35">
      <c r="A404" s="65"/>
      <c r="B404" s="54" t="s">
        <v>7</v>
      </c>
      <c r="C404" s="55" t="str">
        <f t="shared" si="89"/>
        <v>8471160</v>
      </c>
      <c r="D404" s="56" t="str">
        <f t="shared" si="90"/>
        <v>KUST - Research Laboratories</v>
      </c>
      <c r="E404" s="3" t="s">
        <v>66</v>
      </c>
      <c r="F404" s="3" t="s">
        <v>67</v>
      </c>
      <c r="G404" s="3" t="s">
        <v>556</v>
      </c>
      <c r="H404" s="4">
        <v>128985</v>
      </c>
      <c r="I404" s="4">
        <v>128985</v>
      </c>
      <c r="J404" s="4">
        <v>118690.71</v>
      </c>
      <c r="K404" s="16"/>
      <c r="L404" s="17"/>
      <c r="M404" s="4">
        <v>10294.290000000001</v>
      </c>
      <c r="O404" s="79" t="s">
        <v>1387</v>
      </c>
    </row>
    <row r="405" spans="1:15" ht="21" hidden="1" x14ac:dyDescent="0.35">
      <c r="A405" s="65"/>
      <c r="B405" s="54" t="s">
        <v>7</v>
      </c>
      <c r="C405" s="55" t="str">
        <f t="shared" si="89"/>
        <v>8471160</v>
      </c>
      <c r="D405" s="56" t="str">
        <f t="shared" si="90"/>
        <v>KUST - Research Laboratories</v>
      </c>
      <c r="E405" s="3" t="s">
        <v>53</v>
      </c>
      <c r="F405" s="3" t="s">
        <v>54</v>
      </c>
      <c r="G405" s="3" t="s">
        <v>557</v>
      </c>
      <c r="H405" s="4">
        <v>221277</v>
      </c>
      <c r="I405" s="4">
        <v>221277</v>
      </c>
      <c r="J405" s="4">
        <v>107217</v>
      </c>
      <c r="K405" s="16"/>
      <c r="L405" s="17"/>
      <c r="M405" s="4">
        <v>114060</v>
      </c>
      <c r="O405" s="79" t="s">
        <v>1387</v>
      </c>
    </row>
    <row r="406" spans="1:15" ht="14.5" hidden="1" customHeight="1" x14ac:dyDescent="0.35">
      <c r="A406" s="65"/>
      <c r="B406" s="54" t="s">
        <v>7</v>
      </c>
      <c r="C406" s="55" t="s">
        <v>558</v>
      </c>
      <c r="D406" s="56" t="s">
        <v>559</v>
      </c>
      <c r="E406" s="3" t="s">
        <v>21</v>
      </c>
      <c r="F406" s="3" t="s">
        <v>22</v>
      </c>
      <c r="G406" s="3" t="s">
        <v>560</v>
      </c>
      <c r="H406" s="4">
        <v>1032678</v>
      </c>
      <c r="I406" s="4">
        <v>1032678</v>
      </c>
      <c r="J406" s="4">
        <v>974362</v>
      </c>
      <c r="K406" s="16"/>
      <c r="L406" s="17"/>
      <c r="M406" s="4">
        <v>58316</v>
      </c>
      <c r="O406" s="79" t="s">
        <v>1387</v>
      </c>
    </row>
    <row r="407" spans="1:15" ht="21" hidden="1" x14ac:dyDescent="0.35">
      <c r="A407" s="65"/>
      <c r="B407" s="54" t="s">
        <v>7</v>
      </c>
      <c r="C407" s="55" t="str">
        <f t="shared" ref="C407:C411" si="91">C406</f>
        <v>8471170</v>
      </c>
      <c r="D407" s="56" t="str">
        <f t="shared" ref="D407:D411" si="92">D406</f>
        <v>KUST - Research Computing</v>
      </c>
      <c r="E407" s="3" t="s">
        <v>27</v>
      </c>
      <c r="F407" s="3" t="s">
        <v>28</v>
      </c>
      <c r="G407" s="3" t="s">
        <v>561</v>
      </c>
      <c r="H407" s="4">
        <v>696025</v>
      </c>
      <c r="I407" s="4">
        <v>696025</v>
      </c>
      <c r="J407" s="4">
        <v>631118</v>
      </c>
      <c r="K407" s="16"/>
      <c r="L407" s="17"/>
      <c r="M407" s="4">
        <v>64907</v>
      </c>
      <c r="O407" s="79" t="s">
        <v>1387</v>
      </c>
    </row>
    <row r="408" spans="1:15" ht="21" hidden="1" x14ac:dyDescent="0.35">
      <c r="A408" s="65"/>
      <c r="B408" s="54" t="s">
        <v>7</v>
      </c>
      <c r="C408" s="55" t="str">
        <f t="shared" si="91"/>
        <v>8471170</v>
      </c>
      <c r="D408" s="56" t="str">
        <f t="shared" si="92"/>
        <v>KUST - Research Computing</v>
      </c>
      <c r="E408" s="3" t="s">
        <v>42</v>
      </c>
      <c r="F408" s="3" t="s">
        <v>43</v>
      </c>
      <c r="G408" s="3" t="s">
        <v>562</v>
      </c>
      <c r="H408" s="4">
        <v>120000</v>
      </c>
      <c r="I408" s="4">
        <v>120000</v>
      </c>
      <c r="J408" s="4">
        <v>78756.5</v>
      </c>
      <c r="K408" s="16"/>
      <c r="L408" s="17"/>
      <c r="M408" s="4">
        <v>41243.5</v>
      </c>
      <c r="O408" s="79" t="s">
        <v>1387</v>
      </c>
    </row>
    <row r="409" spans="1:15" ht="21" hidden="1" x14ac:dyDescent="0.35">
      <c r="A409" s="65"/>
      <c r="B409" s="54" t="s">
        <v>7</v>
      </c>
      <c r="C409" s="55" t="str">
        <f t="shared" si="91"/>
        <v>8471170</v>
      </c>
      <c r="D409" s="56" t="str">
        <f t="shared" si="92"/>
        <v>KUST - Research Computing</v>
      </c>
      <c r="E409" s="3" t="s">
        <v>75</v>
      </c>
      <c r="F409" s="3" t="s">
        <v>76</v>
      </c>
      <c r="G409" s="3" t="s">
        <v>563</v>
      </c>
      <c r="H409" s="4">
        <v>104769</v>
      </c>
      <c r="I409" s="4">
        <v>104769</v>
      </c>
      <c r="J409" s="17"/>
      <c r="K409" s="16"/>
      <c r="L409" s="17"/>
      <c r="M409" s="4">
        <v>104769</v>
      </c>
      <c r="O409" s="79" t="s">
        <v>1387</v>
      </c>
    </row>
    <row r="410" spans="1:15" ht="21" hidden="1" x14ac:dyDescent="0.35">
      <c r="A410" s="65"/>
      <c r="B410" s="54" t="s">
        <v>7</v>
      </c>
      <c r="C410" s="55" t="str">
        <f t="shared" si="91"/>
        <v>8471170</v>
      </c>
      <c r="D410" s="56" t="str">
        <f t="shared" si="92"/>
        <v>KUST - Research Computing</v>
      </c>
      <c r="E410" s="3" t="s">
        <v>66</v>
      </c>
      <c r="F410" s="3" t="s">
        <v>67</v>
      </c>
      <c r="G410" s="3" t="s">
        <v>564</v>
      </c>
      <c r="H410" s="4">
        <v>0</v>
      </c>
      <c r="I410" s="4">
        <v>120000</v>
      </c>
      <c r="J410" s="4">
        <v>119520</v>
      </c>
      <c r="K410" s="16"/>
      <c r="L410" s="17"/>
      <c r="M410" s="4">
        <v>480</v>
      </c>
      <c r="O410" s="79" t="s">
        <v>1387</v>
      </c>
    </row>
    <row r="411" spans="1:15" ht="21" hidden="1" x14ac:dyDescent="0.35">
      <c r="A411" s="65"/>
      <c r="B411" s="54" t="s">
        <v>7</v>
      </c>
      <c r="C411" s="55" t="str">
        <f t="shared" si="91"/>
        <v>8471170</v>
      </c>
      <c r="D411" s="56" t="str">
        <f t="shared" si="92"/>
        <v>KUST - Research Computing</v>
      </c>
      <c r="E411" s="3" t="s">
        <v>53</v>
      </c>
      <c r="F411" s="3" t="s">
        <v>54</v>
      </c>
      <c r="G411" s="3" t="s">
        <v>565</v>
      </c>
      <c r="H411" s="4">
        <v>80947</v>
      </c>
      <c r="I411" s="4">
        <v>56947</v>
      </c>
      <c r="J411" s="4">
        <v>49867.29</v>
      </c>
      <c r="K411" s="16"/>
      <c r="L411" s="17"/>
      <c r="M411" s="4">
        <v>7079.71</v>
      </c>
      <c r="O411" s="79" t="s">
        <v>1387</v>
      </c>
    </row>
    <row r="412" spans="1:15" ht="21" customHeight="1" x14ac:dyDescent="0.35">
      <c r="A412" s="65"/>
      <c r="B412" s="54" t="s">
        <v>7</v>
      </c>
      <c r="C412" s="55" t="s">
        <v>566</v>
      </c>
      <c r="D412" s="56" t="s">
        <v>567</v>
      </c>
      <c r="E412" s="3" t="s">
        <v>98</v>
      </c>
      <c r="F412" s="3" t="s">
        <v>99</v>
      </c>
      <c r="G412" s="3" t="s">
        <v>568</v>
      </c>
      <c r="H412" s="17"/>
      <c r="I412" s="17"/>
      <c r="J412" s="4">
        <v>-25165.47</v>
      </c>
      <c r="K412" s="16"/>
      <c r="L412" s="17"/>
      <c r="M412" s="4">
        <v>25165.47</v>
      </c>
      <c r="O412" s="79" t="s">
        <v>1386</v>
      </c>
    </row>
    <row r="413" spans="1:15" ht="21" customHeight="1" x14ac:dyDescent="0.35">
      <c r="A413" s="65"/>
      <c r="B413" s="54" t="s">
        <v>7</v>
      </c>
      <c r="C413" s="55" t="str">
        <f t="shared" ref="C413:C426" si="93">C412</f>
        <v>8471210</v>
      </c>
      <c r="D413" s="56" t="str">
        <f t="shared" ref="D413:D426" si="94">D412</f>
        <v>KUST - SVP/ Academic &amp; Student Services Office</v>
      </c>
      <c r="E413" s="3" t="s">
        <v>21</v>
      </c>
      <c r="F413" s="3" t="s">
        <v>22</v>
      </c>
      <c r="G413" s="3" t="s">
        <v>569</v>
      </c>
      <c r="H413" s="4">
        <v>4297352</v>
      </c>
      <c r="I413" s="4">
        <v>3227072</v>
      </c>
      <c r="J413" s="4">
        <v>3057056.56</v>
      </c>
      <c r="K413" s="16"/>
      <c r="L413" s="17"/>
      <c r="M413" s="4">
        <v>170015.43999999901</v>
      </c>
      <c r="O413" s="79" t="s">
        <v>1386</v>
      </c>
    </row>
    <row r="414" spans="1:15" ht="21" customHeight="1" x14ac:dyDescent="0.35">
      <c r="A414" s="65"/>
      <c r="B414" s="54" t="s">
        <v>7</v>
      </c>
      <c r="C414" s="55" t="str">
        <f t="shared" si="93"/>
        <v>8471210</v>
      </c>
      <c r="D414" s="56" t="str">
        <f t="shared" si="94"/>
        <v>KUST - SVP/ Academic &amp; Student Services Office</v>
      </c>
      <c r="E414" s="3" t="s">
        <v>24</v>
      </c>
      <c r="F414" s="3" t="s">
        <v>25</v>
      </c>
      <c r="G414" s="3" t="s">
        <v>570</v>
      </c>
      <c r="H414" s="4">
        <v>405600</v>
      </c>
      <c r="I414" s="4">
        <v>355600</v>
      </c>
      <c r="J414" s="4">
        <v>246836.67</v>
      </c>
      <c r="K414" s="16"/>
      <c r="L414" s="17"/>
      <c r="M414" s="4">
        <v>108763.33</v>
      </c>
      <c r="O414" s="79" t="s">
        <v>1386</v>
      </c>
    </row>
    <row r="415" spans="1:15" ht="21" customHeight="1" x14ac:dyDescent="0.35">
      <c r="A415" s="65"/>
      <c r="B415" s="54" t="s">
        <v>7</v>
      </c>
      <c r="C415" s="55" t="str">
        <f t="shared" si="93"/>
        <v>8471210</v>
      </c>
      <c r="D415" s="56" t="str">
        <f t="shared" si="94"/>
        <v>KUST - SVP/ Academic &amp; Student Services Office</v>
      </c>
      <c r="E415" s="3" t="s">
        <v>27</v>
      </c>
      <c r="F415" s="3" t="s">
        <v>28</v>
      </c>
      <c r="G415" s="3" t="s">
        <v>571</v>
      </c>
      <c r="H415" s="4">
        <v>2454724</v>
      </c>
      <c r="I415" s="4">
        <v>1894724</v>
      </c>
      <c r="J415" s="4">
        <v>1764679.27</v>
      </c>
      <c r="K415" s="16"/>
      <c r="L415" s="17"/>
      <c r="M415" s="4">
        <v>130044.73</v>
      </c>
      <c r="O415" s="79" t="s">
        <v>1386</v>
      </c>
    </row>
    <row r="416" spans="1:15" ht="21" customHeight="1" x14ac:dyDescent="0.35">
      <c r="A416" s="65"/>
      <c r="B416" s="54" t="s">
        <v>7</v>
      </c>
      <c r="C416" s="55" t="str">
        <f t="shared" si="93"/>
        <v>8471210</v>
      </c>
      <c r="D416" s="56" t="str">
        <f t="shared" si="94"/>
        <v>KUST - SVP/ Academic &amp; Student Services Office</v>
      </c>
      <c r="E416" s="3" t="s">
        <v>85</v>
      </c>
      <c r="F416" s="3" t="s">
        <v>86</v>
      </c>
      <c r="G416" s="3" t="s">
        <v>572</v>
      </c>
      <c r="H416" s="4">
        <v>0</v>
      </c>
      <c r="I416" s="4">
        <v>0</v>
      </c>
      <c r="J416" s="17"/>
      <c r="K416" s="16"/>
      <c r="L416" s="17"/>
      <c r="M416" s="4">
        <v>0</v>
      </c>
      <c r="O416" s="79" t="s">
        <v>1386</v>
      </c>
    </row>
    <row r="417" spans="1:15" ht="21" customHeight="1" x14ac:dyDescent="0.35">
      <c r="A417" s="65"/>
      <c r="B417" s="54" t="s">
        <v>7</v>
      </c>
      <c r="C417" s="55" t="str">
        <f t="shared" si="93"/>
        <v>8471210</v>
      </c>
      <c r="D417" s="56" t="str">
        <f t="shared" si="94"/>
        <v>KUST - SVP/ Academic &amp; Student Services Office</v>
      </c>
      <c r="E417" s="3" t="s">
        <v>33</v>
      </c>
      <c r="F417" s="3" t="s">
        <v>34</v>
      </c>
      <c r="G417" s="3" t="s">
        <v>573</v>
      </c>
      <c r="H417" s="4">
        <v>1014480</v>
      </c>
      <c r="I417" s="4">
        <v>800480</v>
      </c>
      <c r="J417" s="4">
        <v>715827.99</v>
      </c>
      <c r="K417" s="16"/>
      <c r="L417" s="17"/>
      <c r="M417" s="4">
        <v>84652.01</v>
      </c>
      <c r="O417" s="79" t="s">
        <v>1386</v>
      </c>
    </row>
    <row r="418" spans="1:15" ht="21" customHeight="1" x14ac:dyDescent="0.35">
      <c r="A418" s="65"/>
      <c r="B418" s="54" t="s">
        <v>7</v>
      </c>
      <c r="C418" s="55" t="str">
        <f t="shared" si="93"/>
        <v>8471210</v>
      </c>
      <c r="D418" s="56" t="str">
        <f t="shared" si="94"/>
        <v>KUST - SVP/ Academic &amp; Student Services Office</v>
      </c>
      <c r="E418" s="3" t="s">
        <v>36</v>
      </c>
      <c r="F418" s="3" t="s">
        <v>37</v>
      </c>
      <c r="G418" s="3" t="s">
        <v>574</v>
      </c>
      <c r="H418" s="4">
        <v>151200</v>
      </c>
      <c r="I418" s="4">
        <v>102000</v>
      </c>
      <c r="J418" s="4">
        <v>85200</v>
      </c>
      <c r="K418" s="16"/>
      <c r="L418" s="17"/>
      <c r="M418" s="4">
        <v>16800</v>
      </c>
      <c r="O418" s="79" t="s">
        <v>1386</v>
      </c>
    </row>
    <row r="419" spans="1:15" ht="21" customHeight="1" x14ac:dyDescent="0.35">
      <c r="A419" s="65"/>
      <c r="B419" s="54" t="s">
        <v>7</v>
      </c>
      <c r="C419" s="55" t="str">
        <f t="shared" si="93"/>
        <v>8471210</v>
      </c>
      <c r="D419" s="56" t="str">
        <f t="shared" si="94"/>
        <v>KUST - SVP/ Academic &amp; Student Services Office</v>
      </c>
      <c r="E419" s="3" t="s">
        <v>39</v>
      </c>
      <c r="F419" s="3" t="s">
        <v>40</v>
      </c>
      <c r="G419" s="3" t="s">
        <v>575</v>
      </c>
      <c r="H419" s="4">
        <v>3250944</v>
      </c>
      <c r="I419" s="4">
        <v>2491944</v>
      </c>
      <c r="J419" s="4">
        <v>2310478.0099999998</v>
      </c>
      <c r="K419" s="16"/>
      <c r="L419" s="17"/>
      <c r="M419" s="4">
        <v>181465.99</v>
      </c>
      <c r="O419" s="79" t="s">
        <v>1386</v>
      </c>
    </row>
    <row r="420" spans="1:15" ht="21" customHeight="1" x14ac:dyDescent="0.35">
      <c r="A420" s="65"/>
      <c r="B420" s="54" t="s">
        <v>7</v>
      </c>
      <c r="C420" s="55" t="str">
        <f t="shared" si="93"/>
        <v>8471210</v>
      </c>
      <c r="D420" s="56" t="str">
        <f t="shared" si="94"/>
        <v>KUST - SVP/ Academic &amp; Student Services Office</v>
      </c>
      <c r="E420" s="3" t="s">
        <v>42</v>
      </c>
      <c r="F420" s="3" t="s">
        <v>43</v>
      </c>
      <c r="G420" s="3" t="s">
        <v>576</v>
      </c>
      <c r="H420" s="4">
        <v>337400</v>
      </c>
      <c r="I420" s="4">
        <v>308312</v>
      </c>
      <c r="J420" s="4">
        <v>307511.26</v>
      </c>
      <c r="K420" s="16"/>
      <c r="L420" s="17"/>
      <c r="M420" s="4">
        <v>800.73999999999103</v>
      </c>
      <c r="O420" s="79" t="s">
        <v>1386</v>
      </c>
    </row>
    <row r="421" spans="1:15" ht="21" customHeight="1" x14ac:dyDescent="0.35">
      <c r="A421" s="65"/>
      <c r="B421" s="54" t="s">
        <v>7</v>
      </c>
      <c r="C421" s="55" t="str">
        <f t="shared" si="93"/>
        <v>8471210</v>
      </c>
      <c r="D421" s="56" t="str">
        <f t="shared" si="94"/>
        <v>KUST - SVP/ Academic &amp; Student Services Office</v>
      </c>
      <c r="E421" s="3" t="s">
        <v>349</v>
      </c>
      <c r="F421" s="3" t="s">
        <v>350</v>
      </c>
      <c r="G421" s="3" t="s">
        <v>577</v>
      </c>
      <c r="H421" s="4">
        <v>7200</v>
      </c>
      <c r="I421" s="4">
        <v>7200</v>
      </c>
      <c r="J421" s="4">
        <v>3000</v>
      </c>
      <c r="K421" s="16"/>
      <c r="L421" s="17"/>
      <c r="M421" s="4">
        <v>4200</v>
      </c>
      <c r="O421" s="79" t="s">
        <v>1386</v>
      </c>
    </row>
    <row r="422" spans="1:15" ht="21" customHeight="1" x14ac:dyDescent="0.35">
      <c r="A422" s="65"/>
      <c r="B422" s="54" t="s">
        <v>7</v>
      </c>
      <c r="C422" s="55" t="str">
        <f t="shared" si="93"/>
        <v>8471210</v>
      </c>
      <c r="D422" s="56" t="str">
        <f t="shared" si="94"/>
        <v>KUST - SVP/ Academic &amp; Student Services Office</v>
      </c>
      <c r="E422" s="3" t="s">
        <v>45</v>
      </c>
      <c r="F422" s="3" t="s">
        <v>46</v>
      </c>
      <c r="G422" s="3" t="s">
        <v>578</v>
      </c>
      <c r="H422" s="4">
        <v>9377</v>
      </c>
      <c r="I422" s="4">
        <v>9377</v>
      </c>
      <c r="J422" s="4">
        <v>8780.7000000000007</v>
      </c>
      <c r="K422" s="16"/>
      <c r="L422" s="17"/>
      <c r="M422" s="4">
        <v>596.29999999999905</v>
      </c>
      <c r="O422" s="79" t="s">
        <v>1386</v>
      </c>
    </row>
    <row r="423" spans="1:15" ht="21" customHeight="1" x14ac:dyDescent="0.35">
      <c r="A423" s="65"/>
      <c r="B423" s="54" t="s">
        <v>7</v>
      </c>
      <c r="C423" s="55" t="str">
        <f t="shared" si="93"/>
        <v>8471210</v>
      </c>
      <c r="D423" s="56" t="str">
        <f t="shared" si="94"/>
        <v>KUST - SVP/ Academic &amp; Student Services Office</v>
      </c>
      <c r="E423" s="3" t="s">
        <v>75</v>
      </c>
      <c r="F423" s="3" t="s">
        <v>76</v>
      </c>
      <c r="G423" s="3" t="s">
        <v>579</v>
      </c>
      <c r="H423" s="4">
        <v>57279</v>
      </c>
      <c r="I423" s="4">
        <v>192169</v>
      </c>
      <c r="J423" s="4">
        <v>192165.72</v>
      </c>
      <c r="K423" s="16"/>
      <c r="L423" s="17"/>
      <c r="M423" s="4">
        <v>3.2799999999988398</v>
      </c>
      <c r="O423" s="79" t="s">
        <v>1386</v>
      </c>
    </row>
    <row r="424" spans="1:15" ht="21" customHeight="1" x14ac:dyDescent="0.35">
      <c r="A424" s="65"/>
      <c r="B424" s="54" t="s">
        <v>7</v>
      </c>
      <c r="C424" s="55" t="str">
        <f t="shared" si="93"/>
        <v>8471210</v>
      </c>
      <c r="D424" s="56" t="str">
        <f t="shared" si="94"/>
        <v>KUST - SVP/ Academic &amp; Student Services Office</v>
      </c>
      <c r="E424" s="3" t="s">
        <v>50</v>
      </c>
      <c r="F424" s="3" t="s">
        <v>51</v>
      </c>
      <c r="G424" s="3" t="s">
        <v>580</v>
      </c>
      <c r="H424" s="4">
        <v>1118275</v>
      </c>
      <c r="I424" s="4">
        <v>878275</v>
      </c>
      <c r="J424" s="4">
        <v>759026.88</v>
      </c>
      <c r="K424" s="16"/>
      <c r="L424" s="17"/>
      <c r="M424" s="4">
        <v>119248.12</v>
      </c>
      <c r="O424" s="79" t="s">
        <v>1386</v>
      </c>
    </row>
    <row r="425" spans="1:15" ht="21" customHeight="1" x14ac:dyDescent="0.35">
      <c r="A425" s="65"/>
      <c r="B425" s="54" t="s">
        <v>7</v>
      </c>
      <c r="C425" s="55" t="str">
        <f t="shared" si="93"/>
        <v>8471210</v>
      </c>
      <c r="D425" s="56" t="str">
        <f t="shared" si="94"/>
        <v>KUST - SVP/ Academic &amp; Student Services Office</v>
      </c>
      <c r="E425" s="3" t="s">
        <v>66</v>
      </c>
      <c r="F425" s="3" t="s">
        <v>67</v>
      </c>
      <c r="G425" s="3" t="s">
        <v>581</v>
      </c>
      <c r="H425" s="4">
        <v>24683</v>
      </c>
      <c r="I425" s="4">
        <v>89830</v>
      </c>
      <c r="J425" s="4">
        <v>69759.7</v>
      </c>
      <c r="K425" s="16"/>
      <c r="L425" s="17"/>
      <c r="M425" s="4">
        <v>20070.3</v>
      </c>
      <c r="O425" s="79" t="s">
        <v>1386</v>
      </c>
    </row>
    <row r="426" spans="1:15" ht="21" customHeight="1" x14ac:dyDescent="0.35">
      <c r="A426" s="65"/>
      <c r="B426" s="54" t="s">
        <v>7</v>
      </c>
      <c r="C426" s="55" t="str">
        <f t="shared" si="93"/>
        <v>8471210</v>
      </c>
      <c r="D426" s="56" t="str">
        <f t="shared" si="94"/>
        <v>KUST - SVP/ Academic &amp; Student Services Office</v>
      </c>
      <c r="E426" s="3" t="s">
        <v>53</v>
      </c>
      <c r="F426" s="3" t="s">
        <v>54</v>
      </c>
      <c r="G426" s="3" t="s">
        <v>582</v>
      </c>
      <c r="H426" s="4">
        <v>0</v>
      </c>
      <c r="I426" s="4">
        <v>66431</v>
      </c>
      <c r="J426" s="4">
        <v>65436.22</v>
      </c>
      <c r="K426" s="16"/>
      <c r="L426" s="17"/>
      <c r="M426" s="4">
        <v>994.77999999999895</v>
      </c>
      <c r="O426" s="79" t="s">
        <v>1386</v>
      </c>
    </row>
    <row r="427" spans="1:15" hidden="1" x14ac:dyDescent="0.35">
      <c r="A427" s="65"/>
      <c r="B427" s="54" t="s">
        <v>7</v>
      </c>
      <c r="C427" s="55" t="s">
        <v>583</v>
      </c>
      <c r="D427" s="56" t="s">
        <v>584</v>
      </c>
      <c r="E427" s="3" t="s">
        <v>21</v>
      </c>
      <c r="F427" s="3" t="s">
        <v>22</v>
      </c>
      <c r="G427" s="3" t="s">
        <v>585</v>
      </c>
      <c r="H427" s="4">
        <v>2120940</v>
      </c>
      <c r="I427" s="4">
        <v>1847940</v>
      </c>
      <c r="J427" s="4">
        <v>1674030.05</v>
      </c>
      <c r="K427" s="16"/>
      <c r="L427" s="17"/>
      <c r="M427" s="4">
        <v>173909.94999999899</v>
      </c>
      <c r="O427" t="s">
        <v>1388</v>
      </c>
    </row>
    <row r="428" spans="1:15" ht="21" hidden="1" x14ac:dyDescent="0.35">
      <c r="A428" s="65"/>
      <c r="B428" s="54" t="s">
        <v>7</v>
      </c>
      <c r="C428" s="55" t="str">
        <f t="shared" ref="C428:C435" si="95">C427</f>
        <v>8471220</v>
      </c>
      <c r="D428" s="56" t="str">
        <f t="shared" ref="D428:D435" si="96">D427</f>
        <v>KUST - Registrar</v>
      </c>
      <c r="E428" s="3" t="s">
        <v>27</v>
      </c>
      <c r="F428" s="3" t="s">
        <v>28</v>
      </c>
      <c r="G428" s="3" t="s">
        <v>586</v>
      </c>
      <c r="H428" s="4">
        <v>2113301</v>
      </c>
      <c r="I428" s="4">
        <v>1954301</v>
      </c>
      <c r="J428" s="4">
        <v>1782588.94</v>
      </c>
      <c r="K428" s="16"/>
      <c r="L428" s="17"/>
      <c r="M428" s="4">
        <v>171712.06</v>
      </c>
      <c r="O428" t="s">
        <v>1388</v>
      </c>
    </row>
    <row r="429" spans="1:15" ht="21" hidden="1" x14ac:dyDescent="0.35">
      <c r="A429" s="65"/>
      <c r="B429" s="54" t="s">
        <v>7</v>
      </c>
      <c r="C429" s="55" t="str">
        <f t="shared" si="95"/>
        <v>8471220</v>
      </c>
      <c r="D429" s="56" t="str">
        <f t="shared" si="96"/>
        <v>KUST - Registrar</v>
      </c>
      <c r="E429" s="3" t="s">
        <v>85</v>
      </c>
      <c r="F429" s="3" t="s">
        <v>86</v>
      </c>
      <c r="G429" s="3" t="s">
        <v>587</v>
      </c>
      <c r="H429" s="4">
        <v>0</v>
      </c>
      <c r="I429" s="4">
        <v>0</v>
      </c>
      <c r="J429" s="17"/>
      <c r="K429" s="16"/>
      <c r="L429" s="17"/>
      <c r="M429" s="4">
        <v>0</v>
      </c>
      <c r="O429" t="s">
        <v>1388</v>
      </c>
    </row>
    <row r="430" spans="1:15" ht="21" hidden="1" customHeight="1" x14ac:dyDescent="0.35">
      <c r="A430" s="65"/>
      <c r="B430" s="54" t="s">
        <v>7</v>
      </c>
      <c r="C430" s="55" t="str">
        <f t="shared" si="95"/>
        <v>8471220</v>
      </c>
      <c r="D430" s="56" t="str">
        <f t="shared" si="96"/>
        <v>KUST - Registrar</v>
      </c>
      <c r="E430" s="3" t="s">
        <v>42</v>
      </c>
      <c r="F430" s="3" t="s">
        <v>43</v>
      </c>
      <c r="G430" s="3" t="s">
        <v>588</v>
      </c>
      <c r="H430" s="4">
        <v>248680</v>
      </c>
      <c r="I430" s="4">
        <v>357680</v>
      </c>
      <c r="J430" s="4">
        <v>353687</v>
      </c>
      <c r="K430" s="16"/>
      <c r="L430" s="17"/>
      <c r="M430" s="4">
        <v>3993</v>
      </c>
      <c r="O430" t="s">
        <v>1388</v>
      </c>
    </row>
    <row r="431" spans="1:15" ht="21" hidden="1" customHeight="1" x14ac:dyDescent="0.35">
      <c r="A431" s="65"/>
      <c r="B431" s="54" t="s">
        <v>7</v>
      </c>
      <c r="C431" s="55" t="str">
        <f t="shared" si="95"/>
        <v>8471220</v>
      </c>
      <c r="D431" s="56" t="str">
        <f t="shared" si="96"/>
        <v>KUST - Registrar</v>
      </c>
      <c r="E431" s="3" t="s">
        <v>45</v>
      </c>
      <c r="F431" s="3" t="s">
        <v>46</v>
      </c>
      <c r="G431" s="3" t="s">
        <v>589</v>
      </c>
      <c r="H431" s="4">
        <v>66283</v>
      </c>
      <c r="I431" s="4">
        <v>66283</v>
      </c>
      <c r="J431" s="4">
        <v>61651.27</v>
      </c>
      <c r="K431" s="16"/>
      <c r="L431" s="17"/>
      <c r="M431" s="4">
        <v>4631.7299999999996</v>
      </c>
      <c r="O431" t="s">
        <v>1388</v>
      </c>
    </row>
    <row r="432" spans="1:15" ht="21" hidden="1" x14ac:dyDescent="0.35">
      <c r="A432" s="65"/>
      <c r="B432" s="54" t="s">
        <v>7</v>
      </c>
      <c r="C432" s="55" t="str">
        <f t="shared" si="95"/>
        <v>8471220</v>
      </c>
      <c r="D432" s="56" t="str">
        <f t="shared" si="96"/>
        <v>KUST - Registrar</v>
      </c>
      <c r="E432" s="3" t="s">
        <v>75</v>
      </c>
      <c r="F432" s="3" t="s">
        <v>76</v>
      </c>
      <c r="G432" s="3" t="s">
        <v>590</v>
      </c>
      <c r="H432" s="4">
        <v>13966</v>
      </c>
      <c r="I432" s="4">
        <v>15966</v>
      </c>
      <c r="J432" s="4">
        <v>15772.93</v>
      </c>
      <c r="K432" s="16"/>
      <c r="L432" s="17"/>
      <c r="M432" s="4">
        <v>193.07</v>
      </c>
      <c r="O432" t="s">
        <v>1388</v>
      </c>
    </row>
    <row r="433" spans="1:15" ht="21" hidden="1" customHeight="1" x14ac:dyDescent="0.35">
      <c r="A433" s="65"/>
      <c r="B433" s="54" t="s">
        <v>7</v>
      </c>
      <c r="C433" s="55" t="str">
        <f t="shared" si="95"/>
        <v>8471220</v>
      </c>
      <c r="D433" s="56" t="str">
        <f t="shared" si="96"/>
        <v>KUST - Registrar</v>
      </c>
      <c r="E433" s="3" t="s">
        <v>50</v>
      </c>
      <c r="F433" s="3" t="s">
        <v>51</v>
      </c>
      <c r="G433" s="3" t="s">
        <v>591</v>
      </c>
      <c r="H433" s="4">
        <v>295355</v>
      </c>
      <c r="I433" s="4">
        <v>295355</v>
      </c>
      <c r="J433" s="4">
        <v>279393.42</v>
      </c>
      <c r="K433" s="16"/>
      <c r="L433" s="17"/>
      <c r="M433" s="4">
        <v>15961.58</v>
      </c>
      <c r="O433" t="s">
        <v>1388</v>
      </c>
    </row>
    <row r="434" spans="1:15" ht="21" hidden="1" customHeight="1" x14ac:dyDescent="0.35">
      <c r="A434" s="65"/>
      <c r="B434" s="54" t="s">
        <v>7</v>
      </c>
      <c r="C434" s="55" t="str">
        <f t="shared" si="95"/>
        <v>8471220</v>
      </c>
      <c r="D434" s="56" t="str">
        <f t="shared" si="96"/>
        <v>KUST - Registrar</v>
      </c>
      <c r="E434" s="3" t="s">
        <v>66</v>
      </c>
      <c r="F434" s="3" t="s">
        <v>67</v>
      </c>
      <c r="G434" s="3" t="s">
        <v>592</v>
      </c>
      <c r="H434" s="4">
        <v>58362</v>
      </c>
      <c r="I434" s="4">
        <v>18062</v>
      </c>
      <c r="J434" s="4">
        <v>14300</v>
      </c>
      <c r="K434" s="16"/>
      <c r="L434" s="17"/>
      <c r="M434" s="4">
        <v>3762</v>
      </c>
      <c r="O434" t="s">
        <v>1388</v>
      </c>
    </row>
    <row r="435" spans="1:15" ht="21" hidden="1" customHeight="1" x14ac:dyDescent="0.35">
      <c r="A435" s="65"/>
      <c r="B435" s="54" t="s">
        <v>7</v>
      </c>
      <c r="C435" s="55" t="str">
        <f t="shared" si="95"/>
        <v>8471220</v>
      </c>
      <c r="D435" s="56" t="str">
        <f t="shared" si="96"/>
        <v>KUST - Registrar</v>
      </c>
      <c r="E435" s="3" t="s">
        <v>53</v>
      </c>
      <c r="F435" s="3" t="s">
        <v>54</v>
      </c>
      <c r="G435" s="3" t="s">
        <v>593</v>
      </c>
      <c r="H435" s="4">
        <v>118946</v>
      </c>
      <c r="I435" s="4">
        <v>118946</v>
      </c>
      <c r="J435" s="4">
        <v>93088.71</v>
      </c>
      <c r="K435" s="16"/>
      <c r="L435" s="17"/>
      <c r="M435" s="4">
        <v>25857.29</v>
      </c>
      <c r="O435" t="s">
        <v>1388</v>
      </c>
    </row>
    <row r="436" spans="1:15" ht="14.5" customHeight="1" x14ac:dyDescent="0.35">
      <c r="A436" s="65"/>
      <c r="B436" s="54" t="s">
        <v>7</v>
      </c>
      <c r="C436" s="55" t="s">
        <v>594</v>
      </c>
      <c r="D436" s="56" t="s">
        <v>595</v>
      </c>
      <c r="E436" s="3" t="s">
        <v>21</v>
      </c>
      <c r="F436" s="3" t="s">
        <v>22</v>
      </c>
      <c r="G436" s="3" t="s">
        <v>596</v>
      </c>
      <c r="H436" s="4">
        <v>1241260</v>
      </c>
      <c r="I436" s="4">
        <v>2241260</v>
      </c>
      <c r="J436" s="4">
        <v>1930526.85</v>
      </c>
      <c r="K436" s="16"/>
      <c r="L436" s="17"/>
      <c r="M436" s="4">
        <v>310733.15000000002</v>
      </c>
      <c r="O436" s="79" t="s">
        <v>1386</v>
      </c>
    </row>
    <row r="437" spans="1:15" ht="21" x14ac:dyDescent="0.35">
      <c r="A437" s="65"/>
      <c r="B437" s="54" t="s">
        <v>7</v>
      </c>
      <c r="C437" s="55" t="str">
        <f t="shared" ref="C437:C444" si="97">C436</f>
        <v>8471230</v>
      </c>
      <c r="D437" s="56" t="str">
        <f t="shared" ref="D437:D444" si="98">D436</f>
        <v>KUST - Student Enrollment</v>
      </c>
      <c r="E437" s="3" t="s">
        <v>27</v>
      </c>
      <c r="F437" s="3" t="s">
        <v>28</v>
      </c>
      <c r="G437" s="3" t="s">
        <v>597</v>
      </c>
      <c r="H437" s="4">
        <v>1715017</v>
      </c>
      <c r="I437" s="4">
        <v>2415017</v>
      </c>
      <c r="J437" s="4">
        <v>2374141.44</v>
      </c>
      <c r="K437" s="16"/>
      <c r="L437" s="17"/>
      <c r="M437" s="4">
        <v>40875.5600000001</v>
      </c>
      <c r="O437" s="79" t="s">
        <v>1386</v>
      </c>
    </row>
    <row r="438" spans="1:15" ht="21" x14ac:dyDescent="0.35">
      <c r="A438" s="65"/>
      <c r="B438" s="54" t="s">
        <v>7</v>
      </c>
      <c r="C438" s="55" t="str">
        <f t="shared" si="97"/>
        <v>8471230</v>
      </c>
      <c r="D438" s="56" t="str">
        <f t="shared" si="98"/>
        <v>KUST - Student Enrollment</v>
      </c>
      <c r="E438" s="3" t="s">
        <v>36</v>
      </c>
      <c r="F438" s="3" t="s">
        <v>37</v>
      </c>
      <c r="G438" s="3" t="s">
        <v>598</v>
      </c>
      <c r="H438" s="4">
        <v>0</v>
      </c>
      <c r="I438" s="4">
        <v>9200</v>
      </c>
      <c r="J438" s="4">
        <v>7200</v>
      </c>
      <c r="K438" s="16"/>
      <c r="L438" s="17"/>
      <c r="M438" s="4">
        <v>2000</v>
      </c>
      <c r="O438" s="79" t="s">
        <v>1386</v>
      </c>
    </row>
    <row r="439" spans="1:15" ht="21" x14ac:dyDescent="0.35">
      <c r="A439" s="65"/>
      <c r="B439" s="54" t="s">
        <v>7</v>
      </c>
      <c r="C439" s="55" t="str">
        <f t="shared" si="97"/>
        <v>8471230</v>
      </c>
      <c r="D439" s="56" t="str">
        <f t="shared" si="98"/>
        <v>KUST - Student Enrollment</v>
      </c>
      <c r="E439" s="3" t="s">
        <v>42</v>
      </c>
      <c r="F439" s="3" t="s">
        <v>43</v>
      </c>
      <c r="G439" s="3" t="s">
        <v>599</v>
      </c>
      <c r="H439" s="4">
        <v>0</v>
      </c>
      <c r="I439" s="4">
        <v>84663</v>
      </c>
      <c r="J439" s="4">
        <v>84625.01</v>
      </c>
      <c r="K439" s="16"/>
      <c r="L439" s="17"/>
      <c r="M439" s="4">
        <v>37.989999999990701</v>
      </c>
      <c r="O439" s="79" t="s">
        <v>1386</v>
      </c>
    </row>
    <row r="440" spans="1:15" ht="21" x14ac:dyDescent="0.35">
      <c r="A440" s="65"/>
      <c r="B440" s="54" t="s">
        <v>7</v>
      </c>
      <c r="C440" s="55" t="str">
        <f t="shared" si="97"/>
        <v>8471230</v>
      </c>
      <c r="D440" s="56" t="str">
        <f t="shared" si="98"/>
        <v>KUST - Student Enrollment</v>
      </c>
      <c r="E440" s="3" t="s">
        <v>45</v>
      </c>
      <c r="F440" s="3" t="s">
        <v>46</v>
      </c>
      <c r="G440" s="3" t="s">
        <v>600</v>
      </c>
      <c r="H440" s="4">
        <v>86460</v>
      </c>
      <c r="I440" s="4">
        <v>136460</v>
      </c>
      <c r="J440" s="4">
        <v>112237.27</v>
      </c>
      <c r="K440" s="16"/>
      <c r="L440" s="17"/>
      <c r="M440" s="4">
        <v>24222.73</v>
      </c>
      <c r="O440" s="79" t="s">
        <v>1386</v>
      </c>
    </row>
    <row r="441" spans="1:15" ht="21" x14ac:dyDescent="0.35">
      <c r="A441" s="65"/>
      <c r="B441" s="54" t="s">
        <v>7</v>
      </c>
      <c r="C441" s="55" t="str">
        <f t="shared" si="97"/>
        <v>8471230</v>
      </c>
      <c r="D441" s="56" t="str">
        <f t="shared" si="98"/>
        <v>KUST - Student Enrollment</v>
      </c>
      <c r="E441" s="3" t="s">
        <v>75</v>
      </c>
      <c r="F441" s="3" t="s">
        <v>76</v>
      </c>
      <c r="G441" s="3" t="s">
        <v>601</v>
      </c>
      <c r="H441" s="4">
        <v>209539</v>
      </c>
      <c r="I441" s="4">
        <v>209539</v>
      </c>
      <c r="J441" s="4">
        <v>59446.58</v>
      </c>
      <c r="K441" s="16"/>
      <c r="L441" s="17"/>
      <c r="M441" s="4">
        <v>150092.42000000001</v>
      </c>
      <c r="O441" s="79" t="s">
        <v>1386</v>
      </c>
    </row>
    <row r="442" spans="1:15" ht="21" x14ac:dyDescent="0.35">
      <c r="A442" s="65"/>
      <c r="B442" s="54" t="s">
        <v>7</v>
      </c>
      <c r="C442" s="55" t="str">
        <f t="shared" si="97"/>
        <v>8471230</v>
      </c>
      <c r="D442" s="56" t="str">
        <f t="shared" si="98"/>
        <v>KUST - Student Enrollment</v>
      </c>
      <c r="E442" s="3" t="s">
        <v>50</v>
      </c>
      <c r="F442" s="3" t="s">
        <v>51</v>
      </c>
      <c r="G442" s="3" t="s">
        <v>602</v>
      </c>
      <c r="H442" s="4">
        <v>385039</v>
      </c>
      <c r="I442" s="4">
        <v>625039</v>
      </c>
      <c r="J442" s="4">
        <v>513940</v>
      </c>
      <c r="K442" s="16"/>
      <c r="L442" s="17"/>
      <c r="M442" s="4">
        <v>111099</v>
      </c>
      <c r="O442" s="79" t="s">
        <v>1386</v>
      </c>
    </row>
    <row r="443" spans="1:15" ht="21" x14ac:dyDescent="0.35">
      <c r="A443" s="65"/>
      <c r="B443" s="54" t="s">
        <v>7</v>
      </c>
      <c r="C443" s="55" t="str">
        <f t="shared" si="97"/>
        <v>8471230</v>
      </c>
      <c r="D443" s="56" t="str">
        <f t="shared" si="98"/>
        <v>KUST - Student Enrollment</v>
      </c>
      <c r="E443" s="3" t="s">
        <v>66</v>
      </c>
      <c r="F443" s="3" t="s">
        <v>67</v>
      </c>
      <c r="G443" s="3" t="s">
        <v>603</v>
      </c>
      <c r="H443" s="4">
        <v>0</v>
      </c>
      <c r="I443" s="4">
        <v>34661</v>
      </c>
      <c r="J443" s="4">
        <v>28860.82</v>
      </c>
      <c r="K443" s="16"/>
      <c r="L443" s="17"/>
      <c r="M443" s="4">
        <v>5800.18</v>
      </c>
      <c r="O443" s="79" t="s">
        <v>1386</v>
      </c>
    </row>
    <row r="444" spans="1:15" ht="21" x14ac:dyDescent="0.35">
      <c r="A444" s="65"/>
      <c r="B444" s="54" t="s">
        <v>7</v>
      </c>
      <c r="C444" s="55" t="str">
        <f t="shared" si="97"/>
        <v>8471230</v>
      </c>
      <c r="D444" s="56" t="str">
        <f t="shared" si="98"/>
        <v>KUST - Student Enrollment</v>
      </c>
      <c r="E444" s="3" t="s">
        <v>53</v>
      </c>
      <c r="F444" s="3" t="s">
        <v>54</v>
      </c>
      <c r="G444" s="3" t="s">
        <v>604</v>
      </c>
      <c r="H444" s="4">
        <v>0</v>
      </c>
      <c r="I444" s="4">
        <v>54745</v>
      </c>
      <c r="J444" s="4">
        <v>54744.03</v>
      </c>
      <c r="K444" s="16"/>
      <c r="L444" s="17"/>
      <c r="M444" s="4">
        <v>0.97000000000116404</v>
      </c>
      <c r="O444" s="79" t="s">
        <v>1386</v>
      </c>
    </row>
    <row r="445" spans="1:15" ht="14.5" customHeight="1" x14ac:dyDescent="0.35">
      <c r="A445" s="65"/>
      <c r="B445" s="54" t="s">
        <v>7</v>
      </c>
      <c r="C445" s="55" t="s">
        <v>605</v>
      </c>
      <c r="D445" s="56" t="s">
        <v>606</v>
      </c>
      <c r="E445" s="3" t="s">
        <v>21</v>
      </c>
      <c r="F445" s="3" t="s">
        <v>22</v>
      </c>
      <c r="G445" s="3" t="s">
        <v>607</v>
      </c>
      <c r="H445" s="4">
        <v>2209979</v>
      </c>
      <c r="I445" s="4">
        <v>2209979</v>
      </c>
      <c r="J445" s="4">
        <v>2056793.63</v>
      </c>
      <c r="K445" s="16"/>
      <c r="L445" s="17"/>
      <c r="M445" s="4">
        <v>153185.37</v>
      </c>
      <c r="O445" s="79" t="s">
        <v>1386</v>
      </c>
    </row>
    <row r="446" spans="1:15" ht="21" x14ac:dyDescent="0.35">
      <c r="A446" s="65"/>
      <c r="B446" s="54" t="s">
        <v>7</v>
      </c>
      <c r="C446" s="55" t="str">
        <f t="shared" ref="C446:C451" si="99">C445</f>
        <v>8471240</v>
      </c>
      <c r="D446" s="56" t="str">
        <f t="shared" ref="D446:D451" si="100">D445</f>
        <v>KUST - Student Success</v>
      </c>
      <c r="E446" s="3" t="s">
        <v>27</v>
      </c>
      <c r="F446" s="3" t="s">
        <v>28</v>
      </c>
      <c r="G446" s="3" t="s">
        <v>608</v>
      </c>
      <c r="H446" s="4">
        <v>2244646</v>
      </c>
      <c r="I446" s="4">
        <v>2244646</v>
      </c>
      <c r="J446" s="4">
        <v>2080223.2</v>
      </c>
      <c r="K446" s="16"/>
      <c r="L446" s="17"/>
      <c r="M446" s="4">
        <v>164422.79999999999</v>
      </c>
      <c r="O446" s="79" t="s">
        <v>1386</v>
      </c>
    </row>
    <row r="447" spans="1:15" ht="21" x14ac:dyDescent="0.35">
      <c r="A447" s="65"/>
      <c r="B447" s="54" t="s">
        <v>7</v>
      </c>
      <c r="C447" s="55" t="str">
        <f t="shared" si="99"/>
        <v>8471240</v>
      </c>
      <c r="D447" s="56" t="str">
        <f t="shared" si="100"/>
        <v>KUST - Student Success</v>
      </c>
      <c r="E447" s="3" t="s">
        <v>42</v>
      </c>
      <c r="F447" s="3" t="s">
        <v>43</v>
      </c>
      <c r="G447" s="3" t="s">
        <v>609</v>
      </c>
      <c r="H447" s="4">
        <v>234286</v>
      </c>
      <c r="I447" s="4">
        <v>290226</v>
      </c>
      <c r="J447" s="4">
        <v>289950</v>
      </c>
      <c r="K447" s="16"/>
      <c r="L447" s="17"/>
      <c r="M447" s="4">
        <v>276</v>
      </c>
      <c r="O447" s="79" t="s">
        <v>1386</v>
      </c>
    </row>
    <row r="448" spans="1:15" ht="21" x14ac:dyDescent="0.35">
      <c r="A448" s="65"/>
      <c r="B448" s="54" t="s">
        <v>7</v>
      </c>
      <c r="C448" s="55" t="str">
        <f t="shared" si="99"/>
        <v>8471240</v>
      </c>
      <c r="D448" s="56" t="str">
        <f t="shared" si="100"/>
        <v>KUST - Student Success</v>
      </c>
      <c r="E448" s="3" t="s">
        <v>45</v>
      </c>
      <c r="F448" s="3" t="s">
        <v>46</v>
      </c>
      <c r="G448" s="3" t="s">
        <v>610</v>
      </c>
      <c r="H448" s="4">
        <v>69105</v>
      </c>
      <c r="I448" s="4">
        <v>69105</v>
      </c>
      <c r="J448" s="4">
        <v>66285.63</v>
      </c>
      <c r="K448" s="16"/>
      <c r="L448" s="17"/>
      <c r="M448" s="4">
        <v>2819.37</v>
      </c>
      <c r="O448" s="79" t="s">
        <v>1386</v>
      </c>
    </row>
    <row r="449" spans="1:15" ht="21" x14ac:dyDescent="0.35">
      <c r="A449" s="65"/>
      <c r="B449" s="54" t="s">
        <v>7</v>
      </c>
      <c r="C449" s="55" t="str">
        <f t="shared" si="99"/>
        <v>8471240</v>
      </c>
      <c r="D449" s="56" t="str">
        <f t="shared" si="100"/>
        <v>KUST - Student Success</v>
      </c>
      <c r="E449" s="3" t="s">
        <v>50</v>
      </c>
      <c r="F449" s="3" t="s">
        <v>51</v>
      </c>
      <c r="G449" s="3" t="s">
        <v>611</v>
      </c>
      <c r="H449" s="4">
        <v>319832</v>
      </c>
      <c r="I449" s="4">
        <v>319832</v>
      </c>
      <c r="J449" s="4">
        <v>306702.71999999997</v>
      </c>
      <c r="K449" s="16"/>
      <c r="L449" s="17"/>
      <c r="M449" s="4">
        <v>13129.28</v>
      </c>
      <c r="O449" s="79" t="s">
        <v>1386</v>
      </c>
    </row>
    <row r="450" spans="1:15" ht="21" x14ac:dyDescent="0.35">
      <c r="A450" s="65"/>
      <c r="B450" s="54" t="s">
        <v>7</v>
      </c>
      <c r="C450" s="55" t="str">
        <f t="shared" si="99"/>
        <v>8471240</v>
      </c>
      <c r="D450" s="56" t="str">
        <f t="shared" si="100"/>
        <v>KUST - Student Success</v>
      </c>
      <c r="E450" s="3" t="s">
        <v>66</v>
      </c>
      <c r="F450" s="3" t="s">
        <v>67</v>
      </c>
      <c r="G450" s="3" t="s">
        <v>612</v>
      </c>
      <c r="H450" s="4">
        <v>109210</v>
      </c>
      <c r="I450" s="4">
        <v>109210</v>
      </c>
      <c r="J450" s="4">
        <v>58500</v>
      </c>
      <c r="K450" s="16"/>
      <c r="L450" s="17"/>
      <c r="M450" s="4">
        <v>50710</v>
      </c>
      <c r="O450" s="79" t="s">
        <v>1386</v>
      </c>
    </row>
    <row r="451" spans="1:15" ht="21" x14ac:dyDescent="0.35">
      <c r="A451" s="65"/>
      <c r="B451" s="54" t="s">
        <v>7</v>
      </c>
      <c r="C451" s="55" t="str">
        <f t="shared" si="99"/>
        <v>8471240</v>
      </c>
      <c r="D451" s="56" t="str">
        <f t="shared" si="100"/>
        <v>KUST - Student Success</v>
      </c>
      <c r="E451" s="3" t="s">
        <v>53</v>
      </c>
      <c r="F451" s="3" t="s">
        <v>54</v>
      </c>
      <c r="G451" s="3" t="s">
        <v>613</v>
      </c>
      <c r="H451" s="4">
        <v>141656</v>
      </c>
      <c r="I451" s="4">
        <v>109656</v>
      </c>
      <c r="J451" s="4">
        <v>70300.89</v>
      </c>
      <c r="K451" s="16"/>
      <c r="L451" s="17"/>
      <c r="M451" s="4">
        <v>39355.11</v>
      </c>
      <c r="O451" s="79" t="s">
        <v>1386</v>
      </c>
    </row>
    <row r="452" spans="1:15" ht="14.5" customHeight="1" x14ac:dyDescent="0.35">
      <c r="A452" s="65"/>
      <c r="B452" s="54" t="s">
        <v>7</v>
      </c>
      <c r="C452" s="55" t="s">
        <v>614</v>
      </c>
      <c r="D452" s="56" t="s">
        <v>615</v>
      </c>
      <c r="E452" s="3" t="s">
        <v>21</v>
      </c>
      <c r="F452" s="3" t="s">
        <v>22</v>
      </c>
      <c r="G452" s="3" t="s">
        <v>616</v>
      </c>
      <c r="H452" s="4">
        <v>1086819</v>
      </c>
      <c r="I452" s="4">
        <v>1086819</v>
      </c>
      <c r="J452" s="4">
        <v>871531.18</v>
      </c>
      <c r="K452" s="16"/>
      <c r="L452" s="17"/>
      <c r="M452" s="4">
        <v>215287.82</v>
      </c>
      <c r="O452" s="79" t="s">
        <v>1386</v>
      </c>
    </row>
    <row r="453" spans="1:15" ht="21" x14ac:dyDescent="0.35">
      <c r="A453" s="65"/>
      <c r="B453" s="54" t="s">
        <v>7</v>
      </c>
      <c r="C453" s="55" t="str">
        <f t="shared" ref="C453:C457" si="101">C452</f>
        <v>8471250</v>
      </c>
      <c r="D453" s="56" t="str">
        <f t="shared" ref="D453:D457" si="102">D452</f>
        <v>KUST - Career Services</v>
      </c>
      <c r="E453" s="3" t="s">
        <v>27</v>
      </c>
      <c r="F453" s="3" t="s">
        <v>28</v>
      </c>
      <c r="G453" s="3" t="s">
        <v>617</v>
      </c>
      <c r="H453" s="4">
        <v>1188754</v>
      </c>
      <c r="I453" s="4">
        <v>1188754</v>
      </c>
      <c r="J453" s="4">
        <v>1011624.34</v>
      </c>
      <c r="K453" s="16"/>
      <c r="L453" s="17"/>
      <c r="M453" s="4">
        <v>177129.66</v>
      </c>
      <c r="O453" s="79" t="s">
        <v>1386</v>
      </c>
    </row>
    <row r="454" spans="1:15" ht="21" x14ac:dyDescent="0.35">
      <c r="A454" s="65"/>
      <c r="B454" s="54" t="s">
        <v>7</v>
      </c>
      <c r="C454" s="55" t="str">
        <f t="shared" si="101"/>
        <v>8471250</v>
      </c>
      <c r="D454" s="56" t="str">
        <f t="shared" si="102"/>
        <v>KUST - Career Services</v>
      </c>
      <c r="E454" s="3" t="s">
        <v>42</v>
      </c>
      <c r="F454" s="3" t="s">
        <v>43</v>
      </c>
      <c r="G454" s="3" t="s">
        <v>618</v>
      </c>
      <c r="H454" s="4">
        <v>0</v>
      </c>
      <c r="I454" s="4">
        <v>54590</v>
      </c>
      <c r="J454" s="4">
        <v>53782</v>
      </c>
      <c r="K454" s="16"/>
      <c r="L454" s="17"/>
      <c r="M454" s="4">
        <v>808</v>
      </c>
      <c r="O454" s="79" t="s">
        <v>1386</v>
      </c>
    </row>
    <row r="455" spans="1:15" ht="21" x14ac:dyDescent="0.35">
      <c r="A455" s="65"/>
      <c r="B455" s="54" t="s">
        <v>7</v>
      </c>
      <c r="C455" s="55" t="str">
        <f t="shared" si="101"/>
        <v>8471250</v>
      </c>
      <c r="D455" s="56" t="str">
        <f t="shared" si="102"/>
        <v>KUST - Career Services</v>
      </c>
      <c r="E455" s="3" t="s">
        <v>45</v>
      </c>
      <c r="F455" s="3" t="s">
        <v>46</v>
      </c>
      <c r="G455" s="3" t="s">
        <v>619</v>
      </c>
      <c r="H455" s="4">
        <v>48605</v>
      </c>
      <c r="I455" s="4">
        <v>48605</v>
      </c>
      <c r="J455" s="4">
        <v>39412.870000000003</v>
      </c>
      <c r="K455" s="16"/>
      <c r="L455" s="17"/>
      <c r="M455" s="4">
        <v>9192.1299999999992</v>
      </c>
      <c r="O455" s="79" t="s">
        <v>1386</v>
      </c>
    </row>
    <row r="456" spans="1:15" ht="21" x14ac:dyDescent="0.35">
      <c r="A456" s="65"/>
      <c r="B456" s="54" t="s">
        <v>7</v>
      </c>
      <c r="C456" s="55" t="str">
        <f t="shared" si="101"/>
        <v>8471250</v>
      </c>
      <c r="D456" s="56" t="str">
        <f t="shared" si="102"/>
        <v>KUST - Career Services</v>
      </c>
      <c r="E456" s="3" t="s">
        <v>50</v>
      </c>
      <c r="F456" s="3" t="s">
        <v>51</v>
      </c>
      <c r="G456" s="3" t="s">
        <v>620</v>
      </c>
      <c r="H456" s="4">
        <v>219495</v>
      </c>
      <c r="I456" s="4">
        <v>219495</v>
      </c>
      <c r="J456" s="4">
        <v>179827.84</v>
      </c>
      <c r="K456" s="16"/>
      <c r="L456" s="17"/>
      <c r="M456" s="4">
        <v>39667.160000000003</v>
      </c>
      <c r="O456" s="79" t="s">
        <v>1386</v>
      </c>
    </row>
    <row r="457" spans="1:15" ht="21" x14ac:dyDescent="0.35">
      <c r="A457" s="65"/>
      <c r="B457" s="54" t="s">
        <v>7</v>
      </c>
      <c r="C457" s="55" t="str">
        <f t="shared" si="101"/>
        <v>8471250</v>
      </c>
      <c r="D457" s="56" t="str">
        <f t="shared" si="102"/>
        <v>KUST - Career Services</v>
      </c>
      <c r="E457" s="3" t="s">
        <v>53</v>
      </c>
      <c r="F457" s="3" t="s">
        <v>54</v>
      </c>
      <c r="G457" s="3" t="s">
        <v>621</v>
      </c>
      <c r="H457" s="4">
        <v>26000</v>
      </c>
      <c r="I457" s="4">
        <v>26000</v>
      </c>
      <c r="J457" s="4">
        <v>4335.21</v>
      </c>
      <c r="K457" s="16"/>
      <c r="L457" s="17"/>
      <c r="M457" s="4">
        <v>21664.79</v>
      </c>
      <c r="O457" s="79" t="s">
        <v>1386</v>
      </c>
    </row>
    <row r="458" spans="1:15" x14ac:dyDescent="0.35">
      <c r="A458" s="65"/>
      <c r="B458" s="54" t="s">
        <v>7</v>
      </c>
      <c r="C458" s="55" t="s">
        <v>622</v>
      </c>
      <c r="D458" s="56" t="s">
        <v>623</v>
      </c>
      <c r="E458" s="3" t="s">
        <v>21</v>
      </c>
      <c r="F458" s="3" t="s">
        <v>22</v>
      </c>
      <c r="G458" s="3" t="s">
        <v>624</v>
      </c>
      <c r="H458" s="4">
        <v>2325987</v>
      </c>
      <c r="I458" s="4">
        <v>2847920</v>
      </c>
      <c r="J458" s="4">
        <v>2579056.17</v>
      </c>
      <c r="K458" s="16"/>
      <c r="L458" s="17"/>
      <c r="M458" s="4">
        <v>268863.83</v>
      </c>
      <c r="O458" s="79" t="s">
        <v>1386</v>
      </c>
    </row>
    <row r="459" spans="1:15" ht="21" x14ac:dyDescent="0.35">
      <c r="A459" s="65"/>
      <c r="B459" s="54" t="s">
        <v>7</v>
      </c>
      <c r="C459" s="55" t="str">
        <f t="shared" ref="C459:C466" si="103">C458</f>
        <v>8471260</v>
      </c>
      <c r="D459" s="56" t="str">
        <f t="shared" ref="D459:D466" si="104">D458</f>
        <v>KUST - Student Life</v>
      </c>
      <c r="E459" s="3" t="s">
        <v>27</v>
      </c>
      <c r="F459" s="3" t="s">
        <v>28</v>
      </c>
      <c r="G459" s="3" t="s">
        <v>625</v>
      </c>
      <c r="H459" s="4">
        <v>3313326</v>
      </c>
      <c r="I459" s="4">
        <v>4287326</v>
      </c>
      <c r="J459" s="4">
        <v>3929396.51</v>
      </c>
      <c r="K459" s="16"/>
      <c r="L459" s="17"/>
      <c r="M459" s="4">
        <v>357929.49</v>
      </c>
      <c r="O459" s="79" t="s">
        <v>1386</v>
      </c>
    </row>
    <row r="460" spans="1:15" ht="21" x14ac:dyDescent="0.35">
      <c r="A460" s="65"/>
      <c r="B460" s="54" t="s">
        <v>7</v>
      </c>
      <c r="C460" s="55" t="str">
        <f t="shared" si="103"/>
        <v>8471260</v>
      </c>
      <c r="D460" s="56" t="str">
        <f t="shared" si="104"/>
        <v>KUST - Student Life</v>
      </c>
      <c r="E460" s="3" t="s">
        <v>60</v>
      </c>
      <c r="F460" s="3" t="s">
        <v>61</v>
      </c>
      <c r="G460" s="3" t="s">
        <v>626</v>
      </c>
      <c r="H460" s="4">
        <v>0</v>
      </c>
      <c r="I460" s="4">
        <v>31115</v>
      </c>
      <c r="J460" s="4">
        <v>26089.9</v>
      </c>
      <c r="K460" s="16"/>
      <c r="L460" s="17"/>
      <c r="M460" s="4">
        <v>5025.1000000000004</v>
      </c>
      <c r="O460" s="79" t="s">
        <v>1386</v>
      </c>
    </row>
    <row r="461" spans="1:15" ht="21" customHeight="1" x14ac:dyDescent="0.35">
      <c r="A461" s="65"/>
      <c r="B461" s="54" t="s">
        <v>7</v>
      </c>
      <c r="C461" s="55" t="str">
        <f t="shared" si="103"/>
        <v>8471260</v>
      </c>
      <c r="D461" s="56" t="str">
        <f t="shared" si="104"/>
        <v>KUST - Student Life</v>
      </c>
      <c r="E461" s="3" t="s">
        <v>36</v>
      </c>
      <c r="F461" s="3" t="s">
        <v>37</v>
      </c>
      <c r="G461" s="3" t="s">
        <v>627</v>
      </c>
      <c r="H461" s="4">
        <v>72000</v>
      </c>
      <c r="I461" s="4">
        <v>112000</v>
      </c>
      <c r="J461" s="4">
        <v>98600</v>
      </c>
      <c r="K461" s="16"/>
      <c r="L461" s="17"/>
      <c r="M461" s="4">
        <v>13400</v>
      </c>
      <c r="O461" s="79" t="s">
        <v>1386</v>
      </c>
    </row>
    <row r="462" spans="1:15" ht="21" customHeight="1" x14ac:dyDescent="0.35">
      <c r="A462" s="65"/>
      <c r="B462" s="54" t="s">
        <v>7</v>
      </c>
      <c r="C462" s="55" t="str">
        <f t="shared" si="103"/>
        <v>8471260</v>
      </c>
      <c r="D462" s="56" t="str">
        <f t="shared" si="104"/>
        <v>KUST - Student Life</v>
      </c>
      <c r="E462" s="3" t="s">
        <v>42</v>
      </c>
      <c r="F462" s="3" t="s">
        <v>43</v>
      </c>
      <c r="G462" s="3" t="s">
        <v>628</v>
      </c>
      <c r="H462" s="4">
        <v>240105</v>
      </c>
      <c r="I462" s="4">
        <v>258105</v>
      </c>
      <c r="J462" s="4">
        <v>257501.5</v>
      </c>
      <c r="K462" s="16"/>
      <c r="L462" s="17"/>
      <c r="M462" s="4">
        <v>603.5</v>
      </c>
      <c r="O462" s="79" t="s">
        <v>1386</v>
      </c>
    </row>
    <row r="463" spans="1:15" ht="21" customHeight="1" x14ac:dyDescent="0.35">
      <c r="A463" s="65"/>
      <c r="B463" s="54" t="s">
        <v>7</v>
      </c>
      <c r="C463" s="55" t="str">
        <f t="shared" si="103"/>
        <v>8471260</v>
      </c>
      <c r="D463" s="56" t="str">
        <f t="shared" si="104"/>
        <v>KUST - Student Life</v>
      </c>
      <c r="E463" s="3" t="s">
        <v>45</v>
      </c>
      <c r="F463" s="3" t="s">
        <v>46</v>
      </c>
      <c r="G463" s="3" t="s">
        <v>629</v>
      </c>
      <c r="H463" s="4">
        <v>160506</v>
      </c>
      <c r="I463" s="4">
        <v>219506</v>
      </c>
      <c r="J463" s="4">
        <v>187438</v>
      </c>
      <c r="K463" s="16"/>
      <c r="L463" s="17"/>
      <c r="M463" s="4">
        <v>32068</v>
      </c>
      <c r="O463" s="79" t="s">
        <v>1386</v>
      </c>
    </row>
    <row r="464" spans="1:15" ht="21" customHeight="1" x14ac:dyDescent="0.35">
      <c r="A464" s="65"/>
      <c r="B464" s="54" t="s">
        <v>7</v>
      </c>
      <c r="C464" s="55" t="str">
        <f t="shared" si="103"/>
        <v>8471260</v>
      </c>
      <c r="D464" s="56" t="str">
        <f t="shared" si="104"/>
        <v>KUST - Student Life</v>
      </c>
      <c r="E464" s="3" t="s">
        <v>50</v>
      </c>
      <c r="F464" s="3" t="s">
        <v>51</v>
      </c>
      <c r="G464" s="3" t="s">
        <v>630</v>
      </c>
      <c r="H464" s="4">
        <v>744307</v>
      </c>
      <c r="I464" s="4">
        <v>1017307</v>
      </c>
      <c r="J464" s="4">
        <v>883735.08</v>
      </c>
      <c r="K464" s="16"/>
      <c r="L464" s="17"/>
      <c r="M464" s="4">
        <v>133571.92000000001</v>
      </c>
      <c r="O464" s="79" t="s">
        <v>1386</v>
      </c>
    </row>
    <row r="465" spans="1:15" ht="21" customHeight="1" x14ac:dyDescent="0.35">
      <c r="A465" s="65"/>
      <c r="B465" s="54" t="s">
        <v>7</v>
      </c>
      <c r="C465" s="55" t="str">
        <f t="shared" si="103"/>
        <v>8471260</v>
      </c>
      <c r="D465" s="56" t="str">
        <f t="shared" si="104"/>
        <v>KUST - Student Life</v>
      </c>
      <c r="E465" s="3" t="s">
        <v>66</v>
      </c>
      <c r="F465" s="3" t="s">
        <v>67</v>
      </c>
      <c r="G465" s="3" t="s">
        <v>631</v>
      </c>
      <c r="H465" s="4">
        <v>0</v>
      </c>
      <c r="I465" s="4">
        <v>29000</v>
      </c>
      <c r="J465" s="4">
        <v>28550</v>
      </c>
      <c r="K465" s="16"/>
      <c r="L465" s="17"/>
      <c r="M465" s="4">
        <v>450</v>
      </c>
      <c r="O465" s="79" t="s">
        <v>1386</v>
      </c>
    </row>
    <row r="466" spans="1:15" ht="21" customHeight="1" x14ac:dyDescent="0.35">
      <c r="A466" s="65"/>
      <c r="B466" s="54" t="s">
        <v>7</v>
      </c>
      <c r="C466" s="55" t="str">
        <f t="shared" si="103"/>
        <v>8471260</v>
      </c>
      <c r="D466" s="56" t="str">
        <f t="shared" si="104"/>
        <v>KUST - Student Life</v>
      </c>
      <c r="E466" s="3" t="s">
        <v>53</v>
      </c>
      <c r="F466" s="3" t="s">
        <v>54</v>
      </c>
      <c r="G466" s="3" t="s">
        <v>632</v>
      </c>
      <c r="H466" s="4">
        <v>101183</v>
      </c>
      <c r="I466" s="4">
        <v>101183</v>
      </c>
      <c r="J466" s="4">
        <v>69448.5</v>
      </c>
      <c r="K466" s="16"/>
      <c r="L466" s="17"/>
      <c r="M466" s="4">
        <v>31734.5</v>
      </c>
      <c r="O466" s="79" t="s">
        <v>1386</v>
      </c>
    </row>
    <row r="467" spans="1:15" x14ac:dyDescent="0.35">
      <c r="A467" s="65"/>
      <c r="B467" s="54" t="s">
        <v>7</v>
      </c>
      <c r="C467" s="55" t="s">
        <v>633</v>
      </c>
      <c r="D467" s="56" t="s">
        <v>634</v>
      </c>
      <c r="E467" s="3" t="s">
        <v>21</v>
      </c>
      <c r="F467" s="3" t="s">
        <v>22</v>
      </c>
      <c r="G467" s="3" t="s">
        <v>635</v>
      </c>
      <c r="H467" s="4">
        <v>2705475</v>
      </c>
      <c r="I467" s="4">
        <v>2705475</v>
      </c>
      <c r="J467" s="4">
        <v>2554456.9300000002</v>
      </c>
      <c r="K467" s="16"/>
      <c r="L467" s="17"/>
      <c r="M467" s="4">
        <v>151018.07</v>
      </c>
      <c r="O467" s="79" t="s">
        <v>1386</v>
      </c>
    </row>
    <row r="468" spans="1:15" ht="21" x14ac:dyDescent="0.35">
      <c r="A468" s="65"/>
      <c r="B468" s="54" t="s">
        <v>7</v>
      </c>
      <c r="C468" s="55" t="str">
        <f t="shared" ref="C468:C474" si="105">C467</f>
        <v>8471270</v>
      </c>
      <c r="D468" s="56" t="str">
        <f t="shared" ref="D468:D474" si="106">D467</f>
        <v>KUST - Libraries</v>
      </c>
      <c r="E468" s="3" t="s">
        <v>27</v>
      </c>
      <c r="F468" s="3" t="s">
        <v>28</v>
      </c>
      <c r="G468" s="3" t="s">
        <v>636</v>
      </c>
      <c r="H468" s="4">
        <v>3770669</v>
      </c>
      <c r="I468" s="4">
        <v>3770669</v>
      </c>
      <c r="J468" s="4">
        <v>3399373.05</v>
      </c>
      <c r="K468" s="16"/>
      <c r="L468" s="17"/>
      <c r="M468" s="4">
        <v>371295.950000001</v>
      </c>
      <c r="O468" s="79" t="s">
        <v>1386</v>
      </c>
    </row>
    <row r="469" spans="1:15" ht="21" customHeight="1" x14ac:dyDescent="0.35">
      <c r="A469" s="65"/>
      <c r="B469" s="54" t="s">
        <v>7</v>
      </c>
      <c r="C469" s="55" t="str">
        <f t="shared" si="105"/>
        <v>8471270</v>
      </c>
      <c r="D469" s="56" t="str">
        <f t="shared" si="106"/>
        <v>KUST - Libraries</v>
      </c>
      <c r="E469" s="3" t="s">
        <v>36</v>
      </c>
      <c r="F469" s="3" t="s">
        <v>37</v>
      </c>
      <c r="G469" s="3" t="s">
        <v>637</v>
      </c>
      <c r="H469" s="4">
        <v>43200</v>
      </c>
      <c r="I469" s="4">
        <v>43200</v>
      </c>
      <c r="J469" s="4">
        <v>41400</v>
      </c>
      <c r="K469" s="16"/>
      <c r="L469" s="17"/>
      <c r="M469" s="4">
        <v>1800</v>
      </c>
      <c r="O469" s="79" t="s">
        <v>1386</v>
      </c>
    </row>
    <row r="470" spans="1:15" ht="21" customHeight="1" x14ac:dyDescent="0.35">
      <c r="A470" s="65"/>
      <c r="B470" s="54" t="s">
        <v>7</v>
      </c>
      <c r="C470" s="55" t="str">
        <f t="shared" si="105"/>
        <v>8471270</v>
      </c>
      <c r="D470" s="56" t="str">
        <f t="shared" si="106"/>
        <v>KUST - Libraries</v>
      </c>
      <c r="E470" s="3" t="s">
        <v>42</v>
      </c>
      <c r="F470" s="3" t="s">
        <v>43</v>
      </c>
      <c r="G470" s="3" t="s">
        <v>638</v>
      </c>
      <c r="H470" s="4">
        <v>0</v>
      </c>
      <c r="I470" s="4">
        <v>221156</v>
      </c>
      <c r="J470" s="4">
        <v>220428</v>
      </c>
      <c r="K470" s="16"/>
      <c r="L470" s="17"/>
      <c r="M470" s="4">
        <v>728</v>
      </c>
      <c r="O470" s="79" t="s">
        <v>1386</v>
      </c>
    </row>
    <row r="471" spans="1:15" ht="21" customHeight="1" x14ac:dyDescent="0.35">
      <c r="A471" s="65"/>
      <c r="B471" s="54" t="s">
        <v>7</v>
      </c>
      <c r="C471" s="55" t="str">
        <f t="shared" si="105"/>
        <v>8471270</v>
      </c>
      <c r="D471" s="56" t="str">
        <f t="shared" si="106"/>
        <v>KUST - Libraries</v>
      </c>
      <c r="E471" s="3" t="s">
        <v>45</v>
      </c>
      <c r="F471" s="3" t="s">
        <v>46</v>
      </c>
      <c r="G471" s="3" t="s">
        <v>639</v>
      </c>
      <c r="H471" s="4">
        <v>161361</v>
      </c>
      <c r="I471" s="4">
        <v>161361</v>
      </c>
      <c r="J471" s="4">
        <v>153651</v>
      </c>
      <c r="K471" s="16"/>
      <c r="L471" s="17"/>
      <c r="M471" s="4">
        <v>7710</v>
      </c>
      <c r="O471" s="79" t="s">
        <v>1386</v>
      </c>
    </row>
    <row r="472" spans="1:15" ht="21" customHeight="1" x14ac:dyDescent="0.35">
      <c r="A472" s="65"/>
      <c r="B472" s="54" t="s">
        <v>7</v>
      </c>
      <c r="C472" s="55" t="str">
        <f t="shared" si="105"/>
        <v>8471270</v>
      </c>
      <c r="D472" s="56" t="str">
        <f t="shared" si="106"/>
        <v>KUST - Libraries</v>
      </c>
      <c r="E472" s="3" t="s">
        <v>50</v>
      </c>
      <c r="F472" s="3" t="s">
        <v>51</v>
      </c>
      <c r="G472" s="3" t="s">
        <v>640</v>
      </c>
      <c r="H472" s="4">
        <v>750412</v>
      </c>
      <c r="I472" s="4">
        <v>750412</v>
      </c>
      <c r="J472" s="4">
        <v>714616.38</v>
      </c>
      <c r="K472" s="16"/>
      <c r="L472" s="17"/>
      <c r="M472" s="4">
        <v>35795.619999999901</v>
      </c>
      <c r="O472" s="79" t="s">
        <v>1386</v>
      </c>
    </row>
    <row r="473" spans="1:15" ht="21" customHeight="1" x14ac:dyDescent="0.35">
      <c r="A473" s="65"/>
      <c r="B473" s="54" t="s">
        <v>7</v>
      </c>
      <c r="C473" s="55" t="str">
        <f t="shared" si="105"/>
        <v>8471270</v>
      </c>
      <c r="D473" s="56" t="str">
        <f t="shared" si="106"/>
        <v>KUST - Libraries</v>
      </c>
      <c r="E473" s="3" t="s">
        <v>66</v>
      </c>
      <c r="F473" s="3" t="s">
        <v>67</v>
      </c>
      <c r="G473" s="3" t="s">
        <v>641</v>
      </c>
      <c r="H473" s="4">
        <v>72191</v>
      </c>
      <c r="I473" s="4">
        <v>72191</v>
      </c>
      <c r="J473" s="4">
        <v>48000</v>
      </c>
      <c r="K473" s="16"/>
      <c r="L473" s="17"/>
      <c r="M473" s="4">
        <v>24191</v>
      </c>
      <c r="O473" s="79" t="s">
        <v>1386</v>
      </c>
    </row>
    <row r="474" spans="1:15" ht="21" customHeight="1" x14ac:dyDescent="0.35">
      <c r="A474" s="65"/>
      <c r="B474" s="54" t="s">
        <v>7</v>
      </c>
      <c r="C474" s="55" t="str">
        <f t="shared" si="105"/>
        <v>8471270</v>
      </c>
      <c r="D474" s="56" t="str">
        <f t="shared" si="106"/>
        <v>KUST - Libraries</v>
      </c>
      <c r="E474" s="3" t="s">
        <v>53</v>
      </c>
      <c r="F474" s="3" t="s">
        <v>54</v>
      </c>
      <c r="G474" s="3" t="s">
        <v>642</v>
      </c>
      <c r="H474" s="4">
        <v>101183</v>
      </c>
      <c r="I474" s="4">
        <v>101183</v>
      </c>
      <c r="J474" s="4">
        <v>40064.19</v>
      </c>
      <c r="K474" s="16"/>
      <c r="L474" s="17"/>
      <c r="M474" s="4">
        <v>61118.81</v>
      </c>
      <c r="O474" s="79" t="s">
        <v>1386</v>
      </c>
    </row>
    <row r="475" spans="1:15" ht="14.5" customHeight="1" x14ac:dyDescent="0.35">
      <c r="A475" s="65"/>
      <c r="B475" s="54" t="s">
        <v>7</v>
      </c>
      <c r="C475" s="55" t="s">
        <v>643</v>
      </c>
      <c r="D475" s="56" t="s">
        <v>644</v>
      </c>
      <c r="E475" s="3" t="s">
        <v>21</v>
      </c>
      <c r="F475" s="3" t="s">
        <v>22</v>
      </c>
      <c r="G475" s="3" t="s">
        <v>645</v>
      </c>
      <c r="H475" s="4">
        <v>566493</v>
      </c>
      <c r="I475" s="4">
        <v>785493</v>
      </c>
      <c r="J475" s="4">
        <v>704734.63</v>
      </c>
      <c r="K475" s="16"/>
      <c r="L475" s="17"/>
      <c r="M475" s="4">
        <v>80758.37</v>
      </c>
      <c r="O475" s="79" t="s">
        <v>1386</v>
      </c>
    </row>
    <row r="476" spans="1:15" ht="21" customHeight="1" x14ac:dyDescent="0.35">
      <c r="A476" s="65"/>
      <c r="B476" s="54" t="s">
        <v>7</v>
      </c>
      <c r="C476" s="55" t="str">
        <f t="shared" ref="C476:C479" si="107">C475</f>
        <v>8471280</v>
      </c>
      <c r="D476" s="56" t="str">
        <f t="shared" ref="D476:D479" si="108">D475</f>
        <v>KUST - Center for Teaching &amp; Learning</v>
      </c>
      <c r="E476" s="3" t="s">
        <v>27</v>
      </c>
      <c r="F476" s="3" t="s">
        <v>28</v>
      </c>
      <c r="G476" s="3" t="s">
        <v>646</v>
      </c>
      <c r="H476" s="4">
        <v>349501</v>
      </c>
      <c r="I476" s="4">
        <v>509501</v>
      </c>
      <c r="J476" s="4">
        <v>498077.77</v>
      </c>
      <c r="K476" s="16"/>
      <c r="L476" s="17"/>
      <c r="M476" s="4">
        <v>11423.23</v>
      </c>
      <c r="O476" s="79" t="s">
        <v>1386</v>
      </c>
    </row>
    <row r="477" spans="1:15" ht="21" customHeight="1" x14ac:dyDescent="0.35">
      <c r="A477" s="65"/>
      <c r="B477" s="54" t="s">
        <v>7</v>
      </c>
      <c r="C477" s="55" t="str">
        <f t="shared" si="107"/>
        <v>8471280</v>
      </c>
      <c r="D477" s="56" t="str">
        <f t="shared" si="108"/>
        <v>KUST - Center for Teaching &amp; Learning</v>
      </c>
      <c r="E477" s="3" t="s">
        <v>42</v>
      </c>
      <c r="F477" s="3" t="s">
        <v>43</v>
      </c>
      <c r="G477" s="3" t="s">
        <v>647</v>
      </c>
      <c r="H477" s="4">
        <v>0</v>
      </c>
      <c r="I477" s="4">
        <v>90000</v>
      </c>
      <c r="J477" s="4">
        <v>90000</v>
      </c>
      <c r="K477" s="16"/>
      <c r="L477" s="17"/>
      <c r="M477" s="4">
        <v>0</v>
      </c>
      <c r="O477" s="79" t="s">
        <v>1386</v>
      </c>
    </row>
    <row r="478" spans="1:15" ht="21" customHeight="1" x14ac:dyDescent="0.35">
      <c r="A478" s="65"/>
      <c r="B478" s="54" t="s">
        <v>7</v>
      </c>
      <c r="C478" s="55" t="str">
        <f t="shared" si="107"/>
        <v>8471280</v>
      </c>
      <c r="D478" s="56" t="str">
        <f t="shared" si="108"/>
        <v>KUST - Center for Teaching &amp; Learning</v>
      </c>
      <c r="E478" s="3" t="s">
        <v>66</v>
      </c>
      <c r="F478" s="3" t="s">
        <v>67</v>
      </c>
      <c r="G478" s="3" t="s">
        <v>648</v>
      </c>
      <c r="H478" s="4">
        <v>0</v>
      </c>
      <c r="I478" s="4">
        <v>4000</v>
      </c>
      <c r="J478" s="4">
        <v>3650</v>
      </c>
      <c r="K478" s="16"/>
      <c r="L478" s="17"/>
      <c r="M478" s="4">
        <v>350</v>
      </c>
      <c r="O478" s="79" t="s">
        <v>1386</v>
      </c>
    </row>
    <row r="479" spans="1:15" ht="21" customHeight="1" x14ac:dyDescent="0.35">
      <c r="A479" s="65"/>
      <c r="B479" s="54" t="s">
        <v>7</v>
      </c>
      <c r="C479" s="55" t="str">
        <f t="shared" si="107"/>
        <v>8471280</v>
      </c>
      <c r="D479" s="56" t="str">
        <f t="shared" si="108"/>
        <v>KUST - Center for Teaching &amp; Learning</v>
      </c>
      <c r="E479" s="3" t="s">
        <v>53</v>
      </c>
      <c r="F479" s="3" t="s">
        <v>54</v>
      </c>
      <c r="G479" s="3" t="s">
        <v>649</v>
      </c>
      <c r="H479" s="4">
        <v>20237</v>
      </c>
      <c r="I479" s="4">
        <v>28336</v>
      </c>
      <c r="J479" s="4">
        <v>28335.78</v>
      </c>
      <c r="K479" s="16"/>
      <c r="L479" s="17"/>
      <c r="M479" s="4">
        <v>0.22000000000116399</v>
      </c>
      <c r="O479" s="79" t="s">
        <v>1386</v>
      </c>
    </row>
    <row r="480" spans="1:15" ht="14.5" customHeight="1" x14ac:dyDescent="0.35">
      <c r="A480" s="65"/>
      <c r="B480" s="54" t="s">
        <v>7</v>
      </c>
      <c r="C480" s="55" t="s">
        <v>650</v>
      </c>
      <c r="D480" s="56" t="s">
        <v>651</v>
      </c>
      <c r="E480" s="3" t="s">
        <v>21</v>
      </c>
      <c r="F480" s="3" t="s">
        <v>22</v>
      </c>
      <c r="G480" s="3" t="s">
        <v>652</v>
      </c>
      <c r="H480" s="4">
        <v>20000000</v>
      </c>
      <c r="I480" s="4">
        <v>19525200</v>
      </c>
      <c r="J480" s="4">
        <v>17693396.760000002</v>
      </c>
      <c r="K480" s="16"/>
      <c r="L480" s="17"/>
      <c r="M480" s="4">
        <v>1831803.24</v>
      </c>
      <c r="O480" s="79" t="s">
        <v>1386</v>
      </c>
    </row>
    <row r="481" spans="1:15" ht="21" x14ac:dyDescent="0.35">
      <c r="A481" s="65"/>
      <c r="B481" s="54" t="s">
        <v>7</v>
      </c>
      <c r="C481" s="55" t="str">
        <f t="shared" ref="C481:C489" si="109">C480</f>
        <v>8471305</v>
      </c>
      <c r="D481" s="57" t="str">
        <f t="shared" ref="D481:D488" si="110">D480</f>
        <v>KUST - Dean Of Medicine</v>
      </c>
      <c r="E481" s="3" t="s">
        <v>27</v>
      </c>
      <c r="F481" s="3" t="s">
        <v>28</v>
      </c>
      <c r="G481" s="3" t="s">
        <v>653</v>
      </c>
      <c r="H481" s="4">
        <v>19000000</v>
      </c>
      <c r="I481" s="4">
        <v>19000000</v>
      </c>
      <c r="J481" s="4">
        <v>17163264.120000001</v>
      </c>
      <c r="K481" s="16"/>
      <c r="L481" s="17"/>
      <c r="M481" s="4">
        <v>1836735.88</v>
      </c>
      <c r="O481" s="79" t="s">
        <v>1386</v>
      </c>
    </row>
    <row r="482" spans="1:15" ht="21" x14ac:dyDescent="0.35">
      <c r="A482" s="65"/>
      <c r="B482" s="54" t="s">
        <v>7</v>
      </c>
      <c r="C482" s="55" t="str">
        <f t="shared" si="109"/>
        <v>8471305</v>
      </c>
      <c r="D482" s="57" t="str">
        <f t="shared" si="110"/>
        <v>KUST - Dean Of Medicine</v>
      </c>
      <c r="E482" s="3" t="s">
        <v>60</v>
      </c>
      <c r="F482" s="3" t="s">
        <v>61</v>
      </c>
      <c r="G482" s="3" t="s">
        <v>654</v>
      </c>
      <c r="H482" s="4">
        <v>1396947</v>
      </c>
      <c r="I482" s="4">
        <v>1869947</v>
      </c>
      <c r="J482" s="4">
        <v>1651444.6</v>
      </c>
      <c r="K482" s="16"/>
      <c r="L482" s="17"/>
      <c r="M482" s="4">
        <v>218502.39999999999</v>
      </c>
      <c r="O482" s="79" t="s">
        <v>1386</v>
      </c>
    </row>
    <row r="483" spans="1:15" ht="14.5" customHeight="1" x14ac:dyDescent="0.35">
      <c r="A483" s="65"/>
      <c r="B483" s="54" t="s">
        <v>7</v>
      </c>
      <c r="C483" s="55" t="str">
        <f t="shared" si="109"/>
        <v>8471305</v>
      </c>
      <c r="D483" s="57" t="str">
        <f t="shared" si="110"/>
        <v>KUST - Dean Of Medicine</v>
      </c>
      <c r="E483" s="3" t="s">
        <v>42</v>
      </c>
      <c r="F483" s="3" t="s">
        <v>43</v>
      </c>
      <c r="G483" s="3" t="s">
        <v>655</v>
      </c>
      <c r="H483" s="4">
        <v>309285</v>
      </c>
      <c r="I483" s="4">
        <v>1247976</v>
      </c>
      <c r="J483" s="4">
        <v>1245422.0800000001</v>
      </c>
      <c r="K483" s="16"/>
      <c r="L483" s="17"/>
      <c r="M483" s="4">
        <v>2553.91999999993</v>
      </c>
      <c r="O483" s="79" t="s">
        <v>1386</v>
      </c>
    </row>
    <row r="484" spans="1:15" ht="14.5" customHeight="1" x14ac:dyDescent="0.35">
      <c r="A484" s="65"/>
      <c r="B484" s="54" t="s">
        <v>7</v>
      </c>
      <c r="C484" s="55" t="str">
        <f t="shared" si="109"/>
        <v>8471305</v>
      </c>
      <c r="D484" s="57" t="str">
        <f t="shared" si="110"/>
        <v>KUST - Dean Of Medicine</v>
      </c>
      <c r="E484" s="3" t="s">
        <v>45</v>
      </c>
      <c r="F484" s="3" t="s">
        <v>46</v>
      </c>
      <c r="G484" s="3" t="s">
        <v>656</v>
      </c>
      <c r="H484" s="4">
        <v>214221</v>
      </c>
      <c r="I484" s="4">
        <v>214221</v>
      </c>
      <c r="J484" s="4">
        <v>181660.73</v>
      </c>
      <c r="K484" s="16"/>
      <c r="L484" s="17"/>
      <c r="M484" s="4">
        <v>32560.27</v>
      </c>
      <c r="O484" s="79" t="s">
        <v>1386</v>
      </c>
    </row>
    <row r="485" spans="1:15" ht="21" x14ac:dyDescent="0.35">
      <c r="A485" s="65"/>
      <c r="B485" s="54" t="s">
        <v>7</v>
      </c>
      <c r="C485" s="55" t="str">
        <f t="shared" si="109"/>
        <v>8471305</v>
      </c>
      <c r="D485" s="57" t="str">
        <f t="shared" si="110"/>
        <v>KUST - Dean Of Medicine</v>
      </c>
      <c r="E485" s="3" t="s">
        <v>75</v>
      </c>
      <c r="F485" s="3" t="s">
        <v>76</v>
      </c>
      <c r="G485" s="3" t="s">
        <v>657</v>
      </c>
      <c r="H485" s="4">
        <v>273651</v>
      </c>
      <c r="I485" s="4">
        <v>273651</v>
      </c>
      <c r="J485" s="4">
        <v>264330.59999999998</v>
      </c>
      <c r="K485" s="16"/>
      <c r="L485" s="17"/>
      <c r="M485" s="4">
        <v>9320.4000000000196</v>
      </c>
      <c r="O485" s="79" t="s">
        <v>1386</v>
      </c>
    </row>
    <row r="486" spans="1:15" ht="14.5" customHeight="1" x14ac:dyDescent="0.35">
      <c r="A486" s="65"/>
      <c r="B486" s="54" t="s">
        <v>7</v>
      </c>
      <c r="C486" s="55" t="str">
        <f t="shared" si="109"/>
        <v>8471305</v>
      </c>
      <c r="D486" s="57" t="str">
        <f t="shared" si="110"/>
        <v>KUST - Dean Of Medicine</v>
      </c>
      <c r="E486" s="3" t="s">
        <v>50</v>
      </c>
      <c r="F486" s="3" t="s">
        <v>51</v>
      </c>
      <c r="G486" s="3" t="s">
        <v>658</v>
      </c>
      <c r="H486" s="4">
        <v>865449</v>
      </c>
      <c r="I486" s="4">
        <v>865449</v>
      </c>
      <c r="J486" s="4">
        <v>799287.49</v>
      </c>
      <c r="K486" s="16"/>
      <c r="L486" s="17"/>
      <c r="M486" s="4">
        <v>66161.509999999995</v>
      </c>
      <c r="O486" s="79" t="s">
        <v>1386</v>
      </c>
    </row>
    <row r="487" spans="1:15" ht="14.5" customHeight="1" x14ac:dyDescent="0.35">
      <c r="A487" s="65"/>
      <c r="B487" s="54" t="s">
        <v>7</v>
      </c>
      <c r="C487" s="55" t="str">
        <f t="shared" si="109"/>
        <v>8471305</v>
      </c>
      <c r="D487" s="57" t="str">
        <f t="shared" si="110"/>
        <v>KUST - Dean Of Medicine</v>
      </c>
      <c r="E487" s="3" t="s">
        <v>659</v>
      </c>
      <c r="F487" s="3" t="s">
        <v>660</v>
      </c>
      <c r="G487" s="3" t="s">
        <v>661</v>
      </c>
      <c r="H487" s="4">
        <v>24734</v>
      </c>
      <c r="I487" s="4">
        <v>24734</v>
      </c>
      <c r="J487" s="4">
        <v>16418.400000000001</v>
      </c>
      <c r="K487" s="16"/>
      <c r="L487" s="17"/>
      <c r="M487" s="4">
        <v>8315.6</v>
      </c>
      <c r="O487" s="79" t="s">
        <v>1386</v>
      </c>
    </row>
    <row r="488" spans="1:15" ht="14.5" customHeight="1" x14ac:dyDescent="0.35">
      <c r="A488" s="65"/>
      <c r="B488" s="54" t="s">
        <v>7</v>
      </c>
      <c r="C488" s="55" t="str">
        <f t="shared" si="109"/>
        <v>8471305</v>
      </c>
      <c r="D488" s="57" t="str">
        <f t="shared" si="110"/>
        <v>KUST - Dean Of Medicine</v>
      </c>
      <c r="E488" s="3" t="s">
        <v>66</v>
      </c>
      <c r="F488" s="3" t="s">
        <v>67</v>
      </c>
      <c r="G488" s="3" t="s">
        <v>662</v>
      </c>
      <c r="H488" s="4">
        <v>1285515</v>
      </c>
      <c r="I488" s="4">
        <v>1015515</v>
      </c>
      <c r="J488" s="4">
        <v>689062.25</v>
      </c>
      <c r="K488" s="16"/>
      <c r="L488" s="17"/>
      <c r="M488" s="4">
        <v>326452.75</v>
      </c>
      <c r="O488" s="79" t="s">
        <v>1386</v>
      </c>
    </row>
    <row r="489" spans="1:15" ht="14.5" customHeight="1" x14ac:dyDescent="0.35">
      <c r="A489" s="65"/>
      <c r="B489" s="54" t="s">
        <v>7</v>
      </c>
      <c r="C489" s="55" t="str">
        <f t="shared" si="109"/>
        <v>8471305</v>
      </c>
      <c r="D489" s="57" t="str">
        <f>D488</f>
        <v>KUST - Dean Of Medicine</v>
      </c>
      <c r="E489" s="3" t="s">
        <v>53</v>
      </c>
      <c r="F489" s="3" t="s">
        <v>54</v>
      </c>
      <c r="G489" s="3" t="s">
        <v>663</v>
      </c>
      <c r="H489" s="4">
        <v>1122702</v>
      </c>
      <c r="I489" s="4">
        <v>713774</v>
      </c>
      <c r="J489" s="4">
        <v>702944.63</v>
      </c>
      <c r="K489" s="16"/>
      <c r="L489" s="17"/>
      <c r="M489" s="4">
        <v>10829.37</v>
      </c>
      <c r="O489" s="79" t="s">
        <v>1386</v>
      </c>
    </row>
    <row r="490" spans="1:15" ht="21" hidden="1" x14ac:dyDescent="0.35">
      <c r="A490" s="65"/>
      <c r="B490" s="18" t="s">
        <v>664</v>
      </c>
      <c r="C490" s="19"/>
      <c r="D490" s="20"/>
      <c r="E490" s="21"/>
      <c r="F490" s="21"/>
      <c r="G490" s="21"/>
      <c r="H490" s="7">
        <v>563874000</v>
      </c>
      <c r="I490" s="7">
        <v>583925834</v>
      </c>
      <c r="J490" s="7">
        <v>509082062.5</v>
      </c>
      <c r="K490" s="8">
        <v>118416</v>
      </c>
      <c r="L490" s="7">
        <v>134881.25</v>
      </c>
      <c r="M490" s="7">
        <v>74590474.250000194</v>
      </c>
    </row>
    <row r="491" spans="1:15" hidden="1" x14ac:dyDescent="0.35">
      <c r="A491" s="65"/>
      <c r="B491" s="69" t="s">
        <v>8</v>
      </c>
      <c r="C491" s="70" t="s">
        <v>19</v>
      </c>
      <c r="D491" s="72" t="s">
        <v>20</v>
      </c>
      <c r="E491" s="3" t="s">
        <v>665</v>
      </c>
      <c r="F491" s="3" t="s">
        <v>666</v>
      </c>
      <c r="G491" s="3" t="s">
        <v>667</v>
      </c>
      <c r="H491" s="4">
        <v>29119</v>
      </c>
      <c r="I491" s="4">
        <v>29119</v>
      </c>
      <c r="J491" s="17"/>
      <c r="K491" s="16"/>
      <c r="L491" s="17"/>
      <c r="M491" s="4">
        <v>29119</v>
      </c>
    </row>
    <row r="492" spans="1:15" ht="21" hidden="1" x14ac:dyDescent="0.35">
      <c r="A492" s="65"/>
      <c r="B492" s="70"/>
      <c r="C492" s="70"/>
      <c r="D492" s="72"/>
      <c r="E492" s="3" t="s">
        <v>668</v>
      </c>
      <c r="F492" s="3" t="s">
        <v>669</v>
      </c>
      <c r="G492" s="3" t="s">
        <v>670</v>
      </c>
      <c r="H492" s="4">
        <v>1</v>
      </c>
      <c r="I492" s="4">
        <v>1</v>
      </c>
      <c r="J492" s="17"/>
      <c r="K492" s="16"/>
      <c r="L492" s="17"/>
      <c r="M492" s="4">
        <v>1</v>
      </c>
    </row>
    <row r="493" spans="1:15" hidden="1" x14ac:dyDescent="0.35">
      <c r="A493" s="65"/>
      <c r="B493" s="70"/>
      <c r="C493" s="70"/>
      <c r="D493" s="72"/>
      <c r="E493" s="3" t="s">
        <v>671</v>
      </c>
      <c r="F493" s="3" t="s">
        <v>672</v>
      </c>
      <c r="G493" s="3" t="s">
        <v>673</v>
      </c>
      <c r="H493" s="4">
        <v>1501</v>
      </c>
      <c r="I493" s="4">
        <v>1501</v>
      </c>
      <c r="J493" s="4">
        <v>100</v>
      </c>
      <c r="K493" s="16"/>
      <c r="L493" s="17"/>
      <c r="M493" s="4">
        <v>1401</v>
      </c>
    </row>
    <row r="494" spans="1:15" hidden="1" x14ac:dyDescent="0.35">
      <c r="A494" s="65"/>
      <c r="B494" s="70"/>
      <c r="C494" s="70"/>
      <c r="D494" s="72"/>
      <c r="E494" s="3" t="s">
        <v>674</v>
      </c>
      <c r="F494" s="3" t="s">
        <v>675</v>
      </c>
      <c r="G494" s="3" t="s">
        <v>676</v>
      </c>
      <c r="H494" s="4">
        <v>1</v>
      </c>
      <c r="I494" s="4">
        <v>1</v>
      </c>
      <c r="J494" s="17"/>
      <c r="K494" s="16"/>
      <c r="L494" s="17"/>
      <c r="M494" s="4">
        <v>1</v>
      </c>
    </row>
    <row r="495" spans="1:15" ht="21" hidden="1" x14ac:dyDescent="0.35">
      <c r="A495" s="65"/>
      <c r="B495" s="70"/>
      <c r="C495" s="70"/>
      <c r="D495" s="72"/>
      <c r="E495" s="3" t="s">
        <v>677</v>
      </c>
      <c r="F495" s="3" t="s">
        <v>678</v>
      </c>
      <c r="G495" s="3" t="s">
        <v>679</v>
      </c>
      <c r="H495" s="4">
        <v>25000</v>
      </c>
      <c r="I495" s="4">
        <v>25000</v>
      </c>
      <c r="J495" s="17"/>
      <c r="K495" s="16"/>
      <c r="L495" s="17"/>
      <c r="M495" s="4">
        <v>25000</v>
      </c>
    </row>
    <row r="496" spans="1:15" ht="31.5" hidden="1" x14ac:dyDescent="0.35">
      <c r="A496" s="65"/>
      <c r="B496" s="70"/>
      <c r="C496" s="70"/>
      <c r="D496" s="72"/>
      <c r="E496" s="3" t="s">
        <v>680</v>
      </c>
      <c r="F496" s="3" t="s">
        <v>681</v>
      </c>
      <c r="G496" s="3" t="s">
        <v>682</v>
      </c>
      <c r="H496" s="17"/>
      <c r="I496" s="17"/>
      <c r="J496" s="4">
        <v>-190000</v>
      </c>
      <c r="K496" s="16"/>
      <c r="L496" s="17"/>
      <c r="M496" s="4">
        <v>190000</v>
      </c>
    </row>
    <row r="497" spans="1:13" hidden="1" x14ac:dyDescent="0.35">
      <c r="A497" s="65"/>
      <c r="B497" s="70"/>
      <c r="C497" s="70"/>
      <c r="D497" s="72"/>
      <c r="E497" s="3" t="s">
        <v>683</v>
      </c>
      <c r="F497" s="3" t="s">
        <v>684</v>
      </c>
      <c r="G497" s="3" t="s">
        <v>685</v>
      </c>
      <c r="H497" s="4">
        <v>10000</v>
      </c>
      <c r="I497" s="4">
        <v>10000</v>
      </c>
      <c r="J497" s="4">
        <v>-90</v>
      </c>
      <c r="K497" s="16"/>
      <c r="L497" s="17"/>
      <c r="M497" s="4">
        <v>10090</v>
      </c>
    </row>
    <row r="498" spans="1:13" hidden="1" x14ac:dyDescent="0.35">
      <c r="A498" s="65"/>
      <c r="B498" s="70"/>
      <c r="C498" s="70"/>
      <c r="D498" s="72"/>
      <c r="E498" s="3" t="s">
        <v>686</v>
      </c>
      <c r="F498" s="3" t="s">
        <v>687</v>
      </c>
      <c r="G498" s="3" t="s">
        <v>688</v>
      </c>
      <c r="H498" s="4">
        <v>80204</v>
      </c>
      <c r="I498" s="4">
        <v>80204</v>
      </c>
      <c r="J498" s="4">
        <v>42239.5</v>
      </c>
      <c r="K498" s="16"/>
      <c r="L498" s="17"/>
      <c r="M498" s="4">
        <v>37964.5</v>
      </c>
    </row>
    <row r="499" spans="1:13" ht="21" hidden="1" x14ac:dyDescent="0.35">
      <c r="A499" s="65"/>
      <c r="B499" s="70"/>
      <c r="C499" s="70"/>
      <c r="D499" s="72"/>
      <c r="E499" s="3" t="s">
        <v>689</v>
      </c>
      <c r="F499" s="3" t="s">
        <v>690</v>
      </c>
      <c r="G499" s="3" t="s">
        <v>691</v>
      </c>
      <c r="H499" s="4">
        <v>1880</v>
      </c>
      <c r="I499" s="4">
        <v>1880</v>
      </c>
      <c r="J499" s="17"/>
      <c r="K499" s="16"/>
      <c r="L499" s="17"/>
      <c r="M499" s="4">
        <v>1880</v>
      </c>
    </row>
    <row r="500" spans="1:13" ht="21" hidden="1" x14ac:dyDescent="0.35">
      <c r="A500" s="65"/>
      <c r="B500" s="70"/>
      <c r="C500" s="70"/>
      <c r="D500" s="72"/>
      <c r="E500" s="3" t="s">
        <v>692</v>
      </c>
      <c r="F500" s="3" t="s">
        <v>693</v>
      </c>
      <c r="G500" s="3" t="s">
        <v>694</v>
      </c>
      <c r="H500" s="4">
        <v>12585</v>
      </c>
      <c r="I500" s="4">
        <v>12585</v>
      </c>
      <c r="J500" s="17"/>
      <c r="K500" s="16"/>
      <c r="L500" s="17"/>
      <c r="M500" s="4">
        <v>12585</v>
      </c>
    </row>
    <row r="501" spans="1:13" ht="21" hidden="1" x14ac:dyDescent="0.35">
      <c r="A501" s="65"/>
      <c r="B501" s="70"/>
      <c r="C501" s="70"/>
      <c r="D501" s="72"/>
      <c r="E501" s="3" t="s">
        <v>695</v>
      </c>
      <c r="F501" s="3" t="s">
        <v>696</v>
      </c>
      <c r="G501" s="3" t="s">
        <v>697</v>
      </c>
      <c r="H501" s="4">
        <v>64381</v>
      </c>
      <c r="I501" s="4">
        <v>64381</v>
      </c>
      <c r="J501" s="4">
        <v>15480.75</v>
      </c>
      <c r="K501" s="16"/>
      <c r="L501" s="17"/>
      <c r="M501" s="4">
        <v>48900.25</v>
      </c>
    </row>
    <row r="502" spans="1:13" hidden="1" x14ac:dyDescent="0.35">
      <c r="A502" s="65"/>
      <c r="B502" s="70"/>
      <c r="C502" s="70"/>
      <c r="D502" s="72"/>
      <c r="E502" s="3" t="s">
        <v>698</v>
      </c>
      <c r="F502" s="3" t="s">
        <v>699</v>
      </c>
      <c r="G502" s="3" t="s">
        <v>700</v>
      </c>
      <c r="H502" s="4">
        <v>1</v>
      </c>
      <c r="I502" s="4">
        <v>1</v>
      </c>
      <c r="J502" s="17"/>
      <c r="K502" s="16"/>
      <c r="L502" s="17"/>
      <c r="M502" s="4">
        <v>1</v>
      </c>
    </row>
    <row r="503" spans="1:13" hidden="1" x14ac:dyDescent="0.35">
      <c r="A503" s="65"/>
      <c r="B503" s="70"/>
      <c r="C503" s="70"/>
      <c r="D503" s="72"/>
      <c r="E503" s="3" t="s">
        <v>701</v>
      </c>
      <c r="F503" s="3" t="s">
        <v>702</v>
      </c>
      <c r="G503" s="3" t="s">
        <v>703</v>
      </c>
      <c r="H503" s="4">
        <v>1</v>
      </c>
      <c r="I503" s="4">
        <v>1</v>
      </c>
      <c r="J503" s="17"/>
      <c r="K503" s="16"/>
      <c r="L503" s="17"/>
      <c r="M503" s="4">
        <v>1</v>
      </c>
    </row>
    <row r="504" spans="1:13" ht="21" hidden="1" x14ac:dyDescent="0.35">
      <c r="A504" s="65"/>
      <c r="B504" s="70"/>
      <c r="C504" s="70"/>
      <c r="D504" s="72"/>
      <c r="E504" s="3" t="s">
        <v>704</v>
      </c>
      <c r="F504" s="3" t="s">
        <v>705</v>
      </c>
      <c r="G504" s="3" t="s">
        <v>706</v>
      </c>
      <c r="H504" s="4">
        <v>2000</v>
      </c>
      <c r="I504" s="4">
        <v>2000</v>
      </c>
      <c r="J504" s="17"/>
      <c r="K504" s="16"/>
      <c r="L504" s="17"/>
      <c r="M504" s="4">
        <v>2000</v>
      </c>
    </row>
    <row r="505" spans="1:13" hidden="1" x14ac:dyDescent="0.35">
      <c r="A505" s="65"/>
      <c r="B505" s="70"/>
      <c r="C505" s="71"/>
      <c r="D505" s="73"/>
      <c r="E505" s="3" t="s">
        <v>707</v>
      </c>
      <c r="F505" s="3" t="s">
        <v>708</v>
      </c>
      <c r="G505" s="3" t="s">
        <v>709</v>
      </c>
      <c r="H505" s="4">
        <v>4195</v>
      </c>
      <c r="I505" s="4">
        <v>4195</v>
      </c>
      <c r="J505" s="17"/>
      <c r="K505" s="16"/>
      <c r="L505" s="17"/>
      <c r="M505" s="4">
        <v>4195</v>
      </c>
    </row>
    <row r="506" spans="1:13" ht="21" hidden="1" x14ac:dyDescent="0.35">
      <c r="A506" s="65"/>
      <c r="B506" s="70"/>
      <c r="C506" s="14" t="s">
        <v>56</v>
      </c>
      <c r="D506" s="15" t="s">
        <v>57</v>
      </c>
      <c r="E506" s="3" t="s">
        <v>710</v>
      </c>
      <c r="F506" s="3" t="s">
        <v>711</v>
      </c>
      <c r="G506" s="3" t="s">
        <v>712</v>
      </c>
      <c r="H506" s="4">
        <v>400000</v>
      </c>
      <c r="I506" s="4">
        <v>400000</v>
      </c>
      <c r="J506" s="4">
        <v>160833</v>
      </c>
      <c r="K506" s="5">
        <v>1</v>
      </c>
      <c r="L506" s="4">
        <v>238829.9</v>
      </c>
      <c r="M506" s="4">
        <v>336.10000000000599</v>
      </c>
    </row>
    <row r="507" spans="1:13" hidden="1" x14ac:dyDescent="0.35">
      <c r="A507" s="65"/>
      <c r="B507" s="70"/>
      <c r="C507" s="70" t="s">
        <v>70</v>
      </c>
      <c r="D507" s="72" t="s">
        <v>71</v>
      </c>
      <c r="E507" s="3" t="s">
        <v>674</v>
      </c>
      <c r="F507" s="3" t="s">
        <v>675</v>
      </c>
      <c r="G507" s="3" t="s">
        <v>713</v>
      </c>
      <c r="H507" s="4">
        <v>276300</v>
      </c>
      <c r="I507" s="4">
        <v>134500</v>
      </c>
      <c r="J507" s="4">
        <v>134500</v>
      </c>
      <c r="K507" s="16"/>
      <c r="L507" s="4">
        <v>0</v>
      </c>
      <c r="M507" s="4">
        <v>0</v>
      </c>
    </row>
    <row r="508" spans="1:13" ht="31.5" hidden="1" x14ac:dyDescent="0.35">
      <c r="A508" s="65"/>
      <c r="B508" s="70"/>
      <c r="C508" s="70"/>
      <c r="D508" s="72"/>
      <c r="E508" s="3" t="s">
        <v>680</v>
      </c>
      <c r="F508" s="3" t="s">
        <v>681</v>
      </c>
      <c r="G508" s="3" t="s">
        <v>714</v>
      </c>
      <c r="H508" s="4">
        <v>2200</v>
      </c>
      <c r="I508" s="4">
        <v>2200</v>
      </c>
      <c r="J508" s="17"/>
      <c r="K508" s="16"/>
      <c r="L508" s="17"/>
      <c r="M508" s="4">
        <v>2200</v>
      </c>
    </row>
    <row r="509" spans="1:13" ht="21" hidden="1" x14ac:dyDescent="0.35">
      <c r="A509" s="65"/>
      <c r="B509" s="70"/>
      <c r="C509" s="70"/>
      <c r="D509" s="72"/>
      <c r="E509" s="3" t="s">
        <v>689</v>
      </c>
      <c r="F509" s="3" t="s">
        <v>690</v>
      </c>
      <c r="G509" s="3" t="s">
        <v>715</v>
      </c>
      <c r="H509" s="4">
        <v>125000</v>
      </c>
      <c r="I509" s="4">
        <v>129650</v>
      </c>
      <c r="J509" s="4">
        <v>129634.5</v>
      </c>
      <c r="K509" s="16"/>
      <c r="L509" s="17"/>
      <c r="M509" s="4">
        <v>15.5</v>
      </c>
    </row>
    <row r="510" spans="1:13" ht="21" hidden="1" x14ac:dyDescent="0.35">
      <c r="A510" s="65"/>
      <c r="B510" s="70"/>
      <c r="C510" s="71"/>
      <c r="D510" s="73"/>
      <c r="E510" s="3" t="s">
        <v>695</v>
      </c>
      <c r="F510" s="3" t="s">
        <v>696</v>
      </c>
      <c r="G510" s="3" t="s">
        <v>716</v>
      </c>
      <c r="H510" s="4">
        <v>0</v>
      </c>
      <c r="I510" s="4">
        <v>4400</v>
      </c>
      <c r="J510" s="17"/>
      <c r="K510" s="16"/>
      <c r="L510" s="17"/>
      <c r="M510" s="4">
        <v>4400</v>
      </c>
    </row>
    <row r="511" spans="1:13" hidden="1" x14ac:dyDescent="0.35">
      <c r="A511" s="65"/>
      <c r="B511" s="70"/>
      <c r="C511" s="70" t="s">
        <v>80</v>
      </c>
      <c r="D511" s="72" t="s">
        <v>81</v>
      </c>
      <c r="E511" s="3" t="s">
        <v>717</v>
      </c>
      <c r="F511" s="3" t="s">
        <v>718</v>
      </c>
      <c r="G511" s="3" t="s">
        <v>719</v>
      </c>
      <c r="H511" s="4">
        <v>2320934</v>
      </c>
      <c r="I511" s="4">
        <v>3154934</v>
      </c>
      <c r="J511" s="4">
        <v>1465042.71</v>
      </c>
      <c r="K511" s="5">
        <v>1547573.75</v>
      </c>
      <c r="L511" s="4">
        <v>102746.75</v>
      </c>
      <c r="M511" s="4">
        <v>37857.230000000003</v>
      </c>
    </row>
    <row r="512" spans="1:13" hidden="1" x14ac:dyDescent="0.35">
      <c r="A512" s="65"/>
      <c r="B512" s="70"/>
      <c r="C512" s="70"/>
      <c r="D512" s="72"/>
      <c r="E512" s="67" t="s">
        <v>680</v>
      </c>
      <c r="F512" s="67" t="s">
        <v>681</v>
      </c>
      <c r="G512" s="3" t="s">
        <v>720</v>
      </c>
      <c r="H512" s="17"/>
      <c r="I512" s="17"/>
      <c r="J512" s="4">
        <v>-22800</v>
      </c>
      <c r="K512" s="16"/>
      <c r="L512" s="4">
        <v>0</v>
      </c>
      <c r="M512" s="4">
        <v>22800</v>
      </c>
    </row>
    <row r="513" spans="1:13" hidden="1" x14ac:dyDescent="0.35">
      <c r="A513" s="65"/>
      <c r="B513" s="70"/>
      <c r="C513" s="70"/>
      <c r="D513" s="72"/>
      <c r="E513" s="68"/>
      <c r="F513" s="68"/>
      <c r="G513" s="3" t="s">
        <v>721</v>
      </c>
      <c r="H513" s="4">
        <v>3500000</v>
      </c>
      <c r="I513" s="4">
        <v>3851832</v>
      </c>
      <c r="J513" s="4">
        <v>2665093.6</v>
      </c>
      <c r="K513" s="5">
        <v>260187</v>
      </c>
      <c r="L513" s="4">
        <v>925248</v>
      </c>
      <c r="M513" s="4">
        <v>1303.40000000037</v>
      </c>
    </row>
    <row r="514" spans="1:13" ht="31.5" hidden="1" x14ac:dyDescent="0.35">
      <c r="A514" s="65"/>
      <c r="B514" s="70"/>
      <c r="C514" s="70"/>
      <c r="D514" s="72"/>
      <c r="E514" s="3" t="s">
        <v>722</v>
      </c>
      <c r="F514" s="3" t="s">
        <v>723</v>
      </c>
      <c r="G514" s="3" t="s">
        <v>724</v>
      </c>
      <c r="H514" s="4">
        <v>1</v>
      </c>
      <c r="I514" s="4">
        <v>1</v>
      </c>
      <c r="J514" s="17"/>
      <c r="K514" s="16"/>
      <c r="L514" s="17"/>
      <c r="M514" s="4">
        <v>1</v>
      </c>
    </row>
    <row r="515" spans="1:13" hidden="1" x14ac:dyDescent="0.35">
      <c r="A515" s="65"/>
      <c r="B515" s="70"/>
      <c r="C515" s="70"/>
      <c r="D515" s="72"/>
      <c r="E515" s="3" t="s">
        <v>725</v>
      </c>
      <c r="F515" s="3" t="s">
        <v>726</v>
      </c>
      <c r="G515" s="3" t="s">
        <v>727</v>
      </c>
      <c r="H515" s="4">
        <v>137341</v>
      </c>
      <c r="I515" s="4">
        <v>67341</v>
      </c>
      <c r="J515" s="4">
        <v>-820</v>
      </c>
      <c r="K515" s="16"/>
      <c r="L515" s="17"/>
      <c r="M515" s="4">
        <v>68161</v>
      </c>
    </row>
    <row r="516" spans="1:13" hidden="1" x14ac:dyDescent="0.35">
      <c r="A516" s="65"/>
      <c r="B516" s="70"/>
      <c r="C516" s="70"/>
      <c r="D516" s="72"/>
      <c r="E516" s="3" t="s">
        <v>728</v>
      </c>
      <c r="F516" s="3" t="s">
        <v>729</v>
      </c>
      <c r="G516" s="3" t="s">
        <v>730</v>
      </c>
      <c r="H516" s="4">
        <v>1962</v>
      </c>
      <c r="I516" s="4">
        <v>1962</v>
      </c>
      <c r="J516" s="4">
        <v>-7379</v>
      </c>
      <c r="K516" s="16"/>
      <c r="L516" s="4">
        <v>0</v>
      </c>
      <c r="M516" s="4">
        <v>9341</v>
      </c>
    </row>
    <row r="517" spans="1:13" hidden="1" x14ac:dyDescent="0.35">
      <c r="A517" s="65"/>
      <c r="B517" s="70"/>
      <c r="C517" s="70"/>
      <c r="D517" s="72"/>
      <c r="E517" s="3" t="s">
        <v>698</v>
      </c>
      <c r="F517" s="3" t="s">
        <v>699</v>
      </c>
      <c r="G517" s="3" t="s">
        <v>731</v>
      </c>
      <c r="H517" s="17"/>
      <c r="I517" s="17"/>
      <c r="J517" s="4">
        <v>-3850</v>
      </c>
      <c r="K517" s="16"/>
      <c r="L517" s="4">
        <v>0</v>
      </c>
      <c r="M517" s="4">
        <v>3850</v>
      </c>
    </row>
    <row r="518" spans="1:13" ht="21" hidden="1" x14ac:dyDescent="0.35">
      <c r="A518" s="65"/>
      <c r="B518" s="70"/>
      <c r="C518" s="70"/>
      <c r="D518" s="72"/>
      <c r="E518" s="3" t="s">
        <v>732</v>
      </c>
      <c r="F518" s="3" t="s">
        <v>733</v>
      </c>
      <c r="G518" s="3" t="s">
        <v>734</v>
      </c>
      <c r="H518" s="4">
        <v>10000</v>
      </c>
      <c r="I518" s="4">
        <v>10000</v>
      </c>
      <c r="J518" s="17"/>
      <c r="K518" s="16"/>
      <c r="L518" s="17"/>
      <c r="M518" s="4">
        <v>10000</v>
      </c>
    </row>
    <row r="519" spans="1:13" ht="21" hidden="1" x14ac:dyDescent="0.35">
      <c r="A519" s="65"/>
      <c r="B519" s="70"/>
      <c r="C519" s="71"/>
      <c r="D519" s="73"/>
      <c r="E519" s="3" t="s">
        <v>704</v>
      </c>
      <c r="F519" s="3" t="s">
        <v>705</v>
      </c>
      <c r="G519" s="3" t="s">
        <v>735</v>
      </c>
      <c r="H519" s="4">
        <v>193297</v>
      </c>
      <c r="I519" s="4">
        <v>9297</v>
      </c>
      <c r="J519" s="17"/>
      <c r="K519" s="5">
        <v>0</v>
      </c>
      <c r="L519" s="17"/>
      <c r="M519" s="4">
        <v>9297</v>
      </c>
    </row>
    <row r="520" spans="1:13" hidden="1" x14ac:dyDescent="0.35">
      <c r="A520" s="65"/>
      <c r="B520" s="70"/>
      <c r="C520" s="70" t="s">
        <v>96</v>
      </c>
      <c r="D520" s="72" t="s">
        <v>97</v>
      </c>
      <c r="E520" s="3" t="s">
        <v>671</v>
      </c>
      <c r="F520" s="3" t="s">
        <v>672</v>
      </c>
      <c r="G520" s="3" t="s">
        <v>736</v>
      </c>
      <c r="H520" s="4">
        <v>18595</v>
      </c>
      <c r="I520" s="4">
        <v>2595</v>
      </c>
      <c r="J520" s="17"/>
      <c r="K520" s="16"/>
      <c r="L520" s="17"/>
      <c r="M520" s="4">
        <v>2595</v>
      </c>
    </row>
    <row r="521" spans="1:13" hidden="1" x14ac:dyDescent="0.35">
      <c r="A521" s="65"/>
      <c r="B521" s="70"/>
      <c r="C521" s="70"/>
      <c r="D521" s="72"/>
      <c r="E521" s="3" t="s">
        <v>683</v>
      </c>
      <c r="F521" s="3" t="s">
        <v>684</v>
      </c>
      <c r="G521" s="3" t="s">
        <v>737</v>
      </c>
      <c r="H521" s="4">
        <v>1</v>
      </c>
      <c r="I521" s="4">
        <v>1</v>
      </c>
      <c r="J521" s="17"/>
      <c r="K521" s="16"/>
      <c r="L521" s="17"/>
      <c r="M521" s="4">
        <v>1</v>
      </c>
    </row>
    <row r="522" spans="1:13" hidden="1" x14ac:dyDescent="0.35">
      <c r="A522" s="65"/>
      <c r="B522" s="70"/>
      <c r="C522" s="71"/>
      <c r="D522" s="73"/>
      <c r="E522" s="3" t="s">
        <v>686</v>
      </c>
      <c r="F522" s="3" t="s">
        <v>687</v>
      </c>
      <c r="G522" s="3" t="s">
        <v>738</v>
      </c>
      <c r="H522" s="4">
        <v>0</v>
      </c>
      <c r="I522" s="4">
        <v>16000</v>
      </c>
      <c r="J522" s="17"/>
      <c r="K522" s="16"/>
      <c r="L522" s="17"/>
      <c r="M522" s="4">
        <v>16000</v>
      </c>
    </row>
    <row r="523" spans="1:13" hidden="1" x14ac:dyDescent="0.35">
      <c r="A523" s="65"/>
      <c r="B523" s="70"/>
      <c r="C523" s="70" t="s">
        <v>114</v>
      </c>
      <c r="D523" s="72" t="s">
        <v>115</v>
      </c>
      <c r="E523" s="67" t="s">
        <v>665</v>
      </c>
      <c r="F523" s="67" t="s">
        <v>666</v>
      </c>
      <c r="G523" s="3" t="s">
        <v>739</v>
      </c>
      <c r="H523" s="17"/>
      <c r="I523" s="17"/>
      <c r="J523" s="17"/>
      <c r="K523" s="16"/>
      <c r="L523" s="4">
        <v>0</v>
      </c>
      <c r="M523" s="4">
        <v>0</v>
      </c>
    </row>
    <row r="524" spans="1:13" hidden="1" x14ac:dyDescent="0.35">
      <c r="A524" s="65"/>
      <c r="B524" s="70"/>
      <c r="C524" s="70"/>
      <c r="D524" s="72"/>
      <c r="E524" s="68"/>
      <c r="F524" s="68"/>
      <c r="G524" s="3" t="s">
        <v>740</v>
      </c>
      <c r="H524" s="4">
        <v>80740</v>
      </c>
      <c r="I524" s="4">
        <v>80740</v>
      </c>
      <c r="J524" s="4">
        <v>34911.07</v>
      </c>
      <c r="K524" s="16"/>
      <c r="L524" s="17"/>
      <c r="M524" s="4">
        <v>45828.93</v>
      </c>
    </row>
    <row r="525" spans="1:13" hidden="1" x14ac:dyDescent="0.35">
      <c r="A525" s="65"/>
      <c r="B525" s="70"/>
      <c r="C525" s="70"/>
      <c r="D525" s="72"/>
      <c r="E525" s="3" t="s">
        <v>717</v>
      </c>
      <c r="F525" s="3" t="s">
        <v>718</v>
      </c>
      <c r="G525" s="3" t="s">
        <v>741</v>
      </c>
      <c r="H525" s="4">
        <v>240000</v>
      </c>
      <c r="I525" s="4">
        <v>240000</v>
      </c>
      <c r="J525" s="17"/>
      <c r="K525" s="16"/>
      <c r="L525" s="17"/>
      <c r="M525" s="4">
        <v>240000</v>
      </c>
    </row>
    <row r="526" spans="1:13" ht="31.5" hidden="1" x14ac:dyDescent="0.35">
      <c r="A526" s="65"/>
      <c r="B526" s="70"/>
      <c r="C526" s="70"/>
      <c r="D526" s="72"/>
      <c r="E526" s="3" t="s">
        <v>680</v>
      </c>
      <c r="F526" s="3" t="s">
        <v>681</v>
      </c>
      <c r="G526" s="3" t="s">
        <v>742</v>
      </c>
      <c r="H526" s="4">
        <v>10000</v>
      </c>
      <c r="I526" s="4">
        <v>10000</v>
      </c>
      <c r="J526" s="4">
        <v>-2890.34</v>
      </c>
      <c r="K526" s="16"/>
      <c r="L526" s="4">
        <v>0</v>
      </c>
      <c r="M526" s="4">
        <v>12890.34</v>
      </c>
    </row>
    <row r="527" spans="1:13" ht="31.5" hidden="1" x14ac:dyDescent="0.35">
      <c r="A527" s="65"/>
      <c r="B527" s="70"/>
      <c r="C527" s="70"/>
      <c r="D527" s="72"/>
      <c r="E527" s="3" t="s">
        <v>722</v>
      </c>
      <c r="F527" s="3" t="s">
        <v>723</v>
      </c>
      <c r="G527" s="3" t="s">
        <v>743</v>
      </c>
      <c r="H527" s="4">
        <v>16500</v>
      </c>
      <c r="I527" s="4">
        <v>16500</v>
      </c>
      <c r="J527" s="4">
        <v>3326.03</v>
      </c>
      <c r="K527" s="16"/>
      <c r="L527" s="17"/>
      <c r="M527" s="4">
        <v>13173.97</v>
      </c>
    </row>
    <row r="528" spans="1:13" hidden="1" x14ac:dyDescent="0.35">
      <c r="A528" s="65"/>
      <c r="B528" s="70"/>
      <c r="C528" s="70"/>
      <c r="D528" s="72"/>
      <c r="E528" s="3" t="s">
        <v>744</v>
      </c>
      <c r="F528" s="3" t="s">
        <v>745</v>
      </c>
      <c r="G528" s="3" t="s">
        <v>746</v>
      </c>
      <c r="H528" s="4">
        <v>720000</v>
      </c>
      <c r="I528" s="4">
        <v>962000</v>
      </c>
      <c r="J528" s="4">
        <v>960000</v>
      </c>
      <c r="K528" s="16"/>
      <c r="L528" s="17"/>
      <c r="M528" s="4">
        <v>2000</v>
      </c>
    </row>
    <row r="529" spans="1:13" hidden="1" x14ac:dyDescent="0.35">
      <c r="A529" s="65"/>
      <c r="B529" s="70"/>
      <c r="C529" s="70"/>
      <c r="D529" s="72"/>
      <c r="E529" s="3" t="s">
        <v>747</v>
      </c>
      <c r="F529" s="3" t="s">
        <v>748</v>
      </c>
      <c r="G529" s="3" t="s">
        <v>749</v>
      </c>
      <c r="H529" s="4">
        <v>1</v>
      </c>
      <c r="I529" s="4">
        <v>1</v>
      </c>
      <c r="J529" s="17"/>
      <c r="K529" s="16"/>
      <c r="L529" s="17"/>
      <c r="M529" s="4">
        <v>1</v>
      </c>
    </row>
    <row r="530" spans="1:13" hidden="1" x14ac:dyDescent="0.35">
      <c r="A530" s="65"/>
      <c r="B530" s="70"/>
      <c r="C530" s="70"/>
      <c r="D530" s="72"/>
      <c r="E530" s="3" t="s">
        <v>750</v>
      </c>
      <c r="F530" s="3" t="s">
        <v>751</v>
      </c>
      <c r="G530" s="3" t="s">
        <v>752</v>
      </c>
      <c r="H530" s="4">
        <v>1403064</v>
      </c>
      <c r="I530" s="4">
        <v>1403064</v>
      </c>
      <c r="J530" s="4">
        <v>1235355</v>
      </c>
      <c r="K530" s="16"/>
      <c r="L530" s="17"/>
      <c r="M530" s="4">
        <v>167709</v>
      </c>
    </row>
    <row r="531" spans="1:13" hidden="1" x14ac:dyDescent="0.35">
      <c r="A531" s="65"/>
      <c r="B531" s="70"/>
      <c r="C531" s="70"/>
      <c r="D531" s="72"/>
      <c r="E531" s="3" t="s">
        <v>753</v>
      </c>
      <c r="F531" s="3" t="s">
        <v>754</v>
      </c>
      <c r="G531" s="3" t="s">
        <v>755</v>
      </c>
      <c r="H531" s="4">
        <v>101999705</v>
      </c>
      <c r="I531" s="4">
        <v>98368033</v>
      </c>
      <c r="J531" s="4">
        <v>75625719.200000003</v>
      </c>
      <c r="K531" s="16"/>
      <c r="L531" s="17"/>
      <c r="M531" s="4">
        <v>22742313.800000001</v>
      </c>
    </row>
    <row r="532" spans="1:13" hidden="1" x14ac:dyDescent="0.35">
      <c r="A532" s="65"/>
      <c r="B532" s="70"/>
      <c r="C532" s="70"/>
      <c r="D532" s="72"/>
      <c r="E532" s="3" t="s">
        <v>683</v>
      </c>
      <c r="F532" s="3" t="s">
        <v>684</v>
      </c>
      <c r="G532" s="3" t="s">
        <v>756</v>
      </c>
      <c r="H532" s="17"/>
      <c r="I532" s="17"/>
      <c r="J532" s="4">
        <v>-1617.5</v>
      </c>
      <c r="K532" s="16"/>
      <c r="L532" s="4">
        <v>0</v>
      </c>
      <c r="M532" s="4">
        <v>1617.5</v>
      </c>
    </row>
    <row r="533" spans="1:13" hidden="1" x14ac:dyDescent="0.35">
      <c r="A533" s="65"/>
      <c r="B533" s="70"/>
      <c r="C533" s="70"/>
      <c r="D533" s="72"/>
      <c r="E533" s="3" t="s">
        <v>686</v>
      </c>
      <c r="F533" s="3" t="s">
        <v>687</v>
      </c>
      <c r="G533" s="3" t="s">
        <v>757</v>
      </c>
      <c r="H533" s="4">
        <v>8959</v>
      </c>
      <c r="I533" s="4">
        <v>8959</v>
      </c>
      <c r="J533" s="17"/>
      <c r="K533" s="16"/>
      <c r="L533" s="17"/>
      <c r="M533" s="4">
        <v>8959</v>
      </c>
    </row>
    <row r="534" spans="1:13" hidden="1" x14ac:dyDescent="0.35">
      <c r="A534" s="65"/>
      <c r="B534" s="70"/>
      <c r="C534" s="70"/>
      <c r="D534" s="72"/>
      <c r="E534" s="67" t="s">
        <v>707</v>
      </c>
      <c r="F534" s="67" t="s">
        <v>708</v>
      </c>
      <c r="G534" s="3" t="s">
        <v>758</v>
      </c>
      <c r="H534" s="17"/>
      <c r="I534" s="17"/>
      <c r="J534" s="4">
        <v>-600</v>
      </c>
      <c r="K534" s="16"/>
      <c r="L534" s="4">
        <v>0</v>
      </c>
      <c r="M534" s="4">
        <v>600</v>
      </c>
    </row>
    <row r="535" spans="1:13" hidden="1" x14ac:dyDescent="0.35">
      <c r="A535" s="65"/>
      <c r="B535" s="70"/>
      <c r="C535" s="71"/>
      <c r="D535" s="73"/>
      <c r="E535" s="68"/>
      <c r="F535" s="68"/>
      <c r="G535" s="3" t="s">
        <v>759</v>
      </c>
      <c r="H535" s="4">
        <v>5000</v>
      </c>
      <c r="I535" s="4">
        <v>5000</v>
      </c>
      <c r="J535" s="17"/>
      <c r="K535" s="16"/>
      <c r="L535" s="17"/>
      <c r="M535" s="4">
        <v>5000</v>
      </c>
    </row>
    <row r="536" spans="1:13" hidden="1" x14ac:dyDescent="0.35">
      <c r="A536" s="65"/>
      <c r="B536" s="70"/>
      <c r="C536" s="70" t="s">
        <v>125</v>
      </c>
      <c r="D536" s="72" t="s">
        <v>126</v>
      </c>
      <c r="E536" s="3" t="s">
        <v>665</v>
      </c>
      <c r="F536" s="3" t="s">
        <v>666</v>
      </c>
      <c r="G536" s="3" t="s">
        <v>760</v>
      </c>
      <c r="H536" s="4">
        <v>1</v>
      </c>
      <c r="I536" s="4">
        <v>1</v>
      </c>
      <c r="J536" s="17"/>
      <c r="K536" s="16"/>
      <c r="L536" s="17"/>
      <c r="M536" s="4">
        <v>1</v>
      </c>
    </row>
    <row r="537" spans="1:13" ht="21" hidden="1" x14ac:dyDescent="0.35">
      <c r="A537" s="65"/>
      <c r="B537" s="70"/>
      <c r="C537" s="70"/>
      <c r="D537" s="72"/>
      <c r="E537" s="3" t="s">
        <v>668</v>
      </c>
      <c r="F537" s="3" t="s">
        <v>669</v>
      </c>
      <c r="G537" s="3" t="s">
        <v>761</v>
      </c>
      <c r="H537" s="4">
        <v>0</v>
      </c>
      <c r="I537" s="4">
        <v>9200</v>
      </c>
      <c r="J537" s="4">
        <v>4591.25</v>
      </c>
      <c r="K537" s="16"/>
      <c r="L537" s="17"/>
      <c r="M537" s="4">
        <v>4608.75</v>
      </c>
    </row>
    <row r="538" spans="1:13" ht="21" hidden="1" x14ac:dyDescent="0.35">
      <c r="A538" s="65"/>
      <c r="B538" s="70"/>
      <c r="C538" s="70"/>
      <c r="D538" s="72"/>
      <c r="E538" s="3" t="s">
        <v>677</v>
      </c>
      <c r="F538" s="3" t="s">
        <v>678</v>
      </c>
      <c r="G538" s="3" t="s">
        <v>762</v>
      </c>
      <c r="H538" s="4">
        <v>400000</v>
      </c>
      <c r="I538" s="4">
        <v>130500</v>
      </c>
      <c r="J538" s="4">
        <v>70500</v>
      </c>
      <c r="K538" s="16"/>
      <c r="L538" s="17"/>
      <c r="M538" s="4">
        <v>60000</v>
      </c>
    </row>
    <row r="539" spans="1:13" ht="31.5" hidden="1" x14ac:dyDescent="0.35">
      <c r="A539" s="65"/>
      <c r="B539" s="70"/>
      <c r="C539" s="70"/>
      <c r="D539" s="72"/>
      <c r="E539" s="3" t="s">
        <v>680</v>
      </c>
      <c r="F539" s="3" t="s">
        <v>681</v>
      </c>
      <c r="G539" s="3" t="s">
        <v>763</v>
      </c>
      <c r="H539" s="4">
        <v>10000</v>
      </c>
      <c r="I539" s="4">
        <v>10000</v>
      </c>
      <c r="J539" s="4">
        <v>-252</v>
      </c>
      <c r="K539" s="16"/>
      <c r="L539" s="17"/>
      <c r="M539" s="4">
        <v>10252</v>
      </c>
    </row>
    <row r="540" spans="1:13" ht="21" hidden="1" x14ac:dyDescent="0.35">
      <c r="A540" s="65"/>
      <c r="B540" s="70"/>
      <c r="C540" s="70"/>
      <c r="D540" s="72"/>
      <c r="E540" s="3" t="s">
        <v>764</v>
      </c>
      <c r="F540" s="3" t="s">
        <v>765</v>
      </c>
      <c r="G540" s="3" t="s">
        <v>766</v>
      </c>
      <c r="H540" s="17"/>
      <c r="I540" s="17"/>
      <c r="J540" s="4">
        <v>-3415.89</v>
      </c>
      <c r="K540" s="16"/>
      <c r="L540" s="17"/>
      <c r="M540" s="4">
        <v>3415.89</v>
      </c>
    </row>
    <row r="541" spans="1:13" hidden="1" x14ac:dyDescent="0.35">
      <c r="A541" s="65"/>
      <c r="B541" s="70"/>
      <c r="C541" s="70"/>
      <c r="D541" s="72"/>
      <c r="E541" s="3" t="s">
        <v>767</v>
      </c>
      <c r="F541" s="3" t="s">
        <v>768</v>
      </c>
      <c r="G541" s="3" t="s">
        <v>769</v>
      </c>
      <c r="H541" s="4">
        <v>30000</v>
      </c>
      <c r="I541" s="4">
        <v>300000</v>
      </c>
      <c r="J541" s="4">
        <v>50000</v>
      </c>
      <c r="K541" s="5">
        <v>239004.22</v>
      </c>
      <c r="L541" s="17"/>
      <c r="M541" s="4">
        <v>10995.78</v>
      </c>
    </row>
    <row r="542" spans="1:13" ht="21" hidden="1" x14ac:dyDescent="0.35">
      <c r="A542" s="65"/>
      <c r="B542" s="70"/>
      <c r="C542" s="70"/>
      <c r="D542" s="72"/>
      <c r="E542" s="3" t="s">
        <v>770</v>
      </c>
      <c r="F542" s="3" t="s">
        <v>771</v>
      </c>
      <c r="G542" s="3" t="s">
        <v>772</v>
      </c>
      <c r="H542" s="4">
        <v>30000</v>
      </c>
      <c r="I542" s="4">
        <v>25000</v>
      </c>
      <c r="J542" s="4">
        <v>22014.5</v>
      </c>
      <c r="K542" s="16"/>
      <c r="L542" s="17"/>
      <c r="M542" s="4">
        <v>2985.5</v>
      </c>
    </row>
    <row r="543" spans="1:13" hidden="1" x14ac:dyDescent="0.35">
      <c r="A543" s="65"/>
      <c r="B543" s="70"/>
      <c r="C543" s="70"/>
      <c r="D543" s="72"/>
      <c r="E543" s="3" t="s">
        <v>683</v>
      </c>
      <c r="F543" s="3" t="s">
        <v>684</v>
      </c>
      <c r="G543" s="3" t="s">
        <v>773</v>
      </c>
      <c r="H543" s="17"/>
      <c r="I543" s="17"/>
      <c r="J543" s="4">
        <v>-131</v>
      </c>
      <c r="K543" s="16"/>
      <c r="L543" s="17"/>
      <c r="M543" s="4">
        <v>131</v>
      </c>
    </row>
    <row r="544" spans="1:13" hidden="1" x14ac:dyDescent="0.35">
      <c r="A544" s="65"/>
      <c r="B544" s="70"/>
      <c r="C544" s="70"/>
      <c r="D544" s="72"/>
      <c r="E544" s="3" t="s">
        <v>686</v>
      </c>
      <c r="F544" s="3" t="s">
        <v>687</v>
      </c>
      <c r="G544" s="3" t="s">
        <v>774</v>
      </c>
      <c r="H544" s="4">
        <v>224793</v>
      </c>
      <c r="I544" s="4">
        <v>71793</v>
      </c>
      <c r="J544" s="4">
        <v>71380.78</v>
      </c>
      <c r="K544" s="5">
        <v>0</v>
      </c>
      <c r="L544" s="4">
        <v>-35</v>
      </c>
      <c r="M544" s="4">
        <v>447.21999999998701</v>
      </c>
    </row>
    <row r="545" spans="1:13" hidden="1" x14ac:dyDescent="0.35">
      <c r="A545" s="65"/>
      <c r="B545" s="70"/>
      <c r="C545" s="70"/>
      <c r="D545" s="72"/>
      <c r="E545" s="3" t="s">
        <v>698</v>
      </c>
      <c r="F545" s="3" t="s">
        <v>699</v>
      </c>
      <c r="G545" s="3" t="s">
        <v>775</v>
      </c>
      <c r="H545" s="4">
        <v>1</v>
      </c>
      <c r="I545" s="4">
        <v>1</v>
      </c>
      <c r="J545" s="17"/>
      <c r="K545" s="16"/>
      <c r="L545" s="17"/>
      <c r="M545" s="4">
        <v>1</v>
      </c>
    </row>
    <row r="546" spans="1:13" hidden="1" x14ac:dyDescent="0.35">
      <c r="A546" s="65"/>
      <c r="B546" s="70"/>
      <c r="C546" s="70"/>
      <c r="D546" s="72"/>
      <c r="E546" s="3" t="s">
        <v>776</v>
      </c>
      <c r="F546" s="3" t="s">
        <v>777</v>
      </c>
      <c r="G546" s="3" t="s">
        <v>778</v>
      </c>
      <c r="H546" s="4">
        <v>250000</v>
      </c>
      <c r="I546" s="4">
        <v>250000</v>
      </c>
      <c r="J546" s="4">
        <v>131400.01</v>
      </c>
      <c r="K546" s="5">
        <v>-1.14999999999964</v>
      </c>
      <c r="L546" s="4">
        <v>115041.84</v>
      </c>
      <c r="M546" s="4">
        <v>3559.2999999999902</v>
      </c>
    </row>
    <row r="547" spans="1:13" ht="31.5" hidden="1" x14ac:dyDescent="0.35">
      <c r="A547" s="65"/>
      <c r="B547" s="70"/>
      <c r="C547" s="70"/>
      <c r="D547" s="72"/>
      <c r="E547" s="3" t="s">
        <v>779</v>
      </c>
      <c r="F547" s="3" t="s">
        <v>780</v>
      </c>
      <c r="G547" s="3" t="s">
        <v>781</v>
      </c>
      <c r="H547" s="4">
        <v>0</v>
      </c>
      <c r="I547" s="4">
        <v>5000</v>
      </c>
      <c r="J547" s="4">
        <v>5000</v>
      </c>
      <c r="K547" s="16"/>
      <c r="L547" s="4">
        <v>0</v>
      </c>
      <c r="M547" s="4">
        <v>0</v>
      </c>
    </row>
    <row r="548" spans="1:13" hidden="1" x14ac:dyDescent="0.35">
      <c r="A548" s="65"/>
      <c r="B548" s="70"/>
      <c r="C548" s="70"/>
      <c r="D548" s="72"/>
      <c r="E548" s="3" t="s">
        <v>782</v>
      </c>
      <c r="F548" s="3" t="s">
        <v>783</v>
      </c>
      <c r="G548" s="3" t="s">
        <v>784</v>
      </c>
      <c r="H548" s="4">
        <v>22529</v>
      </c>
      <c r="I548" s="4">
        <v>12529</v>
      </c>
      <c r="J548" s="17"/>
      <c r="K548" s="16"/>
      <c r="L548" s="17"/>
      <c r="M548" s="4">
        <v>12529</v>
      </c>
    </row>
    <row r="549" spans="1:13" hidden="1" x14ac:dyDescent="0.35">
      <c r="A549" s="65"/>
      <c r="B549" s="70"/>
      <c r="C549" s="70"/>
      <c r="D549" s="72"/>
      <c r="E549" s="3" t="s">
        <v>785</v>
      </c>
      <c r="F549" s="3" t="s">
        <v>786</v>
      </c>
      <c r="G549" s="3" t="s">
        <v>787</v>
      </c>
      <c r="H549" s="4">
        <v>51790</v>
      </c>
      <c r="I549" s="4">
        <v>51790</v>
      </c>
      <c r="J549" s="4">
        <v>51790</v>
      </c>
      <c r="K549" s="16"/>
      <c r="L549" s="4">
        <v>0</v>
      </c>
      <c r="M549" s="4">
        <v>0</v>
      </c>
    </row>
    <row r="550" spans="1:13" ht="31.5" hidden="1" x14ac:dyDescent="0.35">
      <c r="A550" s="65"/>
      <c r="B550" s="70"/>
      <c r="C550" s="70"/>
      <c r="D550" s="72"/>
      <c r="E550" s="3" t="s">
        <v>788</v>
      </c>
      <c r="F550" s="3" t="s">
        <v>789</v>
      </c>
      <c r="G550" s="3" t="s">
        <v>790</v>
      </c>
      <c r="H550" s="4">
        <v>0</v>
      </c>
      <c r="I550" s="4">
        <v>0</v>
      </c>
      <c r="J550" s="17"/>
      <c r="K550" s="16"/>
      <c r="L550" s="17"/>
      <c r="M550" s="4">
        <v>0</v>
      </c>
    </row>
    <row r="551" spans="1:13" hidden="1" x14ac:dyDescent="0.35">
      <c r="A551" s="65"/>
      <c r="B551" s="70"/>
      <c r="C551" s="71"/>
      <c r="D551" s="73"/>
      <c r="E551" s="3" t="s">
        <v>707</v>
      </c>
      <c r="F551" s="3" t="s">
        <v>708</v>
      </c>
      <c r="G551" s="3" t="s">
        <v>791</v>
      </c>
      <c r="H551" s="4">
        <v>0</v>
      </c>
      <c r="I551" s="4">
        <v>0</v>
      </c>
      <c r="J551" s="17"/>
      <c r="K551" s="16"/>
      <c r="L551" s="17"/>
      <c r="M551" s="4">
        <v>0</v>
      </c>
    </row>
    <row r="552" spans="1:13" hidden="1" x14ac:dyDescent="0.35">
      <c r="A552" s="65"/>
      <c r="B552" s="70"/>
      <c r="C552" s="70" t="s">
        <v>134</v>
      </c>
      <c r="D552" s="72" t="s">
        <v>135</v>
      </c>
      <c r="E552" s="3" t="s">
        <v>767</v>
      </c>
      <c r="F552" s="3" t="s">
        <v>768</v>
      </c>
      <c r="G552" s="3" t="s">
        <v>792</v>
      </c>
      <c r="H552" s="4">
        <v>85000</v>
      </c>
      <c r="I552" s="4">
        <v>339000</v>
      </c>
      <c r="J552" s="4">
        <v>118694.51</v>
      </c>
      <c r="K552" s="16"/>
      <c r="L552" s="17"/>
      <c r="M552" s="4">
        <v>220305.49</v>
      </c>
    </row>
    <row r="553" spans="1:13" ht="21" hidden="1" x14ac:dyDescent="0.35">
      <c r="A553" s="65"/>
      <c r="B553" s="70"/>
      <c r="C553" s="70"/>
      <c r="D553" s="72"/>
      <c r="E553" s="3" t="s">
        <v>770</v>
      </c>
      <c r="F553" s="3" t="s">
        <v>771</v>
      </c>
      <c r="G553" s="3" t="s">
        <v>793</v>
      </c>
      <c r="H553" s="4">
        <v>65000</v>
      </c>
      <c r="I553" s="4">
        <v>490</v>
      </c>
      <c r="J553" s="17"/>
      <c r="K553" s="16"/>
      <c r="L553" s="17"/>
      <c r="M553" s="4">
        <v>490</v>
      </c>
    </row>
    <row r="554" spans="1:13" ht="21" hidden="1" x14ac:dyDescent="0.35">
      <c r="A554" s="65"/>
      <c r="B554" s="70"/>
      <c r="C554" s="70"/>
      <c r="D554" s="72"/>
      <c r="E554" s="3" t="s">
        <v>794</v>
      </c>
      <c r="F554" s="3" t="s">
        <v>795</v>
      </c>
      <c r="G554" s="3" t="s">
        <v>796</v>
      </c>
      <c r="H554" s="4">
        <v>180000</v>
      </c>
      <c r="I554" s="4">
        <v>0</v>
      </c>
      <c r="J554" s="17"/>
      <c r="K554" s="16"/>
      <c r="L554" s="17"/>
      <c r="M554" s="4">
        <v>0</v>
      </c>
    </row>
    <row r="555" spans="1:13" hidden="1" x14ac:dyDescent="0.35">
      <c r="A555" s="65"/>
      <c r="B555" s="70"/>
      <c r="C555" s="70"/>
      <c r="D555" s="72"/>
      <c r="E555" s="3" t="s">
        <v>782</v>
      </c>
      <c r="F555" s="3" t="s">
        <v>783</v>
      </c>
      <c r="G555" s="3" t="s">
        <v>797</v>
      </c>
      <c r="H555" s="4">
        <v>2000</v>
      </c>
      <c r="I555" s="4">
        <v>52000</v>
      </c>
      <c r="J555" s="4">
        <v>34235.050000000003</v>
      </c>
      <c r="K555" s="16"/>
      <c r="L555" s="17"/>
      <c r="M555" s="4">
        <v>17764.95</v>
      </c>
    </row>
    <row r="556" spans="1:13" hidden="1" x14ac:dyDescent="0.35">
      <c r="A556" s="65"/>
      <c r="B556" s="70"/>
      <c r="C556" s="70"/>
      <c r="D556" s="72"/>
      <c r="E556" s="3" t="s">
        <v>785</v>
      </c>
      <c r="F556" s="3" t="s">
        <v>786</v>
      </c>
      <c r="G556" s="3" t="s">
        <v>798</v>
      </c>
      <c r="H556" s="4">
        <v>50000</v>
      </c>
      <c r="I556" s="4">
        <v>69000</v>
      </c>
      <c r="J556" s="4">
        <v>52948.07</v>
      </c>
      <c r="K556" s="5">
        <v>0</v>
      </c>
      <c r="L556" s="4">
        <v>9.0949470177292808E-12</v>
      </c>
      <c r="M556" s="4">
        <v>16051.93</v>
      </c>
    </row>
    <row r="557" spans="1:13" ht="21" hidden="1" x14ac:dyDescent="0.35">
      <c r="A557" s="65"/>
      <c r="B557" s="70"/>
      <c r="C557" s="71"/>
      <c r="D557" s="73"/>
      <c r="E557" s="3" t="s">
        <v>799</v>
      </c>
      <c r="F557" s="3" t="s">
        <v>800</v>
      </c>
      <c r="G557" s="3" t="s">
        <v>801</v>
      </c>
      <c r="H557" s="4">
        <v>0</v>
      </c>
      <c r="I557" s="4">
        <v>510</v>
      </c>
      <c r="J557" s="4">
        <v>505.12</v>
      </c>
      <c r="K557" s="16"/>
      <c r="L557" s="17"/>
      <c r="M557" s="4">
        <v>4.8800000000000496</v>
      </c>
    </row>
    <row r="558" spans="1:13" ht="31.5" hidden="1" x14ac:dyDescent="0.35">
      <c r="A558" s="65"/>
      <c r="B558" s="70"/>
      <c r="C558" s="70" t="s">
        <v>146</v>
      </c>
      <c r="D558" s="72" t="s">
        <v>147</v>
      </c>
      <c r="E558" s="3" t="s">
        <v>680</v>
      </c>
      <c r="F558" s="3" t="s">
        <v>681</v>
      </c>
      <c r="G558" s="3" t="s">
        <v>802</v>
      </c>
      <c r="H558" s="4">
        <v>1502</v>
      </c>
      <c r="I558" s="4">
        <v>802</v>
      </c>
      <c r="J558" s="4">
        <v>100</v>
      </c>
      <c r="K558" s="16"/>
      <c r="L558" s="17"/>
      <c r="M558" s="4">
        <v>702</v>
      </c>
    </row>
    <row r="559" spans="1:13" ht="21" hidden="1" x14ac:dyDescent="0.35">
      <c r="A559" s="65"/>
      <c r="B559" s="70"/>
      <c r="C559" s="70"/>
      <c r="D559" s="72"/>
      <c r="E559" s="3" t="s">
        <v>803</v>
      </c>
      <c r="F559" s="3" t="s">
        <v>804</v>
      </c>
      <c r="G559" s="3" t="s">
        <v>805</v>
      </c>
      <c r="H559" s="4">
        <v>875</v>
      </c>
      <c r="I559" s="4">
        <v>875</v>
      </c>
      <c r="J559" s="17"/>
      <c r="K559" s="16"/>
      <c r="L559" s="17"/>
      <c r="M559" s="4">
        <v>875</v>
      </c>
    </row>
    <row r="560" spans="1:13" hidden="1" x14ac:dyDescent="0.35">
      <c r="A560" s="65"/>
      <c r="B560" s="70"/>
      <c r="C560" s="70"/>
      <c r="D560" s="72"/>
      <c r="E560" s="3" t="s">
        <v>767</v>
      </c>
      <c r="F560" s="3" t="s">
        <v>768</v>
      </c>
      <c r="G560" s="3" t="s">
        <v>806</v>
      </c>
      <c r="H560" s="4">
        <v>59000</v>
      </c>
      <c r="I560" s="4">
        <v>59000</v>
      </c>
      <c r="J560" s="4">
        <v>58746.400000000001</v>
      </c>
      <c r="K560" s="16"/>
      <c r="L560" s="17"/>
      <c r="M560" s="4">
        <v>253.600000000009</v>
      </c>
    </row>
    <row r="561" spans="1:13" ht="21" hidden="1" x14ac:dyDescent="0.35">
      <c r="A561" s="65"/>
      <c r="B561" s="70"/>
      <c r="C561" s="70"/>
      <c r="D561" s="72"/>
      <c r="E561" s="3" t="s">
        <v>770</v>
      </c>
      <c r="F561" s="3" t="s">
        <v>771</v>
      </c>
      <c r="G561" s="3" t="s">
        <v>807</v>
      </c>
      <c r="H561" s="4">
        <v>47557</v>
      </c>
      <c r="I561" s="4">
        <v>3835</v>
      </c>
      <c r="J561" s="4">
        <v>1101.9000000000001</v>
      </c>
      <c r="K561" s="16"/>
      <c r="L561" s="17"/>
      <c r="M561" s="4">
        <v>2733.1</v>
      </c>
    </row>
    <row r="562" spans="1:13" hidden="1" x14ac:dyDescent="0.35">
      <c r="A562" s="65"/>
      <c r="B562" s="70"/>
      <c r="C562" s="70"/>
      <c r="D562" s="72"/>
      <c r="E562" s="3" t="s">
        <v>683</v>
      </c>
      <c r="F562" s="3" t="s">
        <v>684</v>
      </c>
      <c r="G562" s="3" t="s">
        <v>808</v>
      </c>
      <c r="H562" s="4">
        <v>1024</v>
      </c>
      <c r="I562" s="4">
        <v>1024</v>
      </c>
      <c r="J562" s="17"/>
      <c r="K562" s="16"/>
      <c r="L562" s="17"/>
      <c r="M562" s="4">
        <v>1024</v>
      </c>
    </row>
    <row r="563" spans="1:13" hidden="1" x14ac:dyDescent="0.35">
      <c r="A563" s="65"/>
      <c r="B563" s="70"/>
      <c r="C563" s="70"/>
      <c r="D563" s="72"/>
      <c r="E563" s="3" t="s">
        <v>686</v>
      </c>
      <c r="F563" s="3" t="s">
        <v>687</v>
      </c>
      <c r="G563" s="3" t="s">
        <v>809</v>
      </c>
      <c r="H563" s="4">
        <v>9738</v>
      </c>
      <c r="I563" s="4">
        <v>4738</v>
      </c>
      <c r="J563" s="4">
        <v>3816.25</v>
      </c>
      <c r="K563" s="16"/>
      <c r="L563" s="17"/>
      <c r="M563" s="4">
        <v>921.75</v>
      </c>
    </row>
    <row r="564" spans="1:13" hidden="1" x14ac:dyDescent="0.35">
      <c r="A564" s="65"/>
      <c r="B564" s="70"/>
      <c r="C564" s="70"/>
      <c r="D564" s="72"/>
      <c r="E564" s="3" t="s">
        <v>776</v>
      </c>
      <c r="F564" s="3" t="s">
        <v>777</v>
      </c>
      <c r="G564" s="3" t="s">
        <v>810</v>
      </c>
      <c r="H564" s="4">
        <v>6195</v>
      </c>
      <c r="I564" s="4">
        <v>6195</v>
      </c>
      <c r="J564" s="4">
        <v>5900</v>
      </c>
      <c r="K564" s="16"/>
      <c r="L564" s="17"/>
      <c r="M564" s="4">
        <v>295</v>
      </c>
    </row>
    <row r="565" spans="1:13" hidden="1" x14ac:dyDescent="0.35">
      <c r="A565" s="65"/>
      <c r="B565" s="70"/>
      <c r="C565" s="70"/>
      <c r="D565" s="72"/>
      <c r="E565" s="3" t="s">
        <v>782</v>
      </c>
      <c r="F565" s="3" t="s">
        <v>783</v>
      </c>
      <c r="G565" s="3" t="s">
        <v>811</v>
      </c>
      <c r="H565" s="4">
        <v>16000</v>
      </c>
      <c r="I565" s="4">
        <v>9805</v>
      </c>
      <c r="J565" s="4">
        <v>7967.56</v>
      </c>
      <c r="K565" s="16"/>
      <c r="L565" s="17"/>
      <c r="M565" s="4">
        <v>1837.44</v>
      </c>
    </row>
    <row r="566" spans="1:13" hidden="1" x14ac:dyDescent="0.35">
      <c r="A566" s="65"/>
      <c r="B566" s="70"/>
      <c r="C566" s="70"/>
      <c r="D566" s="72"/>
      <c r="E566" s="67" t="s">
        <v>785</v>
      </c>
      <c r="F566" s="67" t="s">
        <v>786</v>
      </c>
      <c r="G566" s="3" t="s">
        <v>812</v>
      </c>
      <c r="H566" s="4">
        <v>80000</v>
      </c>
      <c r="I566" s="4">
        <v>132444</v>
      </c>
      <c r="J566" s="4">
        <v>121801.51</v>
      </c>
      <c r="K566" s="5">
        <v>0</v>
      </c>
      <c r="L566" s="4">
        <v>10405</v>
      </c>
      <c r="M566" s="4">
        <v>237.490000000007</v>
      </c>
    </row>
    <row r="567" spans="1:13" hidden="1" x14ac:dyDescent="0.35">
      <c r="A567" s="65"/>
      <c r="B567" s="70"/>
      <c r="C567" s="70"/>
      <c r="D567" s="72"/>
      <c r="E567" s="68"/>
      <c r="F567" s="68"/>
      <c r="G567" s="3" t="s">
        <v>813</v>
      </c>
      <c r="H567" s="4">
        <v>17444</v>
      </c>
      <c r="I567" s="4">
        <v>17444</v>
      </c>
      <c r="J567" s="17"/>
      <c r="K567" s="16"/>
      <c r="L567" s="17"/>
      <c r="M567" s="4">
        <v>17444</v>
      </c>
    </row>
    <row r="568" spans="1:13" hidden="1" x14ac:dyDescent="0.35">
      <c r="A568" s="65"/>
      <c r="B568" s="70"/>
      <c r="C568" s="71"/>
      <c r="D568" s="73"/>
      <c r="E568" s="3" t="s">
        <v>707</v>
      </c>
      <c r="F568" s="3" t="s">
        <v>708</v>
      </c>
      <c r="G568" s="3" t="s">
        <v>814</v>
      </c>
      <c r="H568" s="4">
        <v>500</v>
      </c>
      <c r="I568" s="4">
        <v>500</v>
      </c>
      <c r="J568" s="17"/>
      <c r="K568" s="16"/>
      <c r="L568" s="17"/>
      <c r="M568" s="4">
        <v>500</v>
      </c>
    </row>
    <row r="569" spans="1:13" hidden="1" x14ac:dyDescent="0.35">
      <c r="A569" s="65"/>
      <c r="B569" s="70"/>
      <c r="C569" s="70" t="s">
        <v>160</v>
      </c>
      <c r="D569" s="72" t="s">
        <v>161</v>
      </c>
      <c r="E569" s="3" t="s">
        <v>767</v>
      </c>
      <c r="F569" s="3" t="s">
        <v>768</v>
      </c>
      <c r="G569" s="3" t="s">
        <v>815</v>
      </c>
      <c r="H569" s="4">
        <v>20000</v>
      </c>
      <c r="I569" s="4">
        <v>20000</v>
      </c>
      <c r="J569" s="4">
        <v>20000</v>
      </c>
      <c r="K569" s="16"/>
      <c r="L569" s="17"/>
      <c r="M569" s="4">
        <v>0</v>
      </c>
    </row>
    <row r="570" spans="1:13" hidden="1" x14ac:dyDescent="0.35">
      <c r="A570" s="65"/>
      <c r="B570" s="70"/>
      <c r="C570" s="70"/>
      <c r="D570" s="72"/>
      <c r="E570" s="67" t="s">
        <v>770</v>
      </c>
      <c r="F570" s="67" t="s">
        <v>771</v>
      </c>
      <c r="G570" s="3" t="s">
        <v>816</v>
      </c>
      <c r="H570" s="17"/>
      <c r="I570" s="17"/>
      <c r="J570" s="17"/>
      <c r="K570" s="16"/>
      <c r="L570" s="4">
        <v>0</v>
      </c>
      <c r="M570" s="4">
        <v>0</v>
      </c>
    </row>
    <row r="571" spans="1:13" hidden="1" x14ac:dyDescent="0.35">
      <c r="A571" s="65"/>
      <c r="B571" s="70"/>
      <c r="C571" s="70"/>
      <c r="D571" s="72"/>
      <c r="E571" s="68"/>
      <c r="F571" s="68"/>
      <c r="G571" s="3" t="s">
        <v>817</v>
      </c>
      <c r="H571" s="4">
        <v>50000</v>
      </c>
      <c r="I571" s="4">
        <v>0</v>
      </c>
      <c r="J571" s="17"/>
      <c r="K571" s="16"/>
      <c r="L571" s="17"/>
      <c r="M571" s="4">
        <v>0</v>
      </c>
    </row>
    <row r="572" spans="1:13" hidden="1" x14ac:dyDescent="0.35">
      <c r="A572" s="65"/>
      <c r="B572" s="70"/>
      <c r="C572" s="70"/>
      <c r="D572" s="72"/>
      <c r="E572" s="3" t="s">
        <v>686</v>
      </c>
      <c r="F572" s="3" t="s">
        <v>687</v>
      </c>
      <c r="G572" s="3" t="s">
        <v>818</v>
      </c>
      <c r="H572" s="4">
        <v>18985</v>
      </c>
      <c r="I572" s="4">
        <v>32333</v>
      </c>
      <c r="J572" s="4">
        <v>32332.21</v>
      </c>
      <c r="K572" s="5">
        <v>0</v>
      </c>
      <c r="L572" s="4">
        <v>0</v>
      </c>
      <c r="M572" s="4">
        <v>0.790000000000873</v>
      </c>
    </row>
    <row r="573" spans="1:13" hidden="1" x14ac:dyDescent="0.35">
      <c r="A573" s="65"/>
      <c r="B573" s="70"/>
      <c r="C573" s="70"/>
      <c r="D573" s="72"/>
      <c r="E573" s="3" t="s">
        <v>782</v>
      </c>
      <c r="F573" s="3" t="s">
        <v>783</v>
      </c>
      <c r="G573" s="3" t="s">
        <v>819</v>
      </c>
      <c r="H573" s="4">
        <v>25000</v>
      </c>
      <c r="I573" s="4">
        <v>0</v>
      </c>
      <c r="J573" s="17"/>
      <c r="K573" s="16"/>
      <c r="L573" s="17"/>
      <c r="M573" s="4">
        <v>0</v>
      </c>
    </row>
    <row r="574" spans="1:13" hidden="1" x14ac:dyDescent="0.35">
      <c r="A574" s="65"/>
      <c r="B574" s="70"/>
      <c r="C574" s="70"/>
      <c r="D574" s="72"/>
      <c r="E574" s="3" t="s">
        <v>785</v>
      </c>
      <c r="F574" s="3" t="s">
        <v>786</v>
      </c>
      <c r="G574" s="3" t="s">
        <v>820</v>
      </c>
      <c r="H574" s="4">
        <v>100000</v>
      </c>
      <c r="I574" s="4">
        <v>112750</v>
      </c>
      <c r="J574" s="4">
        <v>91628</v>
      </c>
      <c r="K574" s="5">
        <v>7104</v>
      </c>
      <c r="L574" s="4">
        <v>13898</v>
      </c>
      <c r="M574" s="4">
        <v>120</v>
      </c>
    </row>
    <row r="575" spans="1:13" ht="21" hidden="1" x14ac:dyDescent="0.35">
      <c r="A575" s="65"/>
      <c r="B575" s="70"/>
      <c r="C575" s="71"/>
      <c r="D575" s="73"/>
      <c r="E575" s="3" t="s">
        <v>799</v>
      </c>
      <c r="F575" s="3" t="s">
        <v>800</v>
      </c>
      <c r="G575" s="3" t="s">
        <v>821</v>
      </c>
      <c r="H575" s="4">
        <v>0</v>
      </c>
      <c r="I575" s="4">
        <v>44252</v>
      </c>
      <c r="J575" s="17"/>
      <c r="K575" s="16"/>
      <c r="L575" s="17"/>
      <c r="M575" s="4">
        <v>44252</v>
      </c>
    </row>
    <row r="576" spans="1:13" hidden="1" x14ac:dyDescent="0.35">
      <c r="A576" s="65"/>
      <c r="B576" s="70"/>
      <c r="C576" s="70" t="s">
        <v>171</v>
      </c>
      <c r="D576" s="72" t="s">
        <v>172</v>
      </c>
      <c r="E576" s="3" t="s">
        <v>767</v>
      </c>
      <c r="F576" s="3" t="s">
        <v>768</v>
      </c>
      <c r="G576" s="3" t="s">
        <v>822</v>
      </c>
      <c r="H576" s="4">
        <v>0</v>
      </c>
      <c r="I576" s="4">
        <v>3519000</v>
      </c>
      <c r="J576" s="4">
        <v>2875399.82</v>
      </c>
      <c r="K576" s="16"/>
      <c r="L576" s="17"/>
      <c r="M576" s="4">
        <v>643600.18000000005</v>
      </c>
    </row>
    <row r="577" spans="1:13" ht="21" hidden="1" x14ac:dyDescent="0.35">
      <c r="A577" s="65"/>
      <c r="B577" s="70"/>
      <c r="C577" s="70"/>
      <c r="D577" s="72"/>
      <c r="E577" s="3" t="s">
        <v>770</v>
      </c>
      <c r="F577" s="3" t="s">
        <v>771</v>
      </c>
      <c r="G577" s="3" t="s">
        <v>823</v>
      </c>
      <c r="H577" s="4">
        <v>0</v>
      </c>
      <c r="I577" s="4">
        <v>40000</v>
      </c>
      <c r="J577" s="17"/>
      <c r="K577" s="16"/>
      <c r="L577" s="17"/>
      <c r="M577" s="4">
        <v>40000</v>
      </c>
    </row>
    <row r="578" spans="1:13" hidden="1" x14ac:dyDescent="0.35">
      <c r="A578" s="65"/>
      <c r="B578" s="70"/>
      <c r="C578" s="70"/>
      <c r="D578" s="72"/>
      <c r="E578" s="3" t="s">
        <v>686</v>
      </c>
      <c r="F578" s="3" t="s">
        <v>687</v>
      </c>
      <c r="G578" s="3" t="s">
        <v>824</v>
      </c>
      <c r="H578" s="4">
        <v>23000</v>
      </c>
      <c r="I578" s="4">
        <v>0</v>
      </c>
      <c r="J578" s="17"/>
      <c r="K578" s="16"/>
      <c r="L578" s="17"/>
      <c r="M578" s="4">
        <v>0</v>
      </c>
    </row>
    <row r="579" spans="1:13" hidden="1" x14ac:dyDescent="0.35">
      <c r="A579" s="65"/>
      <c r="B579" s="70"/>
      <c r="C579" s="70"/>
      <c r="D579" s="72"/>
      <c r="E579" s="3" t="s">
        <v>785</v>
      </c>
      <c r="F579" s="3" t="s">
        <v>786</v>
      </c>
      <c r="G579" s="3" t="s">
        <v>825</v>
      </c>
      <c r="H579" s="4">
        <v>11350</v>
      </c>
      <c r="I579" s="4">
        <v>39350</v>
      </c>
      <c r="J579" s="4">
        <v>35028.57</v>
      </c>
      <c r="K579" s="5">
        <v>0</v>
      </c>
      <c r="L579" s="4">
        <v>0</v>
      </c>
      <c r="M579" s="4">
        <v>4321.4299999999903</v>
      </c>
    </row>
    <row r="580" spans="1:13" hidden="1" x14ac:dyDescent="0.35">
      <c r="A580" s="65"/>
      <c r="B580" s="70"/>
      <c r="C580" s="70"/>
      <c r="D580" s="72"/>
      <c r="E580" s="3" t="s">
        <v>826</v>
      </c>
      <c r="F580" s="3" t="s">
        <v>827</v>
      </c>
      <c r="G580" s="3" t="s">
        <v>828</v>
      </c>
      <c r="H580" s="4">
        <v>0</v>
      </c>
      <c r="I580" s="4">
        <v>0</v>
      </c>
      <c r="J580" s="17"/>
      <c r="K580" s="16"/>
      <c r="L580" s="17"/>
      <c r="M580" s="4">
        <v>0</v>
      </c>
    </row>
    <row r="581" spans="1:13" hidden="1" x14ac:dyDescent="0.35">
      <c r="A581" s="65"/>
      <c r="B581" s="70"/>
      <c r="C581" s="71"/>
      <c r="D581" s="73"/>
      <c r="E581" s="3" t="s">
        <v>707</v>
      </c>
      <c r="F581" s="3" t="s">
        <v>708</v>
      </c>
      <c r="G581" s="3" t="s">
        <v>829</v>
      </c>
      <c r="H581" s="4">
        <v>0</v>
      </c>
      <c r="I581" s="4">
        <v>0</v>
      </c>
      <c r="J581" s="17"/>
      <c r="K581" s="16"/>
      <c r="L581" s="17"/>
      <c r="M581" s="4">
        <v>0</v>
      </c>
    </row>
    <row r="582" spans="1:13" ht="21" hidden="1" x14ac:dyDescent="0.35">
      <c r="A582" s="65"/>
      <c r="B582" s="70"/>
      <c r="C582" s="70" t="s">
        <v>182</v>
      </c>
      <c r="D582" s="72" t="s">
        <v>183</v>
      </c>
      <c r="E582" s="3" t="s">
        <v>764</v>
      </c>
      <c r="F582" s="3" t="s">
        <v>765</v>
      </c>
      <c r="G582" s="3" t="s">
        <v>830</v>
      </c>
      <c r="H582" s="4">
        <v>0</v>
      </c>
      <c r="I582" s="4">
        <v>3625</v>
      </c>
      <c r="J582" s="17"/>
      <c r="K582" s="16"/>
      <c r="L582" s="17"/>
      <c r="M582" s="4">
        <v>3625</v>
      </c>
    </row>
    <row r="583" spans="1:13" hidden="1" x14ac:dyDescent="0.35">
      <c r="A583" s="65"/>
      <c r="B583" s="70"/>
      <c r="C583" s="70"/>
      <c r="D583" s="72"/>
      <c r="E583" s="3" t="s">
        <v>831</v>
      </c>
      <c r="F583" s="3" t="s">
        <v>832</v>
      </c>
      <c r="G583" s="3" t="s">
        <v>833</v>
      </c>
      <c r="H583" s="17"/>
      <c r="I583" s="17"/>
      <c r="J583" s="17"/>
      <c r="K583" s="16"/>
      <c r="L583" s="4">
        <v>0</v>
      </c>
      <c r="M583" s="4">
        <v>0</v>
      </c>
    </row>
    <row r="584" spans="1:13" hidden="1" x14ac:dyDescent="0.35">
      <c r="A584" s="65"/>
      <c r="B584" s="70"/>
      <c r="C584" s="70"/>
      <c r="D584" s="72"/>
      <c r="E584" s="3" t="s">
        <v>767</v>
      </c>
      <c r="F584" s="3" t="s">
        <v>768</v>
      </c>
      <c r="G584" s="3" t="s">
        <v>834</v>
      </c>
      <c r="H584" s="4">
        <v>180000</v>
      </c>
      <c r="I584" s="4">
        <v>231000</v>
      </c>
      <c r="J584" s="4">
        <v>189703.92</v>
      </c>
      <c r="K584" s="16"/>
      <c r="L584" s="17"/>
      <c r="M584" s="4">
        <v>41296.080000000002</v>
      </c>
    </row>
    <row r="585" spans="1:13" ht="21" hidden="1" x14ac:dyDescent="0.35">
      <c r="A585" s="65"/>
      <c r="B585" s="70"/>
      <c r="C585" s="70"/>
      <c r="D585" s="72"/>
      <c r="E585" s="3" t="s">
        <v>770</v>
      </c>
      <c r="F585" s="3" t="s">
        <v>771</v>
      </c>
      <c r="G585" s="3" t="s">
        <v>835</v>
      </c>
      <c r="H585" s="4">
        <v>105000</v>
      </c>
      <c r="I585" s="4">
        <v>30556</v>
      </c>
      <c r="J585" s="4">
        <v>9985.2000000000007</v>
      </c>
      <c r="K585" s="16"/>
      <c r="L585" s="17"/>
      <c r="M585" s="4">
        <v>20570.8</v>
      </c>
    </row>
    <row r="586" spans="1:13" hidden="1" x14ac:dyDescent="0.35">
      <c r="A586" s="65"/>
      <c r="B586" s="70"/>
      <c r="C586" s="70"/>
      <c r="D586" s="72"/>
      <c r="E586" s="3" t="s">
        <v>686</v>
      </c>
      <c r="F586" s="3" t="s">
        <v>687</v>
      </c>
      <c r="G586" s="3" t="s">
        <v>836</v>
      </c>
      <c r="H586" s="4">
        <v>312530</v>
      </c>
      <c r="I586" s="4">
        <v>196822</v>
      </c>
      <c r="J586" s="4">
        <v>122131.96</v>
      </c>
      <c r="K586" s="5">
        <v>2556.4</v>
      </c>
      <c r="L586" s="4">
        <v>13887.72</v>
      </c>
      <c r="M586" s="4">
        <v>58245.919999999998</v>
      </c>
    </row>
    <row r="587" spans="1:13" hidden="1" x14ac:dyDescent="0.35">
      <c r="A587" s="65"/>
      <c r="B587" s="70"/>
      <c r="C587" s="70"/>
      <c r="D587" s="72"/>
      <c r="E587" s="3" t="s">
        <v>698</v>
      </c>
      <c r="F587" s="3" t="s">
        <v>699</v>
      </c>
      <c r="G587" s="3" t="s">
        <v>837</v>
      </c>
      <c r="H587" s="4">
        <v>0</v>
      </c>
      <c r="I587" s="4">
        <v>5000</v>
      </c>
      <c r="J587" s="4">
        <v>4487.99</v>
      </c>
      <c r="K587" s="16"/>
      <c r="L587" s="17"/>
      <c r="M587" s="4">
        <v>512.00999999999897</v>
      </c>
    </row>
    <row r="588" spans="1:13" hidden="1" x14ac:dyDescent="0.35">
      <c r="A588" s="65"/>
      <c r="B588" s="70"/>
      <c r="C588" s="70"/>
      <c r="D588" s="72"/>
      <c r="E588" s="3" t="s">
        <v>782</v>
      </c>
      <c r="F588" s="3" t="s">
        <v>783</v>
      </c>
      <c r="G588" s="3" t="s">
        <v>838</v>
      </c>
      <c r="H588" s="4">
        <v>5615</v>
      </c>
      <c r="I588" s="4">
        <v>55615</v>
      </c>
      <c r="J588" s="4">
        <v>40210.25</v>
      </c>
      <c r="K588" s="16"/>
      <c r="L588" s="17"/>
      <c r="M588" s="4">
        <v>12002.57</v>
      </c>
    </row>
    <row r="589" spans="1:13" hidden="1" x14ac:dyDescent="0.35">
      <c r="A589" s="65"/>
      <c r="B589" s="70"/>
      <c r="C589" s="70"/>
      <c r="D589" s="72"/>
      <c r="E589" s="3" t="s">
        <v>785</v>
      </c>
      <c r="F589" s="3" t="s">
        <v>786</v>
      </c>
      <c r="G589" s="3" t="s">
        <v>839</v>
      </c>
      <c r="H589" s="4">
        <v>32000</v>
      </c>
      <c r="I589" s="4">
        <v>83000</v>
      </c>
      <c r="J589" s="4">
        <v>53810.68</v>
      </c>
      <c r="K589" s="16"/>
      <c r="L589" s="4">
        <v>0</v>
      </c>
      <c r="M589" s="4">
        <v>29189.32</v>
      </c>
    </row>
    <row r="590" spans="1:13" ht="21" hidden="1" x14ac:dyDescent="0.35">
      <c r="A590" s="65"/>
      <c r="B590" s="70"/>
      <c r="C590" s="71"/>
      <c r="D590" s="73"/>
      <c r="E590" s="3" t="s">
        <v>799</v>
      </c>
      <c r="F590" s="3" t="s">
        <v>800</v>
      </c>
      <c r="G590" s="3" t="s">
        <v>840</v>
      </c>
      <c r="H590" s="4">
        <v>0</v>
      </c>
      <c r="I590" s="4">
        <v>16527</v>
      </c>
      <c r="J590" s="17"/>
      <c r="K590" s="5">
        <v>0</v>
      </c>
      <c r="L590" s="4">
        <v>15740</v>
      </c>
      <c r="M590" s="4">
        <v>787</v>
      </c>
    </row>
    <row r="591" spans="1:13" hidden="1" x14ac:dyDescent="0.35">
      <c r="A591" s="65"/>
      <c r="B591" s="70"/>
      <c r="C591" s="70" t="s">
        <v>197</v>
      </c>
      <c r="D591" s="72" t="s">
        <v>198</v>
      </c>
      <c r="E591" s="3" t="s">
        <v>767</v>
      </c>
      <c r="F591" s="3" t="s">
        <v>768</v>
      </c>
      <c r="G591" s="3" t="s">
        <v>841</v>
      </c>
      <c r="H591" s="4">
        <v>25000</v>
      </c>
      <c r="I591" s="4">
        <v>25000</v>
      </c>
      <c r="J591" s="4">
        <v>25000</v>
      </c>
      <c r="K591" s="16"/>
      <c r="L591" s="17"/>
      <c r="M591" s="4">
        <v>0</v>
      </c>
    </row>
    <row r="592" spans="1:13" ht="21" hidden="1" x14ac:dyDescent="0.35">
      <c r="A592" s="65"/>
      <c r="B592" s="70"/>
      <c r="C592" s="70"/>
      <c r="D592" s="72"/>
      <c r="E592" s="3" t="s">
        <v>770</v>
      </c>
      <c r="F592" s="3" t="s">
        <v>771</v>
      </c>
      <c r="G592" s="3" t="s">
        <v>842</v>
      </c>
      <c r="H592" s="4">
        <v>75000</v>
      </c>
      <c r="I592" s="4">
        <v>-3762</v>
      </c>
      <c r="J592" s="4">
        <v>-3762.15</v>
      </c>
      <c r="K592" s="16"/>
      <c r="L592" s="17"/>
      <c r="M592" s="4">
        <v>0.150000000000091</v>
      </c>
    </row>
    <row r="593" spans="1:13" hidden="1" x14ac:dyDescent="0.35">
      <c r="A593" s="65"/>
      <c r="B593" s="70"/>
      <c r="C593" s="70"/>
      <c r="D593" s="72"/>
      <c r="E593" s="3" t="s">
        <v>686</v>
      </c>
      <c r="F593" s="3" t="s">
        <v>687</v>
      </c>
      <c r="G593" s="3" t="s">
        <v>843</v>
      </c>
      <c r="H593" s="4">
        <v>149370</v>
      </c>
      <c r="I593" s="4">
        <v>134370</v>
      </c>
      <c r="J593" s="4">
        <v>134361.95000000001</v>
      </c>
      <c r="K593" s="5">
        <v>0</v>
      </c>
      <c r="L593" s="4">
        <v>0</v>
      </c>
      <c r="M593" s="4">
        <v>8.0500000000174605</v>
      </c>
    </row>
    <row r="594" spans="1:13" hidden="1" x14ac:dyDescent="0.35">
      <c r="A594" s="65"/>
      <c r="B594" s="70"/>
      <c r="C594" s="70"/>
      <c r="D594" s="72"/>
      <c r="E594" s="3" t="s">
        <v>782</v>
      </c>
      <c r="F594" s="3" t="s">
        <v>783</v>
      </c>
      <c r="G594" s="3" t="s">
        <v>844</v>
      </c>
      <c r="H594" s="4">
        <v>51520</v>
      </c>
      <c r="I594" s="4">
        <v>43693</v>
      </c>
      <c r="J594" s="4">
        <v>22479.86</v>
      </c>
      <c r="K594" s="16"/>
      <c r="L594" s="17"/>
      <c r="M594" s="4">
        <v>21213.14</v>
      </c>
    </row>
    <row r="595" spans="1:13" hidden="1" x14ac:dyDescent="0.35">
      <c r="A595" s="65"/>
      <c r="B595" s="70"/>
      <c r="C595" s="70"/>
      <c r="D595" s="72"/>
      <c r="E595" s="3" t="s">
        <v>785</v>
      </c>
      <c r="F595" s="3" t="s">
        <v>786</v>
      </c>
      <c r="G595" s="3" t="s">
        <v>845</v>
      </c>
      <c r="H595" s="4">
        <v>60000</v>
      </c>
      <c r="I595" s="4">
        <v>104762</v>
      </c>
      <c r="J595" s="4">
        <v>59090.15</v>
      </c>
      <c r="K595" s="5">
        <v>0</v>
      </c>
      <c r="L595" s="4">
        <v>41100</v>
      </c>
      <c r="M595" s="4">
        <v>4571.8499999999904</v>
      </c>
    </row>
    <row r="596" spans="1:13" hidden="1" x14ac:dyDescent="0.35">
      <c r="A596" s="65"/>
      <c r="B596" s="70"/>
      <c r="C596" s="70"/>
      <c r="D596" s="72"/>
      <c r="E596" s="3" t="s">
        <v>707</v>
      </c>
      <c r="F596" s="3" t="s">
        <v>708</v>
      </c>
      <c r="G596" s="3" t="s">
        <v>846</v>
      </c>
      <c r="H596" s="4">
        <v>0</v>
      </c>
      <c r="I596" s="4">
        <v>0</v>
      </c>
      <c r="J596" s="17"/>
      <c r="K596" s="16"/>
      <c r="L596" s="17"/>
      <c r="M596" s="4">
        <v>0</v>
      </c>
    </row>
    <row r="597" spans="1:13" ht="21" hidden="1" x14ac:dyDescent="0.35">
      <c r="A597" s="65"/>
      <c r="B597" s="70"/>
      <c r="C597" s="71"/>
      <c r="D597" s="73"/>
      <c r="E597" s="3" t="s">
        <v>799</v>
      </c>
      <c r="F597" s="3" t="s">
        <v>800</v>
      </c>
      <c r="G597" s="3" t="s">
        <v>847</v>
      </c>
      <c r="H597" s="4">
        <v>13858</v>
      </c>
      <c r="I597" s="4">
        <v>13858</v>
      </c>
      <c r="J597" s="4">
        <v>11192.69</v>
      </c>
      <c r="K597" s="5">
        <v>0</v>
      </c>
      <c r="L597" s="4">
        <v>0</v>
      </c>
      <c r="M597" s="4">
        <v>2665.31</v>
      </c>
    </row>
    <row r="598" spans="1:13" hidden="1" x14ac:dyDescent="0.35">
      <c r="A598" s="65"/>
      <c r="B598" s="70"/>
      <c r="C598" s="70" t="s">
        <v>209</v>
      </c>
      <c r="D598" s="72" t="s">
        <v>210</v>
      </c>
      <c r="E598" s="3" t="s">
        <v>767</v>
      </c>
      <c r="F598" s="3" t="s">
        <v>768</v>
      </c>
      <c r="G598" s="3" t="s">
        <v>848</v>
      </c>
      <c r="H598" s="4">
        <v>300000</v>
      </c>
      <c r="I598" s="4">
        <v>278950</v>
      </c>
      <c r="J598" s="4">
        <v>277010.89</v>
      </c>
      <c r="K598" s="16"/>
      <c r="L598" s="17"/>
      <c r="M598" s="4">
        <v>1939.1100000000499</v>
      </c>
    </row>
    <row r="599" spans="1:13" ht="21" hidden="1" x14ac:dyDescent="0.35">
      <c r="A599" s="65"/>
      <c r="B599" s="70"/>
      <c r="C599" s="70"/>
      <c r="D599" s="72"/>
      <c r="E599" s="3" t="s">
        <v>770</v>
      </c>
      <c r="F599" s="3" t="s">
        <v>771</v>
      </c>
      <c r="G599" s="3" t="s">
        <v>849</v>
      </c>
      <c r="H599" s="4">
        <v>52050</v>
      </c>
      <c r="I599" s="4">
        <v>26500</v>
      </c>
      <c r="J599" s="4">
        <v>18612.78</v>
      </c>
      <c r="K599" s="16"/>
      <c r="L599" s="17"/>
      <c r="M599" s="4">
        <v>7887.22</v>
      </c>
    </row>
    <row r="600" spans="1:13" hidden="1" x14ac:dyDescent="0.35">
      <c r="A600" s="65"/>
      <c r="B600" s="70"/>
      <c r="C600" s="70"/>
      <c r="D600" s="72"/>
      <c r="E600" s="3" t="s">
        <v>686</v>
      </c>
      <c r="F600" s="3" t="s">
        <v>687</v>
      </c>
      <c r="G600" s="3" t="s">
        <v>850</v>
      </c>
      <c r="H600" s="4">
        <v>209338</v>
      </c>
      <c r="I600" s="4">
        <v>167338</v>
      </c>
      <c r="J600" s="4">
        <v>151956</v>
      </c>
      <c r="K600" s="5">
        <v>0</v>
      </c>
      <c r="L600" s="4">
        <v>15301</v>
      </c>
      <c r="M600" s="4">
        <v>81</v>
      </c>
    </row>
    <row r="601" spans="1:13" hidden="1" x14ac:dyDescent="0.35">
      <c r="A601" s="65"/>
      <c r="B601" s="70"/>
      <c r="C601" s="70"/>
      <c r="D601" s="72"/>
      <c r="E601" s="3" t="s">
        <v>776</v>
      </c>
      <c r="F601" s="3" t="s">
        <v>777</v>
      </c>
      <c r="G601" s="3" t="s">
        <v>851</v>
      </c>
      <c r="H601" s="4">
        <v>0</v>
      </c>
      <c r="I601" s="4">
        <v>66189</v>
      </c>
      <c r="J601" s="4">
        <v>46189.01</v>
      </c>
      <c r="K601" s="5">
        <v>0</v>
      </c>
      <c r="L601" s="4">
        <v>18630</v>
      </c>
      <c r="M601" s="4">
        <v>1369.99</v>
      </c>
    </row>
    <row r="602" spans="1:13" hidden="1" x14ac:dyDescent="0.35">
      <c r="A602" s="65"/>
      <c r="B602" s="70"/>
      <c r="C602" s="70"/>
      <c r="D602" s="72"/>
      <c r="E602" s="3" t="s">
        <v>782</v>
      </c>
      <c r="F602" s="3" t="s">
        <v>783</v>
      </c>
      <c r="G602" s="3" t="s">
        <v>852</v>
      </c>
      <c r="H602" s="4">
        <v>47150</v>
      </c>
      <c r="I602" s="4">
        <v>104750</v>
      </c>
      <c r="J602" s="4">
        <v>98140.64</v>
      </c>
      <c r="K602" s="5">
        <v>4656</v>
      </c>
      <c r="L602" s="4">
        <v>0</v>
      </c>
      <c r="M602" s="4">
        <v>1953.36</v>
      </c>
    </row>
    <row r="603" spans="1:13" hidden="1" x14ac:dyDescent="0.35">
      <c r="A603" s="65"/>
      <c r="B603" s="70"/>
      <c r="C603" s="71"/>
      <c r="D603" s="73"/>
      <c r="E603" s="3" t="s">
        <v>785</v>
      </c>
      <c r="F603" s="3" t="s">
        <v>786</v>
      </c>
      <c r="G603" s="3" t="s">
        <v>853</v>
      </c>
      <c r="H603" s="4">
        <v>220000</v>
      </c>
      <c r="I603" s="4">
        <v>153811</v>
      </c>
      <c r="J603" s="4">
        <v>33900.959999999999</v>
      </c>
      <c r="K603" s="5">
        <v>7738.5</v>
      </c>
      <c r="L603" s="4">
        <v>110325.56</v>
      </c>
      <c r="M603" s="4">
        <v>1845.98</v>
      </c>
    </row>
    <row r="604" spans="1:13" ht="31.5" hidden="1" x14ac:dyDescent="0.35">
      <c r="A604" s="65"/>
      <c r="B604" s="70"/>
      <c r="C604" s="70" t="s">
        <v>221</v>
      </c>
      <c r="D604" s="72" t="s">
        <v>222</v>
      </c>
      <c r="E604" s="3" t="s">
        <v>680</v>
      </c>
      <c r="F604" s="3" t="s">
        <v>681</v>
      </c>
      <c r="G604" s="3" t="s">
        <v>854</v>
      </c>
      <c r="H604" s="4">
        <v>0</v>
      </c>
      <c r="I604" s="4">
        <v>65000</v>
      </c>
      <c r="J604" s="4">
        <v>65000</v>
      </c>
      <c r="K604" s="16"/>
      <c r="L604" s="17"/>
      <c r="M604" s="4">
        <v>0</v>
      </c>
    </row>
    <row r="605" spans="1:13" hidden="1" x14ac:dyDescent="0.35">
      <c r="A605" s="65"/>
      <c r="B605" s="70"/>
      <c r="C605" s="70"/>
      <c r="D605" s="72"/>
      <c r="E605" s="67" t="s">
        <v>770</v>
      </c>
      <c r="F605" s="67" t="s">
        <v>771</v>
      </c>
      <c r="G605" s="3" t="s">
        <v>855</v>
      </c>
      <c r="H605" s="17"/>
      <c r="I605" s="17"/>
      <c r="J605" s="17"/>
      <c r="K605" s="16"/>
      <c r="L605" s="4">
        <v>0</v>
      </c>
      <c r="M605" s="4">
        <v>0</v>
      </c>
    </row>
    <row r="606" spans="1:13" hidden="1" x14ac:dyDescent="0.35">
      <c r="A606" s="65"/>
      <c r="B606" s="70"/>
      <c r="C606" s="70"/>
      <c r="D606" s="72"/>
      <c r="E606" s="68"/>
      <c r="F606" s="68"/>
      <c r="G606" s="3" t="s">
        <v>856</v>
      </c>
      <c r="H606" s="4">
        <v>84399</v>
      </c>
      <c r="I606" s="4">
        <v>22799</v>
      </c>
      <c r="J606" s="4">
        <v>20865</v>
      </c>
      <c r="K606" s="16"/>
      <c r="L606" s="17"/>
      <c r="M606" s="4">
        <v>1934</v>
      </c>
    </row>
    <row r="607" spans="1:13" hidden="1" x14ac:dyDescent="0.35">
      <c r="A607" s="65"/>
      <c r="B607" s="70"/>
      <c r="C607" s="70"/>
      <c r="D607" s="72"/>
      <c r="E607" s="67" t="s">
        <v>686</v>
      </c>
      <c r="F607" s="67" t="s">
        <v>687</v>
      </c>
      <c r="G607" s="3" t="s">
        <v>857</v>
      </c>
      <c r="H607" s="17"/>
      <c r="I607" s="17"/>
      <c r="J607" s="4">
        <v>-3784.96</v>
      </c>
      <c r="K607" s="16"/>
      <c r="L607" s="4">
        <v>3784.96</v>
      </c>
      <c r="M607" s="4">
        <v>0</v>
      </c>
    </row>
    <row r="608" spans="1:13" hidden="1" x14ac:dyDescent="0.35">
      <c r="A608" s="65"/>
      <c r="B608" s="70"/>
      <c r="C608" s="70"/>
      <c r="D608" s="72"/>
      <c r="E608" s="68"/>
      <c r="F608" s="68"/>
      <c r="G608" s="3" t="s">
        <v>858</v>
      </c>
      <c r="H608" s="17"/>
      <c r="I608" s="17"/>
      <c r="J608" s="4">
        <v>-39995.730000000003</v>
      </c>
      <c r="K608" s="16"/>
      <c r="L608" s="4">
        <v>0</v>
      </c>
      <c r="M608" s="4">
        <v>39995.730000000003</v>
      </c>
    </row>
    <row r="609" spans="1:13" ht="21" hidden="1" x14ac:dyDescent="0.35">
      <c r="A609" s="66"/>
      <c r="B609" s="70"/>
      <c r="C609" s="71"/>
      <c r="D609" s="73"/>
      <c r="E609" s="3" t="s">
        <v>695</v>
      </c>
      <c r="F609" s="3" t="s">
        <v>696</v>
      </c>
      <c r="G609" s="3" t="s">
        <v>859</v>
      </c>
      <c r="H609" s="4">
        <v>11500</v>
      </c>
      <c r="I609" s="4">
        <v>11500</v>
      </c>
      <c r="J609" s="4">
        <v>3907.76</v>
      </c>
      <c r="K609" s="16"/>
      <c r="L609" s="17"/>
      <c r="M609" s="4">
        <v>7592.24</v>
      </c>
    </row>
    <row r="610" spans="1:13" hidden="1" x14ac:dyDescent="0.35">
      <c r="A610" s="65" t="s">
        <v>11</v>
      </c>
      <c r="B610" s="74" t="s">
        <v>11</v>
      </c>
      <c r="C610" s="75" t="s">
        <v>11</v>
      </c>
      <c r="D610" s="77" t="s">
        <v>11</v>
      </c>
      <c r="E610" s="3" t="s">
        <v>782</v>
      </c>
      <c r="F610" s="3" t="s">
        <v>783</v>
      </c>
      <c r="G610" s="3" t="s">
        <v>860</v>
      </c>
      <c r="H610" s="4">
        <v>894</v>
      </c>
      <c r="I610" s="4">
        <v>17494</v>
      </c>
      <c r="J610" s="4">
        <v>17035.740000000002</v>
      </c>
      <c r="K610" s="16"/>
      <c r="L610" s="17"/>
      <c r="M610" s="4">
        <v>458.259999999998</v>
      </c>
    </row>
    <row r="611" spans="1:13" hidden="1" x14ac:dyDescent="0.35">
      <c r="A611" s="65"/>
      <c r="B611" s="75"/>
      <c r="C611" s="75"/>
      <c r="D611" s="77"/>
      <c r="E611" s="3" t="s">
        <v>785</v>
      </c>
      <c r="F611" s="3" t="s">
        <v>786</v>
      </c>
      <c r="G611" s="3" t="s">
        <v>861</v>
      </c>
      <c r="H611" s="4">
        <v>72968</v>
      </c>
      <c r="I611" s="4">
        <v>52968</v>
      </c>
      <c r="J611" s="4">
        <v>49568.5</v>
      </c>
      <c r="K611" s="5">
        <v>-3577.35</v>
      </c>
      <c r="L611" s="4">
        <v>3407</v>
      </c>
      <c r="M611" s="4">
        <v>3569.85</v>
      </c>
    </row>
    <row r="612" spans="1:13" hidden="1" x14ac:dyDescent="0.35">
      <c r="A612" s="65"/>
      <c r="B612" s="75"/>
      <c r="C612" s="76"/>
      <c r="D612" s="78"/>
      <c r="E612" s="3" t="s">
        <v>707</v>
      </c>
      <c r="F612" s="3" t="s">
        <v>708</v>
      </c>
      <c r="G612" s="3" t="s">
        <v>862</v>
      </c>
      <c r="H612" s="4">
        <v>4471</v>
      </c>
      <c r="I612" s="4">
        <v>4471</v>
      </c>
      <c r="J612" s="17"/>
      <c r="K612" s="16"/>
      <c r="L612" s="17"/>
      <c r="M612" s="4">
        <v>4471</v>
      </c>
    </row>
    <row r="613" spans="1:13" ht="31.5" hidden="1" x14ac:dyDescent="0.35">
      <c r="A613" s="65"/>
      <c r="B613" s="75"/>
      <c r="C613" s="70" t="s">
        <v>232</v>
      </c>
      <c r="D613" s="72" t="s">
        <v>233</v>
      </c>
      <c r="E613" s="3" t="s">
        <v>680</v>
      </c>
      <c r="F613" s="3" t="s">
        <v>681</v>
      </c>
      <c r="G613" s="3" t="s">
        <v>863</v>
      </c>
      <c r="H613" s="4">
        <v>8528</v>
      </c>
      <c r="I613" s="4">
        <v>2680</v>
      </c>
      <c r="J613" s="4">
        <v>2679.4</v>
      </c>
      <c r="K613" s="16"/>
      <c r="L613" s="17"/>
      <c r="M613" s="4">
        <v>0.59999999999990905</v>
      </c>
    </row>
    <row r="614" spans="1:13" hidden="1" x14ac:dyDescent="0.35">
      <c r="A614" s="65"/>
      <c r="B614" s="75"/>
      <c r="C614" s="70"/>
      <c r="D614" s="72"/>
      <c r="E614" s="3" t="s">
        <v>767</v>
      </c>
      <c r="F614" s="3" t="s">
        <v>768</v>
      </c>
      <c r="G614" s="3" t="s">
        <v>864</v>
      </c>
      <c r="H614" s="4">
        <v>0</v>
      </c>
      <c r="I614" s="4">
        <v>0</v>
      </c>
      <c r="J614" s="17"/>
      <c r="K614" s="16"/>
      <c r="L614" s="17"/>
      <c r="M614" s="4">
        <v>0</v>
      </c>
    </row>
    <row r="615" spans="1:13" ht="21" hidden="1" x14ac:dyDescent="0.35">
      <c r="A615" s="65"/>
      <c r="B615" s="75"/>
      <c r="C615" s="70"/>
      <c r="D615" s="72"/>
      <c r="E615" s="3" t="s">
        <v>770</v>
      </c>
      <c r="F615" s="3" t="s">
        <v>771</v>
      </c>
      <c r="G615" s="3" t="s">
        <v>865</v>
      </c>
      <c r="H615" s="4">
        <v>45000</v>
      </c>
      <c r="I615" s="4">
        <v>30948</v>
      </c>
      <c r="J615" s="4">
        <v>29232.02</v>
      </c>
      <c r="K615" s="16"/>
      <c r="L615" s="17"/>
      <c r="M615" s="4">
        <v>1715.98</v>
      </c>
    </row>
    <row r="616" spans="1:13" hidden="1" x14ac:dyDescent="0.35">
      <c r="A616" s="65"/>
      <c r="B616" s="75"/>
      <c r="C616" s="70"/>
      <c r="D616" s="72"/>
      <c r="E616" s="3" t="s">
        <v>686</v>
      </c>
      <c r="F616" s="3" t="s">
        <v>687</v>
      </c>
      <c r="G616" s="3" t="s">
        <v>866</v>
      </c>
      <c r="H616" s="4">
        <v>37839</v>
      </c>
      <c r="I616" s="4">
        <v>114039</v>
      </c>
      <c r="J616" s="4">
        <v>49700.72</v>
      </c>
      <c r="K616" s="5">
        <v>0</v>
      </c>
      <c r="L616" s="4">
        <v>61238.09</v>
      </c>
      <c r="M616" s="4">
        <v>3100.19</v>
      </c>
    </row>
    <row r="617" spans="1:13" hidden="1" x14ac:dyDescent="0.35">
      <c r="A617" s="65"/>
      <c r="B617" s="75"/>
      <c r="C617" s="70"/>
      <c r="D617" s="72"/>
      <c r="E617" s="3" t="s">
        <v>776</v>
      </c>
      <c r="F617" s="3" t="s">
        <v>777</v>
      </c>
      <c r="G617" s="3" t="s">
        <v>867</v>
      </c>
      <c r="H617" s="4">
        <v>294035</v>
      </c>
      <c r="I617" s="4">
        <v>400537</v>
      </c>
      <c r="J617" s="4">
        <v>63100</v>
      </c>
      <c r="K617" s="5">
        <v>112013.11</v>
      </c>
      <c r="L617" s="4">
        <v>225415.79</v>
      </c>
      <c r="M617" s="4">
        <v>8.0999999999767205</v>
      </c>
    </row>
    <row r="618" spans="1:13" hidden="1" x14ac:dyDescent="0.35">
      <c r="A618" s="65"/>
      <c r="B618" s="75"/>
      <c r="C618" s="70"/>
      <c r="D618" s="72"/>
      <c r="E618" s="3" t="s">
        <v>868</v>
      </c>
      <c r="F618" s="3" t="s">
        <v>869</v>
      </c>
      <c r="G618" s="3" t="s">
        <v>870</v>
      </c>
      <c r="H618" s="4">
        <v>300000</v>
      </c>
      <c r="I618" s="4">
        <v>0</v>
      </c>
      <c r="J618" s="17"/>
      <c r="K618" s="16"/>
      <c r="L618" s="17"/>
      <c r="M618" s="4">
        <v>0</v>
      </c>
    </row>
    <row r="619" spans="1:13" hidden="1" x14ac:dyDescent="0.35">
      <c r="A619" s="65"/>
      <c r="B619" s="75"/>
      <c r="C619" s="70"/>
      <c r="D619" s="72"/>
      <c r="E619" s="3" t="s">
        <v>782</v>
      </c>
      <c r="F619" s="3" t="s">
        <v>783</v>
      </c>
      <c r="G619" s="3" t="s">
        <v>871</v>
      </c>
      <c r="H619" s="4">
        <v>5000</v>
      </c>
      <c r="I619" s="4">
        <v>37488</v>
      </c>
      <c r="J619" s="4">
        <v>23756.62</v>
      </c>
      <c r="K619" s="16"/>
      <c r="L619" s="17"/>
      <c r="M619" s="4">
        <v>13731.38</v>
      </c>
    </row>
    <row r="620" spans="1:13" hidden="1" x14ac:dyDescent="0.35">
      <c r="A620" s="65"/>
      <c r="B620" s="75"/>
      <c r="C620" s="70"/>
      <c r="D620" s="72"/>
      <c r="E620" s="3" t="s">
        <v>785</v>
      </c>
      <c r="F620" s="3" t="s">
        <v>786</v>
      </c>
      <c r="G620" s="3" t="s">
        <v>872</v>
      </c>
      <c r="H620" s="4">
        <v>20250</v>
      </c>
      <c r="I620" s="4">
        <v>29960</v>
      </c>
      <c r="J620" s="4">
        <v>29959.5</v>
      </c>
      <c r="K620" s="16"/>
      <c r="L620" s="17"/>
      <c r="M620" s="4">
        <v>0.5</v>
      </c>
    </row>
    <row r="621" spans="1:13" hidden="1" x14ac:dyDescent="0.35">
      <c r="A621" s="65"/>
      <c r="B621" s="75"/>
      <c r="C621" s="71"/>
      <c r="D621" s="73"/>
      <c r="E621" s="3" t="s">
        <v>707</v>
      </c>
      <c r="F621" s="3" t="s">
        <v>708</v>
      </c>
      <c r="G621" s="3" t="s">
        <v>873</v>
      </c>
      <c r="H621" s="4">
        <v>5000</v>
      </c>
      <c r="I621" s="4">
        <v>0</v>
      </c>
      <c r="J621" s="17"/>
      <c r="K621" s="16"/>
      <c r="L621" s="17"/>
      <c r="M621" s="4">
        <v>0</v>
      </c>
    </row>
    <row r="622" spans="1:13" ht="21" hidden="1" x14ac:dyDescent="0.35">
      <c r="A622" s="65"/>
      <c r="B622" s="75"/>
      <c r="C622" s="70" t="s">
        <v>243</v>
      </c>
      <c r="D622" s="72" t="s">
        <v>244</v>
      </c>
      <c r="E622" s="3" t="s">
        <v>677</v>
      </c>
      <c r="F622" s="3" t="s">
        <v>678</v>
      </c>
      <c r="G622" s="3" t="s">
        <v>874</v>
      </c>
      <c r="H622" s="4">
        <v>368363</v>
      </c>
      <c r="I622" s="4">
        <v>263047</v>
      </c>
      <c r="J622" s="4">
        <v>99700</v>
      </c>
      <c r="K622" s="5">
        <v>0</v>
      </c>
      <c r="L622" s="17"/>
      <c r="M622" s="4">
        <v>163347</v>
      </c>
    </row>
    <row r="623" spans="1:13" hidden="1" x14ac:dyDescent="0.35">
      <c r="A623" s="65"/>
      <c r="B623" s="75"/>
      <c r="C623" s="70"/>
      <c r="D623" s="72"/>
      <c r="E623" s="3" t="s">
        <v>717</v>
      </c>
      <c r="F623" s="3" t="s">
        <v>718</v>
      </c>
      <c r="G623" s="3" t="s">
        <v>875</v>
      </c>
      <c r="H623" s="4">
        <v>1</v>
      </c>
      <c r="I623" s="4">
        <v>1</v>
      </c>
      <c r="J623" s="17"/>
      <c r="K623" s="16"/>
      <c r="L623" s="17"/>
      <c r="M623" s="4">
        <v>1</v>
      </c>
    </row>
    <row r="624" spans="1:13" ht="31.5" hidden="1" x14ac:dyDescent="0.35">
      <c r="A624" s="65"/>
      <c r="B624" s="75"/>
      <c r="C624" s="70"/>
      <c r="D624" s="72"/>
      <c r="E624" s="3" t="s">
        <v>680</v>
      </c>
      <c r="F624" s="3" t="s">
        <v>681</v>
      </c>
      <c r="G624" s="3" t="s">
        <v>876</v>
      </c>
      <c r="H624" s="4">
        <v>5000</v>
      </c>
      <c r="I624" s="4">
        <v>7000</v>
      </c>
      <c r="J624" s="17"/>
      <c r="K624" s="16"/>
      <c r="L624" s="17"/>
      <c r="M624" s="4">
        <v>7000</v>
      </c>
    </row>
    <row r="625" spans="1:13" hidden="1" x14ac:dyDescent="0.35">
      <c r="A625" s="65"/>
      <c r="B625" s="75"/>
      <c r="C625" s="70"/>
      <c r="D625" s="72"/>
      <c r="E625" s="67" t="s">
        <v>770</v>
      </c>
      <c r="F625" s="67" t="s">
        <v>771</v>
      </c>
      <c r="G625" s="3" t="s">
        <v>877</v>
      </c>
      <c r="H625" s="17"/>
      <c r="I625" s="17"/>
      <c r="J625" s="17"/>
      <c r="K625" s="16"/>
      <c r="L625" s="4">
        <v>0</v>
      </c>
      <c r="M625" s="4">
        <v>0</v>
      </c>
    </row>
    <row r="626" spans="1:13" hidden="1" x14ac:dyDescent="0.35">
      <c r="A626" s="65"/>
      <c r="B626" s="75"/>
      <c r="C626" s="70"/>
      <c r="D626" s="72"/>
      <c r="E626" s="68"/>
      <c r="F626" s="68"/>
      <c r="G626" s="3" t="s">
        <v>878</v>
      </c>
      <c r="H626" s="4">
        <v>50000</v>
      </c>
      <c r="I626" s="4">
        <v>4000</v>
      </c>
      <c r="J626" s="17"/>
      <c r="K626" s="16"/>
      <c r="L626" s="17"/>
      <c r="M626" s="4">
        <v>4000</v>
      </c>
    </row>
    <row r="627" spans="1:13" hidden="1" x14ac:dyDescent="0.35">
      <c r="A627" s="65"/>
      <c r="B627" s="75"/>
      <c r="C627" s="70"/>
      <c r="D627" s="72"/>
      <c r="E627" s="3" t="s">
        <v>686</v>
      </c>
      <c r="F627" s="3" t="s">
        <v>687</v>
      </c>
      <c r="G627" s="3" t="s">
        <v>879</v>
      </c>
      <c r="H627" s="17"/>
      <c r="I627" s="17"/>
      <c r="J627" s="4">
        <v>0</v>
      </c>
      <c r="K627" s="16"/>
      <c r="L627" s="17"/>
      <c r="M627" s="4">
        <v>0</v>
      </c>
    </row>
    <row r="628" spans="1:13" ht="21" hidden="1" x14ac:dyDescent="0.35">
      <c r="A628" s="65"/>
      <c r="B628" s="75"/>
      <c r="C628" s="70"/>
      <c r="D628" s="72"/>
      <c r="E628" s="3" t="s">
        <v>689</v>
      </c>
      <c r="F628" s="3" t="s">
        <v>690</v>
      </c>
      <c r="G628" s="3" t="s">
        <v>880</v>
      </c>
      <c r="H628" s="4">
        <v>11638</v>
      </c>
      <c r="I628" s="4">
        <v>15217</v>
      </c>
      <c r="J628" s="4">
        <v>12539.46</v>
      </c>
      <c r="K628" s="16"/>
      <c r="L628" s="17"/>
      <c r="M628" s="4">
        <v>2677.54</v>
      </c>
    </row>
    <row r="629" spans="1:13" hidden="1" x14ac:dyDescent="0.35">
      <c r="A629" s="65"/>
      <c r="B629" s="75"/>
      <c r="C629" s="70"/>
      <c r="D629" s="72"/>
      <c r="E629" s="3" t="s">
        <v>776</v>
      </c>
      <c r="F629" s="3" t="s">
        <v>777</v>
      </c>
      <c r="G629" s="3" t="s">
        <v>881</v>
      </c>
      <c r="H629" s="4">
        <v>200000</v>
      </c>
      <c r="I629" s="4">
        <v>190000</v>
      </c>
      <c r="J629" s="4">
        <v>152176</v>
      </c>
      <c r="K629" s="5">
        <v>0</v>
      </c>
      <c r="L629" s="4">
        <v>0</v>
      </c>
      <c r="M629" s="4">
        <v>37824</v>
      </c>
    </row>
    <row r="630" spans="1:13" hidden="1" x14ac:dyDescent="0.35">
      <c r="A630" s="65"/>
      <c r="B630" s="75"/>
      <c r="C630" s="71"/>
      <c r="D630" s="73"/>
      <c r="E630" s="3" t="s">
        <v>782</v>
      </c>
      <c r="F630" s="3" t="s">
        <v>783</v>
      </c>
      <c r="G630" s="3" t="s">
        <v>882</v>
      </c>
      <c r="H630" s="4">
        <v>20000</v>
      </c>
      <c r="I630" s="4">
        <v>127666</v>
      </c>
      <c r="J630" s="4">
        <v>23946.58</v>
      </c>
      <c r="K630" s="16"/>
      <c r="L630" s="17"/>
      <c r="M630" s="4">
        <v>103719.42</v>
      </c>
    </row>
    <row r="631" spans="1:13" hidden="1" x14ac:dyDescent="0.35">
      <c r="A631" s="65"/>
      <c r="B631" s="75"/>
      <c r="C631" s="70" t="s">
        <v>883</v>
      </c>
      <c r="D631" s="72" t="s">
        <v>884</v>
      </c>
      <c r="E631" s="67" t="s">
        <v>770</v>
      </c>
      <c r="F631" s="67" t="s">
        <v>771</v>
      </c>
      <c r="G631" s="3" t="s">
        <v>885</v>
      </c>
      <c r="H631" s="17"/>
      <c r="I631" s="17"/>
      <c r="J631" s="17"/>
      <c r="K631" s="16"/>
      <c r="L631" s="4">
        <v>0</v>
      </c>
      <c r="M631" s="4">
        <v>0</v>
      </c>
    </row>
    <row r="632" spans="1:13" hidden="1" x14ac:dyDescent="0.35">
      <c r="A632" s="65"/>
      <c r="B632" s="75"/>
      <c r="C632" s="70"/>
      <c r="D632" s="72"/>
      <c r="E632" s="68"/>
      <c r="F632" s="68"/>
      <c r="G632" s="3" t="s">
        <v>886</v>
      </c>
      <c r="H632" s="4">
        <v>53000</v>
      </c>
      <c r="I632" s="4">
        <v>36000</v>
      </c>
      <c r="J632" s="4">
        <v>2513.17</v>
      </c>
      <c r="K632" s="16"/>
      <c r="L632" s="17"/>
      <c r="M632" s="4">
        <v>33486.83</v>
      </c>
    </row>
    <row r="633" spans="1:13" hidden="1" x14ac:dyDescent="0.35">
      <c r="A633" s="65"/>
      <c r="B633" s="75"/>
      <c r="C633" s="70"/>
      <c r="D633" s="72"/>
      <c r="E633" s="3" t="s">
        <v>686</v>
      </c>
      <c r="F633" s="3" t="s">
        <v>687</v>
      </c>
      <c r="G633" s="3" t="s">
        <v>887</v>
      </c>
      <c r="H633" s="4">
        <v>5357</v>
      </c>
      <c r="I633" s="4">
        <v>5357</v>
      </c>
      <c r="J633" s="17"/>
      <c r="K633" s="16"/>
      <c r="L633" s="17"/>
      <c r="M633" s="4">
        <v>5014.71</v>
      </c>
    </row>
    <row r="634" spans="1:13" hidden="1" x14ac:dyDescent="0.35">
      <c r="A634" s="65"/>
      <c r="B634" s="75"/>
      <c r="C634" s="71"/>
      <c r="D634" s="73"/>
      <c r="E634" s="3" t="s">
        <v>782</v>
      </c>
      <c r="F634" s="3" t="s">
        <v>783</v>
      </c>
      <c r="G634" s="3" t="s">
        <v>888</v>
      </c>
      <c r="H634" s="4">
        <v>0</v>
      </c>
      <c r="I634" s="4">
        <v>17000</v>
      </c>
      <c r="J634" s="4">
        <v>4800</v>
      </c>
      <c r="K634" s="16"/>
      <c r="L634" s="17"/>
      <c r="M634" s="4">
        <v>12200</v>
      </c>
    </row>
    <row r="635" spans="1:13" ht="31.5" hidden="1" x14ac:dyDescent="0.35">
      <c r="A635" s="65"/>
      <c r="B635" s="75"/>
      <c r="C635" s="70" t="s">
        <v>253</v>
      </c>
      <c r="D635" s="72" t="s">
        <v>254</v>
      </c>
      <c r="E635" s="3" t="s">
        <v>722</v>
      </c>
      <c r="F635" s="3" t="s">
        <v>723</v>
      </c>
      <c r="G635" s="3" t="s">
        <v>889</v>
      </c>
      <c r="H635" s="4">
        <v>0</v>
      </c>
      <c r="I635" s="4">
        <v>3000</v>
      </c>
      <c r="J635" s="4">
        <v>917.91</v>
      </c>
      <c r="K635" s="16"/>
      <c r="L635" s="17"/>
      <c r="M635" s="4">
        <v>2082.09</v>
      </c>
    </row>
    <row r="636" spans="1:13" ht="21" hidden="1" x14ac:dyDescent="0.35">
      <c r="A636" s="65"/>
      <c r="B636" s="75"/>
      <c r="C636" s="70"/>
      <c r="D636" s="72"/>
      <c r="E636" s="3" t="s">
        <v>770</v>
      </c>
      <c r="F636" s="3" t="s">
        <v>771</v>
      </c>
      <c r="G636" s="3" t="s">
        <v>890</v>
      </c>
      <c r="H636" s="4">
        <v>151153</v>
      </c>
      <c r="I636" s="4">
        <v>42153</v>
      </c>
      <c r="J636" s="4">
        <v>6028.16</v>
      </c>
      <c r="K636" s="16"/>
      <c r="L636" s="17"/>
      <c r="M636" s="4">
        <v>36124.839999999997</v>
      </c>
    </row>
    <row r="637" spans="1:13" hidden="1" x14ac:dyDescent="0.35">
      <c r="A637" s="65"/>
      <c r="B637" s="75"/>
      <c r="C637" s="70"/>
      <c r="D637" s="72"/>
      <c r="E637" s="3" t="s">
        <v>683</v>
      </c>
      <c r="F637" s="3" t="s">
        <v>684</v>
      </c>
      <c r="G637" s="3" t="s">
        <v>891</v>
      </c>
      <c r="H637" s="17"/>
      <c r="I637" s="17"/>
      <c r="J637" s="4">
        <v>-1832.83</v>
      </c>
      <c r="K637" s="16"/>
      <c r="L637" s="17"/>
      <c r="M637" s="4">
        <v>1832.83</v>
      </c>
    </row>
    <row r="638" spans="1:13" hidden="1" x14ac:dyDescent="0.35">
      <c r="A638" s="65"/>
      <c r="B638" s="75"/>
      <c r="C638" s="70"/>
      <c r="D638" s="72"/>
      <c r="E638" s="3" t="s">
        <v>686</v>
      </c>
      <c r="F638" s="3" t="s">
        <v>687</v>
      </c>
      <c r="G638" s="3" t="s">
        <v>892</v>
      </c>
      <c r="H638" s="4">
        <v>29900</v>
      </c>
      <c r="I638" s="4">
        <v>35900</v>
      </c>
      <c r="J638" s="4">
        <v>35235.129999999997</v>
      </c>
      <c r="K638" s="5">
        <v>0</v>
      </c>
      <c r="L638" s="4">
        <v>0</v>
      </c>
      <c r="M638" s="4">
        <v>664.87000000000296</v>
      </c>
    </row>
    <row r="639" spans="1:13" hidden="1" x14ac:dyDescent="0.35">
      <c r="A639" s="65"/>
      <c r="B639" s="75"/>
      <c r="C639" s="70"/>
      <c r="D639" s="72"/>
      <c r="E639" s="3" t="s">
        <v>776</v>
      </c>
      <c r="F639" s="3" t="s">
        <v>777</v>
      </c>
      <c r="G639" s="3" t="s">
        <v>893</v>
      </c>
      <c r="H639" s="4">
        <v>120000</v>
      </c>
      <c r="I639" s="4">
        <v>120000</v>
      </c>
      <c r="J639" s="4">
        <v>6150</v>
      </c>
      <c r="K639" s="5">
        <v>0</v>
      </c>
      <c r="L639" s="4">
        <v>78157.460000000006</v>
      </c>
      <c r="M639" s="4">
        <v>35692.54</v>
      </c>
    </row>
    <row r="640" spans="1:13" hidden="1" x14ac:dyDescent="0.35">
      <c r="A640" s="65"/>
      <c r="B640" s="75"/>
      <c r="C640" s="70"/>
      <c r="D640" s="72"/>
      <c r="E640" s="3" t="s">
        <v>782</v>
      </c>
      <c r="F640" s="3" t="s">
        <v>783</v>
      </c>
      <c r="G640" s="3" t="s">
        <v>894</v>
      </c>
      <c r="H640" s="4">
        <v>37500</v>
      </c>
      <c r="I640" s="4">
        <v>37500</v>
      </c>
      <c r="J640" s="4">
        <v>15797.82</v>
      </c>
      <c r="K640" s="16"/>
      <c r="L640" s="17"/>
      <c r="M640" s="4">
        <v>21702.18</v>
      </c>
    </row>
    <row r="641" spans="1:13" hidden="1" x14ac:dyDescent="0.35">
      <c r="A641" s="65"/>
      <c r="B641" s="75"/>
      <c r="C641" s="71"/>
      <c r="D641" s="73"/>
      <c r="E641" s="3" t="s">
        <v>785</v>
      </c>
      <c r="F641" s="3" t="s">
        <v>786</v>
      </c>
      <c r="G641" s="3" t="s">
        <v>895</v>
      </c>
      <c r="H641" s="4">
        <v>100000</v>
      </c>
      <c r="I641" s="4">
        <v>200000</v>
      </c>
      <c r="J641" s="4">
        <v>94909.74</v>
      </c>
      <c r="K641" s="5">
        <v>86907.45</v>
      </c>
      <c r="L641" s="4">
        <v>16454</v>
      </c>
      <c r="M641" s="4">
        <v>1728.81</v>
      </c>
    </row>
    <row r="642" spans="1:13" ht="31.5" hidden="1" x14ac:dyDescent="0.35">
      <c r="A642" s="65"/>
      <c r="B642" s="75"/>
      <c r="C642" s="70" t="s">
        <v>263</v>
      </c>
      <c r="D642" s="72" t="s">
        <v>264</v>
      </c>
      <c r="E642" s="3" t="s">
        <v>680</v>
      </c>
      <c r="F642" s="3" t="s">
        <v>681</v>
      </c>
      <c r="G642" s="3" t="s">
        <v>896</v>
      </c>
      <c r="H642" s="4">
        <v>1</v>
      </c>
      <c r="I642" s="4">
        <v>1</v>
      </c>
      <c r="J642" s="17"/>
      <c r="K642" s="16"/>
      <c r="L642" s="17"/>
      <c r="M642" s="4">
        <v>1</v>
      </c>
    </row>
    <row r="643" spans="1:13" ht="21" hidden="1" x14ac:dyDescent="0.35">
      <c r="A643" s="65"/>
      <c r="B643" s="75"/>
      <c r="C643" s="70"/>
      <c r="D643" s="72"/>
      <c r="E643" s="3" t="s">
        <v>770</v>
      </c>
      <c r="F643" s="3" t="s">
        <v>771</v>
      </c>
      <c r="G643" s="3" t="s">
        <v>897</v>
      </c>
      <c r="H643" s="4">
        <v>0</v>
      </c>
      <c r="I643" s="4">
        <v>720</v>
      </c>
      <c r="J643" s="4">
        <v>717</v>
      </c>
      <c r="K643" s="16"/>
      <c r="L643" s="17"/>
      <c r="M643" s="4">
        <v>3</v>
      </c>
    </row>
    <row r="644" spans="1:13" hidden="1" x14ac:dyDescent="0.35">
      <c r="A644" s="65"/>
      <c r="B644" s="75"/>
      <c r="C644" s="70"/>
      <c r="D644" s="72"/>
      <c r="E644" s="3" t="s">
        <v>686</v>
      </c>
      <c r="F644" s="3" t="s">
        <v>687</v>
      </c>
      <c r="G644" s="3" t="s">
        <v>898</v>
      </c>
      <c r="H644" s="4">
        <v>0</v>
      </c>
      <c r="I644" s="4">
        <v>0</v>
      </c>
      <c r="J644" s="17"/>
      <c r="K644" s="16"/>
      <c r="L644" s="17"/>
      <c r="M644" s="4">
        <v>0</v>
      </c>
    </row>
    <row r="645" spans="1:13" hidden="1" x14ac:dyDescent="0.35">
      <c r="A645" s="65"/>
      <c r="B645" s="75"/>
      <c r="C645" s="70"/>
      <c r="D645" s="72"/>
      <c r="E645" s="3" t="s">
        <v>782</v>
      </c>
      <c r="F645" s="3" t="s">
        <v>783</v>
      </c>
      <c r="G645" s="3" t="s">
        <v>899</v>
      </c>
      <c r="H645" s="4">
        <v>36171</v>
      </c>
      <c r="I645" s="4">
        <v>31872</v>
      </c>
      <c r="J645" s="4">
        <v>31871.4</v>
      </c>
      <c r="K645" s="16"/>
      <c r="L645" s="17"/>
      <c r="M645" s="4">
        <v>0.59999999999854503</v>
      </c>
    </row>
    <row r="646" spans="1:13" hidden="1" x14ac:dyDescent="0.35">
      <c r="A646" s="65"/>
      <c r="B646" s="75"/>
      <c r="C646" s="71"/>
      <c r="D646" s="73"/>
      <c r="E646" s="3" t="s">
        <v>785</v>
      </c>
      <c r="F646" s="3" t="s">
        <v>786</v>
      </c>
      <c r="G646" s="3" t="s">
        <v>900</v>
      </c>
      <c r="H646" s="4">
        <v>239</v>
      </c>
      <c r="I646" s="4">
        <v>239</v>
      </c>
      <c r="J646" s="4">
        <v>227.28</v>
      </c>
      <c r="K646" s="16"/>
      <c r="L646" s="17"/>
      <c r="M646" s="4">
        <v>11.72</v>
      </c>
    </row>
    <row r="647" spans="1:13" ht="21" hidden="1" x14ac:dyDescent="0.35">
      <c r="A647" s="65"/>
      <c r="B647" s="75"/>
      <c r="C647" s="70" t="s">
        <v>274</v>
      </c>
      <c r="D647" s="72" t="s">
        <v>275</v>
      </c>
      <c r="E647" s="3" t="s">
        <v>770</v>
      </c>
      <c r="F647" s="3" t="s">
        <v>771</v>
      </c>
      <c r="G647" s="3" t="s">
        <v>901</v>
      </c>
      <c r="H647" s="4">
        <v>220000</v>
      </c>
      <c r="I647" s="4">
        <v>156300</v>
      </c>
      <c r="J647" s="4">
        <v>-3393</v>
      </c>
      <c r="K647" s="16"/>
      <c r="L647" s="17"/>
      <c r="M647" s="4">
        <v>159693</v>
      </c>
    </row>
    <row r="648" spans="1:13" hidden="1" x14ac:dyDescent="0.35">
      <c r="A648" s="65"/>
      <c r="B648" s="75"/>
      <c r="C648" s="70"/>
      <c r="D648" s="72"/>
      <c r="E648" s="3" t="s">
        <v>686</v>
      </c>
      <c r="F648" s="3" t="s">
        <v>687</v>
      </c>
      <c r="G648" s="3" t="s">
        <v>902</v>
      </c>
      <c r="H648" s="4">
        <v>29000</v>
      </c>
      <c r="I648" s="4">
        <v>26375</v>
      </c>
      <c r="J648" s="4">
        <v>6303.79</v>
      </c>
      <c r="K648" s="5">
        <v>0</v>
      </c>
      <c r="L648" s="4">
        <v>15518.43</v>
      </c>
      <c r="M648" s="4">
        <v>4552.78</v>
      </c>
    </row>
    <row r="649" spans="1:13" hidden="1" x14ac:dyDescent="0.35">
      <c r="A649" s="65"/>
      <c r="B649" s="75"/>
      <c r="C649" s="71"/>
      <c r="D649" s="73"/>
      <c r="E649" s="3" t="s">
        <v>785</v>
      </c>
      <c r="F649" s="3" t="s">
        <v>786</v>
      </c>
      <c r="G649" s="3" t="s">
        <v>903</v>
      </c>
      <c r="H649" s="4">
        <v>20000</v>
      </c>
      <c r="I649" s="4">
        <v>20000</v>
      </c>
      <c r="J649" s="17"/>
      <c r="K649" s="16"/>
      <c r="L649" s="17"/>
      <c r="M649" s="4">
        <v>20000</v>
      </c>
    </row>
    <row r="650" spans="1:13" ht="21" hidden="1" x14ac:dyDescent="0.35">
      <c r="A650" s="65"/>
      <c r="B650" s="75"/>
      <c r="C650" s="70" t="s">
        <v>283</v>
      </c>
      <c r="D650" s="72" t="s">
        <v>284</v>
      </c>
      <c r="E650" s="3" t="s">
        <v>770</v>
      </c>
      <c r="F650" s="3" t="s">
        <v>771</v>
      </c>
      <c r="G650" s="3" t="s">
        <v>904</v>
      </c>
      <c r="H650" s="4">
        <v>188207</v>
      </c>
      <c r="I650" s="4">
        <v>132207</v>
      </c>
      <c r="J650" s="4">
        <v>6347.69</v>
      </c>
      <c r="K650" s="16"/>
      <c r="L650" s="17"/>
      <c r="M650" s="4">
        <v>125859.31</v>
      </c>
    </row>
    <row r="651" spans="1:13" hidden="1" x14ac:dyDescent="0.35">
      <c r="A651" s="65"/>
      <c r="B651" s="75"/>
      <c r="C651" s="70"/>
      <c r="D651" s="72"/>
      <c r="E651" s="3" t="s">
        <v>686</v>
      </c>
      <c r="F651" s="3" t="s">
        <v>687</v>
      </c>
      <c r="G651" s="3" t="s">
        <v>905</v>
      </c>
      <c r="H651" s="4">
        <v>30000</v>
      </c>
      <c r="I651" s="4">
        <v>30000</v>
      </c>
      <c r="J651" s="17"/>
      <c r="K651" s="16"/>
      <c r="L651" s="17"/>
      <c r="M651" s="4">
        <v>30000</v>
      </c>
    </row>
    <row r="652" spans="1:13" ht="21" hidden="1" x14ac:dyDescent="0.35">
      <c r="A652" s="65"/>
      <c r="B652" s="75"/>
      <c r="C652" s="70"/>
      <c r="D652" s="72"/>
      <c r="E652" s="3" t="s">
        <v>689</v>
      </c>
      <c r="F652" s="3" t="s">
        <v>690</v>
      </c>
      <c r="G652" s="3" t="s">
        <v>906</v>
      </c>
      <c r="H652" s="4">
        <v>1</v>
      </c>
      <c r="I652" s="4">
        <v>1</v>
      </c>
      <c r="J652" s="17"/>
      <c r="K652" s="16"/>
      <c r="L652" s="17"/>
      <c r="M652" s="4">
        <v>1</v>
      </c>
    </row>
    <row r="653" spans="1:13" hidden="1" x14ac:dyDescent="0.35">
      <c r="A653" s="65"/>
      <c r="B653" s="75"/>
      <c r="C653" s="70"/>
      <c r="D653" s="72"/>
      <c r="E653" s="3" t="s">
        <v>868</v>
      </c>
      <c r="F653" s="3" t="s">
        <v>869</v>
      </c>
      <c r="G653" s="3" t="s">
        <v>907</v>
      </c>
      <c r="H653" s="4">
        <v>35000</v>
      </c>
      <c r="I653" s="4">
        <v>35000</v>
      </c>
      <c r="J653" s="17"/>
      <c r="K653" s="16"/>
      <c r="L653" s="17"/>
      <c r="M653" s="4">
        <v>35000</v>
      </c>
    </row>
    <row r="654" spans="1:13" ht="21" hidden="1" x14ac:dyDescent="0.35">
      <c r="A654" s="65"/>
      <c r="B654" s="75"/>
      <c r="C654" s="71"/>
      <c r="D654" s="73"/>
      <c r="E654" s="3" t="s">
        <v>799</v>
      </c>
      <c r="F654" s="3" t="s">
        <v>800</v>
      </c>
      <c r="G654" s="3" t="s">
        <v>908</v>
      </c>
      <c r="H654" s="4">
        <v>1</v>
      </c>
      <c r="I654" s="4">
        <v>1</v>
      </c>
      <c r="J654" s="17"/>
      <c r="K654" s="16"/>
      <c r="L654" s="17"/>
      <c r="M654" s="4">
        <v>1</v>
      </c>
    </row>
    <row r="655" spans="1:13" hidden="1" x14ac:dyDescent="0.35">
      <c r="A655" s="65"/>
      <c r="B655" s="75"/>
      <c r="C655" s="70" t="s">
        <v>296</v>
      </c>
      <c r="D655" s="72" t="s">
        <v>297</v>
      </c>
      <c r="E655" s="3" t="s">
        <v>831</v>
      </c>
      <c r="F655" s="3" t="s">
        <v>832</v>
      </c>
      <c r="G655" s="3" t="s">
        <v>909</v>
      </c>
      <c r="H655" s="4">
        <v>4400</v>
      </c>
      <c r="I655" s="4">
        <v>4400</v>
      </c>
      <c r="J655" s="17"/>
      <c r="K655" s="16"/>
      <c r="L655" s="17"/>
      <c r="M655" s="4">
        <v>4400</v>
      </c>
    </row>
    <row r="656" spans="1:13" ht="21" hidden="1" x14ac:dyDescent="0.35">
      <c r="A656" s="65"/>
      <c r="B656" s="75"/>
      <c r="C656" s="70"/>
      <c r="D656" s="72"/>
      <c r="E656" s="3" t="s">
        <v>770</v>
      </c>
      <c r="F656" s="3" t="s">
        <v>771</v>
      </c>
      <c r="G656" s="3" t="s">
        <v>910</v>
      </c>
      <c r="H656" s="4">
        <v>221102</v>
      </c>
      <c r="I656" s="4">
        <v>165102</v>
      </c>
      <c r="J656" s="4">
        <v>10085.540000000001</v>
      </c>
      <c r="K656" s="16"/>
      <c r="L656" s="17"/>
      <c r="M656" s="4">
        <v>155016.46</v>
      </c>
    </row>
    <row r="657" spans="1:13" hidden="1" x14ac:dyDescent="0.35">
      <c r="A657" s="65"/>
      <c r="B657" s="75"/>
      <c r="C657" s="70"/>
      <c r="D657" s="72"/>
      <c r="E657" s="3" t="s">
        <v>686</v>
      </c>
      <c r="F657" s="3" t="s">
        <v>687</v>
      </c>
      <c r="G657" s="3" t="s">
        <v>911</v>
      </c>
      <c r="H657" s="4">
        <v>64373</v>
      </c>
      <c r="I657" s="4">
        <v>64373</v>
      </c>
      <c r="J657" s="4">
        <v>6398.78</v>
      </c>
      <c r="K657" s="16"/>
      <c r="L657" s="17"/>
      <c r="M657" s="4">
        <v>57974.22</v>
      </c>
    </row>
    <row r="658" spans="1:13" hidden="1" x14ac:dyDescent="0.35">
      <c r="A658" s="65"/>
      <c r="B658" s="75"/>
      <c r="C658" s="70"/>
      <c r="D658" s="72"/>
      <c r="E658" s="3" t="s">
        <v>868</v>
      </c>
      <c r="F658" s="3" t="s">
        <v>869</v>
      </c>
      <c r="G658" s="3" t="s">
        <v>912</v>
      </c>
      <c r="H658" s="4">
        <v>60350</v>
      </c>
      <c r="I658" s="4">
        <v>60350</v>
      </c>
      <c r="J658" s="17"/>
      <c r="K658" s="16"/>
      <c r="L658" s="17"/>
      <c r="M658" s="4">
        <v>60350</v>
      </c>
    </row>
    <row r="659" spans="1:13" hidden="1" x14ac:dyDescent="0.35">
      <c r="A659" s="65"/>
      <c r="B659" s="75"/>
      <c r="C659" s="70"/>
      <c r="D659" s="72"/>
      <c r="E659" s="3" t="s">
        <v>782</v>
      </c>
      <c r="F659" s="3" t="s">
        <v>783</v>
      </c>
      <c r="G659" s="3" t="s">
        <v>913</v>
      </c>
      <c r="H659" s="4">
        <v>7704</v>
      </c>
      <c r="I659" s="4">
        <v>11020</v>
      </c>
      <c r="J659" s="17"/>
      <c r="K659" s="16"/>
      <c r="L659" s="17"/>
      <c r="M659" s="4">
        <v>11020</v>
      </c>
    </row>
    <row r="660" spans="1:13" ht="21" hidden="1" x14ac:dyDescent="0.35">
      <c r="A660" s="65"/>
      <c r="B660" s="75"/>
      <c r="C660" s="71"/>
      <c r="D660" s="73"/>
      <c r="E660" s="3" t="s">
        <v>799</v>
      </c>
      <c r="F660" s="3" t="s">
        <v>800</v>
      </c>
      <c r="G660" s="3" t="s">
        <v>914</v>
      </c>
      <c r="H660" s="4">
        <v>227</v>
      </c>
      <c r="I660" s="4">
        <v>227</v>
      </c>
      <c r="J660" s="17"/>
      <c r="K660" s="16"/>
      <c r="L660" s="17"/>
      <c r="M660" s="4">
        <v>227</v>
      </c>
    </row>
    <row r="661" spans="1:13" hidden="1" x14ac:dyDescent="0.35">
      <c r="A661" s="65"/>
      <c r="B661" s="75"/>
      <c r="C661" s="70" t="s">
        <v>308</v>
      </c>
      <c r="D661" s="72" t="s">
        <v>309</v>
      </c>
      <c r="E661" s="67" t="s">
        <v>770</v>
      </c>
      <c r="F661" s="67" t="s">
        <v>771</v>
      </c>
      <c r="G661" s="3" t="s">
        <v>915</v>
      </c>
      <c r="H661" s="17"/>
      <c r="I661" s="17"/>
      <c r="J661" s="17"/>
      <c r="K661" s="16"/>
      <c r="L661" s="4">
        <v>0</v>
      </c>
      <c r="M661" s="4">
        <v>0</v>
      </c>
    </row>
    <row r="662" spans="1:13" hidden="1" x14ac:dyDescent="0.35">
      <c r="A662" s="65"/>
      <c r="B662" s="75"/>
      <c r="C662" s="70"/>
      <c r="D662" s="72"/>
      <c r="E662" s="68"/>
      <c r="F662" s="68"/>
      <c r="G662" s="3" t="s">
        <v>916</v>
      </c>
      <c r="H662" s="4">
        <v>150000</v>
      </c>
      <c r="I662" s="4">
        <v>86334</v>
      </c>
      <c r="J662" s="4">
        <v>3074</v>
      </c>
      <c r="K662" s="16"/>
      <c r="L662" s="17"/>
      <c r="M662" s="4">
        <v>83260</v>
      </c>
    </row>
    <row r="663" spans="1:13" hidden="1" x14ac:dyDescent="0.35">
      <c r="A663" s="65"/>
      <c r="B663" s="75"/>
      <c r="C663" s="70"/>
      <c r="D663" s="72"/>
      <c r="E663" s="67" t="s">
        <v>686</v>
      </c>
      <c r="F663" s="67" t="s">
        <v>687</v>
      </c>
      <c r="G663" s="3" t="s">
        <v>917</v>
      </c>
      <c r="H663" s="17"/>
      <c r="I663" s="17"/>
      <c r="J663" s="17"/>
      <c r="K663" s="16"/>
      <c r="L663" s="4">
        <v>0</v>
      </c>
      <c r="M663" s="4">
        <v>0</v>
      </c>
    </row>
    <row r="664" spans="1:13" hidden="1" x14ac:dyDescent="0.35">
      <c r="A664" s="65"/>
      <c r="B664" s="75"/>
      <c r="C664" s="71"/>
      <c r="D664" s="73"/>
      <c r="E664" s="68"/>
      <c r="F664" s="68"/>
      <c r="G664" s="3" t="s">
        <v>918</v>
      </c>
      <c r="H664" s="4">
        <v>5000</v>
      </c>
      <c r="I664" s="4">
        <v>63625</v>
      </c>
      <c r="J664" s="4">
        <v>53028.55</v>
      </c>
      <c r="K664" s="5">
        <v>0</v>
      </c>
      <c r="L664" s="4">
        <v>0</v>
      </c>
      <c r="M664" s="4">
        <v>9793</v>
      </c>
    </row>
    <row r="665" spans="1:13" hidden="1" x14ac:dyDescent="0.35">
      <c r="A665" s="65"/>
      <c r="B665" s="75"/>
      <c r="C665" s="70" t="s">
        <v>319</v>
      </c>
      <c r="D665" s="72" t="s">
        <v>320</v>
      </c>
      <c r="E665" s="3" t="s">
        <v>831</v>
      </c>
      <c r="F665" s="3" t="s">
        <v>832</v>
      </c>
      <c r="G665" s="3" t="s">
        <v>919</v>
      </c>
      <c r="H665" s="4">
        <v>56922</v>
      </c>
      <c r="I665" s="4">
        <v>56922</v>
      </c>
      <c r="J665" s="4">
        <v>36340</v>
      </c>
      <c r="K665" s="16"/>
      <c r="L665" s="4">
        <v>0</v>
      </c>
      <c r="M665" s="4">
        <v>20582</v>
      </c>
    </row>
    <row r="666" spans="1:13" ht="21" hidden="1" x14ac:dyDescent="0.35">
      <c r="A666" s="65"/>
      <c r="B666" s="75"/>
      <c r="C666" s="70"/>
      <c r="D666" s="72"/>
      <c r="E666" s="3" t="s">
        <v>770</v>
      </c>
      <c r="F666" s="3" t="s">
        <v>771</v>
      </c>
      <c r="G666" s="3" t="s">
        <v>920</v>
      </c>
      <c r="H666" s="4">
        <v>45000</v>
      </c>
      <c r="I666" s="4">
        <v>13017</v>
      </c>
      <c r="J666" s="17"/>
      <c r="K666" s="16"/>
      <c r="L666" s="17"/>
      <c r="M666" s="4">
        <v>13017</v>
      </c>
    </row>
    <row r="667" spans="1:13" hidden="1" x14ac:dyDescent="0.35">
      <c r="A667" s="65"/>
      <c r="B667" s="75"/>
      <c r="C667" s="70"/>
      <c r="D667" s="72"/>
      <c r="E667" s="3" t="s">
        <v>776</v>
      </c>
      <c r="F667" s="3" t="s">
        <v>777</v>
      </c>
      <c r="G667" s="3" t="s">
        <v>921</v>
      </c>
      <c r="H667" s="4">
        <v>129668</v>
      </c>
      <c r="I667" s="4">
        <v>129668</v>
      </c>
      <c r="J667" s="4">
        <v>-35634.410000000003</v>
      </c>
      <c r="K667" s="5">
        <v>1597</v>
      </c>
      <c r="L667" s="4">
        <v>24450</v>
      </c>
      <c r="M667" s="4">
        <v>139255.41</v>
      </c>
    </row>
    <row r="668" spans="1:13" hidden="1" x14ac:dyDescent="0.35">
      <c r="A668" s="65"/>
      <c r="B668" s="75"/>
      <c r="C668" s="70"/>
      <c r="D668" s="72"/>
      <c r="E668" s="3" t="s">
        <v>782</v>
      </c>
      <c r="F668" s="3" t="s">
        <v>783</v>
      </c>
      <c r="G668" s="3" t="s">
        <v>922</v>
      </c>
      <c r="H668" s="4">
        <v>20000</v>
      </c>
      <c r="I668" s="4">
        <v>20000</v>
      </c>
      <c r="J668" s="17"/>
      <c r="K668" s="16"/>
      <c r="L668" s="17"/>
      <c r="M668" s="4">
        <v>20000</v>
      </c>
    </row>
    <row r="669" spans="1:13" hidden="1" x14ac:dyDescent="0.35">
      <c r="A669" s="65"/>
      <c r="B669" s="75"/>
      <c r="C669" s="71"/>
      <c r="D669" s="73"/>
      <c r="E669" s="3" t="s">
        <v>785</v>
      </c>
      <c r="F669" s="3" t="s">
        <v>786</v>
      </c>
      <c r="G669" s="3" t="s">
        <v>923</v>
      </c>
      <c r="H669" s="4">
        <v>6447</v>
      </c>
      <c r="I669" s="4">
        <v>18430</v>
      </c>
      <c r="J669" s="4">
        <v>8339.74</v>
      </c>
      <c r="K669" s="16"/>
      <c r="L669" s="17"/>
      <c r="M669" s="4">
        <v>10090.26</v>
      </c>
    </row>
    <row r="670" spans="1:13" hidden="1" x14ac:dyDescent="0.35">
      <c r="A670" s="65"/>
      <c r="B670" s="75"/>
      <c r="C670" s="70" t="s">
        <v>356</v>
      </c>
      <c r="D670" s="72" t="s">
        <v>357</v>
      </c>
      <c r="E670" s="3" t="s">
        <v>924</v>
      </c>
      <c r="F670" s="3" t="s">
        <v>925</v>
      </c>
      <c r="G670" s="3" t="s">
        <v>926</v>
      </c>
      <c r="H670" s="4">
        <v>77973</v>
      </c>
      <c r="I670" s="4">
        <v>77973</v>
      </c>
      <c r="J670" s="4">
        <v>74260</v>
      </c>
      <c r="K670" s="16"/>
      <c r="L670" s="17"/>
      <c r="M670" s="4">
        <v>3713</v>
      </c>
    </row>
    <row r="671" spans="1:13" hidden="1" x14ac:dyDescent="0.35">
      <c r="A671" s="65"/>
      <c r="B671" s="75"/>
      <c r="C671" s="70"/>
      <c r="D671" s="72"/>
      <c r="E671" s="67" t="s">
        <v>680</v>
      </c>
      <c r="F671" s="67" t="s">
        <v>681</v>
      </c>
      <c r="G671" s="3" t="s">
        <v>927</v>
      </c>
      <c r="H671" s="4">
        <v>24521</v>
      </c>
      <c r="I671" s="4">
        <v>24521</v>
      </c>
      <c r="J671" s="4">
        <v>7241.12</v>
      </c>
      <c r="K671" s="16"/>
      <c r="L671" s="17"/>
      <c r="M671" s="4">
        <v>17279.88</v>
      </c>
    </row>
    <row r="672" spans="1:13" hidden="1" x14ac:dyDescent="0.35">
      <c r="A672" s="65"/>
      <c r="B672" s="75"/>
      <c r="C672" s="70"/>
      <c r="D672" s="72"/>
      <c r="E672" s="68"/>
      <c r="F672" s="68"/>
      <c r="G672" s="3" t="s">
        <v>928</v>
      </c>
      <c r="H672" s="4">
        <v>4998</v>
      </c>
      <c r="I672" s="4">
        <v>4998</v>
      </c>
      <c r="J672" s="4">
        <v>4998</v>
      </c>
      <c r="K672" s="16"/>
      <c r="L672" s="17"/>
      <c r="M672" s="4">
        <v>0</v>
      </c>
    </row>
    <row r="673" spans="1:13" ht="31.5" hidden="1" x14ac:dyDescent="0.35">
      <c r="A673" s="65"/>
      <c r="B673" s="75"/>
      <c r="C673" s="70"/>
      <c r="D673" s="72"/>
      <c r="E673" s="3" t="s">
        <v>929</v>
      </c>
      <c r="F673" s="3" t="s">
        <v>930</v>
      </c>
      <c r="G673" s="3" t="s">
        <v>931</v>
      </c>
      <c r="H673" s="4">
        <v>20000</v>
      </c>
      <c r="I673" s="4">
        <v>20000</v>
      </c>
      <c r="J673" s="17"/>
      <c r="K673" s="16"/>
      <c r="L673" s="17"/>
      <c r="M673" s="4">
        <v>20000</v>
      </c>
    </row>
    <row r="674" spans="1:13" hidden="1" x14ac:dyDescent="0.35">
      <c r="A674" s="65"/>
      <c r="B674" s="75"/>
      <c r="C674" s="70"/>
      <c r="D674" s="72"/>
      <c r="E674" s="3" t="s">
        <v>686</v>
      </c>
      <c r="F674" s="3" t="s">
        <v>687</v>
      </c>
      <c r="G674" s="3" t="s">
        <v>932</v>
      </c>
      <c r="H674" s="4">
        <v>212027</v>
      </c>
      <c r="I674" s="4">
        <v>212027</v>
      </c>
      <c r="J674" s="17"/>
      <c r="K674" s="5">
        <v>200000</v>
      </c>
      <c r="L674" s="17"/>
      <c r="M674" s="4">
        <v>12027</v>
      </c>
    </row>
    <row r="675" spans="1:13" ht="21" hidden="1" x14ac:dyDescent="0.35">
      <c r="A675" s="65"/>
      <c r="B675" s="75"/>
      <c r="C675" s="70"/>
      <c r="D675" s="72"/>
      <c r="E675" s="3" t="s">
        <v>689</v>
      </c>
      <c r="F675" s="3" t="s">
        <v>690</v>
      </c>
      <c r="G675" s="3" t="s">
        <v>933</v>
      </c>
      <c r="H675" s="4">
        <v>42000</v>
      </c>
      <c r="I675" s="4">
        <v>42000</v>
      </c>
      <c r="J675" s="4">
        <v>7654.06</v>
      </c>
      <c r="K675" s="16"/>
      <c r="L675" s="17"/>
      <c r="M675" s="4">
        <v>34345.94</v>
      </c>
    </row>
    <row r="676" spans="1:13" hidden="1" x14ac:dyDescent="0.35">
      <c r="A676" s="65"/>
      <c r="B676" s="75"/>
      <c r="C676" s="70"/>
      <c r="D676" s="72"/>
      <c r="E676" s="67" t="s">
        <v>934</v>
      </c>
      <c r="F676" s="67" t="s">
        <v>935</v>
      </c>
      <c r="G676" s="3" t="s">
        <v>936</v>
      </c>
      <c r="H676" s="4">
        <v>395002</v>
      </c>
      <c r="I676" s="4">
        <v>395002</v>
      </c>
      <c r="J676" s="4">
        <v>158386.75</v>
      </c>
      <c r="K676" s="5">
        <v>47568.86</v>
      </c>
      <c r="L676" s="4">
        <v>159760.76999999999</v>
      </c>
      <c r="M676" s="4">
        <v>29285.62</v>
      </c>
    </row>
    <row r="677" spans="1:13" hidden="1" x14ac:dyDescent="0.35">
      <c r="A677" s="65"/>
      <c r="B677" s="75"/>
      <c r="C677" s="71"/>
      <c r="D677" s="73"/>
      <c r="E677" s="68"/>
      <c r="F677" s="68"/>
      <c r="G677" s="3" t="s">
        <v>937</v>
      </c>
      <c r="H677" s="4">
        <v>300000</v>
      </c>
      <c r="I677" s="4">
        <v>300000</v>
      </c>
      <c r="J677" s="4">
        <v>129109.05</v>
      </c>
      <c r="K677" s="5">
        <v>23100</v>
      </c>
      <c r="L677" s="4">
        <v>0</v>
      </c>
      <c r="M677" s="4">
        <v>147790.95000000001</v>
      </c>
    </row>
    <row r="678" spans="1:13" hidden="1" x14ac:dyDescent="0.35">
      <c r="A678" s="65"/>
      <c r="B678" s="75"/>
      <c r="C678" s="70" t="s">
        <v>366</v>
      </c>
      <c r="D678" s="72" t="s">
        <v>367</v>
      </c>
      <c r="E678" s="67" t="s">
        <v>938</v>
      </c>
      <c r="F678" s="67" t="s">
        <v>939</v>
      </c>
      <c r="G678" s="3" t="s">
        <v>940</v>
      </c>
      <c r="H678" s="4">
        <v>3624891</v>
      </c>
      <c r="I678" s="4">
        <v>4505005</v>
      </c>
      <c r="J678" s="4">
        <v>3042328.95</v>
      </c>
      <c r="K678" s="5">
        <v>5.8207660913467401E-11</v>
      </c>
      <c r="L678" s="4">
        <v>1014109.66</v>
      </c>
      <c r="M678" s="4">
        <v>448566.39</v>
      </c>
    </row>
    <row r="679" spans="1:13" hidden="1" x14ac:dyDescent="0.35">
      <c r="A679" s="65"/>
      <c r="B679" s="75"/>
      <c r="C679" s="70"/>
      <c r="D679" s="72"/>
      <c r="E679" s="67"/>
      <c r="F679" s="67"/>
      <c r="G679" s="3" t="s">
        <v>941</v>
      </c>
      <c r="H679" s="4">
        <v>237882</v>
      </c>
      <c r="I679" s="4">
        <v>0</v>
      </c>
      <c r="J679" s="17"/>
      <c r="K679" s="5">
        <v>0</v>
      </c>
      <c r="L679" s="17"/>
      <c r="M679" s="4">
        <v>0</v>
      </c>
    </row>
    <row r="680" spans="1:13" hidden="1" x14ac:dyDescent="0.35">
      <c r="A680" s="65"/>
      <c r="B680" s="75"/>
      <c r="C680" s="70"/>
      <c r="D680" s="72"/>
      <c r="E680" s="67"/>
      <c r="F680" s="67"/>
      <c r="G680" s="3" t="s">
        <v>942</v>
      </c>
      <c r="H680" s="4">
        <v>2974196</v>
      </c>
      <c r="I680" s="4">
        <v>3551324</v>
      </c>
      <c r="J680" s="4">
        <v>2549419.91</v>
      </c>
      <c r="K680" s="5">
        <v>240000</v>
      </c>
      <c r="L680" s="4">
        <v>-7.2759576141834298E-11</v>
      </c>
      <c r="M680" s="4">
        <v>761904.09</v>
      </c>
    </row>
    <row r="681" spans="1:13" hidden="1" x14ac:dyDescent="0.35">
      <c r="A681" s="65"/>
      <c r="B681" s="75"/>
      <c r="C681" s="70"/>
      <c r="D681" s="72"/>
      <c r="E681" s="68"/>
      <c r="F681" s="68"/>
      <c r="G681" s="3" t="s">
        <v>943</v>
      </c>
      <c r="H681" s="4">
        <v>710000</v>
      </c>
      <c r="I681" s="4">
        <v>0</v>
      </c>
      <c r="J681" s="17"/>
      <c r="K681" s="16"/>
      <c r="L681" s="17"/>
      <c r="M681" s="4">
        <v>0</v>
      </c>
    </row>
    <row r="682" spans="1:13" hidden="1" x14ac:dyDescent="0.35">
      <c r="A682" s="65"/>
      <c r="B682" s="75"/>
      <c r="C682" s="70"/>
      <c r="D682" s="72"/>
      <c r="E682" s="3" t="s">
        <v>674</v>
      </c>
      <c r="F682" s="3" t="s">
        <v>675</v>
      </c>
      <c r="G682" s="3" t="s">
        <v>944</v>
      </c>
      <c r="H682" s="4">
        <v>0</v>
      </c>
      <c r="I682" s="4">
        <v>350000</v>
      </c>
      <c r="J682" s="17"/>
      <c r="K682" s="16"/>
      <c r="L682" s="17"/>
      <c r="M682" s="4">
        <v>350000</v>
      </c>
    </row>
    <row r="683" spans="1:13" hidden="1" x14ac:dyDescent="0.35">
      <c r="A683" s="65"/>
      <c r="B683" s="75"/>
      <c r="C683" s="70"/>
      <c r="D683" s="72"/>
      <c r="E683" s="3" t="s">
        <v>945</v>
      </c>
      <c r="F683" s="3" t="s">
        <v>946</v>
      </c>
      <c r="G683" s="3" t="s">
        <v>947</v>
      </c>
      <c r="H683" s="4">
        <v>863098</v>
      </c>
      <c r="I683" s="4">
        <v>863098</v>
      </c>
      <c r="J683" s="4">
        <v>-10439.549999999999</v>
      </c>
      <c r="K683" s="5">
        <v>0</v>
      </c>
      <c r="L683" s="4">
        <v>-9.9999999974897894E-3</v>
      </c>
      <c r="M683" s="4">
        <v>873537.56</v>
      </c>
    </row>
    <row r="684" spans="1:13" hidden="1" x14ac:dyDescent="0.35">
      <c r="A684" s="65"/>
      <c r="B684" s="75"/>
      <c r="C684" s="70"/>
      <c r="D684" s="72"/>
      <c r="E684" s="67" t="s">
        <v>924</v>
      </c>
      <c r="F684" s="67" t="s">
        <v>925</v>
      </c>
      <c r="G684" s="3" t="s">
        <v>948</v>
      </c>
      <c r="H684" s="4">
        <v>2070129</v>
      </c>
      <c r="I684" s="4">
        <v>2818429</v>
      </c>
      <c r="J684" s="4">
        <v>1968656.23</v>
      </c>
      <c r="K684" s="5">
        <v>748300</v>
      </c>
      <c r="L684" s="4">
        <v>101472.77</v>
      </c>
      <c r="M684" s="4">
        <v>0</v>
      </c>
    </row>
    <row r="685" spans="1:13" hidden="1" x14ac:dyDescent="0.35">
      <c r="A685" s="65"/>
      <c r="B685" s="75"/>
      <c r="C685" s="70"/>
      <c r="D685" s="72"/>
      <c r="E685" s="67"/>
      <c r="F685" s="67"/>
      <c r="G685" s="3" t="s">
        <v>949</v>
      </c>
      <c r="H685" s="4">
        <v>1483570</v>
      </c>
      <c r="I685" s="4">
        <v>1923458</v>
      </c>
      <c r="J685" s="4">
        <v>1516765.97</v>
      </c>
      <c r="K685" s="5">
        <v>0</v>
      </c>
      <c r="L685" s="4">
        <v>0</v>
      </c>
      <c r="M685" s="4">
        <v>406692.03</v>
      </c>
    </row>
    <row r="686" spans="1:13" hidden="1" x14ac:dyDescent="0.35">
      <c r="A686" s="65"/>
      <c r="B686" s="75"/>
      <c r="C686" s="70"/>
      <c r="D686" s="72"/>
      <c r="E686" s="67"/>
      <c r="F686" s="67"/>
      <c r="G686" s="3" t="s">
        <v>950</v>
      </c>
      <c r="H686" s="4">
        <v>2599344</v>
      </c>
      <c r="I686" s="4">
        <v>2596024</v>
      </c>
      <c r="J686" s="4">
        <v>2028266.52</v>
      </c>
      <c r="K686" s="5">
        <v>0</v>
      </c>
      <c r="L686" s="4">
        <v>0</v>
      </c>
      <c r="M686" s="4">
        <v>567757.48</v>
      </c>
    </row>
    <row r="687" spans="1:13" hidden="1" x14ac:dyDescent="0.35">
      <c r="A687" s="65"/>
      <c r="B687" s="75"/>
      <c r="C687" s="70"/>
      <c r="D687" s="72"/>
      <c r="E687" s="68"/>
      <c r="F687" s="68"/>
      <c r="G687" s="3" t="s">
        <v>951</v>
      </c>
      <c r="H687" s="4">
        <v>872780</v>
      </c>
      <c r="I687" s="4">
        <v>843400</v>
      </c>
      <c r="J687" s="4">
        <v>843396.09</v>
      </c>
      <c r="K687" s="16"/>
      <c r="L687" s="4">
        <v>0</v>
      </c>
      <c r="M687" s="4">
        <v>3.9100000000325998</v>
      </c>
    </row>
    <row r="688" spans="1:13" ht="31.5" hidden="1" x14ac:dyDescent="0.35">
      <c r="A688" s="65"/>
      <c r="B688" s="75"/>
      <c r="C688" s="70"/>
      <c r="D688" s="72"/>
      <c r="E688" s="3" t="s">
        <v>952</v>
      </c>
      <c r="F688" s="3" t="s">
        <v>953</v>
      </c>
      <c r="G688" s="3" t="s">
        <v>954</v>
      </c>
      <c r="H688" s="4">
        <v>0</v>
      </c>
      <c r="I688" s="4">
        <v>350000</v>
      </c>
      <c r="J688" s="17"/>
      <c r="K688" s="5">
        <v>350000</v>
      </c>
      <c r="L688" s="17"/>
      <c r="M688" s="4">
        <v>0</v>
      </c>
    </row>
    <row r="689" spans="1:13" ht="31.5" hidden="1" x14ac:dyDescent="0.35">
      <c r="A689" s="65"/>
      <c r="B689" s="75"/>
      <c r="C689" s="70"/>
      <c r="D689" s="72"/>
      <c r="E689" s="3" t="s">
        <v>680</v>
      </c>
      <c r="F689" s="3" t="s">
        <v>681</v>
      </c>
      <c r="G689" s="3" t="s">
        <v>955</v>
      </c>
      <c r="H689" s="4">
        <v>78</v>
      </c>
      <c r="I689" s="4">
        <v>78</v>
      </c>
      <c r="J689" s="17"/>
      <c r="K689" s="16"/>
      <c r="L689" s="17"/>
      <c r="M689" s="4">
        <v>78</v>
      </c>
    </row>
    <row r="690" spans="1:13" hidden="1" x14ac:dyDescent="0.35">
      <c r="A690" s="65"/>
      <c r="B690" s="75"/>
      <c r="C690" s="70"/>
      <c r="D690" s="72"/>
      <c r="E690" s="3" t="s">
        <v>956</v>
      </c>
      <c r="F690" s="3" t="s">
        <v>957</v>
      </c>
      <c r="G690" s="3" t="s">
        <v>958</v>
      </c>
      <c r="H690" s="4">
        <v>6221</v>
      </c>
      <c r="I690" s="4">
        <v>6221</v>
      </c>
      <c r="J690" s="4">
        <v>452</v>
      </c>
      <c r="K690" s="16"/>
      <c r="L690" s="17"/>
      <c r="M690" s="4">
        <v>5769</v>
      </c>
    </row>
    <row r="691" spans="1:13" hidden="1" x14ac:dyDescent="0.35">
      <c r="A691" s="65"/>
      <c r="B691" s="75"/>
      <c r="C691" s="70"/>
      <c r="D691" s="72"/>
      <c r="E691" s="67" t="s">
        <v>959</v>
      </c>
      <c r="F691" s="67" t="s">
        <v>960</v>
      </c>
      <c r="G691" s="3" t="s">
        <v>961</v>
      </c>
      <c r="H691" s="4">
        <v>1667782</v>
      </c>
      <c r="I691" s="4">
        <v>1603947</v>
      </c>
      <c r="J691" s="17"/>
      <c r="K691" s="16"/>
      <c r="L691" s="17"/>
      <c r="M691" s="4">
        <v>1603947</v>
      </c>
    </row>
    <row r="692" spans="1:13" hidden="1" x14ac:dyDescent="0.35">
      <c r="A692" s="65"/>
      <c r="B692" s="75"/>
      <c r="C692" s="70"/>
      <c r="D692" s="72"/>
      <c r="E692" s="67"/>
      <c r="F692" s="67"/>
      <c r="G692" s="3" t="s">
        <v>962</v>
      </c>
      <c r="H692" s="4">
        <v>0</v>
      </c>
      <c r="I692" s="4">
        <v>8362</v>
      </c>
      <c r="J692" s="17"/>
      <c r="K692" s="16"/>
      <c r="L692" s="17"/>
      <c r="M692" s="4">
        <v>8362</v>
      </c>
    </row>
    <row r="693" spans="1:13" hidden="1" x14ac:dyDescent="0.35">
      <c r="A693" s="65"/>
      <c r="B693" s="75"/>
      <c r="C693" s="70"/>
      <c r="D693" s="72"/>
      <c r="E693" s="68"/>
      <c r="F693" s="68"/>
      <c r="G693" s="3" t="s">
        <v>963</v>
      </c>
      <c r="H693" s="4">
        <v>48801</v>
      </c>
      <c r="I693" s="4">
        <v>48801</v>
      </c>
      <c r="J693" s="4">
        <v>23713.63</v>
      </c>
      <c r="K693" s="16"/>
      <c r="L693" s="17"/>
      <c r="M693" s="4">
        <v>25087.37</v>
      </c>
    </row>
    <row r="694" spans="1:13" hidden="1" x14ac:dyDescent="0.35">
      <c r="A694" s="65"/>
      <c r="B694" s="75"/>
      <c r="C694" s="70"/>
      <c r="D694" s="72"/>
      <c r="E694" s="3" t="s">
        <v>964</v>
      </c>
      <c r="F694" s="3" t="s">
        <v>965</v>
      </c>
      <c r="G694" s="3" t="s">
        <v>966</v>
      </c>
      <c r="H694" s="4">
        <v>50000</v>
      </c>
      <c r="I694" s="4">
        <v>50000</v>
      </c>
      <c r="J694" s="4">
        <v>4650.8100000000004</v>
      </c>
      <c r="K694" s="16"/>
      <c r="L694" s="17"/>
      <c r="M694" s="4">
        <v>45349.19</v>
      </c>
    </row>
    <row r="695" spans="1:13" ht="21" hidden="1" x14ac:dyDescent="0.35">
      <c r="A695" s="65"/>
      <c r="B695" s="75"/>
      <c r="C695" s="70"/>
      <c r="D695" s="72"/>
      <c r="E695" s="3" t="s">
        <v>967</v>
      </c>
      <c r="F695" s="3" t="s">
        <v>968</v>
      </c>
      <c r="G695" s="3" t="s">
        <v>969</v>
      </c>
      <c r="H695" s="4">
        <v>20000</v>
      </c>
      <c r="I695" s="4">
        <v>20000</v>
      </c>
      <c r="J695" s="4">
        <v>6245</v>
      </c>
      <c r="K695" s="16"/>
      <c r="L695" s="17"/>
      <c r="M695" s="4">
        <v>13755</v>
      </c>
    </row>
    <row r="696" spans="1:13" ht="21" hidden="1" x14ac:dyDescent="0.35">
      <c r="A696" s="65"/>
      <c r="B696" s="75"/>
      <c r="C696" s="70"/>
      <c r="D696" s="72"/>
      <c r="E696" s="3" t="s">
        <v>970</v>
      </c>
      <c r="F696" s="3" t="s">
        <v>971</v>
      </c>
      <c r="G696" s="3" t="s">
        <v>972</v>
      </c>
      <c r="H696" s="4">
        <v>30000</v>
      </c>
      <c r="I696" s="4">
        <v>30000</v>
      </c>
      <c r="J696" s="4">
        <v>17870.55</v>
      </c>
      <c r="K696" s="16"/>
      <c r="L696" s="17"/>
      <c r="M696" s="4">
        <v>12129.45</v>
      </c>
    </row>
    <row r="697" spans="1:13" hidden="1" x14ac:dyDescent="0.35">
      <c r="A697" s="65"/>
      <c r="B697" s="75"/>
      <c r="C697" s="70"/>
      <c r="D697" s="72"/>
      <c r="E697" s="67" t="s">
        <v>973</v>
      </c>
      <c r="F697" s="67" t="s">
        <v>974</v>
      </c>
      <c r="G697" s="3" t="s">
        <v>975</v>
      </c>
      <c r="H697" s="4">
        <v>7349560</v>
      </c>
      <c r="I697" s="4">
        <v>7209560</v>
      </c>
      <c r="J697" s="4">
        <v>5814725.0099999998</v>
      </c>
      <c r="K697" s="16"/>
      <c r="L697" s="17"/>
      <c r="M697" s="4">
        <v>1394834.99</v>
      </c>
    </row>
    <row r="698" spans="1:13" hidden="1" x14ac:dyDescent="0.35">
      <c r="A698" s="65"/>
      <c r="B698" s="75"/>
      <c r="C698" s="70"/>
      <c r="D698" s="72"/>
      <c r="E698" s="67"/>
      <c r="F698" s="67"/>
      <c r="G698" s="3" t="s">
        <v>976</v>
      </c>
      <c r="H698" s="4">
        <v>4531198</v>
      </c>
      <c r="I698" s="4">
        <v>4690931</v>
      </c>
      <c r="J698" s="4">
        <v>2581381.65</v>
      </c>
      <c r="K698" s="16"/>
      <c r="L698" s="17"/>
      <c r="M698" s="4">
        <v>2109549.35</v>
      </c>
    </row>
    <row r="699" spans="1:13" hidden="1" x14ac:dyDescent="0.35">
      <c r="A699" s="65"/>
      <c r="B699" s="75"/>
      <c r="C699" s="70"/>
      <c r="D699" s="72"/>
      <c r="E699" s="67"/>
      <c r="F699" s="67"/>
      <c r="G699" s="3" t="s">
        <v>977</v>
      </c>
      <c r="H699" s="4">
        <v>3058446</v>
      </c>
      <c r="I699" s="4">
        <v>3198446</v>
      </c>
      <c r="J699" s="4">
        <v>3189281.83</v>
      </c>
      <c r="K699" s="16"/>
      <c r="L699" s="17"/>
      <c r="M699" s="4">
        <v>9164.1699999999291</v>
      </c>
    </row>
    <row r="700" spans="1:13" hidden="1" x14ac:dyDescent="0.35">
      <c r="A700" s="65"/>
      <c r="B700" s="75"/>
      <c r="C700" s="70"/>
      <c r="D700" s="72"/>
      <c r="E700" s="68"/>
      <c r="F700" s="68"/>
      <c r="G700" s="3" t="s">
        <v>978</v>
      </c>
      <c r="H700" s="4">
        <v>442627</v>
      </c>
      <c r="I700" s="4">
        <v>442627</v>
      </c>
      <c r="J700" s="4">
        <v>215086.31</v>
      </c>
      <c r="K700" s="16"/>
      <c r="L700" s="17"/>
      <c r="M700" s="4">
        <v>227540.69</v>
      </c>
    </row>
    <row r="701" spans="1:13" hidden="1" x14ac:dyDescent="0.35">
      <c r="A701" s="65"/>
      <c r="B701" s="75"/>
      <c r="C701" s="70"/>
      <c r="D701" s="72"/>
      <c r="E701" s="67" t="s">
        <v>979</v>
      </c>
      <c r="F701" s="67" t="s">
        <v>980</v>
      </c>
      <c r="G701" s="3" t="s">
        <v>981</v>
      </c>
      <c r="H701" s="4">
        <v>1153128</v>
      </c>
      <c r="I701" s="4">
        <v>1153128</v>
      </c>
      <c r="J701" s="4">
        <v>880418.18</v>
      </c>
      <c r="K701" s="16"/>
      <c r="L701" s="17"/>
      <c r="M701" s="4">
        <v>272709.82</v>
      </c>
    </row>
    <row r="702" spans="1:13" hidden="1" x14ac:dyDescent="0.35">
      <c r="A702" s="65"/>
      <c r="B702" s="75"/>
      <c r="C702" s="70"/>
      <c r="D702" s="72"/>
      <c r="E702" s="67"/>
      <c r="F702" s="67"/>
      <c r="G702" s="3" t="s">
        <v>982</v>
      </c>
      <c r="H702" s="4">
        <v>1654060</v>
      </c>
      <c r="I702" s="4">
        <v>1681399</v>
      </c>
      <c r="J702" s="4">
        <v>641981.18999999994</v>
      </c>
      <c r="K702" s="16"/>
      <c r="L702" s="17"/>
      <c r="M702" s="4">
        <v>1039417.81</v>
      </c>
    </row>
    <row r="703" spans="1:13" hidden="1" x14ac:dyDescent="0.35">
      <c r="A703" s="65"/>
      <c r="B703" s="75"/>
      <c r="C703" s="70"/>
      <c r="D703" s="72"/>
      <c r="E703" s="67"/>
      <c r="F703" s="67"/>
      <c r="G703" s="3" t="s">
        <v>983</v>
      </c>
      <c r="H703" s="4">
        <v>1703132</v>
      </c>
      <c r="I703" s="4">
        <v>1703132</v>
      </c>
      <c r="J703" s="4">
        <v>1255873.6399999999</v>
      </c>
      <c r="K703" s="16"/>
      <c r="L703" s="17"/>
      <c r="M703" s="4">
        <v>447258.36</v>
      </c>
    </row>
    <row r="704" spans="1:13" hidden="1" x14ac:dyDescent="0.35">
      <c r="A704" s="65"/>
      <c r="B704" s="75"/>
      <c r="C704" s="70"/>
      <c r="D704" s="72"/>
      <c r="E704" s="68"/>
      <c r="F704" s="68"/>
      <c r="G704" s="3" t="s">
        <v>984</v>
      </c>
      <c r="H704" s="4">
        <v>153570</v>
      </c>
      <c r="I704" s="4">
        <v>153570</v>
      </c>
      <c r="J704" s="17"/>
      <c r="K704" s="16"/>
      <c r="L704" s="17"/>
      <c r="M704" s="4">
        <v>153570</v>
      </c>
    </row>
    <row r="705" spans="1:13" ht="21" hidden="1" x14ac:dyDescent="0.35">
      <c r="A705" s="65"/>
      <c r="B705" s="75"/>
      <c r="C705" s="70"/>
      <c r="D705" s="72"/>
      <c r="E705" s="3" t="s">
        <v>934</v>
      </c>
      <c r="F705" s="3" t="s">
        <v>935</v>
      </c>
      <c r="G705" s="3" t="s">
        <v>985</v>
      </c>
      <c r="H705" s="17"/>
      <c r="I705" s="17"/>
      <c r="J705" s="4">
        <v>-22000</v>
      </c>
      <c r="K705" s="16"/>
      <c r="L705" s="4">
        <v>0</v>
      </c>
      <c r="M705" s="4">
        <v>22000</v>
      </c>
    </row>
    <row r="706" spans="1:13" ht="21" hidden="1" x14ac:dyDescent="0.35">
      <c r="A706" s="65"/>
      <c r="B706" s="75"/>
      <c r="C706" s="70"/>
      <c r="D706" s="72"/>
      <c r="E706" s="3" t="s">
        <v>986</v>
      </c>
      <c r="F706" s="3" t="s">
        <v>987</v>
      </c>
      <c r="G706" s="3" t="s">
        <v>988</v>
      </c>
      <c r="H706" s="4">
        <v>138875</v>
      </c>
      <c r="I706" s="4">
        <v>138875</v>
      </c>
      <c r="J706" s="4">
        <v>138308</v>
      </c>
      <c r="K706" s="16"/>
      <c r="L706" s="17"/>
      <c r="M706" s="4">
        <v>567</v>
      </c>
    </row>
    <row r="707" spans="1:13" hidden="1" x14ac:dyDescent="0.35">
      <c r="A707" s="65"/>
      <c r="B707" s="75"/>
      <c r="C707" s="70"/>
      <c r="D707" s="72"/>
      <c r="E707" s="67" t="s">
        <v>989</v>
      </c>
      <c r="F707" s="67" t="s">
        <v>990</v>
      </c>
      <c r="G707" s="3" t="s">
        <v>991</v>
      </c>
      <c r="H707" s="4">
        <v>0</v>
      </c>
      <c r="I707" s="4">
        <v>-20000</v>
      </c>
      <c r="J707" s="4">
        <v>7.2759576141834308E-12</v>
      </c>
      <c r="K707" s="16"/>
      <c r="L707" s="17"/>
      <c r="M707" s="4">
        <v>-20000</v>
      </c>
    </row>
    <row r="708" spans="1:13" hidden="1" x14ac:dyDescent="0.35">
      <c r="A708" s="65"/>
      <c r="B708" s="75"/>
      <c r="C708" s="70"/>
      <c r="D708" s="72"/>
      <c r="E708" s="68"/>
      <c r="F708" s="68"/>
      <c r="G708" s="3" t="s">
        <v>992</v>
      </c>
      <c r="H708" s="17"/>
      <c r="I708" s="17"/>
      <c r="J708" s="4">
        <v>-3600</v>
      </c>
      <c r="K708" s="16"/>
      <c r="L708" s="4">
        <v>0</v>
      </c>
      <c r="M708" s="4">
        <v>3600</v>
      </c>
    </row>
    <row r="709" spans="1:13" hidden="1" x14ac:dyDescent="0.35">
      <c r="A709" s="65"/>
      <c r="B709" s="75"/>
      <c r="C709" s="70"/>
      <c r="D709" s="72"/>
      <c r="E709" s="67" t="s">
        <v>993</v>
      </c>
      <c r="F709" s="67" t="s">
        <v>994</v>
      </c>
      <c r="G709" s="3" t="s">
        <v>995</v>
      </c>
      <c r="H709" s="4">
        <v>209866</v>
      </c>
      <c r="I709" s="4">
        <v>504174</v>
      </c>
      <c r="J709" s="4">
        <v>274884.49</v>
      </c>
      <c r="K709" s="5">
        <v>2</v>
      </c>
      <c r="L709" s="4">
        <v>134635.19</v>
      </c>
      <c r="M709" s="4">
        <v>94652.32</v>
      </c>
    </row>
    <row r="710" spans="1:13" hidden="1" x14ac:dyDescent="0.35">
      <c r="A710" s="65"/>
      <c r="B710" s="75"/>
      <c r="C710" s="70"/>
      <c r="D710" s="72"/>
      <c r="E710" s="67"/>
      <c r="F710" s="67"/>
      <c r="G710" s="3" t="s">
        <v>996</v>
      </c>
      <c r="H710" s="4">
        <v>6250679</v>
      </c>
      <c r="I710" s="4">
        <v>6229964</v>
      </c>
      <c r="J710" s="4">
        <v>2511614.06</v>
      </c>
      <c r="K710" s="5">
        <v>1271284.6499999999</v>
      </c>
      <c r="L710" s="4">
        <v>2442360.58</v>
      </c>
      <c r="M710" s="4">
        <v>4704.7100000008904</v>
      </c>
    </row>
    <row r="711" spans="1:13" hidden="1" x14ac:dyDescent="0.35">
      <c r="A711" s="65"/>
      <c r="B711" s="75"/>
      <c r="C711" s="70"/>
      <c r="D711" s="72"/>
      <c r="E711" s="67"/>
      <c r="F711" s="67"/>
      <c r="G711" s="3" t="s">
        <v>997</v>
      </c>
      <c r="H711" s="4">
        <v>152708</v>
      </c>
      <c r="I711" s="4">
        <v>1052708</v>
      </c>
      <c r="J711" s="4">
        <v>311746.53999999998</v>
      </c>
      <c r="K711" s="5">
        <v>0</v>
      </c>
      <c r="L711" s="4">
        <v>561000</v>
      </c>
      <c r="M711" s="4">
        <v>179961.46</v>
      </c>
    </row>
    <row r="712" spans="1:13" hidden="1" x14ac:dyDescent="0.35">
      <c r="A712" s="65"/>
      <c r="B712" s="75"/>
      <c r="C712" s="70"/>
      <c r="D712" s="72"/>
      <c r="E712" s="67"/>
      <c r="F712" s="67"/>
      <c r="G712" s="3" t="s">
        <v>998</v>
      </c>
      <c r="H712" s="17"/>
      <c r="I712" s="17"/>
      <c r="J712" s="4">
        <v>-22470</v>
      </c>
      <c r="K712" s="16"/>
      <c r="L712" s="4">
        <v>22470</v>
      </c>
      <c r="M712" s="4">
        <v>0</v>
      </c>
    </row>
    <row r="713" spans="1:13" hidden="1" x14ac:dyDescent="0.35">
      <c r="A713" s="65"/>
      <c r="B713" s="75"/>
      <c r="C713" s="70"/>
      <c r="D713" s="72"/>
      <c r="E713" s="67"/>
      <c r="F713" s="67"/>
      <c r="G713" s="3" t="s">
        <v>999</v>
      </c>
      <c r="H713" s="4">
        <v>4644901</v>
      </c>
      <c r="I713" s="4">
        <v>2443146</v>
      </c>
      <c r="J713" s="4">
        <v>2380245.66</v>
      </c>
      <c r="K713" s="5">
        <v>0</v>
      </c>
      <c r="L713" s="4">
        <v>62400</v>
      </c>
      <c r="M713" s="4">
        <v>500.33999999985099</v>
      </c>
    </row>
    <row r="714" spans="1:13" hidden="1" x14ac:dyDescent="0.35">
      <c r="A714" s="65"/>
      <c r="B714" s="75"/>
      <c r="C714" s="70"/>
      <c r="D714" s="72"/>
      <c r="E714" s="68"/>
      <c r="F714" s="68"/>
      <c r="G714" s="3" t="s">
        <v>1000</v>
      </c>
      <c r="H714" s="4">
        <v>200000</v>
      </c>
      <c r="I714" s="4">
        <v>8580</v>
      </c>
      <c r="J714" s="4">
        <v>8580</v>
      </c>
      <c r="K714" s="16"/>
      <c r="L714" s="17"/>
      <c r="M714" s="4">
        <v>0</v>
      </c>
    </row>
    <row r="715" spans="1:13" ht="21" hidden="1" x14ac:dyDescent="0.35">
      <c r="A715" s="65"/>
      <c r="B715" s="75"/>
      <c r="C715" s="70"/>
      <c r="D715" s="72"/>
      <c r="E715" s="3" t="s">
        <v>1001</v>
      </c>
      <c r="F715" s="3" t="s">
        <v>1002</v>
      </c>
      <c r="G715" s="3" t="s">
        <v>1003</v>
      </c>
      <c r="H715" s="4">
        <v>28558</v>
      </c>
      <c r="I715" s="4">
        <v>28558</v>
      </c>
      <c r="J715" s="4">
        <v>27198</v>
      </c>
      <c r="K715" s="16"/>
      <c r="L715" s="4">
        <v>0</v>
      </c>
      <c r="M715" s="4">
        <v>1360</v>
      </c>
    </row>
    <row r="716" spans="1:13" ht="21" hidden="1" x14ac:dyDescent="0.35">
      <c r="A716" s="65"/>
      <c r="B716" s="75"/>
      <c r="C716" s="70"/>
      <c r="D716" s="72"/>
      <c r="E716" s="3" t="s">
        <v>1004</v>
      </c>
      <c r="F716" s="3" t="s">
        <v>1005</v>
      </c>
      <c r="G716" s="3" t="s">
        <v>1006</v>
      </c>
      <c r="H716" s="4">
        <v>5000</v>
      </c>
      <c r="I716" s="4">
        <v>5000</v>
      </c>
      <c r="J716" s="4">
        <v>3429.62</v>
      </c>
      <c r="K716" s="16"/>
      <c r="L716" s="17"/>
      <c r="M716" s="4">
        <v>1570.38</v>
      </c>
    </row>
    <row r="717" spans="1:13" hidden="1" x14ac:dyDescent="0.35">
      <c r="A717" s="65"/>
      <c r="B717" s="75"/>
      <c r="C717" s="70"/>
      <c r="D717" s="72"/>
      <c r="E717" s="67" t="s">
        <v>1007</v>
      </c>
      <c r="F717" s="67" t="s">
        <v>1008</v>
      </c>
      <c r="G717" s="3" t="s">
        <v>1009</v>
      </c>
      <c r="H717" s="4">
        <v>0</v>
      </c>
      <c r="I717" s="4">
        <v>0</v>
      </c>
      <c r="J717" s="4">
        <v>0</v>
      </c>
      <c r="K717" s="16"/>
      <c r="L717" s="17"/>
      <c r="M717" s="4">
        <v>0</v>
      </c>
    </row>
    <row r="718" spans="1:13" hidden="1" x14ac:dyDescent="0.35">
      <c r="A718" s="65"/>
      <c r="B718" s="75"/>
      <c r="C718" s="70"/>
      <c r="D718" s="72"/>
      <c r="E718" s="67"/>
      <c r="F718" s="67"/>
      <c r="G718" s="3" t="s">
        <v>1010</v>
      </c>
      <c r="H718" s="4">
        <v>10000</v>
      </c>
      <c r="I718" s="4">
        <v>19000</v>
      </c>
      <c r="J718" s="4">
        <v>18398.57</v>
      </c>
      <c r="K718" s="16"/>
      <c r="L718" s="17"/>
      <c r="M718" s="4">
        <v>601.42999999999995</v>
      </c>
    </row>
    <row r="719" spans="1:13" hidden="1" x14ac:dyDescent="0.35">
      <c r="A719" s="65"/>
      <c r="B719" s="75"/>
      <c r="C719" s="70"/>
      <c r="D719" s="72"/>
      <c r="E719" s="68"/>
      <c r="F719" s="68"/>
      <c r="G719" s="3" t="s">
        <v>1011</v>
      </c>
      <c r="H719" s="4">
        <v>0</v>
      </c>
      <c r="I719" s="4">
        <v>3320</v>
      </c>
      <c r="J719" s="4">
        <v>3160</v>
      </c>
      <c r="K719" s="16"/>
      <c r="L719" s="17"/>
      <c r="M719" s="4">
        <v>160</v>
      </c>
    </row>
    <row r="720" spans="1:13" ht="31.5" hidden="1" x14ac:dyDescent="0.35">
      <c r="A720" s="65"/>
      <c r="B720" s="75"/>
      <c r="C720" s="70"/>
      <c r="D720" s="72"/>
      <c r="E720" s="3" t="s">
        <v>779</v>
      </c>
      <c r="F720" s="3" t="s">
        <v>780</v>
      </c>
      <c r="G720" s="3" t="s">
        <v>1012</v>
      </c>
      <c r="H720" s="17"/>
      <c r="I720" s="17"/>
      <c r="J720" s="4">
        <v>-600</v>
      </c>
      <c r="K720" s="16"/>
      <c r="L720" s="4">
        <v>600</v>
      </c>
      <c r="M720" s="4">
        <v>0</v>
      </c>
    </row>
    <row r="721" spans="1:13" ht="21" hidden="1" x14ac:dyDescent="0.35">
      <c r="A721" s="65"/>
      <c r="B721" s="75"/>
      <c r="C721" s="70"/>
      <c r="D721" s="72"/>
      <c r="E721" s="3" t="s">
        <v>1013</v>
      </c>
      <c r="F721" s="3" t="s">
        <v>1014</v>
      </c>
      <c r="G721" s="3" t="s">
        <v>1015</v>
      </c>
      <c r="H721" s="4">
        <v>3000</v>
      </c>
      <c r="I721" s="4">
        <v>3000</v>
      </c>
      <c r="J721" s="17"/>
      <c r="K721" s="16"/>
      <c r="L721" s="17"/>
      <c r="M721" s="4">
        <v>3000</v>
      </c>
    </row>
    <row r="722" spans="1:13" hidden="1" x14ac:dyDescent="0.35">
      <c r="A722" s="65"/>
      <c r="B722" s="75"/>
      <c r="C722" s="70"/>
      <c r="D722" s="72"/>
      <c r="E722" s="67" t="s">
        <v>707</v>
      </c>
      <c r="F722" s="67" t="s">
        <v>708</v>
      </c>
      <c r="G722" s="3" t="s">
        <v>1016</v>
      </c>
      <c r="H722" s="4">
        <v>0</v>
      </c>
      <c r="I722" s="4">
        <v>0</v>
      </c>
      <c r="J722" s="17"/>
      <c r="K722" s="16"/>
      <c r="L722" s="17"/>
      <c r="M722" s="4">
        <v>0</v>
      </c>
    </row>
    <row r="723" spans="1:13" hidden="1" x14ac:dyDescent="0.35">
      <c r="A723" s="65"/>
      <c r="B723" s="75"/>
      <c r="C723" s="70"/>
      <c r="D723" s="72"/>
      <c r="E723" s="67"/>
      <c r="F723" s="67"/>
      <c r="G723" s="3" t="s">
        <v>1017</v>
      </c>
      <c r="H723" s="4">
        <v>35780</v>
      </c>
      <c r="I723" s="4">
        <v>245780</v>
      </c>
      <c r="J723" s="4">
        <v>243267.16</v>
      </c>
      <c r="K723" s="5">
        <v>0</v>
      </c>
      <c r="L723" s="4">
        <v>0</v>
      </c>
      <c r="M723" s="4">
        <v>2512.84</v>
      </c>
    </row>
    <row r="724" spans="1:13" hidden="1" x14ac:dyDescent="0.35">
      <c r="A724" s="65"/>
      <c r="B724" s="75"/>
      <c r="C724" s="70"/>
      <c r="D724" s="72"/>
      <c r="E724" s="68"/>
      <c r="F724" s="68"/>
      <c r="G724" s="3" t="s">
        <v>1018</v>
      </c>
      <c r="H724" s="4">
        <v>13608</v>
      </c>
      <c r="I724" s="4">
        <v>73608</v>
      </c>
      <c r="J724" s="4">
        <v>73098.09</v>
      </c>
      <c r="K724" s="16"/>
      <c r="L724" s="17"/>
      <c r="M724" s="4">
        <v>509.91000000000298</v>
      </c>
    </row>
    <row r="725" spans="1:13" hidden="1" x14ac:dyDescent="0.35">
      <c r="A725" s="65"/>
      <c r="B725" s="75"/>
      <c r="C725" s="71"/>
      <c r="D725" s="73"/>
      <c r="E725" s="3" t="s">
        <v>1019</v>
      </c>
      <c r="F725" s="3" t="s">
        <v>1020</v>
      </c>
      <c r="G725" s="3" t="s">
        <v>1021</v>
      </c>
      <c r="H725" s="4">
        <v>0</v>
      </c>
      <c r="I725" s="4">
        <v>246360</v>
      </c>
      <c r="J725" s="17"/>
      <c r="K725" s="5">
        <v>0</v>
      </c>
      <c r="L725" s="4">
        <v>222400</v>
      </c>
      <c r="M725" s="4">
        <v>23960</v>
      </c>
    </row>
    <row r="726" spans="1:13" hidden="1" x14ac:dyDescent="0.35">
      <c r="A726" s="65"/>
      <c r="B726" s="75"/>
      <c r="C726" s="70" t="s">
        <v>376</v>
      </c>
      <c r="D726" s="72" t="s">
        <v>377</v>
      </c>
      <c r="E726" s="3" t="s">
        <v>945</v>
      </c>
      <c r="F726" s="3" t="s">
        <v>946</v>
      </c>
      <c r="G726" s="3" t="s">
        <v>1022</v>
      </c>
      <c r="H726" s="4">
        <v>4009370</v>
      </c>
      <c r="I726" s="4">
        <v>4009370</v>
      </c>
      <c r="J726" s="4">
        <v>1681858.88</v>
      </c>
      <c r="K726" s="5">
        <v>25901</v>
      </c>
      <c r="L726" s="4">
        <v>1190465.27</v>
      </c>
      <c r="M726" s="4">
        <v>1111144.8500000001</v>
      </c>
    </row>
    <row r="727" spans="1:13" hidden="1" x14ac:dyDescent="0.35">
      <c r="A727" s="65"/>
      <c r="B727" s="75"/>
      <c r="C727" s="70"/>
      <c r="D727" s="72"/>
      <c r="E727" s="3" t="s">
        <v>989</v>
      </c>
      <c r="F727" s="3" t="s">
        <v>990</v>
      </c>
      <c r="G727" s="3" t="s">
        <v>1023</v>
      </c>
      <c r="H727" s="4">
        <v>0</v>
      </c>
      <c r="I727" s="4">
        <v>797755</v>
      </c>
      <c r="J727" s="4">
        <v>581760</v>
      </c>
      <c r="K727" s="16"/>
      <c r="L727" s="17"/>
      <c r="M727" s="4">
        <v>215995</v>
      </c>
    </row>
    <row r="728" spans="1:13" hidden="1" x14ac:dyDescent="0.35">
      <c r="A728" s="65"/>
      <c r="B728" s="75"/>
      <c r="C728" s="70"/>
      <c r="D728" s="72"/>
      <c r="E728" s="67" t="s">
        <v>993</v>
      </c>
      <c r="F728" s="67" t="s">
        <v>994</v>
      </c>
      <c r="G728" s="3" t="s">
        <v>1024</v>
      </c>
      <c r="H728" s="4">
        <v>9870670</v>
      </c>
      <c r="I728" s="4">
        <v>9500670</v>
      </c>
      <c r="J728" s="4">
        <v>4462112.6900000004</v>
      </c>
      <c r="K728" s="5">
        <v>995282</v>
      </c>
      <c r="L728" s="4">
        <v>3967885.95</v>
      </c>
      <c r="M728" s="4">
        <v>75389.360000000306</v>
      </c>
    </row>
    <row r="729" spans="1:13" hidden="1" x14ac:dyDescent="0.35">
      <c r="A729" s="65"/>
      <c r="B729" s="75"/>
      <c r="C729" s="70"/>
      <c r="D729" s="72"/>
      <c r="E729" s="68"/>
      <c r="F729" s="68"/>
      <c r="G729" s="3" t="s">
        <v>1025</v>
      </c>
      <c r="H729" s="4">
        <v>4389857</v>
      </c>
      <c r="I729" s="4">
        <v>4409857</v>
      </c>
      <c r="J729" s="4">
        <v>1526922.12</v>
      </c>
      <c r="K729" s="5">
        <v>851750</v>
      </c>
      <c r="L729" s="4">
        <v>1903371.66</v>
      </c>
      <c r="M729" s="4">
        <v>127813.22</v>
      </c>
    </row>
    <row r="730" spans="1:13" hidden="1" x14ac:dyDescent="0.35">
      <c r="A730" s="65"/>
      <c r="B730" s="75"/>
      <c r="C730" s="70"/>
      <c r="D730" s="72"/>
      <c r="E730" s="3" t="s">
        <v>1007</v>
      </c>
      <c r="F730" s="3" t="s">
        <v>1008</v>
      </c>
      <c r="G730" s="3" t="s">
        <v>1026</v>
      </c>
      <c r="H730" s="4">
        <v>25000</v>
      </c>
      <c r="I730" s="4">
        <v>45000</v>
      </c>
      <c r="J730" s="4">
        <v>34628.81</v>
      </c>
      <c r="K730" s="16"/>
      <c r="L730" s="17"/>
      <c r="M730" s="4">
        <v>10371.19</v>
      </c>
    </row>
    <row r="731" spans="1:13" hidden="1" x14ac:dyDescent="0.35">
      <c r="A731" s="65"/>
      <c r="B731" s="75"/>
      <c r="C731" s="71"/>
      <c r="D731" s="73"/>
      <c r="E731" s="3" t="s">
        <v>701</v>
      </c>
      <c r="F731" s="3" t="s">
        <v>702</v>
      </c>
      <c r="G731" s="3" t="s">
        <v>1027</v>
      </c>
      <c r="H731" s="4">
        <v>465000</v>
      </c>
      <c r="I731" s="4">
        <v>0</v>
      </c>
      <c r="J731" s="17"/>
      <c r="K731" s="16"/>
      <c r="L731" s="17"/>
      <c r="M731" s="4">
        <v>0</v>
      </c>
    </row>
    <row r="732" spans="1:13" hidden="1" x14ac:dyDescent="0.35">
      <c r="A732" s="65"/>
      <c r="B732" s="75"/>
      <c r="C732" s="70" t="s">
        <v>409</v>
      </c>
      <c r="D732" s="72" t="s">
        <v>410</v>
      </c>
      <c r="E732" s="3" t="s">
        <v>1028</v>
      </c>
      <c r="F732" s="3" t="s">
        <v>1029</v>
      </c>
      <c r="G732" s="3" t="s">
        <v>1030</v>
      </c>
      <c r="H732" s="4">
        <v>319725</v>
      </c>
      <c r="I732" s="4">
        <v>319725</v>
      </c>
      <c r="J732" s="4">
        <v>203515</v>
      </c>
      <c r="K732" s="16"/>
      <c r="L732" s="17"/>
      <c r="M732" s="4">
        <v>116210</v>
      </c>
    </row>
    <row r="733" spans="1:13" hidden="1" x14ac:dyDescent="0.35">
      <c r="A733" s="65"/>
      <c r="B733" s="75"/>
      <c r="C733" s="70"/>
      <c r="D733" s="72"/>
      <c r="E733" s="3" t="s">
        <v>674</v>
      </c>
      <c r="F733" s="3" t="s">
        <v>675</v>
      </c>
      <c r="G733" s="3" t="s">
        <v>1031</v>
      </c>
      <c r="H733" s="4">
        <v>68000</v>
      </c>
      <c r="I733" s="4">
        <v>0</v>
      </c>
      <c r="J733" s="17"/>
      <c r="K733" s="16"/>
      <c r="L733" s="17"/>
      <c r="M733" s="4">
        <v>0</v>
      </c>
    </row>
    <row r="734" spans="1:13" hidden="1" x14ac:dyDescent="0.35">
      <c r="A734" s="65"/>
      <c r="B734" s="75"/>
      <c r="C734" s="70"/>
      <c r="D734" s="72"/>
      <c r="E734" s="3" t="s">
        <v>945</v>
      </c>
      <c r="F734" s="3" t="s">
        <v>946</v>
      </c>
      <c r="G734" s="3" t="s">
        <v>1032</v>
      </c>
      <c r="H734" s="4">
        <v>524160</v>
      </c>
      <c r="I734" s="4">
        <v>555160</v>
      </c>
      <c r="J734" s="4">
        <v>420033.33</v>
      </c>
      <c r="K734" s="5">
        <v>1</v>
      </c>
      <c r="L734" s="17"/>
      <c r="M734" s="4">
        <v>135125.67000000001</v>
      </c>
    </row>
    <row r="735" spans="1:13" hidden="1" x14ac:dyDescent="0.35">
      <c r="A735" s="65"/>
      <c r="B735" s="75"/>
      <c r="C735" s="70"/>
      <c r="D735" s="72"/>
      <c r="E735" s="3" t="s">
        <v>1033</v>
      </c>
      <c r="F735" s="3" t="s">
        <v>1034</v>
      </c>
      <c r="G735" s="3" t="s">
        <v>1035</v>
      </c>
      <c r="H735" s="4">
        <v>3511</v>
      </c>
      <c r="I735" s="4">
        <v>3511</v>
      </c>
      <c r="J735" s="4">
        <v>821.08</v>
      </c>
      <c r="K735" s="16"/>
      <c r="L735" s="17"/>
      <c r="M735" s="4">
        <v>2689.92</v>
      </c>
    </row>
    <row r="736" spans="1:13" hidden="1" x14ac:dyDescent="0.35">
      <c r="A736" s="65"/>
      <c r="B736" s="75"/>
      <c r="C736" s="70"/>
      <c r="D736" s="72"/>
      <c r="E736" s="3" t="s">
        <v>1036</v>
      </c>
      <c r="F736" s="3" t="s">
        <v>1037</v>
      </c>
      <c r="G736" s="3" t="s">
        <v>1038</v>
      </c>
      <c r="H736" s="4">
        <v>90000</v>
      </c>
      <c r="I736" s="4">
        <v>87500</v>
      </c>
      <c r="J736" s="4">
        <v>51287.91</v>
      </c>
      <c r="K736" s="16"/>
      <c r="L736" s="17"/>
      <c r="M736" s="4">
        <v>36212.089999999997</v>
      </c>
    </row>
    <row r="737" spans="1:13" hidden="1" x14ac:dyDescent="0.35">
      <c r="A737" s="65"/>
      <c r="B737" s="75"/>
      <c r="C737" s="70"/>
      <c r="D737" s="72"/>
      <c r="E737" s="3" t="s">
        <v>686</v>
      </c>
      <c r="F737" s="3" t="s">
        <v>687</v>
      </c>
      <c r="G737" s="3" t="s">
        <v>1039</v>
      </c>
      <c r="H737" s="4">
        <v>31680</v>
      </c>
      <c r="I737" s="4">
        <v>31680</v>
      </c>
      <c r="J737" s="4">
        <v>31680</v>
      </c>
      <c r="K737" s="5">
        <v>0</v>
      </c>
      <c r="L737" s="4">
        <v>0</v>
      </c>
      <c r="M737" s="4">
        <v>-3.6379788070917101E-12</v>
      </c>
    </row>
    <row r="738" spans="1:13" hidden="1" x14ac:dyDescent="0.35">
      <c r="A738" s="65"/>
      <c r="B738" s="75"/>
      <c r="C738" s="70"/>
      <c r="D738" s="72"/>
      <c r="E738" s="3" t="s">
        <v>707</v>
      </c>
      <c r="F738" s="3" t="s">
        <v>708</v>
      </c>
      <c r="G738" s="3" t="s">
        <v>1040</v>
      </c>
      <c r="H738" s="4">
        <v>15000</v>
      </c>
      <c r="I738" s="4">
        <v>15000</v>
      </c>
      <c r="J738" s="4">
        <v>15000</v>
      </c>
      <c r="K738" s="16"/>
      <c r="L738" s="17"/>
      <c r="M738" s="4">
        <v>0</v>
      </c>
    </row>
    <row r="739" spans="1:13" hidden="1" x14ac:dyDescent="0.35">
      <c r="A739" s="65"/>
      <c r="B739" s="75"/>
      <c r="C739" s="71"/>
      <c r="D739" s="73"/>
      <c r="E739" s="3" t="s">
        <v>1041</v>
      </c>
      <c r="F739" s="3" t="s">
        <v>1042</v>
      </c>
      <c r="G739" s="3" t="s">
        <v>1043</v>
      </c>
      <c r="H739" s="4">
        <v>0</v>
      </c>
      <c r="I739" s="4">
        <v>2500</v>
      </c>
      <c r="J739" s="4">
        <v>-18121</v>
      </c>
      <c r="K739" s="16"/>
      <c r="L739" s="17"/>
      <c r="M739" s="4">
        <v>20621</v>
      </c>
    </row>
    <row r="740" spans="1:13" hidden="1" x14ac:dyDescent="0.35">
      <c r="A740" s="65"/>
      <c r="B740" s="75"/>
      <c r="C740" s="70" t="s">
        <v>440</v>
      </c>
      <c r="D740" s="72" t="s">
        <v>441</v>
      </c>
      <c r="E740" s="3" t="s">
        <v>674</v>
      </c>
      <c r="F740" s="3" t="s">
        <v>675</v>
      </c>
      <c r="G740" s="3" t="s">
        <v>1044</v>
      </c>
      <c r="H740" s="17"/>
      <c r="I740" s="17"/>
      <c r="J740" s="4">
        <v>-94353.1</v>
      </c>
      <c r="K740" s="16"/>
      <c r="L740" s="4">
        <v>8000</v>
      </c>
      <c r="M740" s="4">
        <v>86353.1</v>
      </c>
    </row>
    <row r="741" spans="1:13" ht="21" hidden="1" x14ac:dyDescent="0.35">
      <c r="A741" s="65"/>
      <c r="B741" s="75"/>
      <c r="C741" s="70"/>
      <c r="D741" s="72"/>
      <c r="E741" s="3" t="s">
        <v>677</v>
      </c>
      <c r="F741" s="3" t="s">
        <v>678</v>
      </c>
      <c r="G741" s="3" t="s">
        <v>1045</v>
      </c>
      <c r="H741" s="4">
        <v>0</v>
      </c>
      <c r="I741" s="4">
        <v>2000</v>
      </c>
      <c r="J741" s="4">
        <v>2000</v>
      </c>
      <c r="K741" s="16"/>
      <c r="L741" s="17"/>
      <c r="M741" s="4">
        <v>0</v>
      </c>
    </row>
    <row r="742" spans="1:13" ht="21" hidden="1" x14ac:dyDescent="0.35">
      <c r="A742" s="65"/>
      <c r="B742" s="75"/>
      <c r="C742" s="70"/>
      <c r="D742" s="72"/>
      <c r="E742" s="3" t="s">
        <v>970</v>
      </c>
      <c r="F742" s="3" t="s">
        <v>971</v>
      </c>
      <c r="G742" s="3" t="s">
        <v>1046</v>
      </c>
      <c r="H742" s="4">
        <v>8262</v>
      </c>
      <c r="I742" s="4">
        <v>8262</v>
      </c>
      <c r="J742" s="4">
        <v>-19191.54</v>
      </c>
      <c r="K742" s="5">
        <v>1</v>
      </c>
      <c r="L742" s="17"/>
      <c r="M742" s="4">
        <v>27388.54</v>
      </c>
    </row>
    <row r="743" spans="1:13" hidden="1" x14ac:dyDescent="0.35">
      <c r="A743" s="65"/>
      <c r="B743" s="75"/>
      <c r="C743" s="70"/>
      <c r="D743" s="72"/>
      <c r="E743" s="67" t="s">
        <v>934</v>
      </c>
      <c r="F743" s="67" t="s">
        <v>935</v>
      </c>
      <c r="G743" s="3" t="s">
        <v>1047</v>
      </c>
      <c r="H743" s="4">
        <v>250127</v>
      </c>
      <c r="I743" s="4">
        <v>238827</v>
      </c>
      <c r="J743" s="4">
        <v>193311.04</v>
      </c>
      <c r="K743" s="5">
        <v>11694.2</v>
      </c>
      <c r="L743" s="4">
        <v>0</v>
      </c>
      <c r="M743" s="4">
        <v>33821.760000000002</v>
      </c>
    </row>
    <row r="744" spans="1:13" hidden="1" x14ac:dyDescent="0.35">
      <c r="A744" s="65"/>
      <c r="B744" s="75"/>
      <c r="C744" s="70"/>
      <c r="D744" s="72"/>
      <c r="E744" s="68"/>
      <c r="F744" s="68"/>
      <c r="G744" s="3" t="s">
        <v>1048</v>
      </c>
      <c r="H744" s="4">
        <v>0</v>
      </c>
      <c r="I744" s="4">
        <v>9300</v>
      </c>
      <c r="J744" s="4">
        <v>9300</v>
      </c>
      <c r="K744" s="16"/>
      <c r="L744" s="17"/>
      <c r="M744" s="4">
        <v>0</v>
      </c>
    </row>
    <row r="745" spans="1:13" hidden="1" x14ac:dyDescent="0.35">
      <c r="A745" s="65"/>
      <c r="B745" s="75"/>
      <c r="C745" s="70"/>
      <c r="D745" s="72"/>
      <c r="E745" s="3" t="s">
        <v>701</v>
      </c>
      <c r="F745" s="3" t="s">
        <v>702</v>
      </c>
      <c r="G745" s="3" t="s">
        <v>1049</v>
      </c>
      <c r="H745" s="4">
        <v>385799</v>
      </c>
      <c r="I745" s="4">
        <v>839299</v>
      </c>
      <c r="J745" s="4">
        <v>446987.99</v>
      </c>
      <c r="K745" s="5">
        <v>154.25</v>
      </c>
      <c r="L745" s="4">
        <v>237016.67</v>
      </c>
      <c r="M745" s="4">
        <v>155140.09</v>
      </c>
    </row>
    <row r="746" spans="1:13" hidden="1" x14ac:dyDescent="0.35">
      <c r="A746" s="65"/>
      <c r="B746" s="75"/>
      <c r="C746" s="71"/>
      <c r="D746" s="73"/>
      <c r="E746" s="3" t="s">
        <v>1041</v>
      </c>
      <c r="F746" s="3" t="s">
        <v>1042</v>
      </c>
      <c r="G746" s="3" t="s">
        <v>1050</v>
      </c>
      <c r="H746" s="4">
        <v>45814</v>
      </c>
      <c r="I746" s="4">
        <v>57314</v>
      </c>
      <c r="J746" s="4">
        <v>33350.050000000003</v>
      </c>
      <c r="K746" s="5">
        <v>6659</v>
      </c>
      <c r="L746" s="4">
        <v>16740</v>
      </c>
      <c r="M746" s="4">
        <v>564.95000000001903</v>
      </c>
    </row>
    <row r="747" spans="1:13" hidden="1" x14ac:dyDescent="0.35">
      <c r="A747" s="65"/>
      <c r="B747" s="75"/>
      <c r="C747" s="70" t="s">
        <v>451</v>
      </c>
      <c r="D747" s="72" t="s">
        <v>452</v>
      </c>
      <c r="E747" s="3" t="s">
        <v>674</v>
      </c>
      <c r="F747" s="3" t="s">
        <v>675</v>
      </c>
      <c r="G747" s="3" t="s">
        <v>1051</v>
      </c>
      <c r="H747" s="4">
        <v>35000</v>
      </c>
      <c r="I747" s="4">
        <v>47000</v>
      </c>
      <c r="J747" s="4">
        <v>7345</v>
      </c>
      <c r="K747" s="16"/>
      <c r="L747" s="17"/>
      <c r="M747" s="4">
        <v>39655</v>
      </c>
    </row>
    <row r="748" spans="1:13" hidden="1" x14ac:dyDescent="0.35">
      <c r="A748" s="65"/>
      <c r="B748" s="75"/>
      <c r="C748" s="70"/>
      <c r="D748" s="72"/>
      <c r="E748" s="3" t="s">
        <v>717</v>
      </c>
      <c r="F748" s="3" t="s">
        <v>718</v>
      </c>
      <c r="G748" s="3" t="s">
        <v>1052</v>
      </c>
      <c r="H748" s="17"/>
      <c r="I748" s="17"/>
      <c r="J748" s="4">
        <v>-3363.4</v>
      </c>
      <c r="K748" s="16"/>
      <c r="L748" s="4">
        <v>0</v>
      </c>
      <c r="M748" s="4">
        <v>3363.4</v>
      </c>
    </row>
    <row r="749" spans="1:13" ht="31.5" hidden="1" x14ac:dyDescent="0.35">
      <c r="A749" s="65"/>
      <c r="B749" s="75"/>
      <c r="C749" s="70"/>
      <c r="D749" s="72"/>
      <c r="E749" s="3" t="s">
        <v>680</v>
      </c>
      <c r="F749" s="3" t="s">
        <v>681</v>
      </c>
      <c r="G749" s="3" t="s">
        <v>1053</v>
      </c>
      <c r="H749" s="4">
        <v>15000</v>
      </c>
      <c r="I749" s="4">
        <v>15000</v>
      </c>
      <c r="J749" s="4">
        <v>-9525</v>
      </c>
      <c r="K749" s="16"/>
      <c r="L749" s="4">
        <v>0</v>
      </c>
      <c r="M749" s="4">
        <v>24525</v>
      </c>
    </row>
    <row r="750" spans="1:13" hidden="1" x14ac:dyDescent="0.35">
      <c r="A750" s="65"/>
      <c r="B750" s="75"/>
      <c r="C750" s="70"/>
      <c r="D750" s="72"/>
      <c r="E750" s="3" t="s">
        <v>683</v>
      </c>
      <c r="F750" s="3" t="s">
        <v>684</v>
      </c>
      <c r="G750" s="3" t="s">
        <v>1054</v>
      </c>
      <c r="H750" s="4">
        <v>6363</v>
      </c>
      <c r="I750" s="4">
        <v>6363</v>
      </c>
      <c r="J750" s="17"/>
      <c r="K750" s="16"/>
      <c r="L750" s="17"/>
      <c r="M750" s="4">
        <v>6363</v>
      </c>
    </row>
    <row r="751" spans="1:13" hidden="1" x14ac:dyDescent="0.35">
      <c r="A751" s="65"/>
      <c r="B751" s="75"/>
      <c r="C751" s="70"/>
      <c r="D751" s="72"/>
      <c r="E751" s="3" t="s">
        <v>686</v>
      </c>
      <c r="F751" s="3" t="s">
        <v>687</v>
      </c>
      <c r="G751" s="3" t="s">
        <v>1055</v>
      </c>
      <c r="H751" s="4">
        <v>365000</v>
      </c>
      <c r="I751" s="4">
        <v>365000</v>
      </c>
      <c r="J751" s="4">
        <v>354291.93</v>
      </c>
      <c r="K751" s="5">
        <v>0</v>
      </c>
      <c r="L751" s="4">
        <v>0</v>
      </c>
      <c r="M751" s="4">
        <v>10708.07</v>
      </c>
    </row>
    <row r="752" spans="1:13" hidden="1" x14ac:dyDescent="0.35">
      <c r="A752" s="65"/>
      <c r="B752" s="75"/>
      <c r="C752" s="70"/>
      <c r="D752" s="72"/>
      <c r="E752" s="3" t="s">
        <v>728</v>
      </c>
      <c r="F752" s="3" t="s">
        <v>729</v>
      </c>
      <c r="G752" s="3" t="s">
        <v>1056</v>
      </c>
      <c r="H752" s="4">
        <v>4420</v>
      </c>
      <c r="I752" s="4">
        <v>4420</v>
      </c>
      <c r="J752" s="4">
        <v>9360</v>
      </c>
      <c r="K752" s="16"/>
      <c r="L752" s="17"/>
      <c r="M752" s="4">
        <v>-4940</v>
      </c>
    </row>
    <row r="753" spans="1:13" ht="21" hidden="1" x14ac:dyDescent="0.35">
      <c r="A753" s="65"/>
      <c r="B753" s="75"/>
      <c r="C753" s="70"/>
      <c r="D753" s="72"/>
      <c r="E753" s="3" t="s">
        <v>692</v>
      </c>
      <c r="F753" s="3" t="s">
        <v>693</v>
      </c>
      <c r="G753" s="3" t="s">
        <v>1057</v>
      </c>
      <c r="H753" s="4">
        <v>10000</v>
      </c>
      <c r="I753" s="4">
        <v>10000</v>
      </c>
      <c r="J753" s="17"/>
      <c r="K753" s="16"/>
      <c r="L753" s="17"/>
      <c r="M753" s="4">
        <v>10000</v>
      </c>
    </row>
    <row r="754" spans="1:13" ht="21" hidden="1" x14ac:dyDescent="0.35">
      <c r="A754" s="65"/>
      <c r="B754" s="75"/>
      <c r="C754" s="70"/>
      <c r="D754" s="72"/>
      <c r="E754" s="3" t="s">
        <v>695</v>
      </c>
      <c r="F754" s="3" t="s">
        <v>696</v>
      </c>
      <c r="G754" s="3" t="s">
        <v>1058</v>
      </c>
      <c r="H754" s="4">
        <v>0</v>
      </c>
      <c r="I754" s="4">
        <v>40000</v>
      </c>
      <c r="J754" s="17"/>
      <c r="K754" s="16"/>
      <c r="L754" s="17"/>
      <c r="M754" s="4">
        <v>40000</v>
      </c>
    </row>
    <row r="755" spans="1:13" hidden="1" x14ac:dyDescent="0.35">
      <c r="A755" s="65"/>
      <c r="B755" s="75"/>
      <c r="C755" s="70"/>
      <c r="D755" s="72"/>
      <c r="E755" s="3" t="s">
        <v>698</v>
      </c>
      <c r="F755" s="3" t="s">
        <v>699</v>
      </c>
      <c r="G755" s="3" t="s">
        <v>1059</v>
      </c>
      <c r="H755" s="4">
        <v>40000</v>
      </c>
      <c r="I755" s="4">
        <v>0</v>
      </c>
      <c r="J755" s="17"/>
      <c r="K755" s="16"/>
      <c r="L755" s="17"/>
      <c r="M755" s="4">
        <v>0</v>
      </c>
    </row>
    <row r="756" spans="1:13" hidden="1" x14ac:dyDescent="0.35">
      <c r="A756" s="65"/>
      <c r="B756" s="75"/>
      <c r="C756" s="71"/>
      <c r="D756" s="73"/>
      <c r="E756" s="3" t="s">
        <v>707</v>
      </c>
      <c r="F756" s="3" t="s">
        <v>708</v>
      </c>
      <c r="G756" s="3" t="s">
        <v>1060</v>
      </c>
      <c r="H756" s="4">
        <v>75479</v>
      </c>
      <c r="I756" s="4">
        <v>75479</v>
      </c>
      <c r="J756" s="4">
        <v>39790</v>
      </c>
      <c r="K756" s="5">
        <v>0</v>
      </c>
      <c r="L756" s="4">
        <v>0</v>
      </c>
      <c r="M756" s="4">
        <v>35689</v>
      </c>
    </row>
    <row r="757" spans="1:13" hidden="1" x14ac:dyDescent="0.35">
      <c r="A757" s="65"/>
      <c r="B757" s="75"/>
      <c r="C757" s="70" t="s">
        <v>480</v>
      </c>
      <c r="D757" s="72" t="s">
        <v>481</v>
      </c>
      <c r="E757" s="3" t="s">
        <v>1061</v>
      </c>
      <c r="F757" s="3" t="s">
        <v>1062</v>
      </c>
      <c r="G757" s="3" t="s">
        <v>1063</v>
      </c>
      <c r="H757" s="4">
        <v>300000</v>
      </c>
      <c r="I757" s="4">
        <v>300000</v>
      </c>
      <c r="J757" s="4">
        <v>300000</v>
      </c>
      <c r="K757" s="16"/>
      <c r="L757" s="17"/>
      <c r="M757" s="4">
        <v>0</v>
      </c>
    </row>
    <row r="758" spans="1:13" hidden="1" x14ac:dyDescent="0.35">
      <c r="A758" s="65"/>
      <c r="B758" s="75"/>
      <c r="C758" s="70"/>
      <c r="D758" s="72"/>
      <c r="E758" s="3" t="s">
        <v>945</v>
      </c>
      <c r="F758" s="3" t="s">
        <v>946</v>
      </c>
      <c r="G758" s="3" t="s">
        <v>1064</v>
      </c>
      <c r="H758" s="4">
        <v>24291785</v>
      </c>
      <c r="I758" s="4">
        <v>1524278</v>
      </c>
      <c r="J758" s="4">
        <v>31844.290000000299</v>
      </c>
      <c r="K758" s="5">
        <v>1</v>
      </c>
      <c r="L758" s="4">
        <v>1492043</v>
      </c>
      <c r="M758" s="4">
        <v>389.70999999972997</v>
      </c>
    </row>
    <row r="759" spans="1:13" hidden="1" x14ac:dyDescent="0.35">
      <c r="A759" s="65"/>
      <c r="B759" s="75"/>
      <c r="C759" s="70"/>
      <c r="D759" s="72"/>
      <c r="E759" s="67" t="s">
        <v>686</v>
      </c>
      <c r="F759" s="67" t="s">
        <v>687</v>
      </c>
      <c r="G759" s="3" t="s">
        <v>1065</v>
      </c>
      <c r="H759" s="17"/>
      <c r="I759" s="17"/>
      <c r="J759" s="4">
        <v>-15649.2</v>
      </c>
      <c r="K759" s="16"/>
      <c r="L759" s="4">
        <v>0</v>
      </c>
      <c r="M759" s="4">
        <v>15649.2</v>
      </c>
    </row>
    <row r="760" spans="1:13" hidden="1" x14ac:dyDescent="0.35">
      <c r="A760" s="65"/>
      <c r="B760" s="75"/>
      <c r="C760" s="70"/>
      <c r="D760" s="72"/>
      <c r="E760" s="68"/>
      <c r="F760" s="68"/>
      <c r="G760" s="3" t="s">
        <v>1066</v>
      </c>
      <c r="H760" s="4">
        <v>9324328</v>
      </c>
      <c r="I760" s="4">
        <v>9217828</v>
      </c>
      <c r="J760" s="4">
        <v>3641632.61</v>
      </c>
      <c r="K760" s="5">
        <v>2510480.16</v>
      </c>
      <c r="L760" s="4">
        <v>3045638.5</v>
      </c>
      <c r="M760" s="4">
        <v>14242.6400000006</v>
      </c>
    </row>
    <row r="761" spans="1:13" hidden="1" x14ac:dyDescent="0.35">
      <c r="A761" s="65"/>
      <c r="B761" s="75"/>
      <c r="C761" s="70"/>
      <c r="D761" s="72"/>
      <c r="E761" s="3" t="s">
        <v>1067</v>
      </c>
      <c r="F761" s="3" t="s">
        <v>1068</v>
      </c>
      <c r="G761" s="3" t="s">
        <v>1069</v>
      </c>
      <c r="H761" s="4">
        <v>1068281</v>
      </c>
      <c r="I761" s="4">
        <v>1046971</v>
      </c>
      <c r="J761" s="4">
        <v>798615.64</v>
      </c>
      <c r="K761" s="16"/>
      <c r="L761" s="17"/>
      <c r="M761" s="4">
        <v>236876.32</v>
      </c>
    </row>
    <row r="762" spans="1:13" hidden="1" x14ac:dyDescent="0.35">
      <c r="A762" s="65"/>
      <c r="B762" s="75"/>
      <c r="C762" s="70"/>
      <c r="D762" s="72"/>
      <c r="E762" s="67" t="s">
        <v>1070</v>
      </c>
      <c r="F762" s="67" t="s">
        <v>1071</v>
      </c>
      <c r="G762" s="3" t="s">
        <v>1072</v>
      </c>
      <c r="H762" s="4">
        <v>2112872</v>
      </c>
      <c r="I762" s="4">
        <v>2962872</v>
      </c>
      <c r="J762" s="4">
        <v>2653555.29</v>
      </c>
      <c r="K762" s="16"/>
      <c r="L762" s="17"/>
      <c r="M762" s="4">
        <v>309316.71000000002</v>
      </c>
    </row>
    <row r="763" spans="1:13" hidden="1" x14ac:dyDescent="0.35">
      <c r="A763" s="65"/>
      <c r="B763" s="75"/>
      <c r="C763" s="70"/>
      <c r="D763" s="72"/>
      <c r="E763" s="68"/>
      <c r="F763" s="68"/>
      <c r="G763" s="3" t="s">
        <v>1073</v>
      </c>
      <c r="H763" s="4">
        <v>1716216</v>
      </c>
      <c r="I763" s="4">
        <v>1716216</v>
      </c>
      <c r="J763" s="4">
        <v>1695109.4</v>
      </c>
      <c r="K763" s="16"/>
      <c r="L763" s="17"/>
      <c r="M763" s="4">
        <v>21106.6000000001</v>
      </c>
    </row>
    <row r="764" spans="1:13" ht="21" hidden="1" x14ac:dyDescent="0.35">
      <c r="A764" s="65"/>
      <c r="B764" s="75"/>
      <c r="C764" s="70"/>
      <c r="D764" s="72"/>
      <c r="E764" s="3" t="s">
        <v>695</v>
      </c>
      <c r="F764" s="3" t="s">
        <v>696</v>
      </c>
      <c r="G764" s="3" t="s">
        <v>1074</v>
      </c>
      <c r="H764" s="4">
        <v>11500</v>
      </c>
      <c r="I764" s="4">
        <v>10000</v>
      </c>
      <c r="J764" s="17"/>
      <c r="K764" s="16"/>
      <c r="L764" s="17"/>
      <c r="M764" s="4">
        <v>10000</v>
      </c>
    </row>
    <row r="765" spans="1:13" hidden="1" x14ac:dyDescent="0.35">
      <c r="A765" s="65"/>
      <c r="B765" s="75"/>
      <c r="C765" s="70"/>
      <c r="D765" s="72"/>
      <c r="E765" s="3" t="s">
        <v>1075</v>
      </c>
      <c r="F765" s="3" t="s">
        <v>1076</v>
      </c>
      <c r="G765" s="3" t="s">
        <v>1077</v>
      </c>
      <c r="H765" s="4">
        <v>2044000</v>
      </c>
      <c r="I765" s="4">
        <v>2599810</v>
      </c>
      <c r="J765" s="4">
        <v>2253733.34</v>
      </c>
      <c r="K765" s="5">
        <v>0</v>
      </c>
      <c r="L765" s="4">
        <v>340000</v>
      </c>
      <c r="M765" s="4">
        <v>6076.6600000001499</v>
      </c>
    </row>
    <row r="766" spans="1:13" hidden="1" x14ac:dyDescent="0.35">
      <c r="A766" s="65"/>
      <c r="B766" s="75"/>
      <c r="C766" s="71"/>
      <c r="D766" s="73"/>
      <c r="E766" s="3" t="s">
        <v>1078</v>
      </c>
      <c r="F766" s="3" t="s">
        <v>1079</v>
      </c>
      <c r="G766" s="3" t="s">
        <v>1080</v>
      </c>
      <c r="H766" s="4">
        <v>14436370</v>
      </c>
      <c r="I766" s="4">
        <v>13903370</v>
      </c>
      <c r="J766" s="4">
        <v>11541929.949999999</v>
      </c>
      <c r="K766" s="5">
        <v>77034</v>
      </c>
      <c r="L766" s="4">
        <v>2239512.77</v>
      </c>
      <c r="M766" s="4">
        <v>44893.2799999993</v>
      </c>
    </row>
    <row r="767" spans="1:13" hidden="1" x14ac:dyDescent="0.35">
      <c r="A767" s="65"/>
      <c r="B767" s="75"/>
      <c r="C767" s="70" t="s">
        <v>1081</v>
      </c>
      <c r="D767" s="72" t="s">
        <v>1082</v>
      </c>
      <c r="E767" s="3" t="s">
        <v>717</v>
      </c>
      <c r="F767" s="3" t="s">
        <v>718</v>
      </c>
      <c r="G767" s="3" t="s">
        <v>1083</v>
      </c>
      <c r="H767" s="4">
        <v>37500</v>
      </c>
      <c r="I767" s="4">
        <v>97500</v>
      </c>
      <c r="J767" s="17"/>
      <c r="K767" s="5">
        <v>0</v>
      </c>
      <c r="L767" s="4">
        <v>86900</v>
      </c>
      <c r="M767" s="4">
        <v>10600</v>
      </c>
    </row>
    <row r="768" spans="1:13" ht="31.5" hidden="1" x14ac:dyDescent="0.35">
      <c r="A768" s="65"/>
      <c r="B768" s="75"/>
      <c r="C768" s="70"/>
      <c r="D768" s="72"/>
      <c r="E768" s="3" t="s">
        <v>680</v>
      </c>
      <c r="F768" s="3" t="s">
        <v>681</v>
      </c>
      <c r="G768" s="3" t="s">
        <v>1084</v>
      </c>
      <c r="H768" s="4">
        <v>11250</v>
      </c>
      <c r="I768" s="4">
        <v>0</v>
      </c>
      <c r="J768" s="17"/>
      <c r="K768" s="16"/>
      <c r="L768" s="17"/>
      <c r="M768" s="4">
        <v>0</v>
      </c>
    </row>
    <row r="769" spans="1:13" ht="31.5" hidden="1" x14ac:dyDescent="0.35">
      <c r="A769" s="65"/>
      <c r="B769" s="75"/>
      <c r="C769" s="70"/>
      <c r="D769" s="72"/>
      <c r="E769" s="3" t="s">
        <v>722</v>
      </c>
      <c r="F769" s="3" t="s">
        <v>723</v>
      </c>
      <c r="G769" s="3" t="s">
        <v>1085</v>
      </c>
      <c r="H769" s="4">
        <v>21000</v>
      </c>
      <c r="I769" s="4">
        <v>0</v>
      </c>
      <c r="J769" s="17"/>
      <c r="K769" s="16"/>
      <c r="L769" s="17"/>
      <c r="M769" s="4">
        <v>0</v>
      </c>
    </row>
    <row r="770" spans="1:13" ht="21" hidden="1" x14ac:dyDescent="0.35">
      <c r="A770" s="65"/>
      <c r="B770" s="75"/>
      <c r="C770" s="70"/>
      <c r="D770" s="72"/>
      <c r="E770" s="3" t="s">
        <v>764</v>
      </c>
      <c r="F770" s="3" t="s">
        <v>765</v>
      </c>
      <c r="G770" s="3" t="s">
        <v>1086</v>
      </c>
      <c r="H770" s="4">
        <v>24000</v>
      </c>
      <c r="I770" s="4">
        <v>24000</v>
      </c>
      <c r="J770" s="4">
        <v>23528</v>
      </c>
      <c r="K770" s="16"/>
      <c r="L770" s="17"/>
      <c r="M770" s="4">
        <v>472</v>
      </c>
    </row>
    <row r="771" spans="1:13" hidden="1" x14ac:dyDescent="0.35">
      <c r="A771" s="65"/>
      <c r="B771" s="75"/>
      <c r="C771" s="70"/>
      <c r="D771" s="72"/>
      <c r="E771" s="3" t="s">
        <v>683</v>
      </c>
      <c r="F771" s="3" t="s">
        <v>684</v>
      </c>
      <c r="G771" s="3" t="s">
        <v>1087</v>
      </c>
      <c r="H771" s="4">
        <v>37500</v>
      </c>
      <c r="I771" s="4">
        <v>37500</v>
      </c>
      <c r="J771" s="4">
        <v>12253.5</v>
      </c>
      <c r="K771" s="16"/>
      <c r="L771" s="17"/>
      <c r="M771" s="4">
        <v>25246.5</v>
      </c>
    </row>
    <row r="772" spans="1:13" hidden="1" x14ac:dyDescent="0.35">
      <c r="A772" s="65"/>
      <c r="B772" s="75"/>
      <c r="C772" s="70"/>
      <c r="D772" s="72"/>
      <c r="E772" s="3" t="s">
        <v>707</v>
      </c>
      <c r="F772" s="3" t="s">
        <v>708</v>
      </c>
      <c r="G772" s="3" t="s">
        <v>1088</v>
      </c>
      <c r="H772" s="4">
        <v>57750</v>
      </c>
      <c r="I772" s="4">
        <v>30000</v>
      </c>
      <c r="J772" s="17"/>
      <c r="K772" s="16"/>
      <c r="L772" s="17"/>
      <c r="M772" s="4">
        <v>30000</v>
      </c>
    </row>
    <row r="773" spans="1:13" hidden="1" x14ac:dyDescent="0.35">
      <c r="A773" s="65"/>
      <c r="B773" s="75"/>
      <c r="C773" s="71"/>
      <c r="D773" s="73"/>
      <c r="E773" s="3" t="s">
        <v>1041</v>
      </c>
      <c r="F773" s="3" t="s">
        <v>1042</v>
      </c>
      <c r="G773" s="3" t="s">
        <v>1089</v>
      </c>
      <c r="H773" s="4">
        <v>3500</v>
      </c>
      <c r="I773" s="4">
        <v>3500</v>
      </c>
      <c r="J773" s="17"/>
      <c r="K773" s="16"/>
      <c r="L773" s="17"/>
      <c r="M773" s="4">
        <v>3500</v>
      </c>
    </row>
    <row r="774" spans="1:13" ht="31.5" hidden="1" x14ac:dyDescent="0.35">
      <c r="A774" s="65"/>
      <c r="B774" s="75"/>
      <c r="C774" s="70" t="s">
        <v>500</v>
      </c>
      <c r="D774" s="72" t="s">
        <v>501</v>
      </c>
      <c r="E774" s="3" t="s">
        <v>680</v>
      </c>
      <c r="F774" s="3" t="s">
        <v>681</v>
      </c>
      <c r="G774" s="3" t="s">
        <v>1090</v>
      </c>
      <c r="H774" s="17"/>
      <c r="I774" s="17"/>
      <c r="J774" s="4">
        <v>-3500</v>
      </c>
      <c r="K774" s="16"/>
      <c r="L774" s="4">
        <v>0</v>
      </c>
      <c r="M774" s="4">
        <v>3500</v>
      </c>
    </row>
    <row r="775" spans="1:13" ht="21" hidden="1" x14ac:dyDescent="0.35">
      <c r="A775" s="65"/>
      <c r="B775" s="75"/>
      <c r="C775" s="71"/>
      <c r="D775" s="73"/>
      <c r="E775" s="3" t="s">
        <v>770</v>
      </c>
      <c r="F775" s="3" t="s">
        <v>771</v>
      </c>
      <c r="G775" s="3" t="s">
        <v>1091</v>
      </c>
      <c r="H775" s="17"/>
      <c r="I775" s="17"/>
      <c r="J775" s="17"/>
      <c r="K775" s="16"/>
      <c r="L775" s="4">
        <v>0</v>
      </c>
      <c r="M775" s="4">
        <v>0</v>
      </c>
    </row>
    <row r="776" spans="1:13" ht="21" hidden="1" x14ac:dyDescent="0.35">
      <c r="A776" s="65"/>
      <c r="B776" s="75"/>
      <c r="C776" s="70" t="s">
        <v>1092</v>
      </c>
      <c r="D776" s="72" t="s">
        <v>1093</v>
      </c>
      <c r="E776" s="3" t="s">
        <v>986</v>
      </c>
      <c r="F776" s="3" t="s">
        <v>987</v>
      </c>
      <c r="G776" s="3" t="s">
        <v>1094</v>
      </c>
      <c r="H776" s="4">
        <v>7932</v>
      </c>
      <c r="I776" s="4">
        <v>7932</v>
      </c>
      <c r="J776" s="17"/>
      <c r="K776" s="16"/>
      <c r="L776" s="17"/>
      <c r="M776" s="4">
        <v>7932</v>
      </c>
    </row>
    <row r="777" spans="1:13" hidden="1" x14ac:dyDescent="0.35">
      <c r="A777" s="65"/>
      <c r="B777" s="75"/>
      <c r="C777" s="71"/>
      <c r="D777" s="73"/>
      <c r="E777" s="3" t="s">
        <v>1095</v>
      </c>
      <c r="F777" s="3" t="s">
        <v>1096</v>
      </c>
      <c r="G777" s="3" t="s">
        <v>1097</v>
      </c>
      <c r="H777" s="4">
        <v>0</v>
      </c>
      <c r="I777" s="4">
        <v>0</v>
      </c>
      <c r="J777" s="17"/>
      <c r="K777" s="16"/>
      <c r="L777" s="17"/>
      <c r="M777" s="4">
        <v>0</v>
      </c>
    </row>
    <row r="778" spans="1:13" ht="21" hidden="1" x14ac:dyDescent="0.35">
      <c r="A778" s="65"/>
      <c r="B778" s="75"/>
      <c r="C778" s="70" t="s">
        <v>518</v>
      </c>
      <c r="D778" s="72" t="s">
        <v>519</v>
      </c>
      <c r="E778" s="3" t="s">
        <v>668</v>
      </c>
      <c r="F778" s="3" t="s">
        <v>669</v>
      </c>
      <c r="G778" s="3" t="s">
        <v>1098</v>
      </c>
      <c r="H778" s="17"/>
      <c r="I778" s="17"/>
      <c r="J778" s="4">
        <v>-550.95000000000005</v>
      </c>
      <c r="K778" s="16"/>
      <c r="L778" s="17"/>
      <c r="M778" s="4">
        <v>550.95000000000005</v>
      </c>
    </row>
    <row r="779" spans="1:13" hidden="1" x14ac:dyDescent="0.35">
      <c r="A779" s="65"/>
      <c r="B779" s="75"/>
      <c r="C779" s="70"/>
      <c r="D779" s="72"/>
      <c r="E779" s="3" t="s">
        <v>686</v>
      </c>
      <c r="F779" s="3" t="s">
        <v>687</v>
      </c>
      <c r="G779" s="3" t="s">
        <v>1099</v>
      </c>
      <c r="H779" s="4">
        <v>500000</v>
      </c>
      <c r="I779" s="4">
        <v>352600</v>
      </c>
      <c r="J779" s="4">
        <v>156102.5</v>
      </c>
      <c r="K779" s="5">
        <v>0</v>
      </c>
      <c r="L779" s="4">
        <v>58768</v>
      </c>
      <c r="M779" s="4">
        <v>137729.5</v>
      </c>
    </row>
    <row r="780" spans="1:13" ht="21" hidden="1" x14ac:dyDescent="0.35">
      <c r="A780" s="65"/>
      <c r="B780" s="75"/>
      <c r="C780" s="70"/>
      <c r="D780" s="72"/>
      <c r="E780" s="3" t="s">
        <v>970</v>
      </c>
      <c r="F780" s="3" t="s">
        <v>971</v>
      </c>
      <c r="G780" s="3" t="s">
        <v>1100</v>
      </c>
      <c r="H780" s="4">
        <v>10000</v>
      </c>
      <c r="I780" s="4">
        <v>10000</v>
      </c>
      <c r="J780" s="17"/>
      <c r="K780" s="16"/>
      <c r="L780" s="17"/>
      <c r="M780" s="4">
        <v>10000</v>
      </c>
    </row>
    <row r="781" spans="1:13" ht="21" hidden="1" x14ac:dyDescent="0.35">
      <c r="A781" s="65"/>
      <c r="B781" s="75"/>
      <c r="C781" s="70"/>
      <c r="D781" s="72"/>
      <c r="E781" s="3" t="s">
        <v>692</v>
      </c>
      <c r="F781" s="3" t="s">
        <v>693</v>
      </c>
      <c r="G781" s="3" t="s">
        <v>1101</v>
      </c>
      <c r="H781" s="4">
        <v>5000</v>
      </c>
      <c r="I781" s="4">
        <v>5000</v>
      </c>
      <c r="J781" s="17"/>
      <c r="K781" s="16"/>
      <c r="L781" s="17"/>
      <c r="M781" s="4">
        <v>5000</v>
      </c>
    </row>
    <row r="782" spans="1:13" hidden="1" x14ac:dyDescent="0.35">
      <c r="A782" s="65"/>
      <c r="B782" s="75"/>
      <c r="C782" s="70"/>
      <c r="D782" s="72"/>
      <c r="E782" s="67" t="s">
        <v>1095</v>
      </c>
      <c r="F782" s="67" t="s">
        <v>1096</v>
      </c>
      <c r="G782" s="3" t="s">
        <v>1102</v>
      </c>
      <c r="H782" s="17"/>
      <c r="I782" s="17"/>
      <c r="J782" s="4">
        <v>-188448.66</v>
      </c>
      <c r="K782" s="5">
        <v>22177.65</v>
      </c>
      <c r="L782" s="4">
        <v>147160.93</v>
      </c>
      <c r="M782" s="4">
        <v>19110.080000000002</v>
      </c>
    </row>
    <row r="783" spans="1:13" hidden="1" x14ac:dyDescent="0.35">
      <c r="A783" s="65"/>
      <c r="B783" s="75"/>
      <c r="C783" s="70"/>
      <c r="D783" s="72"/>
      <c r="E783" s="68"/>
      <c r="F783" s="68"/>
      <c r="G783" s="3" t="s">
        <v>1103</v>
      </c>
      <c r="H783" s="4">
        <v>500000</v>
      </c>
      <c r="I783" s="4">
        <v>280000</v>
      </c>
      <c r="J783" s="4">
        <v>-163183.79999999999</v>
      </c>
      <c r="K783" s="5">
        <v>348072.1</v>
      </c>
      <c r="L783" s="4">
        <v>89774.64</v>
      </c>
      <c r="M783" s="4">
        <v>5337.0599999998803</v>
      </c>
    </row>
    <row r="784" spans="1:13" hidden="1" x14ac:dyDescent="0.35">
      <c r="A784" s="65"/>
      <c r="B784" s="75"/>
      <c r="C784" s="71"/>
      <c r="D784" s="73"/>
      <c r="E784" s="3" t="s">
        <v>1041</v>
      </c>
      <c r="F784" s="3" t="s">
        <v>1042</v>
      </c>
      <c r="G784" s="3" t="s">
        <v>1104</v>
      </c>
      <c r="H784" s="4">
        <v>10000</v>
      </c>
      <c r="I784" s="4">
        <v>10000</v>
      </c>
      <c r="J784" s="17"/>
      <c r="K784" s="16"/>
      <c r="L784" s="17"/>
      <c r="M784" s="4">
        <v>10000</v>
      </c>
    </row>
    <row r="785" spans="1:13" ht="21" hidden="1" x14ac:dyDescent="0.35">
      <c r="A785" s="65"/>
      <c r="B785" s="75"/>
      <c r="C785" s="70" t="s">
        <v>529</v>
      </c>
      <c r="D785" s="72" t="s">
        <v>530</v>
      </c>
      <c r="E785" s="3" t="s">
        <v>668</v>
      </c>
      <c r="F785" s="3" t="s">
        <v>669</v>
      </c>
      <c r="G785" s="3" t="s">
        <v>1105</v>
      </c>
      <c r="H785" s="4">
        <v>400000</v>
      </c>
      <c r="I785" s="4">
        <v>400000</v>
      </c>
      <c r="J785" s="4">
        <v>7724.61</v>
      </c>
      <c r="K785" s="16"/>
      <c r="L785" s="17"/>
      <c r="M785" s="4">
        <v>392275.39</v>
      </c>
    </row>
    <row r="786" spans="1:13" hidden="1" x14ac:dyDescent="0.35">
      <c r="A786" s="65"/>
      <c r="B786" s="75"/>
      <c r="C786" s="70"/>
      <c r="D786" s="72"/>
      <c r="E786" s="3" t="s">
        <v>686</v>
      </c>
      <c r="F786" s="3" t="s">
        <v>687</v>
      </c>
      <c r="G786" s="3" t="s">
        <v>1106</v>
      </c>
      <c r="H786" s="4">
        <v>300000</v>
      </c>
      <c r="I786" s="4">
        <v>0</v>
      </c>
      <c r="J786" s="17"/>
      <c r="K786" s="16"/>
      <c r="L786" s="17"/>
      <c r="M786" s="4">
        <v>0</v>
      </c>
    </row>
    <row r="787" spans="1:13" ht="21" hidden="1" x14ac:dyDescent="0.35">
      <c r="A787" s="65"/>
      <c r="B787" s="75"/>
      <c r="C787" s="70"/>
      <c r="D787" s="72"/>
      <c r="E787" s="3" t="s">
        <v>970</v>
      </c>
      <c r="F787" s="3" t="s">
        <v>971</v>
      </c>
      <c r="G787" s="3" t="s">
        <v>1107</v>
      </c>
      <c r="H787" s="4">
        <v>10000</v>
      </c>
      <c r="I787" s="4">
        <v>10000</v>
      </c>
      <c r="J787" s="17"/>
      <c r="K787" s="16"/>
      <c r="L787" s="17"/>
      <c r="M787" s="4">
        <v>10000</v>
      </c>
    </row>
    <row r="788" spans="1:13" hidden="1" x14ac:dyDescent="0.35">
      <c r="A788" s="65"/>
      <c r="B788" s="75"/>
      <c r="C788" s="71"/>
      <c r="D788" s="73"/>
      <c r="E788" s="3" t="s">
        <v>1095</v>
      </c>
      <c r="F788" s="3" t="s">
        <v>1096</v>
      </c>
      <c r="G788" s="3" t="s">
        <v>1108</v>
      </c>
      <c r="H788" s="4">
        <v>92538664</v>
      </c>
      <c r="I788" s="4">
        <v>94712011</v>
      </c>
      <c r="J788" s="4">
        <v>72082344.550000101</v>
      </c>
      <c r="K788" s="5">
        <v>1732252.07</v>
      </c>
      <c r="L788" s="4">
        <v>5042395.8899999997</v>
      </c>
      <c r="M788" s="4">
        <v>15816472.529999901</v>
      </c>
    </row>
    <row r="789" spans="1:13" hidden="1" x14ac:dyDescent="0.35">
      <c r="A789" s="65"/>
      <c r="B789" s="75"/>
      <c r="C789" s="70" t="s">
        <v>539</v>
      </c>
      <c r="D789" s="72" t="s">
        <v>540</v>
      </c>
      <c r="E789" s="67" t="s">
        <v>671</v>
      </c>
      <c r="F789" s="67" t="s">
        <v>672</v>
      </c>
      <c r="G789" s="3" t="s">
        <v>1109</v>
      </c>
      <c r="H789" s="17"/>
      <c r="I789" s="17"/>
      <c r="J789" s="4">
        <v>-16161.2</v>
      </c>
      <c r="K789" s="16"/>
      <c r="L789" s="4">
        <v>16161.2</v>
      </c>
      <c r="M789" s="4">
        <v>0</v>
      </c>
    </row>
    <row r="790" spans="1:13" hidden="1" x14ac:dyDescent="0.35">
      <c r="A790" s="65"/>
      <c r="B790" s="75"/>
      <c r="C790" s="70"/>
      <c r="D790" s="72"/>
      <c r="E790" s="68"/>
      <c r="F790" s="68"/>
      <c r="G790" s="3" t="s">
        <v>1110</v>
      </c>
      <c r="H790" s="4">
        <v>3199193</v>
      </c>
      <c r="I790" s="4">
        <v>3069193</v>
      </c>
      <c r="J790" s="4">
        <v>2582417.14</v>
      </c>
      <c r="K790" s="5">
        <v>418431</v>
      </c>
      <c r="L790" s="4">
        <v>0</v>
      </c>
      <c r="M790" s="4">
        <v>68344.860000000306</v>
      </c>
    </row>
    <row r="791" spans="1:13" ht="31.5" hidden="1" x14ac:dyDescent="0.35">
      <c r="A791" s="65"/>
      <c r="B791" s="75"/>
      <c r="C791" s="70"/>
      <c r="D791" s="72"/>
      <c r="E791" s="3" t="s">
        <v>680</v>
      </c>
      <c r="F791" s="3" t="s">
        <v>681</v>
      </c>
      <c r="G791" s="3" t="s">
        <v>1111</v>
      </c>
      <c r="H791" s="4">
        <v>0</v>
      </c>
      <c r="I791" s="4">
        <v>10000</v>
      </c>
      <c r="J791" s="17"/>
      <c r="K791" s="16"/>
      <c r="L791" s="17"/>
      <c r="M791" s="4">
        <v>10000</v>
      </c>
    </row>
    <row r="792" spans="1:13" ht="31.5" hidden="1" x14ac:dyDescent="0.35">
      <c r="A792" s="65"/>
      <c r="B792" s="75"/>
      <c r="C792" s="70"/>
      <c r="D792" s="72"/>
      <c r="E792" s="3" t="s">
        <v>722</v>
      </c>
      <c r="F792" s="3" t="s">
        <v>723</v>
      </c>
      <c r="G792" s="3" t="s">
        <v>1112</v>
      </c>
      <c r="H792" s="4">
        <v>0</v>
      </c>
      <c r="I792" s="4">
        <v>40000</v>
      </c>
      <c r="J792" s="17"/>
      <c r="K792" s="16"/>
      <c r="L792" s="17"/>
      <c r="M792" s="4">
        <v>40000</v>
      </c>
    </row>
    <row r="793" spans="1:13" hidden="1" x14ac:dyDescent="0.35">
      <c r="A793" s="65"/>
      <c r="B793" s="75"/>
      <c r="C793" s="71"/>
      <c r="D793" s="73"/>
      <c r="E793" s="3" t="s">
        <v>686</v>
      </c>
      <c r="F793" s="3" t="s">
        <v>687</v>
      </c>
      <c r="G793" s="3" t="s">
        <v>1113</v>
      </c>
      <c r="H793" s="4">
        <v>98576</v>
      </c>
      <c r="I793" s="4">
        <v>178576</v>
      </c>
      <c r="J793" s="4">
        <v>72675.59</v>
      </c>
      <c r="K793" s="5">
        <v>76940.17</v>
      </c>
      <c r="L793" s="4">
        <v>0</v>
      </c>
      <c r="M793" s="4">
        <v>25257.1</v>
      </c>
    </row>
    <row r="794" spans="1:13" hidden="1" x14ac:dyDescent="0.35">
      <c r="A794" s="65"/>
      <c r="B794" s="75"/>
      <c r="C794" s="70" t="s">
        <v>547</v>
      </c>
      <c r="D794" s="72" t="s">
        <v>548</v>
      </c>
      <c r="E794" s="3" t="s">
        <v>1114</v>
      </c>
      <c r="F794" s="3" t="s">
        <v>1115</v>
      </c>
      <c r="G794" s="3" t="s">
        <v>1116</v>
      </c>
      <c r="H794" s="4">
        <v>150000</v>
      </c>
      <c r="I794" s="4">
        <v>100000</v>
      </c>
      <c r="J794" s="4">
        <v>100000</v>
      </c>
      <c r="K794" s="5">
        <v>0</v>
      </c>
      <c r="L794" s="4">
        <v>0</v>
      </c>
      <c r="M794" s="4">
        <v>0</v>
      </c>
    </row>
    <row r="795" spans="1:13" hidden="1" x14ac:dyDescent="0.35">
      <c r="A795" s="65"/>
      <c r="B795" s="75"/>
      <c r="C795" s="70"/>
      <c r="D795" s="72"/>
      <c r="E795" s="3" t="s">
        <v>686</v>
      </c>
      <c r="F795" s="3" t="s">
        <v>687</v>
      </c>
      <c r="G795" s="3" t="s">
        <v>1117</v>
      </c>
      <c r="H795" s="4">
        <v>100000</v>
      </c>
      <c r="I795" s="4">
        <v>93581</v>
      </c>
      <c r="J795" s="4">
        <v>-694.2</v>
      </c>
      <c r="K795" s="5">
        <v>41557.550000000003</v>
      </c>
      <c r="L795" s="4">
        <v>51401.33</v>
      </c>
      <c r="M795" s="4">
        <v>1316.3199999999899</v>
      </c>
    </row>
    <row r="796" spans="1:13" ht="21" hidden="1" x14ac:dyDescent="0.35">
      <c r="A796" s="65"/>
      <c r="B796" s="75"/>
      <c r="C796" s="70"/>
      <c r="D796" s="72"/>
      <c r="E796" s="3" t="s">
        <v>794</v>
      </c>
      <c r="F796" s="3" t="s">
        <v>795</v>
      </c>
      <c r="G796" s="3" t="s">
        <v>1118</v>
      </c>
      <c r="H796" s="4">
        <v>0</v>
      </c>
      <c r="I796" s="4">
        <v>180000</v>
      </c>
      <c r="J796" s="17"/>
      <c r="K796" s="16"/>
      <c r="L796" s="17"/>
      <c r="M796" s="4">
        <v>180000</v>
      </c>
    </row>
    <row r="797" spans="1:13" hidden="1" x14ac:dyDescent="0.35">
      <c r="A797" s="65"/>
      <c r="B797" s="75"/>
      <c r="C797" s="70"/>
      <c r="D797" s="72"/>
      <c r="E797" s="3" t="s">
        <v>989</v>
      </c>
      <c r="F797" s="3" t="s">
        <v>990</v>
      </c>
      <c r="G797" s="3" t="s">
        <v>1119</v>
      </c>
      <c r="H797" s="17"/>
      <c r="I797" s="17"/>
      <c r="J797" s="4">
        <v>-69791.75</v>
      </c>
      <c r="K797" s="16"/>
      <c r="L797" s="4">
        <v>69791.75</v>
      </c>
      <c r="M797" s="4">
        <v>0</v>
      </c>
    </row>
    <row r="798" spans="1:13" hidden="1" x14ac:dyDescent="0.35">
      <c r="A798" s="65"/>
      <c r="B798" s="75"/>
      <c r="C798" s="70"/>
      <c r="D798" s="72"/>
      <c r="E798" s="67" t="s">
        <v>776</v>
      </c>
      <c r="F798" s="67" t="s">
        <v>777</v>
      </c>
      <c r="G798" s="3" t="s">
        <v>1120</v>
      </c>
      <c r="H798" s="17"/>
      <c r="I798" s="17"/>
      <c r="J798" s="4">
        <v>-5580</v>
      </c>
      <c r="K798" s="16"/>
      <c r="L798" s="4">
        <v>0</v>
      </c>
      <c r="M798" s="4">
        <v>5580</v>
      </c>
    </row>
    <row r="799" spans="1:13" hidden="1" x14ac:dyDescent="0.35">
      <c r="A799" s="65"/>
      <c r="B799" s="75"/>
      <c r="C799" s="70"/>
      <c r="D799" s="72"/>
      <c r="E799" s="68"/>
      <c r="F799" s="68"/>
      <c r="G799" s="3" t="s">
        <v>1121</v>
      </c>
      <c r="H799" s="4">
        <v>14032358</v>
      </c>
      <c r="I799" s="4">
        <v>15114177</v>
      </c>
      <c r="J799" s="4">
        <v>6393214.2599999998</v>
      </c>
      <c r="K799" s="5">
        <v>528270.78</v>
      </c>
      <c r="L799" s="4">
        <v>7958646.2699999996</v>
      </c>
      <c r="M799" s="4">
        <v>234045.68999999799</v>
      </c>
    </row>
    <row r="800" spans="1:13" hidden="1" x14ac:dyDescent="0.35">
      <c r="A800" s="65"/>
      <c r="B800" s="75"/>
      <c r="C800" s="70"/>
      <c r="D800" s="72"/>
      <c r="E800" s="67" t="s">
        <v>785</v>
      </c>
      <c r="F800" s="67" t="s">
        <v>786</v>
      </c>
      <c r="G800" s="3" t="s">
        <v>1122</v>
      </c>
      <c r="H800" s="17"/>
      <c r="I800" s="17"/>
      <c r="J800" s="4">
        <v>61368.98</v>
      </c>
      <c r="K800" s="16"/>
      <c r="L800" s="4">
        <v>0</v>
      </c>
      <c r="M800" s="4">
        <v>-61368.98</v>
      </c>
    </row>
    <row r="801" spans="1:13" hidden="1" x14ac:dyDescent="0.35">
      <c r="A801" s="65"/>
      <c r="B801" s="75"/>
      <c r="C801" s="71"/>
      <c r="D801" s="73"/>
      <c r="E801" s="68"/>
      <c r="F801" s="68"/>
      <c r="G801" s="3" t="s">
        <v>1123</v>
      </c>
      <c r="H801" s="4">
        <v>1869526</v>
      </c>
      <c r="I801" s="4">
        <v>1753166</v>
      </c>
      <c r="J801" s="4">
        <v>936037.24</v>
      </c>
      <c r="K801" s="5">
        <v>447471</v>
      </c>
      <c r="L801" s="4">
        <v>358754.64</v>
      </c>
      <c r="M801" s="4">
        <v>10903.120000000299</v>
      </c>
    </row>
    <row r="802" spans="1:13" hidden="1" x14ac:dyDescent="0.35">
      <c r="A802" s="65"/>
      <c r="B802" s="75"/>
      <c r="C802" s="70" t="s">
        <v>558</v>
      </c>
      <c r="D802" s="72" t="s">
        <v>559</v>
      </c>
      <c r="E802" s="3" t="s">
        <v>1061</v>
      </c>
      <c r="F802" s="3" t="s">
        <v>1062</v>
      </c>
      <c r="G802" s="3" t="s">
        <v>1124</v>
      </c>
      <c r="H802" s="4">
        <v>1100000</v>
      </c>
      <c r="I802" s="4">
        <v>800000</v>
      </c>
      <c r="J802" s="17"/>
      <c r="K802" s="5">
        <v>0</v>
      </c>
      <c r="L802" s="4">
        <v>798441</v>
      </c>
      <c r="M802" s="4">
        <v>1559</v>
      </c>
    </row>
    <row r="803" spans="1:13" hidden="1" x14ac:dyDescent="0.35">
      <c r="A803" s="65"/>
      <c r="B803" s="75"/>
      <c r="C803" s="71"/>
      <c r="D803" s="73"/>
      <c r="E803" s="3" t="s">
        <v>686</v>
      </c>
      <c r="F803" s="3" t="s">
        <v>687</v>
      </c>
      <c r="G803" s="3" t="s">
        <v>1125</v>
      </c>
      <c r="H803" s="4">
        <v>1015642</v>
      </c>
      <c r="I803" s="4">
        <v>1315642</v>
      </c>
      <c r="J803" s="4">
        <v>952988.63</v>
      </c>
      <c r="K803" s="5">
        <v>0</v>
      </c>
      <c r="L803" s="4">
        <v>350923.1</v>
      </c>
      <c r="M803" s="4">
        <v>11730.27</v>
      </c>
    </row>
    <row r="804" spans="1:13" hidden="1" x14ac:dyDescent="0.35">
      <c r="A804" s="65"/>
      <c r="B804" s="75"/>
      <c r="C804" s="70" t="s">
        <v>566</v>
      </c>
      <c r="D804" s="72" t="s">
        <v>567</v>
      </c>
      <c r="E804" s="3" t="s">
        <v>750</v>
      </c>
      <c r="F804" s="3" t="s">
        <v>751</v>
      </c>
      <c r="G804" s="3" t="s">
        <v>1126</v>
      </c>
      <c r="H804" s="17"/>
      <c r="I804" s="17"/>
      <c r="J804" s="17"/>
      <c r="K804" s="16"/>
      <c r="L804" s="4">
        <v>0</v>
      </c>
      <c r="M804" s="4">
        <v>0</v>
      </c>
    </row>
    <row r="805" spans="1:13" hidden="1" x14ac:dyDescent="0.35">
      <c r="A805" s="65"/>
      <c r="B805" s="75"/>
      <c r="C805" s="70"/>
      <c r="D805" s="72"/>
      <c r="E805" s="3" t="s">
        <v>1127</v>
      </c>
      <c r="F805" s="3" t="s">
        <v>1128</v>
      </c>
      <c r="G805" s="3" t="s">
        <v>1129</v>
      </c>
      <c r="H805" s="17"/>
      <c r="I805" s="17"/>
      <c r="J805" s="4">
        <v>-97605</v>
      </c>
      <c r="K805" s="16"/>
      <c r="L805" s="17"/>
      <c r="M805" s="4">
        <v>97605</v>
      </c>
    </row>
    <row r="806" spans="1:13" ht="21" hidden="1" x14ac:dyDescent="0.35">
      <c r="A806" s="65"/>
      <c r="B806" s="75"/>
      <c r="C806" s="71"/>
      <c r="D806" s="73"/>
      <c r="E806" s="3" t="s">
        <v>803</v>
      </c>
      <c r="F806" s="3" t="s">
        <v>804</v>
      </c>
      <c r="G806" s="3" t="s">
        <v>1130</v>
      </c>
      <c r="H806" s="17"/>
      <c r="I806" s="17"/>
      <c r="J806" s="4">
        <v>-3900</v>
      </c>
      <c r="K806" s="16"/>
      <c r="L806" s="4">
        <v>0</v>
      </c>
      <c r="M806" s="4">
        <v>3900</v>
      </c>
    </row>
    <row r="807" spans="1:13" ht="31.5" hidden="1" x14ac:dyDescent="0.35">
      <c r="A807" s="65"/>
      <c r="B807" s="75"/>
      <c r="C807" s="70" t="s">
        <v>583</v>
      </c>
      <c r="D807" s="72" t="s">
        <v>584</v>
      </c>
      <c r="E807" s="3" t="s">
        <v>680</v>
      </c>
      <c r="F807" s="3" t="s">
        <v>681</v>
      </c>
      <c r="G807" s="3" t="s">
        <v>1131</v>
      </c>
      <c r="H807" s="4">
        <v>2000</v>
      </c>
      <c r="I807" s="4">
        <v>2000</v>
      </c>
      <c r="J807" s="17"/>
      <c r="K807" s="16"/>
      <c r="L807" s="17"/>
      <c r="M807" s="4">
        <v>2000</v>
      </c>
    </row>
    <row r="808" spans="1:13" ht="31.5" hidden="1" x14ac:dyDescent="0.35">
      <c r="A808" s="65"/>
      <c r="B808" s="75"/>
      <c r="C808" s="70"/>
      <c r="D808" s="72"/>
      <c r="E808" s="3" t="s">
        <v>722</v>
      </c>
      <c r="F808" s="3" t="s">
        <v>723</v>
      </c>
      <c r="G808" s="3" t="s">
        <v>1132</v>
      </c>
      <c r="H808" s="4">
        <v>1</v>
      </c>
      <c r="I808" s="4">
        <v>1</v>
      </c>
      <c r="J808" s="17"/>
      <c r="K808" s="16"/>
      <c r="L808" s="17"/>
      <c r="M808" s="4">
        <v>1</v>
      </c>
    </row>
    <row r="809" spans="1:13" hidden="1" x14ac:dyDescent="0.35">
      <c r="A809" s="65"/>
      <c r="B809" s="75"/>
      <c r="C809" s="70"/>
      <c r="D809" s="72"/>
      <c r="E809" s="67" t="s">
        <v>1133</v>
      </c>
      <c r="F809" s="67" t="s">
        <v>1134</v>
      </c>
      <c r="G809" s="3" t="s">
        <v>1135</v>
      </c>
      <c r="H809" s="17"/>
      <c r="I809" s="17"/>
      <c r="J809" s="4">
        <v>0</v>
      </c>
      <c r="K809" s="16"/>
      <c r="L809" s="17"/>
      <c r="M809" s="4">
        <v>0</v>
      </c>
    </row>
    <row r="810" spans="1:13" hidden="1" x14ac:dyDescent="0.35">
      <c r="A810" s="65"/>
      <c r="B810" s="75"/>
      <c r="C810" s="70"/>
      <c r="D810" s="72"/>
      <c r="E810" s="68"/>
      <c r="F810" s="68"/>
      <c r="G810" s="3" t="s">
        <v>1136</v>
      </c>
      <c r="H810" s="4">
        <v>0</v>
      </c>
      <c r="I810" s="4">
        <v>46232000</v>
      </c>
      <c r="J810" s="4">
        <v>33268400</v>
      </c>
      <c r="K810" s="16"/>
      <c r="L810" s="17"/>
      <c r="M810" s="4">
        <v>12963600</v>
      </c>
    </row>
    <row r="811" spans="1:13" ht="21" hidden="1" x14ac:dyDescent="0.35">
      <c r="A811" s="65"/>
      <c r="B811" s="75"/>
      <c r="C811" s="70"/>
      <c r="D811" s="72"/>
      <c r="E811" s="3" t="s">
        <v>970</v>
      </c>
      <c r="F811" s="3" t="s">
        <v>971</v>
      </c>
      <c r="G811" s="3" t="s">
        <v>1137</v>
      </c>
      <c r="H811" s="4">
        <v>10000</v>
      </c>
      <c r="I811" s="4">
        <v>10000</v>
      </c>
      <c r="J811" s="17"/>
      <c r="K811" s="16"/>
      <c r="L811" s="17"/>
      <c r="M811" s="4">
        <v>10000</v>
      </c>
    </row>
    <row r="812" spans="1:13" hidden="1" x14ac:dyDescent="0.35">
      <c r="A812" s="65"/>
      <c r="B812" s="75"/>
      <c r="C812" s="70"/>
      <c r="D812" s="72"/>
      <c r="E812" s="3" t="s">
        <v>868</v>
      </c>
      <c r="F812" s="3" t="s">
        <v>869</v>
      </c>
      <c r="G812" s="3" t="s">
        <v>1138</v>
      </c>
      <c r="H812" s="4">
        <v>11133825</v>
      </c>
      <c r="I812" s="4">
        <v>10152825</v>
      </c>
      <c r="J812" s="4">
        <v>9490279.4399999995</v>
      </c>
      <c r="K812" s="5">
        <v>0</v>
      </c>
      <c r="L812" s="4">
        <v>-0.21999999977606399</v>
      </c>
      <c r="M812" s="4">
        <v>662545.78</v>
      </c>
    </row>
    <row r="813" spans="1:13" hidden="1" x14ac:dyDescent="0.35">
      <c r="A813" s="65"/>
      <c r="B813" s="75"/>
      <c r="C813" s="70"/>
      <c r="D813" s="72"/>
      <c r="E813" s="3" t="s">
        <v>707</v>
      </c>
      <c r="F813" s="3" t="s">
        <v>708</v>
      </c>
      <c r="G813" s="3" t="s">
        <v>1139</v>
      </c>
      <c r="H813" s="4">
        <v>250000</v>
      </c>
      <c r="I813" s="4">
        <v>150000</v>
      </c>
      <c r="J813" s="4">
        <v>21820</v>
      </c>
      <c r="K813" s="5">
        <v>0</v>
      </c>
      <c r="L813" s="4">
        <v>0</v>
      </c>
      <c r="M813" s="4">
        <v>128180</v>
      </c>
    </row>
    <row r="814" spans="1:13" hidden="1" x14ac:dyDescent="0.35">
      <c r="A814" s="65"/>
      <c r="B814" s="75"/>
      <c r="C814" s="71"/>
      <c r="D814" s="73"/>
      <c r="E814" s="3" t="s">
        <v>1041</v>
      </c>
      <c r="F814" s="3" t="s">
        <v>1042</v>
      </c>
      <c r="G814" s="3" t="s">
        <v>1140</v>
      </c>
      <c r="H814" s="4">
        <v>5686</v>
      </c>
      <c r="I814" s="4">
        <v>5686</v>
      </c>
      <c r="J814" s="17"/>
      <c r="K814" s="16"/>
      <c r="L814" s="17"/>
      <c r="M814" s="4">
        <v>5686</v>
      </c>
    </row>
    <row r="815" spans="1:13" hidden="1" x14ac:dyDescent="0.35">
      <c r="A815" s="65"/>
      <c r="B815" s="75"/>
      <c r="C815" s="70" t="s">
        <v>594</v>
      </c>
      <c r="D815" s="72" t="s">
        <v>595</v>
      </c>
      <c r="E815" s="3" t="s">
        <v>1141</v>
      </c>
      <c r="F815" s="3" t="s">
        <v>1142</v>
      </c>
      <c r="G815" s="3" t="s">
        <v>1143</v>
      </c>
      <c r="H815" s="4">
        <v>1944196</v>
      </c>
      <c r="I815" s="4">
        <v>929184</v>
      </c>
      <c r="J815" s="4">
        <v>786173.09</v>
      </c>
      <c r="K815" s="5">
        <v>1</v>
      </c>
      <c r="L815" s="4">
        <v>81500</v>
      </c>
      <c r="M815" s="4">
        <v>58382.400000000001</v>
      </c>
    </row>
    <row r="816" spans="1:13" hidden="1" x14ac:dyDescent="0.35">
      <c r="A816" s="65"/>
      <c r="B816" s="75"/>
      <c r="C816" s="71"/>
      <c r="D816" s="73"/>
      <c r="E816" s="3" t="s">
        <v>686</v>
      </c>
      <c r="F816" s="3" t="s">
        <v>687</v>
      </c>
      <c r="G816" s="3" t="s">
        <v>1144</v>
      </c>
      <c r="H816" s="4">
        <v>73019</v>
      </c>
      <c r="I816" s="4">
        <v>105019</v>
      </c>
      <c r="J816" s="4">
        <v>95604.5</v>
      </c>
      <c r="K816" s="5">
        <v>0</v>
      </c>
      <c r="L816" s="4">
        <v>0</v>
      </c>
      <c r="M816" s="4">
        <v>9414.5</v>
      </c>
    </row>
    <row r="817" spans="1:13" ht="31.5" hidden="1" x14ac:dyDescent="0.35">
      <c r="A817" s="65"/>
      <c r="B817" s="75"/>
      <c r="C817" s="70" t="s">
        <v>605</v>
      </c>
      <c r="D817" s="72" t="s">
        <v>606</v>
      </c>
      <c r="E817" s="3" t="s">
        <v>680</v>
      </c>
      <c r="F817" s="3" t="s">
        <v>681</v>
      </c>
      <c r="G817" s="3" t="s">
        <v>1145</v>
      </c>
      <c r="H817" s="4">
        <v>0</v>
      </c>
      <c r="I817" s="4">
        <v>86500</v>
      </c>
      <c r="J817" s="4">
        <v>0</v>
      </c>
      <c r="K817" s="5">
        <v>55000</v>
      </c>
      <c r="L817" s="17"/>
      <c r="M817" s="4">
        <v>31500</v>
      </c>
    </row>
    <row r="818" spans="1:13" ht="21" hidden="1" x14ac:dyDescent="0.35">
      <c r="A818" s="65"/>
      <c r="B818" s="75"/>
      <c r="C818" s="70"/>
      <c r="D818" s="72"/>
      <c r="E818" s="3" t="s">
        <v>764</v>
      </c>
      <c r="F818" s="3" t="s">
        <v>765</v>
      </c>
      <c r="G818" s="3" t="s">
        <v>1146</v>
      </c>
      <c r="H818" s="17"/>
      <c r="I818" s="17"/>
      <c r="J818" s="4">
        <v>-94.58</v>
      </c>
      <c r="K818" s="16"/>
      <c r="L818" s="17"/>
      <c r="M818" s="4">
        <v>94.58</v>
      </c>
    </row>
    <row r="819" spans="1:13" hidden="1" x14ac:dyDescent="0.35">
      <c r="A819" s="65"/>
      <c r="B819" s="75"/>
      <c r="C819" s="70"/>
      <c r="D819" s="72"/>
      <c r="E819" s="3" t="s">
        <v>831</v>
      </c>
      <c r="F819" s="3" t="s">
        <v>832</v>
      </c>
      <c r="G819" s="3" t="s">
        <v>1147</v>
      </c>
      <c r="H819" s="4">
        <v>399867</v>
      </c>
      <c r="I819" s="4">
        <v>313175</v>
      </c>
      <c r="J819" s="4">
        <v>191879.63</v>
      </c>
      <c r="K819" s="16"/>
      <c r="L819" s="17"/>
      <c r="M819" s="4">
        <v>121295.37</v>
      </c>
    </row>
    <row r="820" spans="1:13" hidden="1" x14ac:dyDescent="0.35">
      <c r="A820" s="65"/>
      <c r="B820" s="75"/>
      <c r="C820" s="71"/>
      <c r="D820" s="73"/>
      <c r="E820" s="3" t="s">
        <v>686</v>
      </c>
      <c r="F820" s="3" t="s">
        <v>687</v>
      </c>
      <c r="G820" s="3" t="s">
        <v>1148</v>
      </c>
      <c r="H820" s="4">
        <v>495270</v>
      </c>
      <c r="I820" s="4">
        <v>495462</v>
      </c>
      <c r="J820" s="4">
        <v>143247</v>
      </c>
      <c r="K820" s="5">
        <v>0</v>
      </c>
      <c r="L820" s="4">
        <v>352215</v>
      </c>
      <c r="M820" s="4">
        <v>0</v>
      </c>
    </row>
    <row r="821" spans="1:13" ht="31.5" hidden="1" x14ac:dyDescent="0.35">
      <c r="A821" s="65"/>
      <c r="B821" s="75"/>
      <c r="C821" s="70" t="s">
        <v>614</v>
      </c>
      <c r="D821" s="72" t="s">
        <v>615</v>
      </c>
      <c r="E821" s="3" t="s">
        <v>680</v>
      </c>
      <c r="F821" s="3" t="s">
        <v>681</v>
      </c>
      <c r="G821" s="3" t="s">
        <v>1149</v>
      </c>
      <c r="H821" s="4">
        <v>150000</v>
      </c>
      <c r="I821" s="4">
        <v>430000</v>
      </c>
      <c r="J821" s="4">
        <v>116282.42</v>
      </c>
      <c r="K821" s="5">
        <v>0</v>
      </c>
      <c r="L821" s="4">
        <v>130582.5</v>
      </c>
      <c r="M821" s="4">
        <v>183135.08</v>
      </c>
    </row>
    <row r="822" spans="1:13" ht="21" hidden="1" x14ac:dyDescent="0.35">
      <c r="A822" s="65"/>
      <c r="B822" s="75"/>
      <c r="C822" s="70"/>
      <c r="D822" s="72"/>
      <c r="E822" s="3" t="s">
        <v>764</v>
      </c>
      <c r="F822" s="3" t="s">
        <v>765</v>
      </c>
      <c r="G822" s="3" t="s">
        <v>1150</v>
      </c>
      <c r="H822" s="4">
        <v>392000</v>
      </c>
      <c r="I822" s="4">
        <v>671550</v>
      </c>
      <c r="J822" s="4">
        <v>370000</v>
      </c>
      <c r="K822" s="5">
        <v>0</v>
      </c>
      <c r="L822" s="4">
        <v>0</v>
      </c>
      <c r="M822" s="4">
        <v>301550</v>
      </c>
    </row>
    <row r="823" spans="1:13" hidden="1" x14ac:dyDescent="0.35">
      <c r="A823" s="65"/>
      <c r="B823" s="75"/>
      <c r="C823" s="70"/>
      <c r="D823" s="72"/>
      <c r="E823" s="3" t="s">
        <v>1151</v>
      </c>
      <c r="F823" s="3" t="s">
        <v>1152</v>
      </c>
      <c r="G823" s="3" t="s">
        <v>1153</v>
      </c>
      <c r="H823" s="4">
        <v>0</v>
      </c>
      <c r="I823" s="4">
        <v>150000</v>
      </c>
      <c r="J823" s="17"/>
      <c r="K823" s="16"/>
      <c r="L823" s="17"/>
      <c r="M823" s="4">
        <v>150000</v>
      </c>
    </row>
    <row r="824" spans="1:13" hidden="1" x14ac:dyDescent="0.35">
      <c r="A824" s="65"/>
      <c r="B824" s="75"/>
      <c r="C824" s="70"/>
      <c r="D824" s="72"/>
      <c r="E824" s="3" t="s">
        <v>686</v>
      </c>
      <c r="F824" s="3" t="s">
        <v>687</v>
      </c>
      <c r="G824" s="3" t="s">
        <v>1154</v>
      </c>
      <c r="H824" s="4">
        <v>0</v>
      </c>
      <c r="I824" s="4">
        <v>65000</v>
      </c>
      <c r="J824" s="17"/>
      <c r="K824" s="16"/>
      <c r="L824" s="17"/>
      <c r="M824" s="4">
        <v>65000</v>
      </c>
    </row>
    <row r="825" spans="1:13" ht="21" hidden="1" x14ac:dyDescent="0.35">
      <c r="A825" s="65"/>
      <c r="B825" s="75"/>
      <c r="C825" s="70"/>
      <c r="D825" s="72"/>
      <c r="E825" s="3" t="s">
        <v>695</v>
      </c>
      <c r="F825" s="3" t="s">
        <v>696</v>
      </c>
      <c r="G825" s="3" t="s">
        <v>1155</v>
      </c>
      <c r="H825" s="4">
        <v>0</v>
      </c>
      <c r="I825" s="4">
        <v>4400</v>
      </c>
      <c r="J825" s="17"/>
      <c r="K825" s="16"/>
      <c r="L825" s="17"/>
      <c r="M825" s="4">
        <v>4400</v>
      </c>
    </row>
    <row r="826" spans="1:13" hidden="1" x14ac:dyDescent="0.35">
      <c r="A826" s="65"/>
      <c r="B826" s="75"/>
      <c r="C826" s="71"/>
      <c r="D826" s="73"/>
      <c r="E826" s="3" t="s">
        <v>707</v>
      </c>
      <c r="F826" s="3" t="s">
        <v>708</v>
      </c>
      <c r="G826" s="3" t="s">
        <v>1156</v>
      </c>
      <c r="H826" s="17"/>
      <c r="I826" s="17"/>
      <c r="J826" s="4">
        <v>-5910</v>
      </c>
      <c r="K826" s="16"/>
      <c r="L826" s="4">
        <v>0</v>
      </c>
      <c r="M826" s="4">
        <v>5910</v>
      </c>
    </row>
    <row r="827" spans="1:13" ht="21" hidden="1" x14ac:dyDescent="0.35">
      <c r="A827" s="65"/>
      <c r="B827" s="75"/>
      <c r="C827" s="70" t="s">
        <v>622</v>
      </c>
      <c r="D827" s="72" t="s">
        <v>623</v>
      </c>
      <c r="E827" s="3" t="s">
        <v>938</v>
      </c>
      <c r="F827" s="3" t="s">
        <v>939</v>
      </c>
      <c r="G827" s="3" t="s">
        <v>1157</v>
      </c>
      <c r="H827" s="4">
        <v>737101</v>
      </c>
      <c r="I827" s="4">
        <v>227741</v>
      </c>
      <c r="J827" s="4">
        <v>-2820.15</v>
      </c>
      <c r="K827" s="16"/>
      <c r="L827" s="4">
        <v>-9.9999999802094005E-3</v>
      </c>
      <c r="M827" s="4">
        <v>230561.16</v>
      </c>
    </row>
    <row r="828" spans="1:13" hidden="1" x14ac:dyDescent="0.35">
      <c r="A828" s="65"/>
      <c r="B828" s="75"/>
      <c r="C828" s="70"/>
      <c r="D828" s="72"/>
      <c r="E828" s="3" t="s">
        <v>945</v>
      </c>
      <c r="F828" s="3" t="s">
        <v>946</v>
      </c>
      <c r="G828" s="3" t="s">
        <v>1158</v>
      </c>
      <c r="H828" s="4">
        <v>1696000</v>
      </c>
      <c r="I828" s="4">
        <v>1469700</v>
      </c>
      <c r="J828" s="4">
        <v>1009728</v>
      </c>
      <c r="K828" s="5">
        <v>1</v>
      </c>
      <c r="L828" s="4">
        <v>368472</v>
      </c>
      <c r="M828" s="4">
        <v>91499</v>
      </c>
    </row>
    <row r="829" spans="1:13" hidden="1" x14ac:dyDescent="0.35">
      <c r="A829" s="65"/>
      <c r="B829" s="75"/>
      <c r="C829" s="70"/>
      <c r="D829" s="72"/>
      <c r="E829" s="3" t="s">
        <v>924</v>
      </c>
      <c r="F829" s="3" t="s">
        <v>925</v>
      </c>
      <c r="G829" s="3" t="s">
        <v>1159</v>
      </c>
      <c r="H829" s="4">
        <v>395724</v>
      </c>
      <c r="I829" s="4">
        <v>1751</v>
      </c>
      <c r="J829" s="4">
        <v>1750.45</v>
      </c>
      <c r="K829" s="16"/>
      <c r="L829" s="4">
        <v>0</v>
      </c>
      <c r="M829" s="4">
        <v>0.54999999999927196</v>
      </c>
    </row>
    <row r="830" spans="1:13" hidden="1" x14ac:dyDescent="0.35">
      <c r="A830" s="65"/>
      <c r="B830" s="75"/>
      <c r="C830" s="70"/>
      <c r="D830" s="72"/>
      <c r="E830" s="3" t="s">
        <v>1160</v>
      </c>
      <c r="F830" s="3" t="s">
        <v>1161</v>
      </c>
      <c r="G830" s="3" t="s">
        <v>1162</v>
      </c>
      <c r="H830" s="4">
        <v>0</v>
      </c>
      <c r="I830" s="4">
        <v>1240</v>
      </c>
      <c r="J830" s="4">
        <v>1240</v>
      </c>
      <c r="K830" s="16"/>
      <c r="L830" s="17"/>
      <c r="M830" s="4">
        <v>0</v>
      </c>
    </row>
    <row r="831" spans="1:13" hidden="1" x14ac:dyDescent="0.35">
      <c r="A831" s="65"/>
      <c r="B831" s="75"/>
      <c r="C831" s="70"/>
      <c r="D831" s="72"/>
      <c r="E831" s="3" t="s">
        <v>1127</v>
      </c>
      <c r="F831" s="3" t="s">
        <v>1128</v>
      </c>
      <c r="G831" s="3" t="s">
        <v>1163</v>
      </c>
      <c r="H831" s="4">
        <v>7141150</v>
      </c>
      <c r="I831" s="4">
        <v>11371150</v>
      </c>
      <c r="J831" s="4">
        <v>3534722.07</v>
      </c>
      <c r="K831" s="5">
        <v>0</v>
      </c>
      <c r="L831" s="4">
        <v>5250539.7699999996</v>
      </c>
      <c r="M831" s="4">
        <v>2585888.16</v>
      </c>
    </row>
    <row r="832" spans="1:13" hidden="1" x14ac:dyDescent="0.35">
      <c r="A832" s="65"/>
      <c r="B832" s="75"/>
      <c r="C832" s="70"/>
      <c r="D832" s="72"/>
      <c r="E832" s="3" t="s">
        <v>1164</v>
      </c>
      <c r="F832" s="3" t="s">
        <v>1165</v>
      </c>
      <c r="G832" s="3" t="s">
        <v>1166</v>
      </c>
      <c r="H832" s="4">
        <v>213000</v>
      </c>
      <c r="I832" s="4">
        <v>1080000</v>
      </c>
      <c r="J832" s="17"/>
      <c r="K832" s="16"/>
      <c r="L832" s="17"/>
      <c r="M832" s="4">
        <v>1080000</v>
      </c>
    </row>
    <row r="833" spans="1:13" hidden="1" x14ac:dyDescent="0.35">
      <c r="A833" s="65"/>
      <c r="B833" s="75"/>
      <c r="C833" s="70"/>
      <c r="D833" s="72"/>
      <c r="E833" s="3" t="s">
        <v>1167</v>
      </c>
      <c r="F833" s="3" t="s">
        <v>1168</v>
      </c>
      <c r="G833" s="3" t="s">
        <v>1169</v>
      </c>
      <c r="H833" s="4">
        <v>25000</v>
      </c>
      <c r="I833" s="4">
        <v>25000</v>
      </c>
      <c r="J833" s="4">
        <v>25000</v>
      </c>
      <c r="K833" s="16"/>
      <c r="L833" s="4">
        <v>0</v>
      </c>
      <c r="M833" s="4">
        <v>0</v>
      </c>
    </row>
    <row r="834" spans="1:13" ht="21" hidden="1" x14ac:dyDescent="0.35">
      <c r="A834" s="65"/>
      <c r="B834" s="75"/>
      <c r="C834" s="70"/>
      <c r="D834" s="72"/>
      <c r="E834" s="3" t="s">
        <v>803</v>
      </c>
      <c r="F834" s="3" t="s">
        <v>804</v>
      </c>
      <c r="G834" s="3" t="s">
        <v>1170</v>
      </c>
      <c r="H834" s="4">
        <v>0</v>
      </c>
      <c r="I834" s="4">
        <v>323360</v>
      </c>
      <c r="J834" s="4">
        <v>179027.15</v>
      </c>
      <c r="K834" s="5">
        <v>0</v>
      </c>
      <c r="L834" s="4">
        <v>33800</v>
      </c>
      <c r="M834" s="4">
        <v>110532.85</v>
      </c>
    </row>
    <row r="835" spans="1:13" hidden="1" x14ac:dyDescent="0.35">
      <c r="A835" s="65"/>
      <c r="B835" s="75"/>
      <c r="C835" s="70"/>
      <c r="D835" s="72"/>
      <c r="E835" s="3" t="s">
        <v>683</v>
      </c>
      <c r="F835" s="3" t="s">
        <v>684</v>
      </c>
      <c r="G835" s="3" t="s">
        <v>1171</v>
      </c>
      <c r="H835" s="4">
        <v>0</v>
      </c>
      <c r="I835" s="4">
        <v>42300</v>
      </c>
      <c r="J835" s="4">
        <v>4368</v>
      </c>
      <c r="K835" s="16"/>
      <c r="L835" s="17"/>
      <c r="M835" s="4">
        <v>37932</v>
      </c>
    </row>
    <row r="836" spans="1:13" hidden="1" x14ac:dyDescent="0.35">
      <c r="A836" s="65"/>
      <c r="B836" s="75"/>
      <c r="C836" s="70"/>
      <c r="D836" s="72"/>
      <c r="E836" s="3" t="s">
        <v>959</v>
      </c>
      <c r="F836" s="3" t="s">
        <v>960</v>
      </c>
      <c r="G836" s="3" t="s">
        <v>1172</v>
      </c>
      <c r="H836" s="4">
        <v>16267</v>
      </c>
      <c r="I836" s="4">
        <v>7905</v>
      </c>
      <c r="J836" s="4">
        <v>7904.54000000001</v>
      </c>
      <c r="K836" s="16"/>
      <c r="L836" s="17"/>
      <c r="M836" s="4">
        <v>0.45999999999185098</v>
      </c>
    </row>
    <row r="837" spans="1:13" ht="21" hidden="1" x14ac:dyDescent="0.35">
      <c r="A837" s="65"/>
      <c r="B837" s="75"/>
      <c r="C837" s="70"/>
      <c r="D837" s="72"/>
      <c r="E837" s="3" t="s">
        <v>695</v>
      </c>
      <c r="F837" s="3" t="s">
        <v>696</v>
      </c>
      <c r="G837" s="3" t="s">
        <v>1173</v>
      </c>
      <c r="H837" s="4">
        <v>0</v>
      </c>
      <c r="I837" s="4">
        <v>0</v>
      </c>
      <c r="J837" s="17"/>
      <c r="K837" s="16"/>
      <c r="L837" s="17"/>
      <c r="M837" s="4">
        <v>0</v>
      </c>
    </row>
    <row r="838" spans="1:13" hidden="1" x14ac:dyDescent="0.35">
      <c r="A838" s="65"/>
      <c r="B838" s="75"/>
      <c r="C838" s="70"/>
      <c r="D838" s="72"/>
      <c r="E838" s="3" t="s">
        <v>973</v>
      </c>
      <c r="F838" s="3" t="s">
        <v>974</v>
      </c>
      <c r="G838" s="3" t="s">
        <v>1174</v>
      </c>
      <c r="H838" s="4">
        <v>665918</v>
      </c>
      <c r="I838" s="4">
        <v>506185</v>
      </c>
      <c r="J838" s="4">
        <v>506184.86</v>
      </c>
      <c r="K838" s="16"/>
      <c r="L838" s="17"/>
      <c r="M838" s="4">
        <v>0.140000000101281</v>
      </c>
    </row>
    <row r="839" spans="1:13" hidden="1" x14ac:dyDescent="0.35">
      <c r="A839" s="65"/>
      <c r="B839" s="75"/>
      <c r="C839" s="70"/>
      <c r="D839" s="72"/>
      <c r="E839" s="3" t="s">
        <v>979</v>
      </c>
      <c r="F839" s="3" t="s">
        <v>980</v>
      </c>
      <c r="G839" s="3" t="s">
        <v>1175</v>
      </c>
      <c r="H839" s="4">
        <v>194144</v>
      </c>
      <c r="I839" s="4">
        <v>166805</v>
      </c>
      <c r="J839" s="4">
        <v>166804.99</v>
      </c>
      <c r="K839" s="16"/>
      <c r="L839" s="17"/>
      <c r="M839" s="4">
        <v>1.0000000016589201E-2</v>
      </c>
    </row>
    <row r="840" spans="1:13" hidden="1" x14ac:dyDescent="0.35">
      <c r="A840" s="65"/>
      <c r="B840" s="75"/>
      <c r="C840" s="70"/>
      <c r="D840" s="72"/>
      <c r="E840" s="3" t="s">
        <v>698</v>
      </c>
      <c r="F840" s="3" t="s">
        <v>699</v>
      </c>
      <c r="G840" s="3" t="s">
        <v>1176</v>
      </c>
      <c r="H840" s="4">
        <v>2375</v>
      </c>
      <c r="I840" s="4">
        <v>62375</v>
      </c>
      <c r="J840" s="4">
        <v>9782.81</v>
      </c>
      <c r="K840" s="16"/>
      <c r="L840" s="17"/>
      <c r="M840" s="4">
        <v>49592.19</v>
      </c>
    </row>
    <row r="841" spans="1:13" hidden="1" x14ac:dyDescent="0.35">
      <c r="A841" s="65"/>
      <c r="B841" s="75"/>
      <c r="C841" s="70"/>
      <c r="D841" s="72"/>
      <c r="E841" s="3" t="s">
        <v>1075</v>
      </c>
      <c r="F841" s="3" t="s">
        <v>1076</v>
      </c>
      <c r="G841" s="3" t="s">
        <v>1177</v>
      </c>
      <c r="H841" s="4">
        <v>5500</v>
      </c>
      <c r="I841" s="4">
        <v>5500</v>
      </c>
      <c r="J841" s="4">
        <v>5500</v>
      </c>
      <c r="K841" s="16"/>
      <c r="L841" s="17"/>
      <c r="M841" s="4">
        <v>0</v>
      </c>
    </row>
    <row r="842" spans="1:13" ht="21" hidden="1" x14ac:dyDescent="0.35">
      <c r="A842" s="65"/>
      <c r="B842" s="75"/>
      <c r="C842" s="70"/>
      <c r="D842" s="72"/>
      <c r="E842" s="3" t="s">
        <v>993</v>
      </c>
      <c r="F842" s="3" t="s">
        <v>994</v>
      </c>
      <c r="G842" s="3" t="s">
        <v>1178</v>
      </c>
      <c r="H842" s="4">
        <v>677010</v>
      </c>
      <c r="I842" s="4">
        <v>118837</v>
      </c>
      <c r="J842" s="4">
        <v>118836.36</v>
      </c>
      <c r="K842" s="5">
        <v>0</v>
      </c>
      <c r="L842" s="4">
        <v>-1.0000000002037299E-2</v>
      </c>
      <c r="M842" s="4">
        <v>0.64999999998690305</v>
      </c>
    </row>
    <row r="843" spans="1:13" ht="31.5" hidden="1" x14ac:dyDescent="0.35">
      <c r="A843" s="65"/>
      <c r="B843" s="75"/>
      <c r="C843" s="71"/>
      <c r="D843" s="73"/>
      <c r="E843" s="3" t="s">
        <v>788</v>
      </c>
      <c r="F843" s="3" t="s">
        <v>789</v>
      </c>
      <c r="G843" s="3" t="s">
        <v>1179</v>
      </c>
      <c r="H843" s="4">
        <v>0</v>
      </c>
      <c r="I843" s="4">
        <v>32000</v>
      </c>
      <c r="J843" s="4">
        <v>29547</v>
      </c>
      <c r="K843" s="5">
        <v>0</v>
      </c>
      <c r="L843" s="4">
        <v>0</v>
      </c>
      <c r="M843" s="4">
        <v>2453</v>
      </c>
    </row>
    <row r="844" spans="1:13" ht="21" hidden="1" x14ac:dyDescent="0.35">
      <c r="A844" s="65"/>
      <c r="B844" s="75"/>
      <c r="C844" s="70" t="s">
        <v>633</v>
      </c>
      <c r="D844" s="72" t="s">
        <v>634</v>
      </c>
      <c r="E844" s="3" t="s">
        <v>732</v>
      </c>
      <c r="F844" s="3" t="s">
        <v>733</v>
      </c>
      <c r="G844" s="3" t="s">
        <v>1180</v>
      </c>
      <c r="H844" s="4">
        <v>227</v>
      </c>
      <c r="I844" s="4">
        <v>227</v>
      </c>
      <c r="J844" s="4">
        <v>-8404.76</v>
      </c>
      <c r="K844" s="16"/>
      <c r="L844" s="17"/>
      <c r="M844" s="4">
        <v>8631.76</v>
      </c>
    </row>
    <row r="845" spans="1:13" hidden="1" x14ac:dyDescent="0.35">
      <c r="A845" s="65"/>
      <c r="B845" s="75"/>
      <c r="C845" s="70"/>
      <c r="D845" s="72"/>
      <c r="E845" s="3" t="s">
        <v>1181</v>
      </c>
      <c r="F845" s="3" t="s">
        <v>1182</v>
      </c>
      <c r="G845" s="3" t="s">
        <v>1183</v>
      </c>
      <c r="H845" s="4">
        <v>12960003</v>
      </c>
      <c r="I845" s="4">
        <v>13400003</v>
      </c>
      <c r="J845" s="4">
        <v>12891744.279999999</v>
      </c>
      <c r="K845" s="5">
        <v>0</v>
      </c>
      <c r="L845" s="4">
        <v>355549.14</v>
      </c>
      <c r="M845" s="4">
        <v>152709.58000000101</v>
      </c>
    </row>
    <row r="846" spans="1:13" hidden="1" x14ac:dyDescent="0.35">
      <c r="A846" s="65"/>
      <c r="B846" s="75"/>
      <c r="C846" s="71"/>
      <c r="D846" s="73"/>
      <c r="E846" s="3" t="s">
        <v>1041</v>
      </c>
      <c r="F846" s="3" t="s">
        <v>1042</v>
      </c>
      <c r="G846" s="3" t="s">
        <v>1184</v>
      </c>
      <c r="H846" s="4">
        <v>0</v>
      </c>
      <c r="I846" s="4">
        <v>0</v>
      </c>
      <c r="J846" s="17"/>
      <c r="K846" s="16"/>
      <c r="L846" s="17"/>
      <c r="M846" s="4">
        <v>0</v>
      </c>
    </row>
    <row r="847" spans="1:13" ht="31.5" hidden="1" x14ac:dyDescent="0.35">
      <c r="A847" s="65"/>
      <c r="B847" s="75"/>
      <c r="C847" s="70" t="s">
        <v>643</v>
      </c>
      <c r="D847" s="72" t="s">
        <v>644</v>
      </c>
      <c r="E847" s="3" t="s">
        <v>680</v>
      </c>
      <c r="F847" s="3" t="s">
        <v>681</v>
      </c>
      <c r="G847" s="3" t="s">
        <v>1185</v>
      </c>
      <c r="H847" s="4">
        <v>10000</v>
      </c>
      <c r="I847" s="4">
        <v>10000</v>
      </c>
      <c r="J847" s="4">
        <v>5822.25</v>
      </c>
      <c r="K847" s="16"/>
      <c r="L847" s="17"/>
      <c r="M847" s="4">
        <v>4177.75</v>
      </c>
    </row>
    <row r="848" spans="1:13" ht="31.5" hidden="1" x14ac:dyDescent="0.35">
      <c r="A848" s="65"/>
      <c r="B848" s="75"/>
      <c r="C848" s="70"/>
      <c r="D848" s="72"/>
      <c r="E848" s="3" t="s">
        <v>722</v>
      </c>
      <c r="F848" s="3" t="s">
        <v>723</v>
      </c>
      <c r="G848" s="3" t="s">
        <v>1186</v>
      </c>
      <c r="H848" s="4">
        <v>20000</v>
      </c>
      <c r="I848" s="4">
        <v>20000</v>
      </c>
      <c r="J848" s="4">
        <v>7346</v>
      </c>
      <c r="K848" s="16"/>
      <c r="L848" s="17"/>
      <c r="M848" s="4">
        <v>12654</v>
      </c>
    </row>
    <row r="849" spans="1:13" ht="21" hidden="1" x14ac:dyDescent="0.35">
      <c r="A849" s="65"/>
      <c r="B849" s="75"/>
      <c r="C849" s="70"/>
      <c r="D849" s="72"/>
      <c r="E849" s="3" t="s">
        <v>770</v>
      </c>
      <c r="F849" s="3" t="s">
        <v>771</v>
      </c>
      <c r="G849" s="3" t="s">
        <v>1187</v>
      </c>
      <c r="H849" s="4">
        <v>32721</v>
      </c>
      <c r="I849" s="4">
        <v>32721</v>
      </c>
      <c r="J849" s="4">
        <v>30906.93</v>
      </c>
      <c r="K849" s="16"/>
      <c r="L849" s="17"/>
      <c r="M849" s="4">
        <v>1814.07</v>
      </c>
    </row>
    <row r="850" spans="1:13" hidden="1" x14ac:dyDescent="0.35">
      <c r="A850" s="65"/>
      <c r="B850" s="75"/>
      <c r="C850" s="70"/>
      <c r="D850" s="72"/>
      <c r="E850" s="3" t="s">
        <v>686</v>
      </c>
      <c r="F850" s="3" t="s">
        <v>687</v>
      </c>
      <c r="G850" s="3" t="s">
        <v>1188</v>
      </c>
      <c r="H850" s="4">
        <v>120000</v>
      </c>
      <c r="I850" s="4">
        <v>120000</v>
      </c>
      <c r="J850" s="4">
        <v>108507.33</v>
      </c>
      <c r="K850" s="5">
        <v>0</v>
      </c>
      <c r="L850" s="4">
        <v>0</v>
      </c>
      <c r="M850" s="4">
        <v>11492.67</v>
      </c>
    </row>
    <row r="851" spans="1:13" hidden="1" x14ac:dyDescent="0.35">
      <c r="A851" s="65"/>
      <c r="B851" s="75"/>
      <c r="C851" s="71"/>
      <c r="D851" s="73"/>
      <c r="E851" s="3" t="s">
        <v>698</v>
      </c>
      <c r="F851" s="3" t="s">
        <v>699</v>
      </c>
      <c r="G851" s="3" t="s">
        <v>1189</v>
      </c>
      <c r="H851" s="4">
        <v>2000</v>
      </c>
      <c r="I851" s="4">
        <v>2000</v>
      </c>
      <c r="J851" s="4">
        <v>825</v>
      </c>
      <c r="K851" s="16"/>
      <c r="L851" s="17"/>
      <c r="M851" s="4">
        <v>1175</v>
      </c>
    </row>
    <row r="852" spans="1:13" hidden="1" x14ac:dyDescent="0.35">
      <c r="A852" s="65"/>
      <c r="B852" s="75"/>
      <c r="C852" s="70" t="s">
        <v>650</v>
      </c>
      <c r="D852" s="72" t="s">
        <v>651</v>
      </c>
      <c r="E852" s="3" t="s">
        <v>665</v>
      </c>
      <c r="F852" s="3" t="s">
        <v>666</v>
      </c>
      <c r="G852" s="3" t="s">
        <v>1190</v>
      </c>
      <c r="H852" s="4">
        <v>1</v>
      </c>
      <c r="I852" s="4">
        <v>1</v>
      </c>
      <c r="J852" s="17"/>
      <c r="K852" s="16"/>
      <c r="L852" s="17"/>
      <c r="M852" s="4">
        <v>1</v>
      </c>
    </row>
    <row r="853" spans="1:13" ht="21" hidden="1" x14ac:dyDescent="0.35">
      <c r="A853" s="65"/>
      <c r="B853" s="75"/>
      <c r="C853" s="70"/>
      <c r="D853" s="72"/>
      <c r="E853" s="3" t="s">
        <v>668</v>
      </c>
      <c r="F853" s="3" t="s">
        <v>669</v>
      </c>
      <c r="G853" s="3" t="s">
        <v>1191</v>
      </c>
      <c r="H853" s="4">
        <v>1</v>
      </c>
      <c r="I853" s="4">
        <v>16980288</v>
      </c>
      <c r="J853" s="4">
        <v>10857770</v>
      </c>
      <c r="K853" s="5">
        <v>1469188</v>
      </c>
      <c r="L853" s="17"/>
      <c r="M853" s="4">
        <v>4653330</v>
      </c>
    </row>
    <row r="854" spans="1:13" hidden="1" x14ac:dyDescent="0.35">
      <c r="A854" s="65"/>
      <c r="B854" s="75"/>
      <c r="C854" s="70"/>
      <c r="D854" s="72"/>
      <c r="E854" s="3" t="s">
        <v>1061</v>
      </c>
      <c r="F854" s="3" t="s">
        <v>1062</v>
      </c>
      <c r="G854" s="3" t="s">
        <v>1192</v>
      </c>
      <c r="H854" s="4">
        <v>1429265</v>
      </c>
      <c r="I854" s="4">
        <v>1000000</v>
      </c>
      <c r="J854" s="4">
        <v>1300</v>
      </c>
      <c r="K854" s="16"/>
      <c r="L854" s="17"/>
      <c r="M854" s="4">
        <v>998700</v>
      </c>
    </row>
    <row r="855" spans="1:13" hidden="1" x14ac:dyDescent="0.35">
      <c r="A855" s="65"/>
      <c r="B855" s="75"/>
      <c r="C855" s="70"/>
      <c r="D855" s="72"/>
      <c r="E855" s="3" t="s">
        <v>674</v>
      </c>
      <c r="F855" s="3" t="s">
        <v>675</v>
      </c>
      <c r="G855" s="3" t="s">
        <v>1193</v>
      </c>
      <c r="H855" s="4">
        <v>332160</v>
      </c>
      <c r="I855" s="4">
        <v>0</v>
      </c>
      <c r="J855" s="17"/>
      <c r="K855" s="16"/>
      <c r="L855" s="17"/>
      <c r="M855" s="4">
        <v>0</v>
      </c>
    </row>
    <row r="856" spans="1:13" ht="21" hidden="1" x14ac:dyDescent="0.35">
      <c r="A856" s="65"/>
      <c r="B856" s="75"/>
      <c r="C856" s="70"/>
      <c r="D856" s="72"/>
      <c r="E856" s="3" t="s">
        <v>677</v>
      </c>
      <c r="F856" s="3" t="s">
        <v>678</v>
      </c>
      <c r="G856" s="3" t="s">
        <v>1194</v>
      </c>
      <c r="H856" s="4">
        <v>186258</v>
      </c>
      <c r="I856" s="4">
        <v>86258</v>
      </c>
      <c r="J856" s="4">
        <v>85394.13</v>
      </c>
      <c r="K856" s="5">
        <v>0</v>
      </c>
      <c r="L856" s="4">
        <v>0</v>
      </c>
      <c r="M856" s="4">
        <v>863.869999999995</v>
      </c>
    </row>
    <row r="857" spans="1:13" hidden="1" x14ac:dyDescent="0.35">
      <c r="A857" s="65"/>
      <c r="B857" s="75"/>
      <c r="C857" s="70"/>
      <c r="D857" s="72"/>
      <c r="E857" s="3" t="s">
        <v>1114</v>
      </c>
      <c r="F857" s="3" t="s">
        <v>1115</v>
      </c>
      <c r="G857" s="3" t="s">
        <v>1195</v>
      </c>
      <c r="H857" s="4">
        <v>59066</v>
      </c>
      <c r="I857" s="4">
        <v>59066</v>
      </c>
      <c r="J857" s="17"/>
      <c r="K857" s="5">
        <v>0</v>
      </c>
      <c r="L857" s="4">
        <v>31000</v>
      </c>
      <c r="M857" s="4">
        <v>28066</v>
      </c>
    </row>
    <row r="858" spans="1:13" ht="31.5" hidden="1" x14ac:dyDescent="0.35">
      <c r="A858" s="65"/>
      <c r="B858" s="75"/>
      <c r="C858" s="70"/>
      <c r="D858" s="72"/>
      <c r="E858" s="3" t="s">
        <v>952</v>
      </c>
      <c r="F858" s="3" t="s">
        <v>953</v>
      </c>
      <c r="G858" s="3" t="s">
        <v>1196</v>
      </c>
      <c r="H858" s="4">
        <v>61934</v>
      </c>
      <c r="I858" s="4">
        <v>61934</v>
      </c>
      <c r="J858" s="4">
        <v>53742.06</v>
      </c>
      <c r="K858" s="16"/>
      <c r="L858" s="17"/>
      <c r="M858" s="4">
        <v>8191.94</v>
      </c>
    </row>
    <row r="859" spans="1:13" hidden="1" x14ac:dyDescent="0.35">
      <c r="A859" s="65"/>
      <c r="B859" s="75"/>
      <c r="C859" s="70"/>
      <c r="D859" s="72"/>
      <c r="E859" s="3" t="s">
        <v>717</v>
      </c>
      <c r="F859" s="3" t="s">
        <v>718</v>
      </c>
      <c r="G859" s="3" t="s">
        <v>1197</v>
      </c>
      <c r="H859" s="4">
        <v>129220</v>
      </c>
      <c r="I859" s="4">
        <v>79220</v>
      </c>
      <c r="J859" s="4">
        <v>257.85000000000002</v>
      </c>
      <c r="K859" s="16"/>
      <c r="L859" s="17"/>
      <c r="M859" s="4">
        <v>78962.149999999994</v>
      </c>
    </row>
    <row r="860" spans="1:13" ht="31.5" hidden="1" x14ac:dyDescent="0.35">
      <c r="A860" s="65"/>
      <c r="B860" s="75"/>
      <c r="C860" s="70"/>
      <c r="D860" s="72"/>
      <c r="E860" s="3" t="s">
        <v>680</v>
      </c>
      <c r="F860" s="3" t="s">
        <v>681</v>
      </c>
      <c r="G860" s="3" t="s">
        <v>1198</v>
      </c>
      <c r="H860" s="4">
        <v>114961</v>
      </c>
      <c r="I860" s="4">
        <v>234961</v>
      </c>
      <c r="J860" s="4">
        <v>44135.8</v>
      </c>
      <c r="K860" s="5">
        <v>0</v>
      </c>
      <c r="L860" s="4">
        <v>39000</v>
      </c>
      <c r="M860" s="4">
        <v>151537.20000000001</v>
      </c>
    </row>
    <row r="861" spans="1:13" ht="31.5" hidden="1" x14ac:dyDescent="0.35">
      <c r="A861" s="65"/>
      <c r="B861" s="75"/>
      <c r="C861" s="70"/>
      <c r="D861" s="72"/>
      <c r="E861" s="3" t="s">
        <v>722</v>
      </c>
      <c r="F861" s="3" t="s">
        <v>723</v>
      </c>
      <c r="G861" s="3" t="s">
        <v>1199</v>
      </c>
      <c r="H861" s="4">
        <v>53774</v>
      </c>
      <c r="I861" s="4">
        <v>123774</v>
      </c>
      <c r="J861" s="4">
        <v>26926.2</v>
      </c>
      <c r="K861" s="16"/>
      <c r="L861" s="17"/>
      <c r="M861" s="4">
        <v>96847.8</v>
      </c>
    </row>
    <row r="862" spans="1:13" ht="21" hidden="1" x14ac:dyDescent="0.35">
      <c r="A862" s="65"/>
      <c r="B862" s="75"/>
      <c r="C862" s="70"/>
      <c r="D862" s="72"/>
      <c r="E862" s="3" t="s">
        <v>764</v>
      </c>
      <c r="F862" s="3" t="s">
        <v>765</v>
      </c>
      <c r="G862" s="3" t="s">
        <v>1200</v>
      </c>
      <c r="H862" s="4">
        <v>2092953</v>
      </c>
      <c r="I862" s="4">
        <v>3421083</v>
      </c>
      <c r="J862" s="4">
        <v>1335227.8999999999</v>
      </c>
      <c r="K862" s="5">
        <v>1030000</v>
      </c>
      <c r="L862" s="4">
        <v>0</v>
      </c>
      <c r="M862" s="4">
        <v>1055855.1000000001</v>
      </c>
    </row>
    <row r="863" spans="1:13" hidden="1" x14ac:dyDescent="0.35">
      <c r="A863" s="65"/>
      <c r="B863" s="75"/>
      <c r="C863" s="70"/>
      <c r="D863" s="72"/>
      <c r="E863" s="3" t="s">
        <v>1141</v>
      </c>
      <c r="F863" s="3" t="s">
        <v>1142</v>
      </c>
      <c r="G863" s="3" t="s">
        <v>1201</v>
      </c>
      <c r="H863" s="4">
        <v>90000</v>
      </c>
      <c r="I863" s="4">
        <v>90000</v>
      </c>
      <c r="J863" s="4">
        <v>7570.3</v>
      </c>
      <c r="K863" s="16"/>
      <c r="L863" s="17"/>
      <c r="M863" s="4">
        <v>82429.7</v>
      </c>
    </row>
    <row r="864" spans="1:13" hidden="1" x14ac:dyDescent="0.35">
      <c r="A864" s="65"/>
      <c r="B864" s="75"/>
      <c r="C864" s="70"/>
      <c r="D864" s="72"/>
      <c r="E864" s="3" t="s">
        <v>750</v>
      </c>
      <c r="F864" s="3" t="s">
        <v>751</v>
      </c>
      <c r="G864" s="3" t="s">
        <v>1202</v>
      </c>
      <c r="H864" s="4">
        <v>0</v>
      </c>
      <c r="I864" s="4">
        <v>0</v>
      </c>
      <c r="J864" s="17"/>
      <c r="K864" s="16"/>
      <c r="L864" s="17"/>
      <c r="M864" s="4">
        <v>0</v>
      </c>
    </row>
    <row r="865" spans="1:13" hidden="1" x14ac:dyDescent="0.35">
      <c r="A865" s="65"/>
      <c r="B865" s="75"/>
      <c r="C865" s="70"/>
      <c r="D865" s="72"/>
      <c r="E865" s="3" t="s">
        <v>1127</v>
      </c>
      <c r="F865" s="3" t="s">
        <v>1128</v>
      </c>
      <c r="G865" s="3" t="s">
        <v>1203</v>
      </c>
      <c r="H865" s="4">
        <v>95665</v>
      </c>
      <c r="I865" s="4">
        <v>95665</v>
      </c>
      <c r="J865" s="17"/>
      <c r="K865" s="16"/>
      <c r="L865" s="17"/>
      <c r="M865" s="4">
        <v>95665</v>
      </c>
    </row>
    <row r="866" spans="1:13" hidden="1" x14ac:dyDescent="0.35">
      <c r="A866" s="65"/>
      <c r="B866" s="75"/>
      <c r="C866" s="70"/>
      <c r="D866" s="72"/>
      <c r="E866" s="3" t="s">
        <v>753</v>
      </c>
      <c r="F866" s="3" t="s">
        <v>754</v>
      </c>
      <c r="G866" s="3" t="s">
        <v>1204</v>
      </c>
      <c r="H866" s="4">
        <v>10773054</v>
      </c>
      <c r="I866" s="4">
        <v>13598539</v>
      </c>
      <c r="J866" s="4">
        <v>13103266.380000001</v>
      </c>
      <c r="K866" s="16"/>
      <c r="L866" s="17"/>
      <c r="M866" s="4">
        <v>495272.61999999901</v>
      </c>
    </row>
    <row r="867" spans="1:13" hidden="1" x14ac:dyDescent="0.35">
      <c r="A867" s="65"/>
      <c r="B867" s="75"/>
      <c r="C867" s="70"/>
      <c r="D867" s="72"/>
      <c r="E867" s="3" t="s">
        <v>1167</v>
      </c>
      <c r="F867" s="3" t="s">
        <v>1168</v>
      </c>
      <c r="G867" s="3" t="s">
        <v>1205</v>
      </c>
      <c r="H867" s="17"/>
      <c r="I867" s="17"/>
      <c r="J867" s="4">
        <v>0</v>
      </c>
      <c r="K867" s="16"/>
      <c r="L867" s="17"/>
      <c r="M867" s="4">
        <v>0</v>
      </c>
    </row>
    <row r="868" spans="1:13" ht="21" hidden="1" x14ac:dyDescent="0.35">
      <c r="A868" s="65"/>
      <c r="B868" s="75"/>
      <c r="C868" s="70"/>
      <c r="D868" s="72"/>
      <c r="E868" s="3" t="s">
        <v>803</v>
      </c>
      <c r="F868" s="3" t="s">
        <v>804</v>
      </c>
      <c r="G868" s="3" t="s">
        <v>1206</v>
      </c>
      <c r="H868" s="4">
        <v>4146</v>
      </c>
      <c r="I868" s="4">
        <v>64146</v>
      </c>
      <c r="J868" s="4">
        <v>8604</v>
      </c>
      <c r="K868" s="16"/>
      <c r="L868" s="17"/>
      <c r="M868" s="4">
        <v>55542</v>
      </c>
    </row>
    <row r="869" spans="1:13" hidden="1" x14ac:dyDescent="0.35">
      <c r="A869" s="65"/>
      <c r="B869" s="75"/>
      <c r="C869" s="70"/>
      <c r="D869" s="72"/>
      <c r="E869" s="3" t="s">
        <v>1151</v>
      </c>
      <c r="F869" s="3" t="s">
        <v>1152</v>
      </c>
      <c r="G869" s="3" t="s">
        <v>1207</v>
      </c>
      <c r="H869" s="4">
        <v>59066</v>
      </c>
      <c r="I869" s="4">
        <v>49066</v>
      </c>
      <c r="J869" s="17"/>
      <c r="K869" s="16"/>
      <c r="L869" s="17"/>
      <c r="M869" s="4">
        <v>49066</v>
      </c>
    </row>
    <row r="870" spans="1:13" hidden="1" x14ac:dyDescent="0.35">
      <c r="A870" s="65"/>
      <c r="B870" s="75"/>
      <c r="C870" s="70"/>
      <c r="D870" s="72"/>
      <c r="E870" s="3" t="s">
        <v>767</v>
      </c>
      <c r="F870" s="3" t="s">
        <v>768</v>
      </c>
      <c r="G870" s="3" t="s">
        <v>1208</v>
      </c>
      <c r="H870" s="4">
        <v>50872</v>
      </c>
      <c r="I870" s="4">
        <v>50872</v>
      </c>
      <c r="J870" s="4">
        <v>23080</v>
      </c>
      <c r="K870" s="5">
        <v>0</v>
      </c>
      <c r="L870" s="4">
        <v>0</v>
      </c>
      <c r="M870" s="4">
        <v>27792</v>
      </c>
    </row>
    <row r="871" spans="1:13" ht="21" hidden="1" x14ac:dyDescent="0.35">
      <c r="A871" s="65"/>
      <c r="B871" s="75"/>
      <c r="C871" s="70"/>
      <c r="D871" s="72"/>
      <c r="E871" s="3" t="s">
        <v>770</v>
      </c>
      <c r="F871" s="3" t="s">
        <v>771</v>
      </c>
      <c r="G871" s="3" t="s">
        <v>1209</v>
      </c>
      <c r="H871" s="4">
        <v>59112</v>
      </c>
      <c r="I871" s="4">
        <v>59112</v>
      </c>
      <c r="J871" s="17"/>
      <c r="K871" s="5">
        <v>0</v>
      </c>
      <c r="L871" s="4">
        <v>25711</v>
      </c>
      <c r="M871" s="4">
        <v>33401</v>
      </c>
    </row>
    <row r="872" spans="1:13" hidden="1" x14ac:dyDescent="0.35">
      <c r="A872" s="65"/>
      <c r="B872" s="75"/>
      <c r="C872" s="70"/>
      <c r="D872" s="72"/>
      <c r="E872" s="3" t="s">
        <v>683</v>
      </c>
      <c r="F872" s="3" t="s">
        <v>684</v>
      </c>
      <c r="G872" s="3" t="s">
        <v>1210</v>
      </c>
      <c r="H872" s="4">
        <v>53508</v>
      </c>
      <c r="I872" s="4">
        <v>53508</v>
      </c>
      <c r="J872" s="4">
        <v>17414.509999999998</v>
      </c>
      <c r="K872" s="16"/>
      <c r="L872" s="17"/>
      <c r="M872" s="4">
        <v>36093.49</v>
      </c>
    </row>
    <row r="873" spans="1:13" ht="31.5" hidden="1" x14ac:dyDescent="0.35">
      <c r="A873" s="65"/>
      <c r="B873" s="75"/>
      <c r="C873" s="70"/>
      <c r="D873" s="72"/>
      <c r="E873" s="3" t="s">
        <v>929</v>
      </c>
      <c r="F873" s="3" t="s">
        <v>930</v>
      </c>
      <c r="G873" s="3" t="s">
        <v>1211</v>
      </c>
      <c r="H873" s="4">
        <v>10000</v>
      </c>
      <c r="I873" s="4">
        <v>10000</v>
      </c>
      <c r="J873" s="17"/>
      <c r="K873" s="16"/>
      <c r="L873" s="17"/>
      <c r="M873" s="4">
        <v>10000</v>
      </c>
    </row>
    <row r="874" spans="1:13" hidden="1" x14ac:dyDescent="0.35">
      <c r="A874" s="65"/>
      <c r="B874" s="75"/>
      <c r="C874" s="70"/>
      <c r="D874" s="72"/>
      <c r="E874" s="3" t="s">
        <v>686</v>
      </c>
      <c r="F874" s="3" t="s">
        <v>687</v>
      </c>
      <c r="G874" s="3" t="s">
        <v>1212</v>
      </c>
      <c r="H874" s="4">
        <v>787759</v>
      </c>
      <c r="I874" s="4">
        <v>1217024</v>
      </c>
      <c r="J874" s="4">
        <v>843812.94</v>
      </c>
      <c r="K874" s="5">
        <v>203760.24</v>
      </c>
      <c r="L874" s="4">
        <v>168104.5</v>
      </c>
      <c r="M874" s="4">
        <v>1346.3199999999499</v>
      </c>
    </row>
    <row r="875" spans="1:13" ht="21" hidden="1" x14ac:dyDescent="0.35">
      <c r="A875" s="65"/>
      <c r="B875" s="75"/>
      <c r="C875" s="70"/>
      <c r="D875" s="72"/>
      <c r="E875" s="3" t="s">
        <v>970</v>
      </c>
      <c r="F875" s="3" t="s">
        <v>971</v>
      </c>
      <c r="G875" s="3" t="s">
        <v>1213</v>
      </c>
      <c r="H875" s="4">
        <v>16408</v>
      </c>
      <c r="I875" s="4">
        <v>16408</v>
      </c>
      <c r="J875" s="4">
        <v>290</v>
      </c>
      <c r="K875" s="16"/>
      <c r="L875" s="17"/>
      <c r="M875" s="4">
        <v>16118</v>
      </c>
    </row>
    <row r="876" spans="1:13" hidden="1" x14ac:dyDescent="0.35">
      <c r="A876" s="65"/>
      <c r="B876" s="75"/>
      <c r="C876" s="70"/>
      <c r="D876" s="72"/>
      <c r="E876" s="3" t="s">
        <v>725</v>
      </c>
      <c r="F876" s="3" t="s">
        <v>726</v>
      </c>
      <c r="G876" s="3" t="s">
        <v>1214</v>
      </c>
      <c r="H876" s="4">
        <v>1</v>
      </c>
      <c r="I876" s="4">
        <v>1</v>
      </c>
      <c r="J876" s="17"/>
      <c r="K876" s="16"/>
      <c r="L876" s="17"/>
      <c r="M876" s="4">
        <v>1</v>
      </c>
    </row>
    <row r="877" spans="1:13" hidden="1" x14ac:dyDescent="0.35">
      <c r="A877" s="65"/>
      <c r="B877" s="75"/>
      <c r="C877" s="70"/>
      <c r="D877" s="72"/>
      <c r="E877" s="3" t="s">
        <v>728</v>
      </c>
      <c r="F877" s="3" t="s">
        <v>729</v>
      </c>
      <c r="G877" s="3" t="s">
        <v>1215</v>
      </c>
      <c r="H877" s="4">
        <v>164073</v>
      </c>
      <c r="I877" s="4">
        <v>164073</v>
      </c>
      <c r="J877" s="4">
        <v>158351.81</v>
      </c>
      <c r="K877" s="16"/>
      <c r="L877" s="17"/>
      <c r="M877" s="4">
        <v>5721.19</v>
      </c>
    </row>
    <row r="878" spans="1:13" ht="21" hidden="1" x14ac:dyDescent="0.35">
      <c r="A878" s="65"/>
      <c r="B878" s="75"/>
      <c r="C878" s="70"/>
      <c r="D878" s="72"/>
      <c r="E878" s="3" t="s">
        <v>689</v>
      </c>
      <c r="F878" s="3" t="s">
        <v>690</v>
      </c>
      <c r="G878" s="3" t="s">
        <v>1216</v>
      </c>
      <c r="H878" s="4">
        <v>26780</v>
      </c>
      <c r="I878" s="4">
        <v>26780</v>
      </c>
      <c r="J878" s="4">
        <v>14706.73</v>
      </c>
      <c r="K878" s="16"/>
      <c r="L878" s="17"/>
      <c r="M878" s="4">
        <v>12073.27</v>
      </c>
    </row>
    <row r="879" spans="1:13" hidden="1" x14ac:dyDescent="0.35">
      <c r="A879" s="65"/>
      <c r="B879" s="75"/>
      <c r="C879" s="70"/>
      <c r="D879" s="72"/>
      <c r="E879" s="3" t="s">
        <v>1067</v>
      </c>
      <c r="F879" s="3" t="s">
        <v>1068</v>
      </c>
      <c r="G879" s="3" t="s">
        <v>1217</v>
      </c>
      <c r="H879" s="4">
        <v>10000</v>
      </c>
      <c r="I879" s="4">
        <v>10000</v>
      </c>
      <c r="J879" s="17"/>
      <c r="K879" s="16"/>
      <c r="L879" s="17"/>
      <c r="M879" s="4">
        <v>10000</v>
      </c>
    </row>
    <row r="880" spans="1:13" ht="21" hidden="1" x14ac:dyDescent="0.35">
      <c r="A880" s="65"/>
      <c r="B880" s="75"/>
      <c r="C880" s="70"/>
      <c r="D880" s="72"/>
      <c r="E880" s="3" t="s">
        <v>695</v>
      </c>
      <c r="F880" s="3" t="s">
        <v>696</v>
      </c>
      <c r="G880" s="3" t="s">
        <v>1218</v>
      </c>
      <c r="H880" s="4">
        <v>17601</v>
      </c>
      <c r="I880" s="4">
        <v>16951</v>
      </c>
      <c r="J880" s="17"/>
      <c r="K880" s="16"/>
      <c r="L880" s="17"/>
      <c r="M880" s="4">
        <v>16951</v>
      </c>
    </row>
    <row r="881" spans="1:13" ht="21" hidden="1" x14ac:dyDescent="0.35">
      <c r="A881" s="65"/>
      <c r="B881" s="75"/>
      <c r="C881" s="70"/>
      <c r="D881" s="72"/>
      <c r="E881" s="3" t="s">
        <v>1219</v>
      </c>
      <c r="F881" s="3" t="s">
        <v>1220</v>
      </c>
      <c r="G881" s="3" t="s">
        <v>1221</v>
      </c>
      <c r="H881" s="4">
        <v>1</v>
      </c>
      <c r="I881" s="4">
        <v>1</v>
      </c>
      <c r="J881" s="17"/>
      <c r="K881" s="16"/>
      <c r="L881" s="17"/>
      <c r="M881" s="4">
        <v>1</v>
      </c>
    </row>
    <row r="882" spans="1:13" hidden="1" x14ac:dyDescent="0.35">
      <c r="A882" s="65"/>
      <c r="B882" s="75"/>
      <c r="C882" s="70"/>
      <c r="D882" s="72"/>
      <c r="E882" s="3" t="s">
        <v>698</v>
      </c>
      <c r="F882" s="3" t="s">
        <v>699</v>
      </c>
      <c r="G882" s="3" t="s">
        <v>1222</v>
      </c>
      <c r="H882" s="4">
        <v>1936</v>
      </c>
      <c r="I882" s="4">
        <v>1936</v>
      </c>
      <c r="J882" s="4">
        <v>1200</v>
      </c>
      <c r="K882" s="16"/>
      <c r="L882" s="17"/>
      <c r="M882" s="4">
        <v>736</v>
      </c>
    </row>
    <row r="883" spans="1:13" hidden="1" x14ac:dyDescent="0.35">
      <c r="A883" s="65"/>
      <c r="B883" s="75"/>
      <c r="C883" s="70"/>
      <c r="D883" s="72"/>
      <c r="E883" s="3" t="s">
        <v>1078</v>
      </c>
      <c r="F883" s="3" t="s">
        <v>1079</v>
      </c>
      <c r="G883" s="3" t="s">
        <v>1223</v>
      </c>
      <c r="H883" s="4">
        <v>114851</v>
      </c>
      <c r="I883" s="4">
        <v>114851</v>
      </c>
      <c r="J883" s="4">
        <v>99532.62</v>
      </c>
      <c r="K883" s="5">
        <v>8500</v>
      </c>
      <c r="L883" s="4">
        <v>0</v>
      </c>
      <c r="M883" s="4">
        <v>6818.38</v>
      </c>
    </row>
    <row r="884" spans="1:13" hidden="1" x14ac:dyDescent="0.35">
      <c r="A884" s="65"/>
      <c r="B884" s="75"/>
      <c r="C884" s="70"/>
      <c r="D884" s="72"/>
      <c r="E884" s="3" t="s">
        <v>776</v>
      </c>
      <c r="F884" s="3" t="s">
        <v>777</v>
      </c>
      <c r="G884" s="3" t="s">
        <v>1224</v>
      </c>
      <c r="H884" s="4">
        <v>125000</v>
      </c>
      <c r="I884" s="4">
        <v>55650</v>
      </c>
      <c r="J884" s="4">
        <v>55631.5</v>
      </c>
      <c r="K884" s="5">
        <v>0</v>
      </c>
      <c r="L884" s="4">
        <v>0</v>
      </c>
      <c r="M884" s="4">
        <v>18.5</v>
      </c>
    </row>
    <row r="885" spans="1:13" hidden="1" x14ac:dyDescent="0.35">
      <c r="A885" s="65"/>
      <c r="B885" s="75"/>
      <c r="C885" s="70"/>
      <c r="D885" s="72"/>
      <c r="E885" s="3" t="s">
        <v>1225</v>
      </c>
      <c r="F885" s="3" t="s">
        <v>1226</v>
      </c>
      <c r="G885" s="3" t="s">
        <v>1227</v>
      </c>
      <c r="H885" s="4">
        <v>0</v>
      </c>
      <c r="I885" s="4">
        <v>0</v>
      </c>
      <c r="J885" s="17"/>
      <c r="K885" s="16"/>
      <c r="L885" s="17"/>
      <c r="M885" s="4">
        <v>0</v>
      </c>
    </row>
    <row r="886" spans="1:13" ht="21" hidden="1" x14ac:dyDescent="0.35">
      <c r="A886" s="65"/>
      <c r="B886" s="75"/>
      <c r="C886" s="70"/>
      <c r="D886" s="72"/>
      <c r="E886" s="3" t="s">
        <v>732</v>
      </c>
      <c r="F886" s="3" t="s">
        <v>733</v>
      </c>
      <c r="G886" s="3" t="s">
        <v>1228</v>
      </c>
      <c r="H886" s="4">
        <v>50000</v>
      </c>
      <c r="I886" s="4">
        <v>50000</v>
      </c>
      <c r="J886" s="4">
        <v>11084.8</v>
      </c>
      <c r="K886" s="16"/>
      <c r="L886" s="17"/>
      <c r="M886" s="4">
        <v>38915.199999999997</v>
      </c>
    </row>
    <row r="887" spans="1:13" hidden="1" x14ac:dyDescent="0.35">
      <c r="A887" s="65"/>
      <c r="B887" s="75"/>
      <c r="C887" s="70"/>
      <c r="D887" s="72"/>
      <c r="E887" s="3" t="s">
        <v>1181</v>
      </c>
      <c r="F887" s="3" t="s">
        <v>1182</v>
      </c>
      <c r="G887" s="3" t="s">
        <v>1229</v>
      </c>
      <c r="H887" s="4">
        <v>1</v>
      </c>
      <c r="I887" s="4">
        <v>16001</v>
      </c>
      <c r="J887" s="4">
        <v>-22387</v>
      </c>
      <c r="K887" s="16"/>
      <c r="L887" s="4">
        <v>0</v>
      </c>
      <c r="M887" s="4">
        <v>38388</v>
      </c>
    </row>
    <row r="888" spans="1:13" hidden="1" x14ac:dyDescent="0.35">
      <c r="A888" s="65"/>
      <c r="B888" s="75"/>
      <c r="C888" s="70"/>
      <c r="D888" s="72"/>
      <c r="E888" s="3" t="s">
        <v>868</v>
      </c>
      <c r="F888" s="3" t="s">
        <v>869</v>
      </c>
      <c r="G888" s="3" t="s">
        <v>1230</v>
      </c>
      <c r="H888" s="4">
        <v>408343</v>
      </c>
      <c r="I888" s="4">
        <v>292343</v>
      </c>
      <c r="J888" s="4">
        <v>82603.820000000007</v>
      </c>
      <c r="K888" s="16"/>
      <c r="L888" s="17"/>
      <c r="M888" s="4">
        <v>209739.18</v>
      </c>
    </row>
    <row r="889" spans="1:13" hidden="1" x14ac:dyDescent="0.35">
      <c r="A889" s="65"/>
      <c r="B889" s="75"/>
      <c r="C889" s="70"/>
      <c r="D889" s="72"/>
      <c r="E889" s="3" t="s">
        <v>782</v>
      </c>
      <c r="F889" s="3" t="s">
        <v>783</v>
      </c>
      <c r="G889" s="3" t="s">
        <v>1231</v>
      </c>
      <c r="H889" s="4">
        <v>0</v>
      </c>
      <c r="I889" s="4">
        <v>100000</v>
      </c>
      <c r="J889" s="4">
        <v>30497.62</v>
      </c>
      <c r="K889" s="16"/>
      <c r="L889" s="17"/>
      <c r="M889" s="4">
        <v>69502.38</v>
      </c>
    </row>
    <row r="890" spans="1:13" hidden="1" x14ac:dyDescent="0.35">
      <c r="A890" s="65"/>
      <c r="B890" s="75"/>
      <c r="C890" s="70"/>
      <c r="D890" s="72"/>
      <c r="E890" s="3" t="s">
        <v>701</v>
      </c>
      <c r="F890" s="3" t="s">
        <v>702</v>
      </c>
      <c r="G890" s="3" t="s">
        <v>1232</v>
      </c>
      <c r="H890" s="4">
        <v>1</v>
      </c>
      <c r="I890" s="4">
        <v>1</v>
      </c>
      <c r="J890" s="17"/>
      <c r="K890" s="16"/>
      <c r="L890" s="17"/>
      <c r="M890" s="4">
        <v>1</v>
      </c>
    </row>
    <row r="891" spans="1:13" hidden="1" x14ac:dyDescent="0.35">
      <c r="A891" s="65"/>
      <c r="B891" s="75"/>
      <c r="C891" s="70"/>
      <c r="D891" s="72"/>
      <c r="E891" s="3" t="s">
        <v>785</v>
      </c>
      <c r="F891" s="3" t="s">
        <v>786</v>
      </c>
      <c r="G891" s="3" t="s">
        <v>1233</v>
      </c>
      <c r="H891" s="4">
        <v>55000</v>
      </c>
      <c r="I891" s="4">
        <v>260000</v>
      </c>
      <c r="J891" s="4">
        <v>210743.16</v>
      </c>
      <c r="K891" s="5">
        <v>0</v>
      </c>
      <c r="L891" s="4">
        <v>35819</v>
      </c>
      <c r="M891" s="4">
        <v>13437.84</v>
      </c>
    </row>
    <row r="892" spans="1:13" ht="21" hidden="1" x14ac:dyDescent="0.35">
      <c r="A892" s="65"/>
      <c r="B892" s="75"/>
      <c r="C892" s="70"/>
      <c r="D892" s="72"/>
      <c r="E892" s="3" t="s">
        <v>704</v>
      </c>
      <c r="F892" s="3" t="s">
        <v>705</v>
      </c>
      <c r="G892" s="3" t="s">
        <v>1234</v>
      </c>
      <c r="H892" s="4">
        <v>25000</v>
      </c>
      <c r="I892" s="4">
        <v>25000</v>
      </c>
      <c r="J892" s="4">
        <v>750</v>
      </c>
      <c r="K892" s="5">
        <v>0</v>
      </c>
      <c r="L892" s="17"/>
      <c r="M892" s="4">
        <v>24250</v>
      </c>
    </row>
    <row r="893" spans="1:13" ht="31.5" hidden="1" x14ac:dyDescent="0.35">
      <c r="A893" s="65"/>
      <c r="B893" s="75"/>
      <c r="C893" s="70"/>
      <c r="D893" s="72"/>
      <c r="E893" s="3" t="s">
        <v>788</v>
      </c>
      <c r="F893" s="3" t="s">
        <v>789</v>
      </c>
      <c r="G893" s="3" t="s">
        <v>1235</v>
      </c>
      <c r="H893" s="4">
        <v>1001</v>
      </c>
      <c r="I893" s="4">
        <v>1001</v>
      </c>
      <c r="J893" s="4">
        <v>924.33</v>
      </c>
      <c r="K893" s="16"/>
      <c r="L893" s="17"/>
      <c r="M893" s="4">
        <v>76.670000000000101</v>
      </c>
    </row>
    <row r="894" spans="1:13" hidden="1" x14ac:dyDescent="0.35">
      <c r="A894" s="65"/>
      <c r="B894" s="75"/>
      <c r="C894" s="70"/>
      <c r="D894" s="72"/>
      <c r="E894" s="3" t="s">
        <v>707</v>
      </c>
      <c r="F894" s="3" t="s">
        <v>708</v>
      </c>
      <c r="G894" s="3" t="s">
        <v>1236</v>
      </c>
      <c r="H894" s="4">
        <v>77114</v>
      </c>
      <c r="I894" s="4">
        <v>77114</v>
      </c>
      <c r="J894" s="17"/>
      <c r="K894" s="5">
        <v>0</v>
      </c>
      <c r="L894" s="4">
        <v>22000</v>
      </c>
      <c r="M894" s="4">
        <v>55114</v>
      </c>
    </row>
    <row r="895" spans="1:13" hidden="1" x14ac:dyDescent="0.35">
      <c r="A895" s="65"/>
      <c r="B895" s="75"/>
      <c r="C895" s="71"/>
      <c r="D895" s="73"/>
      <c r="E895" s="3" t="s">
        <v>1041</v>
      </c>
      <c r="F895" s="3" t="s">
        <v>1042</v>
      </c>
      <c r="G895" s="3" t="s">
        <v>1237</v>
      </c>
      <c r="H895" s="4">
        <v>62348</v>
      </c>
      <c r="I895" s="4">
        <v>27348</v>
      </c>
      <c r="J895" s="4">
        <v>4363.0600000000004</v>
      </c>
      <c r="K895" s="16"/>
      <c r="L895" s="17"/>
      <c r="M895" s="4">
        <v>22984.94</v>
      </c>
    </row>
    <row r="896" spans="1:13" ht="31.5" hidden="1" x14ac:dyDescent="0.35">
      <c r="A896" s="65"/>
      <c r="B896" s="75"/>
      <c r="C896" s="14" t="s">
        <v>1238</v>
      </c>
      <c r="D896" s="15" t="s">
        <v>1239</v>
      </c>
      <c r="E896" s="3" t="s">
        <v>967</v>
      </c>
      <c r="F896" s="3" t="s">
        <v>968</v>
      </c>
      <c r="G896" s="3" t="s">
        <v>1240</v>
      </c>
      <c r="H896" s="17"/>
      <c r="I896" s="17"/>
      <c r="J896" s="4">
        <v>0</v>
      </c>
      <c r="K896" s="16"/>
      <c r="L896" s="17"/>
      <c r="M896" s="4">
        <v>0</v>
      </c>
    </row>
    <row r="897" spans="1:13" hidden="1" x14ac:dyDescent="0.35">
      <c r="A897" s="65"/>
      <c r="B897" s="75"/>
      <c r="C897" s="14" t="s">
        <v>1241</v>
      </c>
      <c r="D897" s="15" t="s">
        <v>1242</v>
      </c>
      <c r="E897" s="3" t="s">
        <v>686</v>
      </c>
      <c r="F897" s="3" t="s">
        <v>687</v>
      </c>
      <c r="G897" s="3" t="s">
        <v>1243</v>
      </c>
      <c r="H897" s="17"/>
      <c r="I897" s="17"/>
      <c r="J897" s="4">
        <v>0</v>
      </c>
      <c r="K897" s="16"/>
      <c r="L897" s="17"/>
      <c r="M897" s="4">
        <v>0</v>
      </c>
    </row>
    <row r="898" spans="1:13" ht="31.5" hidden="1" x14ac:dyDescent="0.35">
      <c r="A898" s="65"/>
      <c r="B898" s="18" t="s">
        <v>1244</v>
      </c>
      <c r="C898" s="19"/>
      <c r="D898" s="20"/>
      <c r="E898" s="21"/>
      <c r="F898" s="21"/>
      <c r="G898" s="21"/>
      <c r="H898" s="7">
        <v>418640000</v>
      </c>
      <c r="I898" s="7">
        <v>471929380</v>
      </c>
      <c r="J898" s="7">
        <v>327045980.75999999</v>
      </c>
      <c r="K898" s="8">
        <v>16006595.609999999</v>
      </c>
      <c r="L898" s="7">
        <v>43134838.700000003</v>
      </c>
      <c r="M898" s="7">
        <v>85669661.7100005</v>
      </c>
    </row>
    <row r="899" spans="1:13" ht="21" hidden="1" x14ac:dyDescent="0.35">
      <c r="A899" s="65"/>
      <c r="B899" s="69" t="s">
        <v>9</v>
      </c>
      <c r="C899" s="14" t="s">
        <v>19</v>
      </c>
      <c r="D899" s="15" t="s">
        <v>20</v>
      </c>
      <c r="E899" s="3" t="s">
        <v>1245</v>
      </c>
      <c r="F899" s="3" t="s">
        <v>777</v>
      </c>
      <c r="G899" s="3" t="s">
        <v>1246</v>
      </c>
      <c r="H899" s="17"/>
      <c r="I899" s="17"/>
      <c r="J899" s="4">
        <v>-79.37</v>
      </c>
      <c r="K899" s="16"/>
      <c r="L899" s="17"/>
      <c r="M899" s="4">
        <v>79.37</v>
      </c>
    </row>
    <row r="900" spans="1:13" ht="21" hidden="1" x14ac:dyDescent="0.35">
      <c r="A900" s="65"/>
      <c r="B900" s="70"/>
      <c r="C900" s="14" t="s">
        <v>80</v>
      </c>
      <c r="D900" s="15" t="s">
        <v>81</v>
      </c>
      <c r="E900" s="3" t="s">
        <v>1247</v>
      </c>
      <c r="F900" s="3" t="s">
        <v>1248</v>
      </c>
      <c r="G900" s="3" t="s">
        <v>1249</v>
      </c>
      <c r="H900" s="4">
        <v>200000</v>
      </c>
      <c r="I900" s="4">
        <v>255000</v>
      </c>
      <c r="J900" s="4">
        <v>248690</v>
      </c>
      <c r="K900" s="5">
        <v>0</v>
      </c>
      <c r="L900" s="4">
        <v>0</v>
      </c>
      <c r="M900" s="4">
        <v>6310</v>
      </c>
    </row>
    <row r="901" spans="1:13" ht="21" hidden="1" x14ac:dyDescent="0.35">
      <c r="A901" s="65"/>
      <c r="B901" s="70"/>
      <c r="C901" s="14" t="s">
        <v>109</v>
      </c>
      <c r="D901" s="15" t="s">
        <v>110</v>
      </c>
      <c r="E901" s="3" t="s">
        <v>1245</v>
      </c>
      <c r="F901" s="3" t="s">
        <v>777</v>
      </c>
      <c r="G901" s="3" t="s">
        <v>1250</v>
      </c>
      <c r="H901" s="4">
        <v>160720</v>
      </c>
      <c r="I901" s="4">
        <v>160720</v>
      </c>
      <c r="J901" s="4">
        <v>160720</v>
      </c>
      <c r="K901" s="16"/>
      <c r="L901" s="4">
        <v>0</v>
      </c>
      <c r="M901" s="4">
        <v>0</v>
      </c>
    </row>
    <row r="902" spans="1:13" ht="21" hidden="1" x14ac:dyDescent="0.35">
      <c r="A902" s="65"/>
      <c r="B902" s="70"/>
      <c r="C902" s="14" t="s">
        <v>125</v>
      </c>
      <c r="D902" s="15" t="s">
        <v>126</v>
      </c>
      <c r="E902" s="3" t="s">
        <v>1245</v>
      </c>
      <c r="F902" s="3" t="s">
        <v>777</v>
      </c>
      <c r="G902" s="3" t="s">
        <v>1251</v>
      </c>
      <c r="H902" s="17"/>
      <c r="I902" s="17"/>
      <c r="J902" s="17"/>
      <c r="K902" s="16"/>
      <c r="L902" s="4">
        <v>0</v>
      </c>
      <c r="M902" s="4">
        <v>0</v>
      </c>
    </row>
    <row r="903" spans="1:13" ht="21" hidden="1" x14ac:dyDescent="0.35">
      <c r="A903" s="65"/>
      <c r="B903" s="70"/>
      <c r="C903" s="14" t="s">
        <v>134</v>
      </c>
      <c r="D903" s="15" t="s">
        <v>135</v>
      </c>
      <c r="E903" s="3" t="s">
        <v>1245</v>
      </c>
      <c r="F903" s="3" t="s">
        <v>777</v>
      </c>
      <c r="G903" s="3" t="s">
        <v>1252</v>
      </c>
      <c r="H903" s="4">
        <v>759151</v>
      </c>
      <c r="I903" s="4">
        <v>759151</v>
      </c>
      <c r="J903" s="4">
        <v>434462</v>
      </c>
      <c r="K903" s="5">
        <v>-51977.33</v>
      </c>
      <c r="L903" s="4">
        <v>375630</v>
      </c>
      <c r="M903" s="4">
        <v>1036.3299999999599</v>
      </c>
    </row>
    <row r="904" spans="1:13" ht="21" hidden="1" x14ac:dyDescent="0.35">
      <c r="A904" s="65"/>
      <c r="B904" s="70"/>
      <c r="C904" s="14" t="s">
        <v>146</v>
      </c>
      <c r="D904" s="15" t="s">
        <v>147</v>
      </c>
      <c r="E904" s="3" t="s">
        <v>1245</v>
      </c>
      <c r="F904" s="3" t="s">
        <v>777</v>
      </c>
      <c r="G904" s="3" t="s">
        <v>1253</v>
      </c>
      <c r="H904" s="4">
        <v>109201</v>
      </c>
      <c r="I904" s="4">
        <v>109201</v>
      </c>
      <c r="J904" s="4">
        <v>106915.12</v>
      </c>
      <c r="K904" s="5">
        <v>0</v>
      </c>
      <c r="L904" s="4">
        <v>0</v>
      </c>
      <c r="M904" s="4">
        <v>2285.8799999999901</v>
      </c>
    </row>
    <row r="905" spans="1:13" ht="21" hidden="1" x14ac:dyDescent="0.35">
      <c r="A905" s="65"/>
      <c r="B905" s="70"/>
      <c r="C905" s="14" t="s">
        <v>171</v>
      </c>
      <c r="D905" s="15" t="s">
        <v>172</v>
      </c>
      <c r="E905" s="3" t="s">
        <v>1245</v>
      </c>
      <c r="F905" s="3" t="s">
        <v>777</v>
      </c>
      <c r="G905" s="3" t="s">
        <v>1254</v>
      </c>
      <c r="H905" s="4">
        <v>224144</v>
      </c>
      <c r="I905" s="4">
        <v>224144</v>
      </c>
      <c r="J905" s="4">
        <v>190263</v>
      </c>
      <c r="K905" s="5">
        <v>0</v>
      </c>
      <c r="L905" s="4">
        <v>0</v>
      </c>
      <c r="M905" s="4">
        <v>33881</v>
      </c>
    </row>
    <row r="906" spans="1:13" ht="31.5" hidden="1" x14ac:dyDescent="0.35">
      <c r="A906" s="65"/>
      <c r="B906" s="70"/>
      <c r="C906" s="14" t="s">
        <v>182</v>
      </c>
      <c r="D906" s="15" t="s">
        <v>183</v>
      </c>
      <c r="E906" s="3" t="s">
        <v>1245</v>
      </c>
      <c r="F906" s="3" t="s">
        <v>777</v>
      </c>
      <c r="G906" s="3" t="s">
        <v>1255</v>
      </c>
      <c r="H906" s="4">
        <v>233948</v>
      </c>
      <c r="I906" s="4">
        <v>233948</v>
      </c>
      <c r="J906" s="17"/>
      <c r="K906" s="5">
        <v>3.6699999999837001</v>
      </c>
      <c r="L906" s="4">
        <v>228093.3</v>
      </c>
      <c r="M906" s="4">
        <v>5851.0300000000298</v>
      </c>
    </row>
    <row r="907" spans="1:13" ht="31.5" hidden="1" x14ac:dyDescent="0.35">
      <c r="A907" s="65"/>
      <c r="B907" s="70"/>
      <c r="C907" s="14" t="s">
        <v>197</v>
      </c>
      <c r="D907" s="15" t="s">
        <v>198</v>
      </c>
      <c r="E907" s="3" t="s">
        <v>1245</v>
      </c>
      <c r="F907" s="3" t="s">
        <v>777</v>
      </c>
      <c r="G907" s="3" t="s">
        <v>1256</v>
      </c>
      <c r="H907" s="4">
        <v>80120</v>
      </c>
      <c r="I907" s="4">
        <v>80120</v>
      </c>
      <c r="J907" s="17"/>
      <c r="K907" s="5">
        <v>0</v>
      </c>
      <c r="L907" s="4">
        <v>77607</v>
      </c>
      <c r="M907" s="4">
        <v>2513</v>
      </c>
    </row>
    <row r="908" spans="1:13" ht="21" hidden="1" x14ac:dyDescent="0.35">
      <c r="A908" s="65"/>
      <c r="B908" s="70"/>
      <c r="C908" s="14" t="s">
        <v>209</v>
      </c>
      <c r="D908" s="15" t="s">
        <v>210</v>
      </c>
      <c r="E908" s="3" t="s">
        <v>1245</v>
      </c>
      <c r="F908" s="3" t="s">
        <v>777</v>
      </c>
      <c r="G908" s="3" t="s">
        <v>1257</v>
      </c>
      <c r="H908" s="4">
        <v>269248</v>
      </c>
      <c r="I908" s="4">
        <v>269248</v>
      </c>
      <c r="J908" s="4">
        <v>69443</v>
      </c>
      <c r="K908" s="5">
        <v>14500</v>
      </c>
      <c r="L908" s="4">
        <v>184269</v>
      </c>
      <c r="M908" s="4">
        <v>1036</v>
      </c>
    </row>
    <row r="909" spans="1:13" ht="21" hidden="1" x14ac:dyDescent="0.35">
      <c r="A909" s="66"/>
      <c r="B909" s="70"/>
      <c r="C909" s="14" t="s">
        <v>221</v>
      </c>
      <c r="D909" s="15" t="s">
        <v>222</v>
      </c>
      <c r="E909" s="3" t="s">
        <v>1245</v>
      </c>
      <c r="F909" s="3" t="s">
        <v>777</v>
      </c>
      <c r="G909" s="3" t="s">
        <v>1258</v>
      </c>
      <c r="H909" s="4">
        <v>139983</v>
      </c>
      <c r="I909" s="4">
        <v>139983</v>
      </c>
      <c r="J909" s="4">
        <v>77504.460000000006</v>
      </c>
      <c r="K909" s="5">
        <v>0</v>
      </c>
      <c r="L909" s="4">
        <v>62000</v>
      </c>
      <c r="M909" s="4">
        <v>478.539999999994</v>
      </c>
    </row>
    <row r="910" spans="1:13" ht="21" hidden="1" x14ac:dyDescent="0.35">
      <c r="A910" s="65" t="s">
        <v>11</v>
      </c>
      <c r="B910" s="74" t="s">
        <v>11</v>
      </c>
      <c r="C910" s="14" t="s">
        <v>232</v>
      </c>
      <c r="D910" s="15" t="s">
        <v>233</v>
      </c>
      <c r="E910" s="3" t="s">
        <v>1245</v>
      </c>
      <c r="F910" s="3" t="s">
        <v>777</v>
      </c>
      <c r="G910" s="3" t="s">
        <v>1259</v>
      </c>
      <c r="H910" s="4">
        <v>772173</v>
      </c>
      <c r="I910" s="4">
        <v>772173</v>
      </c>
      <c r="J910" s="17"/>
      <c r="K910" s="5">
        <v>0</v>
      </c>
      <c r="L910" s="4">
        <v>765453.2</v>
      </c>
      <c r="M910" s="4">
        <v>6719.8000000000502</v>
      </c>
    </row>
    <row r="911" spans="1:13" hidden="1" x14ac:dyDescent="0.35">
      <c r="A911" s="65"/>
      <c r="B911" s="75"/>
      <c r="C911" s="14" t="s">
        <v>253</v>
      </c>
      <c r="D911" s="15" t="s">
        <v>254</v>
      </c>
      <c r="E911" s="3" t="s">
        <v>1245</v>
      </c>
      <c r="F911" s="3" t="s">
        <v>777</v>
      </c>
      <c r="G911" s="3" t="s">
        <v>1260</v>
      </c>
      <c r="H911" s="4">
        <v>781895</v>
      </c>
      <c r="I911" s="4">
        <v>781895</v>
      </c>
      <c r="J911" s="4">
        <v>489100</v>
      </c>
      <c r="K911" s="5">
        <v>0</v>
      </c>
      <c r="L911" s="4">
        <v>261950</v>
      </c>
      <c r="M911" s="4">
        <v>30845</v>
      </c>
    </row>
    <row r="912" spans="1:13" hidden="1" x14ac:dyDescent="0.35">
      <c r="A912" s="65"/>
      <c r="B912" s="75"/>
      <c r="C912" s="14" t="s">
        <v>263</v>
      </c>
      <c r="D912" s="15" t="s">
        <v>264</v>
      </c>
      <c r="E912" s="3" t="s">
        <v>1245</v>
      </c>
      <c r="F912" s="3" t="s">
        <v>777</v>
      </c>
      <c r="G912" s="3" t="s">
        <v>1261</v>
      </c>
      <c r="H912" s="4">
        <v>2912920</v>
      </c>
      <c r="I912" s="4">
        <v>2912920</v>
      </c>
      <c r="J912" s="4">
        <v>352412</v>
      </c>
      <c r="K912" s="5">
        <v>1040500</v>
      </c>
      <c r="L912" s="4">
        <v>1475714.67</v>
      </c>
      <c r="M912" s="4">
        <v>44293.330000000104</v>
      </c>
    </row>
    <row r="913" spans="1:13" hidden="1" x14ac:dyDescent="0.35">
      <c r="A913" s="65"/>
      <c r="B913" s="75"/>
      <c r="C913" s="70" t="s">
        <v>366</v>
      </c>
      <c r="D913" s="72" t="s">
        <v>367</v>
      </c>
      <c r="E913" s="67" t="s">
        <v>1262</v>
      </c>
      <c r="F913" s="67" t="s">
        <v>1263</v>
      </c>
      <c r="G913" s="3" t="s">
        <v>1264</v>
      </c>
      <c r="H913" s="4">
        <v>7523465</v>
      </c>
      <c r="I913" s="4">
        <v>0</v>
      </c>
      <c r="J913" s="17"/>
      <c r="K913" s="5">
        <v>0</v>
      </c>
      <c r="L913" s="17"/>
      <c r="M913" s="4">
        <v>0</v>
      </c>
    </row>
    <row r="914" spans="1:13" hidden="1" x14ac:dyDescent="0.35">
      <c r="A914" s="65"/>
      <c r="B914" s="75"/>
      <c r="C914" s="70"/>
      <c r="D914" s="72"/>
      <c r="E914" s="67"/>
      <c r="F914" s="67"/>
      <c r="G914" s="3" t="s">
        <v>1265</v>
      </c>
      <c r="H914" s="4">
        <v>6090150</v>
      </c>
      <c r="I914" s="4">
        <v>12159818</v>
      </c>
      <c r="J914" s="4">
        <v>6775875.1299999999</v>
      </c>
      <c r="K914" s="5">
        <v>1870001</v>
      </c>
      <c r="L914" s="4">
        <v>3491564</v>
      </c>
      <c r="M914" s="4">
        <v>22377.870000000101</v>
      </c>
    </row>
    <row r="915" spans="1:13" hidden="1" x14ac:dyDescent="0.35">
      <c r="A915" s="65"/>
      <c r="B915" s="75"/>
      <c r="C915" s="70"/>
      <c r="D915" s="72"/>
      <c r="E915" s="67"/>
      <c r="F915" s="67"/>
      <c r="G915" s="3" t="s">
        <v>1266</v>
      </c>
      <c r="H915" s="4">
        <v>0</v>
      </c>
      <c r="I915" s="4">
        <v>6551196</v>
      </c>
      <c r="J915" s="17"/>
      <c r="K915" s="5">
        <v>2197730</v>
      </c>
      <c r="L915" s="4">
        <v>2771250</v>
      </c>
      <c r="M915" s="4">
        <v>1582216</v>
      </c>
    </row>
    <row r="916" spans="1:13" hidden="1" x14ac:dyDescent="0.35">
      <c r="A916" s="65"/>
      <c r="B916" s="75"/>
      <c r="C916" s="70"/>
      <c r="D916" s="72"/>
      <c r="E916" s="67"/>
      <c r="F916" s="67"/>
      <c r="G916" s="3" t="s">
        <v>1267</v>
      </c>
      <c r="H916" s="4">
        <v>6910200</v>
      </c>
      <c r="I916" s="4">
        <v>6819769</v>
      </c>
      <c r="J916" s="4">
        <v>109880</v>
      </c>
      <c r="K916" s="5">
        <v>6500000</v>
      </c>
      <c r="L916" s="4">
        <v>209889</v>
      </c>
      <c r="M916" s="4">
        <v>0</v>
      </c>
    </row>
    <row r="917" spans="1:13" hidden="1" x14ac:dyDescent="0.35">
      <c r="A917" s="65"/>
      <c r="B917" s="75"/>
      <c r="C917" s="70"/>
      <c r="D917" s="72"/>
      <c r="E917" s="67"/>
      <c r="F917" s="67"/>
      <c r="G917" s="3" t="s">
        <v>1268</v>
      </c>
      <c r="H917" s="17"/>
      <c r="I917" s="17"/>
      <c r="J917" s="4">
        <v>-19240</v>
      </c>
      <c r="K917" s="16"/>
      <c r="L917" s="4">
        <v>0</v>
      </c>
      <c r="M917" s="4">
        <v>19240</v>
      </c>
    </row>
    <row r="918" spans="1:13" hidden="1" x14ac:dyDescent="0.35">
      <c r="A918" s="65"/>
      <c r="B918" s="75"/>
      <c r="C918" s="70"/>
      <c r="D918" s="72"/>
      <c r="E918" s="68"/>
      <c r="F918" s="68"/>
      <c r="G918" s="3" t="s">
        <v>1269</v>
      </c>
      <c r="H918" s="4">
        <v>38000</v>
      </c>
      <c r="I918" s="4">
        <v>38000</v>
      </c>
      <c r="J918" s="17"/>
      <c r="K918" s="16"/>
      <c r="L918" s="17"/>
      <c r="M918" s="4">
        <v>38000</v>
      </c>
    </row>
    <row r="919" spans="1:13" hidden="1" x14ac:dyDescent="0.35">
      <c r="A919" s="65"/>
      <c r="B919" s="75"/>
      <c r="C919" s="70"/>
      <c r="D919" s="72"/>
      <c r="E919" s="3" t="s">
        <v>1245</v>
      </c>
      <c r="F919" s="3" t="s">
        <v>777</v>
      </c>
      <c r="G919" s="3" t="s">
        <v>1270</v>
      </c>
      <c r="H919" s="4">
        <v>245879</v>
      </c>
      <c r="I919" s="4">
        <v>245879</v>
      </c>
      <c r="J919" s="4">
        <v>3900</v>
      </c>
      <c r="K919" s="5">
        <v>0</v>
      </c>
      <c r="L919" s="4">
        <v>142550</v>
      </c>
      <c r="M919" s="4">
        <v>99429</v>
      </c>
    </row>
    <row r="920" spans="1:13" hidden="1" x14ac:dyDescent="0.35">
      <c r="A920" s="65"/>
      <c r="B920" s="75"/>
      <c r="C920" s="70"/>
      <c r="D920" s="72"/>
      <c r="E920" s="67" t="s">
        <v>1271</v>
      </c>
      <c r="F920" s="67" t="s">
        <v>1272</v>
      </c>
      <c r="G920" s="3" t="s">
        <v>1273</v>
      </c>
      <c r="H920" s="4">
        <v>4202925</v>
      </c>
      <c r="I920" s="4">
        <v>2456175</v>
      </c>
      <c r="J920" s="4">
        <v>139000</v>
      </c>
      <c r="K920" s="5">
        <v>790275</v>
      </c>
      <c r="L920" s="4">
        <v>1167443.7</v>
      </c>
      <c r="M920" s="4">
        <v>359456.3</v>
      </c>
    </row>
    <row r="921" spans="1:13" hidden="1" x14ac:dyDescent="0.35">
      <c r="A921" s="65"/>
      <c r="B921" s="75"/>
      <c r="C921" s="70"/>
      <c r="D921" s="72"/>
      <c r="E921" s="67"/>
      <c r="F921" s="67"/>
      <c r="G921" s="3" t="s">
        <v>1274</v>
      </c>
      <c r="H921" s="4">
        <v>0</v>
      </c>
      <c r="I921" s="4">
        <v>200000</v>
      </c>
      <c r="J921" s="17"/>
      <c r="K921" s="5">
        <v>0</v>
      </c>
      <c r="L921" s="4">
        <v>175290</v>
      </c>
      <c r="M921" s="4">
        <v>24710</v>
      </c>
    </row>
    <row r="922" spans="1:13" hidden="1" x14ac:dyDescent="0.35">
      <c r="A922" s="65"/>
      <c r="B922" s="75"/>
      <c r="C922" s="70"/>
      <c r="D922" s="72"/>
      <c r="E922" s="68"/>
      <c r="F922" s="68"/>
      <c r="G922" s="3" t="s">
        <v>1275</v>
      </c>
      <c r="H922" s="17"/>
      <c r="I922" s="17"/>
      <c r="J922" s="4">
        <v>-41758.5</v>
      </c>
      <c r="K922" s="16"/>
      <c r="L922" s="17"/>
      <c r="M922" s="4">
        <v>41758.5</v>
      </c>
    </row>
    <row r="923" spans="1:13" ht="21" hidden="1" x14ac:dyDescent="0.35">
      <c r="A923" s="65"/>
      <c r="B923" s="75"/>
      <c r="C923" s="71"/>
      <c r="D923" s="73"/>
      <c r="E923" s="3" t="s">
        <v>1276</v>
      </c>
      <c r="F923" s="3" t="s">
        <v>1277</v>
      </c>
      <c r="G923" s="3" t="s">
        <v>1278</v>
      </c>
      <c r="H923" s="4">
        <v>51057</v>
      </c>
      <c r="I923" s="4">
        <v>51057</v>
      </c>
      <c r="J923" s="4">
        <v>18149.5</v>
      </c>
      <c r="K923" s="5">
        <v>0</v>
      </c>
      <c r="L923" s="4">
        <v>30302.25</v>
      </c>
      <c r="M923" s="4">
        <v>2605.25</v>
      </c>
    </row>
    <row r="924" spans="1:13" ht="21" hidden="1" x14ac:dyDescent="0.35">
      <c r="A924" s="65"/>
      <c r="B924" s="75"/>
      <c r="C924" s="14" t="s">
        <v>409</v>
      </c>
      <c r="D924" s="15" t="s">
        <v>410</v>
      </c>
      <c r="E924" s="3" t="s">
        <v>1276</v>
      </c>
      <c r="F924" s="3" t="s">
        <v>1277</v>
      </c>
      <c r="G924" s="3" t="s">
        <v>1279</v>
      </c>
      <c r="H924" s="17"/>
      <c r="I924" s="17"/>
      <c r="J924" s="4">
        <v>-16200</v>
      </c>
      <c r="K924" s="16"/>
      <c r="L924" s="4">
        <v>16200</v>
      </c>
      <c r="M924" s="4">
        <v>0</v>
      </c>
    </row>
    <row r="925" spans="1:13" ht="21" hidden="1" x14ac:dyDescent="0.35">
      <c r="A925" s="65"/>
      <c r="B925" s="75"/>
      <c r="C925" s="14" t="s">
        <v>451</v>
      </c>
      <c r="D925" s="15" t="s">
        <v>452</v>
      </c>
      <c r="E925" s="3" t="s">
        <v>1276</v>
      </c>
      <c r="F925" s="3" t="s">
        <v>1277</v>
      </c>
      <c r="G925" s="3" t="s">
        <v>1280</v>
      </c>
      <c r="H925" s="4">
        <v>110494</v>
      </c>
      <c r="I925" s="4">
        <v>110494</v>
      </c>
      <c r="J925" s="4">
        <v>18149.5</v>
      </c>
      <c r="K925" s="5">
        <v>0</v>
      </c>
      <c r="L925" s="4">
        <v>0</v>
      </c>
      <c r="M925" s="4">
        <v>92344.5</v>
      </c>
    </row>
    <row r="926" spans="1:13" hidden="1" x14ac:dyDescent="0.35">
      <c r="A926" s="65"/>
      <c r="B926" s="75"/>
      <c r="C926" s="70" t="s">
        <v>480</v>
      </c>
      <c r="D926" s="72" t="s">
        <v>481</v>
      </c>
      <c r="E926" s="3" t="s">
        <v>1247</v>
      </c>
      <c r="F926" s="3" t="s">
        <v>1248</v>
      </c>
      <c r="G926" s="3" t="s">
        <v>1281</v>
      </c>
      <c r="H926" s="4">
        <v>3472296</v>
      </c>
      <c r="I926" s="4">
        <v>3472296</v>
      </c>
      <c r="J926" s="4">
        <v>215348</v>
      </c>
      <c r="K926" s="5">
        <v>0</v>
      </c>
      <c r="L926" s="4">
        <v>3103346</v>
      </c>
      <c r="M926" s="4">
        <v>153602</v>
      </c>
    </row>
    <row r="927" spans="1:13" hidden="1" x14ac:dyDescent="0.35">
      <c r="A927" s="65"/>
      <c r="B927" s="75"/>
      <c r="C927" s="70"/>
      <c r="D927" s="72"/>
      <c r="E927" s="3" t="s">
        <v>1245</v>
      </c>
      <c r="F927" s="3" t="s">
        <v>777</v>
      </c>
      <c r="G927" s="3" t="s">
        <v>1282</v>
      </c>
      <c r="H927" s="17"/>
      <c r="I927" s="17"/>
      <c r="J927" s="4">
        <v>-388859</v>
      </c>
      <c r="K927" s="5">
        <v>14972</v>
      </c>
      <c r="L927" s="4">
        <v>335281</v>
      </c>
      <c r="M927" s="4">
        <v>38606</v>
      </c>
    </row>
    <row r="928" spans="1:13" hidden="1" x14ac:dyDescent="0.35">
      <c r="A928" s="65"/>
      <c r="B928" s="75"/>
      <c r="C928" s="71"/>
      <c r="D928" s="73"/>
      <c r="E928" s="3" t="s">
        <v>1283</v>
      </c>
      <c r="F928" s="3" t="s">
        <v>1284</v>
      </c>
      <c r="G928" s="3" t="s">
        <v>1285</v>
      </c>
      <c r="H928" s="4">
        <v>800000</v>
      </c>
      <c r="I928" s="4">
        <v>800000</v>
      </c>
      <c r="J928" s="4">
        <v>8815.2000000000007</v>
      </c>
      <c r="K928" s="5">
        <v>0</v>
      </c>
      <c r="L928" s="4">
        <v>787518</v>
      </c>
      <c r="M928" s="4">
        <v>3666.8000000000502</v>
      </c>
    </row>
    <row r="929" spans="1:13" ht="21" hidden="1" x14ac:dyDescent="0.35">
      <c r="A929" s="65"/>
      <c r="B929" s="75"/>
      <c r="C929" s="14" t="s">
        <v>518</v>
      </c>
      <c r="D929" s="15" t="s">
        <v>519</v>
      </c>
      <c r="E929" s="3" t="s">
        <v>1245</v>
      </c>
      <c r="F929" s="3" t="s">
        <v>777</v>
      </c>
      <c r="G929" s="3" t="s">
        <v>1286</v>
      </c>
      <c r="H929" s="4">
        <v>0</v>
      </c>
      <c r="I929" s="4">
        <v>0</v>
      </c>
      <c r="J929" s="17"/>
      <c r="K929" s="16"/>
      <c r="L929" s="17"/>
      <c r="M929" s="4">
        <v>0</v>
      </c>
    </row>
    <row r="930" spans="1:13" ht="31.5" hidden="1" x14ac:dyDescent="0.35">
      <c r="A930" s="65"/>
      <c r="B930" s="75"/>
      <c r="C930" s="14" t="s">
        <v>529</v>
      </c>
      <c r="D930" s="15" t="s">
        <v>530</v>
      </c>
      <c r="E930" s="3" t="s">
        <v>1245</v>
      </c>
      <c r="F930" s="3" t="s">
        <v>777</v>
      </c>
      <c r="G930" s="3" t="s">
        <v>1287</v>
      </c>
      <c r="H930" s="4">
        <v>1248535</v>
      </c>
      <c r="I930" s="4">
        <v>1606304</v>
      </c>
      <c r="J930" s="4">
        <v>937553.94</v>
      </c>
      <c r="K930" s="5">
        <v>202168.91</v>
      </c>
      <c r="L930" s="4">
        <v>273453.59999999998</v>
      </c>
      <c r="M930" s="4">
        <v>193127.55</v>
      </c>
    </row>
    <row r="931" spans="1:13" hidden="1" x14ac:dyDescent="0.35">
      <c r="A931" s="65"/>
      <c r="B931" s="75"/>
      <c r="C931" s="70" t="s">
        <v>547</v>
      </c>
      <c r="D931" s="72" t="s">
        <v>548</v>
      </c>
      <c r="E931" s="3" t="s">
        <v>1262</v>
      </c>
      <c r="F931" s="3" t="s">
        <v>1263</v>
      </c>
      <c r="G931" s="3" t="s">
        <v>1288</v>
      </c>
      <c r="H931" s="4">
        <v>6000000</v>
      </c>
      <c r="I931" s="4">
        <v>3139782</v>
      </c>
      <c r="J931" s="17"/>
      <c r="K931" s="5">
        <v>0</v>
      </c>
      <c r="L931" s="4">
        <v>3139781</v>
      </c>
      <c r="M931" s="4">
        <v>1</v>
      </c>
    </row>
    <row r="932" spans="1:13" hidden="1" x14ac:dyDescent="0.35">
      <c r="A932" s="65"/>
      <c r="B932" s="75"/>
      <c r="C932" s="71"/>
      <c r="D932" s="73"/>
      <c r="E932" s="3" t="s">
        <v>1245</v>
      </c>
      <c r="F932" s="3" t="s">
        <v>777</v>
      </c>
      <c r="G932" s="3" t="s">
        <v>1289</v>
      </c>
      <c r="H932" s="4">
        <v>9652373</v>
      </c>
      <c r="I932" s="4">
        <v>10282373</v>
      </c>
      <c r="J932" s="4">
        <v>2638446.0699999998</v>
      </c>
      <c r="K932" s="5">
        <v>76354.8</v>
      </c>
      <c r="L932" s="4">
        <v>6954729.3799999999</v>
      </c>
      <c r="M932" s="4">
        <v>612842.74999999802</v>
      </c>
    </row>
    <row r="933" spans="1:13" hidden="1" x14ac:dyDescent="0.35">
      <c r="A933" s="65"/>
      <c r="B933" s="75"/>
      <c r="C933" s="70" t="s">
        <v>558</v>
      </c>
      <c r="D933" s="72" t="s">
        <v>559</v>
      </c>
      <c r="E933" s="3" t="s">
        <v>1247</v>
      </c>
      <c r="F933" s="3" t="s">
        <v>1248</v>
      </c>
      <c r="G933" s="3" t="s">
        <v>1290</v>
      </c>
      <c r="H933" s="4">
        <v>10000</v>
      </c>
      <c r="I933" s="4">
        <v>10000</v>
      </c>
      <c r="J933" s="4">
        <v>9510</v>
      </c>
      <c r="K933" s="5">
        <v>0</v>
      </c>
      <c r="L933" s="4">
        <v>0</v>
      </c>
      <c r="M933" s="4">
        <v>490</v>
      </c>
    </row>
    <row r="934" spans="1:13" hidden="1" x14ac:dyDescent="0.35">
      <c r="A934" s="65"/>
      <c r="B934" s="75"/>
      <c r="C934" s="70"/>
      <c r="D934" s="72"/>
      <c r="E934" s="3" t="s">
        <v>1245</v>
      </c>
      <c r="F934" s="3" t="s">
        <v>777</v>
      </c>
      <c r="G934" s="3" t="s">
        <v>1291</v>
      </c>
      <c r="H934" s="4">
        <v>6595858</v>
      </c>
      <c r="I934" s="4">
        <v>6595858</v>
      </c>
      <c r="J934" s="17"/>
      <c r="K934" s="5">
        <v>0</v>
      </c>
      <c r="L934" s="4">
        <v>6593486</v>
      </c>
      <c r="M934" s="4">
        <v>2372</v>
      </c>
    </row>
    <row r="935" spans="1:13" hidden="1" x14ac:dyDescent="0.35">
      <c r="A935" s="65"/>
      <c r="B935" s="75"/>
      <c r="C935" s="71"/>
      <c r="D935" s="73"/>
      <c r="E935" s="3" t="s">
        <v>1283</v>
      </c>
      <c r="F935" s="3" t="s">
        <v>1284</v>
      </c>
      <c r="G935" s="3" t="s">
        <v>1292</v>
      </c>
      <c r="H935" s="4">
        <v>190000</v>
      </c>
      <c r="I935" s="4">
        <v>190000</v>
      </c>
      <c r="J935" s="4">
        <v>33644</v>
      </c>
      <c r="K935" s="5">
        <v>0</v>
      </c>
      <c r="L935" s="4">
        <v>75296.5</v>
      </c>
      <c r="M935" s="4">
        <v>81059.5</v>
      </c>
    </row>
    <row r="936" spans="1:13" hidden="1" x14ac:dyDescent="0.35">
      <c r="A936" s="65"/>
      <c r="B936" s="75"/>
      <c r="C936" s="70" t="s">
        <v>650</v>
      </c>
      <c r="D936" s="72" t="s">
        <v>651</v>
      </c>
      <c r="E936" s="3" t="s">
        <v>1247</v>
      </c>
      <c r="F936" s="3" t="s">
        <v>1248</v>
      </c>
      <c r="G936" s="3" t="s">
        <v>1293</v>
      </c>
      <c r="H936" s="4">
        <v>2697637</v>
      </c>
      <c r="I936" s="4">
        <v>4910637</v>
      </c>
      <c r="J936" s="4">
        <v>937996</v>
      </c>
      <c r="K936" s="5">
        <v>0</v>
      </c>
      <c r="L936" s="4">
        <v>3602014.47</v>
      </c>
      <c r="M936" s="4">
        <v>370626.53</v>
      </c>
    </row>
    <row r="937" spans="1:13" hidden="1" x14ac:dyDescent="0.35">
      <c r="A937" s="65"/>
      <c r="B937" s="75"/>
      <c r="C937" s="70"/>
      <c r="D937" s="72"/>
      <c r="E937" s="3" t="s">
        <v>1245</v>
      </c>
      <c r="F937" s="3" t="s">
        <v>777</v>
      </c>
      <c r="G937" s="3" t="s">
        <v>1294</v>
      </c>
      <c r="H937" s="4">
        <v>18440891</v>
      </c>
      <c r="I937" s="4">
        <v>20306628</v>
      </c>
      <c r="J937" s="4">
        <v>10245659.380000001</v>
      </c>
      <c r="K937" s="5">
        <v>3.20142135024071E-10</v>
      </c>
      <c r="L937" s="4">
        <v>2115446</v>
      </c>
      <c r="M937" s="4">
        <v>7945522.6200000001</v>
      </c>
    </row>
    <row r="938" spans="1:13" hidden="1" x14ac:dyDescent="0.35">
      <c r="A938" s="65"/>
      <c r="B938" s="75"/>
      <c r="C938" s="70"/>
      <c r="D938" s="72"/>
      <c r="E938" s="3" t="s">
        <v>1271</v>
      </c>
      <c r="F938" s="3" t="s">
        <v>1272</v>
      </c>
      <c r="G938" s="3" t="s">
        <v>1295</v>
      </c>
      <c r="H938" s="4">
        <v>1630483</v>
      </c>
      <c r="I938" s="4">
        <v>650000</v>
      </c>
      <c r="J938" s="4">
        <v>327989.92</v>
      </c>
      <c r="K938" s="5">
        <v>0</v>
      </c>
      <c r="L938" s="4">
        <v>0</v>
      </c>
      <c r="M938" s="4">
        <v>322010.08</v>
      </c>
    </row>
    <row r="939" spans="1:13" ht="21" hidden="1" x14ac:dyDescent="0.35">
      <c r="A939" s="65"/>
      <c r="B939" s="75"/>
      <c r="C939" s="71"/>
      <c r="D939" s="73"/>
      <c r="E939" s="3" t="s">
        <v>1276</v>
      </c>
      <c r="F939" s="3" t="s">
        <v>1277</v>
      </c>
      <c r="G939" s="3" t="s">
        <v>1296</v>
      </c>
      <c r="H939" s="4">
        <v>4653254</v>
      </c>
      <c r="I939" s="4">
        <v>500000</v>
      </c>
      <c r="J939" s="17"/>
      <c r="K939" s="16"/>
      <c r="L939" s="17"/>
      <c r="M939" s="4">
        <v>500000</v>
      </c>
    </row>
    <row r="940" spans="1:13" ht="21" hidden="1" x14ac:dyDescent="0.35">
      <c r="A940" s="66"/>
      <c r="B940" s="18" t="s">
        <v>1297</v>
      </c>
      <c r="C940" s="19"/>
      <c r="D940" s="20"/>
      <c r="E940" s="21"/>
      <c r="F940" s="21"/>
      <c r="G940" s="21"/>
      <c r="H940" s="7">
        <v>87207000</v>
      </c>
      <c r="I940" s="7">
        <v>87794769</v>
      </c>
      <c r="J940" s="7">
        <v>24083289.350000001</v>
      </c>
      <c r="K940" s="8">
        <v>12654528.050000001</v>
      </c>
      <c r="L940" s="7">
        <v>38415558.07</v>
      </c>
      <c r="M940" s="7">
        <v>12641393.529999999</v>
      </c>
    </row>
    <row r="941" spans="1:13" hidden="1" x14ac:dyDescent="0.35">
      <c r="A941" s="22" t="s">
        <v>10</v>
      </c>
      <c r="B941" s="23"/>
      <c r="C941" s="23"/>
      <c r="D941" s="23"/>
      <c r="E941" s="23"/>
      <c r="F941" s="23"/>
      <c r="G941" s="23"/>
      <c r="H941" s="24">
        <v>1069721000</v>
      </c>
      <c r="I941" s="24">
        <v>1143649983</v>
      </c>
      <c r="J941" s="24">
        <v>860211332.60999894</v>
      </c>
      <c r="K941" s="25">
        <v>28779539.66</v>
      </c>
      <c r="L941" s="24">
        <v>81685278.019999996</v>
      </c>
      <c r="M941" s="24">
        <v>172901529.49000099</v>
      </c>
    </row>
    <row r="942" spans="1:13" hidden="1" x14ac:dyDescent="0.35">
      <c r="A942" s="9" t="s">
        <v>11</v>
      </c>
    </row>
    <row r="944" spans="1:13" x14ac:dyDescent="0.35">
      <c r="H944">
        <f>SUBTOTAL(9,H9:H943)</f>
        <v>428974869</v>
      </c>
      <c r="I944">
        <f t="shared" ref="I944:M944" si="111">SUBTOTAL(9,I9:I943)</f>
        <v>429255814</v>
      </c>
      <c r="J944">
        <f t="shared" si="111"/>
        <v>383255225.24999976</v>
      </c>
      <c r="K944">
        <f t="shared" si="111"/>
        <v>2</v>
      </c>
      <c r="L944">
        <f t="shared" si="111"/>
        <v>0</v>
      </c>
      <c r="M944">
        <f t="shared" si="111"/>
        <v>46000586.74999997</v>
      </c>
    </row>
    <row r="946" spans="10:10" x14ac:dyDescent="0.35">
      <c r="J946">
        <f>J944+K944+L944</f>
        <v>383255227.24999976</v>
      </c>
    </row>
  </sheetData>
  <autoFilter ref="A9:O942" xr:uid="{00000000-0001-0000-0200-000000000000}">
    <filterColumn colId="1">
      <filters>
        <filter val="1 Personnel Costs"/>
      </filters>
    </filterColumn>
    <filterColumn colId="14">
      <filters>
        <filter val="Academics"/>
      </filters>
    </filterColumn>
  </autoFilter>
  <mergeCells count="184">
    <mergeCell ref="C852:C895"/>
    <mergeCell ref="D852:D895"/>
    <mergeCell ref="B899:B909"/>
    <mergeCell ref="A910:A940"/>
    <mergeCell ref="B910:B939"/>
    <mergeCell ref="C913:C923"/>
    <mergeCell ref="D913:D923"/>
    <mergeCell ref="E913:E918"/>
    <mergeCell ref="F913:F918"/>
    <mergeCell ref="E920:E922"/>
    <mergeCell ref="F920:F922"/>
    <mergeCell ref="C926:C928"/>
    <mergeCell ref="D926:D928"/>
    <mergeCell ref="C931:C932"/>
    <mergeCell ref="D931:D932"/>
    <mergeCell ref="C933:C935"/>
    <mergeCell ref="D933:D935"/>
    <mergeCell ref="C936:C939"/>
    <mergeCell ref="D936:D939"/>
    <mergeCell ref="C817:C820"/>
    <mergeCell ref="D817:D820"/>
    <mergeCell ref="C821:C826"/>
    <mergeCell ref="D821:D826"/>
    <mergeCell ref="C827:C843"/>
    <mergeCell ref="D827:D843"/>
    <mergeCell ref="C844:C846"/>
    <mergeCell ref="D844:D846"/>
    <mergeCell ref="C847:C851"/>
    <mergeCell ref="D847:D851"/>
    <mergeCell ref="C802:C803"/>
    <mergeCell ref="D802:D803"/>
    <mergeCell ref="C804:C806"/>
    <mergeCell ref="D804:D806"/>
    <mergeCell ref="C807:C814"/>
    <mergeCell ref="D807:D814"/>
    <mergeCell ref="E809:E810"/>
    <mergeCell ref="F809:F810"/>
    <mergeCell ref="C815:C816"/>
    <mergeCell ref="D815:D816"/>
    <mergeCell ref="F782:F783"/>
    <mergeCell ref="C785:C788"/>
    <mergeCell ref="D785:D788"/>
    <mergeCell ref="C789:C793"/>
    <mergeCell ref="D789:D793"/>
    <mergeCell ref="E789:E790"/>
    <mergeCell ref="F789:F790"/>
    <mergeCell ref="C794:C801"/>
    <mergeCell ref="D794:D801"/>
    <mergeCell ref="E798:E799"/>
    <mergeCell ref="F798:F799"/>
    <mergeCell ref="E800:E801"/>
    <mergeCell ref="F800:F801"/>
    <mergeCell ref="C767:C773"/>
    <mergeCell ref="D767:D773"/>
    <mergeCell ref="C774:C775"/>
    <mergeCell ref="D774:D775"/>
    <mergeCell ref="C776:C777"/>
    <mergeCell ref="D776:D777"/>
    <mergeCell ref="C778:C784"/>
    <mergeCell ref="D778:D784"/>
    <mergeCell ref="E782:E783"/>
    <mergeCell ref="C740:C746"/>
    <mergeCell ref="D740:D746"/>
    <mergeCell ref="E743:E744"/>
    <mergeCell ref="F743:F744"/>
    <mergeCell ref="C747:C756"/>
    <mergeCell ref="D747:D756"/>
    <mergeCell ref="C757:C766"/>
    <mergeCell ref="D757:D766"/>
    <mergeCell ref="E759:E760"/>
    <mergeCell ref="F759:F760"/>
    <mergeCell ref="E762:E763"/>
    <mergeCell ref="F762:F763"/>
    <mergeCell ref="F707:F708"/>
    <mergeCell ref="E709:E714"/>
    <mergeCell ref="F709:F714"/>
    <mergeCell ref="E717:E719"/>
    <mergeCell ref="F717:F719"/>
    <mergeCell ref="E722:E724"/>
    <mergeCell ref="F722:F724"/>
    <mergeCell ref="C726:C731"/>
    <mergeCell ref="D726:D731"/>
    <mergeCell ref="E728:E729"/>
    <mergeCell ref="F728:F729"/>
    <mergeCell ref="F678:F681"/>
    <mergeCell ref="E684:E687"/>
    <mergeCell ref="F684:F687"/>
    <mergeCell ref="E691:E693"/>
    <mergeCell ref="F691:F693"/>
    <mergeCell ref="E697:E700"/>
    <mergeCell ref="F697:F700"/>
    <mergeCell ref="E701:E704"/>
    <mergeCell ref="F701:F704"/>
    <mergeCell ref="F661:F662"/>
    <mergeCell ref="E663:E664"/>
    <mergeCell ref="F663:F664"/>
    <mergeCell ref="C665:C669"/>
    <mergeCell ref="D665:D669"/>
    <mergeCell ref="C670:C677"/>
    <mergeCell ref="D670:D677"/>
    <mergeCell ref="E671:E672"/>
    <mergeCell ref="F671:F672"/>
    <mergeCell ref="E676:E677"/>
    <mergeCell ref="F676:F677"/>
    <mergeCell ref="F625:F626"/>
    <mergeCell ref="C631:C634"/>
    <mergeCell ref="D631:D634"/>
    <mergeCell ref="E631:E632"/>
    <mergeCell ref="F631:F632"/>
    <mergeCell ref="C635:C641"/>
    <mergeCell ref="D635:D641"/>
    <mergeCell ref="C642:C646"/>
    <mergeCell ref="D642:D646"/>
    <mergeCell ref="A610:A909"/>
    <mergeCell ref="B610:B897"/>
    <mergeCell ref="C610:C612"/>
    <mergeCell ref="D610:D612"/>
    <mergeCell ref="C613:C621"/>
    <mergeCell ref="D613:D621"/>
    <mergeCell ref="C622:C630"/>
    <mergeCell ref="D622:D630"/>
    <mergeCell ref="E625:E626"/>
    <mergeCell ref="C647:C649"/>
    <mergeCell ref="D647:D649"/>
    <mergeCell ref="C650:C654"/>
    <mergeCell ref="D650:D654"/>
    <mergeCell ref="C655:C660"/>
    <mergeCell ref="D655:D660"/>
    <mergeCell ref="C661:C664"/>
    <mergeCell ref="D661:D664"/>
    <mergeCell ref="E661:E662"/>
    <mergeCell ref="C678:C725"/>
    <mergeCell ref="D678:D725"/>
    <mergeCell ref="E678:E681"/>
    <mergeCell ref="E707:E708"/>
    <mergeCell ref="C732:C739"/>
    <mergeCell ref="D732:D739"/>
    <mergeCell ref="C576:C581"/>
    <mergeCell ref="D576:D581"/>
    <mergeCell ref="C582:C590"/>
    <mergeCell ref="D582:D590"/>
    <mergeCell ref="D598:D603"/>
    <mergeCell ref="C604:C609"/>
    <mergeCell ref="D604:D609"/>
    <mergeCell ref="E605:E606"/>
    <mergeCell ref="F605:F606"/>
    <mergeCell ref="E607:E608"/>
    <mergeCell ref="F607:F608"/>
    <mergeCell ref="C523:C535"/>
    <mergeCell ref="D523:D535"/>
    <mergeCell ref="E523:E524"/>
    <mergeCell ref="F523:F524"/>
    <mergeCell ref="E534:E535"/>
    <mergeCell ref="F534:F535"/>
    <mergeCell ref="E566:E567"/>
    <mergeCell ref="F566:F567"/>
    <mergeCell ref="C569:C575"/>
    <mergeCell ref="D569:D575"/>
    <mergeCell ref="E570:E571"/>
    <mergeCell ref="F570:F571"/>
    <mergeCell ref="A10:A309"/>
    <mergeCell ref="A310:A609"/>
    <mergeCell ref="E345:E346"/>
    <mergeCell ref="F345:F346"/>
    <mergeCell ref="B491:B609"/>
    <mergeCell ref="C491:C505"/>
    <mergeCell ref="D491:D505"/>
    <mergeCell ref="C507:C510"/>
    <mergeCell ref="D507:D510"/>
    <mergeCell ref="C511:C519"/>
    <mergeCell ref="D511:D519"/>
    <mergeCell ref="C536:C551"/>
    <mergeCell ref="D536:D551"/>
    <mergeCell ref="C552:C557"/>
    <mergeCell ref="D552:D557"/>
    <mergeCell ref="C558:C568"/>
    <mergeCell ref="D558:D568"/>
    <mergeCell ref="C591:C597"/>
    <mergeCell ref="D591:D597"/>
    <mergeCell ref="C598:C603"/>
    <mergeCell ref="E512:E513"/>
    <mergeCell ref="F512:F513"/>
    <mergeCell ref="C520:C522"/>
    <mergeCell ref="D520:D5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Q4 master report</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2021-11-28T06:01:17Z</dcterms:created>
  <dcterms:modified xsi:type="dcterms:W3CDTF">2023-10-17T13:28:49Z</dcterms:modified>
</cp:coreProperties>
</file>