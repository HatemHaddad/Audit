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udgets\2018\Library\"/>
    </mc:Choice>
  </mc:AlternateContent>
  <bookViews>
    <workbookView xWindow="0" yWindow="0" windowWidth="21600" windowHeight="9135"/>
  </bookViews>
  <sheets>
    <sheet name="Summary" sheetId="7" r:id="rId1"/>
    <sheet name="Operating consolidated" sheetId="10" r:id="rId2"/>
    <sheet name="Itemized detail" sheetId="5" r:id="rId3"/>
    <sheet name="Capital consolidated" sheetId="13" r:id="rId4"/>
  </sheets>
  <definedNames>
    <definedName name="_xlnm.Print_Titles" localSheetId="1">'Operating consolidated'!$1:$3</definedName>
  </definedNames>
  <calcPr calcId="152511"/>
</workbook>
</file>

<file path=xl/calcChain.xml><?xml version="1.0" encoding="utf-8"?>
<calcChain xmlns="http://schemas.openxmlformats.org/spreadsheetml/2006/main">
  <c r="G95" i="10" l="1"/>
  <c r="F9" i="10"/>
  <c r="F10" i="10"/>
  <c r="F519" i="5" l="1"/>
  <c r="F518" i="5"/>
  <c r="F517" i="5"/>
  <c r="F516" i="5"/>
  <c r="F515" i="5"/>
  <c r="F514" i="5"/>
  <c r="F513" i="5"/>
  <c r="F512" i="5"/>
  <c r="F511" i="5"/>
  <c r="F510" i="5"/>
  <c r="F509" i="5"/>
  <c r="H26" i="13" l="1"/>
  <c r="R95" i="10"/>
  <c r="L6" i="7" s="1"/>
  <c r="S95" i="10"/>
  <c r="M6" i="7" s="1"/>
  <c r="N95" i="10"/>
  <c r="I6" i="7" s="1"/>
  <c r="O95" i="10"/>
  <c r="J6" i="7" s="1"/>
  <c r="J95" i="10"/>
  <c r="F6" i="7" s="1"/>
  <c r="K95" i="10"/>
  <c r="G6" i="7" s="1"/>
  <c r="F95" i="10"/>
  <c r="C6" i="7" s="1"/>
  <c r="T52" i="13"/>
  <c r="P52" i="13"/>
  <c r="L52" i="13"/>
  <c r="T46" i="13"/>
  <c r="P46" i="13"/>
  <c r="L46" i="13"/>
  <c r="T26" i="13"/>
  <c r="P26" i="13"/>
  <c r="L26" i="13"/>
  <c r="S52" i="13"/>
  <c r="O52" i="13"/>
  <c r="K52" i="13"/>
  <c r="S46" i="13"/>
  <c r="O46" i="13"/>
  <c r="K46" i="13"/>
  <c r="S26" i="13"/>
  <c r="O26" i="13"/>
  <c r="K26" i="13"/>
  <c r="J52" i="13"/>
  <c r="R52" i="13"/>
  <c r="N52" i="13"/>
  <c r="R46" i="13"/>
  <c r="N46" i="13"/>
  <c r="J46" i="13"/>
  <c r="R26" i="13"/>
  <c r="N26" i="13"/>
  <c r="J26" i="13"/>
  <c r="Q95" i="10"/>
  <c r="K6" i="7" s="1"/>
  <c r="M95" i="10"/>
  <c r="H6" i="7" s="1"/>
  <c r="I95" i="10"/>
  <c r="E6" i="7" s="1"/>
  <c r="K54" i="13" l="1"/>
  <c r="F8" i="7" s="1"/>
  <c r="F10" i="7" s="1"/>
  <c r="O54" i="13"/>
  <c r="I8" i="7" s="1"/>
  <c r="I10" i="7" s="1"/>
  <c r="P54" i="13"/>
  <c r="J8" i="7" s="1"/>
  <c r="T54" i="13"/>
  <c r="M8" i="7" s="1"/>
  <c r="M10" i="7" s="1"/>
  <c r="S54" i="13"/>
  <c r="L54" i="13"/>
  <c r="G8" i="7" s="1"/>
  <c r="G10" i="7" s="1"/>
  <c r="J54" i="13"/>
  <c r="E8" i="7" s="1"/>
  <c r="E10" i="7" s="1"/>
  <c r="N54" i="13"/>
  <c r="H8" i="7" s="1"/>
  <c r="H10" i="7" s="1"/>
  <c r="R54" i="13"/>
  <c r="K8" i="7" s="1"/>
  <c r="K10" i="7" s="1"/>
  <c r="H46" i="13"/>
  <c r="H52" i="13"/>
  <c r="J10" i="7" l="1"/>
  <c r="L8" i="7"/>
  <c r="L10" i="7" s="1"/>
  <c r="H54" i="13"/>
  <c r="D8" i="7" s="1"/>
  <c r="G26" i="13"/>
  <c r="G52" i="13"/>
  <c r="G46" i="13"/>
  <c r="D6" i="7"/>
  <c r="D10" i="7" l="1"/>
  <c r="G54" i="13"/>
  <c r="C8" i="7" s="1"/>
  <c r="F502" i="5"/>
  <c r="F501" i="5"/>
  <c r="F500" i="5"/>
  <c r="F499" i="5"/>
  <c r="F498" i="5"/>
  <c r="F497" i="5"/>
  <c r="F496" i="5"/>
  <c r="F495" i="5"/>
  <c r="F494" i="5"/>
  <c r="F493" i="5"/>
  <c r="F492" i="5"/>
  <c r="F481" i="5"/>
  <c r="F480" i="5"/>
  <c r="F479" i="5"/>
  <c r="F478" i="5"/>
  <c r="F477" i="5"/>
  <c r="F476" i="5"/>
  <c r="F475" i="5"/>
  <c r="F474" i="5"/>
  <c r="F473" i="5"/>
  <c r="F472" i="5"/>
  <c r="F471" i="5"/>
  <c r="F461" i="5"/>
  <c r="F460" i="5"/>
  <c r="F459" i="5"/>
  <c r="F458" i="5"/>
  <c r="F457" i="5"/>
  <c r="F456" i="5"/>
  <c r="F455" i="5"/>
  <c r="F454" i="5"/>
  <c r="F453" i="5"/>
  <c r="F452" i="5"/>
  <c r="F451" i="5"/>
  <c r="F440" i="5"/>
  <c r="F439" i="5"/>
  <c r="F438" i="5"/>
  <c r="F437" i="5"/>
  <c r="F436" i="5"/>
  <c r="F435" i="5"/>
  <c r="F434" i="5"/>
  <c r="F433" i="5"/>
  <c r="F432" i="5"/>
  <c r="F431" i="5"/>
  <c r="F430" i="5"/>
  <c r="F420" i="5"/>
  <c r="F419" i="5"/>
  <c r="F418" i="5"/>
  <c r="F417" i="5"/>
  <c r="F416" i="5"/>
  <c r="F415" i="5"/>
  <c r="F414" i="5"/>
  <c r="F413" i="5"/>
  <c r="F412" i="5"/>
  <c r="F411" i="5"/>
  <c r="F410" i="5"/>
  <c r="F400" i="5"/>
  <c r="F399" i="5"/>
  <c r="F398" i="5"/>
  <c r="F397" i="5"/>
  <c r="F396" i="5"/>
  <c r="F395" i="5"/>
  <c r="F394" i="5"/>
  <c r="F393" i="5"/>
  <c r="F392" i="5"/>
  <c r="F380" i="5"/>
  <c r="F379" i="5"/>
  <c r="F378" i="5"/>
  <c r="F377" i="5"/>
  <c r="F376" i="5"/>
  <c r="F375" i="5"/>
  <c r="F374" i="5"/>
  <c r="F373" i="5"/>
  <c r="F372" i="5"/>
  <c r="F371" i="5"/>
  <c r="F370" i="5"/>
  <c r="F360" i="5"/>
  <c r="F359" i="5"/>
  <c r="F358" i="5"/>
  <c r="F357" i="5"/>
  <c r="F356" i="5"/>
  <c r="F355" i="5"/>
  <c r="F354" i="5"/>
  <c r="F353" i="5"/>
  <c r="F352" i="5"/>
  <c r="F351" i="5"/>
  <c r="F350" i="5"/>
  <c r="F340" i="5"/>
  <c r="F339" i="5"/>
  <c r="F338" i="5"/>
  <c r="F337" i="5"/>
  <c r="F336" i="5"/>
  <c r="F335" i="5"/>
  <c r="F334" i="5"/>
  <c r="F333" i="5"/>
  <c r="F332" i="5"/>
  <c r="F331" i="5"/>
  <c r="F330" i="5"/>
  <c r="F320" i="5"/>
  <c r="F319" i="5"/>
  <c r="F318" i="5"/>
  <c r="F317" i="5"/>
  <c r="F316" i="5"/>
  <c r="F315" i="5"/>
  <c r="F314" i="5"/>
  <c r="F313" i="5"/>
  <c r="F312" i="5"/>
  <c r="F311" i="5"/>
  <c r="F310" i="5"/>
  <c r="F300" i="5"/>
  <c r="F299" i="5"/>
  <c r="F298" i="5"/>
  <c r="F297" i="5"/>
  <c r="F296" i="5"/>
  <c r="F295" i="5"/>
  <c r="F294" i="5"/>
  <c r="F293" i="5"/>
  <c r="F292" i="5"/>
  <c r="F279" i="5"/>
  <c r="F278" i="5"/>
  <c r="F277" i="5"/>
  <c r="F276" i="5"/>
  <c r="F275" i="5"/>
  <c r="F274" i="5"/>
  <c r="F273" i="5"/>
  <c r="F272" i="5"/>
  <c r="F271" i="5"/>
  <c r="F270" i="5"/>
  <c r="F269" i="5"/>
  <c r="F257" i="5"/>
  <c r="F256" i="5"/>
  <c r="F255" i="5"/>
  <c r="F254" i="5"/>
  <c r="F253" i="5"/>
  <c r="F252" i="5"/>
  <c r="F251" i="5"/>
  <c r="F250" i="5"/>
  <c r="F249" i="5"/>
  <c r="F248" i="5"/>
  <c r="F247" i="5"/>
  <c r="F236" i="5"/>
  <c r="F235" i="5"/>
  <c r="F234" i="5"/>
  <c r="F233" i="5"/>
  <c r="F232" i="5"/>
  <c r="F231" i="5"/>
  <c r="F230" i="5"/>
  <c r="F229" i="5"/>
  <c r="F228" i="5"/>
  <c r="F227" i="5"/>
  <c r="F226" i="5"/>
  <c r="F215" i="5"/>
  <c r="F214" i="5"/>
  <c r="F213" i="5"/>
  <c r="F212" i="5"/>
  <c r="F211" i="5"/>
  <c r="F210" i="5"/>
  <c r="F209" i="5"/>
  <c r="F208" i="5"/>
  <c r="F207" i="5"/>
  <c r="F206" i="5"/>
  <c r="F205" i="5"/>
  <c r="F195" i="5"/>
  <c r="F194" i="5"/>
  <c r="F193" i="5"/>
  <c r="F192" i="5"/>
  <c r="F191" i="5"/>
  <c r="F190" i="5"/>
  <c r="F189" i="5"/>
  <c r="F188" i="5"/>
  <c r="F187" i="5"/>
  <c r="F186" i="5"/>
  <c r="F185" i="5"/>
  <c r="F175" i="5"/>
  <c r="F174" i="5"/>
  <c r="F173" i="5"/>
  <c r="F172" i="5"/>
  <c r="F171" i="5"/>
  <c r="F170" i="5"/>
  <c r="F169" i="5"/>
  <c r="F168" i="5"/>
  <c r="F167" i="5"/>
  <c r="F166" i="5"/>
  <c r="F165" i="5"/>
  <c r="F156" i="5"/>
  <c r="F155" i="5"/>
  <c r="F154" i="5"/>
  <c r="F153" i="5"/>
  <c r="F152" i="5"/>
  <c r="F151" i="5"/>
  <c r="F150" i="5"/>
  <c r="F149" i="5"/>
  <c r="F148" i="5"/>
  <c r="F147" i="5"/>
  <c r="F146" i="5"/>
  <c r="F136" i="5"/>
  <c r="F135" i="5"/>
  <c r="F134" i="5"/>
  <c r="F133" i="5"/>
  <c r="F132" i="5"/>
  <c r="F131" i="5"/>
  <c r="F130" i="5"/>
  <c r="F129" i="5"/>
  <c r="F128" i="5"/>
  <c r="F127" i="5"/>
  <c r="F126" i="5"/>
  <c r="F116" i="5"/>
  <c r="F115" i="5"/>
  <c r="F114" i="5"/>
  <c r="F113" i="5"/>
  <c r="F112" i="5"/>
  <c r="F99" i="5"/>
  <c r="F98" i="5"/>
  <c r="F97" i="5"/>
  <c r="F96" i="5"/>
  <c r="F95" i="5"/>
  <c r="F94" i="5"/>
  <c r="F93" i="5"/>
  <c r="F92" i="5"/>
  <c r="F91" i="5"/>
  <c r="F90" i="5"/>
  <c r="F89" i="5"/>
  <c r="F82" i="5"/>
  <c r="F81" i="5"/>
  <c r="F80" i="5"/>
  <c r="F79" i="5"/>
  <c r="F78" i="5"/>
  <c r="F77" i="5"/>
  <c r="F76" i="5"/>
  <c r="F75" i="5"/>
  <c r="F74" i="5"/>
  <c r="F73" i="5"/>
  <c r="F72" i="5"/>
  <c r="F65" i="5"/>
  <c r="F64" i="5"/>
  <c r="F63" i="5"/>
  <c r="F62" i="5"/>
  <c r="F61" i="5"/>
  <c r="F60" i="5"/>
  <c r="F59" i="5"/>
  <c r="F58" i="5"/>
  <c r="F57" i="5"/>
  <c r="F56" i="5"/>
  <c r="F55" i="5"/>
  <c r="F48" i="5"/>
  <c r="F47" i="5"/>
  <c r="F46" i="5"/>
  <c r="F45" i="5"/>
  <c r="F44" i="5"/>
  <c r="F43" i="5"/>
  <c r="F42" i="5"/>
  <c r="F41" i="5"/>
  <c r="F40" i="5"/>
  <c r="F39" i="5"/>
  <c r="F38" i="5"/>
  <c r="F31" i="5"/>
  <c r="F30" i="5"/>
  <c r="F29" i="5"/>
  <c r="F28" i="5"/>
  <c r="F27" i="5"/>
  <c r="F26" i="5"/>
  <c r="F25" i="5"/>
  <c r="F24" i="5"/>
  <c r="F23" i="5"/>
  <c r="F22" i="5"/>
  <c r="F21" i="5"/>
  <c r="F15" i="5"/>
  <c r="F14" i="5"/>
  <c r="F13" i="5"/>
  <c r="F12" i="5"/>
  <c r="F11" i="5"/>
  <c r="F10" i="5"/>
  <c r="F9" i="5"/>
  <c r="F8" i="5"/>
  <c r="F7" i="5"/>
  <c r="F6" i="5"/>
  <c r="F5" i="5"/>
  <c r="C10" i="7" l="1"/>
</calcChain>
</file>

<file path=xl/sharedStrings.xml><?xml version="1.0" encoding="utf-8"?>
<sst xmlns="http://schemas.openxmlformats.org/spreadsheetml/2006/main" count="752" uniqueCount="251">
  <si>
    <t>Internal Audit service</t>
  </si>
  <si>
    <t>External Audit service</t>
  </si>
  <si>
    <t>Cleaning and Security Services :Business premises</t>
  </si>
  <si>
    <t>Academic Advisory Service</t>
  </si>
  <si>
    <t>Academic Collaborative Partnership Services</t>
  </si>
  <si>
    <t>Legal services</t>
  </si>
  <si>
    <t>Management consultancy</t>
  </si>
  <si>
    <t>Manpower supply</t>
  </si>
  <si>
    <t>Security service</t>
  </si>
  <si>
    <t>Standards certification (e.g. ISO)</t>
  </si>
  <si>
    <t>Waste management service</t>
  </si>
  <si>
    <t>Advertising</t>
  </si>
  <si>
    <t>Conferences, seminars and exhibitions and other events: - Local Events</t>
  </si>
  <si>
    <t>Conferences, seminars and exhibitions and other events: - Overseas event</t>
  </si>
  <si>
    <t>Education-Outsourced training service</t>
  </si>
  <si>
    <t>Scholarships &amp; other financial aid</t>
  </si>
  <si>
    <t>Graduation rewards</t>
  </si>
  <si>
    <t>Student Transport</t>
  </si>
  <si>
    <t>Student Accommodation</t>
  </si>
  <si>
    <t>Skill assessment service</t>
  </si>
  <si>
    <t>Academic Missions - Combined expenses</t>
  </si>
  <si>
    <t>Entertainment and hospitality</t>
  </si>
  <si>
    <t>Insurance - Cash and fidelity</t>
  </si>
  <si>
    <t>Insurance - Fire and allied perils</t>
  </si>
  <si>
    <t>Insurance - Motor vehicles</t>
  </si>
  <si>
    <t>Insurance - Other</t>
  </si>
  <si>
    <t>Computer software licenses</t>
  </si>
  <si>
    <t>Local treatment</t>
  </si>
  <si>
    <t>Motor vehicle registration and inspection charges</t>
  </si>
  <si>
    <t>Postal, courier and other document delivery expenses</t>
  </si>
  <si>
    <t>Public relations</t>
  </si>
  <si>
    <t>Telephone and telefax charges</t>
  </si>
  <si>
    <t>Data Transmission charges</t>
  </si>
  <si>
    <t>Translation and interpretation service</t>
  </si>
  <si>
    <t>Business Travel - Combined expenses</t>
  </si>
  <si>
    <t>Banking service charges</t>
  </si>
  <si>
    <t>Subscriptions and membership fees: Trade organisations</t>
  </si>
  <si>
    <t>Account code</t>
  </si>
  <si>
    <t>Remark</t>
  </si>
  <si>
    <t>For outsourcing internal audit services</t>
  </si>
  <si>
    <t>For all expenses connected to accreditations ( academic and otherwise)</t>
  </si>
  <si>
    <t>Includes all expenses connected with event expenses hosted/participated in UAE. Does not include faculty conferences.</t>
  </si>
  <si>
    <t>Includes all expenses connected with event expenses hosted/participated outside UAE. Does not include faculty conferences.</t>
  </si>
  <si>
    <t>Insurance- Third Party Liability</t>
  </si>
  <si>
    <t>Student activities &amp; field trip expenses</t>
  </si>
  <si>
    <t>Student Internship</t>
  </si>
  <si>
    <t>Student Project Expenses</t>
  </si>
  <si>
    <t>All expenses connected with student internship</t>
  </si>
  <si>
    <t>For internet charges</t>
  </si>
  <si>
    <t>Electricity consumption charges</t>
  </si>
  <si>
    <t>Water consumption charges</t>
  </si>
  <si>
    <t>Health,safety&amp;environment awareness</t>
  </si>
  <si>
    <t>Sponsorship expenses/contributions</t>
  </si>
  <si>
    <t>Events - Awards, prizes &amp; gifts</t>
  </si>
  <si>
    <t>Other services, not specifically mentioned elsewhere</t>
  </si>
  <si>
    <t>Rental - Buildings, other than staff residences</t>
  </si>
  <si>
    <t>Rental - Equipment</t>
  </si>
  <si>
    <t>Rental - Motor vehicles</t>
  </si>
  <si>
    <t>Rental - Training facilities (includes premises, equipment, catering, etc)</t>
  </si>
  <si>
    <t>Bldg maintenance-Business premises</t>
  </si>
  <si>
    <t>Bldg decoration &amp; minor improvements</t>
  </si>
  <si>
    <t>Computers and peripherals</t>
  </si>
  <si>
    <t>Office Furniture and fixtures</t>
  </si>
  <si>
    <t>Residential Furniture and fixtures</t>
  </si>
  <si>
    <t>Motor vehicles (non-military)</t>
  </si>
  <si>
    <t>Newspapers, magazines, journals, etc</t>
  </si>
  <si>
    <t>Library books</t>
  </si>
  <si>
    <t>Text books and library books</t>
  </si>
  <si>
    <t>Academic Publications</t>
  </si>
  <si>
    <t>Catering supplies: Offices</t>
  </si>
  <si>
    <t>Laboratory - Scientific</t>
  </si>
  <si>
    <t>Landscaping and other horticulture</t>
  </si>
  <si>
    <t>Photography - Consumable materials /Tools</t>
  </si>
  <si>
    <t>Printing supplies</t>
  </si>
  <si>
    <t>Stationery</t>
  </si>
  <si>
    <t>Interest on bank overdraft and loans</t>
  </si>
  <si>
    <t>Bad Debts - Other</t>
  </si>
  <si>
    <t>Loss on disposal of physical asset</t>
  </si>
  <si>
    <t>Fuel, oil and lubricants: Motor vehicles</t>
  </si>
  <si>
    <t>Training/Teaching equipment and other educational aid</t>
  </si>
  <si>
    <t>Lab Equipment</t>
  </si>
  <si>
    <t>Student Textbooks</t>
  </si>
  <si>
    <t>Student medical insurance</t>
  </si>
  <si>
    <t>Student relocation &amp; travel expenses</t>
  </si>
  <si>
    <t>Printing and publishing</t>
  </si>
  <si>
    <t>Scientific</t>
  </si>
  <si>
    <t xml:space="preserve">Student stipend </t>
  </si>
  <si>
    <t>Student stipend - Graduate</t>
  </si>
  <si>
    <t>Professional Membership charges</t>
  </si>
  <si>
    <t>Visitor Travel</t>
  </si>
  <si>
    <t>IT Systems &amp; Support expenses</t>
  </si>
  <si>
    <t>Fees for processing e-payments</t>
  </si>
  <si>
    <t>School consumables, not specifically mentioned elsewhere</t>
  </si>
  <si>
    <t>New code to be requested</t>
  </si>
  <si>
    <t>Other support</t>
  </si>
  <si>
    <t>Academic</t>
  </si>
  <si>
    <t>External Relations</t>
  </si>
  <si>
    <t>Student</t>
  </si>
  <si>
    <t>IT</t>
  </si>
  <si>
    <t>Research</t>
  </si>
  <si>
    <t xml:space="preserve">Facilities </t>
  </si>
  <si>
    <t>Finance</t>
  </si>
  <si>
    <t>HR</t>
  </si>
  <si>
    <t>For faculty conferences (local and international). This includes travel costs, per diem &amp; registration fees)</t>
  </si>
  <si>
    <t>For expenses related to Academic boards, including Presidents Academic Advisory Council. This includes travel cost, accommodation and honorarium.</t>
  </si>
  <si>
    <t>For payments made to collaborating institutions, as part of partnership agreements. Does not include fund contributions (ARIC, EBTIC etc.)</t>
  </si>
  <si>
    <t>This includes library subscriptions of journals &amp; magazines. This also includes newspaper subscriptions. This account does not include cost of hard copies of library books.</t>
  </si>
  <si>
    <t>Only for costs of library books ( hard bound copies)</t>
  </si>
  <si>
    <t>For publication costs of faculty journals only</t>
  </si>
  <si>
    <t>Lab supplies/ consumables for academic and research labs</t>
  </si>
  <si>
    <t>This account is for teaching supplies/ consumables to be used specifically in classrooms. This does not include the cost of regular stationery, provided by the University.</t>
  </si>
  <si>
    <t>This includes all costs connected with advertisement of the University . This excludes media &amp; communication expenses like press meets.</t>
  </si>
  <si>
    <t>For media &amp; communication expenses ( example press meets)</t>
  </si>
  <si>
    <t>For costs of gifts including those for VIP guests (excluding those given as part of an event expense)</t>
  </si>
  <si>
    <t>Includes costs connected with photography (still and video)</t>
  </si>
  <si>
    <t>For costs connected with University wide publication expenses</t>
  </si>
  <si>
    <t>This is for cleaning costs of University buildings, premises and hostels. Does not include security services</t>
  </si>
  <si>
    <t>This is for security costs of University buildings, premises and hostels. Does not include cleaning services</t>
  </si>
  <si>
    <t>This is for costs incurred for managing the wastes of the University, including laboratory waste materials</t>
  </si>
  <si>
    <t>Cost for providing cash and fidelity insurance</t>
  </si>
  <si>
    <t>Cost for providing fire insurance</t>
  </si>
  <si>
    <t>Cost for providing vehicle insurance</t>
  </si>
  <si>
    <t>Electricity charges for University buildings, premises and hostels</t>
  </si>
  <si>
    <t>Water charges for University buildings, premises and hostels</t>
  </si>
  <si>
    <t>Charges to rent buildings or premises, for the University's purposes. This does not include booth space rentals at exhibitions or conferences</t>
  </si>
  <si>
    <t>For lab usage fees</t>
  </si>
  <si>
    <t>This includes  vehicle hire expenses, taxi charges and other transportation expenses</t>
  </si>
  <si>
    <t>For building décor expenses and minor improvements that are not capital in nature.</t>
  </si>
  <si>
    <t>Maintaining and refurbishing costs of University furniture, excluding hostels</t>
  </si>
  <si>
    <t>Maintaining and refurbishing costs of hostel furniture.</t>
  </si>
  <si>
    <t>Car maintenance expenses</t>
  </si>
  <si>
    <t>For fuel charges of university cars</t>
  </si>
  <si>
    <t xml:space="preserve">Bank charges </t>
  </si>
  <si>
    <t xml:space="preserve">Interest costs incurred on loans/overdraft </t>
  </si>
  <si>
    <t>To be used for bad debts expenses (actuals and provisions)</t>
  </si>
  <si>
    <t>To record the loss incurred on disposal of the Ubniversity's fixed assets</t>
  </si>
  <si>
    <t>Exchange rate loss charges</t>
  </si>
  <si>
    <t>Includes all types of consultancy, including academic and research consultancy. This does not include consultancy related directly to a capital asset or consultancy that are advisory in nature.</t>
  </si>
  <si>
    <t>For charges paid to manpower providing companies for their services. This does not include direct payments made to temporary employees directly.</t>
  </si>
  <si>
    <t>For the University's professional membership charges. This could be used to record employees' professional membership charges, only if HR policy allows.</t>
  </si>
  <si>
    <t>For costs connected to visitor trips, within and outside UAE, including travel costs, per diem/hotels, catering and registrations.</t>
  </si>
  <si>
    <t>For software charges covering for a year or less. This includes payments for cloud based services</t>
  </si>
  <si>
    <t>For mobile phone, blackberry, landline and fax charges</t>
  </si>
  <si>
    <t>For expenses incurred to avail IT systems and support (example colocation charges/ leasing racks in data center</t>
  </si>
  <si>
    <t>For maintenance of computers &amp; peripherals including annual outsourcing/maintenance contracts</t>
  </si>
  <si>
    <t>For external audit payments</t>
  </si>
  <si>
    <t>For availing legal services, including patent filing expenses</t>
  </si>
  <si>
    <t>For postal &amp; courier charges</t>
  </si>
  <si>
    <t>For translation charges</t>
  </si>
  <si>
    <t>Other sundry expenses</t>
  </si>
  <si>
    <t>For coffee and tea supplies for the University employees</t>
  </si>
  <si>
    <t>Printing costs to external printers for booklets, brochures, pamphlets etc.</t>
  </si>
  <si>
    <t>For providing standard stationery to the University community</t>
  </si>
  <si>
    <t>Includes contributions to funds( EBTIC, ARIC contributions are examples). Also includes University sponsoring out side events/initiatives</t>
  </si>
  <si>
    <t>To capture research related expenditure that could not be captured elsewhere</t>
  </si>
  <si>
    <t>This is for costs incurred for student training. Does not include internship expenses</t>
  </si>
  <si>
    <t>For sponsoring students only. Does not include stipends.</t>
  </si>
  <si>
    <t>Cost of paying stipends to Grad students</t>
  </si>
  <si>
    <t>For transportation charges incurred for students as part of their hostels distribution.</t>
  </si>
  <si>
    <t>For student hostels rent charges</t>
  </si>
  <si>
    <t>For student assessment charges including IELTS</t>
  </si>
  <si>
    <t>Costs for maintaining lab equipment (academic labs &amp; research labs). This does not include maintenance of IT hardware and peripherals.</t>
  </si>
  <si>
    <t>This is for costs connected with developing curriculum. This would include payments made to those who develop the curriculum.</t>
  </si>
  <si>
    <t>Cost for providing insurance, not covered in other insurance account lines ( example all risk insurance)</t>
  </si>
  <si>
    <t>Cost for providing third party insurance cover (including public liability)</t>
  </si>
  <si>
    <t>Costs connected to environment, health &amp; safety</t>
  </si>
  <si>
    <t>For vehicle running expenses, including Salik charges/Mawaqif and excluding car maintenance &amp; fuel</t>
  </si>
  <si>
    <t>Landscaping charges for the University buildings and premises</t>
  </si>
  <si>
    <t xml:space="preserve">For maintenance charges of University &amp; hostel buildings/lifts/CCTV, including annual maintenance contracts. </t>
  </si>
  <si>
    <t>For the University to record expenses related to registering trade names</t>
  </si>
  <si>
    <t>For costs connected to employee business trips/research trips, within and outside UAE, including travel costs, per diem and registrations.</t>
  </si>
  <si>
    <t>For leasing equipments, (example photocopiers)</t>
  </si>
  <si>
    <t>Including catering charges &amp; farewell/welcome gatherings</t>
  </si>
  <si>
    <t>Cost of paying stipends to Undergrad/PREP students</t>
  </si>
  <si>
    <t>For capturing expenses paid to students as part of their graduation. This does not include graduation ceremony exepnses. It does not include stipend payments as well.</t>
  </si>
  <si>
    <t>Medical insurance costs for students</t>
  </si>
  <si>
    <t>Cost connected with relocating students</t>
  </si>
  <si>
    <t>In house clinical &amp; medical services, including clinic expenses</t>
  </si>
  <si>
    <t>This is for expenses related to academic activities ( SDP, DBF etc) and research activities</t>
  </si>
  <si>
    <t>This is for expenses related to  clubs activities, council activities, field trips etc. This does not include internship expenses</t>
  </si>
  <si>
    <t>Enrollment expenses</t>
  </si>
  <si>
    <t>DOF system</t>
  </si>
  <si>
    <t xml:space="preserve">Description </t>
  </si>
  <si>
    <t>Cost of student admissions/ enrollment</t>
  </si>
  <si>
    <t>Freight &amp; shipping</t>
  </si>
  <si>
    <t>For freight &amp; shipping costs for materials and equipment</t>
  </si>
  <si>
    <t>Content expert</t>
  </si>
  <si>
    <t>Facilities</t>
  </si>
  <si>
    <t>Account Code</t>
  </si>
  <si>
    <t>Account Description</t>
  </si>
  <si>
    <t>Itemised  Details/Calculation method</t>
  </si>
  <si>
    <t>Quantity (expected)</t>
  </si>
  <si>
    <t>Rate (expected)</t>
  </si>
  <si>
    <t>Budget expected</t>
  </si>
  <si>
    <t>Water &amp; Electricity - offices</t>
  </si>
  <si>
    <t>Student Services</t>
  </si>
  <si>
    <t>Department</t>
  </si>
  <si>
    <t>Student services</t>
  </si>
  <si>
    <t>Departments</t>
  </si>
  <si>
    <t xml:space="preserve">Expenses for faculty sharing between campuses </t>
  </si>
  <si>
    <t>Addition to department specific development trips</t>
  </si>
  <si>
    <t>Office of student Recruitment, Admission and Outreach</t>
  </si>
  <si>
    <t>Computer Software</t>
  </si>
  <si>
    <t>Content Expert</t>
  </si>
  <si>
    <t>428111 &amp; 428112</t>
  </si>
  <si>
    <t>Asset Category</t>
  </si>
  <si>
    <t>Description</t>
  </si>
  <si>
    <t>Purpose</t>
  </si>
  <si>
    <t>Qty.</t>
  </si>
  <si>
    <t>Unit Cost</t>
  </si>
  <si>
    <t>Month Of Purchase</t>
  </si>
  <si>
    <t>GENERAL EQUIPMENT</t>
  </si>
  <si>
    <t>Plant &amp; Machinery</t>
  </si>
  <si>
    <t>Office Equipment</t>
  </si>
  <si>
    <t>Teaching Equipment</t>
  </si>
  <si>
    <t>Lab. Equipment</t>
  </si>
  <si>
    <t>Research Equipment</t>
  </si>
  <si>
    <t>Sub-total</t>
  </si>
  <si>
    <t>FURN. &amp; FIXTURES</t>
  </si>
  <si>
    <t>IT EQUIPMENT</t>
  </si>
  <si>
    <t>Computer Hardware</t>
  </si>
  <si>
    <t>VEHICLES</t>
  </si>
  <si>
    <t>BUILDINGS</t>
  </si>
  <si>
    <t>New Buildings</t>
  </si>
  <si>
    <t>Building Improvements</t>
  </si>
  <si>
    <t>Grand Total</t>
  </si>
  <si>
    <t>* Itemised details are required along with budgetary quotations</t>
  </si>
  <si>
    <t>Operating</t>
  </si>
  <si>
    <t>Capital</t>
  </si>
  <si>
    <t>Total</t>
  </si>
  <si>
    <t>GRAND TOTAL</t>
  </si>
  <si>
    <t>Chapter</t>
  </si>
  <si>
    <t>Communication</t>
  </si>
  <si>
    <t>IT/ Facilities</t>
  </si>
  <si>
    <t>2017 KUSTAR Approved budget</t>
  </si>
  <si>
    <t>2017 MASDAR Approved budget</t>
  </si>
  <si>
    <t>2017 PI Approved budget</t>
  </si>
  <si>
    <t>2016 KUSTAR Actuals</t>
  </si>
  <si>
    <t>2016 MASDAR Actuals</t>
  </si>
  <si>
    <t>2016 PI Actuals</t>
  </si>
  <si>
    <t>2015 KUSTAR Actuals</t>
  </si>
  <si>
    <t>2015 MASDAR Actuals</t>
  </si>
  <si>
    <t>2015 PI Actuals</t>
  </si>
  <si>
    <t>2018 STRATEGIC INITIATIVE/NEW PROJECT BUDGET</t>
  </si>
  <si>
    <t xml:space="preserve">FINAL 2018  BUDGET </t>
  </si>
  <si>
    <t xml:space="preserve">2018 Budget </t>
  </si>
  <si>
    <t xml:space="preserve">2017 KUSTAR Approved Budget </t>
  </si>
  <si>
    <t xml:space="preserve">2017 MASDAR Approved Budget </t>
  </si>
  <si>
    <t xml:space="preserve">2017 PI Approved Budget </t>
  </si>
  <si>
    <t>0</t>
  </si>
  <si>
    <t>Scientific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</si>
</sst>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b/>
      <sz val="14"/>
      <color indexed="8"/>
      <name val="Calibri"/>
      <family val="2"/>
    </font>
    <font>
      <b/>
      <i/>
      <sz val="10"/>
      <name val="Arial"/>
      <family val="2"/>
    </font>
    <font>
      <b/>
      <sz val="12"/>
      <color indexed="8"/>
      <name val="Calibri"/>
      <family val="2"/>
    </font>
    <font>
      <b/>
      <i/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2"/>
      <color rgb="FF000080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71">
    <xf numFmtId="0" fontId="0" fillId="0" borderId="0"/>
    <xf numFmtId="43" fontId="3" fillId="0" borderId="0" applyFont="0" applyFill="0" applyBorder="0" applyAlignment="0" applyProtection="0"/>
    <xf numFmtId="0" fontId="4" fillId="0" borderId="7" applyNumberFormat="0" applyFill="0" applyAlignment="0" applyProtection="0"/>
    <xf numFmtId="0" fontId="5" fillId="0" borderId="8" applyNumberFormat="0" applyFill="0" applyAlignment="0" applyProtection="0"/>
    <xf numFmtId="0" fontId="6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10" applyNumberFormat="0" applyAlignment="0" applyProtection="0"/>
    <xf numFmtId="0" fontId="11" fillId="8" borderId="11" applyNumberFormat="0" applyAlignment="0" applyProtection="0"/>
    <xf numFmtId="0" fontId="12" fillId="8" borderId="10" applyNumberFormat="0" applyAlignment="0" applyProtection="0"/>
    <xf numFmtId="0" fontId="13" fillId="0" borderId="12" applyNumberFormat="0" applyFill="0" applyAlignment="0" applyProtection="0"/>
    <xf numFmtId="0" fontId="14" fillId="9" borderId="13" applyNumberFormat="0" applyAlignment="0" applyProtection="0"/>
    <xf numFmtId="0" fontId="2" fillId="0" borderId="0" applyNumberFormat="0" applyFill="0" applyBorder="0" applyAlignment="0" applyProtection="0"/>
    <xf numFmtId="0" fontId="3" fillId="10" borderId="14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15" applyNumberFormat="0" applyFill="0" applyAlignment="0" applyProtection="0"/>
    <xf numFmtId="0" fontId="16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6" fillId="34" borderId="0" applyNumberFormat="0" applyBorder="0" applyAlignment="0" applyProtection="0"/>
    <xf numFmtId="43" fontId="17" fillId="0" borderId="0" applyFont="0" applyFill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20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20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0" fontId="17" fillId="46" borderId="16" applyNumberFormat="0" applyFont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7" fillId="0" borderId="0"/>
    <xf numFmtId="0" fontId="29" fillId="0" borderId="0"/>
    <xf numFmtId="43" fontId="27" fillId="0" borderId="0" applyFont="0" applyFill="0" applyBorder="0" applyAlignment="0" applyProtection="0"/>
    <xf numFmtId="0" fontId="27" fillId="0" borderId="0"/>
    <xf numFmtId="0" fontId="3" fillId="0" borderId="0"/>
    <xf numFmtId="43" fontId="27" fillId="0" borderId="0" applyFont="0" applyFill="0" applyBorder="0" applyAlignment="0" applyProtection="0"/>
    <xf numFmtId="0" fontId="27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left" vertical="center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Fill="1" applyBorder="1" applyAlignment="1">
      <alignment horizontal="center"/>
    </xf>
    <xf numFmtId="0" fontId="0" fillId="0" borderId="1" xfId="0" applyBorder="1"/>
    <xf numFmtId="43" fontId="0" fillId="0" borderId="1" xfId="0" applyNumberFormat="1" applyBorder="1"/>
    <xf numFmtId="0" fontId="0" fillId="35" borderId="1" xfId="0" applyFill="1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43" fontId="3" fillId="0" borderId="1" xfId="42" applyFont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Border="1" applyAlignment="1">
      <alignment horizontal="left" vertical="center"/>
    </xf>
    <xf numFmtId="0" fontId="21" fillId="0" borderId="0" xfId="0" applyFont="1" applyBorder="1" applyAlignment="1"/>
    <xf numFmtId="0" fontId="0" fillId="0" borderId="0" xfId="0" applyAlignment="1"/>
    <xf numFmtId="43" fontId="3" fillId="0" borderId="0" xfId="42" applyFont="1" applyAlignment="1"/>
    <xf numFmtId="43" fontId="3" fillId="0" borderId="0" xfId="42" applyFont="1"/>
    <xf numFmtId="0" fontId="23" fillId="0" borderId="0" xfId="0" applyFont="1" applyBorder="1" applyAlignment="1">
      <alignment horizontal="center"/>
    </xf>
    <xf numFmtId="43" fontId="3" fillId="0" borderId="0" xfId="42" applyFont="1" applyBorder="1"/>
    <xf numFmtId="43" fontId="24" fillId="0" borderId="17" xfId="42" applyFont="1" applyFill="1" applyBorder="1" applyAlignment="1" applyProtection="1">
      <alignment horizontal="center"/>
      <protection locked="0"/>
    </xf>
    <xf numFmtId="0" fontId="25" fillId="47" borderId="18" xfId="0" applyFont="1" applyFill="1" applyBorder="1" applyAlignment="1">
      <alignment vertical="top" wrapText="1"/>
    </xf>
    <xf numFmtId="0" fontId="26" fillId="47" borderId="19" xfId="0" applyFont="1" applyFill="1" applyBorder="1" applyAlignment="1">
      <alignment vertical="top" wrapText="1"/>
    </xf>
    <xf numFmtId="0" fontId="26" fillId="47" borderId="18" xfId="0" applyFont="1" applyFill="1" applyBorder="1" applyAlignment="1">
      <alignment vertical="top" wrapText="1"/>
    </xf>
    <xf numFmtId="0" fontId="26" fillId="0" borderId="19" xfId="0" applyFont="1" applyFill="1" applyBorder="1" applyAlignment="1">
      <alignment vertical="top" wrapText="1"/>
    </xf>
    <xf numFmtId="43" fontId="26" fillId="0" borderId="19" xfId="42" applyFont="1" applyFill="1" applyBorder="1" applyAlignment="1">
      <alignment vertical="top" wrapText="1"/>
    </xf>
    <xf numFmtId="0" fontId="26" fillId="0" borderId="18" xfId="0" applyFont="1" applyFill="1" applyBorder="1" applyAlignment="1">
      <alignment vertical="top" wrapText="1"/>
    </xf>
    <xf numFmtId="0" fontId="23" fillId="48" borderId="1" xfId="311" applyFont="1" applyFill="1" applyBorder="1" applyProtection="1">
      <protection locked="0"/>
    </xf>
    <xf numFmtId="43" fontId="23" fillId="48" borderId="1" xfId="42" applyFont="1" applyFill="1" applyBorder="1" applyProtection="1">
      <protection locked="0"/>
    </xf>
    <xf numFmtId="0" fontId="25" fillId="0" borderId="18" xfId="0" applyFont="1" applyFill="1" applyBorder="1" applyAlignment="1">
      <alignment vertical="top" wrapText="1"/>
    </xf>
    <xf numFmtId="0" fontId="23" fillId="0" borderId="0" xfId="311" applyFont="1" applyFill="1" applyBorder="1" applyProtection="1">
      <protection locked="0"/>
    </xf>
    <xf numFmtId="43" fontId="23" fillId="0" borderId="0" xfId="42" applyFont="1" applyFill="1" applyBorder="1" applyProtection="1">
      <protection locked="0"/>
    </xf>
    <xf numFmtId="43" fontId="1" fillId="0" borderId="1" xfId="0" applyNumberFormat="1" applyFont="1" applyBorder="1"/>
    <xf numFmtId="43" fontId="26" fillId="49" borderId="19" xfId="42" applyFont="1" applyFill="1" applyBorder="1" applyAlignment="1">
      <alignment vertical="top" wrapText="1"/>
    </xf>
    <xf numFmtId="43" fontId="1" fillId="0" borderId="20" xfId="1" applyFont="1" applyFill="1" applyBorder="1" applyAlignment="1">
      <alignment vertical="center" wrapText="1"/>
    </xf>
    <xf numFmtId="43" fontId="1" fillId="49" borderId="21" xfId="1" applyFont="1" applyFill="1" applyBorder="1" applyAlignment="1">
      <alignment vertical="center" wrapText="1"/>
    </xf>
    <xf numFmtId="43" fontId="1" fillId="49" borderId="1" xfId="1" applyFont="1" applyFill="1" applyBorder="1" applyAlignment="1">
      <alignment vertical="center" wrapText="1"/>
    </xf>
    <xf numFmtId="43" fontId="26" fillId="49" borderId="1" xfId="42" applyFont="1" applyFill="1" applyBorder="1" applyAlignment="1">
      <alignment vertical="top" wrapText="1"/>
    </xf>
    <xf numFmtId="0" fontId="26" fillId="47" borderId="22" xfId="0" applyFont="1" applyFill="1" applyBorder="1" applyAlignment="1">
      <alignment vertical="top" wrapText="1"/>
    </xf>
    <xf numFmtId="43" fontId="1" fillId="0" borderId="1" xfId="1" applyFont="1" applyFill="1" applyBorder="1"/>
    <xf numFmtId="0" fontId="0" fillId="50" borderId="1" xfId="0" applyFill="1" applyBorder="1"/>
    <xf numFmtId="0" fontId="0" fillId="50" borderId="0" xfId="0" applyFill="1"/>
    <xf numFmtId="43" fontId="1" fillId="50" borderId="1" xfId="1" applyFont="1" applyFill="1" applyBorder="1"/>
    <xf numFmtId="43" fontId="1" fillId="0" borderId="21" xfId="1" applyFont="1" applyFill="1" applyBorder="1" applyAlignment="1">
      <alignment vertical="center" wrapText="1"/>
    </xf>
    <xf numFmtId="0" fontId="30" fillId="3" borderId="1" xfId="0" applyFont="1" applyFill="1" applyBorder="1" applyAlignment="1">
      <alignment vertical="center" wrapText="1"/>
    </xf>
    <xf numFmtId="0" fontId="30" fillId="3" borderId="1" xfId="0" applyFont="1" applyFill="1" applyBorder="1" applyAlignment="1">
      <alignment horizontal="center" vertical="center" wrapText="1"/>
    </xf>
    <xf numFmtId="43" fontId="1" fillId="35" borderId="1" xfId="1" applyFont="1" applyFill="1" applyBorder="1" applyAlignment="1">
      <alignment vertical="center" wrapText="1"/>
    </xf>
    <xf numFmtId="43" fontId="0" fillId="0" borderId="1" xfId="1" applyFont="1" applyFill="1" applyBorder="1"/>
    <xf numFmtId="43" fontId="0" fillId="0" borderId="0" xfId="1" applyFont="1" applyFill="1"/>
    <xf numFmtId="43" fontId="0" fillId="0" borderId="1" xfId="366" applyFont="1" applyBorder="1"/>
    <xf numFmtId="164" fontId="0" fillId="35" borderId="1" xfId="1" applyNumberFormat="1" applyFont="1" applyFill="1" applyBorder="1"/>
    <xf numFmtId="164" fontId="0" fillId="0" borderId="0" xfId="1" applyNumberFormat="1" applyFont="1"/>
    <xf numFmtId="164" fontId="1" fillId="35" borderId="1" xfId="1" applyNumberFormat="1" applyFont="1" applyFill="1" applyBorder="1"/>
    <xf numFmtId="43" fontId="0" fillId="0" borderId="0" xfId="0" applyNumberFormat="1"/>
    <xf numFmtId="9" fontId="0" fillId="0" borderId="0" xfId="0" applyNumberFormat="1"/>
    <xf numFmtId="0" fontId="1" fillId="3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64" fontId="1" fillId="35" borderId="1" xfId="1" applyNumberFormat="1" applyFont="1" applyFill="1" applyBorder="1" applyAlignment="1">
      <alignment horizontal="center" vertical="center" wrapText="1"/>
    </xf>
    <xf numFmtId="43" fontId="1" fillId="0" borderId="1" xfId="1" applyFont="1" applyFill="1" applyBorder="1" applyAlignment="1">
      <alignment horizontal="center" vertical="center" wrapText="1"/>
    </xf>
    <xf numFmtId="0" fontId="1" fillId="50" borderId="1" xfId="0" applyFont="1" applyFill="1" applyBorder="1" applyAlignment="1">
      <alignment horizontal="center" vertical="center" wrapText="1"/>
    </xf>
    <xf numFmtId="0" fontId="22" fillId="0" borderId="0" xfId="311" applyFont="1" applyAlignment="1">
      <alignment horizontal="center"/>
    </xf>
  </cellXfs>
  <cellStyles count="371">
    <cellStyle name="20% - Accent1" xfId="19" builtinId="30" customBuiltin="1"/>
    <cellStyle name="20% - Accent1 2" xfId="43"/>
    <cellStyle name="20% - Accent1 2 2" xfId="44"/>
    <cellStyle name="20% - Accent1 2 2 2" xfId="45"/>
    <cellStyle name="20% - Accent1 2 3" xfId="46"/>
    <cellStyle name="20% - Accent1 2_Consolidated Operating Budget 2012" xfId="47"/>
    <cellStyle name="20% - Accent1 3" xfId="48"/>
    <cellStyle name="20% - Accent1 3 2" xfId="49"/>
    <cellStyle name="20% - Accent1 3 2 2" xfId="50"/>
    <cellStyle name="20% - Accent1 3 3" xfId="51"/>
    <cellStyle name="20% - Accent1 3_Consolidated Operating Budget 2012" xfId="52"/>
    <cellStyle name="20% - Accent1 4" xfId="53"/>
    <cellStyle name="20% - Accent1 4 2" xfId="54"/>
    <cellStyle name="20% - Accent1 4 2 2" xfId="55"/>
    <cellStyle name="20% - Accent1 4 3" xfId="56"/>
    <cellStyle name="20% - Accent1 4_Consolidated Operating Budget 2012" xfId="57"/>
    <cellStyle name="20% - Accent1 5" xfId="58"/>
    <cellStyle name="20% - Accent1 5 2" xfId="59"/>
    <cellStyle name="20% - Accent1 5 2 2" xfId="60"/>
    <cellStyle name="20% - Accent1 5 3" xfId="61"/>
    <cellStyle name="20% - Accent1 5_Consolidated Operating Budget 2012" xfId="62"/>
    <cellStyle name="20% - Accent1 6" xfId="63"/>
    <cellStyle name="20% - Accent1 6 2" xfId="64"/>
    <cellStyle name="20% - Accent2" xfId="23" builtinId="34" customBuiltin="1"/>
    <cellStyle name="20% - Accent2 2" xfId="65"/>
    <cellStyle name="20% - Accent2 2 2" xfId="66"/>
    <cellStyle name="20% - Accent2 2 2 2" xfId="67"/>
    <cellStyle name="20% - Accent2 2 3" xfId="68"/>
    <cellStyle name="20% - Accent2 2_Consolidated Operating Budget 2012" xfId="69"/>
    <cellStyle name="20% - Accent2 3" xfId="70"/>
    <cellStyle name="20% - Accent2 3 2" xfId="71"/>
    <cellStyle name="20% - Accent2 3 2 2" xfId="72"/>
    <cellStyle name="20% - Accent2 3 3" xfId="73"/>
    <cellStyle name="20% - Accent2 3_Consolidated Operating Budget 2012" xfId="74"/>
    <cellStyle name="20% - Accent2 4" xfId="75"/>
    <cellStyle name="20% - Accent2 4 2" xfId="76"/>
    <cellStyle name="20% - Accent2 4 2 2" xfId="77"/>
    <cellStyle name="20% - Accent2 4 3" xfId="78"/>
    <cellStyle name="20% - Accent2 4_Consolidated Operating Budget 2012" xfId="79"/>
    <cellStyle name="20% - Accent2 5" xfId="80"/>
    <cellStyle name="20% - Accent2 5 2" xfId="81"/>
    <cellStyle name="20% - Accent2 5 2 2" xfId="82"/>
    <cellStyle name="20% - Accent2 5 3" xfId="83"/>
    <cellStyle name="20% - Accent2 5_Consolidated Operating Budget 2012" xfId="84"/>
    <cellStyle name="20% - Accent2 6" xfId="85"/>
    <cellStyle name="20% - Accent2 6 2" xfId="86"/>
    <cellStyle name="20% - Accent3" xfId="27" builtinId="38" customBuiltin="1"/>
    <cellStyle name="20% - Accent3 2" xfId="87"/>
    <cellStyle name="20% - Accent3 2 2" xfId="88"/>
    <cellStyle name="20% - Accent3 2 2 2" xfId="89"/>
    <cellStyle name="20% - Accent3 2 3" xfId="90"/>
    <cellStyle name="20% - Accent3 2_Consolidated Operating Budget 2012" xfId="91"/>
    <cellStyle name="20% - Accent3 3" xfId="92"/>
    <cellStyle name="20% - Accent3 3 2" xfId="93"/>
    <cellStyle name="20% - Accent3 3 2 2" xfId="94"/>
    <cellStyle name="20% - Accent3 3 3" xfId="95"/>
    <cellStyle name="20% - Accent3 3_Consolidated Operating Budget 2012" xfId="96"/>
    <cellStyle name="20% - Accent3 4" xfId="97"/>
    <cellStyle name="20% - Accent3 4 2" xfId="98"/>
    <cellStyle name="20% - Accent3 4 2 2" xfId="99"/>
    <cellStyle name="20% - Accent3 4 3" xfId="100"/>
    <cellStyle name="20% - Accent3 4_Consolidated Operating Budget 2012" xfId="101"/>
    <cellStyle name="20% - Accent3 5" xfId="102"/>
    <cellStyle name="20% - Accent3 5 2" xfId="103"/>
    <cellStyle name="20% - Accent3 5 2 2" xfId="104"/>
    <cellStyle name="20% - Accent3 5 3" xfId="105"/>
    <cellStyle name="20% - Accent3 5_Consolidated Operating Budget 2012" xfId="106"/>
    <cellStyle name="20% - Accent3 6" xfId="107"/>
    <cellStyle name="20% - Accent3 6 2" xfId="108"/>
    <cellStyle name="20% - Accent4" xfId="31" builtinId="42" customBuiltin="1"/>
    <cellStyle name="20% - Accent4 2" xfId="109"/>
    <cellStyle name="20% - Accent4 2 2" xfId="110"/>
    <cellStyle name="20% - Accent4 2 2 2" xfId="111"/>
    <cellStyle name="20% - Accent4 2 3" xfId="112"/>
    <cellStyle name="20% - Accent4 2_Consolidated Operating Budget 2012" xfId="113"/>
    <cellStyle name="20% - Accent4 3" xfId="114"/>
    <cellStyle name="20% - Accent4 3 2" xfId="115"/>
    <cellStyle name="20% - Accent4 3 2 2" xfId="116"/>
    <cellStyle name="20% - Accent4 3 3" xfId="117"/>
    <cellStyle name="20% - Accent4 3_Consolidated Operating Budget 2012" xfId="118"/>
    <cellStyle name="20% - Accent4 4" xfId="119"/>
    <cellStyle name="20% - Accent4 4 2" xfId="120"/>
    <cellStyle name="20% - Accent4 4 2 2" xfId="121"/>
    <cellStyle name="20% - Accent4 4 3" xfId="122"/>
    <cellStyle name="20% - Accent4 4_Consolidated Operating Budget 2012" xfId="123"/>
    <cellStyle name="20% - Accent4 5" xfId="124"/>
    <cellStyle name="20% - Accent4 5 2" xfId="125"/>
    <cellStyle name="20% - Accent4 5 2 2" xfId="126"/>
    <cellStyle name="20% - Accent4 5 3" xfId="127"/>
    <cellStyle name="20% - Accent4 5_Consolidated Operating Budget 2012" xfId="128"/>
    <cellStyle name="20% - Accent4 6" xfId="129"/>
    <cellStyle name="20% - Accent4 6 2" xfId="130"/>
    <cellStyle name="20% - Accent5" xfId="35" builtinId="46" customBuiltin="1"/>
    <cellStyle name="20% - Accent5 2" xfId="131"/>
    <cellStyle name="20% - Accent5 2 2" xfId="132"/>
    <cellStyle name="20% - Accent5 2 2 2" xfId="133"/>
    <cellStyle name="20% - Accent5 2 3" xfId="134"/>
    <cellStyle name="20% - Accent5 2_Consolidated Operating Budget 2012" xfId="135"/>
    <cellStyle name="20% - Accent5 3" xfId="136"/>
    <cellStyle name="20% - Accent5 3 2" xfId="137"/>
    <cellStyle name="20% - Accent5 3 2 2" xfId="138"/>
    <cellStyle name="20% - Accent5 3 3" xfId="139"/>
    <cellStyle name="20% - Accent5 3_Consolidated Operating Budget 2012" xfId="140"/>
    <cellStyle name="20% - Accent5 4" xfId="141"/>
    <cellStyle name="20% - Accent5 4 2" xfId="142"/>
    <cellStyle name="20% - Accent5 4 2 2" xfId="143"/>
    <cellStyle name="20% - Accent5 4 3" xfId="144"/>
    <cellStyle name="20% - Accent5 4_Consolidated Operating Budget 2012" xfId="145"/>
    <cellStyle name="20% - Accent5 5" xfId="146"/>
    <cellStyle name="20% - Accent5 5 2" xfId="147"/>
    <cellStyle name="20% - Accent5 5 2 2" xfId="148"/>
    <cellStyle name="20% - Accent5 5 3" xfId="149"/>
    <cellStyle name="20% - Accent5 5_Consolidated Operating Budget 2012" xfId="150"/>
    <cellStyle name="20% - Accent5 6" xfId="151"/>
    <cellStyle name="20% - Accent5 6 2" xfId="152"/>
    <cellStyle name="20% - Accent6" xfId="39" builtinId="50" customBuiltin="1"/>
    <cellStyle name="20% - Accent6 2" xfId="153"/>
    <cellStyle name="20% - Accent6 2 2" xfId="154"/>
    <cellStyle name="20% - Accent6 2 2 2" xfId="155"/>
    <cellStyle name="20% - Accent6 2 3" xfId="156"/>
    <cellStyle name="20% - Accent6 2_Consolidated Operating Budget 2012" xfId="157"/>
    <cellStyle name="20% - Accent6 3" xfId="158"/>
    <cellStyle name="20% - Accent6 3 2" xfId="159"/>
    <cellStyle name="20% - Accent6 3 2 2" xfId="160"/>
    <cellStyle name="20% - Accent6 3 3" xfId="161"/>
    <cellStyle name="20% - Accent6 3_Consolidated Operating Budget 2012" xfId="162"/>
    <cellStyle name="20% - Accent6 4" xfId="163"/>
    <cellStyle name="20% - Accent6 4 2" xfId="164"/>
    <cellStyle name="20% - Accent6 4 2 2" xfId="165"/>
    <cellStyle name="20% - Accent6 4 3" xfId="166"/>
    <cellStyle name="20% - Accent6 4_Consolidated Operating Budget 2012" xfId="167"/>
    <cellStyle name="20% - Accent6 5" xfId="168"/>
    <cellStyle name="20% - Accent6 5 2" xfId="169"/>
    <cellStyle name="20% - Accent6 5 2 2" xfId="170"/>
    <cellStyle name="20% - Accent6 5 3" xfId="171"/>
    <cellStyle name="20% - Accent6 5_Consolidated Operating Budget 2012" xfId="172"/>
    <cellStyle name="20% - Accent6 6" xfId="173"/>
    <cellStyle name="20% - Accent6 6 2" xfId="174"/>
    <cellStyle name="40% - Accent1" xfId="20" builtinId="31" customBuiltin="1"/>
    <cellStyle name="40% - Accent1 2" xfId="175"/>
    <cellStyle name="40% - Accent1 2 2" xfId="176"/>
    <cellStyle name="40% - Accent1 2 2 2" xfId="177"/>
    <cellStyle name="40% - Accent1 2 3" xfId="178"/>
    <cellStyle name="40% - Accent1 2_Consolidated Operating Budget 2012" xfId="179"/>
    <cellStyle name="40% - Accent1 3" xfId="180"/>
    <cellStyle name="40% - Accent1 3 2" xfId="181"/>
    <cellStyle name="40% - Accent1 3 2 2" xfId="182"/>
    <cellStyle name="40% - Accent1 3 3" xfId="183"/>
    <cellStyle name="40% - Accent1 3_Consolidated Operating Budget 2012" xfId="184"/>
    <cellStyle name="40% - Accent1 4" xfId="185"/>
    <cellStyle name="40% - Accent1 4 2" xfId="186"/>
    <cellStyle name="40% - Accent1 4 2 2" xfId="187"/>
    <cellStyle name="40% - Accent1 4 3" xfId="188"/>
    <cellStyle name="40% - Accent1 4_Consolidated Operating Budget 2012" xfId="189"/>
    <cellStyle name="40% - Accent1 5" xfId="190"/>
    <cellStyle name="40% - Accent1 5 2" xfId="191"/>
    <cellStyle name="40% - Accent1 5 2 2" xfId="192"/>
    <cellStyle name="40% - Accent1 5 3" xfId="193"/>
    <cellStyle name="40% - Accent1 5_Consolidated Operating Budget 2012" xfId="194"/>
    <cellStyle name="40% - Accent1 6" xfId="195"/>
    <cellStyle name="40% - Accent1 6 2" xfId="196"/>
    <cellStyle name="40% - Accent2" xfId="24" builtinId="35" customBuiltin="1"/>
    <cellStyle name="40% - Accent2 2" xfId="197"/>
    <cellStyle name="40% - Accent2 2 2" xfId="198"/>
    <cellStyle name="40% - Accent2 2 2 2" xfId="199"/>
    <cellStyle name="40% - Accent2 2 3" xfId="200"/>
    <cellStyle name="40% - Accent2 2_Consolidated Operating Budget 2012" xfId="201"/>
    <cellStyle name="40% - Accent2 3" xfId="202"/>
    <cellStyle name="40% - Accent2 3 2" xfId="203"/>
    <cellStyle name="40% - Accent2 3 2 2" xfId="204"/>
    <cellStyle name="40% - Accent2 3 3" xfId="205"/>
    <cellStyle name="40% - Accent2 3_Consolidated Operating Budget 2012" xfId="206"/>
    <cellStyle name="40% - Accent2 4" xfId="207"/>
    <cellStyle name="40% - Accent2 4 2" xfId="208"/>
    <cellStyle name="40% - Accent2 4 2 2" xfId="209"/>
    <cellStyle name="40% - Accent2 4 3" xfId="210"/>
    <cellStyle name="40% - Accent2 4_Consolidated Operating Budget 2012" xfId="211"/>
    <cellStyle name="40% - Accent2 5" xfId="212"/>
    <cellStyle name="40% - Accent2 5 2" xfId="213"/>
    <cellStyle name="40% - Accent2 5 2 2" xfId="214"/>
    <cellStyle name="40% - Accent2 5 3" xfId="215"/>
    <cellStyle name="40% - Accent2 5_Consolidated Operating Budget 2012" xfId="216"/>
    <cellStyle name="40% - Accent2 6" xfId="217"/>
    <cellStyle name="40% - Accent2 6 2" xfId="218"/>
    <cellStyle name="40% - Accent3" xfId="28" builtinId="39" customBuiltin="1"/>
    <cellStyle name="40% - Accent3 2" xfId="219"/>
    <cellStyle name="40% - Accent3 2 2" xfId="220"/>
    <cellStyle name="40% - Accent3 2 2 2" xfId="221"/>
    <cellStyle name="40% - Accent3 2 3" xfId="222"/>
    <cellStyle name="40% - Accent3 2_Consolidated Operating Budget 2012" xfId="223"/>
    <cellStyle name="40% - Accent3 3" xfId="224"/>
    <cellStyle name="40% - Accent3 3 2" xfId="225"/>
    <cellStyle name="40% - Accent3 3 2 2" xfId="226"/>
    <cellStyle name="40% - Accent3 3 3" xfId="227"/>
    <cellStyle name="40% - Accent3 3_Consolidated Operating Budget 2012" xfId="228"/>
    <cellStyle name="40% - Accent3 4" xfId="229"/>
    <cellStyle name="40% - Accent3 4 2" xfId="230"/>
    <cellStyle name="40% - Accent3 4 2 2" xfId="231"/>
    <cellStyle name="40% - Accent3 4 3" xfId="232"/>
    <cellStyle name="40% - Accent3 4_Consolidated Operating Budget 2012" xfId="233"/>
    <cellStyle name="40% - Accent3 5" xfId="234"/>
    <cellStyle name="40% - Accent3 5 2" xfId="235"/>
    <cellStyle name="40% - Accent3 5 2 2" xfId="236"/>
    <cellStyle name="40% - Accent3 5 3" xfId="237"/>
    <cellStyle name="40% - Accent3 5_Consolidated Operating Budget 2012" xfId="238"/>
    <cellStyle name="40% - Accent3 6" xfId="239"/>
    <cellStyle name="40% - Accent3 6 2" xfId="240"/>
    <cellStyle name="40% - Accent4" xfId="32" builtinId="43" customBuiltin="1"/>
    <cellStyle name="40% - Accent4 2" xfId="241"/>
    <cellStyle name="40% - Accent4 2 2" xfId="242"/>
    <cellStyle name="40% - Accent4 2 2 2" xfId="243"/>
    <cellStyle name="40% - Accent4 2 3" xfId="244"/>
    <cellStyle name="40% - Accent4 2_Consolidated Operating Budget 2012" xfId="245"/>
    <cellStyle name="40% - Accent4 3" xfId="246"/>
    <cellStyle name="40% - Accent4 3 2" xfId="247"/>
    <cellStyle name="40% - Accent4 3 2 2" xfId="248"/>
    <cellStyle name="40% - Accent4 3 3" xfId="249"/>
    <cellStyle name="40% - Accent4 3_Consolidated Operating Budget 2012" xfId="250"/>
    <cellStyle name="40% - Accent4 4" xfId="251"/>
    <cellStyle name="40% - Accent4 4 2" xfId="252"/>
    <cellStyle name="40% - Accent4 4 2 2" xfId="253"/>
    <cellStyle name="40% - Accent4 4 3" xfId="254"/>
    <cellStyle name="40% - Accent4 4_Consolidated Operating Budget 2012" xfId="255"/>
    <cellStyle name="40% - Accent4 5" xfId="256"/>
    <cellStyle name="40% - Accent4 5 2" xfId="257"/>
    <cellStyle name="40% - Accent4 5 2 2" xfId="258"/>
    <cellStyle name="40% - Accent4 5 3" xfId="259"/>
    <cellStyle name="40% - Accent4 5_Consolidated Operating Budget 2012" xfId="260"/>
    <cellStyle name="40% - Accent4 6" xfId="261"/>
    <cellStyle name="40% - Accent4 6 2" xfId="262"/>
    <cellStyle name="40% - Accent5" xfId="36" builtinId="47" customBuiltin="1"/>
    <cellStyle name="40% - Accent5 2" xfId="263"/>
    <cellStyle name="40% - Accent5 2 2" xfId="264"/>
    <cellStyle name="40% - Accent5 2 2 2" xfId="265"/>
    <cellStyle name="40% - Accent5 2 3" xfId="266"/>
    <cellStyle name="40% - Accent5 2_Consolidated Operating Budget 2012" xfId="267"/>
    <cellStyle name="40% - Accent5 3" xfId="268"/>
    <cellStyle name="40% - Accent5 3 2" xfId="269"/>
    <cellStyle name="40% - Accent5 3 2 2" xfId="270"/>
    <cellStyle name="40% - Accent5 3 3" xfId="271"/>
    <cellStyle name="40% - Accent5 3_Consolidated Operating Budget 2012" xfId="272"/>
    <cellStyle name="40% - Accent5 4" xfId="273"/>
    <cellStyle name="40% - Accent5 4 2" xfId="274"/>
    <cellStyle name="40% - Accent5 4 2 2" xfId="275"/>
    <cellStyle name="40% - Accent5 4 3" xfId="276"/>
    <cellStyle name="40% - Accent5 4_Consolidated Operating Budget 2012" xfId="277"/>
    <cellStyle name="40% - Accent5 5" xfId="278"/>
    <cellStyle name="40% - Accent5 5 2" xfId="279"/>
    <cellStyle name="40% - Accent5 5 2 2" xfId="280"/>
    <cellStyle name="40% - Accent5 5 3" xfId="281"/>
    <cellStyle name="40% - Accent5 5_Consolidated Operating Budget 2012" xfId="282"/>
    <cellStyle name="40% - Accent5 6" xfId="283"/>
    <cellStyle name="40% - Accent5 6 2" xfId="284"/>
    <cellStyle name="40% - Accent6" xfId="40" builtinId="51" customBuiltin="1"/>
    <cellStyle name="40% - Accent6 2" xfId="285"/>
    <cellStyle name="40% - Accent6 2 2" xfId="286"/>
    <cellStyle name="40% - Accent6 2 2 2" xfId="287"/>
    <cellStyle name="40% - Accent6 2 3" xfId="288"/>
    <cellStyle name="40% - Accent6 2_Consolidated Operating Budget 2012" xfId="289"/>
    <cellStyle name="40% - Accent6 3" xfId="290"/>
    <cellStyle name="40% - Accent6 3 2" xfId="291"/>
    <cellStyle name="40% - Accent6 3 2 2" xfId="292"/>
    <cellStyle name="40% - Accent6 3 3" xfId="293"/>
    <cellStyle name="40% - Accent6 3_Consolidated Operating Budget 2012" xfId="294"/>
    <cellStyle name="40% - Accent6 4" xfId="295"/>
    <cellStyle name="40% - Accent6 4 2" xfId="296"/>
    <cellStyle name="40% - Accent6 4 2 2" xfId="297"/>
    <cellStyle name="40% - Accent6 4 3" xfId="298"/>
    <cellStyle name="40% - Accent6 4_Consolidated Operating Budget 2012" xfId="299"/>
    <cellStyle name="40% - Accent6 5" xfId="300"/>
    <cellStyle name="40% - Accent6 5 2" xfId="301"/>
    <cellStyle name="40% - Accent6 5 2 2" xfId="302"/>
    <cellStyle name="40% - Accent6 5 3" xfId="303"/>
    <cellStyle name="40% - Accent6 5_Consolidated Operating Budget 2012" xfId="304"/>
    <cellStyle name="40% - Accent6 6" xfId="305"/>
    <cellStyle name="40% - Accent6 6 2" xfId="306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1" builtinId="3"/>
    <cellStyle name="Comma 2" xfId="42"/>
    <cellStyle name="Comma 2 2" xfId="366"/>
    <cellStyle name="Comma 3" xfId="307"/>
    <cellStyle name="Comma 3 3 2" xfId="308"/>
    <cellStyle name="Comma 4" xfId="309"/>
    <cellStyle name="Comma 5" xfId="310"/>
    <cellStyle name="Comma 6" xfId="369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}al" xfId="311"/>
    <cellStyle name="Nor}al 2" xfId="312"/>
    <cellStyle name="Normal" xfId="0" builtinId="0"/>
    <cellStyle name="Normal 2" xfId="313"/>
    <cellStyle name="Normal 2 2" xfId="314"/>
    <cellStyle name="Normal 2 2 2" xfId="315"/>
    <cellStyle name="Normal 2 2 2 2" xfId="316"/>
    <cellStyle name="Normal 2 2 2 3" xfId="317"/>
    <cellStyle name="Normal 2 2 2_Consolidated Operating Budget 2012" xfId="318"/>
    <cellStyle name="Normal 2 2 3" xfId="319"/>
    <cellStyle name="Normal 2 3" xfId="320"/>
    <cellStyle name="Normal 2 4" xfId="321"/>
    <cellStyle name="Normal 2 4 2" xfId="322"/>
    <cellStyle name="Normal 2 4 3" xfId="323"/>
    <cellStyle name="Normal 2 4_Consolidated Operating Budget 2012" xfId="324"/>
    <cellStyle name="Normal 2 5" xfId="325"/>
    <cellStyle name="Normal 2 5 2" xfId="326"/>
    <cellStyle name="Normal 2 6" xfId="327"/>
    <cellStyle name="Normal 2 7" xfId="364"/>
    <cellStyle name="Normal 2 8" xfId="370"/>
    <cellStyle name="Normal 3" xfId="328"/>
    <cellStyle name="Normal 3 2" xfId="329"/>
    <cellStyle name="Normal 3 2 2" xfId="330"/>
    <cellStyle name="Normal 3 3" xfId="365"/>
    <cellStyle name="Normal 4" xfId="331"/>
    <cellStyle name="Normal 4 2" xfId="367"/>
    <cellStyle name="Normal 5" xfId="368"/>
    <cellStyle name="Normal 5 2" xfId="332"/>
    <cellStyle name="Normal 6" xfId="361"/>
    <cellStyle name="Normal 7" xfId="363"/>
    <cellStyle name="Note" xfId="15" builtinId="10" customBuiltin="1"/>
    <cellStyle name="Note 2" xfId="333"/>
    <cellStyle name="Note 2 2" xfId="334"/>
    <cellStyle name="Note 2 2 2" xfId="335"/>
    <cellStyle name="Note 2 3" xfId="336"/>
    <cellStyle name="Note 3" xfId="337"/>
    <cellStyle name="Note 3 2" xfId="338"/>
    <cellStyle name="Note 3 2 2" xfId="339"/>
    <cellStyle name="Note 3 3" xfId="340"/>
    <cellStyle name="Note 4" xfId="341"/>
    <cellStyle name="Note 4 2" xfId="342"/>
    <cellStyle name="Note 4 2 2" xfId="343"/>
    <cellStyle name="Note 4 3" xfId="344"/>
    <cellStyle name="Note 5" xfId="345"/>
    <cellStyle name="Note 5 2" xfId="346"/>
    <cellStyle name="Note 5 2 2" xfId="347"/>
    <cellStyle name="Note 5 3" xfId="348"/>
    <cellStyle name="Note 6" xfId="349"/>
    <cellStyle name="Note 6 2" xfId="350"/>
    <cellStyle name="Note 6 2 2" xfId="351"/>
    <cellStyle name="Note 6 3" xfId="352"/>
    <cellStyle name="Note 7" xfId="353"/>
    <cellStyle name="Note 7 2" xfId="354"/>
    <cellStyle name="Note 7 2 2" xfId="355"/>
    <cellStyle name="Note 7 3" xfId="356"/>
    <cellStyle name="Note 8" xfId="357"/>
    <cellStyle name="Note 8 2" xfId="358"/>
    <cellStyle name="Output" xfId="10" builtinId="21" customBuiltin="1"/>
    <cellStyle name="Percent 2" xfId="359"/>
    <cellStyle name="Percent 3" xfId="360"/>
    <cellStyle name="Title 2" xfId="362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7"/>
  <sheetViews>
    <sheetView tabSelected="1" workbookViewId="0">
      <selection activeCell="F23" sqref="F23"/>
    </sheetView>
  </sheetViews>
  <sheetFormatPr defaultRowHeight="15" x14ac:dyDescent="0.25"/>
  <cols>
    <col min="2" max="2" width="18.85546875" customWidth="1"/>
    <col min="3" max="3" width="15.42578125" customWidth="1"/>
    <col min="4" max="4" width="15.7109375" customWidth="1"/>
    <col min="5" max="5" width="14.28515625" bestFit="1" customWidth="1"/>
    <col min="6" max="6" width="13.42578125" bestFit="1" customWidth="1"/>
    <col min="7" max="7" width="13.28515625" bestFit="1" customWidth="1"/>
    <col min="8" max="8" width="13.85546875" customWidth="1"/>
    <col min="9" max="9" width="14.42578125" customWidth="1"/>
    <col min="10" max="11" width="14" customWidth="1"/>
    <col min="12" max="12" width="14.140625" bestFit="1" customWidth="1"/>
    <col min="13" max="13" width="14.28515625" bestFit="1" customWidth="1"/>
    <col min="14" max="14" width="14.42578125" customWidth="1"/>
  </cols>
  <sheetData>
    <row r="2" spans="2:13" ht="15" customHeight="1" x14ac:dyDescent="0.25">
      <c r="B2" s="81" t="s">
        <v>231</v>
      </c>
      <c r="C2" s="80" t="s">
        <v>244</v>
      </c>
      <c r="D2" s="80" t="s">
        <v>243</v>
      </c>
      <c r="E2" s="82" t="s">
        <v>234</v>
      </c>
      <c r="F2" s="82" t="s">
        <v>237</v>
      </c>
      <c r="G2" s="82" t="s">
        <v>240</v>
      </c>
      <c r="H2" s="82" t="s">
        <v>235</v>
      </c>
      <c r="I2" s="82" t="s">
        <v>238</v>
      </c>
      <c r="J2" s="82" t="s">
        <v>241</v>
      </c>
      <c r="K2" s="82" t="s">
        <v>236</v>
      </c>
      <c r="L2" s="82" t="s">
        <v>239</v>
      </c>
      <c r="M2" s="82" t="s">
        <v>242</v>
      </c>
    </row>
    <row r="3" spans="2:13" x14ac:dyDescent="0.25">
      <c r="B3" s="81"/>
      <c r="C3" s="80"/>
      <c r="D3" s="80"/>
      <c r="E3" s="82"/>
      <c r="F3" s="82"/>
      <c r="G3" s="82"/>
      <c r="H3" s="82"/>
      <c r="I3" s="82"/>
      <c r="J3" s="82"/>
      <c r="K3" s="82"/>
      <c r="L3" s="82"/>
      <c r="M3" s="82"/>
    </row>
    <row r="4" spans="2:13" x14ac:dyDescent="0.25">
      <c r="B4" s="81"/>
      <c r="C4" s="80"/>
      <c r="D4" s="80"/>
      <c r="E4" s="82"/>
      <c r="F4" s="82"/>
      <c r="G4" s="82"/>
      <c r="H4" s="82"/>
      <c r="I4" s="82"/>
      <c r="J4" s="82"/>
      <c r="K4" s="82"/>
      <c r="L4" s="82"/>
      <c r="M4" s="82"/>
    </row>
    <row r="6" spans="2:13" x14ac:dyDescent="0.25">
      <c r="B6" s="20" t="s">
        <v>227</v>
      </c>
      <c r="C6" s="21">
        <f>'Operating consolidated'!F95</f>
        <v>14101932.563463327</v>
      </c>
      <c r="D6" s="21">
        <f>'Operating consolidated'!G95</f>
        <v>0</v>
      </c>
      <c r="E6" s="21">
        <f>'Operating consolidated'!I95</f>
        <v>3445000</v>
      </c>
      <c r="F6" s="21">
        <f>'Operating consolidated'!J95</f>
        <v>3193129.1699999995</v>
      </c>
      <c r="G6" s="21">
        <f>'Operating consolidated'!K95</f>
        <v>3444048.8699999936</v>
      </c>
      <c r="H6" s="21">
        <f>'Operating consolidated'!M95</f>
        <v>5204000</v>
      </c>
      <c r="I6" s="21">
        <f>'Operating consolidated'!N95</f>
        <v>4048133.4000000004</v>
      </c>
      <c r="J6" s="21">
        <f>'Operating consolidated'!O95</f>
        <v>3844497.1599999997</v>
      </c>
      <c r="K6" s="21">
        <f>'Operating consolidated'!Q95</f>
        <v>7700780.9999999991</v>
      </c>
      <c r="L6" s="21">
        <f>'Operating consolidated'!R95</f>
        <v>3723110.4299999997</v>
      </c>
      <c r="M6" s="21">
        <f>'Operating consolidated'!S95</f>
        <v>10929388.16</v>
      </c>
    </row>
    <row r="7" spans="2:13" x14ac:dyDescent="0.25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8" spans="2:13" x14ac:dyDescent="0.25">
      <c r="B8" s="20" t="s">
        <v>228</v>
      </c>
      <c r="C8" s="21">
        <f>'Capital consolidated'!G54</f>
        <v>0</v>
      </c>
      <c r="D8" s="21">
        <f>'Capital consolidated'!H54</f>
        <v>0</v>
      </c>
      <c r="E8" s="21">
        <f>'Capital consolidated'!J54</f>
        <v>0</v>
      </c>
      <c r="F8" s="21">
        <f>'Capital consolidated'!K54</f>
        <v>6638</v>
      </c>
      <c r="G8" s="21">
        <f>'Capital consolidated'!L54</f>
        <v>2500</v>
      </c>
      <c r="H8" s="21">
        <f>'Capital consolidated'!N54</f>
        <v>0</v>
      </c>
      <c r="I8" s="21">
        <f>'Capital consolidated'!O54</f>
        <v>0</v>
      </c>
      <c r="J8" s="21">
        <f>'Capital consolidated'!P54</f>
        <v>0</v>
      </c>
      <c r="K8" s="21">
        <f>'Capital consolidated'!R54</f>
        <v>0</v>
      </c>
      <c r="L8" s="21">
        <f>'Capital consolidated'!S54</f>
        <v>0</v>
      </c>
      <c r="M8" s="21">
        <f>'Capital consolidated'!T54</f>
        <v>0</v>
      </c>
    </row>
    <row r="9" spans="2:13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spans="2:13" x14ac:dyDescent="0.25">
      <c r="B10" s="20" t="s">
        <v>229</v>
      </c>
      <c r="C10" s="57">
        <f>SUM(C6:C9)</f>
        <v>14101932.563463327</v>
      </c>
      <c r="D10" s="57">
        <f t="shared" ref="D10:M10" si="0">SUM(D6:D9)</f>
        <v>0</v>
      </c>
      <c r="E10" s="57">
        <f t="shared" si="0"/>
        <v>3445000</v>
      </c>
      <c r="F10" s="57">
        <f t="shared" si="0"/>
        <v>3199767.1699999995</v>
      </c>
      <c r="G10" s="57">
        <f t="shared" si="0"/>
        <v>3446548.8699999936</v>
      </c>
      <c r="H10" s="57">
        <f t="shared" si="0"/>
        <v>5204000</v>
      </c>
      <c r="I10" s="57">
        <f t="shared" si="0"/>
        <v>4048133.4000000004</v>
      </c>
      <c r="J10" s="57">
        <f t="shared" si="0"/>
        <v>3844497.1599999997</v>
      </c>
      <c r="K10" s="57">
        <f t="shared" si="0"/>
        <v>7700780.9999999991</v>
      </c>
      <c r="L10" s="57">
        <f t="shared" si="0"/>
        <v>3723110.4299999997</v>
      </c>
      <c r="M10" s="57">
        <f t="shared" si="0"/>
        <v>10929388.16</v>
      </c>
    </row>
    <row r="11" spans="2:13" x14ac:dyDescent="0.25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3" spans="2:13" x14ac:dyDescent="0.25">
      <c r="E13" s="78"/>
    </row>
    <row r="14" spans="2:13" x14ac:dyDescent="0.25">
      <c r="E14" s="78"/>
    </row>
    <row r="15" spans="2:13" s="16" customFormat="1" x14ac:dyDescent="0.25">
      <c r="E15" s="78"/>
    </row>
    <row r="16" spans="2:13" s="16" customFormat="1" x14ac:dyDescent="0.25">
      <c r="E16" s="78"/>
    </row>
    <row r="17" spans="2:5" s="16" customFormat="1" x14ac:dyDescent="0.25">
      <c r="E17" s="78"/>
    </row>
    <row r="18" spans="2:5" s="16" customFormat="1" x14ac:dyDescent="0.25">
      <c r="E18" s="78"/>
    </row>
    <row r="19" spans="2:5" s="16" customFormat="1" x14ac:dyDescent="0.25">
      <c r="E19" s="78"/>
    </row>
    <row r="20" spans="2:5" s="16" customFormat="1" x14ac:dyDescent="0.25">
      <c r="E20" s="78"/>
    </row>
    <row r="21" spans="2:5" x14ac:dyDescent="0.25">
      <c r="E21" s="78"/>
    </row>
    <row r="23" spans="2:5" x14ac:dyDescent="0.25">
      <c r="B23" s="79"/>
      <c r="E23" s="78"/>
    </row>
    <row r="25" spans="2:5" s="16" customFormat="1" x14ac:dyDescent="0.25">
      <c r="E25" s="78"/>
    </row>
    <row r="26" spans="2:5" s="16" customFormat="1" x14ac:dyDescent="0.25">
      <c r="E26" s="78"/>
    </row>
    <row r="27" spans="2:5" x14ac:dyDescent="0.25">
      <c r="E27" s="78"/>
    </row>
  </sheetData>
  <mergeCells count="12">
    <mergeCell ref="M2:M4"/>
    <mergeCell ref="H2:H4"/>
    <mergeCell ref="I2:I4"/>
    <mergeCell ref="J2:J4"/>
    <mergeCell ref="K2:K4"/>
    <mergeCell ref="L2:L4"/>
    <mergeCell ref="D2:D4"/>
    <mergeCell ref="B2:B4"/>
    <mergeCell ref="E2:E4"/>
    <mergeCell ref="F2:F4"/>
    <mergeCell ref="G2:G4"/>
    <mergeCell ref="C2:C4"/>
  </mergeCells>
  <pageMargins left="0.7" right="0.7" top="0.75" bottom="0.75" header="0.3" footer="0.3"/>
  <pageSetup paperSize="8" orientation="landscape" r:id="rId1"/>
  <ignoredErrors>
    <ignoredError sqref="K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5"/>
  <sheetViews>
    <sheetView topLeftCell="A53" workbookViewId="0">
      <selection activeCell="F71" sqref="F71"/>
    </sheetView>
  </sheetViews>
  <sheetFormatPr defaultRowHeight="15" x14ac:dyDescent="0.25"/>
  <cols>
    <col min="1" max="1" width="12.140625" style="1" customWidth="1"/>
    <col min="2" max="2" width="17.28515625" style="6" customWidth="1"/>
    <col min="3" max="3" width="35.5703125" style="5" customWidth="1"/>
    <col min="4" max="4" width="58.85546875" style="7" customWidth="1"/>
    <col min="5" max="5" width="21.140625" style="26" customWidth="1"/>
    <col min="6" max="6" width="15.140625" style="76" customWidth="1"/>
    <col min="7" max="7" width="14.5703125" style="16" customWidth="1"/>
    <col min="8" max="8" width="4.5703125" style="3" customWidth="1"/>
    <col min="9" max="9" width="16.5703125" style="73" customWidth="1"/>
    <col min="10" max="10" width="15" style="73" customWidth="1"/>
    <col min="11" max="11" width="14.5703125" style="73" customWidth="1"/>
    <col min="12" max="12" width="4.5703125" style="3" customWidth="1"/>
    <col min="13" max="13" width="13.7109375" style="3" customWidth="1"/>
    <col min="14" max="14" width="15.28515625" style="3" customWidth="1"/>
    <col min="15" max="15" width="15.5703125" style="3" customWidth="1"/>
    <col min="16" max="16" width="4.5703125" style="3" customWidth="1"/>
    <col min="17" max="18" width="16.42578125" style="3" customWidth="1"/>
    <col min="19" max="19" width="15.28515625" style="3" customWidth="1"/>
    <col min="20" max="16384" width="9.140625" style="16"/>
  </cols>
  <sheetData>
    <row r="1" spans="1:19" ht="58.5" customHeight="1" x14ac:dyDescent="0.25">
      <c r="B1" s="97" t="s">
        <v>181</v>
      </c>
      <c r="C1" s="98"/>
      <c r="D1" s="99" t="s">
        <v>38</v>
      </c>
      <c r="E1" s="102" t="s">
        <v>186</v>
      </c>
      <c r="F1" s="105" t="s">
        <v>244</v>
      </c>
      <c r="G1" s="80" t="s">
        <v>243</v>
      </c>
      <c r="H1" s="107"/>
      <c r="I1" s="106" t="s">
        <v>234</v>
      </c>
      <c r="J1" s="106" t="s">
        <v>237</v>
      </c>
      <c r="K1" s="106" t="s">
        <v>240</v>
      </c>
      <c r="L1" s="107"/>
      <c r="M1" s="82" t="s">
        <v>235</v>
      </c>
      <c r="N1" s="82" t="s">
        <v>238</v>
      </c>
      <c r="O1" s="82" t="s">
        <v>241</v>
      </c>
      <c r="P1" s="107"/>
      <c r="Q1" s="82" t="s">
        <v>236</v>
      </c>
      <c r="R1" s="82" t="s">
        <v>239</v>
      </c>
      <c r="S1" s="82" t="s">
        <v>242</v>
      </c>
    </row>
    <row r="2" spans="1:19" x14ac:dyDescent="0.25">
      <c r="B2" s="89" t="s">
        <v>37</v>
      </c>
      <c r="C2" s="89" t="s">
        <v>182</v>
      </c>
      <c r="D2" s="100"/>
      <c r="E2" s="103"/>
      <c r="F2" s="105"/>
      <c r="G2" s="80"/>
      <c r="H2" s="107"/>
      <c r="I2" s="106"/>
      <c r="J2" s="106"/>
      <c r="K2" s="106"/>
      <c r="L2" s="107"/>
      <c r="M2" s="82"/>
      <c r="N2" s="82"/>
      <c r="O2" s="82"/>
      <c r="P2" s="107"/>
      <c r="Q2" s="82"/>
      <c r="R2" s="82"/>
      <c r="S2" s="82"/>
    </row>
    <row r="3" spans="1:19" x14ac:dyDescent="0.25">
      <c r="B3" s="90"/>
      <c r="C3" s="90"/>
      <c r="D3" s="101"/>
      <c r="E3" s="104"/>
      <c r="F3" s="105"/>
      <c r="G3" s="80"/>
      <c r="H3" s="107"/>
      <c r="I3" s="106"/>
      <c r="J3" s="106"/>
      <c r="K3" s="106"/>
      <c r="L3" s="107"/>
      <c r="M3" s="82"/>
      <c r="N3" s="82"/>
      <c r="O3" s="82"/>
      <c r="P3" s="107"/>
      <c r="Q3" s="82"/>
      <c r="R3" s="82"/>
      <c r="S3" s="82"/>
    </row>
    <row r="4" spans="1:19" ht="60" customHeight="1" x14ac:dyDescent="0.25">
      <c r="A4" s="2" t="s">
        <v>95</v>
      </c>
      <c r="B4" s="17">
        <v>420550</v>
      </c>
      <c r="C4" s="18" t="s">
        <v>3</v>
      </c>
      <c r="D4" s="8" t="s">
        <v>104</v>
      </c>
      <c r="E4" s="23"/>
      <c r="F4" s="75"/>
      <c r="G4" s="22"/>
      <c r="H4" s="65"/>
      <c r="I4" s="72">
        <v>0</v>
      </c>
      <c r="J4" s="72">
        <v>0</v>
      </c>
      <c r="K4" s="72">
        <v>0</v>
      </c>
      <c r="L4" s="65"/>
      <c r="M4" s="72"/>
      <c r="N4" s="72"/>
      <c r="O4" s="72"/>
      <c r="P4" s="65"/>
      <c r="Q4" s="72">
        <v>0</v>
      </c>
      <c r="R4" s="72">
        <v>0</v>
      </c>
      <c r="S4" s="72">
        <v>0</v>
      </c>
    </row>
    <row r="5" spans="1:19" ht="45" x14ac:dyDescent="0.25">
      <c r="B5" s="17">
        <v>420570</v>
      </c>
      <c r="C5" s="18" t="s">
        <v>4</v>
      </c>
      <c r="D5" s="8" t="s">
        <v>105</v>
      </c>
      <c r="E5" s="23"/>
      <c r="F5" s="75"/>
      <c r="G5" s="22"/>
      <c r="H5" s="65"/>
      <c r="I5" s="72">
        <v>0</v>
      </c>
      <c r="J5" s="72">
        <v>0</v>
      </c>
      <c r="K5" s="72">
        <v>0</v>
      </c>
      <c r="L5" s="65"/>
      <c r="M5" s="72"/>
      <c r="N5" s="72"/>
      <c r="O5" s="72"/>
      <c r="P5" s="65"/>
      <c r="Q5" s="72" t="s">
        <v>249</v>
      </c>
      <c r="R5" s="72" t="s">
        <v>249</v>
      </c>
      <c r="S5" s="72" t="s">
        <v>249</v>
      </c>
    </row>
    <row r="6" spans="1:19" ht="30" x14ac:dyDescent="0.25">
      <c r="B6" s="17">
        <v>421700</v>
      </c>
      <c r="C6" s="18" t="s">
        <v>9</v>
      </c>
      <c r="D6" s="8" t="s">
        <v>40</v>
      </c>
      <c r="E6" s="23"/>
      <c r="F6" s="75"/>
      <c r="G6" s="22"/>
      <c r="H6" s="65"/>
      <c r="I6" s="72">
        <v>0</v>
      </c>
      <c r="J6" s="72">
        <v>0</v>
      </c>
      <c r="K6" s="72">
        <v>0</v>
      </c>
      <c r="L6" s="65"/>
      <c r="M6" s="72"/>
      <c r="N6" s="72"/>
      <c r="O6" s="72"/>
      <c r="P6" s="65"/>
      <c r="Q6" s="72" t="s">
        <v>249</v>
      </c>
      <c r="R6" s="72" t="s">
        <v>249</v>
      </c>
      <c r="S6" s="72" t="s">
        <v>249</v>
      </c>
    </row>
    <row r="7" spans="1:19" ht="39" customHeight="1" x14ac:dyDescent="0.25">
      <c r="B7" s="17">
        <v>425770</v>
      </c>
      <c r="C7" s="18" t="s">
        <v>20</v>
      </c>
      <c r="D7" s="8" t="s">
        <v>103</v>
      </c>
      <c r="E7" s="23"/>
      <c r="F7" s="75"/>
      <c r="G7" s="22"/>
      <c r="H7" s="65"/>
      <c r="I7" s="72">
        <v>11000</v>
      </c>
      <c r="J7" s="72">
        <v>0</v>
      </c>
      <c r="K7" s="72">
        <v>0</v>
      </c>
      <c r="L7" s="65"/>
      <c r="M7" s="72"/>
      <c r="N7" s="72"/>
      <c r="O7" s="72"/>
      <c r="P7" s="65"/>
      <c r="Q7" s="72">
        <v>-111696.27744885345</v>
      </c>
      <c r="R7" s="72">
        <v>-54002</v>
      </c>
      <c r="S7" s="72">
        <v>183941</v>
      </c>
    </row>
    <row r="8" spans="1:19" ht="50.25" customHeight="1" x14ac:dyDescent="0.25">
      <c r="B8" s="17">
        <v>432209</v>
      </c>
      <c r="C8" s="18" t="s">
        <v>80</v>
      </c>
      <c r="D8" s="8" t="s">
        <v>161</v>
      </c>
      <c r="E8" s="23"/>
      <c r="F8" s="75"/>
      <c r="G8" s="22"/>
      <c r="H8" s="65"/>
      <c r="I8" s="72">
        <v>0</v>
      </c>
      <c r="J8" s="72">
        <v>0</v>
      </c>
      <c r="K8" s="72">
        <v>0</v>
      </c>
      <c r="L8" s="65"/>
      <c r="M8" s="72"/>
      <c r="N8" s="72"/>
      <c r="O8" s="72"/>
      <c r="P8" s="65"/>
      <c r="Q8" s="72">
        <v>66187.935231349024</v>
      </c>
      <c r="R8" s="72">
        <v>32000</v>
      </c>
      <c r="S8" s="72">
        <v>1840</v>
      </c>
    </row>
    <row r="9" spans="1:19" ht="63" customHeight="1" x14ac:dyDescent="0.25">
      <c r="B9" s="17">
        <v>435310</v>
      </c>
      <c r="C9" s="18" t="s">
        <v>65</v>
      </c>
      <c r="D9" s="8" t="s">
        <v>106</v>
      </c>
      <c r="E9" s="23"/>
      <c r="F9" s="75">
        <f>(I9+M9+Q9+M53)*0.95</f>
        <v>10401623.770355782</v>
      </c>
      <c r="G9" s="22"/>
      <c r="H9" s="65"/>
      <c r="I9" s="72">
        <v>3334000</v>
      </c>
      <c r="J9" s="72">
        <v>3051332.2599999993</v>
      </c>
      <c r="K9" s="72">
        <v>3354945.0199999935</v>
      </c>
      <c r="L9" s="65"/>
      <c r="M9" s="72">
        <v>11000</v>
      </c>
      <c r="N9" s="72"/>
      <c r="O9" s="72">
        <v>11571.14</v>
      </c>
      <c r="P9" s="65"/>
      <c r="Q9" s="72">
        <v>3743077.6530060861</v>
      </c>
      <c r="R9" s="72">
        <v>1809672.48</v>
      </c>
      <c r="S9" s="72">
        <v>7558547.7699999996</v>
      </c>
    </row>
    <row r="10" spans="1:19" ht="20.100000000000001" customHeight="1" x14ac:dyDescent="0.25">
      <c r="B10" s="17">
        <v>435330</v>
      </c>
      <c r="C10" s="18" t="s">
        <v>66</v>
      </c>
      <c r="D10" s="8" t="s">
        <v>107</v>
      </c>
      <c r="E10" s="23"/>
      <c r="F10" s="75">
        <f>(I10+M10+Q10)*0.95</f>
        <v>3455308.7931075445</v>
      </c>
      <c r="G10" s="22"/>
      <c r="H10" s="65"/>
      <c r="I10" s="72">
        <v>0</v>
      </c>
      <c r="J10" s="72">
        <v>0</v>
      </c>
      <c r="K10" s="72">
        <v>0</v>
      </c>
      <c r="L10" s="65"/>
      <c r="M10" s="72">
        <v>44000</v>
      </c>
      <c r="N10" s="72">
        <v>14998.89</v>
      </c>
      <c r="O10" s="72">
        <v>35891.300000000003</v>
      </c>
      <c r="P10" s="65"/>
      <c r="Q10" s="72">
        <v>3593167.1506395205</v>
      </c>
      <c r="R10" s="72">
        <v>1737194.98</v>
      </c>
      <c r="S10" s="72">
        <v>3055123.89</v>
      </c>
    </row>
    <row r="11" spans="1:19" ht="20.100000000000001" customHeight="1" x14ac:dyDescent="0.25">
      <c r="B11" s="17">
        <v>435350</v>
      </c>
      <c r="C11" s="18" t="s">
        <v>68</v>
      </c>
      <c r="D11" s="8" t="s">
        <v>108</v>
      </c>
      <c r="E11" s="23"/>
      <c r="F11" s="75"/>
      <c r="G11" s="22"/>
      <c r="H11" s="65"/>
      <c r="I11" s="72">
        <v>0</v>
      </c>
      <c r="J11" s="72">
        <v>0</v>
      </c>
      <c r="K11" s="72">
        <v>0</v>
      </c>
      <c r="L11" s="65"/>
      <c r="M11" s="72"/>
      <c r="N11" s="72"/>
      <c r="O11" s="72"/>
      <c r="P11" s="65"/>
      <c r="Q11" s="72" t="s">
        <v>249</v>
      </c>
      <c r="R11" s="72" t="s">
        <v>249</v>
      </c>
      <c r="S11" s="72" t="s">
        <v>249</v>
      </c>
    </row>
    <row r="12" spans="1:19" ht="20.100000000000001" customHeight="1" x14ac:dyDescent="0.25">
      <c r="B12" s="17">
        <v>435508</v>
      </c>
      <c r="C12" s="18" t="s">
        <v>70</v>
      </c>
      <c r="D12" s="8" t="s">
        <v>109</v>
      </c>
      <c r="E12" s="23"/>
      <c r="F12" s="75"/>
      <c r="G12" s="22"/>
      <c r="H12" s="65"/>
      <c r="I12" s="72">
        <v>0</v>
      </c>
      <c r="J12" s="72">
        <v>0</v>
      </c>
      <c r="K12" s="72">
        <v>0</v>
      </c>
      <c r="L12" s="65"/>
      <c r="M12" s="72"/>
      <c r="N12" s="72"/>
      <c r="O12" s="72"/>
      <c r="P12" s="65"/>
      <c r="Q12" s="72">
        <v>75648.776642128782</v>
      </c>
      <c r="R12" s="72">
        <v>36574.050000000003</v>
      </c>
      <c r="S12" s="72">
        <v>35038</v>
      </c>
    </row>
    <row r="13" spans="1:19" ht="45" x14ac:dyDescent="0.25">
      <c r="B13" s="17">
        <v>436600</v>
      </c>
      <c r="C13" s="12" t="s">
        <v>79</v>
      </c>
      <c r="D13" s="8" t="s">
        <v>110</v>
      </c>
      <c r="E13" s="23"/>
      <c r="F13" s="75"/>
      <c r="G13" s="22"/>
      <c r="H13" s="65"/>
      <c r="I13" s="72">
        <v>0</v>
      </c>
      <c r="J13" s="72">
        <v>0</v>
      </c>
      <c r="K13" s="72">
        <v>0</v>
      </c>
      <c r="L13" s="65"/>
      <c r="M13" s="72"/>
      <c r="N13" s="72"/>
      <c r="O13" s="72"/>
      <c r="P13" s="65"/>
      <c r="Q13" s="72" t="s">
        <v>249</v>
      </c>
      <c r="R13" s="72" t="s">
        <v>249</v>
      </c>
      <c r="S13" s="72" t="s">
        <v>249</v>
      </c>
    </row>
    <row r="14" spans="1:19" ht="45" x14ac:dyDescent="0.25">
      <c r="B14" s="17">
        <v>435530</v>
      </c>
      <c r="C14" s="12" t="s">
        <v>92</v>
      </c>
      <c r="D14" s="8" t="s">
        <v>162</v>
      </c>
      <c r="E14" s="23"/>
      <c r="F14" s="75"/>
      <c r="G14" s="22"/>
      <c r="H14" s="65"/>
      <c r="I14" s="72">
        <v>0</v>
      </c>
      <c r="J14" s="72">
        <v>0</v>
      </c>
      <c r="K14" s="72">
        <v>0</v>
      </c>
      <c r="L14" s="65"/>
      <c r="M14" s="72"/>
      <c r="N14" s="72"/>
      <c r="O14" s="72"/>
      <c r="P14" s="65"/>
      <c r="Q14" s="72" t="s">
        <v>249</v>
      </c>
      <c r="R14" s="72" t="s">
        <v>249</v>
      </c>
      <c r="S14" s="72" t="s">
        <v>249</v>
      </c>
    </row>
    <row r="15" spans="1:19" ht="45" x14ac:dyDescent="0.25">
      <c r="A15" s="2" t="s">
        <v>96</v>
      </c>
      <c r="B15" s="17">
        <v>425100</v>
      </c>
      <c r="C15" s="18" t="s">
        <v>11</v>
      </c>
      <c r="D15" s="8" t="s">
        <v>111</v>
      </c>
      <c r="E15" s="23" t="s">
        <v>232</v>
      </c>
      <c r="F15" s="75"/>
      <c r="G15" s="22"/>
      <c r="H15" s="65"/>
      <c r="I15" s="72">
        <v>0</v>
      </c>
      <c r="J15" s="72">
        <v>0</v>
      </c>
      <c r="K15" s="72">
        <v>0</v>
      </c>
      <c r="L15" s="65"/>
      <c r="M15" s="72"/>
      <c r="N15" s="72"/>
      <c r="O15" s="72"/>
      <c r="P15" s="65"/>
      <c r="Q15" s="72" t="s">
        <v>249</v>
      </c>
      <c r="R15" s="72" t="s">
        <v>249</v>
      </c>
      <c r="S15" s="72" t="s">
        <v>249</v>
      </c>
    </row>
    <row r="16" spans="1:19" ht="45" x14ac:dyDescent="0.25">
      <c r="B16" s="17">
        <v>425510</v>
      </c>
      <c r="C16" s="12" t="s">
        <v>12</v>
      </c>
      <c r="D16" s="8" t="s">
        <v>41</v>
      </c>
      <c r="E16" s="23" t="s">
        <v>232</v>
      </c>
      <c r="F16" s="75">
        <v>50000</v>
      </c>
      <c r="G16" s="22"/>
      <c r="H16" s="65"/>
      <c r="I16" s="72">
        <v>4000</v>
      </c>
      <c r="J16" s="72">
        <v>1100</v>
      </c>
      <c r="K16" s="72">
        <v>0</v>
      </c>
      <c r="L16" s="65"/>
      <c r="M16" s="72"/>
      <c r="N16" s="72"/>
      <c r="O16" s="72"/>
      <c r="P16" s="65"/>
      <c r="Q16" s="72" t="s">
        <v>249</v>
      </c>
      <c r="R16" s="72" t="s">
        <v>249</v>
      </c>
      <c r="S16" s="72" t="s">
        <v>249</v>
      </c>
    </row>
    <row r="17" spans="1:19" ht="45" x14ac:dyDescent="0.25">
      <c r="B17" s="17">
        <v>425550</v>
      </c>
      <c r="C17" s="12" t="s">
        <v>13</v>
      </c>
      <c r="D17" s="8" t="s">
        <v>42</v>
      </c>
      <c r="E17" s="23" t="s">
        <v>232</v>
      </c>
      <c r="F17" s="75"/>
      <c r="G17" s="22"/>
      <c r="H17" s="65"/>
      <c r="I17" s="72">
        <v>0</v>
      </c>
      <c r="J17" s="72">
        <v>0</v>
      </c>
      <c r="K17" s="72">
        <v>0</v>
      </c>
      <c r="L17" s="65"/>
      <c r="M17" s="72"/>
      <c r="N17" s="72"/>
      <c r="O17" s="72"/>
      <c r="P17" s="65"/>
      <c r="Q17" s="72" t="s">
        <v>249</v>
      </c>
      <c r="R17" s="72" t="s">
        <v>249</v>
      </c>
      <c r="S17" s="72" t="s">
        <v>249</v>
      </c>
    </row>
    <row r="18" spans="1:19" ht="20.100000000000001" customHeight="1" x14ac:dyDescent="0.25">
      <c r="B18" s="17">
        <v>427100</v>
      </c>
      <c r="C18" s="18" t="s">
        <v>30</v>
      </c>
      <c r="D18" s="8" t="s">
        <v>112</v>
      </c>
      <c r="E18" s="23" t="s">
        <v>232</v>
      </c>
      <c r="F18" s="75"/>
      <c r="G18" s="22"/>
      <c r="H18" s="65"/>
      <c r="I18" s="72">
        <v>0</v>
      </c>
      <c r="J18" s="72">
        <v>0</v>
      </c>
      <c r="K18" s="72">
        <v>0</v>
      </c>
      <c r="L18" s="65"/>
      <c r="M18" s="72"/>
      <c r="N18" s="72"/>
      <c r="O18" s="72"/>
      <c r="P18" s="65"/>
      <c r="Q18" s="72" t="s">
        <v>249</v>
      </c>
      <c r="R18" s="72" t="s">
        <v>249</v>
      </c>
      <c r="S18" s="72" t="s">
        <v>249</v>
      </c>
    </row>
    <row r="19" spans="1:19" ht="30" x14ac:dyDescent="0.25">
      <c r="B19" s="17">
        <v>428640</v>
      </c>
      <c r="C19" s="18" t="s">
        <v>53</v>
      </c>
      <c r="D19" s="8" t="s">
        <v>113</v>
      </c>
      <c r="E19" s="23" t="s">
        <v>232</v>
      </c>
      <c r="F19" s="75"/>
      <c r="G19" s="22"/>
      <c r="H19" s="65"/>
      <c r="I19" s="72">
        <v>0</v>
      </c>
      <c r="J19" s="72">
        <v>0</v>
      </c>
      <c r="K19" s="72">
        <v>0</v>
      </c>
      <c r="L19" s="65"/>
      <c r="M19" s="72"/>
      <c r="N19" s="72"/>
      <c r="O19" s="72"/>
      <c r="P19" s="65"/>
      <c r="Q19" s="72" t="s">
        <v>249</v>
      </c>
      <c r="R19" s="72" t="s">
        <v>249</v>
      </c>
      <c r="S19" s="72" t="s">
        <v>249</v>
      </c>
    </row>
    <row r="20" spans="1:19" ht="20.100000000000001" customHeight="1" x14ac:dyDescent="0.25">
      <c r="B20" s="17">
        <v>435519</v>
      </c>
      <c r="C20" s="18" t="s">
        <v>72</v>
      </c>
      <c r="D20" s="8" t="s">
        <v>114</v>
      </c>
      <c r="E20" s="23" t="s">
        <v>232</v>
      </c>
      <c r="F20" s="75"/>
      <c r="G20" s="22"/>
      <c r="H20" s="65"/>
      <c r="I20" s="72">
        <v>0</v>
      </c>
      <c r="J20" s="72">
        <v>0</v>
      </c>
      <c r="K20" s="72">
        <v>0</v>
      </c>
      <c r="L20" s="65"/>
      <c r="M20" s="72"/>
      <c r="N20" s="72"/>
      <c r="O20" s="72"/>
      <c r="P20" s="65"/>
      <c r="Q20" s="72" t="s">
        <v>249</v>
      </c>
      <c r="R20" s="72" t="s">
        <v>249</v>
      </c>
      <c r="S20" s="72" t="s">
        <v>249</v>
      </c>
    </row>
    <row r="21" spans="1:19" ht="20.100000000000001" customHeight="1" x14ac:dyDescent="0.25">
      <c r="B21" s="13">
        <v>427200</v>
      </c>
      <c r="C21" s="18" t="s">
        <v>84</v>
      </c>
      <c r="D21" s="8" t="s">
        <v>115</v>
      </c>
      <c r="E21" s="23" t="s">
        <v>232</v>
      </c>
      <c r="F21" s="75"/>
      <c r="G21" s="22"/>
      <c r="H21" s="65"/>
      <c r="I21" s="72">
        <v>0</v>
      </c>
      <c r="J21" s="72">
        <v>0</v>
      </c>
      <c r="K21" s="72">
        <v>0</v>
      </c>
      <c r="L21" s="65"/>
      <c r="M21" s="72"/>
      <c r="N21" s="72"/>
      <c r="O21" s="72"/>
      <c r="P21" s="65"/>
      <c r="Q21" s="72" t="s">
        <v>249</v>
      </c>
      <c r="R21" s="72" t="s">
        <v>249</v>
      </c>
      <c r="S21" s="72" t="s">
        <v>249</v>
      </c>
    </row>
    <row r="22" spans="1:19" ht="30" x14ac:dyDescent="0.25">
      <c r="A22" s="2" t="s">
        <v>100</v>
      </c>
      <c r="B22" s="17">
        <v>420310</v>
      </c>
      <c r="C22" s="12" t="s">
        <v>2</v>
      </c>
      <c r="D22" s="8" t="s">
        <v>116</v>
      </c>
      <c r="E22" s="23" t="s">
        <v>187</v>
      </c>
      <c r="F22" s="75"/>
      <c r="G22" s="22"/>
      <c r="H22" s="65"/>
      <c r="I22" s="72">
        <v>0</v>
      </c>
      <c r="J22" s="72">
        <v>0</v>
      </c>
      <c r="K22" s="72">
        <v>0</v>
      </c>
      <c r="L22" s="65"/>
      <c r="M22" s="72"/>
      <c r="N22" s="72"/>
      <c r="O22" s="72"/>
      <c r="P22" s="65"/>
      <c r="Q22" s="72" t="s">
        <v>249</v>
      </c>
      <c r="R22" s="72" t="s">
        <v>249</v>
      </c>
      <c r="S22" s="72" t="s">
        <v>249</v>
      </c>
    </row>
    <row r="23" spans="1:19" ht="30" x14ac:dyDescent="0.25">
      <c r="B23" s="17">
        <v>421600</v>
      </c>
      <c r="C23" s="18" t="s">
        <v>8</v>
      </c>
      <c r="D23" s="8" t="s">
        <v>117</v>
      </c>
      <c r="E23" s="23"/>
      <c r="F23" s="75"/>
      <c r="G23" s="22"/>
      <c r="H23" s="65"/>
      <c r="I23" s="72">
        <v>0</v>
      </c>
      <c r="J23" s="72">
        <v>0</v>
      </c>
      <c r="K23" s="72">
        <v>0</v>
      </c>
      <c r="L23" s="65"/>
      <c r="M23" s="72"/>
      <c r="N23" s="72"/>
      <c r="O23" s="72"/>
      <c r="P23" s="65"/>
      <c r="Q23" s="72" t="s">
        <v>249</v>
      </c>
      <c r="R23" s="72" t="s">
        <v>249</v>
      </c>
      <c r="S23" s="72" t="s">
        <v>249</v>
      </c>
    </row>
    <row r="24" spans="1:19" ht="30" x14ac:dyDescent="0.25">
      <c r="B24" s="13">
        <v>422100</v>
      </c>
      <c r="C24" s="18" t="s">
        <v>10</v>
      </c>
      <c r="D24" s="8" t="s">
        <v>118</v>
      </c>
      <c r="E24" s="23"/>
      <c r="F24" s="75"/>
      <c r="G24" s="22"/>
      <c r="H24" s="65"/>
      <c r="I24" s="72">
        <v>0</v>
      </c>
      <c r="J24" s="72">
        <v>0</v>
      </c>
      <c r="K24" s="72">
        <v>0</v>
      </c>
      <c r="L24" s="65"/>
      <c r="M24" s="72"/>
      <c r="N24" s="72"/>
      <c r="O24" s="72"/>
      <c r="P24" s="65"/>
      <c r="Q24" s="72" t="s">
        <v>249</v>
      </c>
      <c r="R24" s="72" t="s">
        <v>249</v>
      </c>
      <c r="S24" s="72" t="s">
        <v>249</v>
      </c>
    </row>
    <row r="25" spans="1:19" ht="20.100000000000001" customHeight="1" x14ac:dyDescent="0.25">
      <c r="B25" s="17">
        <v>426210</v>
      </c>
      <c r="C25" s="18" t="s">
        <v>22</v>
      </c>
      <c r="D25" s="8" t="s">
        <v>119</v>
      </c>
      <c r="E25" s="23"/>
      <c r="F25" s="75"/>
      <c r="G25" s="22"/>
      <c r="H25" s="65"/>
      <c r="I25" s="72">
        <v>0</v>
      </c>
      <c r="J25" s="72">
        <v>0</v>
      </c>
      <c r="K25" s="72">
        <v>0</v>
      </c>
      <c r="L25" s="65"/>
      <c r="M25" s="72"/>
      <c r="N25" s="72"/>
      <c r="O25" s="72"/>
      <c r="P25" s="65"/>
      <c r="Q25" s="72" t="s">
        <v>249</v>
      </c>
      <c r="R25" s="72" t="s">
        <v>249</v>
      </c>
      <c r="S25" s="72" t="s">
        <v>249</v>
      </c>
    </row>
    <row r="26" spans="1:19" ht="20.100000000000001" customHeight="1" x14ac:dyDescent="0.25">
      <c r="B26" s="17">
        <v>426220</v>
      </c>
      <c r="C26" s="18" t="s">
        <v>23</v>
      </c>
      <c r="D26" s="8" t="s">
        <v>120</v>
      </c>
      <c r="E26" s="23"/>
      <c r="F26" s="75"/>
      <c r="G26" s="22"/>
      <c r="H26" s="65"/>
      <c r="I26" s="72">
        <v>0</v>
      </c>
      <c r="J26" s="72">
        <v>0</v>
      </c>
      <c r="K26" s="72">
        <v>0</v>
      </c>
      <c r="L26" s="65"/>
      <c r="M26" s="72"/>
      <c r="N26" s="72"/>
      <c r="O26" s="72"/>
      <c r="P26" s="65"/>
      <c r="Q26" s="72" t="s">
        <v>249</v>
      </c>
      <c r="R26" s="72" t="s">
        <v>249</v>
      </c>
      <c r="S26" s="72" t="s">
        <v>249</v>
      </c>
    </row>
    <row r="27" spans="1:19" ht="20.100000000000001" customHeight="1" x14ac:dyDescent="0.25">
      <c r="B27" s="17">
        <v>426250</v>
      </c>
      <c r="C27" s="18" t="s">
        <v>24</v>
      </c>
      <c r="D27" s="8" t="s">
        <v>121</v>
      </c>
      <c r="E27" s="23"/>
      <c r="F27" s="75"/>
      <c r="G27" s="22"/>
      <c r="H27" s="65"/>
      <c r="I27" s="72">
        <v>0</v>
      </c>
      <c r="J27" s="72">
        <v>0</v>
      </c>
      <c r="K27" s="72">
        <v>0</v>
      </c>
      <c r="L27" s="65"/>
      <c r="M27" s="72"/>
      <c r="N27" s="72"/>
      <c r="O27" s="72"/>
      <c r="P27" s="65"/>
      <c r="Q27" s="72" t="s">
        <v>249</v>
      </c>
      <c r="R27" s="72" t="s">
        <v>249</v>
      </c>
      <c r="S27" s="72" t="s">
        <v>249</v>
      </c>
    </row>
    <row r="28" spans="1:19" ht="30" x14ac:dyDescent="0.25">
      <c r="B28" s="17">
        <v>426290</v>
      </c>
      <c r="C28" s="18" t="s">
        <v>25</v>
      </c>
      <c r="D28" s="8" t="s">
        <v>163</v>
      </c>
      <c r="E28" s="23"/>
      <c r="F28" s="75"/>
      <c r="G28" s="22"/>
      <c r="H28" s="65"/>
      <c r="I28" s="72">
        <v>0</v>
      </c>
      <c r="J28" s="72">
        <v>0</v>
      </c>
      <c r="K28" s="72">
        <v>0</v>
      </c>
      <c r="L28" s="65"/>
      <c r="M28" s="72"/>
      <c r="N28" s="72"/>
      <c r="O28" s="72"/>
      <c r="P28" s="65"/>
      <c r="Q28" s="72" t="s">
        <v>249</v>
      </c>
      <c r="R28" s="72" t="s">
        <v>249</v>
      </c>
      <c r="S28" s="72" t="s">
        <v>249</v>
      </c>
    </row>
    <row r="29" spans="1:19" s="3" customFormat="1" ht="30" x14ac:dyDescent="0.25">
      <c r="A29" s="4"/>
      <c r="B29" s="17">
        <v>426800</v>
      </c>
      <c r="C29" s="12" t="s">
        <v>28</v>
      </c>
      <c r="D29" s="8" t="s">
        <v>166</v>
      </c>
      <c r="E29" s="23"/>
      <c r="F29" s="75"/>
      <c r="G29" s="22"/>
      <c r="H29" s="65"/>
      <c r="I29" s="72">
        <v>0</v>
      </c>
      <c r="J29" s="72">
        <v>0</v>
      </c>
      <c r="K29" s="72">
        <v>0</v>
      </c>
      <c r="L29" s="65"/>
      <c r="M29" s="72"/>
      <c r="N29" s="72"/>
      <c r="O29" s="72"/>
      <c r="P29" s="65"/>
      <c r="Q29" s="72" t="s">
        <v>249</v>
      </c>
      <c r="R29" s="72" t="s">
        <v>249</v>
      </c>
      <c r="S29" s="72" t="s">
        <v>249</v>
      </c>
    </row>
    <row r="30" spans="1:19" ht="20.100000000000001" customHeight="1" x14ac:dyDescent="0.25">
      <c r="B30" s="17">
        <v>428111</v>
      </c>
      <c r="C30" s="18" t="s">
        <v>49</v>
      </c>
      <c r="D30" s="8" t="s">
        <v>122</v>
      </c>
      <c r="E30" s="23"/>
      <c r="F30" s="75"/>
      <c r="G30" s="22"/>
      <c r="H30" s="65"/>
      <c r="I30" s="72">
        <v>0</v>
      </c>
      <c r="J30" s="72">
        <v>0</v>
      </c>
      <c r="K30" s="72">
        <v>0</v>
      </c>
      <c r="L30" s="65"/>
      <c r="M30" s="72"/>
      <c r="N30" s="72"/>
      <c r="O30" s="72"/>
      <c r="P30" s="65"/>
      <c r="Q30" s="72" t="s">
        <v>249</v>
      </c>
      <c r="R30" s="72" t="s">
        <v>249</v>
      </c>
      <c r="S30" s="72" t="s">
        <v>249</v>
      </c>
    </row>
    <row r="31" spans="1:19" ht="20.100000000000001" customHeight="1" x14ac:dyDescent="0.25">
      <c r="B31" s="17">
        <v>428112</v>
      </c>
      <c r="C31" s="18" t="s">
        <v>50</v>
      </c>
      <c r="D31" s="8" t="s">
        <v>123</v>
      </c>
      <c r="E31" s="23"/>
      <c r="F31" s="75"/>
      <c r="G31" s="22"/>
      <c r="H31" s="65"/>
      <c r="I31" s="72">
        <v>0</v>
      </c>
      <c r="J31" s="72">
        <v>0</v>
      </c>
      <c r="K31" s="72">
        <v>0</v>
      </c>
      <c r="L31" s="65"/>
      <c r="M31" s="72"/>
      <c r="N31" s="72"/>
      <c r="O31" s="72"/>
      <c r="P31" s="65"/>
      <c r="Q31" s="72" t="s">
        <v>249</v>
      </c>
      <c r="R31" s="72" t="s">
        <v>249</v>
      </c>
      <c r="S31" s="72" t="s">
        <v>249</v>
      </c>
    </row>
    <row r="32" spans="1:19" ht="20.100000000000001" customHeight="1" x14ac:dyDescent="0.25">
      <c r="B32" s="17">
        <v>428200</v>
      </c>
      <c r="C32" s="18" t="s">
        <v>51</v>
      </c>
      <c r="D32" s="8" t="s">
        <v>165</v>
      </c>
      <c r="E32" s="23"/>
      <c r="F32" s="75">
        <v>0</v>
      </c>
      <c r="G32" s="22"/>
      <c r="H32" s="65"/>
      <c r="I32" s="72">
        <v>0</v>
      </c>
      <c r="J32" s="72">
        <v>0</v>
      </c>
      <c r="K32" s="72">
        <v>0</v>
      </c>
      <c r="L32" s="65"/>
      <c r="M32" s="72"/>
      <c r="N32" s="72"/>
      <c r="O32" s="72"/>
      <c r="P32" s="65"/>
      <c r="Q32" s="72">
        <v>38754.070264442846</v>
      </c>
      <c r="R32" s="72">
        <v>18736.5</v>
      </c>
      <c r="S32" s="72">
        <v>59220</v>
      </c>
    </row>
    <row r="33" spans="1:19" ht="45" x14ac:dyDescent="0.25">
      <c r="B33" s="17">
        <v>430120</v>
      </c>
      <c r="C33" s="18" t="s">
        <v>55</v>
      </c>
      <c r="D33" s="8" t="s">
        <v>124</v>
      </c>
      <c r="E33" s="23"/>
      <c r="F33" s="75"/>
      <c r="G33" s="22"/>
      <c r="H33" s="65"/>
      <c r="I33" s="72">
        <v>0</v>
      </c>
      <c r="J33" s="72">
        <v>0</v>
      </c>
      <c r="K33" s="72">
        <v>0</v>
      </c>
      <c r="L33" s="65"/>
      <c r="M33" s="72"/>
      <c r="N33" s="72"/>
      <c r="O33" s="72"/>
      <c r="P33" s="65"/>
      <c r="Q33" s="72" t="s">
        <v>249</v>
      </c>
      <c r="R33" s="72" t="s">
        <v>249</v>
      </c>
      <c r="S33" s="72" t="s">
        <v>249</v>
      </c>
    </row>
    <row r="34" spans="1:19" ht="30" x14ac:dyDescent="0.25">
      <c r="B34" s="17">
        <v>430330</v>
      </c>
      <c r="C34" s="18" t="s">
        <v>57</v>
      </c>
      <c r="D34" s="8" t="s">
        <v>126</v>
      </c>
      <c r="E34" s="30" t="s">
        <v>187</v>
      </c>
      <c r="F34" s="75"/>
      <c r="G34" s="22"/>
      <c r="H34" s="65"/>
      <c r="I34" s="72">
        <v>0</v>
      </c>
      <c r="J34" s="72">
        <v>0</v>
      </c>
      <c r="K34" s="72">
        <v>0</v>
      </c>
      <c r="L34" s="65"/>
      <c r="M34" s="72"/>
      <c r="N34" s="72"/>
      <c r="O34" s="72"/>
      <c r="P34" s="65"/>
      <c r="Q34" s="72" t="s">
        <v>249</v>
      </c>
      <c r="R34" s="72" t="s">
        <v>249</v>
      </c>
      <c r="S34" s="72" t="s">
        <v>249</v>
      </c>
    </row>
    <row r="35" spans="1:19" ht="30" x14ac:dyDescent="0.25">
      <c r="B35" s="17">
        <v>430930</v>
      </c>
      <c r="C35" s="12" t="s">
        <v>58</v>
      </c>
      <c r="D35" s="8" t="s">
        <v>125</v>
      </c>
      <c r="E35" s="30" t="s">
        <v>187</v>
      </c>
      <c r="F35" s="75"/>
      <c r="G35" s="22"/>
      <c r="H35" s="65"/>
      <c r="I35" s="72">
        <v>0</v>
      </c>
      <c r="J35" s="72">
        <v>0</v>
      </c>
      <c r="K35" s="72">
        <v>0</v>
      </c>
      <c r="L35" s="65"/>
      <c r="M35" s="72"/>
      <c r="N35" s="72"/>
      <c r="O35" s="72"/>
      <c r="P35" s="65"/>
      <c r="Q35" s="72" t="s">
        <v>249</v>
      </c>
      <c r="R35" s="72" t="s">
        <v>249</v>
      </c>
      <c r="S35" s="72" t="s">
        <v>249</v>
      </c>
    </row>
    <row r="36" spans="1:19" ht="30" x14ac:dyDescent="0.25">
      <c r="B36" s="17">
        <v>432120</v>
      </c>
      <c r="C36" s="18" t="s">
        <v>59</v>
      </c>
      <c r="D36" s="8" t="s">
        <v>168</v>
      </c>
      <c r="E36" s="30" t="s">
        <v>187</v>
      </c>
      <c r="F36" s="75"/>
      <c r="G36" s="22"/>
      <c r="H36" s="65"/>
      <c r="I36" s="72">
        <v>0</v>
      </c>
      <c r="J36" s="72">
        <v>0</v>
      </c>
      <c r="K36" s="72">
        <v>0</v>
      </c>
      <c r="L36" s="65"/>
      <c r="M36" s="72"/>
      <c r="N36" s="72"/>
      <c r="O36" s="72"/>
      <c r="P36" s="65"/>
      <c r="Q36" s="72" t="s">
        <v>249</v>
      </c>
      <c r="R36" s="72" t="s">
        <v>249</v>
      </c>
      <c r="S36" s="72" t="s">
        <v>249</v>
      </c>
    </row>
    <row r="37" spans="1:19" ht="30" x14ac:dyDescent="0.25">
      <c r="B37" s="17">
        <v>432170</v>
      </c>
      <c r="C37" s="18" t="s">
        <v>60</v>
      </c>
      <c r="D37" s="8" t="s">
        <v>127</v>
      </c>
      <c r="E37" s="30" t="s">
        <v>187</v>
      </c>
      <c r="F37" s="75"/>
      <c r="G37" s="22"/>
      <c r="H37" s="65"/>
      <c r="I37" s="72">
        <v>0</v>
      </c>
      <c r="J37" s="72">
        <v>0</v>
      </c>
      <c r="K37" s="72">
        <v>0</v>
      </c>
      <c r="L37" s="65"/>
      <c r="M37" s="72"/>
      <c r="N37" s="72"/>
      <c r="O37" s="72"/>
      <c r="P37" s="65"/>
      <c r="Q37" s="72" t="s">
        <v>249</v>
      </c>
      <c r="R37" s="72" t="s">
        <v>249</v>
      </c>
      <c r="S37" s="72" t="s">
        <v>249</v>
      </c>
    </row>
    <row r="38" spans="1:19" ht="30" x14ac:dyDescent="0.25">
      <c r="B38" s="17">
        <v>432310</v>
      </c>
      <c r="C38" s="18" t="s">
        <v>62</v>
      </c>
      <c r="D38" s="8" t="s">
        <v>128</v>
      </c>
      <c r="E38" s="30" t="s">
        <v>187</v>
      </c>
      <c r="F38" s="75"/>
      <c r="G38" s="22"/>
      <c r="H38" s="65"/>
      <c r="I38" s="72">
        <v>0</v>
      </c>
      <c r="J38" s="72">
        <v>0</v>
      </c>
      <c r="K38" s="72">
        <v>0</v>
      </c>
      <c r="L38" s="65"/>
      <c r="M38" s="72"/>
      <c r="N38" s="72"/>
      <c r="O38" s="72"/>
      <c r="P38" s="65"/>
      <c r="Q38" s="72" t="s">
        <v>249</v>
      </c>
      <c r="R38" s="72" t="s">
        <v>249</v>
      </c>
      <c r="S38" s="72" t="s">
        <v>249</v>
      </c>
    </row>
    <row r="39" spans="1:19" ht="20.100000000000001" customHeight="1" x14ac:dyDescent="0.25">
      <c r="B39" s="17">
        <v>432320</v>
      </c>
      <c r="C39" s="18" t="s">
        <v>63</v>
      </c>
      <c r="D39" s="8" t="s">
        <v>129</v>
      </c>
      <c r="E39" s="23"/>
      <c r="F39" s="75"/>
      <c r="G39" s="22"/>
      <c r="H39" s="65"/>
      <c r="I39" s="72">
        <v>0</v>
      </c>
      <c r="J39" s="72">
        <v>0</v>
      </c>
      <c r="K39" s="72">
        <v>0</v>
      </c>
      <c r="L39" s="65"/>
      <c r="M39" s="72"/>
      <c r="N39" s="72"/>
      <c r="O39" s="72"/>
      <c r="P39" s="65"/>
      <c r="Q39" s="72" t="s">
        <v>249</v>
      </c>
      <c r="R39" s="72" t="s">
        <v>249</v>
      </c>
      <c r="S39" s="72" t="s">
        <v>249</v>
      </c>
    </row>
    <row r="40" spans="1:19" ht="20.100000000000001" customHeight="1" x14ac:dyDescent="0.25">
      <c r="B40" s="17">
        <v>432540</v>
      </c>
      <c r="C40" s="18" t="s">
        <v>64</v>
      </c>
      <c r="D40" s="8" t="s">
        <v>130</v>
      </c>
      <c r="E40" s="23"/>
      <c r="F40" s="75"/>
      <c r="G40" s="22"/>
      <c r="H40" s="65"/>
      <c r="I40" s="72">
        <v>0</v>
      </c>
      <c r="J40" s="72">
        <v>0</v>
      </c>
      <c r="K40" s="72">
        <v>0</v>
      </c>
      <c r="L40" s="65"/>
      <c r="M40" s="72"/>
      <c r="N40" s="72"/>
      <c r="O40" s="72"/>
      <c r="P40" s="65"/>
      <c r="Q40" s="72" t="s">
        <v>249</v>
      </c>
      <c r="R40" s="72" t="s">
        <v>249</v>
      </c>
      <c r="S40" s="72" t="s">
        <v>249</v>
      </c>
    </row>
    <row r="41" spans="1:19" ht="20.100000000000001" customHeight="1" x14ac:dyDescent="0.25">
      <c r="B41" s="17">
        <v>435510</v>
      </c>
      <c r="C41" s="18" t="s">
        <v>71</v>
      </c>
      <c r="D41" s="8" t="s">
        <v>167</v>
      </c>
      <c r="E41" s="23"/>
      <c r="F41" s="75"/>
      <c r="G41" s="22"/>
      <c r="H41" s="65"/>
      <c r="I41" s="72">
        <v>0</v>
      </c>
      <c r="J41" s="72">
        <v>0</v>
      </c>
      <c r="K41" s="72">
        <v>0</v>
      </c>
      <c r="L41" s="65"/>
      <c r="M41" s="72"/>
      <c r="N41" s="72"/>
      <c r="O41" s="72"/>
      <c r="P41" s="65"/>
      <c r="Q41" s="72" t="s">
        <v>249</v>
      </c>
      <c r="R41" s="72" t="s">
        <v>249</v>
      </c>
      <c r="S41" s="72" t="s">
        <v>249</v>
      </c>
    </row>
    <row r="42" spans="1:19" ht="20.100000000000001" customHeight="1" x14ac:dyDescent="0.25">
      <c r="B42" s="17">
        <v>435740</v>
      </c>
      <c r="C42" s="18" t="s">
        <v>78</v>
      </c>
      <c r="D42" s="8" t="s">
        <v>131</v>
      </c>
      <c r="E42" s="23"/>
      <c r="F42" s="75"/>
      <c r="G42" s="22"/>
      <c r="H42" s="65"/>
      <c r="I42" s="72">
        <v>0</v>
      </c>
      <c r="J42" s="72">
        <v>0</v>
      </c>
      <c r="K42" s="72">
        <v>0</v>
      </c>
      <c r="L42" s="65"/>
      <c r="M42" s="72"/>
      <c r="N42" s="72"/>
      <c r="O42" s="72"/>
      <c r="P42" s="65"/>
      <c r="Q42" s="72" t="s">
        <v>249</v>
      </c>
      <c r="R42" s="72" t="s">
        <v>249</v>
      </c>
      <c r="S42" s="72" t="s">
        <v>249</v>
      </c>
    </row>
    <row r="43" spans="1:19" s="3" customFormat="1" ht="30" x14ac:dyDescent="0.25">
      <c r="A43" s="4"/>
      <c r="B43" s="14" t="s">
        <v>93</v>
      </c>
      <c r="C43" s="18" t="s">
        <v>43</v>
      </c>
      <c r="D43" s="8" t="s">
        <v>164</v>
      </c>
      <c r="E43" s="23"/>
      <c r="F43" s="75"/>
      <c r="G43" s="22"/>
      <c r="H43" s="65"/>
      <c r="I43" s="72">
        <v>0</v>
      </c>
      <c r="J43" s="72">
        <v>0</v>
      </c>
      <c r="K43" s="72">
        <v>0</v>
      </c>
      <c r="L43" s="65"/>
      <c r="M43" s="72"/>
      <c r="N43" s="72"/>
      <c r="O43" s="72"/>
      <c r="P43" s="65"/>
      <c r="Q43" s="72" t="s">
        <v>249</v>
      </c>
      <c r="R43" s="72" t="s">
        <v>249</v>
      </c>
      <c r="S43" s="72" t="s">
        <v>249</v>
      </c>
    </row>
    <row r="44" spans="1:19" ht="20.100000000000001" customHeight="1" x14ac:dyDescent="0.25">
      <c r="A44" s="2" t="s">
        <v>101</v>
      </c>
      <c r="B44" s="17">
        <v>425300</v>
      </c>
      <c r="C44" s="18" t="s">
        <v>35</v>
      </c>
      <c r="D44" s="8" t="s">
        <v>132</v>
      </c>
      <c r="E44" s="23"/>
      <c r="F44" s="75"/>
      <c r="G44" s="22"/>
      <c r="H44" s="65"/>
      <c r="I44" s="72">
        <v>0</v>
      </c>
      <c r="J44" s="72">
        <v>0</v>
      </c>
      <c r="K44" s="72">
        <v>0</v>
      </c>
      <c r="L44" s="65"/>
      <c r="M44" s="72"/>
      <c r="N44" s="72"/>
      <c r="O44" s="72"/>
      <c r="P44" s="65"/>
      <c r="Q44" s="72" t="s">
        <v>249</v>
      </c>
      <c r="R44" s="72" t="s">
        <v>249</v>
      </c>
      <c r="S44" s="72" t="s">
        <v>249</v>
      </c>
    </row>
    <row r="45" spans="1:19" ht="20.100000000000001" customHeight="1" x14ac:dyDescent="0.25">
      <c r="B45" s="17">
        <v>471210</v>
      </c>
      <c r="C45" s="18" t="s">
        <v>75</v>
      </c>
      <c r="D45" s="8" t="s">
        <v>133</v>
      </c>
      <c r="E45" s="23"/>
      <c r="F45" s="75"/>
      <c r="G45" s="22"/>
      <c r="H45" s="65"/>
      <c r="I45" s="72">
        <v>0</v>
      </c>
      <c r="J45" s="72">
        <v>0</v>
      </c>
      <c r="K45" s="72">
        <v>0</v>
      </c>
      <c r="L45" s="65"/>
      <c r="M45" s="72"/>
      <c r="N45" s="72"/>
      <c r="O45" s="72"/>
      <c r="P45" s="65"/>
      <c r="Q45" s="72" t="s">
        <v>249</v>
      </c>
      <c r="R45" s="72" t="s">
        <v>249</v>
      </c>
      <c r="S45" s="72" t="s">
        <v>249</v>
      </c>
    </row>
    <row r="46" spans="1:19" ht="20.100000000000001" customHeight="1" x14ac:dyDescent="0.25">
      <c r="B46" s="17">
        <v>473050</v>
      </c>
      <c r="C46" s="18" t="s">
        <v>76</v>
      </c>
      <c r="D46" s="8" t="s">
        <v>134</v>
      </c>
      <c r="E46" s="23"/>
      <c r="F46" s="75"/>
      <c r="G46" s="22"/>
      <c r="H46" s="65"/>
      <c r="I46" s="72">
        <v>0</v>
      </c>
      <c r="J46" s="72">
        <v>0</v>
      </c>
      <c r="K46" s="72">
        <v>0</v>
      </c>
      <c r="L46" s="65"/>
      <c r="M46" s="72"/>
      <c r="N46" s="72"/>
      <c r="O46" s="72"/>
      <c r="P46" s="65"/>
      <c r="Q46" s="72" t="s">
        <v>249</v>
      </c>
      <c r="R46" s="72" t="s">
        <v>249</v>
      </c>
      <c r="S46" s="72" t="s">
        <v>249</v>
      </c>
    </row>
    <row r="47" spans="1:19" ht="30" x14ac:dyDescent="0.25">
      <c r="B47" s="17">
        <v>472900</v>
      </c>
      <c r="C47" s="18" t="s">
        <v>77</v>
      </c>
      <c r="D47" s="8" t="s">
        <v>135</v>
      </c>
      <c r="E47" s="23"/>
      <c r="F47" s="75"/>
      <c r="G47" s="22"/>
      <c r="H47" s="65"/>
      <c r="I47" s="72">
        <v>0</v>
      </c>
      <c r="J47" s="72">
        <v>0</v>
      </c>
      <c r="K47" s="72">
        <v>0</v>
      </c>
      <c r="L47" s="65"/>
      <c r="M47" s="72"/>
      <c r="N47" s="72"/>
      <c r="O47" s="72"/>
      <c r="P47" s="65"/>
      <c r="Q47" s="72" t="s">
        <v>249</v>
      </c>
      <c r="R47" s="72" t="s">
        <v>249</v>
      </c>
      <c r="S47" s="72" t="s">
        <v>249</v>
      </c>
    </row>
    <row r="48" spans="1:19" ht="20.100000000000001" customHeight="1" x14ac:dyDescent="0.25">
      <c r="B48" s="17">
        <v>425350</v>
      </c>
      <c r="C48" s="18" t="s">
        <v>91</v>
      </c>
      <c r="D48" s="8" t="s">
        <v>136</v>
      </c>
      <c r="E48" s="23"/>
      <c r="F48" s="75"/>
      <c r="G48" s="22"/>
      <c r="H48" s="65"/>
      <c r="I48" s="72">
        <v>0</v>
      </c>
      <c r="J48" s="72">
        <v>0</v>
      </c>
      <c r="K48" s="72">
        <v>0</v>
      </c>
      <c r="L48" s="65"/>
      <c r="M48" s="72"/>
      <c r="N48" s="72"/>
      <c r="O48" s="72"/>
      <c r="P48" s="65"/>
      <c r="Q48" s="72" t="s">
        <v>249</v>
      </c>
      <c r="R48" s="72" t="s">
        <v>249</v>
      </c>
      <c r="S48" s="72" t="s">
        <v>249</v>
      </c>
    </row>
    <row r="49" spans="1:19" ht="45" customHeight="1" x14ac:dyDescent="0.25">
      <c r="A49" s="2" t="s">
        <v>102</v>
      </c>
      <c r="B49" s="83">
        <v>421000</v>
      </c>
      <c r="C49" s="91" t="s">
        <v>6</v>
      </c>
      <c r="D49" s="86" t="s">
        <v>137</v>
      </c>
      <c r="E49" s="94"/>
      <c r="F49" s="75"/>
      <c r="G49" s="22"/>
      <c r="H49" s="65"/>
      <c r="I49" s="72">
        <v>0</v>
      </c>
      <c r="J49" s="72">
        <v>0</v>
      </c>
      <c r="K49" s="72">
        <v>0</v>
      </c>
      <c r="L49" s="65"/>
      <c r="M49" s="72"/>
      <c r="N49" s="72"/>
      <c r="O49" s="72"/>
      <c r="P49" s="65"/>
      <c r="Q49" s="72" t="s">
        <v>249</v>
      </c>
      <c r="R49" s="72" t="s">
        <v>249</v>
      </c>
      <c r="S49" s="72" t="s">
        <v>249</v>
      </c>
    </row>
    <row r="50" spans="1:19" x14ac:dyDescent="0.25">
      <c r="A50" s="19"/>
      <c r="B50" s="84"/>
      <c r="C50" s="92"/>
      <c r="D50" s="87"/>
      <c r="E50" s="95"/>
      <c r="F50" s="75"/>
      <c r="G50" s="22"/>
      <c r="H50" s="65"/>
      <c r="I50" s="72">
        <v>0</v>
      </c>
      <c r="J50" s="72">
        <v>0</v>
      </c>
      <c r="K50" s="72">
        <v>0</v>
      </c>
      <c r="L50" s="65"/>
      <c r="M50" s="72"/>
      <c r="N50" s="72"/>
      <c r="O50" s="72"/>
      <c r="P50" s="65"/>
      <c r="Q50" s="72" t="s">
        <v>249</v>
      </c>
      <c r="R50" s="72" t="s">
        <v>249</v>
      </c>
      <c r="S50" s="72" t="s">
        <v>249</v>
      </c>
    </row>
    <row r="51" spans="1:19" x14ac:dyDescent="0.25">
      <c r="A51" s="19"/>
      <c r="B51" s="85"/>
      <c r="C51" s="93"/>
      <c r="D51" s="88"/>
      <c r="E51" s="96"/>
      <c r="F51" s="75"/>
      <c r="G51" s="22"/>
      <c r="H51" s="65"/>
      <c r="I51" s="72">
        <v>0</v>
      </c>
      <c r="J51" s="72">
        <v>0</v>
      </c>
      <c r="K51" s="72">
        <v>0</v>
      </c>
      <c r="L51" s="65"/>
      <c r="M51" s="72"/>
      <c r="N51" s="72"/>
      <c r="O51" s="72"/>
      <c r="P51" s="65"/>
      <c r="Q51" s="72" t="s">
        <v>249</v>
      </c>
      <c r="R51" s="72" t="s">
        <v>249</v>
      </c>
      <c r="S51" s="72" t="s">
        <v>249</v>
      </c>
    </row>
    <row r="52" spans="1:19" ht="45" x14ac:dyDescent="0.25">
      <c r="B52" s="17">
        <v>421100</v>
      </c>
      <c r="C52" s="18" t="s">
        <v>7</v>
      </c>
      <c r="D52" s="8" t="s">
        <v>138</v>
      </c>
      <c r="E52" s="31"/>
      <c r="F52" s="75"/>
      <c r="G52" s="22"/>
      <c r="H52" s="65"/>
      <c r="I52" s="72">
        <v>0</v>
      </c>
      <c r="J52" s="72">
        <v>0</v>
      </c>
      <c r="K52" s="72">
        <v>0</v>
      </c>
      <c r="L52" s="65"/>
      <c r="M52" s="72"/>
      <c r="N52" s="72"/>
      <c r="O52" s="72"/>
      <c r="P52" s="65"/>
      <c r="Q52" s="72">
        <v>247207.80134313664</v>
      </c>
      <c r="R52" s="72">
        <v>119518</v>
      </c>
      <c r="S52" s="72">
        <v>0</v>
      </c>
    </row>
    <row r="53" spans="1:19" ht="30" x14ac:dyDescent="0.25">
      <c r="B53" s="17">
        <v>427710</v>
      </c>
      <c r="C53" s="12" t="s">
        <v>36</v>
      </c>
      <c r="D53" s="8" t="s">
        <v>169</v>
      </c>
      <c r="E53" s="31"/>
      <c r="F53" s="75"/>
      <c r="G53" s="22"/>
      <c r="H53" s="65"/>
      <c r="I53" s="72">
        <v>0</v>
      </c>
      <c r="J53" s="72">
        <v>0</v>
      </c>
      <c r="K53" s="72">
        <v>0</v>
      </c>
      <c r="L53" s="65"/>
      <c r="M53" s="72">
        <v>3861000</v>
      </c>
      <c r="N53" s="72">
        <v>3482393.54</v>
      </c>
      <c r="O53" s="72">
        <v>3321126.67</v>
      </c>
      <c r="P53" s="65"/>
      <c r="Q53" s="72">
        <v>1431.3140993779227</v>
      </c>
      <c r="R53" s="72">
        <v>692</v>
      </c>
      <c r="S53" s="72">
        <v>0</v>
      </c>
    </row>
    <row r="54" spans="1:19" ht="45" x14ac:dyDescent="0.25">
      <c r="B54" s="17">
        <v>428090</v>
      </c>
      <c r="C54" s="18" t="s">
        <v>34</v>
      </c>
      <c r="D54" s="8" t="s">
        <v>170</v>
      </c>
      <c r="E54" s="31"/>
      <c r="F54" s="75">
        <v>150000</v>
      </c>
      <c r="G54" s="22"/>
      <c r="H54" s="65"/>
      <c r="I54" s="72">
        <v>0</v>
      </c>
      <c r="J54" s="72">
        <v>1104</v>
      </c>
      <c r="K54" s="72">
        <v>276</v>
      </c>
      <c r="L54" s="65"/>
      <c r="M54" s="72">
        <v>88000</v>
      </c>
      <c r="N54" s="72">
        <v>21095</v>
      </c>
      <c r="O54" s="72">
        <v>95236.3</v>
      </c>
      <c r="P54" s="65"/>
      <c r="Q54" s="72" t="s">
        <v>249</v>
      </c>
      <c r="R54" s="72" t="s">
        <v>249</v>
      </c>
      <c r="S54" s="72" t="s">
        <v>249</v>
      </c>
    </row>
    <row r="55" spans="1:19" ht="45" x14ac:dyDescent="0.25">
      <c r="A55" s="4"/>
      <c r="B55" s="14" t="s">
        <v>93</v>
      </c>
      <c r="C55" s="18" t="s">
        <v>88</v>
      </c>
      <c r="D55" s="9" t="s">
        <v>139</v>
      </c>
      <c r="E55" s="31"/>
      <c r="F55" s="75">
        <v>0</v>
      </c>
      <c r="G55" s="22"/>
      <c r="H55" s="65"/>
      <c r="I55" s="72">
        <v>0</v>
      </c>
      <c r="J55" s="72">
        <v>0</v>
      </c>
      <c r="K55" s="72">
        <v>0</v>
      </c>
      <c r="L55" s="65"/>
      <c r="M55" s="72"/>
      <c r="N55" s="72"/>
      <c r="O55" s="72"/>
      <c r="P55" s="65"/>
      <c r="Q55" s="72">
        <v>1666.943148801525</v>
      </c>
      <c r="R55" s="72">
        <v>805.92</v>
      </c>
      <c r="S55" s="72">
        <v>147</v>
      </c>
    </row>
    <row r="56" spans="1:19" ht="45" x14ac:dyDescent="0.25">
      <c r="A56" s="4"/>
      <c r="B56" s="14" t="s">
        <v>93</v>
      </c>
      <c r="C56" s="18" t="s">
        <v>89</v>
      </c>
      <c r="D56" s="8" t="s">
        <v>140</v>
      </c>
      <c r="E56" s="31"/>
      <c r="F56" s="75"/>
      <c r="G56" s="22"/>
      <c r="H56" s="65"/>
      <c r="I56" s="72">
        <v>0</v>
      </c>
      <c r="J56" s="72">
        <v>0</v>
      </c>
      <c r="K56" s="72">
        <v>0</v>
      </c>
      <c r="L56" s="65"/>
      <c r="M56" s="72"/>
      <c r="N56" s="72"/>
      <c r="O56" s="72"/>
      <c r="P56" s="65"/>
      <c r="Q56" s="72" t="s">
        <v>249</v>
      </c>
      <c r="R56" s="72" t="s">
        <v>249</v>
      </c>
      <c r="S56" s="72" t="s">
        <v>249</v>
      </c>
    </row>
    <row r="57" spans="1:19" ht="30" x14ac:dyDescent="0.25">
      <c r="A57" s="2" t="s">
        <v>98</v>
      </c>
      <c r="B57" s="17">
        <v>426610</v>
      </c>
      <c r="C57" s="18" t="s">
        <v>26</v>
      </c>
      <c r="D57" s="8" t="s">
        <v>141</v>
      </c>
      <c r="E57" s="31" t="s">
        <v>98</v>
      </c>
      <c r="F57" s="75"/>
      <c r="G57" s="22"/>
      <c r="H57" s="65"/>
      <c r="I57" s="72">
        <v>96000</v>
      </c>
      <c r="J57" s="72">
        <v>138642.91</v>
      </c>
      <c r="K57" s="72">
        <v>88177.85</v>
      </c>
      <c r="L57" s="65"/>
      <c r="M57" s="72"/>
      <c r="N57" s="72"/>
      <c r="O57" s="72"/>
      <c r="P57" s="65"/>
      <c r="Q57" s="72" t="s">
        <v>249</v>
      </c>
      <c r="R57" s="72" t="s">
        <v>249</v>
      </c>
      <c r="S57" s="72" t="s">
        <v>249</v>
      </c>
    </row>
    <row r="58" spans="1:19" ht="20.100000000000001" customHeight="1" x14ac:dyDescent="0.25">
      <c r="B58" s="17">
        <v>427810</v>
      </c>
      <c r="C58" s="18" t="s">
        <v>31</v>
      </c>
      <c r="D58" s="8" t="s">
        <v>142</v>
      </c>
      <c r="E58" s="31" t="s">
        <v>98</v>
      </c>
      <c r="F58" s="75"/>
      <c r="G58" s="22"/>
      <c r="H58" s="65"/>
      <c r="I58" s="72">
        <v>0</v>
      </c>
      <c r="J58" s="72">
        <v>0</v>
      </c>
      <c r="K58" s="72">
        <v>0</v>
      </c>
      <c r="L58" s="65"/>
      <c r="M58" s="72"/>
      <c r="N58" s="72"/>
      <c r="O58" s="72"/>
      <c r="P58" s="65"/>
      <c r="Q58" s="72" t="s">
        <v>249</v>
      </c>
      <c r="R58" s="72" t="s">
        <v>249</v>
      </c>
      <c r="S58" s="72" t="s">
        <v>249</v>
      </c>
    </row>
    <row r="59" spans="1:19" ht="20.100000000000001" customHeight="1" x14ac:dyDescent="0.25">
      <c r="B59" s="17">
        <v>427850</v>
      </c>
      <c r="C59" s="18" t="s">
        <v>32</v>
      </c>
      <c r="D59" s="8" t="s">
        <v>48</v>
      </c>
      <c r="E59" s="31" t="s">
        <v>98</v>
      </c>
      <c r="F59" s="75"/>
      <c r="G59" s="22"/>
      <c r="H59" s="65"/>
      <c r="I59" s="72">
        <v>0</v>
      </c>
      <c r="J59" s="72">
        <v>0</v>
      </c>
      <c r="K59" s="72">
        <v>0</v>
      </c>
      <c r="L59" s="65"/>
      <c r="M59" s="72"/>
      <c r="N59" s="72"/>
      <c r="O59" s="72"/>
      <c r="P59" s="65"/>
      <c r="Q59" s="72" t="s">
        <v>249</v>
      </c>
      <c r="R59" s="72" t="s">
        <v>249</v>
      </c>
      <c r="S59" s="72" t="s">
        <v>249</v>
      </c>
    </row>
    <row r="60" spans="1:19" ht="20.100000000000001" customHeight="1" x14ac:dyDescent="0.25">
      <c r="B60" s="17">
        <v>430230</v>
      </c>
      <c r="C60" s="18" t="s">
        <v>56</v>
      </c>
      <c r="D60" s="8" t="s">
        <v>171</v>
      </c>
      <c r="E60" s="31" t="s">
        <v>233</v>
      </c>
      <c r="F60" s="75"/>
      <c r="G60" s="22"/>
      <c r="H60" s="65"/>
      <c r="I60" s="72">
        <v>0</v>
      </c>
      <c r="J60" s="72">
        <v>0</v>
      </c>
      <c r="K60" s="72">
        <v>0</v>
      </c>
      <c r="L60" s="65"/>
      <c r="M60" s="72"/>
      <c r="N60" s="72"/>
      <c r="O60" s="72"/>
      <c r="P60" s="65"/>
      <c r="Q60" s="72" t="s">
        <v>249</v>
      </c>
      <c r="R60" s="72" t="s">
        <v>249</v>
      </c>
      <c r="S60" s="72" t="s">
        <v>249</v>
      </c>
    </row>
    <row r="61" spans="1:19" ht="30" x14ac:dyDescent="0.25">
      <c r="B61" s="17">
        <v>432205</v>
      </c>
      <c r="C61" s="18" t="s">
        <v>61</v>
      </c>
      <c r="D61" s="8" t="s">
        <v>144</v>
      </c>
      <c r="E61" s="31" t="s">
        <v>98</v>
      </c>
      <c r="F61" s="75"/>
      <c r="G61" s="22"/>
      <c r="H61" s="65"/>
      <c r="I61" s="72">
        <v>0</v>
      </c>
      <c r="J61" s="72">
        <v>0</v>
      </c>
      <c r="K61" s="72">
        <v>0</v>
      </c>
      <c r="L61" s="65"/>
      <c r="M61" s="72"/>
      <c r="N61" s="72"/>
      <c r="O61" s="72"/>
      <c r="P61" s="65"/>
      <c r="Q61" s="72" t="s">
        <v>249</v>
      </c>
      <c r="R61" s="72" t="s">
        <v>249</v>
      </c>
      <c r="S61" s="72" t="s">
        <v>249</v>
      </c>
    </row>
    <row r="62" spans="1:19" ht="30" x14ac:dyDescent="0.25">
      <c r="B62" s="17">
        <v>420810</v>
      </c>
      <c r="C62" s="18" t="s">
        <v>90</v>
      </c>
      <c r="D62" s="8" t="s">
        <v>143</v>
      </c>
      <c r="E62" s="31" t="s">
        <v>98</v>
      </c>
      <c r="F62" s="75"/>
      <c r="G62" s="22"/>
      <c r="H62" s="65"/>
      <c r="I62" s="72">
        <v>0</v>
      </c>
      <c r="J62" s="72">
        <v>0</v>
      </c>
      <c r="K62" s="72">
        <v>0</v>
      </c>
      <c r="L62" s="65"/>
      <c r="M62" s="72"/>
      <c r="N62" s="72"/>
      <c r="O62" s="72"/>
      <c r="P62" s="65"/>
      <c r="Q62" s="72" t="s">
        <v>249</v>
      </c>
      <c r="R62" s="72" t="s">
        <v>249</v>
      </c>
      <c r="S62" s="72" t="s">
        <v>249</v>
      </c>
    </row>
    <row r="63" spans="1:19" ht="20.100000000000001" customHeight="1" x14ac:dyDescent="0.25">
      <c r="A63" s="2" t="s">
        <v>94</v>
      </c>
      <c r="B63" s="17">
        <v>420120</v>
      </c>
      <c r="C63" s="18" t="s">
        <v>0</v>
      </c>
      <c r="D63" s="8" t="s">
        <v>39</v>
      </c>
      <c r="E63" s="23"/>
      <c r="F63" s="75"/>
      <c r="G63" s="22"/>
      <c r="H63" s="65"/>
      <c r="I63" s="72">
        <v>0</v>
      </c>
      <c r="J63" s="72">
        <v>0</v>
      </c>
      <c r="K63" s="72">
        <v>0</v>
      </c>
      <c r="L63" s="65"/>
      <c r="M63" s="72"/>
      <c r="N63" s="72"/>
      <c r="O63" s="72"/>
      <c r="P63" s="65"/>
      <c r="Q63" s="72" t="s">
        <v>249</v>
      </c>
      <c r="R63" s="72" t="s">
        <v>249</v>
      </c>
      <c r="S63" s="72" t="s">
        <v>249</v>
      </c>
    </row>
    <row r="64" spans="1:19" ht="20.100000000000001" customHeight="1" x14ac:dyDescent="0.25">
      <c r="B64" s="17">
        <v>420130</v>
      </c>
      <c r="C64" s="18" t="s">
        <v>1</v>
      </c>
      <c r="D64" s="8" t="s">
        <v>145</v>
      </c>
      <c r="E64" s="23"/>
      <c r="F64" s="75"/>
      <c r="G64" s="22"/>
      <c r="H64" s="65"/>
      <c r="I64" s="72">
        <v>0</v>
      </c>
      <c r="J64" s="72">
        <v>0</v>
      </c>
      <c r="K64" s="72">
        <v>0</v>
      </c>
      <c r="L64" s="65"/>
      <c r="M64" s="72"/>
      <c r="N64" s="72"/>
      <c r="O64" s="72"/>
      <c r="P64" s="65"/>
      <c r="Q64" s="72" t="s">
        <v>249</v>
      </c>
      <c r="R64" s="72" t="s">
        <v>249</v>
      </c>
      <c r="S64" s="72" t="s">
        <v>249</v>
      </c>
    </row>
    <row r="65" spans="1:19" ht="20.100000000000001" customHeight="1" x14ac:dyDescent="0.25">
      <c r="B65" s="17">
        <v>420900</v>
      </c>
      <c r="C65" s="18" t="s">
        <v>5</v>
      </c>
      <c r="D65" s="8" t="s">
        <v>146</v>
      </c>
      <c r="E65" s="23"/>
      <c r="F65" s="75"/>
      <c r="G65" s="22"/>
      <c r="H65" s="65"/>
      <c r="I65" s="72">
        <v>0</v>
      </c>
      <c r="J65" s="72">
        <v>0</v>
      </c>
      <c r="K65" s="72">
        <v>0</v>
      </c>
      <c r="L65" s="65"/>
      <c r="M65" s="72"/>
      <c r="N65" s="72"/>
      <c r="O65" s="72"/>
      <c r="P65" s="65"/>
      <c r="Q65" s="72" t="s">
        <v>249</v>
      </c>
      <c r="R65" s="72" t="s">
        <v>249</v>
      </c>
      <c r="S65" s="72" t="s">
        <v>249</v>
      </c>
    </row>
    <row r="66" spans="1:19" ht="20.100000000000001" customHeight="1" x14ac:dyDescent="0.25">
      <c r="B66" s="17">
        <v>425900</v>
      </c>
      <c r="C66" s="18" t="s">
        <v>21</v>
      </c>
      <c r="D66" s="8" t="s">
        <v>172</v>
      </c>
      <c r="E66" s="23"/>
      <c r="F66" s="75"/>
      <c r="G66" s="22"/>
      <c r="H66" s="65"/>
      <c r="I66" s="72">
        <v>0</v>
      </c>
      <c r="J66" s="72">
        <v>250</v>
      </c>
      <c r="K66" s="72">
        <v>0</v>
      </c>
      <c r="L66" s="65"/>
      <c r="M66" s="72"/>
      <c r="N66" s="72"/>
      <c r="O66" s="72"/>
      <c r="P66" s="65"/>
      <c r="Q66" s="72" t="s">
        <v>249</v>
      </c>
      <c r="R66" s="72" t="s">
        <v>249</v>
      </c>
      <c r="S66" s="72" t="s">
        <v>249</v>
      </c>
    </row>
    <row r="67" spans="1:19" ht="20.100000000000001" customHeight="1" x14ac:dyDescent="0.25">
      <c r="B67" s="17">
        <v>426100</v>
      </c>
      <c r="C67" s="18" t="s">
        <v>184</v>
      </c>
      <c r="D67" s="8" t="s">
        <v>185</v>
      </c>
      <c r="E67" s="23"/>
      <c r="F67" s="75"/>
      <c r="G67" s="22"/>
      <c r="H67" s="65"/>
      <c r="I67" s="72">
        <v>0</v>
      </c>
      <c r="J67" s="72">
        <v>0</v>
      </c>
      <c r="K67" s="72">
        <v>0</v>
      </c>
      <c r="L67" s="65"/>
      <c r="M67" s="72"/>
      <c r="N67" s="72"/>
      <c r="O67" s="72"/>
      <c r="P67" s="65"/>
      <c r="Q67" s="72" t="s">
        <v>249</v>
      </c>
      <c r="R67" s="72" t="s">
        <v>249</v>
      </c>
      <c r="S67" s="72" t="s">
        <v>249</v>
      </c>
    </row>
    <row r="68" spans="1:19" ht="30" x14ac:dyDescent="0.25">
      <c r="B68" s="17">
        <v>426900</v>
      </c>
      <c r="C68" s="12" t="s">
        <v>29</v>
      </c>
      <c r="D68" s="8" t="s">
        <v>147</v>
      </c>
      <c r="E68" s="23"/>
      <c r="F68" s="75"/>
      <c r="G68" s="22"/>
      <c r="H68" s="65"/>
      <c r="I68" s="72">
        <v>0</v>
      </c>
      <c r="J68" s="72">
        <v>0</v>
      </c>
      <c r="K68" s="72">
        <v>0</v>
      </c>
      <c r="L68" s="65"/>
      <c r="M68" s="72"/>
      <c r="N68" s="72"/>
      <c r="O68" s="72"/>
      <c r="P68" s="65"/>
      <c r="Q68" s="72" t="s">
        <v>249</v>
      </c>
      <c r="R68" s="72" t="s">
        <v>249</v>
      </c>
      <c r="S68" s="72" t="s">
        <v>249</v>
      </c>
    </row>
    <row r="69" spans="1:19" ht="20.100000000000001" customHeight="1" x14ac:dyDescent="0.25">
      <c r="B69" s="17">
        <v>427900</v>
      </c>
      <c r="C69" s="18" t="s">
        <v>33</v>
      </c>
      <c r="D69" s="8" t="s">
        <v>148</v>
      </c>
      <c r="E69" s="23"/>
      <c r="F69" s="75"/>
      <c r="G69" s="22"/>
      <c r="H69" s="65"/>
      <c r="I69" s="72">
        <v>0</v>
      </c>
      <c r="J69" s="72">
        <v>0</v>
      </c>
      <c r="K69" s="72">
        <v>0</v>
      </c>
      <c r="L69" s="65"/>
      <c r="M69" s="72"/>
      <c r="N69" s="72"/>
      <c r="O69" s="72"/>
      <c r="P69" s="65"/>
      <c r="Q69" s="72" t="s">
        <v>249</v>
      </c>
      <c r="R69" s="72" t="s">
        <v>249</v>
      </c>
      <c r="S69" s="72" t="s">
        <v>249</v>
      </c>
    </row>
    <row r="70" spans="1:19" ht="30" x14ac:dyDescent="0.25">
      <c r="B70" s="17">
        <v>429900</v>
      </c>
      <c r="C70" s="12" t="s">
        <v>54</v>
      </c>
      <c r="D70" s="8" t="s">
        <v>149</v>
      </c>
      <c r="E70" s="23"/>
      <c r="F70" s="75"/>
      <c r="G70" s="22"/>
      <c r="H70" s="65"/>
      <c r="I70" s="72">
        <v>0</v>
      </c>
      <c r="J70" s="72">
        <v>0</v>
      </c>
      <c r="K70" s="72">
        <v>0</v>
      </c>
      <c r="L70" s="65"/>
      <c r="M70" s="72"/>
      <c r="N70" s="72"/>
      <c r="O70" s="72"/>
      <c r="P70" s="65"/>
      <c r="Q70" s="72" t="s">
        <v>249</v>
      </c>
      <c r="R70" s="72" t="s">
        <v>249</v>
      </c>
      <c r="S70" s="72" t="s">
        <v>249</v>
      </c>
    </row>
    <row r="71" spans="1:19" ht="20.100000000000001" customHeight="1" x14ac:dyDescent="0.25">
      <c r="B71" s="83">
        <v>435410</v>
      </c>
      <c r="C71" s="83" t="s">
        <v>69</v>
      </c>
      <c r="D71" s="86" t="s">
        <v>150</v>
      </c>
      <c r="E71" s="27"/>
      <c r="F71" s="75">
        <v>45000</v>
      </c>
      <c r="G71" s="22"/>
      <c r="H71" s="65"/>
      <c r="I71" s="72">
        <v>0</v>
      </c>
      <c r="J71" s="72">
        <v>0</v>
      </c>
      <c r="K71" s="72">
        <v>0</v>
      </c>
      <c r="L71" s="65"/>
      <c r="M71" s="72"/>
      <c r="N71" s="72"/>
      <c r="O71" s="72"/>
      <c r="P71" s="65"/>
      <c r="Q71" s="72">
        <v>45335.633074010118</v>
      </c>
      <c r="R71" s="72">
        <v>21918.5</v>
      </c>
      <c r="S71" s="72">
        <v>25470.5</v>
      </c>
    </row>
    <row r="72" spans="1:19" ht="20.100000000000001" customHeight="1" x14ac:dyDescent="0.25">
      <c r="B72" s="84"/>
      <c r="C72" s="84"/>
      <c r="D72" s="87"/>
      <c r="E72" s="28"/>
      <c r="F72" s="75"/>
      <c r="G72" s="22"/>
      <c r="H72" s="65"/>
      <c r="I72" s="72">
        <v>0</v>
      </c>
      <c r="J72" s="72">
        <v>0</v>
      </c>
      <c r="K72" s="72">
        <v>0</v>
      </c>
      <c r="L72" s="65"/>
      <c r="M72" s="72"/>
      <c r="N72" s="72"/>
      <c r="O72" s="72"/>
      <c r="P72" s="65"/>
      <c r="Q72" s="72" t="s">
        <v>249</v>
      </c>
      <c r="R72" s="72" t="s">
        <v>249</v>
      </c>
      <c r="S72" s="72" t="s">
        <v>249</v>
      </c>
    </row>
    <row r="73" spans="1:19" ht="20.100000000000001" customHeight="1" x14ac:dyDescent="0.25">
      <c r="B73" s="85"/>
      <c r="C73" s="85"/>
      <c r="D73" s="88"/>
      <c r="E73" s="29"/>
      <c r="F73" s="75"/>
      <c r="G73" s="22"/>
      <c r="H73" s="65"/>
      <c r="I73" s="72">
        <v>0</v>
      </c>
      <c r="J73" s="72">
        <v>0</v>
      </c>
      <c r="K73" s="72">
        <v>0</v>
      </c>
      <c r="L73" s="65"/>
      <c r="M73" s="72"/>
      <c r="N73" s="72"/>
      <c r="O73" s="72"/>
      <c r="P73" s="65"/>
      <c r="Q73" s="72" t="s">
        <v>249</v>
      </c>
      <c r="R73" s="72" t="s">
        <v>249</v>
      </c>
      <c r="S73" s="72" t="s">
        <v>249</v>
      </c>
    </row>
    <row r="74" spans="1:19" ht="30" x14ac:dyDescent="0.25">
      <c r="B74" s="17">
        <v>436110</v>
      </c>
      <c r="C74" s="18" t="s">
        <v>73</v>
      </c>
      <c r="D74" s="8" t="s">
        <v>151</v>
      </c>
      <c r="E74" s="23"/>
      <c r="F74" s="75"/>
      <c r="G74" s="22"/>
      <c r="H74" s="65"/>
      <c r="I74" s="72">
        <v>0</v>
      </c>
      <c r="J74" s="72">
        <v>0</v>
      </c>
      <c r="K74" s="72">
        <v>650</v>
      </c>
      <c r="L74" s="65"/>
      <c r="M74" s="72"/>
      <c r="N74" s="72"/>
      <c r="O74" s="72"/>
      <c r="P74" s="65"/>
      <c r="Q74" s="72" t="s">
        <v>249</v>
      </c>
      <c r="R74" s="72" t="s">
        <v>249</v>
      </c>
      <c r="S74" s="72" t="s">
        <v>249</v>
      </c>
    </row>
    <row r="75" spans="1:19" ht="20.100000000000001" customHeight="1" x14ac:dyDescent="0.25">
      <c r="B75" s="17">
        <v>436120</v>
      </c>
      <c r="C75" s="18" t="s">
        <v>74</v>
      </c>
      <c r="D75" s="8" t="s">
        <v>152</v>
      </c>
      <c r="E75" s="23"/>
      <c r="F75" s="75"/>
      <c r="G75" s="22"/>
      <c r="H75" s="65"/>
      <c r="I75" s="72">
        <v>0</v>
      </c>
      <c r="J75" s="72">
        <v>700</v>
      </c>
      <c r="K75" s="72">
        <v>0</v>
      </c>
      <c r="L75" s="65"/>
      <c r="M75" s="72"/>
      <c r="N75" s="72"/>
      <c r="O75" s="72"/>
      <c r="P75" s="65"/>
      <c r="Q75" s="72" t="s">
        <v>249</v>
      </c>
      <c r="R75" s="72" t="s">
        <v>249</v>
      </c>
      <c r="S75" s="72" t="s">
        <v>249</v>
      </c>
    </row>
    <row r="76" spans="1:19" ht="45" x14ac:dyDescent="0.25">
      <c r="A76" s="2" t="s">
        <v>99</v>
      </c>
      <c r="B76" s="17">
        <v>428400</v>
      </c>
      <c r="C76" s="18" t="s">
        <v>52</v>
      </c>
      <c r="D76" s="8" t="s">
        <v>153</v>
      </c>
      <c r="E76" s="23"/>
      <c r="F76" s="75"/>
      <c r="G76" s="22"/>
      <c r="H76" s="65"/>
      <c r="I76" s="72">
        <v>0</v>
      </c>
      <c r="J76" s="72">
        <v>0</v>
      </c>
      <c r="K76" s="72">
        <v>0</v>
      </c>
      <c r="L76" s="65"/>
      <c r="M76" s="72"/>
      <c r="N76" s="72"/>
      <c r="O76" s="72"/>
      <c r="P76" s="65"/>
      <c r="Q76" s="72" t="s">
        <v>249</v>
      </c>
      <c r="R76" s="72" t="s">
        <v>249</v>
      </c>
      <c r="S76" s="72" t="s">
        <v>249</v>
      </c>
    </row>
    <row r="77" spans="1:19" ht="30" x14ac:dyDescent="0.25">
      <c r="B77" s="13">
        <v>435523</v>
      </c>
      <c r="C77" s="18" t="s">
        <v>85</v>
      </c>
      <c r="D77" s="8" t="s">
        <v>154</v>
      </c>
      <c r="E77" s="23"/>
      <c r="F77" s="75"/>
      <c r="G77" s="22"/>
      <c r="H77" s="65"/>
      <c r="I77" s="72">
        <v>0</v>
      </c>
      <c r="J77" s="72">
        <v>0</v>
      </c>
      <c r="K77" s="72">
        <v>0</v>
      </c>
      <c r="L77" s="65"/>
      <c r="M77" s="72"/>
      <c r="N77" s="72"/>
      <c r="O77" s="72"/>
      <c r="P77" s="65"/>
      <c r="Q77" s="72" t="s">
        <v>249</v>
      </c>
      <c r="R77" s="72" t="s">
        <v>249</v>
      </c>
      <c r="S77" s="72" t="s">
        <v>249</v>
      </c>
    </row>
    <row r="78" spans="1:19" ht="30" x14ac:dyDescent="0.25">
      <c r="A78" s="2" t="s">
        <v>97</v>
      </c>
      <c r="B78" s="17">
        <v>425720</v>
      </c>
      <c r="C78" s="18" t="s">
        <v>14</v>
      </c>
      <c r="D78" s="8" t="s">
        <v>155</v>
      </c>
      <c r="E78" s="23"/>
      <c r="F78" s="75"/>
      <c r="G78" s="22"/>
      <c r="H78" s="65"/>
      <c r="I78" s="72">
        <v>0</v>
      </c>
      <c r="J78" s="72">
        <v>0</v>
      </c>
      <c r="K78" s="72">
        <v>0</v>
      </c>
      <c r="L78" s="65"/>
      <c r="M78" s="72"/>
      <c r="N78" s="72"/>
      <c r="O78" s="72"/>
      <c r="P78" s="65"/>
      <c r="Q78" s="72">
        <v>0</v>
      </c>
      <c r="R78" s="72">
        <v>0</v>
      </c>
      <c r="S78" s="72">
        <v>0</v>
      </c>
    </row>
    <row r="79" spans="1:19" ht="20.100000000000001" customHeight="1" x14ac:dyDescent="0.25">
      <c r="B79" s="17">
        <v>425740</v>
      </c>
      <c r="C79" s="18" t="s">
        <v>15</v>
      </c>
      <c r="D79" s="8" t="s">
        <v>156</v>
      </c>
      <c r="E79" s="23"/>
      <c r="F79" s="75"/>
      <c r="G79" s="22"/>
      <c r="H79" s="65"/>
      <c r="I79" s="72">
        <v>0</v>
      </c>
      <c r="J79" s="72">
        <v>0</v>
      </c>
      <c r="K79" s="72">
        <v>0</v>
      </c>
      <c r="L79" s="65"/>
      <c r="M79" s="72"/>
      <c r="N79" s="72"/>
      <c r="O79" s="72"/>
      <c r="P79" s="65"/>
      <c r="Q79" s="72" t="s">
        <v>249</v>
      </c>
      <c r="R79" s="72" t="s">
        <v>249</v>
      </c>
      <c r="S79" s="72" t="s">
        <v>249</v>
      </c>
    </row>
    <row r="80" spans="1:19" ht="20.100000000000001" customHeight="1" x14ac:dyDescent="0.25">
      <c r="B80" s="17">
        <v>425741</v>
      </c>
      <c r="C80" s="18" t="s">
        <v>86</v>
      </c>
      <c r="D80" s="8" t="s">
        <v>173</v>
      </c>
      <c r="E80" s="23"/>
      <c r="F80" s="75"/>
      <c r="G80" s="22"/>
      <c r="H80" s="65"/>
      <c r="I80" s="72">
        <v>0</v>
      </c>
      <c r="J80" s="72">
        <v>0</v>
      </c>
      <c r="K80" s="72">
        <v>0</v>
      </c>
      <c r="L80" s="65"/>
      <c r="M80" s="72"/>
      <c r="N80" s="72"/>
      <c r="O80" s="72"/>
      <c r="P80" s="65"/>
      <c r="Q80" s="72" t="s">
        <v>249</v>
      </c>
      <c r="R80" s="72" t="s">
        <v>249</v>
      </c>
      <c r="S80" s="72" t="s">
        <v>249</v>
      </c>
    </row>
    <row r="81" spans="2:19" ht="20.100000000000001" customHeight="1" x14ac:dyDescent="0.25">
      <c r="B81" s="17">
        <v>425742</v>
      </c>
      <c r="C81" s="18" t="s">
        <v>180</v>
      </c>
      <c r="D81" s="8" t="s">
        <v>183</v>
      </c>
      <c r="E81" s="23"/>
      <c r="F81" s="75"/>
      <c r="G81" s="22"/>
      <c r="H81" s="65"/>
      <c r="I81" s="72">
        <v>0</v>
      </c>
      <c r="J81" s="72">
        <v>0</v>
      </c>
      <c r="K81" s="72">
        <v>0</v>
      </c>
      <c r="L81" s="65"/>
      <c r="M81" s="72"/>
      <c r="N81" s="72"/>
      <c r="O81" s="72"/>
      <c r="P81" s="65"/>
      <c r="Q81" s="72" t="s">
        <v>249</v>
      </c>
      <c r="R81" s="72" t="s">
        <v>249</v>
      </c>
      <c r="S81" s="72" t="s">
        <v>249</v>
      </c>
    </row>
    <row r="82" spans="2:19" ht="45" x14ac:dyDescent="0.25">
      <c r="B82" s="13">
        <v>425743</v>
      </c>
      <c r="C82" s="18" t="s">
        <v>16</v>
      </c>
      <c r="D82" s="8" t="s">
        <v>174</v>
      </c>
      <c r="E82" s="23"/>
      <c r="F82" s="75"/>
      <c r="G82" s="22"/>
      <c r="H82" s="65"/>
      <c r="I82" s="72">
        <v>0</v>
      </c>
      <c r="J82" s="72">
        <v>0</v>
      </c>
      <c r="K82" s="72">
        <v>0</v>
      </c>
      <c r="L82" s="65"/>
      <c r="M82" s="72"/>
      <c r="N82" s="72"/>
      <c r="O82" s="72"/>
      <c r="P82" s="65"/>
      <c r="Q82" s="72" t="s">
        <v>249</v>
      </c>
      <c r="R82" s="72" t="s">
        <v>249</v>
      </c>
      <c r="S82" s="72" t="s">
        <v>249</v>
      </c>
    </row>
    <row r="83" spans="2:19" ht="30" x14ac:dyDescent="0.25">
      <c r="B83" s="17">
        <v>425746</v>
      </c>
      <c r="C83" s="18" t="s">
        <v>17</v>
      </c>
      <c r="D83" s="8" t="s">
        <v>158</v>
      </c>
      <c r="E83" s="23"/>
      <c r="F83" s="75"/>
      <c r="G83" s="22"/>
      <c r="H83" s="65"/>
      <c r="I83" s="72">
        <v>0</v>
      </c>
      <c r="J83" s="72">
        <v>0</v>
      </c>
      <c r="K83" s="72">
        <v>0</v>
      </c>
      <c r="L83" s="65"/>
      <c r="M83" s="72"/>
      <c r="N83" s="72"/>
      <c r="O83" s="72"/>
      <c r="P83" s="65"/>
      <c r="Q83" s="72" t="s">
        <v>249</v>
      </c>
      <c r="R83" s="72" t="s">
        <v>249</v>
      </c>
      <c r="S83" s="72" t="s">
        <v>249</v>
      </c>
    </row>
    <row r="84" spans="2:19" ht="20.100000000000001" customHeight="1" x14ac:dyDescent="0.25">
      <c r="B84" s="17">
        <v>425747</v>
      </c>
      <c r="C84" s="18" t="s">
        <v>18</v>
      </c>
      <c r="D84" s="8" t="s">
        <v>159</v>
      </c>
      <c r="E84" s="23"/>
      <c r="F84" s="75"/>
      <c r="G84" s="22"/>
      <c r="H84" s="65"/>
      <c r="I84" s="72">
        <v>0</v>
      </c>
      <c r="J84" s="72">
        <v>0</v>
      </c>
      <c r="K84" s="72">
        <v>0</v>
      </c>
      <c r="L84" s="65"/>
      <c r="M84" s="72"/>
      <c r="N84" s="72"/>
      <c r="O84" s="72"/>
      <c r="P84" s="65"/>
      <c r="Q84" s="72" t="s">
        <v>249</v>
      </c>
      <c r="R84" s="72" t="s">
        <v>249</v>
      </c>
      <c r="S84" s="72" t="s">
        <v>249</v>
      </c>
    </row>
    <row r="85" spans="2:19" ht="20.100000000000001" customHeight="1" x14ac:dyDescent="0.25">
      <c r="B85" s="17">
        <v>425750</v>
      </c>
      <c r="C85" s="18" t="s">
        <v>19</v>
      </c>
      <c r="D85" s="8" t="s">
        <v>160</v>
      </c>
      <c r="E85" s="23"/>
      <c r="F85" s="75"/>
      <c r="G85" s="22"/>
      <c r="H85" s="65"/>
      <c r="I85" s="72">
        <v>0</v>
      </c>
      <c r="J85" s="72">
        <v>0</v>
      </c>
      <c r="K85" s="72">
        <v>0</v>
      </c>
      <c r="L85" s="65"/>
      <c r="M85" s="72"/>
      <c r="N85" s="72"/>
      <c r="O85" s="72"/>
      <c r="P85" s="65"/>
      <c r="Q85" s="72">
        <v>0</v>
      </c>
      <c r="R85" s="72">
        <v>0</v>
      </c>
      <c r="S85" s="72">
        <v>10060</v>
      </c>
    </row>
    <row r="86" spans="2:19" ht="45" x14ac:dyDescent="0.25">
      <c r="B86" s="17">
        <v>425760</v>
      </c>
      <c r="C86" s="15" t="s">
        <v>44</v>
      </c>
      <c r="D86" s="8" t="s">
        <v>179</v>
      </c>
      <c r="E86" s="23"/>
      <c r="F86" s="75"/>
      <c r="G86" s="22"/>
      <c r="H86" s="65"/>
      <c r="I86" s="72">
        <v>0</v>
      </c>
      <c r="J86" s="72">
        <v>0</v>
      </c>
      <c r="K86" s="72">
        <v>0</v>
      </c>
      <c r="L86" s="65"/>
      <c r="M86" s="72"/>
      <c r="N86" s="72"/>
      <c r="O86" s="72"/>
      <c r="P86" s="65"/>
      <c r="Q86" s="72" t="s">
        <v>249</v>
      </c>
      <c r="R86" s="72" t="s">
        <v>249</v>
      </c>
      <c r="S86" s="72" t="s">
        <v>249</v>
      </c>
    </row>
    <row r="87" spans="2:19" ht="20.100000000000001" customHeight="1" x14ac:dyDescent="0.25">
      <c r="B87" s="13">
        <v>425744</v>
      </c>
      <c r="C87" s="18" t="s">
        <v>82</v>
      </c>
      <c r="D87" s="9" t="s">
        <v>175</v>
      </c>
      <c r="E87" s="24"/>
      <c r="F87" s="75"/>
      <c r="G87" s="22"/>
      <c r="H87" s="65"/>
      <c r="I87" s="72">
        <v>0</v>
      </c>
      <c r="J87" s="72">
        <v>0</v>
      </c>
      <c r="K87" s="72">
        <v>0</v>
      </c>
      <c r="L87" s="65"/>
      <c r="M87" s="72"/>
      <c r="N87" s="72"/>
      <c r="O87" s="72"/>
      <c r="P87" s="65"/>
      <c r="Q87" s="72" t="s">
        <v>249</v>
      </c>
      <c r="R87" s="72" t="s">
        <v>249</v>
      </c>
      <c r="S87" s="72" t="s">
        <v>249</v>
      </c>
    </row>
    <row r="88" spans="2:19" ht="20.100000000000001" customHeight="1" x14ac:dyDescent="0.25">
      <c r="B88" s="13">
        <v>425745</v>
      </c>
      <c r="C88" s="18" t="s">
        <v>83</v>
      </c>
      <c r="D88" s="9" t="s">
        <v>176</v>
      </c>
      <c r="E88" s="24"/>
      <c r="F88" s="75"/>
      <c r="G88" s="22"/>
      <c r="H88" s="65"/>
      <c r="I88" s="72">
        <v>0</v>
      </c>
      <c r="J88" s="72">
        <v>0</v>
      </c>
      <c r="K88" s="72">
        <v>0</v>
      </c>
      <c r="L88" s="65"/>
      <c r="M88" s="72"/>
      <c r="N88" s="72"/>
      <c r="O88" s="72"/>
      <c r="P88" s="65"/>
      <c r="Q88" s="72" t="s">
        <v>249</v>
      </c>
      <c r="R88" s="72" t="s">
        <v>249</v>
      </c>
      <c r="S88" s="72" t="s">
        <v>249</v>
      </c>
    </row>
    <row r="89" spans="2:19" ht="20.100000000000001" customHeight="1" x14ac:dyDescent="0.25">
      <c r="B89" s="17">
        <v>426751</v>
      </c>
      <c r="C89" s="18" t="s">
        <v>27</v>
      </c>
      <c r="D89" s="10" t="s">
        <v>177</v>
      </c>
      <c r="E89" s="25"/>
      <c r="F89" s="75"/>
      <c r="G89" s="22"/>
      <c r="H89" s="65"/>
      <c r="I89" s="72">
        <v>0</v>
      </c>
      <c r="J89" s="72">
        <v>0</v>
      </c>
      <c r="K89" s="72">
        <v>0</v>
      </c>
      <c r="L89" s="65"/>
      <c r="M89" s="72"/>
      <c r="N89" s="72"/>
      <c r="O89" s="72"/>
      <c r="P89" s="65"/>
      <c r="Q89" s="72" t="s">
        <v>249</v>
      </c>
      <c r="R89" s="72" t="s">
        <v>249</v>
      </c>
      <c r="S89" s="72" t="s">
        <v>249</v>
      </c>
    </row>
    <row r="90" spans="2:19" ht="20.100000000000001" customHeight="1" x14ac:dyDescent="0.25">
      <c r="B90" s="17">
        <v>435340</v>
      </c>
      <c r="C90" s="18" t="s">
        <v>67</v>
      </c>
      <c r="D90" s="10" t="s">
        <v>81</v>
      </c>
      <c r="E90" s="25"/>
      <c r="F90" s="75"/>
      <c r="G90" s="22"/>
      <c r="H90" s="65"/>
      <c r="I90" s="72">
        <v>0</v>
      </c>
      <c r="J90" s="72">
        <v>0</v>
      </c>
      <c r="K90" s="72">
        <v>0</v>
      </c>
      <c r="L90" s="65"/>
      <c r="M90" s="72">
        <v>1200000</v>
      </c>
      <c r="N90" s="72">
        <v>529645.97</v>
      </c>
      <c r="O90" s="72">
        <v>380671.75</v>
      </c>
      <c r="P90" s="65"/>
      <c r="Q90" s="72" t="s">
        <v>249</v>
      </c>
      <c r="R90" s="72" t="s">
        <v>249</v>
      </c>
      <c r="S90" s="72" t="s">
        <v>249</v>
      </c>
    </row>
    <row r="91" spans="2:19" ht="30" x14ac:dyDescent="0.25">
      <c r="B91" s="14" t="s">
        <v>93</v>
      </c>
      <c r="C91" s="18" t="s">
        <v>87</v>
      </c>
      <c r="D91" s="8" t="s">
        <v>157</v>
      </c>
      <c r="E91" s="23"/>
      <c r="F91" s="75"/>
      <c r="G91" s="22"/>
      <c r="H91" s="65"/>
      <c r="I91" s="72">
        <v>0</v>
      </c>
      <c r="J91" s="72">
        <v>0</v>
      </c>
      <c r="K91" s="72">
        <v>0</v>
      </c>
      <c r="L91" s="65"/>
      <c r="M91" s="72"/>
      <c r="N91" s="72"/>
      <c r="O91" s="72"/>
      <c r="P91" s="65"/>
      <c r="Q91" s="72" t="s">
        <v>249</v>
      </c>
      <c r="R91" s="72" t="s">
        <v>249</v>
      </c>
      <c r="S91" s="72" t="s">
        <v>249</v>
      </c>
    </row>
    <row r="92" spans="2:19" ht="30" x14ac:dyDescent="0.25">
      <c r="B92" s="14" t="s">
        <v>93</v>
      </c>
      <c r="C92" s="18" t="s">
        <v>45</v>
      </c>
      <c r="D92" s="9" t="s">
        <v>47</v>
      </c>
      <c r="E92" s="24"/>
      <c r="F92" s="75"/>
      <c r="G92" s="22"/>
      <c r="H92" s="65"/>
      <c r="I92" s="72">
        <v>0</v>
      </c>
      <c r="J92" s="72">
        <v>0</v>
      </c>
      <c r="K92" s="72">
        <v>0</v>
      </c>
      <c r="L92" s="65"/>
      <c r="M92" s="72"/>
      <c r="N92" s="72"/>
      <c r="O92" s="72"/>
      <c r="P92" s="65"/>
      <c r="Q92" s="72" t="s">
        <v>249</v>
      </c>
      <c r="R92" s="72" t="s">
        <v>249</v>
      </c>
      <c r="S92" s="72" t="s">
        <v>249</v>
      </c>
    </row>
    <row r="93" spans="2:19" ht="30" x14ac:dyDescent="0.25">
      <c r="B93" s="14" t="s">
        <v>93</v>
      </c>
      <c r="C93" s="18" t="s">
        <v>46</v>
      </c>
      <c r="D93" s="9" t="s">
        <v>178</v>
      </c>
      <c r="E93" s="24"/>
      <c r="F93" s="75"/>
      <c r="G93" s="22"/>
      <c r="H93" s="65"/>
      <c r="I93" s="72">
        <v>0</v>
      </c>
      <c r="J93" s="72">
        <v>0</v>
      </c>
      <c r="K93" s="72">
        <v>0</v>
      </c>
      <c r="L93" s="65"/>
      <c r="M93" s="72"/>
      <c r="N93" s="72"/>
      <c r="O93" s="72"/>
      <c r="P93" s="65"/>
      <c r="Q93" s="72" t="s">
        <v>249</v>
      </c>
      <c r="R93" s="72" t="s">
        <v>249</v>
      </c>
      <c r="S93" s="72" t="s">
        <v>249</v>
      </c>
    </row>
    <row r="94" spans="2:19" x14ac:dyDescent="0.25">
      <c r="H94" s="66"/>
      <c r="L94" s="66"/>
      <c r="P94" s="66"/>
    </row>
    <row r="95" spans="2:19" x14ac:dyDescent="0.25">
      <c r="D95" s="7" t="s">
        <v>230</v>
      </c>
      <c r="F95" s="77">
        <f>SUM(F4:F93)</f>
        <v>14101932.563463327</v>
      </c>
      <c r="G95" s="77">
        <f t="shared" ref="G95" si="0">SUM(G4:G93)</f>
        <v>0</v>
      </c>
      <c r="H95" s="67"/>
      <c r="I95" s="64">
        <f t="shared" ref="I95:S95" si="1">SUM(I4:I93)</f>
        <v>3445000</v>
      </c>
      <c r="J95" s="64">
        <f t="shared" si="1"/>
        <v>3193129.1699999995</v>
      </c>
      <c r="K95" s="64">
        <f t="shared" si="1"/>
        <v>3444048.8699999936</v>
      </c>
      <c r="L95" s="67"/>
      <c r="M95" s="64">
        <f t="shared" si="1"/>
        <v>5204000</v>
      </c>
      <c r="N95" s="64">
        <f t="shared" si="1"/>
        <v>4048133.4000000004</v>
      </c>
      <c r="O95" s="64">
        <f t="shared" si="1"/>
        <v>3844497.1599999997</v>
      </c>
      <c r="P95" s="67"/>
      <c r="Q95" s="64">
        <f t="shared" si="1"/>
        <v>7700780.9999999991</v>
      </c>
      <c r="R95" s="64">
        <f t="shared" si="1"/>
        <v>3723110.4299999997</v>
      </c>
      <c r="S95" s="64">
        <f t="shared" si="1"/>
        <v>10929388.16</v>
      </c>
    </row>
  </sheetData>
  <mergeCells count="26">
    <mergeCell ref="H1:H3"/>
    <mergeCell ref="L1:L3"/>
    <mergeCell ref="P1:P3"/>
    <mergeCell ref="R1:R3"/>
    <mergeCell ref="K1:K3"/>
    <mergeCell ref="O1:O3"/>
    <mergeCell ref="S1:S3"/>
    <mergeCell ref="I1:I3"/>
    <mergeCell ref="M1:M3"/>
    <mergeCell ref="Q1:Q3"/>
    <mergeCell ref="J1:J3"/>
    <mergeCell ref="N1:N3"/>
    <mergeCell ref="G1:G3"/>
    <mergeCell ref="B71:B73"/>
    <mergeCell ref="C71:C73"/>
    <mergeCell ref="D71:D73"/>
    <mergeCell ref="B2:B3"/>
    <mergeCell ref="C2:C3"/>
    <mergeCell ref="B49:B51"/>
    <mergeCell ref="C49:C51"/>
    <mergeCell ref="D49:D51"/>
    <mergeCell ref="E49:E51"/>
    <mergeCell ref="B1:C1"/>
    <mergeCell ref="D1:D3"/>
    <mergeCell ref="E1:E3"/>
    <mergeCell ref="F1:F3"/>
  </mergeCells>
  <pageMargins left="0" right="0" top="0" bottom="0" header="0.3" footer="0.3"/>
  <pageSetup paperSize="8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20"/>
  <sheetViews>
    <sheetView topLeftCell="A484" workbookViewId="0">
      <selection activeCell="A507" sqref="A507:XFD520"/>
    </sheetView>
  </sheetViews>
  <sheetFormatPr defaultRowHeight="15" x14ac:dyDescent="0.25"/>
  <cols>
    <col min="1" max="1" width="13.28515625" style="16" bestFit="1" customWidth="1"/>
    <col min="2" max="2" width="39.140625" style="16" bestFit="1" customWidth="1"/>
    <col min="3" max="3" width="48.140625" style="16" customWidth="1"/>
    <col min="4" max="4" width="23.5703125" style="16" customWidth="1"/>
    <col min="5" max="5" width="21.5703125" style="16" customWidth="1"/>
    <col min="6" max="6" width="26.28515625" style="16" bestFit="1" customWidth="1"/>
    <col min="7" max="7" width="20.28515625" style="16" customWidth="1"/>
    <col min="8" max="16384" width="9.140625" style="16"/>
  </cols>
  <sheetData>
    <row r="2" spans="1:7" x14ac:dyDescent="0.25">
      <c r="A2" s="20" t="s">
        <v>188</v>
      </c>
      <c r="B2" s="20" t="s">
        <v>189</v>
      </c>
      <c r="C2" s="20" t="s">
        <v>190</v>
      </c>
      <c r="D2" s="20" t="s">
        <v>191</v>
      </c>
      <c r="E2" s="20" t="s">
        <v>192</v>
      </c>
      <c r="F2" s="20" t="s">
        <v>193</v>
      </c>
      <c r="G2" s="20" t="s">
        <v>203</v>
      </c>
    </row>
    <row r="3" spans="1:7" x14ac:dyDescent="0.25">
      <c r="A3" s="20"/>
      <c r="B3" s="20"/>
      <c r="C3" s="20"/>
      <c r="D3" s="20"/>
      <c r="E3" s="20"/>
      <c r="F3" s="20"/>
      <c r="G3" s="20"/>
    </row>
    <row r="4" spans="1:7" x14ac:dyDescent="0.25">
      <c r="A4" s="32">
        <v>432120</v>
      </c>
      <c r="B4" s="34" t="s">
        <v>59</v>
      </c>
      <c r="C4" s="20"/>
      <c r="D4" s="20"/>
      <c r="E4" s="20"/>
      <c r="F4" s="20"/>
      <c r="G4" s="20" t="s">
        <v>187</v>
      </c>
    </row>
    <row r="5" spans="1:7" x14ac:dyDescent="0.25">
      <c r="A5" s="20"/>
      <c r="B5" s="20"/>
      <c r="C5" s="20"/>
      <c r="D5" s="20"/>
      <c r="E5" s="20"/>
      <c r="F5" s="33">
        <f>D5*E5</f>
        <v>0</v>
      </c>
      <c r="G5" s="20"/>
    </row>
    <row r="6" spans="1:7" x14ac:dyDescent="0.25">
      <c r="A6" s="20"/>
      <c r="B6" s="20"/>
      <c r="C6" s="20"/>
      <c r="D6" s="20"/>
      <c r="E6" s="20"/>
      <c r="F6" s="33">
        <f t="shared" ref="F6:F15" si="0">D6*E6</f>
        <v>0</v>
      </c>
      <c r="G6" s="20"/>
    </row>
    <row r="7" spans="1:7" x14ac:dyDescent="0.25">
      <c r="A7" s="20"/>
      <c r="B7" s="20"/>
      <c r="C7" s="20"/>
      <c r="D7" s="20"/>
      <c r="E7" s="20"/>
      <c r="F7" s="33">
        <f t="shared" si="0"/>
        <v>0</v>
      </c>
      <c r="G7" s="20"/>
    </row>
    <row r="8" spans="1:7" x14ac:dyDescent="0.25">
      <c r="A8" s="20"/>
      <c r="B8" s="20"/>
      <c r="C8" s="20"/>
      <c r="D8" s="20"/>
      <c r="E8" s="20"/>
      <c r="F8" s="33">
        <f t="shared" si="0"/>
        <v>0</v>
      </c>
      <c r="G8" s="20"/>
    </row>
    <row r="9" spans="1:7" x14ac:dyDescent="0.25">
      <c r="A9" s="20"/>
      <c r="B9" s="20"/>
      <c r="C9" s="20"/>
      <c r="D9" s="20"/>
      <c r="E9" s="20"/>
      <c r="F9" s="33">
        <f t="shared" si="0"/>
        <v>0</v>
      </c>
      <c r="G9" s="20"/>
    </row>
    <row r="10" spans="1:7" x14ac:dyDescent="0.25">
      <c r="A10" s="20"/>
      <c r="B10" s="20"/>
      <c r="C10" s="20"/>
      <c r="D10" s="20"/>
      <c r="E10" s="20"/>
      <c r="F10" s="33">
        <f t="shared" si="0"/>
        <v>0</v>
      </c>
      <c r="G10" s="20"/>
    </row>
    <row r="11" spans="1:7" x14ac:dyDescent="0.25">
      <c r="A11" s="20"/>
      <c r="B11" s="20"/>
      <c r="C11" s="20"/>
      <c r="D11" s="20"/>
      <c r="E11" s="20"/>
      <c r="F11" s="33">
        <f t="shared" si="0"/>
        <v>0</v>
      </c>
      <c r="G11" s="20"/>
    </row>
    <row r="12" spans="1:7" x14ac:dyDescent="0.25">
      <c r="A12" s="20"/>
      <c r="B12" s="20"/>
      <c r="C12" s="20"/>
      <c r="D12" s="20"/>
      <c r="E12" s="20"/>
      <c r="F12" s="33">
        <f t="shared" si="0"/>
        <v>0</v>
      </c>
      <c r="G12" s="20"/>
    </row>
    <row r="13" spans="1:7" x14ac:dyDescent="0.25">
      <c r="A13" s="20"/>
      <c r="B13" s="20"/>
      <c r="C13" s="20"/>
      <c r="D13" s="20"/>
      <c r="E13" s="20"/>
      <c r="F13" s="33">
        <f t="shared" si="0"/>
        <v>0</v>
      </c>
      <c r="G13" s="20"/>
    </row>
    <row r="14" spans="1:7" x14ac:dyDescent="0.25">
      <c r="A14" s="20"/>
      <c r="B14" s="20"/>
      <c r="C14" s="20"/>
      <c r="D14" s="20"/>
      <c r="E14" s="20"/>
      <c r="F14" s="33">
        <f t="shared" si="0"/>
        <v>0</v>
      </c>
      <c r="G14" s="20"/>
    </row>
    <row r="15" spans="1:7" x14ac:dyDescent="0.25">
      <c r="A15" s="20"/>
      <c r="B15" s="20"/>
      <c r="C15" s="20"/>
      <c r="D15" s="20"/>
      <c r="E15" s="20"/>
      <c r="F15" s="33">
        <f t="shared" si="0"/>
        <v>0</v>
      </c>
      <c r="G15" s="20"/>
    </row>
    <row r="18" spans="1:7" x14ac:dyDescent="0.25">
      <c r="A18" s="20" t="s">
        <v>188</v>
      </c>
      <c r="B18" s="20" t="s">
        <v>189</v>
      </c>
      <c r="C18" s="20" t="s">
        <v>190</v>
      </c>
      <c r="D18" s="20" t="s">
        <v>191</v>
      </c>
      <c r="E18" s="20" t="s">
        <v>192</v>
      </c>
      <c r="F18" s="20" t="s">
        <v>193</v>
      </c>
      <c r="G18" s="20" t="s">
        <v>203</v>
      </c>
    </row>
    <row r="19" spans="1:7" x14ac:dyDescent="0.25">
      <c r="A19" s="20"/>
      <c r="B19" s="20"/>
      <c r="C19" s="20"/>
      <c r="D19" s="20"/>
      <c r="E19" s="20"/>
      <c r="F19" s="20"/>
      <c r="G19" s="20"/>
    </row>
    <row r="20" spans="1:7" x14ac:dyDescent="0.25">
      <c r="A20" s="32" t="s">
        <v>204</v>
      </c>
      <c r="B20" s="32" t="s">
        <v>194</v>
      </c>
      <c r="C20" s="20"/>
      <c r="D20" s="20"/>
      <c r="E20" s="20"/>
      <c r="F20" s="20"/>
      <c r="G20" s="20" t="s">
        <v>187</v>
      </c>
    </row>
    <row r="21" spans="1:7" x14ac:dyDescent="0.25">
      <c r="A21" s="20"/>
      <c r="B21" s="20"/>
      <c r="C21" s="20"/>
      <c r="D21" s="20"/>
      <c r="E21" s="20"/>
      <c r="F21" s="33">
        <f>D21*E21</f>
        <v>0</v>
      </c>
      <c r="G21" s="20"/>
    </row>
    <row r="22" spans="1:7" x14ac:dyDescent="0.25">
      <c r="A22" s="20"/>
      <c r="B22" s="20"/>
      <c r="C22" s="20"/>
      <c r="D22" s="20"/>
      <c r="E22" s="20"/>
      <c r="F22" s="33">
        <f t="shared" ref="F22:F31" si="1">D22*E22</f>
        <v>0</v>
      </c>
      <c r="G22" s="20"/>
    </row>
    <row r="23" spans="1:7" x14ac:dyDescent="0.25">
      <c r="A23" s="20"/>
      <c r="B23" s="20"/>
      <c r="C23" s="20"/>
      <c r="D23" s="20"/>
      <c r="E23" s="20"/>
      <c r="F23" s="33">
        <f t="shared" si="1"/>
        <v>0</v>
      </c>
      <c r="G23" s="20"/>
    </row>
    <row r="24" spans="1:7" x14ac:dyDescent="0.25">
      <c r="A24" s="20"/>
      <c r="B24" s="20"/>
      <c r="C24" s="20"/>
      <c r="D24" s="20"/>
      <c r="E24" s="20"/>
      <c r="F24" s="33">
        <f t="shared" si="1"/>
        <v>0</v>
      </c>
      <c r="G24" s="20"/>
    </row>
    <row r="25" spans="1:7" x14ac:dyDescent="0.25">
      <c r="A25" s="20"/>
      <c r="B25" s="20"/>
      <c r="C25" s="20"/>
      <c r="D25" s="20"/>
      <c r="E25" s="20"/>
      <c r="F25" s="33">
        <f t="shared" si="1"/>
        <v>0</v>
      </c>
      <c r="G25" s="20"/>
    </row>
    <row r="26" spans="1:7" x14ac:dyDescent="0.25">
      <c r="A26" s="20"/>
      <c r="B26" s="20"/>
      <c r="C26" s="20"/>
      <c r="D26" s="20"/>
      <c r="E26" s="20"/>
      <c r="F26" s="33">
        <f t="shared" si="1"/>
        <v>0</v>
      </c>
      <c r="G26" s="20"/>
    </row>
    <row r="27" spans="1:7" x14ac:dyDescent="0.25">
      <c r="A27" s="20"/>
      <c r="B27" s="20"/>
      <c r="C27" s="20"/>
      <c r="D27" s="20"/>
      <c r="E27" s="20"/>
      <c r="F27" s="33">
        <f t="shared" si="1"/>
        <v>0</v>
      </c>
      <c r="G27" s="20"/>
    </row>
    <row r="28" spans="1:7" x14ac:dyDescent="0.25">
      <c r="A28" s="20"/>
      <c r="B28" s="20"/>
      <c r="C28" s="20"/>
      <c r="D28" s="20"/>
      <c r="E28" s="20"/>
      <c r="F28" s="33">
        <f t="shared" si="1"/>
        <v>0</v>
      </c>
      <c r="G28" s="20"/>
    </row>
    <row r="29" spans="1:7" x14ac:dyDescent="0.25">
      <c r="A29" s="20"/>
      <c r="B29" s="20"/>
      <c r="C29" s="20"/>
      <c r="D29" s="20"/>
      <c r="E29" s="20"/>
      <c r="F29" s="33">
        <f t="shared" si="1"/>
        <v>0</v>
      </c>
      <c r="G29" s="20"/>
    </row>
    <row r="30" spans="1:7" x14ac:dyDescent="0.25">
      <c r="A30" s="20"/>
      <c r="B30" s="20"/>
      <c r="C30" s="20"/>
      <c r="D30" s="20"/>
      <c r="E30" s="20"/>
      <c r="F30" s="33">
        <f t="shared" si="1"/>
        <v>0</v>
      </c>
      <c r="G30" s="20"/>
    </row>
    <row r="31" spans="1:7" x14ac:dyDescent="0.25">
      <c r="A31" s="20"/>
      <c r="B31" s="20"/>
      <c r="C31" s="20"/>
      <c r="D31" s="20"/>
      <c r="E31" s="20"/>
      <c r="F31" s="33">
        <f t="shared" si="1"/>
        <v>0</v>
      </c>
      <c r="G31" s="20"/>
    </row>
    <row r="36" spans="1:7" x14ac:dyDescent="0.25">
      <c r="A36" s="20" t="s">
        <v>188</v>
      </c>
      <c r="B36" s="20" t="s">
        <v>189</v>
      </c>
      <c r="C36" s="20" t="s">
        <v>190</v>
      </c>
      <c r="D36" s="20" t="s">
        <v>191</v>
      </c>
      <c r="E36" s="20" t="s">
        <v>192</v>
      </c>
      <c r="F36" s="20" t="s">
        <v>193</v>
      </c>
      <c r="G36" s="20" t="s">
        <v>203</v>
      </c>
    </row>
    <row r="37" spans="1:7" x14ac:dyDescent="0.25">
      <c r="A37" s="20"/>
      <c r="B37" s="20"/>
      <c r="C37" s="20"/>
      <c r="D37" s="20"/>
      <c r="E37" s="20"/>
      <c r="F37" s="20"/>
      <c r="G37" s="20"/>
    </row>
    <row r="38" spans="1:7" x14ac:dyDescent="0.25">
      <c r="A38" s="32">
        <v>432170</v>
      </c>
      <c r="B38" s="34" t="s">
        <v>60</v>
      </c>
      <c r="C38" s="20"/>
      <c r="D38" s="20"/>
      <c r="E38" s="20"/>
      <c r="F38" s="33">
        <f>D38*E38</f>
        <v>0</v>
      </c>
      <c r="G38" s="20" t="s">
        <v>187</v>
      </c>
    </row>
    <row r="39" spans="1:7" x14ac:dyDescent="0.25">
      <c r="A39" s="20"/>
      <c r="B39" s="20"/>
      <c r="C39" s="20"/>
      <c r="D39" s="20"/>
      <c r="E39" s="20"/>
      <c r="F39" s="33">
        <f t="shared" ref="F39:F48" si="2">D39*E39</f>
        <v>0</v>
      </c>
      <c r="G39" s="20"/>
    </row>
    <row r="40" spans="1:7" x14ac:dyDescent="0.25">
      <c r="A40" s="20"/>
      <c r="B40" s="20"/>
      <c r="C40" s="20"/>
      <c r="D40" s="20"/>
      <c r="E40" s="20"/>
      <c r="F40" s="33">
        <f t="shared" si="2"/>
        <v>0</v>
      </c>
      <c r="G40" s="20"/>
    </row>
    <row r="41" spans="1:7" x14ac:dyDescent="0.25">
      <c r="A41" s="20"/>
      <c r="B41" s="20"/>
      <c r="C41" s="20"/>
      <c r="D41" s="20"/>
      <c r="E41" s="20"/>
      <c r="F41" s="33">
        <f t="shared" si="2"/>
        <v>0</v>
      </c>
      <c r="G41" s="20"/>
    </row>
    <row r="42" spans="1:7" x14ac:dyDescent="0.25">
      <c r="A42" s="20"/>
      <c r="B42" s="20"/>
      <c r="C42" s="20"/>
      <c r="D42" s="20"/>
      <c r="E42" s="20"/>
      <c r="F42" s="33">
        <f t="shared" si="2"/>
        <v>0</v>
      </c>
      <c r="G42" s="20"/>
    </row>
    <row r="43" spans="1:7" x14ac:dyDescent="0.25">
      <c r="A43" s="20"/>
      <c r="B43" s="20"/>
      <c r="C43" s="20"/>
      <c r="D43" s="20"/>
      <c r="E43" s="20"/>
      <c r="F43" s="33">
        <f t="shared" si="2"/>
        <v>0</v>
      </c>
      <c r="G43" s="20"/>
    </row>
    <row r="44" spans="1:7" x14ac:dyDescent="0.25">
      <c r="A44" s="20"/>
      <c r="B44" s="20"/>
      <c r="C44" s="20"/>
      <c r="D44" s="20"/>
      <c r="E44" s="20"/>
      <c r="F44" s="33">
        <f t="shared" si="2"/>
        <v>0</v>
      </c>
      <c r="G44" s="20"/>
    </row>
    <row r="45" spans="1:7" x14ac:dyDescent="0.25">
      <c r="A45" s="20"/>
      <c r="B45" s="20"/>
      <c r="C45" s="20"/>
      <c r="D45" s="20"/>
      <c r="E45" s="20"/>
      <c r="F45" s="33">
        <f t="shared" si="2"/>
        <v>0</v>
      </c>
      <c r="G45" s="20"/>
    </row>
    <row r="46" spans="1:7" x14ac:dyDescent="0.25">
      <c r="A46" s="20"/>
      <c r="B46" s="20"/>
      <c r="C46" s="20"/>
      <c r="D46" s="20"/>
      <c r="E46" s="20"/>
      <c r="F46" s="33">
        <f t="shared" si="2"/>
        <v>0</v>
      </c>
      <c r="G46" s="20"/>
    </row>
    <row r="47" spans="1:7" x14ac:dyDescent="0.25">
      <c r="A47" s="20"/>
      <c r="B47" s="20"/>
      <c r="C47" s="20"/>
      <c r="D47" s="20"/>
      <c r="E47" s="20"/>
      <c r="F47" s="33">
        <f t="shared" si="2"/>
        <v>0</v>
      </c>
      <c r="G47" s="20"/>
    </row>
    <row r="48" spans="1:7" x14ac:dyDescent="0.25">
      <c r="A48" s="20"/>
      <c r="B48" s="20"/>
      <c r="C48" s="20"/>
      <c r="D48" s="20"/>
      <c r="E48" s="20"/>
      <c r="F48" s="33">
        <f t="shared" si="2"/>
        <v>0</v>
      </c>
      <c r="G48" s="20"/>
    </row>
    <row r="49" spans="1:7" x14ac:dyDescent="0.25">
      <c r="A49" s="20"/>
      <c r="B49" s="20"/>
      <c r="C49" s="20"/>
      <c r="D49" s="20"/>
      <c r="E49" s="20"/>
      <c r="F49" s="20"/>
      <c r="G49" s="20"/>
    </row>
    <row r="53" spans="1:7" x14ac:dyDescent="0.25">
      <c r="A53" s="20" t="s">
        <v>188</v>
      </c>
      <c r="B53" s="20" t="s">
        <v>189</v>
      </c>
      <c r="C53" s="20" t="s">
        <v>190</v>
      </c>
      <c r="D53" s="20" t="s">
        <v>191</v>
      </c>
      <c r="E53" s="20" t="s">
        <v>192</v>
      </c>
      <c r="F53" s="20" t="s">
        <v>193</v>
      </c>
      <c r="G53" s="20" t="s">
        <v>203</v>
      </c>
    </row>
    <row r="54" spans="1:7" x14ac:dyDescent="0.25">
      <c r="A54" s="20"/>
      <c r="B54" s="20"/>
      <c r="C54" s="20"/>
      <c r="D54" s="20"/>
      <c r="E54" s="20"/>
      <c r="F54" s="20"/>
      <c r="G54" s="20"/>
    </row>
    <row r="55" spans="1:7" x14ac:dyDescent="0.25">
      <c r="A55" s="32">
        <v>425746</v>
      </c>
      <c r="B55" s="34" t="s">
        <v>17</v>
      </c>
      <c r="C55" s="20"/>
      <c r="D55" s="20"/>
      <c r="E55" s="20"/>
      <c r="F55" s="33">
        <f>D55*E55</f>
        <v>0</v>
      </c>
      <c r="G55" s="20" t="s">
        <v>195</v>
      </c>
    </row>
    <row r="56" spans="1:7" x14ac:dyDescent="0.25">
      <c r="A56" s="20"/>
      <c r="B56" s="20"/>
      <c r="C56" s="20"/>
      <c r="D56" s="20"/>
      <c r="E56" s="20"/>
      <c r="F56" s="33">
        <f t="shared" ref="F56:F65" si="3">D56*E56</f>
        <v>0</v>
      </c>
      <c r="G56" s="20"/>
    </row>
    <row r="57" spans="1:7" x14ac:dyDescent="0.25">
      <c r="A57" s="20"/>
      <c r="B57" s="20"/>
      <c r="C57" s="20"/>
      <c r="D57" s="20"/>
      <c r="E57" s="20"/>
      <c r="F57" s="33">
        <f t="shared" si="3"/>
        <v>0</v>
      </c>
      <c r="G57" s="20"/>
    </row>
    <row r="58" spans="1:7" x14ac:dyDescent="0.25">
      <c r="A58" s="20"/>
      <c r="B58" s="20"/>
      <c r="C58" s="20"/>
      <c r="D58" s="20"/>
      <c r="E58" s="20"/>
      <c r="F58" s="33">
        <f t="shared" si="3"/>
        <v>0</v>
      </c>
      <c r="G58" s="20"/>
    </row>
    <row r="59" spans="1:7" x14ac:dyDescent="0.25">
      <c r="A59" s="20"/>
      <c r="B59" s="20"/>
      <c r="C59" s="20"/>
      <c r="D59" s="20"/>
      <c r="E59" s="20"/>
      <c r="F59" s="33">
        <f t="shared" si="3"/>
        <v>0</v>
      </c>
      <c r="G59" s="20"/>
    </row>
    <row r="60" spans="1:7" x14ac:dyDescent="0.25">
      <c r="A60" s="20"/>
      <c r="B60" s="20"/>
      <c r="C60" s="20"/>
      <c r="D60" s="20"/>
      <c r="E60" s="20"/>
      <c r="F60" s="33">
        <f t="shared" si="3"/>
        <v>0</v>
      </c>
      <c r="G60" s="20"/>
    </row>
    <row r="61" spans="1:7" x14ac:dyDescent="0.25">
      <c r="A61" s="20"/>
      <c r="B61" s="20"/>
      <c r="C61" s="20"/>
      <c r="D61" s="20"/>
      <c r="E61" s="20"/>
      <c r="F61" s="33">
        <f t="shared" si="3"/>
        <v>0</v>
      </c>
      <c r="G61" s="20"/>
    </row>
    <row r="62" spans="1:7" x14ac:dyDescent="0.25">
      <c r="A62" s="20"/>
      <c r="B62" s="20"/>
      <c r="C62" s="20"/>
      <c r="D62" s="20"/>
      <c r="E62" s="20"/>
      <c r="F62" s="33">
        <f t="shared" si="3"/>
        <v>0</v>
      </c>
      <c r="G62" s="20"/>
    </row>
    <row r="63" spans="1:7" x14ac:dyDescent="0.25">
      <c r="A63" s="20"/>
      <c r="B63" s="20"/>
      <c r="C63" s="20"/>
      <c r="D63" s="20"/>
      <c r="E63" s="20"/>
      <c r="F63" s="33">
        <f t="shared" si="3"/>
        <v>0</v>
      </c>
      <c r="G63" s="20"/>
    </row>
    <row r="64" spans="1:7" x14ac:dyDescent="0.25">
      <c r="A64" s="20"/>
      <c r="B64" s="20"/>
      <c r="C64" s="20"/>
      <c r="D64" s="20"/>
      <c r="E64" s="20"/>
      <c r="F64" s="33">
        <f t="shared" si="3"/>
        <v>0</v>
      </c>
      <c r="G64" s="20"/>
    </row>
    <row r="65" spans="1:7" x14ac:dyDescent="0.25">
      <c r="A65" s="20"/>
      <c r="B65" s="20"/>
      <c r="C65" s="20"/>
      <c r="D65" s="20"/>
      <c r="E65" s="20"/>
      <c r="F65" s="33">
        <f t="shared" si="3"/>
        <v>0</v>
      </c>
      <c r="G65" s="20"/>
    </row>
    <row r="66" spans="1:7" x14ac:dyDescent="0.25">
      <c r="A66" s="20"/>
      <c r="B66" s="20"/>
      <c r="C66" s="20"/>
      <c r="D66" s="20"/>
      <c r="E66" s="20"/>
      <c r="F66" s="20"/>
      <c r="G66" s="20"/>
    </row>
    <row r="70" spans="1:7" x14ac:dyDescent="0.25">
      <c r="A70" s="20" t="s">
        <v>188</v>
      </c>
      <c r="B70" s="20" t="s">
        <v>189</v>
      </c>
      <c r="C70" s="20" t="s">
        <v>190</v>
      </c>
      <c r="D70" s="20" t="s">
        <v>191</v>
      </c>
      <c r="E70" s="20" t="s">
        <v>192</v>
      </c>
      <c r="F70" s="20" t="s">
        <v>193</v>
      </c>
      <c r="G70" s="20" t="s">
        <v>203</v>
      </c>
    </row>
    <row r="71" spans="1:7" x14ac:dyDescent="0.25">
      <c r="A71" s="20"/>
      <c r="B71" s="20"/>
      <c r="C71" s="20"/>
      <c r="D71" s="20"/>
      <c r="E71" s="20"/>
      <c r="F71" s="20"/>
      <c r="G71" s="20"/>
    </row>
    <row r="72" spans="1:7" x14ac:dyDescent="0.25">
      <c r="A72" s="32">
        <v>425747</v>
      </c>
      <c r="B72" s="34" t="s">
        <v>18</v>
      </c>
      <c r="C72" s="20"/>
      <c r="D72" s="20"/>
      <c r="E72" s="20"/>
      <c r="F72" s="33">
        <f>D72*E72</f>
        <v>0</v>
      </c>
      <c r="G72" s="20" t="s">
        <v>195</v>
      </c>
    </row>
    <row r="73" spans="1:7" x14ac:dyDescent="0.25">
      <c r="A73" s="20"/>
      <c r="B73" s="20"/>
      <c r="C73" s="20"/>
      <c r="D73" s="20"/>
      <c r="E73" s="20"/>
      <c r="F73" s="33">
        <f t="shared" ref="F73:F82" si="4">D73*E73</f>
        <v>0</v>
      </c>
      <c r="G73" s="20"/>
    </row>
    <row r="74" spans="1:7" x14ac:dyDescent="0.25">
      <c r="A74" s="20"/>
      <c r="B74" s="20"/>
      <c r="C74" s="20"/>
      <c r="D74" s="20"/>
      <c r="E74" s="20"/>
      <c r="F74" s="33">
        <f t="shared" si="4"/>
        <v>0</v>
      </c>
      <c r="G74" s="20"/>
    </row>
    <row r="75" spans="1:7" x14ac:dyDescent="0.25">
      <c r="A75" s="20"/>
      <c r="B75" s="20"/>
      <c r="C75" s="20"/>
      <c r="D75" s="20"/>
      <c r="E75" s="20"/>
      <c r="F75" s="33">
        <f t="shared" si="4"/>
        <v>0</v>
      </c>
      <c r="G75" s="20"/>
    </row>
    <row r="76" spans="1:7" x14ac:dyDescent="0.25">
      <c r="A76" s="20"/>
      <c r="B76" s="20"/>
      <c r="C76" s="20"/>
      <c r="D76" s="20"/>
      <c r="E76" s="20"/>
      <c r="F76" s="33">
        <f t="shared" si="4"/>
        <v>0</v>
      </c>
      <c r="G76" s="20"/>
    </row>
    <row r="77" spans="1:7" x14ac:dyDescent="0.25">
      <c r="A77" s="20"/>
      <c r="B77" s="20"/>
      <c r="C77" s="20"/>
      <c r="D77" s="20"/>
      <c r="E77" s="20"/>
      <c r="F77" s="33">
        <f t="shared" si="4"/>
        <v>0</v>
      </c>
      <c r="G77" s="20"/>
    </row>
    <row r="78" spans="1:7" x14ac:dyDescent="0.25">
      <c r="A78" s="20"/>
      <c r="B78" s="20"/>
      <c r="C78" s="20"/>
      <c r="D78" s="20"/>
      <c r="E78" s="20"/>
      <c r="F78" s="33">
        <f t="shared" si="4"/>
        <v>0</v>
      </c>
      <c r="G78" s="20"/>
    </row>
    <row r="79" spans="1:7" x14ac:dyDescent="0.25">
      <c r="A79" s="20"/>
      <c r="B79" s="20"/>
      <c r="C79" s="20"/>
      <c r="D79" s="20"/>
      <c r="E79" s="20"/>
      <c r="F79" s="33">
        <f t="shared" si="4"/>
        <v>0</v>
      </c>
      <c r="G79" s="20"/>
    </row>
    <row r="80" spans="1:7" x14ac:dyDescent="0.25">
      <c r="A80" s="20"/>
      <c r="B80" s="20"/>
      <c r="C80" s="20"/>
      <c r="D80" s="20"/>
      <c r="E80" s="20"/>
      <c r="F80" s="33">
        <f t="shared" si="4"/>
        <v>0</v>
      </c>
      <c r="G80" s="20"/>
    </row>
    <row r="81" spans="1:7" x14ac:dyDescent="0.25">
      <c r="A81" s="20"/>
      <c r="B81" s="20"/>
      <c r="C81" s="20"/>
      <c r="D81" s="20"/>
      <c r="E81" s="20"/>
      <c r="F81" s="33">
        <f t="shared" si="4"/>
        <v>0</v>
      </c>
      <c r="G81" s="20"/>
    </row>
    <row r="82" spans="1:7" x14ac:dyDescent="0.25">
      <c r="A82" s="20"/>
      <c r="B82" s="20"/>
      <c r="C82" s="20"/>
      <c r="D82" s="20"/>
      <c r="E82" s="20"/>
      <c r="F82" s="33">
        <f t="shared" si="4"/>
        <v>0</v>
      </c>
      <c r="G82" s="20"/>
    </row>
    <row r="83" spans="1:7" x14ac:dyDescent="0.25">
      <c r="A83" s="20"/>
      <c r="B83" s="20"/>
      <c r="C83" s="20"/>
      <c r="D83" s="20"/>
      <c r="E83" s="20"/>
      <c r="F83" s="20"/>
      <c r="G83" s="20"/>
    </row>
    <row r="87" spans="1:7" x14ac:dyDescent="0.25">
      <c r="A87" s="20" t="s">
        <v>188</v>
      </c>
      <c r="B87" s="20" t="s">
        <v>189</v>
      </c>
      <c r="C87" s="20" t="s">
        <v>190</v>
      </c>
      <c r="D87" s="20" t="s">
        <v>191</v>
      </c>
      <c r="E87" s="20" t="s">
        <v>192</v>
      </c>
      <c r="F87" s="20" t="s">
        <v>193</v>
      </c>
      <c r="G87" s="20" t="s">
        <v>203</v>
      </c>
    </row>
    <row r="88" spans="1:7" x14ac:dyDescent="0.25">
      <c r="A88" s="20"/>
      <c r="B88" s="20"/>
      <c r="C88" s="20"/>
      <c r="D88" s="20"/>
      <c r="E88" s="20"/>
      <c r="F88" s="20"/>
      <c r="G88" s="20"/>
    </row>
    <row r="89" spans="1:7" x14ac:dyDescent="0.25">
      <c r="A89" s="32">
        <v>435340</v>
      </c>
      <c r="B89" s="34" t="s">
        <v>67</v>
      </c>
      <c r="C89" s="20"/>
      <c r="D89" s="20"/>
      <c r="E89" s="20"/>
      <c r="F89" s="33">
        <f>D89*E89</f>
        <v>0</v>
      </c>
      <c r="G89" s="20" t="s">
        <v>196</v>
      </c>
    </row>
    <row r="90" spans="1:7" x14ac:dyDescent="0.25">
      <c r="A90" s="20"/>
      <c r="B90" s="20"/>
      <c r="C90" s="20"/>
      <c r="D90" s="20"/>
      <c r="E90" s="20"/>
      <c r="F90" s="33">
        <f t="shared" ref="F90:F99" si="5">D90*E90</f>
        <v>0</v>
      </c>
      <c r="G90" s="20"/>
    </row>
    <row r="91" spans="1:7" x14ac:dyDescent="0.25">
      <c r="A91" s="20"/>
      <c r="B91" s="20"/>
      <c r="C91" s="20"/>
      <c r="D91" s="20"/>
      <c r="E91" s="20"/>
      <c r="F91" s="33">
        <f t="shared" si="5"/>
        <v>0</v>
      </c>
      <c r="G91" s="20"/>
    </row>
    <row r="92" spans="1:7" x14ac:dyDescent="0.25">
      <c r="A92" s="20"/>
      <c r="B92" s="20"/>
      <c r="C92" s="20"/>
      <c r="D92" s="20"/>
      <c r="E92" s="20"/>
      <c r="F92" s="33">
        <f t="shared" si="5"/>
        <v>0</v>
      </c>
      <c r="G92" s="20"/>
    </row>
    <row r="93" spans="1:7" x14ac:dyDescent="0.25">
      <c r="A93" s="20"/>
      <c r="B93" s="20"/>
      <c r="C93" s="20"/>
      <c r="D93" s="20"/>
      <c r="E93" s="20"/>
      <c r="F93" s="33">
        <f t="shared" si="5"/>
        <v>0</v>
      </c>
      <c r="G93" s="20"/>
    </row>
    <row r="94" spans="1:7" x14ac:dyDescent="0.25">
      <c r="A94" s="20"/>
      <c r="B94" s="20"/>
      <c r="C94" s="20"/>
      <c r="D94" s="20"/>
      <c r="E94" s="20"/>
      <c r="F94" s="33">
        <f t="shared" si="5"/>
        <v>0</v>
      </c>
      <c r="G94" s="20"/>
    </row>
    <row r="95" spans="1:7" x14ac:dyDescent="0.25">
      <c r="A95" s="20"/>
      <c r="B95" s="20"/>
      <c r="C95" s="20"/>
      <c r="D95" s="20"/>
      <c r="E95" s="20"/>
      <c r="F95" s="33">
        <f t="shared" si="5"/>
        <v>0</v>
      </c>
      <c r="G95" s="20"/>
    </row>
    <row r="96" spans="1:7" x14ac:dyDescent="0.25">
      <c r="A96" s="20"/>
      <c r="B96" s="20"/>
      <c r="C96" s="20"/>
      <c r="D96" s="20"/>
      <c r="E96" s="20"/>
      <c r="F96" s="33">
        <f t="shared" si="5"/>
        <v>0</v>
      </c>
      <c r="G96" s="20"/>
    </row>
    <row r="97" spans="1:7" x14ac:dyDescent="0.25">
      <c r="A97" s="20"/>
      <c r="B97" s="20"/>
      <c r="C97" s="20"/>
      <c r="D97" s="20"/>
      <c r="E97" s="20"/>
      <c r="F97" s="33">
        <f t="shared" si="5"/>
        <v>0</v>
      </c>
      <c r="G97" s="20"/>
    </row>
    <row r="98" spans="1:7" x14ac:dyDescent="0.25">
      <c r="A98" s="20"/>
      <c r="B98" s="20"/>
      <c r="C98" s="20"/>
      <c r="D98" s="20"/>
      <c r="E98" s="20"/>
      <c r="F98" s="33">
        <f t="shared" si="5"/>
        <v>0</v>
      </c>
      <c r="G98" s="20"/>
    </row>
    <row r="99" spans="1:7" x14ac:dyDescent="0.25">
      <c r="A99" s="20"/>
      <c r="B99" s="20"/>
      <c r="C99" s="20"/>
      <c r="D99" s="20"/>
      <c r="E99" s="20"/>
      <c r="F99" s="33">
        <f t="shared" si="5"/>
        <v>0</v>
      </c>
      <c r="G99" s="20"/>
    </row>
    <row r="100" spans="1:7" x14ac:dyDescent="0.25">
      <c r="A100" s="20"/>
      <c r="B100" s="20"/>
      <c r="C100" s="20"/>
      <c r="D100" s="20"/>
      <c r="E100" s="20"/>
      <c r="F100" s="20"/>
      <c r="G100" s="20"/>
    </row>
    <row r="104" spans="1:7" x14ac:dyDescent="0.25">
      <c r="A104" s="20" t="s">
        <v>188</v>
      </c>
      <c r="B104" s="20" t="s">
        <v>189</v>
      </c>
      <c r="C104" s="20" t="s">
        <v>190</v>
      </c>
      <c r="D104" s="20" t="s">
        <v>191</v>
      </c>
      <c r="E104" s="20" t="s">
        <v>192</v>
      </c>
      <c r="F104" s="20" t="s">
        <v>193</v>
      </c>
      <c r="G104" s="20" t="s">
        <v>203</v>
      </c>
    </row>
    <row r="105" spans="1:7" x14ac:dyDescent="0.25">
      <c r="A105" s="20"/>
      <c r="B105" s="20"/>
      <c r="C105" s="20"/>
      <c r="D105" s="20"/>
      <c r="E105" s="20"/>
      <c r="F105" s="20"/>
      <c r="G105" s="20"/>
    </row>
    <row r="106" spans="1:7" x14ac:dyDescent="0.25">
      <c r="A106" s="32">
        <v>425760</v>
      </c>
      <c r="B106" s="38" t="s">
        <v>44</v>
      </c>
      <c r="C106" s="20"/>
      <c r="D106" s="20"/>
      <c r="E106" s="20"/>
      <c r="F106" s="33"/>
      <c r="G106" s="20" t="s">
        <v>196</v>
      </c>
    </row>
    <row r="107" spans="1:7" x14ac:dyDescent="0.25">
      <c r="A107" s="20"/>
      <c r="B107" s="20"/>
      <c r="C107" s="20"/>
      <c r="D107" s="20"/>
      <c r="E107" s="20"/>
      <c r="F107" s="33"/>
      <c r="G107" s="20"/>
    </row>
    <row r="108" spans="1:7" x14ac:dyDescent="0.25">
      <c r="A108" s="20"/>
      <c r="B108" s="20"/>
      <c r="C108" s="20"/>
      <c r="D108" s="20"/>
      <c r="E108" s="20"/>
      <c r="F108" s="33"/>
      <c r="G108" s="20"/>
    </row>
    <row r="109" spans="1:7" x14ac:dyDescent="0.25">
      <c r="A109" s="20"/>
      <c r="B109" s="20"/>
      <c r="C109" s="20"/>
      <c r="D109" s="20"/>
      <c r="E109" s="20"/>
      <c r="F109" s="33"/>
      <c r="G109" s="20"/>
    </row>
    <row r="110" spans="1:7" x14ac:dyDescent="0.25">
      <c r="A110" s="20"/>
      <c r="B110" s="20"/>
      <c r="C110" s="20"/>
      <c r="D110" s="20"/>
      <c r="E110" s="20"/>
      <c r="F110" s="33"/>
      <c r="G110" s="20"/>
    </row>
    <row r="111" spans="1:7" x14ac:dyDescent="0.25">
      <c r="A111" s="20"/>
      <c r="B111" s="20"/>
      <c r="C111" s="20"/>
      <c r="D111" s="20"/>
      <c r="E111" s="20"/>
      <c r="F111" s="33"/>
      <c r="G111" s="20"/>
    </row>
    <row r="112" spans="1:7" x14ac:dyDescent="0.25">
      <c r="A112" s="20"/>
      <c r="B112" s="20"/>
      <c r="C112" s="20"/>
      <c r="D112" s="20"/>
      <c r="E112" s="20"/>
      <c r="F112" s="33">
        <f t="shared" ref="F112:F116" si="6">D112*E112</f>
        <v>0</v>
      </c>
      <c r="G112" s="20"/>
    </row>
    <row r="113" spans="1:7" x14ac:dyDescent="0.25">
      <c r="A113" s="20"/>
      <c r="B113" s="20"/>
      <c r="C113" s="20"/>
      <c r="D113" s="20"/>
      <c r="E113" s="20"/>
      <c r="F113" s="33">
        <f t="shared" si="6"/>
        <v>0</v>
      </c>
      <c r="G113" s="20"/>
    </row>
    <row r="114" spans="1:7" x14ac:dyDescent="0.25">
      <c r="A114" s="20"/>
      <c r="B114" s="20"/>
      <c r="C114" s="20"/>
      <c r="D114" s="20"/>
      <c r="E114" s="20"/>
      <c r="F114" s="33">
        <f t="shared" si="6"/>
        <v>0</v>
      </c>
      <c r="G114" s="20"/>
    </row>
    <row r="115" spans="1:7" x14ac:dyDescent="0.25">
      <c r="A115" s="20"/>
      <c r="B115" s="20"/>
      <c r="C115" s="20"/>
      <c r="D115" s="20"/>
      <c r="E115" s="20"/>
      <c r="F115" s="33">
        <f t="shared" si="6"/>
        <v>0</v>
      </c>
      <c r="G115" s="20"/>
    </row>
    <row r="116" spans="1:7" x14ac:dyDescent="0.25">
      <c r="A116" s="20"/>
      <c r="B116" s="20"/>
      <c r="C116" s="20"/>
      <c r="D116" s="20"/>
      <c r="E116" s="20"/>
      <c r="F116" s="33">
        <f t="shared" si="6"/>
        <v>0</v>
      </c>
      <c r="G116" s="20"/>
    </row>
    <row r="117" spans="1:7" x14ac:dyDescent="0.25">
      <c r="A117" s="20"/>
      <c r="B117" s="20"/>
      <c r="C117" s="20"/>
      <c r="D117" s="20"/>
      <c r="E117" s="20"/>
      <c r="F117" s="20"/>
      <c r="G117" s="20"/>
    </row>
    <row r="124" spans="1:7" x14ac:dyDescent="0.25">
      <c r="A124" s="20" t="s">
        <v>188</v>
      </c>
      <c r="B124" s="20" t="s">
        <v>189</v>
      </c>
      <c r="C124" s="20" t="s">
        <v>190</v>
      </c>
      <c r="D124" s="20" t="s">
        <v>191</v>
      </c>
      <c r="E124" s="20" t="s">
        <v>192</v>
      </c>
      <c r="F124" s="20" t="s">
        <v>193</v>
      </c>
      <c r="G124" s="20" t="s">
        <v>203</v>
      </c>
    </row>
    <row r="125" spans="1:7" x14ac:dyDescent="0.25">
      <c r="A125" s="20"/>
      <c r="B125" s="20"/>
      <c r="C125" s="20"/>
      <c r="D125" s="20"/>
      <c r="E125" s="20"/>
      <c r="F125" s="20"/>
      <c r="G125" s="20"/>
    </row>
    <row r="126" spans="1:7" x14ac:dyDescent="0.25">
      <c r="A126" s="11">
        <v>426751</v>
      </c>
      <c r="B126" s="34" t="s">
        <v>27</v>
      </c>
      <c r="C126" s="20"/>
      <c r="D126" s="20"/>
      <c r="E126" s="20"/>
      <c r="F126" s="33">
        <f>D126*E126</f>
        <v>0</v>
      </c>
      <c r="G126" s="20" t="s">
        <v>197</v>
      </c>
    </row>
    <row r="127" spans="1:7" x14ac:dyDescent="0.25">
      <c r="A127" s="20"/>
      <c r="B127" s="20"/>
      <c r="C127" s="20"/>
      <c r="D127" s="20"/>
      <c r="E127" s="20"/>
      <c r="F127" s="33">
        <f t="shared" ref="F127:F136" si="7">D127*E127</f>
        <v>0</v>
      </c>
      <c r="G127" s="20"/>
    </row>
    <row r="128" spans="1:7" x14ac:dyDescent="0.25">
      <c r="A128" s="20"/>
      <c r="B128" s="20"/>
      <c r="C128" s="20"/>
      <c r="D128" s="20"/>
      <c r="E128" s="20"/>
      <c r="F128" s="33">
        <f t="shared" si="7"/>
        <v>0</v>
      </c>
      <c r="G128" s="20"/>
    </row>
    <row r="129" spans="1:7" x14ac:dyDescent="0.25">
      <c r="A129" s="20"/>
      <c r="B129" s="20"/>
      <c r="C129" s="20"/>
      <c r="D129" s="20"/>
      <c r="E129" s="20"/>
      <c r="F129" s="33">
        <f t="shared" si="7"/>
        <v>0</v>
      </c>
      <c r="G129" s="20"/>
    </row>
    <row r="130" spans="1:7" x14ac:dyDescent="0.25">
      <c r="A130" s="20"/>
      <c r="B130" s="20"/>
      <c r="C130" s="20"/>
      <c r="D130" s="20"/>
      <c r="E130" s="20"/>
      <c r="F130" s="33">
        <f t="shared" si="7"/>
        <v>0</v>
      </c>
      <c r="G130" s="20"/>
    </row>
    <row r="131" spans="1:7" x14ac:dyDescent="0.25">
      <c r="A131" s="20"/>
      <c r="B131" s="20"/>
      <c r="C131" s="20"/>
      <c r="D131" s="20"/>
      <c r="E131" s="20"/>
      <c r="F131" s="33">
        <f t="shared" si="7"/>
        <v>0</v>
      </c>
      <c r="G131" s="20"/>
    </row>
    <row r="132" spans="1:7" x14ac:dyDescent="0.25">
      <c r="A132" s="20"/>
      <c r="B132" s="20"/>
      <c r="C132" s="20"/>
      <c r="D132" s="20"/>
      <c r="E132" s="20"/>
      <c r="F132" s="33">
        <f t="shared" si="7"/>
        <v>0</v>
      </c>
      <c r="G132" s="20"/>
    </row>
    <row r="133" spans="1:7" x14ac:dyDescent="0.25">
      <c r="A133" s="20"/>
      <c r="B133" s="20"/>
      <c r="C133" s="20"/>
      <c r="D133" s="20"/>
      <c r="E133" s="20"/>
      <c r="F133" s="33">
        <f t="shared" si="7"/>
        <v>0</v>
      </c>
      <c r="G133" s="20"/>
    </row>
    <row r="134" spans="1:7" x14ac:dyDescent="0.25">
      <c r="A134" s="20"/>
      <c r="B134" s="20"/>
      <c r="C134" s="20"/>
      <c r="D134" s="20"/>
      <c r="E134" s="20"/>
      <c r="F134" s="33">
        <f t="shared" si="7"/>
        <v>0</v>
      </c>
      <c r="G134" s="20"/>
    </row>
    <row r="135" spans="1:7" x14ac:dyDescent="0.25">
      <c r="A135" s="20"/>
      <c r="B135" s="20"/>
      <c r="C135" s="20"/>
      <c r="D135" s="20"/>
      <c r="E135" s="20"/>
      <c r="F135" s="33">
        <f t="shared" si="7"/>
        <v>0</v>
      </c>
      <c r="G135" s="20"/>
    </row>
    <row r="136" spans="1:7" x14ac:dyDescent="0.25">
      <c r="A136" s="20"/>
      <c r="B136" s="20"/>
      <c r="C136" s="20"/>
      <c r="D136" s="20"/>
      <c r="E136" s="20"/>
      <c r="F136" s="33">
        <f t="shared" si="7"/>
        <v>0</v>
      </c>
      <c r="G136" s="20"/>
    </row>
    <row r="137" spans="1:7" x14ac:dyDescent="0.25">
      <c r="A137" s="20"/>
      <c r="B137" s="20"/>
      <c r="C137" s="20"/>
      <c r="D137" s="20"/>
      <c r="E137" s="20"/>
      <c r="F137" s="20"/>
      <c r="G137" s="20"/>
    </row>
    <row r="138" spans="1:7" ht="18.75" customHeight="1" x14ac:dyDescent="0.25"/>
    <row r="144" spans="1:7" x14ac:dyDescent="0.25">
      <c r="A144" s="20" t="s">
        <v>188</v>
      </c>
      <c r="B144" s="20" t="s">
        <v>189</v>
      </c>
      <c r="C144" s="20" t="s">
        <v>190</v>
      </c>
      <c r="D144" s="20" t="s">
        <v>191</v>
      </c>
      <c r="E144" s="20" t="s">
        <v>192</v>
      </c>
      <c r="F144" s="20" t="s">
        <v>193</v>
      </c>
      <c r="G144" s="20" t="s">
        <v>203</v>
      </c>
    </row>
    <row r="145" spans="1:7" x14ac:dyDescent="0.25">
      <c r="A145" s="20"/>
      <c r="B145" s="20"/>
      <c r="C145" s="20"/>
      <c r="D145" s="20"/>
      <c r="E145" s="20"/>
      <c r="F145" s="20"/>
      <c r="G145" s="20"/>
    </row>
    <row r="146" spans="1:7" x14ac:dyDescent="0.25">
      <c r="A146" s="11">
        <v>425770</v>
      </c>
      <c r="B146" s="34" t="s">
        <v>20</v>
      </c>
      <c r="C146" s="20"/>
      <c r="D146" s="20"/>
      <c r="E146" s="20"/>
      <c r="F146" s="33">
        <f>D146*E146</f>
        <v>0</v>
      </c>
      <c r="G146" s="20" t="s">
        <v>198</v>
      </c>
    </row>
    <row r="147" spans="1:7" x14ac:dyDescent="0.25">
      <c r="A147" s="20"/>
      <c r="B147" s="20"/>
      <c r="C147" s="20"/>
      <c r="D147" s="20"/>
      <c r="E147" s="20"/>
      <c r="F147" s="33">
        <f t="shared" ref="F147:F156" si="8">D147*E147</f>
        <v>0</v>
      </c>
      <c r="G147" s="20"/>
    </row>
    <row r="148" spans="1:7" x14ac:dyDescent="0.25">
      <c r="A148" s="20"/>
      <c r="B148" s="20"/>
      <c r="C148" s="20"/>
      <c r="D148" s="20"/>
      <c r="E148" s="20"/>
      <c r="F148" s="33">
        <f t="shared" si="8"/>
        <v>0</v>
      </c>
      <c r="G148" s="20"/>
    </row>
    <row r="149" spans="1:7" x14ac:dyDescent="0.25">
      <c r="A149" s="20"/>
      <c r="B149" s="20"/>
      <c r="C149" s="20"/>
      <c r="D149" s="20"/>
      <c r="E149" s="20"/>
      <c r="F149" s="33">
        <f t="shared" si="8"/>
        <v>0</v>
      </c>
      <c r="G149" s="20"/>
    </row>
    <row r="150" spans="1:7" x14ac:dyDescent="0.25">
      <c r="A150" s="20"/>
      <c r="B150" s="20"/>
      <c r="C150" s="20"/>
      <c r="D150" s="20"/>
      <c r="E150" s="20"/>
      <c r="F150" s="33">
        <f t="shared" si="8"/>
        <v>0</v>
      </c>
      <c r="G150" s="20"/>
    </row>
    <row r="151" spans="1:7" x14ac:dyDescent="0.25">
      <c r="A151" s="20"/>
      <c r="B151" s="20"/>
      <c r="C151" s="20"/>
      <c r="D151" s="20"/>
      <c r="E151" s="20"/>
      <c r="F151" s="33">
        <f t="shared" si="8"/>
        <v>0</v>
      </c>
      <c r="G151" s="20"/>
    </row>
    <row r="152" spans="1:7" x14ac:dyDescent="0.25">
      <c r="A152" s="20"/>
      <c r="B152" s="20"/>
      <c r="C152" s="20"/>
      <c r="D152" s="20"/>
      <c r="E152" s="20"/>
      <c r="F152" s="33">
        <f t="shared" si="8"/>
        <v>0</v>
      </c>
      <c r="G152" s="20"/>
    </row>
    <row r="153" spans="1:7" x14ac:dyDescent="0.25">
      <c r="A153" s="20"/>
      <c r="B153" s="20"/>
      <c r="C153" s="20"/>
      <c r="D153" s="20"/>
      <c r="E153" s="20"/>
      <c r="F153" s="33">
        <f t="shared" si="8"/>
        <v>0</v>
      </c>
      <c r="G153" s="20"/>
    </row>
    <row r="154" spans="1:7" x14ac:dyDescent="0.25">
      <c r="A154" s="20"/>
      <c r="B154" s="20"/>
      <c r="C154" s="20"/>
      <c r="D154" s="20"/>
      <c r="E154" s="20"/>
      <c r="F154" s="33">
        <f t="shared" si="8"/>
        <v>0</v>
      </c>
      <c r="G154" s="20"/>
    </row>
    <row r="155" spans="1:7" x14ac:dyDescent="0.25">
      <c r="A155" s="20"/>
      <c r="B155" s="20"/>
      <c r="C155" s="20"/>
      <c r="D155" s="20"/>
      <c r="E155" s="20"/>
      <c r="F155" s="33">
        <f t="shared" si="8"/>
        <v>0</v>
      </c>
      <c r="G155" s="20"/>
    </row>
    <row r="156" spans="1:7" x14ac:dyDescent="0.25">
      <c r="A156" s="20"/>
      <c r="B156" s="20"/>
      <c r="C156" s="20"/>
      <c r="D156" s="20"/>
      <c r="E156" s="20"/>
      <c r="F156" s="33">
        <f t="shared" si="8"/>
        <v>0</v>
      </c>
      <c r="G156" s="20"/>
    </row>
    <row r="157" spans="1:7" x14ac:dyDescent="0.25">
      <c r="A157" s="20"/>
      <c r="B157" s="20"/>
      <c r="C157" s="20"/>
      <c r="D157" s="20"/>
      <c r="E157" s="20"/>
      <c r="F157" s="20"/>
      <c r="G157" s="20"/>
    </row>
    <row r="163" spans="1:7" x14ac:dyDescent="0.25">
      <c r="A163" s="20" t="s">
        <v>188</v>
      </c>
      <c r="B163" s="20" t="s">
        <v>189</v>
      </c>
      <c r="C163" s="20" t="s">
        <v>190</v>
      </c>
      <c r="D163" s="20" t="s">
        <v>191</v>
      </c>
      <c r="E163" s="20" t="s">
        <v>192</v>
      </c>
      <c r="F163" s="20" t="s">
        <v>193</v>
      </c>
      <c r="G163" s="20" t="s">
        <v>203</v>
      </c>
    </row>
    <row r="164" spans="1:7" x14ac:dyDescent="0.25">
      <c r="A164" s="20"/>
      <c r="B164" s="20"/>
      <c r="C164" s="20"/>
      <c r="D164" s="20"/>
      <c r="E164" s="20"/>
      <c r="F164" s="20"/>
      <c r="G164" s="20"/>
    </row>
    <row r="165" spans="1:7" x14ac:dyDescent="0.25">
      <c r="A165" s="11">
        <v>425100</v>
      </c>
      <c r="B165" s="34" t="s">
        <v>11</v>
      </c>
      <c r="C165" s="20"/>
      <c r="D165" s="20"/>
      <c r="E165" s="20"/>
      <c r="F165" s="33">
        <f>D165*E165</f>
        <v>0</v>
      </c>
      <c r="G165" s="20" t="s">
        <v>96</v>
      </c>
    </row>
    <row r="166" spans="1:7" x14ac:dyDescent="0.25">
      <c r="A166" s="20"/>
      <c r="B166" s="20"/>
      <c r="C166" s="20"/>
      <c r="D166" s="20"/>
      <c r="E166" s="20"/>
      <c r="F166" s="33">
        <f t="shared" ref="F166:F175" si="9">D166*E166</f>
        <v>0</v>
      </c>
      <c r="G166" s="20"/>
    </row>
    <row r="167" spans="1:7" x14ac:dyDescent="0.25">
      <c r="A167" s="20"/>
      <c r="B167" s="20"/>
      <c r="C167" s="20"/>
      <c r="D167" s="20"/>
      <c r="E167" s="20"/>
      <c r="F167" s="33">
        <f t="shared" si="9"/>
        <v>0</v>
      </c>
      <c r="G167" s="20"/>
    </row>
    <row r="168" spans="1:7" x14ac:dyDescent="0.25">
      <c r="A168" s="20"/>
      <c r="B168" s="20"/>
      <c r="C168" s="20"/>
      <c r="D168" s="20"/>
      <c r="E168" s="20"/>
      <c r="F168" s="33">
        <f t="shared" si="9"/>
        <v>0</v>
      </c>
      <c r="G168" s="20"/>
    </row>
    <row r="169" spans="1:7" x14ac:dyDescent="0.25">
      <c r="A169" s="20"/>
      <c r="B169" s="20"/>
      <c r="C169" s="20"/>
      <c r="D169" s="20"/>
      <c r="E169" s="20"/>
      <c r="F169" s="33">
        <f t="shared" si="9"/>
        <v>0</v>
      </c>
      <c r="G169" s="20"/>
    </row>
    <row r="170" spans="1:7" x14ac:dyDescent="0.25">
      <c r="A170" s="20"/>
      <c r="B170" s="20"/>
      <c r="C170" s="20"/>
      <c r="D170" s="20"/>
      <c r="E170" s="20"/>
      <c r="F170" s="33">
        <f t="shared" si="9"/>
        <v>0</v>
      </c>
      <c r="G170" s="20"/>
    </row>
    <row r="171" spans="1:7" x14ac:dyDescent="0.25">
      <c r="A171" s="20"/>
      <c r="B171" s="20"/>
      <c r="C171" s="20"/>
      <c r="D171" s="20"/>
      <c r="E171" s="20"/>
      <c r="F171" s="33">
        <f t="shared" si="9"/>
        <v>0</v>
      </c>
      <c r="G171" s="20"/>
    </row>
    <row r="172" spans="1:7" x14ac:dyDescent="0.25">
      <c r="A172" s="20"/>
      <c r="B172" s="20"/>
      <c r="C172" s="20"/>
      <c r="D172" s="20"/>
      <c r="E172" s="20"/>
      <c r="F172" s="33">
        <f t="shared" si="9"/>
        <v>0</v>
      </c>
      <c r="G172" s="20"/>
    </row>
    <row r="173" spans="1:7" x14ac:dyDescent="0.25">
      <c r="A173" s="20"/>
      <c r="B173" s="20"/>
      <c r="C173" s="20"/>
      <c r="D173" s="20"/>
      <c r="E173" s="20"/>
      <c r="F173" s="33">
        <f t="shared" si="9"/>
        <v>0</v>
      </c>
      <c r="G173" s="20"/>
    </row>
    <row r="174" spans="1:7" x14ac:dyDescent="0.25">
      <c r="A174" s="20"/>
      <c r="B174" s="20"/>
      <c r="C174" s="20"/>
      <c r="D174" s="20"/>
      <c r="E174" s="20"/>
      <c r="F174" s="33">
        <f t="shared" si="9"/>
        <v>0</v>
      </c>
      <c r="G174" s="20"/>
    </row>
    <row r="175" spans="1:7" x14ac:dyDescent="0.25">
      <c r="A175" s="20"/>
      <c r="B175" s="20"/>
      <c r="C175" s="20"/>
      <c r="D175" s="20"/>
      <c r="E175" s="20"/>
      <c r="F175" s="33">
        <f t="shared" si="9"/>
        <v>0</v>
      </c>
      <c r="G175" s="20"/>
    </row>
    <row r="176" spans="1:7" x14ac:dyDescent="0.25">
      <c r="A176" s="20"/>
      <c r="B176" s="20"/>
      <c r="C176" s="20"/>
      <c r="D176" s="20"/>
      <c r="E176" s="20"/>
      <c r="F176" s="20"/>
      <c r="G176" s="20"/>
    </row>
    <row r="183" spans="1:7" x14ac:dyDescent="0.25">
      <c r="A183" s="20" t="s">
        <v>188</v>
      </c>
      <c r="B183" s="20" t="s">
        <v>189</v>
      </c>
      <c r="C183" s="20" t="s">
        <v>190</v>
      </c>
      <c r="D183" s="20" t="s">
        <v>191</v>
      </c>
      <c r="E183" s="20" t="s">
        <v>192</v>
      </c>
      <c r="F183" s="20" t="s">
        <v>193</v>
      </c>
      <c r="G183" s="20" t="s">
        <v>203</v>
      </c>
    </row>
    <row r="184" spans="1:7" x14ac:dyDescent="0.25">
      <c r="A184" s="20"/>
      <c r="B184" s="20"/>
      <c r="C184" s="20"/>
      <c r="D184" s="20"/>
      <c r="E184" s="20"/>
      <c r="F184" s="20"/>
      <c r="G184" s="20"/>
    </row>
    <row r="185" spans="1:7" x14ac:dyDescent="0.25">
      <c r="A185" s="32">
        <v>427100</v>
      </c>
      <c r="B185" s="34" t="s">
        <v>30</v>
      </c>
      <c r="C185" s="20"/>
      <c r="D185" s="20"/>
      <c r="E185" s="20"/>
      <c r="F185" s="33">
        <f>D185*E185</f>
        <v>0</v>
      </c>
      <c r="G185" s="20" t="s">
        <v>96</v>
      </c>
    </row>
    <row r="186" spans="1:7" x14ac:dyDescent="0.25">
      <c r="A186" s="20"/>
      <c r="B186" s="20"/>
      <c r="C186" s="20"/>
      <c r="D186" s="20"/>
      <c r="E186" s="20"/>
      <c r="F186" s="33">
        <f t="shared" ref="F186:F195" si="10">D186*E186</f>
        <v>0</v>
      </c>
      <c r="G186" s="20"/>
    </row>
    <row r="187" spans="1:7" x14ac:dyDescent="0.25">
      <c r="A187" s="20"/>
      <c r="B187" s="20"/>
      <c r="C187" s="20"/>
      <c r="D187" s="20"/>
      <c r="E187" s="20"/>
      <c r="F187" s="33">
        <f t="shared" si="10"/>
        <v>0</v>
      </c>
      <c r="G187" s="20"/>
    </row>
    <row r="188" spans="1:7" x14ac:dyDescent="0.25">
      <c r="A188" s="20"/>
      <c r="B188" s="20"/>
      <c r="C188" s="20"/>
      <c r="D188" s="20"/>
      <c r="E188" s="20"/>
      <c r="F188" s="33">
        <f t="shared" si="10"/>
        <v>0</v>
      </c>
      <c r="G188" s="20"/>
    </row>
    <row r="189" spans="1:7" x14ac:dyDescent="0.25">
      <c r="A189" s="20"/>
      <c r="B189" s="20"/>
      <c r="C189" s="20"/>
      <c r="D189" s="20"/>
      <c r="E189" s="20"/>
      <c r="F189" s="33">
        <f t="shared" si="10"/>
        <v>0</v>
      </c>
      <c r="G189" s="20"/>
    </row>
    <row r="190" spans="1:7" x14ac:dyDescent="0.25">
      <c r="A190" s="20"/>
      <c r="B190" s="20"/>
      <c r="C190" s="20"/>
      <c r="D190" s="20"/>
      <c r="E190" s="20"/>
      <c r="F190" s="33">
        <f t="shared" si="10"/>
        <v>0</v>
      </c>
      <c r="G190" s="20"/>
    </row>
    <row r="191" spans="1:7" x14ac:dyDescent="0.25">
      <c r="A191" s="20"/>
      <c r="B191" s="20"/>
      <c r="C191" s="20"/>
      <c r="D191" s="20"/>
      <c r="E191" s="20"/>
      <c r="F191" s="33">
        <f t="shared" si="10"/>
        <v>0</v>
      </c>
      <c r="G191" s="20"/>
    </row>
    <row r="192" spans="1:7" x14ac:dyDescent="0.25">
      <c r="A192" s="20"/>
      <c r="B192" s="20"/>
      <c r="C192" s="20"/>
      <c r="D192" s="20"/>
      <c r="E192" s="20"/>
      <c r="F192" s="33">
        <f t="shared" si="10"/>
        <v>0</v>
      </c>
      <c r="G192" s="20"/>
    </row>
    <row r="193" spans="1:7" x14ac:dyDescent="0.25">
      <c r="A193" s="20"/>
      <c r="B193" s="20"/>
      <c r="C193" s="20"/>
      <c r="D193" s="20"/>
      <c r="E193" s="20"/>
      <c r="F193" s="33">
        <f t="shared" si="10"/>
        <v>0</v>
      </c>
      <c r="G193" s="20"/>
    </row>
    <row r="194" spans="1:7" x14ac:dyDescent="0.25">
      <c r="A194" s="20"/>
      <c r="B194" s="20"/>
      <c r="C194" s="20"/>
      <c r="D194" s="20"/>
      <c r="E194" s="20"/>
      <c r="F194" s="33">
        <f t="shared" si="10"/>
        <v>0</v>
      </c>
      <c r="G194" s="20"/>
    </row>
    <row r="195" spans="1:7" x14ac:dyDescent="0.25">
      <c r="A195" s="20"/>
      <c r="B195" s="20"/>
      <c r="C195" s="20"/>
      <c r="D195" s="20"/>
      <c r="E195" s="20"/>
      <c r="F195" s="33">
        <f t="shared" si="10"/>
        <v>0</v>
      </c>
      <c r="G195" s="20"/>
    </row>
    <row r="196" spans="1:7" x14ac:dyDescent="0.25">
      <c r="A196" s="20"/>
      <c r="B196" s="20"/>
      <c r="C196" s="20"/>
      <c r="D196" s="20"/>
      <c r="E196" s="20"/>
      <c r="F196" s="20"/>
      <c r="G196" s="20"/>
    </row>
    <row r="203" spans="1:7" x14ac:dyDescent="0.25">
      <c r="A203" s="20" t="s">
        <v>188</v>
      </c>
      <c r="B203" s="20" t="s">
        <v>189</v>
      </c>
      <c r="C203" s="20" t="s">
        <v>190</v>
      </c>
      <c r="D203" s="20" t="s">
        <v>191</v>
      </c>
      <c r="E203" s="20" t="s">
        <v>192</v>
      </c>
      <c r="F203" s="20" t="s">
        <v>193</v>
      </c>
      <c r="G203" s="20" t="s">
        <v>203</v>
      </c>
    </row>
    <row r="204" spans="1:7" x14ac:dyDescent="0.25">
      <c r="A204" s="20"/>
      <c r="B204" s="20"/>
      <c r="C204" s="20"/>
      <c r="D204" s="20"/>
      <c r="E204" s="20"/>
      <c r="F204" s="20"/>
      <c r="G204" s="20"/>
    </row>
    <row r="205" spans="1:7" x14ac:dyDescent="0.25">
      <c r="A205" s="32">
        <v>428640</v>
      </c>
      <c r="B205" s="34" t="s">
        <v>53</v>
      </c>
      <c r="C205" s="20"/>
      <c r="D205" s="20"/>
      <c r="E205" s="20"/>
      <c r="F205" s="33">
        <f>D205*E205</f>
        <v>0</v>
      </c>
      <c r="G205" s="20" t="s">
        <v>96</v>
      </c>
    </row>
    <row r="206" spans="1:7" x14ac:dyDescent="0.25">
      <c r="A206" s="20"/>
      <c r="B206" s="20"/>
      <c r="C206" s="20"/>
      <c r="D206" s="20"/>
      <c r="E206" s="20"/>
      <c r="F206" s="33">
        <f t="shared" ref="F206:F215" si="11">D206*E206</f>
        <v>0</v>
      </c>
      <c r="G206" s="20"/>
    </row>
    <row r="207" spans="1:7" x14ac:dyDescent="0.25">
      <c r="A207" s="20"/>
      <c r="B207" s="20"/>
      <c r="C207" s="20"/>
      <c r="D207" s="20"/>
      <c r="E207" s="20"/>
      <c r="F207" s="33">
        <f t="shared" si="11"/>
        <v>0</v>
      </c>
      <c r="G207" s="20"/>
    </row>
    <row r="208" spans="1:7" x14ac:dyDescent="0.25">
      <c r="A208" s="20"/>
      <c r="B208" s="20"/>
      <c r="C208" s="20"/>
      <c r="D208" s="20"/>
      <c r="E208" s="20"/>
      <c r="F208" s="33">
        <f t="shared" si="11"/>
        <v>0</v>
      </c>
      <c r="G208" s="20"/>
    </row>
    <row r="209" spans="1:7" x14ac:dyDescent="0.25">
      <c r="A209" s="20"/>
      <c r="B209" s="20"/>
      <c r="C209" s="20"/>
      <c r="D209" s="20"/>
      <c r="E209" s="20"/>
      <c r="F209" s="33">
        <f t="shared" si="11"/>
        <v>0</v>
      </c>
      <c r="G209" s="20"/>
    </row>
    <row r="210" spans="1:7" x14ac:dyDescent="0.25">
      <c r="A210" s="20"/>
      <c r="B210" s="20"/>
      <c r="C210" s="20"/>
      <c r="D210" s="20"/>
      <c r="E210" s="20"/>
      <c r="F210" s="33">
        <f t="shared" si="11"/>
        <v>0</v>
      </c>
      <c r="G210" s="20"/>
    </row>
    <row r="211" spans="1:7" x14ac:dyDescent="0.25">
      <c r="A211" s="20"/>
      <c r="B211" s="20"/>
      <c r="C211" s="20"/>
      <c r="D211" s="20"/>
      <c r="E211" s="20"/>
      <c r="F211" s="33">
        <f t="shared" si="11"/>
        <v>0</v>
      </c>
      <c r="G211" s="20"/>
    </row>
    <row r="212" spans="1:7" x14ac:dyDescent="0.25">
      <c r="A212" s="20"/>
      <c r="B212" s="20"/>
      <c r="C212" s="20"/>
      <c r="D212" s="20"/>
      <c r="E212" s="20"/>
      <c r="F212" s="33">
        <f t="shared" si="11"/>
        <v>0</v>
      </c>
      <c r="G212" s="20"/>
    </row>
    <row r="213" spans="1:7" x14ac:dyDescent="0.25">
      <c r="A213" s="20"/>
      <c r="B213" s="20"/>
      <c r="C213" s="20"/>
      <c r="D213" s="20"/>
      <c r="E213" s="20"/>
      <c r="F213" s="33">
        <f t="shared" si="11"/>
        <v>0</v>
      </c>
      <c r="G213" s="20"/>
    </row>
    <row r="214" spans="1:7" x14ac:dyDescent="0.25">
      <c r="A214" s="20"/>
      <c r="B214" s="20"/>
      <c r="C214" s="20"/>
      <c r="D214" s="20"/>
      <c r="E214" s="20"/>
      <c r="F214" s="33">
        <f t="shared" si="11"/>
        <v>0</v>
      </c>
      <c r="G214" s="20"/>
    </row>
    <row r="215" spans="1:7" x14ac:dyDescent="0.25">
      <c r="A215" s="20"/>
      <c r="B215" s="20"/>
      <c r="C215" s="20"/>
      <c r="D215" s="20"/>
      <c r="E215" s="20"/>
      <c r="F215" s="33">
        <f t="shared" si="11"/>
        <v>0</v>
      </c>
      <c r="G215" s="20"/>
    </row>
    <row r="216" spans="1:7" x14ac:dyDescent="0.25">
      <c r="A216" s="20"/>
      <c r="B216" s="20"/>
      <c r="C216" s="20"/>
      <c r="D216" s="20"/>
      <c r="E216" s="20"/>
      <c r="F216" s="20"/>
      <c r="G216" s="20"/>
    </row>
    <row r="224" spans="1:7" x14ac:dyDescent="0.25">
      <c r="A224" s="20" t="s">
        <v>188</v>
      </c>
      <c r="B224" s="20" t="s">
        <v>189</v>
      </c>
      <c r="C224" s="20" t="s">
        <v>190</v>
      </c>
      <c r="D224" s="20" t="s">
        <v>191</v>
      </c>
      <c r="E224" s="20" t="s">
        <v>192</v>
      </c>
      <c r="F224" s="20" t="s">
        <v>193</v>
      </c>
      <c r="G224" s="20" t="s">
        <v>203</v>
      </c>
    </row>
    <row r="225" spans="1:7" x14ac:dyDescent="0.25">
      <c r="A225" s="20"/>
      <c r="B225" s="20"/>
      <c r="C225" s="20"/>
      <c r="D225" s="20"/>
      <c r="E225" s="20"/>
      <c r="F225" s="20"/>
      <c r="G225" s="20"/>
    </row>
    <row r="226" spans="1:7" x14ac:dyDescent="0.25">
      <c r="A226" s="32">
        <v>421700</v>
      </c>
      <c r="B226" s="34" t="s">
        <v>9</v>
      </c>
      <c r="C226" s="20"/>
      <c r="D226" s="20"/>
      <c r="E226" s="20"/>
      <c r="F226" s="33">
        <f>D226*E226</f>
        <v>0</v>
      </c>
      <c r="G226" s="20" t="s">
        <v>198</v>
      </c>
    </row>
    <row r="227" spans="1:7" x14ac:dyDescent="0.25">
      <c r="A227" s="20"/>
      <c r="B227" s="20"/>
      <c r="C227" s="20"/>
      <c r="D227" s="20"/>
      <c r="E227" s="20"/>
      <c r="F227" s="33">
        <f t="shared" ref="F227:F236" si="12">D227*E227</f>
        <v>0</v>
      </c>
      <c r="G227" s="20"/>
    </row>
    <row r="228" spans="1:7" x14ac:dyDescent="0.25">
      <c r="A228" s="20"/>
      <c r="B228" s="20"/>
      <c r="C228" s="20"/>
      <c r="D228" s="20"/>
      <c r="E228" s="20"/>
      <c r="F228" s="33">
        <f t="shared" si="12"/>
        <v>0</v>
      </c>
      <c r="G228" s="20"/>
    </row>
    <row r="229" spans="1:7" x14ac:dyDescent="0.25">
      <c r="A229" s="20"/>
      <c r="B229" s="20"/>
      <c r="C229" s="20"/>
      <c r="D229" s="20"/>
      <c r="E229" s="20"/>
      <c r="F229" s="33">
        <f t="shared" si="12"/>
        <v>0</v>
      </c>
      <c r="G229" s="20"/>
    </row>
    <row r="230" spans="1:7" x14ac:dyDescent="0.25">
      <c r="A230" s="20"/>
      <c r="B230" s="20"/>
      <c r="C230" s="20"/>
      <c r="D230" s="20"/>
      <c r="E230" s="20"/>
      <c r="F230" s="33">
        <f t="shared" si="12"/>
        <v>0</v>
      </c>
      <c r="G230" s="20"/>
    </row>
    <row r="231" spans="1:7" x14ac:dyDescent="0.25">
      <c r="A231" s="20"/>
      <c r="B231" s="20"/>
      <c r="C231" s="20"/>
      <c r="D231" s="20"/>
      <c r="E231" s="20"/>
      <c r="F231" s="33">
        <f t="shared" si="12"/>
        <v>0</v>
      </c>
      <c r="G231" s="20"/>
    </row>
    <row r="232" spans="1:7" x14ac:dyDescent="0.25">
      <c r="A232" s="20"/>
      <c r="B232" s="20"/>
      <c r="C232" s="20"/>
      <c r="D232" s="20"/>
      <c r="E232" s="20"/>
      <c r="F232" s="33">
        <f t="shared" si="12"/>
        <v>0</v>
      </c>
      <c r="G232" s="20"/>
    </row>
    <row r="233" spans="1:7" x14ac:dyDescent="0.25">
      <c r="A233" s="20"/>
      <c r="B233" s="20"/>
      <c r="C233" s="20"/>
      <c r="D233" s="20"/>
      <c r="E233" s="20"/>
      <c r="F233" s="33">
        <f t="shared" si="12"/>
        <v>0</v>
      </c>
      <c r="G233" s="20"/>
    </row>
    <row r="234" spans="1:7" x14ac:dyDescent="0.25">
      <c r="A234" s="20"/>
      <c r="B234" s="20"/>
      <c r="C234" s="20"/>
      <c r="D234" s="20"/>
      <c r="E234" s="20"/>
      <c r="F234" s="33">
        <f t="shared" si="12"/>
        <v>0</v>
      </c>
      <c r="G234" s="20"/>
    </row>
    <row r="235" spans="1:7" x14ac:dyDescent="0.25">
      <c r="A235" s="20"/>
      <c r="B235" s="20"/>
      <c r="C235" s="20"/>
      <c r="D235" s="20"/>
      <c r="E235" s="20"/>
      <c r="F235" s="33">
        <f t="shared" si="12"/>
        <v>0</v>
      </c>
      <c r="G235" s="20"/>
    </row>
    <row r="236" spans="1:7" x14ac:dyDescent="0.25">
      <c r="A236" s="20"/>
      <c r="B236" s="20"/>
      <c r="C236" s="20"/>
      <c r="D236" s="20"/>
      <c r="E236" s="20"/>
      <c r="F236" s="33">
        <f t="shared" si="12"/>
        <v>0</v>
      </c>
      <c r="G236" s="20"/>
    </row>
    <row r="237" spans="1:7" x14ac:dyDescent="0.25">
      <c r="A237" s="20"/>
      <c r="B237" s="20"/>
      <c r="C237" s="20"/>
      <c r="D237" s="20"/>
      <c r="E237" s="20"/>
      <c r="F237" s="20"/>
      <c r="G237" s="20"/>
    </row>
    <row r="245" spans="1:7" x14ac:dyDescent="0.25">
      <c r="A245" s="20" t="s">
        <v>188</v>
      </c>
      <c r="B245" s="20" t="s">
        <v>189</v>
      </c>
      <c r="C245" s="20" t="s">
        <v>190</v>
      </c>
      <c r="D245" s="20" t="s">
        <v>191</v>
      </c>
      <c r="E245" s="20" t="s">
        <v>192</v>
      </c>
      <c r="F245" s="20" t="s">
        <v>193</v>
      </c>
      <c r="G245" s="20" t="s">
        <v>203</v>
      </c>
    </row>
    <row r="246" spans="1:7" x14ac:dyDescent="0.25">
      <c r="A246" s="20"/>
      <c r="B246" s="20"/>
      <c r="C246" s="20"/>
      <c r="D246" s="20"/>
      <c r="E246" s="20"/>
      <c r="F246" s="20"/>
      <c r="G246" s="20"/>
    </row>
    <row r="247" spans="1:7" ht="30" x14ac:dyDescent="0.25">
      <c r="A247" s="32">
        <v>435530</v>
      </c>
      <c r="B247" s="35" t="s">
        <v>92</v>
      </c>
      <c r="C247" s="20"/>
      <c r="D247" s="20"/>
      <c r="E247" s="20"/>
      <c r="F247" s="33">
        <f>D247*E247</f>
        <v>0</v>
      </c>
      <c r="G247" s="20" t="s">
        <v>198</v>
      </c>
    </row>
    <row r="248" spans="1:7" x14ac:dyDescent="0.25">
      <c r="A248" s="20"/>
      <c r="B248" s="20"/>
      <c r="C248" s="20"/>
      <c r="D248" s="20"/>
      <c r="E248" s="20"/>
      <c r="F248" s="33">
        <f t="shared" ref="F248:F257" si="13">D248*E248</f>
        <v>0</v>
      </c>
      <c r="G248" s="20"/>
    </row>
    <row r="249" spans="1:7" x14ac:dyDescent="0.25">
      <c r="A249" s="20"/>
      <c r="B249" s="20"/>
      <c r="C249" s="20"/>
      <c r="D249" s="20"/>
      <c r="E249" s="20"/>
      <c r="F249" s="33">
        <f t="shared" si="13"/>
        <v>0</v>
      </c>
      <c r="G249" s="20"/>
    </row>
    <row r="250" spans="1:7" x14ac:dyDescent="0.25">
      <c r="A250" s="20"/>
      <c r="B250" s="20"/>
      <c r="C250" s="20"/>
      <c r="D250" s="20"/>
      <c r="E250" s="20"/>
      <c r="F250" s="33">
        <f t="shared" si="13"/>
        <v>0</v>
      </c>
      <c r="G250" s="20"/>
    </row>
    <row r="251" spans="1:7" x14ac:dyDescent="0.25">
      <c r="A251" s="20"/>
      <c r="B251" s="20"/>
      <c r="C251" s="20"/>
      <c r="D251" s="20"/>
      <c r="E251" s="20"/>
      <c r="F251" s="33">
        <f t="shared" si="13"/>
        <v>0</v>
      </c>
      <c r="G251" s="20"/>
    </row>
    <row r="252" spans="1:7" x14ac:dyDescent="0.25">
      <c r="A252" s="20"/>
      <c r="B252" s="20"/>
      <c r="C252" s="20"/>
      <c r="D252" s="20"/>
      <c r="E252" s="20"/>
      <c r="F252" s="33">
        <f t="shared" si="13"/>
        <v>0</v>
      </c>
      <c r="G252" s="20"/>
    </row>
    <row r="253" spans="1:7" x14ac:dyDescent="0.25">
      <c r="A253" s="20"/>
      <c r="B253" s="20"/>
      <c r="C253" s="20"/>
      <c r="D253" s="20"/>
      <c r="E253" s="20"/>
      <c r="F253" s="33">
        <f t="shared" si="13"/>
        <v>0</v>
      </c>
      <c r="G253" s="20"/>
    </row>
    <row r="254" spans="1:7" x14ac:dyDescent="0.25">
      <c r="A254" s="20"/>
      <c r="B254" s="20"/>
      <c r="C254" s="20"/>
      <c r="D254" s="20"/>
      <c r="E254" s="20"/>
      <c r="F254" s="33">
        <f t="shared" si="13"/>
        <v>0</v>
      </c>
      <c r="G254" s="20"/>
    </row>
    <row r="255" spans="1:7" x14ac:dyDescent="0.25">
      <c r="A255" s="20"/>
      <c r="B255" s="20"/>
      <c r="C255" s="20"/>
      <c r="D255" s="20"/>
      <c r="E255" s="20"/>
      <c r="F255" s="33">
        <f t="shared" si="13"/>
        <v>0</v>
      </c>
      <c r="G255" s="20"/>
    </row>
    <row r="256" spans="1:7" x14ac:dyDescent="0.25">
      <c r="A256" s="20"/>
      <c r="B256" s="20"/>
      <c r="C256" s="20"/>
      <c r="D256" s="20"/>
      <c r="E256" s="20"/>
      <c r="F256" s="33">
        <f t="shared" si="13"/>
        <v>0</v>
      </c>
      <c r="G256" s="20"/>
    </row>
    <row r="257" spans="1:7" x14ac:dyDescent="0.25">
      <c r="A257" s="20"/>
      <c r="B257" s="20"/>
      <c r="C257" s="20"/>
      <c r="D257" s="20"/>
      <c r="E257" s="20"/>
      <c r="F257" s="33">
        <f t="shared" si="13"/>
        <v>0</v>
      </c>
      <c r="G257" s="20"/>
    </row>
    <row r="258" spans="1:7" x14ac:dyDescent="0.25">
      <c r="A258" s="20"/>
      <c r="B258" s="20"/>
      <c r="C258" s="20"/>
      <c r="D258" s="20"/>
      <c r="E258" s="20"/>
      <c r="F258" s="20"/>
      <c r="G258" s="20"/>
    </row>
    <row r="267" spans="1:7" x14ac:dyDescent="0.25">
      <c r="A267" s="20" t="s">
        <v>188</v>
      </c>
      <c r="B267" s="20" t="s">
        <v>189</v>
      </c>
      <c r="C267" s="20" t="s">
        <v>190</v>
      </c>
      <c r="D267" s="20" t="s">
        <v>191</v>
      </c>
      <c r="E267" s="20" t="s">
        <v>192</v>
      </c>
      <c r="F267" s="20" t="s">
        <v>193</v>
      </c>
      <c r="G267" s="20" t="s">
        <v>203</v>
      </c>
    </row>
    <row r="268" spans="1:7" x14ac:dyDescent="0.25">
      <c r="A268" s="20"/>
      <c r="B268" s="20"/>
      <c r="C268" s="20"/>
      <c r="D268" s="20"/>
      <c r="E268" s="20"/>
      <c r="F268" s="20"/>
      <c r="G268" s="20"/>
    </row>
    <row r="269" spans="1:7" ht="30" x14ac:dyDescent="0.25">
      <c r="A269" s="32">
        <v>425510</v>
      </c>
      <c r="B269" s="35" t="s">
        <v>12</v>
      </c>
      <c r="C269" s="20"/>
      <c r="D269" s="20"/>
      <c r="E269" s="20"/>
      <c r="F269" s="33">
        <f>D269*E269</f>
        <v>0</v>
      </c>
      <c r="G269" s="20" t="s">
        <v>96</v>
      </c>
    </row>
    <row r="270" spans="1:7" ht="30" x14ac:dyDescent="0.25">
      <c r="A270" s="32">
        <v>425550</v>
      </c>
      <c r="B270" s="35" t="s">
        <v>13</v>
      </c>
      <c r="C270" s="20"/>
      <c r="D270" s="20"/>
      <c r="E270" s="20"/>
      <c r="F270" s="33">
        <f t="shared" ref="F270:F279" si="14">D270*E270</f>
        <v>0</v>
      </c>
      <c r="G270" s="20"/>
    </row>
    <row r="271" spans="1:7" x14ac:dyDescent="0.25">
      <c r="A271" s="20"/>
      <c r="B271" s="20"/>
      <c r="C271" s="20"/>
      <c r="D271" s="20"/>
      <c r="E271" s="20"/>
      <c r="F271" s="33">
        <f t="shared" si="14"/>
        <v>0</v>
      </c>
      <c r="G271" s="20"/>
    </row>
    <row r="272" spans="1:7" x14ac:dyDescent="0.25">
      <c r="A272" s="20"/>
      <c r="B272" s="20"/>
      <c r="C272" s="20"/>
      <c r="D272" s="20"/>
      <c r="E272" s="20"/>
      <c r="F272" s="33">
        <f t="shared" si="14"/>
        <v>0</v>
      </c>
      <c r="G272" s="20"/>
    </row>
    <row r="273" spans="1:7" x14ac:dyDescent="0.25">
      <c r="A273" s="20"/>
      <c r="B273" s="20"/>
      <c r="C273" s="20"/>
      <c r="D273" s="20"/>
      <c r="E273" s="20"/>
      <c r="F273" s="33">
        <f t="shared" si="14"/>
        <v>0</v>
      </c>
      <c r="G273" s="20"/>
    </row>
    <row r="274" spans="1:7" x14ac:dyDescent="0.25">
      <c r="A274" s="20"/>
      <c r="B274" s="20"/>
      <c r="C274" s="20"/>
      <c r="D274" s="20"/>
      <c r="E274" s="20"/>
      <c r="F274" s="33">
        <f t="shared" si="14"/>
        <v>0</v>
      </c>
      <c r="G274" s="20"/>
    </row>
    <row r="275" spans="1:7" x14ac:dyDescent="0.25">
      <c r="A275" s="20"/>
      <c r="B275" s="20"/>
      <c r="C275" s="20"/>
      <c r="D275" s="20"/>
      <c r="E275" s="20"/>
      <c r="F275" s="33">
        <f t="shared" si="14"/>
        <v>0</v>
      </c>
      <c r="G275" s="20"/>
    </row>
    <row r="276" spans="1:7" x14ac:dyDescent="0.25">
      <c r="A276" s="20"/>
      <c r="B276" s="20"/>
      <c r="C276" s="20"/>
      <c r="D276" s="20"/>
      <c r="E276" s="20"/>
      <c r="F276" s="33">
        <f t="shared" si="14"/>
        <v>0</v>
      </c>
      <c r="G276" s="20"/>
    </row>
    <row r="277" spans="1:7" x14ac:dyDescent="0.25">
      <c r="A277" s="20"/>
      <c r="B277" s="20"/>
      <c r="C277" s="20"/>
      <c r="D277" s="20"/>
      <c r="E277" s="20"/>
      <c r="F277" s="33">
        <f t="shared" si="14"/>
        <v>0</v>
      </c>
      <c r="G277" s="20"/>
    </row>
    <row r="278" spans="1:7" x14ac:dyDescent="0.25">
      <c r="A278" s="20"/>
      <c r="B278" s="20"/>
      <c r="C278" s="20"/>
      <c r="D278" s="20"/>
      <c r="E278" s="20"/>
      <c r="F278" s="33">
        <f t="shared" si="14"/>
        <v>0</v>
      </c>
      <c r="G278" s="20"/>
    </row>
    <row r="279" spans="1:7" x14ac:dyDescent="0.25">
      <c r="A279" s="20"/>
      <c r="B279" s="20"/>
      <c r="C279" s="20"/>
      <c r="D279" s="20"/>
      <c r="E279" s="20"/>
      <c r="F279" s="33">
        <f t="shared" si="14"/>
        <v>0</v>
      </c>
      <c r="G279" s="20"/>
    </row>
    <row r="280" spans="1:7" x14ac:dyDescent="0.25">
      <c r="A280" s="20"/>
      <c r="B280" s="20"/>
      <c r="C280" s="20"/>
      <c r="D280" s="20"/>
      <c r="E280" s="20"/>
      <c r="F280" s="20"/>
      <c r="G280" s="20"/>
    </row>
    <row r="288" spans="1:7" x14ac:dyDescent="0.25">
      <c r="A288" s="20" t="s">
        <v>188</v>
      </c>
      <c r="B288" s="20" t="s">
        <v>189</v>
      </c>
      <c r="C288" s="20" t="s">
        <v>190</v>
      </c>
      <c r="D288" s="20" t="s">
        <v>191</v>
      </c>
      <c r="E288" s="20" t="s">
        <v>192</v>
      </c>
      <c r="F288" s="20" t="s">
        <v>193</v>
      </c>
      <c r="G288" s="20" t="s">
        <v>203</v>
      </c>
    </row>
    <row r="289" spans="1:7" x14ac:dyDescent="0.25">
      <c r="A289" s="20"/>
      <c r="B289" s="20"/>
      <c r="C289" s="20"/>
      <c r="D289" s="20"/>
      <c r="E289" s="20"/>
      <c r="F289" s="20"/>
      <c r="G289" s="20"/>
    </row>
    <row r="290" spans="1:7" x14ac:dyDescent="0.25">
      <c r="A290" s="32">
        <v>428090</v>
      </c>
      <c r="B290" s="34" t="s">
        <v>34</v>
      </c>
      <c r="C290" s="20" t="s">
        <v>199</v>
      </c>
      <c r="D290" s="20"/>
      <c r="E290" s="20"/>
      <c r="F290" s="33">
        <v>10000</v>
      </c>
      <c r="G290" s="20" t="s">
        <v>198</v>
      </c>
    </row>
    <row r="291" spans="1:7" x14ac:dyDescent="0.25">
      <c r="A291" s="20"/>
      <c r="B291" s="20"/>
      <c r="C291" s="20" t="s">
        <v>200</v>
      </c>
      <c r="D291" s="20"/>
      <c r="E291" s="20"/>
      <c r="F291" s="33">
        <v>15000</v>
      </c>
      <c r="G291" s="20"/>
    </row>
    <row r="292" spans="1:7" x14ac:dyDescent="0.25">
      <c r="A292" s="20"/>
      <c r="B292" s="20"/>
      <c r="C292" s="20"/>
      <c r="D292" s="20"/>
      <c r="E292" s="20"/>
      <c r="F292" s="33">
        <f t="shared" ref="F292:F300" si="15">D292*E292</f>
        <v>0</v>
      </c>
      <c r="G292" s="20"/>
    </row>
    <row r="293" spans="1:7" x14ac:dyDescent="0.25">
      <c r="A293" s="20"/>
      <c r="B293" s="20"/>
      <c r="C293" s="20"/>
      <c r="D293" s="20"/>
      <c r="E293" s="20"/>
      <c r="F293" s="33">
        <f t="shared" si="15"/>
        <v>0</v>
      </c>
      <c r="G293" s="20"/>
    </row>
    <row r="294" spans="1:7" x14ac:dyDescent="0.25">
      <c r="A294" s="20"/>
      <c r="B294" s="20"/>
      <c r="C294" s="20"/>
      <c r="D294" s="20"/>
      <c r="E294" s="20"/>
      <c r="F294" s="33">
        <f t="shared" si="15"/>
        <v>0</v>
      </c>
      <c r="G294" s="20"/>
    </row>
    <row r="295" spans="1:7" x14ac:dyDescent="0.25">
      <c r="A295" s="20"/>
      <c r="B295" s="20"/>
      <c r="C295" s="20"/>
      <c r="D295" s="20"/>
      <c r="E295" s="20"/>
      <c r="F295" s="33">
        <f t="shared" si="15"/>
        <v>0</v>
      </c>
      <c r="G295" s="20"/>
    </row>
    <row r="296" spans="1:7" x14ac:dyDescent="0.25">
      <c r="A296" s="20"/>
      <c r="B296" s="20"/>
      <c r="C296" s="20"/>
      <c r="D296" s="20"/>
      <c r="E296" s="20"/>
      <c r="F296" s="33">
        <f t="shared" si="15"/>
        <v>0</v>
      </c>
      <c r="G296" s="20"/>
    </row>
    <row r="297" spans="1:7" x14ac:dyDescent="0.25">
      <c r="A297" s="20"/>
      <c r="B297" s="20"/>
      <c r="C297" s="20"/>
      <c r="D297" s="20"/>
      <c r="E297" s="20"/>
      <c r="F297" s="33">
        <f t="shared" si="15"/>
        <v>0</v>
      </c>
      <c r="G297" s="20"/>
    </row>
    <row r="298" spans="1:7" x14ac:dyDescent="0.25">
      <c r="A298" s="20"/>
      <c r="B298" s="20"/>
      <c r="C298" s="20"/>
      <c r="D298" s="20"/>
      <c r="E298" s="20"/>
      <c r="F298" s="33">
        <f t="shared" si="15"/>
        <v>0</v>
      </c>
      <c r="G298" s="20"/>
    </row>
    <row r="299" spans="1:7" x14ac:dyDescent="0.25">
      <c r="A299" s="20"/>
      <c r="B299" s="20"/>
      <c r="C299" s="20"/>
      <c r="D299" s="20"/>
      <c r="E299" s="20"/>
      <c r="F299" s="33">
        <f t="shared" si="15"/>
        <v>0</v>
      </c>
      <c r="G299" s="20"/>
    </row>
    <row r="300" spans="1:7" x14ac:dyDescent="0.25">
      <c r="A300" s="20"/>
      <c r="B300" s="20"/>
      <c r="C300" s="20"/>
      <c r="D300" s="20"/>
      <c r="E300" s="20"/>
      <c r="F300" s="33">
        <f t="shared" si="15"/>
        <v>0</v>
      </c>
      <c r="G300" s="20"/>
    </row>
    <row r="301" spans="1:7" x14ac:dyDescent="0.25">
      <c r="A301" s="20"/>
      <c r="B301" s="20"/>
      <c r="C301" s="20"/>
      <c r="D301" s="20"/>
      <c r="E301" s="20"/>
      <c r="F301" s="20"/>
      <c r="G301" s="20"/>
    </row>
    <row r="308" spans="1:7" x14ac:dyDescent="0.25">
      <c r="A308" s="20" t="s">
        <v>188</v>
      </c>
      <c r="B308" s="20" t="s">
        <v>189</v>
      </c>
      <c r="C308" s="20" t="s">
        <v>190</v>
      </c>
      <c r="D308" s="20" t="s">
        <v>191</v>
      </c>
      <c r="E308" s="20" t="s">
        <v>192</v>
      </c>
      <c r="F308" s="20" t="s">
        <v>193</v>
      </c>
      <c r="G308" s="20" t="s">
        <v>203</v>
      </c>
    </row>
    <row r="309" spans="1:7" x14ac:dyDescent="0.25">
      <c r="A309" s="20"/>
      <c r="B309" s="20"/>
      <c r="C309" s="20"/>
      <c r="D309" s="20"/>
      <c r="E309" s="20"/>
      <c r="F309" s="20"/>
      <c r="G309" s="20"/>
    </row>
    <row r="310" spans="1:7" x14ac:dyDescent="0.25">
      <c r="A310" s="32">
        <v>420570</v>
      </c>
      <c r="B310" s="34" t="s">
        <v>4</v>
      </c>
      <c r="C310" s="20"/>
      <c r="D310" s="20"/>
      <c r="E310" s="20"/>
      <c r="F310" s="33">
        <f>D310*E310</f>
        <v>0</v>
      </c>
      <c r="G310" s="20" t="s">
        <v>198</v>
      </c>
    </row>
    <row r="311" spans="1:7" x14ac:dyDescent="0.25">
      <c r="A311" s="20"/>
      <c r="B311" s="20"/>
      <c r="C311" s="20"/>
      <c r="D311" s="20"/>
      <c r="E311" s="20"/>
      <c r="F311" s="33">
        <f t="shared" ref="F311:F320" si="16">D311*E311</f>
        <v>0</v>
      </c>
      <c r="G311" s="20"/>
    </row>
    <row r="312" spans="1:7" x14ac:dyDescent="0.25">
      <c r="A312" s="20"/>
      <c r="B312" s="20"/>
      <c r="C312" s="20"/>
      <c r="D312" s="20"/>
      <c r="E312" s="20"/>
      <c r="F312" s="33">
        <f t="shared" si="16"/>
        <v>0</v>
      </c>
      <c r="G312" s="20"/>
    </row>
    <row r="313" spans="1:7" x14ac:dyDescent="0.25">
      <c r="A313" s="20"/>
      <c r="B313" s="20"/>
      <c r="C313" s="20"/>
      <c r="D313" s="20"/>
      <c r="E313" s="20"/>
      <c r="F313" s="33">
        <f t="shared" si="16"/>
        <v>0</v>
      </c>
      <c r="G313" s="20"/>
    </row>
    <row r="314" spans="1:7" x14ac:dyDescent="0.25">
      <c r="A314" s="20"/>
      <c r="B314" s="20"/>
      <c r="C314" s="20"/>
      <c r="D314" s="20"/>
      <c r="E314" s="20"/>
      <c r="F314" s="33">
        <f t="shared" si="16"/>
        <v>0</v>
      </c>
      <c r="G314" s="20"/>
    </row>
    <row r="315" spans="1:7" x14ac:dyDescent="0.25">
      <c r="A315" s="20"/>
      <c r="B315" s="20"/>
      <c r="C315" s="20"/>
      <c r="D315" s="20"/>
      <c r="E315" s="20"/>
      <c r="F315" s="33">
        <f t="shared" si="16"/>
        <v>0</v>
      </c>
      <c r="G315" s="20"/>
    </row>
    <row r="316" spans="1:7" x14ac:dyDescent="0.25">
      <c r="A316" s="20"/>
      <c r="B316" s="20"/>
      <c r="C316" s="20"/>
      <c r="D316" s="20"/>
      <c r="E316" s="20"/>
      <c r="F316" s="33">
        <f t="shared" si="16"/>
        <v>0</v>
      </c>
      <c r="G316" s="20"/>
    </row>
    <row r="317" spans="1:7" x14ac:dyDescent="0.25">
      <c r="A317" s="20"/>
      <c r="B317" s="20"/>
      <c r="C317" s="20"/>
      <c r="D317" s="20"/>
      <c r="E317" s="20"/>
      <c r="F317" s="33">
        <f t="shared" si="16"/>
        <v>0</v>
      </c>
      <c r="G317" s="20"/>
    </row>
    <row r="318" spans="1:7" x14ac:dyDescent="0.25">
      <c r="A318" s="20"/>
      <c r="B318" s="20"/>
      <c r="C318" s="20"/>
      <c r="D318" s="20"/>
      <c r="E318" s="20"/>
      <c r="F318" s="33">
        <f t="shared" si="16"/>
        <v>0</v>
      </c>
      <c r="G318" s="20"/>
    </row>
    <row r="319" spans="1:7" x14ac:dyDescent="0.25">
      <c r="A319" s="20"/>
      <c r="B319" s="20"/>
      <c r="C319" s="20"/>
      <c r="D319" s="20"/>
      <c r="E319" s="20"/>
      <c r="F319" s="33">
        <f t="shared" si="16"/>
        <v>0</v>
      </c>
      <c r="G319" s="20"/>
    </row>
    <row r="320" spans="1:7" x14ac:dyDescent="0.25">
      <c r="A320" s="20"/>
      <c r="B320" s="20"/>
      <c r="C320" s="20"/>
      <c r="D320" s="20"/>
      <c r="E320" s="20"/>
      <c r="F320" s="33">
        <f t="shared" si="16"/>
        <v>0</v>
      </c>
      <c r="G320" s="20"/>
    </row>
    <row r="321" spans="1:7" x14ac:dyDescent="0.25">
      <c r="A321" s="20"/>
      <c r="B321" s="20"/>
      <c r="C321" s="20"/>
      <c r="D321" s="20"/>
      <c r="E321" s="20"/>
      <c r="F321" s="20"/>
      <c r="G321" s="20"/>
    </row>
    <row r="328" spans="1:7" x14ac:dyDescent="0.25">
      <c r="A328" s="20" t="s">
        <v>188</v>
      </c>
      <c r="B328" s="20" t="s">
        <v>189</v>
      </c>
      <c r="C328" s="20" t="s">
        <v>190</v>
      </c>
      <c r="D328" s="20" t="s">
        <v>191</v>
      </c>
      <c r="E328" s="20" t="s">
        <v>192</v>
      </c>
      <c r="F328" s="20" t="s">
        <v>193</v>
      </c>
      <c r="G328" s="20" t="s">
        <v>203</v>
      </c>
    </row>
    <row r="329" spans="1:7" x14ac:dyDescent="0.25">
      <c r="A329" s="20"/>
      <c r="B329" s="20"/>
      <c r="C329" s="20"/>
      <c r="D329" s="20"/>
      <c r="E329" s="20"/>
      <c r="F329" s="20"/>
      <c r="G329" s="20"/>
    </row>
    <row r="330" spans="1:7" x14ac:dyDescent="0.25">
      <c r="A330" s="32">
        <v>420550</v>
      </c>
      <c r="B330" s="34" t="s">
        <v>3</v>
      </c>
      <c r="C330" s="20"/>
      <c r="D330" s="20"/>
      <c r="E330" s="20"/>
      <c r="F330" s="33">
        <f>D330*E330</f>
        <v>0</v>
      </c>
      <c r="G330" s="20" t="s">
        <v>198</v>
      </c>
    </row>
    <row r="331" spans="1:7" x14ac:dyDescent="0.25">
      <c r="A331" s="20"/>
      <c r="B331" s="20"/>
      <c r="C331" s="20"/>
      <c r="D331" s="20"/>
      <c r="E331" s="20"/>
      <c r="F331" s="33">
        <f t="shared" ref="F331:F340" si="17">D331*E331</f>
        <v>0</v>
      </c>
      <c r="G331" s="20"/>
    </row>
    <row r="332" spans="1:7" x14ac:dyDescent="0.25">
      <c r="A332" s="20"/>
      <c r="B332" s="20"/>
      <c r="C332" s="20"/>
      <c r="D332" s="20"/>
      <c r="E332" s="20"/>
      <c r="F332" s="33">
        <f t="shared" si="17"/>
        <v>0</v>
      </c>
      <c r="G332" s="20"/>
    </row>
    <row r="333" spans="1:7" x14ac:dyDescent="0.25">
      <c r="A333" s="20"/>
      <c r="B333" s="20"/>
      <c r="C333" s="20"/>
      <c r="D333" s="20"/>
      <c r="E333" s="20"/>
      <c r="F333" s="33">
        <f t="shared" si="17"/>
        <v>0</v>
      </c>
      <c r="G333" s="20"/>
    </row>
    <row r="334" spans="1:7" x14ac:dyDescent="0.25">
      <c r="A334" s="20"/>
      <c r="B334" s="20"/>
      <c r="C334" s="20"/>
      <c r="D334" s="20"/>
      <c r="E334" s="20"/>
      <c r="F334" s="33">
        <f t="shared" si="17"/>
        <v>0</v>
      </c>
      <c r="G334" s="20"/>
    </row>
    <row r="335" spans="1:7" x14ac:dyDescent="0.25">
      <c r="A335" s="20"/>
      <c r="B335" s="20"/>
      <c r="C335" s="20"/>
      <c r="D335" s="20"/>
      <c r="E335" s="20"/>
      <c r="F335" s="33">
        <f t="shared" si="17"/>
        <v>0</v>
      </c>
      <c r="G335" s="20"/>
    </row>
    <row r="336" spans="1:7" x14ac:dyDescent="0.25">
      <c r="A336" s="20"/>
      <c r="B336" s="20"/>
      <c r="C336" s="20"/>
      <c r="D336" s="20"/>
      <c r="E336" s="20"/>
      <c r="F336" s="33">
        <f t="shared" si="17"/>
        <v>0</v>
      </c>
      <c r="G336" s="20"/>
    </row>
    <row r="337" spans="1:7" x14ac:dyDescent="0.25">
      <c r="A337" s="20"/>
      <c r="B337" s="20"/>
      <c r="C337" s="20"/>
      <c r="D337" s="20"/>
      <c r="E337" s="20"/>
      <c r="F337" s="33">
        <f t="shared" si="17"/>
        <v>0</v>
      </c>
      <c r="G337" s="20"/>
    </row>
    <row r="338" spans="1:7" x14ac:dyDescent="0.25">
      <c r="A338" s="20"/>
      <c r="B338" s="20"/>
      <c r="C338" s="20"/>
      <c r="D338" s="20"/>
      <c r="E338" s="20"/>
      <c r="F338" s="33">
        <f t="shared" si="17"/>
        <v>0</v>
      </c>
      <c r="G338" s="20"/>
    </row>
    <row r="339" spans="1:7" x14ac:dyDescent="0.25">
      <c r="A339" s="20"/>
      <c r="B339" s="20"/>
      <c r="C339" s="20"/>
      <c r="D339" s="20"/>
      <c r="E339" s="20"/>
      <c r="F339" s="33">
        <f t="shared" si="17"/>
        <v>0</v>
      </c>
      <c r="G339" s="20"/>
    </row>
    <row r="340" spans="1:7" x14ac:dyDescent="0.25">
      <c r="A340" s="20"/>
      <c r="B340" s="20"/>
      <c r="C340" s="20"/>
      <c r="D340" s="20"/>
      <c r="E340" s="20"/>
      <c r="F340" s="33">
        <f t="shared" si="17"/>
        <v>0</v>
      </c>
      <c r="G340" s="20"/>
    </row>
    <row r="341" spans="1:7" x14ac:dyDescent="0.25">
      <c r="A341" s="20"/>
      <c r="B341" s="20"/>
      <c r="C341" s="20"/>
      <c r="D341" s="20"/>
      <c r="E341" s="20"/>
      <c r="F341" s="20"/>
      <c r="G341" s="20"/>
    </row>
    <row r="348" spans="1:7" x14ac:dyDescent="0.25">
      <c r="A348" s="20" t="s">
        <v>188</v>
      </c>
      <c r="B348" s="20" t="s">
        <v>189</v>
      </c>
      <c r="C348" s="20" t="s">
        <v>190</v>
      </c>
      <c r="D348" s="20" t="s">
        <v>191</v>
      </c>
      <c r="E348" s="20" t="s">
        <v>192</v>
      </c>
      <c r="F348" s="20" t="s">
        <v>193</v>
      </c>
      <c r="G348" s="20" t="s">
        <v>203</v>
      </c>
    </row>
    <row r="349" spans="1:7" x14ac:dyDescent="0.25">
      <c r="A349" s="20"/>
      <c r="B349" s="20"/>
      <c r="C349" s="20"/>
      <c r="D349" s="20"/>
      <c r="E349" s="20"/>
      <c r="F349" s="20"/>
      <c r="G349" s="20"/>
    </row>
    <row r="350" spans="1:7" ht="30" x14ac:dyDescent="0.25">
      <c r="A350" s="32">
        <v>427710</v>
      </c>
      <c r="B350" s="35" t="s">
        <v>36</v>
      </c>
      <c r="C350" s="20"/>
      <c r="D350" s="20"/>
      <c r="E350" s="20"/>
      <c r="F350" s="33">
        <f>D350*E350</f>
        <v>0</v>
      </c>
      <c r="G350" s="20" t="s">
        <v>198</v>
      </c>
    </row>
    <row r="351" spans="1:7" x14ac:dyDescent="0.25">
      <c r="A351" s="20"/>
      <c r="B351" s="20"/>
      <c r="C351" s="20"/>
      <c r="D351" s="20"/>
      <c r="E351" s="20"/>
      <c r="F351" s="33">
        <f t="shared" ref="F351:F360" si="18">D351*E351</f>
        <v>0</v>
      </c>
      <c r="G351" s="20"/>
    </row>
    <row r="352" spans="1:7" x14ac:dyDescent="0.25">
      <c r="A352" s="20"/>
      <c r="B352" s="20"/>
      <c r="C352" s="20"/>
      <c r="D352" s="20"/>
      <c r="E352" s="20"/>
      <c r="F352" s="33">
        <f t="shared" si="18"/>
        <v>0</v>
      </c>
      <c r="G352" s="20"/>
    </row>
    <row r="353" spans="1:7" x14ac:dyDescent="0.25">
      <c r="A353" s="20"/>
      <c r="B353" s="20"/>
      <c r="C353" s="20"/>
      <c r="D353" s="20"/>
      <c r="E353" s="20"/>
      <c r="F353" s="33">
        <f t="shared" si="18"/>
        <v>0</v>
      </c>
      <c r="G353" s="20"/>
    </row>
    <row r="354" spans="1:7" x14ac:dyDescent="0.25">
      <c r="A354" s="20"/>
      <c r="B354" s="20"/>
      <c r="C354" s="20"/>
      <c r="D354" s="20"/>
      <c r="E354" s="20"/>
      <c r="F354" s="33">
        <f t="shared" si="18"/>
        <v>0</v>
      </c>
      <c r="G354" s="20"/>
    </row>
    <row r="355" spans="1:7" x14ac:dyDescent="0.25">
      <c r="A355" s="20"/>
      <c r="B355" s="20"/>
      <c r="C355" s="20"/>
      <c r="D355" s="20"/>
      <c r="E355" s="20"/>
      <c r="F355" s="33">
        <f t="shared" si="18"/>
        <v>0</v>
      </c>
      <c r="G355" s="20"/>
    </row>
    <row r="356" spans="1:7" x14ac:dyDescent="0.25">
      <c r="A356" s="20"/>
      <c r="B356" s="20"/>
      <c r="C356" s="20"/>
      <c r="D356" s="20"/>
      <c r="E356" s="20"/>
      <c r="F356" s="33">
        <f t="shared" si="18"/>
        <v>0</v>
      </c>
      <c r="G356" s="20"/>
    </row>
    <row r="357" spans="1:7" x14ac:dyDescent="0.25">
      <c r="A357" s="20"/>
      <c r="B357" s="20"/>
      <c r="C357" s="20"/>
      <c r="D357" s="20"/>
      <c r="E357" s="20"/>
      <c r="F357" s="33">
        <f t="shared" si="18"/>
        <v>0</v>
      </c>
      <c r="G357" s="20"/>
    </row>
    <row r="358" spans="1:7" x14ac:dyDescent="0.25">
      <c r="A358" s="20"/>
      <c r="B358" s="20"/>
      <c r="C358" s="20"/>
      <c r="D358" s="20"/>
      <c r="E358" s="20"/>
      <c r="F358" s="33">
        <f t="shared" si="18"/>
        <v>0</v>
      </c>
      <c r="G358" s="20"/>
    </row>
    <row r="359" spans="1:7" x14ac:dyDescent="0.25">
      <c r="A359" s="20"/>
      <c r="B359" s="20"/>
      <c r="C359" s="20"/>
      <c r="D359" s="20"/>
      <c r="E359" s="20"/>
      <c r="F359" s="33">
        <f t="shared" si="18"/>
        <v>0</v>
      </c>
      <c r="G359" s="20"/>
    </row>
    <row r="360" spans="1:7" x14ac:dyDescent="0.25">
      <c r="A360" s="20"/>
      <c r="B360" s="20"/>
      <c r="C360" s="20"/>
      <c r="D360" s="20"/>
      <c r="E360" s="20"/>
      <c r="F360" s="33">
        <f t="shared" si="18"/>
        <v>0</v>
      </c>
      <c r="G360" s="20"/>
    </row>
    <row r="361" spans="1:7" x14ac:dyDescent="0.25">
      <c r="A361" s="20"/>
      <c r="B361" s="20"/>
      <c r="C361" s="20"/>
      <c r="D361" s="20"/>
      <c r="E361" s="20"/>
      <c r="F361" s="20"/>
      <c r="G361" s="20"/>
    </row>
    <row r="368" spans="1:7" x14ac:dyDescent="0.25">
      <c r="A368" s="20" t="s">
        <v>188</v>
      </c>
      <c r="B368" s="20" t="s">
        <v>189</v>
      </c>
      <c r="C368" s="20" t="s">
        <v>190</v>
      </c>
      <c r="D368" s="20" t="s">
        <v>191</v>
      </c>
      <c r="E368" s="20" t="s">
        <v>192</v>
      </c>
      <c r="F368" s="20" t="s">
        <v>193</v>
      </c>
      <c r="G368" s="20" t="s">
        <v>203</v>
      </c>
    </row>
    <row r="369" spans="1:7" x14ac:dyDescent="0.25">
      <c r="A369" s="20"/>
      <c r="B369" s="20"/>
      <c r="C369" s="20"/>
      <c r="D369" s="20"/>
      <c r="E369" s="20"/>
      <c r="F369" s="20"/>
      <c r="G369" s="20"/>
    </row>
    <row r="370" spans="1:7" ht="60" x14ac:dyDescent="0.25">
      <c r="A370" s="32">
        <v>425742</v>
      </c>
      <c r="B370" s="34" t="s">
        <v>180</v>
      </c>
      <c r="C370" s="20"/>
      <c r="D370" s="20"/>
      <c r="E370" s="20"/>
      <c r="F370" s="33">
        <f>D370*E370</f>
        <v>0</v>
      </c>
      <c r="G370" s="23" t="s">
        <v>201</v>
      </c>
    </row>
    <row r="371" spans="1:7" x14ac:dyDescent="0.25">
      <c r="A371" s="20"/>
      <c r="B371" s="20"/>
      <c r="C371" s="20"/>
      <c r="D371" s="20"/>
      <c r="E371" s="20"/>
      <c r="F371" s="33">
        <f t="shared" ref="F371:F380" si="19">D371*E371</f>
        <v>0</v>
      </c>
      <c r="G371" s="20"/>
    </row>
    <row r="372" spans="1:7" x14ac:dyDescent="0.25">
      <c r="A372" s="20"/>
      <c r="B372" s="20"/>
      <c r="C372" s="20"/>
      <c r="D372" s="20"/>
      <c r="E372" s="20"/>
      <c r="F372" s="33">
        <f t="shared" si="19"/>
        <v>0</v>
      </c>
      <c r="G372" s="20"/>
    </row>
    <row r="373" spans="1:7" x14ac:dyDescent="0.25">
      <c r="A373" s="20"/>
      <c r="B373" s="20"/>
      <c r="C373" s="20"/>
      <c r="D373" s="20"/>
      <c r="E373" s="20"/>
      <c r="F373" s="33">
        <f t="shared" si="19"/>
        <v>0</v>
      </c>
      <c r="G373" s="20"/>
    </row>
    <row r="374" spans="1:7" x14ac:dyDescent="0.25">
      <c r="A374" s="20"/>
      <c r="B374" s="20"/>
      <c r="C374" s="20"/>
      <c r="D374" s="20"/>
      <c r="E374" s="20"/>
      <c r="F374" s="33">
        <f t="shared" si="19"/>
        <v>0</v>
      </c>
      <c r="G374" s="20"/>
    </row>
    <row r="375" spans="1:7" x14ac:dyDescent="0.25">
      <c r="A375" s="20"/>
      <c r="B375" s="20"/>
      <c r="C375" s="20"/>
      <c r="D375" s="20"/>
      <c r="E375" s="20"/>
      <c r="F375" s="33">
        <f t="shared" si="19"/>
        <v>0</v>
      </c>
      <c r="G375" s="20"/>
    </row>
    <row r="376" spans="1:7" x14ac:dyDescent="0.25">
      <c r="A376" s="20"/>
      <c r="B376" s="20"/>
      <c r="C376" s="20"/>
      <c r="D376" s="20"/>
      <c r="E376" s="20"/>
      <c r="F376" s="33">
        <f t="shared" si="19"/>
        <v>0</v>
      </c>
      <c r="G376" s="20"/>
    </row>
    <row r="377" spans="1:7" x14ac:dyDescent="0.25">
      <c r="A377" s="20"/>
      <c r="B377" s="20"/>
      <c r="C377" s="20"/>
      <c r="D377" s="20"/>
      <c r="E377" s="20"/>
      <c r="F377" s="33">
        <f t="shared" si="19"/>
        <v>0</v>
      </c>
      <c r="G377" s="20"/>
    </row>
    <row r="378" spans="1:7" x14ac:dyDescent="0.25">
      <c r="A378" s="20"/>
      <c r="B378" s="20"/>
      <c r="C378" s="20"/>
      <c r="D378" s="20"/>
      <c r="E378" s="20"/>
      <c r="F378" s="33">
        <f t="shared" si="19"/>
        <v>0</v>
      </c>
      <c r="G378" s="20"/>
    </row>
    <row r="379" spans="1:7" x14ac:dyDescent="0.25">
      <c r="A379" s="20"/>
      <c r="B379" s="20"/>
      <c r="C379" s="20"/>
      <c r="D379" s="20"/>
      <c r="E379" s="20"/>
      <c r="F379" s="33">
        <f t="shared" si="19"/>
        <v>0</v>
      </c>
      <c r="G379" s="20"/>
    </row>
    <row r="380" spans="1:7" x14ac:dyDescent="0.25">
      <c r="A380" s="20"/>
      <c r="B380" s="20"/>
      <c r="C380" s="20"/>
      <c r="D380" s="20"/>
      <c r="E380" s="20"/>
      <c r="F380" s="33">
        <f t="shared" si="19"/>
        <v>0</v>
      </c>
      <c r="G380" s="20"/>
    </row>
    <row r="381" spans="1:7" x14ac:dyDescent="0.25">
      <c r="A381" s="20"/>
      <c r="B381" s="20"/>
      <c r="C381" s="20"/>
      <c r="D381" s="20"/>
      <c r="E381" s="20"/>
      <c r="F381" s="20"/>
      <c r="G381" s="20"/>
    </row>
    <row r="388" spans="1:7" x14ac:dyDescent="0.25">
      <c r="A388" s="20" t="s">
        <v>188</v>
      </c>
      <c r="B388" s="20" t="s">
        <v>189</v>
      </c>
      <c r="C388" s="20" t="s">
        <v>190</v>
      </c>
      <c r="D388" s="20" t="s">
        <v>191</v>
      </c>
      <c r="E388" s="20" t="s">
        <v>192</v>
      </c>
      <c r="F388" s="20" t="s">
        <v>193</v>
      </c>
      <c r="G388" s="20" t="s">
        <v>203</v>
      </c>
    </row>
    <row r="389" spans="1:7" x14ac:dyDescent="0.25">
      <c r="A389" s="20"/>
      <c r="B389" s="20"/>
      <c r="C389" s="20"/>
      <c r="D389" s="20"/>
      <c r="E389" s="20"/>
      <c r="F389" s="20"/>
      <c r="G389" s="20"/>
    </row>
    <row r="390" spans="1:7" x14ac:dyDescent="0.25">
      <c r="A390" s="32">
        <v>426610</v>
      </c>
      <c r="B390" s="34" t="s">
        <v>26</v>
      </c>
      <c r="C390" s="20"/>
      <c r="D390" s="20"/>
      <c r="E390" s="20"/>
      <c r="F390" s="33"/>
      <c r="G390" s="23" t="s">
        <v>98</v>
      </c>
    </row>
    <row r="391" spans="1:7" x14ac:dyDescent="0.25">
      <c r="A391" s="20"/>
      <c r="B391" s="20"/>
      <c r="C391" s="20"/>
      <c r="D391" s="20"/>
      <c r="E391" s="20"/>
      <c r="F391" s="33"/>
      <c r="G391" s="20"/>
    </row>
    <row r="392" spans="1:7" x14ac:dyDescent="0.25">
      <c r="A392" s="20"/>
      <c r="B392" s="20"/>
      <c r="C392" s="20"/>
      <c r="D392" s="20"/>
      <c r="E392" s="20"/>
      <c r="F392" s="33">
        <f t="shared" ref="F392:F400" si="20">D392*E392</f>
        <v>0</v>
      </c>
      <c r="G392" s="20"/>
    </row>
    <row r="393" spans="1:7" x14ac:dyDescent="0.25">
      <c r="A393" s="20"/>
      <c r="B393" s="20"/>
      <c r="C393" s="20"/>
      <c r="D393" s="20"/>
      <c r="E393" s="20"/>
      <c r="F393" s="33">
        <f t="shared" si="20"/>
        <v>0</v>
      </c>
      <c r="G393" s="20"/>
    </row>
    <row r="394" spans="1:7" x14ac:dyDescent="0.25">
      <c r="A394" s="20"/>
      <c r="B394" s="20"/>
      <c r="C394" s="20"/>
      <c r="D394" s="20"/>
      <c r="E394" s="20"/>
      <c r="F394" s="33">
        <f t="shared" si="20"/>
        <v>0</v>
      </c>
      <c r="G394" s="20"/>
    </row>
    <row r="395" spans="1:7" x14ac:dyDescent="0.25">
      <c r="A395" s="20"/>
      <c r="B395" s="20"/>
      <c r="C395" s="20"/>
      <c r="D395" s="20"/>
      <c r="E395" s="20"/>
      <c r="F395" s="33">
        <f t="shared" si="20"/>
        <v>0</v>
      </c>
      <c r="G395" s="20"/>
    </row>
    <row r="396" spans="1:7" x14ac:dyDescent="0.25">
      <c r="A396" s="20"/>
      <c r="B396" s="20"/>
      <c r="C396" s="20"/>
      <c r="D396" s="20"/>
      <c r="E396" s="20"/>
      <c r="F396" s="33">
        <f t="shared" si="20"/>
        <v>0</v>
      </c>
      <c r="G396" s="20"/>
    </row>
    <row r="397" spans="1:7" x14ac:dyDescent="0.25">
      <c r="A397" s="20"/>
      <c r="B397" s="20"/>
      <c r="C397" s="20"/>
      <c r="D397" s="20"/>
      <c r="E397" s="20"/>
      <c r="F397" s="33">
        <f t="shared" si="20"/>
        <v>0</v>
      </c>
      <c r="G397" s="20"/>
    </row>
    <row r="398" spans="1:7" x14ac:dyDescent="0.25">
      <c r="A398" s="20"/>
      <c r="B398" s="20"/>
      <c r="C398" s="20"/>
      <c r="D398" s="20"/>
      <c r="E398" s="20"/>
      <c r="F398" s="33">
        <f t="shared" si="20"/>
        <v>0</v>
      </c>
      <c r="G398" s="20"/>
    </row>
    <row r="399" spans="1:7" x14ac:dyDescent="0.25">
      <c r="A399" s="20"/>
      <c r="B399" s="20"/>
      <c r="C399" s="20"/>
      <c r="D399" s="20"/>
      <c r="E399" s="20"/>
      <c r="F399" s="33">
        <f t="shared" si="20"/>
        <v>0</v>
      </c>
      <c r="G399" s="20"/>
    </row>
    <row r="400" spans="1:7" x14ac:dyDescent="0.25">
      <c r="A400" s="20"/>
      <c r="B400" s="20"/>
      <c r="C400" s="20"/>
      <c r="D400" s="20"/>
      <c r="E400" s="20"/>
      <c r="F400" s="33">
        <f t="shared" si="20"/>
        <v>0</v>
      </c>
      <c r="G400" s="20"/>
    </row>
    <row r="401" spans="1:7" x14ac:dyDescent="0.25">
      <c r="A401" s="20"/>
      <c r="B401" s="20"/>
      <c r="C401" s="20"/>
      <c r="D401" s="20"/>
      <c r="E401" s="20"/>
      <c r="F401" s="20"/>
      <c r="G401" s="20"/>
    </row>
    <row r="408" spans="1:7" x14ac:dyDescent="0.25">
      <c r="A408" s="20" t="s">
        <v>188</v>
      </c>
      <c r="B408" s="20" t="s">
        <v>189</v>
      </c>
      <c r="C408" s="20" t="s">
        <v>190</v>
      </c>
      <c r="D408" s="20" t="s">
        <v>191</v>
      </c>
      <c r="E408" s="20" t="s">
        <v>192</v>
      </c>
      <c r="F408" s="20" t="s">
        <v>193</v>
      </c>
      <c r="G408" s="20" t="s">
        <v>203</v>
      </c>
    </row>
    <row r="409" spans="1:7" x14ac:dyDescent="0.25">
      <c r="A409" s="20"/>
      <c r="B409" s="20"/>
      <c r="C409" s="20"/>
      <c r="D409" s="20"/>
      <c r="E409" s="20"/>
      <c r="F409" s="20"/>
      <c r="G409" s="20"/>
    </row>
    <row r="410" spans="1:7" x14ac:dyDescent="0.25">
      <c r="A410" s="32">
        <v>421100</v>
      </c>
      <c r="B410" s="36" t="s">
        <v>6</v>
      </c>
      <c r="C410" s="20"/>
      <c r="D410" s="20"/>
      <c r="E410" s="20"/>
      <c r="F410" s="33">
        <f>D410*E410</f>
        <v>0</v>
      </c>
      <c r="G410" s="23" t="s">
        <v>198</v>
      </c>
    </row>
    <row r="411" spans="1:7" x14ac:dyDescent="0.25">
      <c r="A411" s="20"/>
      <c r="B411" s="37"/>
      <c r="C411" s="20"/>
      <c r="D411" s="20"/>
      <c r="E411" s="20"/>
      <c r="F411" s="33">
        <f t="shared" ref="F411:F420" si="21">D411*E411</f>
        <v>0</v>
      </c>
      <c r="G411" s="20"/>
    </row>
    <row r="412" spans="1:7" x14ac:dyDescent="0.25">
      <c r="A412" s="20"/>
      <c r="B412" s="37"/>
      <c r="C412" s="20"/>
      <c r="D412" s="20"/>
      <c r="E412" s="20"/>
      <c r="F412" s="33">
        <f t="shared" si="21"/>
        <v>0</v>
      </c>
      <c r="G412" s="20"/>
    </row>
    <row r="413" spans="1:7" x14ac:dyDescent="0.25">
      <c r="A413" s="20"/>
      <c r="B413" s="20"/>
      <c r="C413" s="20"/>
      <c r="D413" s="20"/>
      <c r="E413" s="20"/>
      <c r="F413" s="33">
        <f t="shared" si="21"/>
        <v>0</v>
      </c>
      <c r="G413" s="20"/>
    </row>
    <row r="414" spans="1:7" x14ac:dyDescent="0.25">
      <c r="A414" s="20"/>
      <c r="B414" s="20"/>
      <c r="C414" s="20"/>
      <c r="D414" s="20"/>
      <c r="E414" s="20"/>
      <c r="F414" s="33">
        <f t="shared" si="21"/>
        <v>0</v>
      </c>
      <c r="G414" s="20"/>
    </row>
    <row r="415" spans="1:7" x14ac:dyDescent="0.25">
      <c r="A415" s="20"/>
      <c r="B415" s="20"/>
      <c r="C415" s="20"/>
      <c r="D415" s="20"/>
      <c r="E415" s="20"/>
      <c r="F415" s="33">
        <f t="shared" si="21"/>
        <v>0</v>
      </c>
      <c r="G415" s="20"/>
    </row>
    <row r="416" spans="1:7" x14ac:dyDescent="0.25">
      <c r="A416" s="20"/>
      <c r="B416" s="20"/>
      <c r="C416" s="20"/>
      <c r="D416" s="20"/>
      <c r="E416" s="20"/>
      <c r="F416" s="33">
        <f t="shared" si="21"/>
        <v>0</v>
      </c>
      <c r="G416" s="20"/>
    </row>
    <row r="417" spans="1:7" x14ac:dyDescent="0.25">
      <c r="A417" s="20"/>
      <c r="B417" s="20"/>
      <c r="C417" s="20"/>
      <c r="D417" s="20"/>
      <c r="E417" s="20"/>
      <c r="F417" s="33">
        <f t="shared" si="21"/>
        <v>0</v>
      </c>
      <c r="G417" s="20"/>
    </row>
    <row r="418" spans="1:7" x14ac:dyDescent="0.25">
      <c r="A418" s="20"/>
      <c r="B418" s="20"/>
      <c r="C418" s="20"/>
      <c r="D418" s="20"/>
      <c r="E418" s="20"/>
      <c r="F418" s="33">
        <f t="shared" si="21"/>
        <v>0</v>
      </c>
      <c r="G418" s="20"/>
    </row>
    <row r="419" spans="1:7" x14ac:dyDescent="0.25">
      <c r="A419" s="20"/>
      <c r="B419" s="20"/>
      <c r="C419" s="20"/>
      <c r="D419" s="20"/>
      <c r="E419" s="20"/>
      <c r="F419" s="33">
        <f t="shared" si="21"/>
        <v>0</v>
      </c>
      <c r="G419" s="20"/>
    </row>
    <row r="420" spans="1:7" x14ac:dyDescent="0.25">
      <c r="A420" s="20"/>
      <c r="B420" s="20"/>
      <c r="C420" s="20"/>
      <c r="D420" s="20"/>
      <c r="E420" s="20"/>
      <c r="F420" s="33">
        <f t="shared" si="21"/>
        <v>0</v>
      </c>
      <c r="G420" s="20"/>
    </row>
    <row r="421" spans="1:7" x14ac:dyDescent="0.25">
      <c r="A421" s="20"/>
      <c r="B421" s="20"/>
      <c r="C421" s="20"/>
      <c r="D421" s="20"/>
      <c r="E421" s="20"/>
      <c r="F421" s="20"/>
      <c r="G421" s="20"/>
    </row>
    <row r="428" spans="1:7" x14ac:dyDescent="0.25">
      <c r="A428" s="20" t="s">
        <v>188</v>
      </c>
      <c r="B428" s="20" t="s">
        <v>189</v>
      </c>
      <c r="C428" s="20" t="s">
        <v>190</v>
      </c>
      <c r="D428" s="20" t="s">
        <v>191</v>
      </c>
      <c r="E428" s="20" t="s">
        <v>192</v>
      </c>
      <c r="F428" s="20" t="s">
        <v>193</v>
      </c>
      <c r="G428" s="20" t="s">
        <v>203</v>
      </c>
    </row>
    <row r="429" spans="1:7" x14ac:dyDescent="0.25">
      <c r="A429" s="20"/>
      <c r="B429" s="20"/>
      <c r="C429" s="20"/>
      <c r="D429" s="20"/>
      <c r="E429" s="20"/>
      <c r="F429" s="20"/>
      <c r="G429" s="20"/>
    </row>
    <row r="430" spans="1:7" ht="30" x14ac:dyDescent="0.25">
      <c r="A430" s="32">
        <v>420310</v>
      </c>
      <c r="B430" s="35" t="s">
        <v>2</v>
      </c>
      <c r="C430" s="20"/>
      <c r="D430" s="20"/>
      <c r="E430" s="20"/>
      <c r="F430" s="33">
        <f>D430*E430</f>
        <v>0</v>
      </c>
      <c r="G430" s="23" t="s">
        <v>187</v>
      </c>
    </row>
    <row r="431" spans="1:7" x14ac:dyDescent="0.25">
      <c r="A431" s="20"/>
      <c r="B431" s="20"/>
      <c r="C431" s="20"/>
      <c r="D431" s="20"/>
      <c r="E431" s="20"/>
      <c r="F431" s="33">
        <f t="shared" ref="F431:F440" si="22">D431*E431</f>
        <v>0</v>
      </c>
      <c r="G431" s="20"/>
    </row>
    <row r="432" spans="1:7" x14ac:dyDescent="0.25">
      <c r="A432" s="20"/>
      <c r="B432" s="20"/>
      <c r="C432" s="20"/>
      <c r="D432" s="20"/>
      <c r="E432" s="20"/>
      <c r="F432" s="33">
        <f t="shared" si="22"/>
        <v>0</v>
      </c>
      <c r="G432" s="20"/>
    </row>
    <row r="433" spans="1:7" x14ac:dyDescent="0.25">
      <c r="A433" s="20"/>
      <c r="B433" s="20"/>
      <c r="C433" s="20"/>
      <c r="D433" s="20"/>
      <c r="E433" s="20"/>
      <c r="F433" s="33">
        <f t="shared" si="22"/>
        <v>0</v>
      </c>
      <c r="G433" s="20"/>
    </row>
    <row r="434" spans="1:7" x14ac:dyDescent="0.25">
      <c r="A434" s="20"/>
      <c r="B434" s="20"/>
      <c r="C434" s="20"/>
      <c r="D434" s="20"/>
      <c r="E434" s="20"/>
      <c r="F434" s="33">
        <f t="shared" si="22"/>
        <v>0</v>
      </c>
      <c r="G434" s="20"/>
    </row>
    <row r="435" spans="1:7" x14ac:dyDescent="0.25">
      <c r="A435" s="20"/>
      <c r="B435" s="20"/>
      <c r="C435" s="20"/>
      <c r="D435" s="20"/>
      <c r="E435" s="20"/>
      <c r="F435" s="33">
        <f t="shared" si="22"/>
        <v>0</v>
      </c>
      <c r="G435" s="20"/>
    </row>
    <row r="436" spans="1:7" x14ac:dyDescent="0.25">
      <c r="A436" s="20"/>
      <c r="B436" s="20"/>
      <c r="C436" s="20"/>
      <c r="D436" s="20"/>
      <c r="E436" s="20"/>
      <c r="F436" s="33">
        <f t="shared" si="22"/>
        <v>0</v>
      </c>
      <c r="G436" s="20"/>
    </row>
    <row r="437" spans="1:7" x14ac:dyDescent="0.25">
      <c r="A437" s="20"/>
      <c r="B437" s="20"/>
      <c r="C437" s="20"/>
      <c r="D437" s="20"/>
      <c r="E437" s="20"/>
      <c r="F437" s="33">
        <f t="shared" si="22"/>
        <v>0</v>
      </c>
      <c r="G437" s="20"/>
    </row>
    <row r="438" spans="1:7" x14ac:dyDescent="0.25">
      <c r="A438" s="20"/>
      <c r="B438" s="20"/>
      <c r="C438" s="20"/>
      <c r="D438" s="20"/>
      <c r="E438" s="20"/>
      <c r="F438" s="33">
        <f t="shared" si="22"/>
        <v>0</v>
      </c>
      <c r="G438" s="20"/>
    </row>
    <row r="439" spans="1:7" x14ac:dyDescent="0.25">
      <c r="A439" s="20"/>
      <c r="B439" s="20"/>
      <c r="C439" s="20"/>
      <c r="D439" s="20"/>
      <c r="E439" s="20"/>
      <c r="F439" s="33">
        <f t="shared" si="22"/>
        <v>0</v>
      </c>
      <c r="G439" s="20"/>
    </row>
    <row r="440" spans="1:7" x14ac:dyDescent="0.25">
      <c r="A440" s="20"/>
      <c r="B440" s="20"/>
      <c r="C440" s="20"/>
      <c r="D440" s="20"/>
      <c r="E440" s="20"/>
      <c r="F440" s="33">
        <f t="shared" si="22"/>
        <v>0</v>
      </c>
      <c r="G440" s="20"/>
    </row>
    <row r="441" spans="1:7" x14ac:dyDescent="0.25">
      <c r="A441" s="20"/>
      <c r="B441" s="20"/>
      <c r="C441" s="20"/>
      <c r="D441" s="20"/>
      <c r="E441" s="20"/>
      <c r="F441" s="20"/>
      <c r="G441" s="20"/>
    </row>
    <row r="449" spans="1:7" x14ac:dyDescent="0.25">
      <c r="A449" s="20" t="s">
        <v>188</v>
      </c>
      <c r="B449" s="20" t="s">
        <v>189</v>
      </c>
      <c r="C449" s="20" t="s">
        <v>190</v>
      </c>
      <c r="D449" s="20" t="s">
        <v>191</v>
      </c>
      <c r="E449" s="20" t="s">
        <v>192</v>
      </c>
      <c r="F449" s="20" t="s">
        <v>193</v>
      </c>
      <c r="G449" s="20" t="s">
        <v>203</v>
      </c>
    </row>
    <row r="450" spans="1:7" x14ac:dyDescent="0.25">
      <c r="A450" s="20"/>
      <c r="B450" s="20"/>
      <c r="C450" s="20"/>
      <c r="D450" s="20"/>
      <c r="E450" s="20"/>
      <c r="F450" s="20"/>
      <c r="G450" s="20"/>
    </row>
    <row r="451" spans="1:7" x14ac:dyDescent="0.25">
      <c r="A451" s="32">
        <v>421600</v>
      </c>
      <c r="B451" s="34" t="s">
        <v>8</v>
      </c>
      <c r="C451" s="20"/>
      <c r="D451" s="20"/>
      <c r="E451" s="20"/>
      <c r="F451" s="33">
        <f>D451*E451</f>
        <v>0</v>
      </c>
      <c r="G451" s="23" t="s">
        <v>187</v>
      </c>
    </row>
    <row r="452" spans="1:7" x14ac:dyDescent="0.25">
      <c r="A452" s="20"/>
      <c r="B452" s="20"/>
      <c r="C452" s="20"/>
      <c r="D452" s="20"/>
      <c r="E452" s="20"/>
      <c r="F452" s="33">
        <f t="shared" ref="F452:F461" si="23">D452*E452</f>
        <v>0</v>
      </c>
      <c r="G452" s="20"/>
    </row>
    <row r="453" spans="1:7" x14ac:dyDescent="0.25">
      <c r="A453" s="20"/>
      <c r="B453" s="20"/>
      <c r="C453" s="20"/>
      <c r="D453" s="20"/>
      <c r="E453" s="20"/>
      <c r="F453" s="33">
        <f t="shared" si="23"/>
        <v>0</v>
      </c>
      <c r="G453" s="20"/>
    </row>
    <row r="454" spans="1:7" x14ac:dyDescent="0.25">
      <c r="A454" s="20"/>
      <c r="B454" s="20"/>
      <c r="C454" s="20"/>
      <c r="D454" s="20"/>
      <c r="E454" s="20"/>
      <c r="F454" s="33">
        <f t="shared" si="23"/>
        <v>0</v>
      </c>
      <c r="G454" s="20"/>
    </row>
    <row r="455" spans="1:7" x14ac:dyDescent="0.25">
      <c r="A455" s="20"/>
      <c r="B455" s="20"/>
      <c r="C455" s="20"/>
      <c r="D455" s="20"/>
      <c r="E455" s="20"/>
      <c r="F455" s="33">
        <f t="shared" si="23"/>
        <v>0</v>
      </c>
      <c r="G455" s="20"/>
    </row>
    <row r="456" spans="1:7" x14ac:dyDescent="0.25">
      <c r="A456" s="20"/>
      <c r="B456" s="20"/>
      <c r="C456" s="20"/>
      <c r="D456" s="20"/>
      <c r="E456" s="20"/>
      <c r="F456" s="33">
        <f t="shared" si="23"/>
        <v>0</v>
      </c>
      <c r="G456" s="20"/>
    </row>
    <row r="457" spans="1:7" x14ac:dyDescent="0.25">
      <c r="A457" s="20"/>
      <c r="B457" s="20"/>
      <c r="C457" s="20"/>
      <c r="D457" s="20"/>
      <c r="E457" s="20"/>
      <c r="F457" s="33">
        <f t="shared" si="23"/>
        <v>0</v>
      </c>
      <c r="G457" s="20"/>
    </row>
    <row r="458" spans="1:7" x14ac:dyDescent="0.25">
      <c r="A458" s="20"/>
      <c r="B458" s="20"/>
      <c r="C458" s="20"/>
      <c r="D458" s="20"/>
      <c r="E458" s="20"/>
      <c r="F458" s="33">
        <f t="shared" si="23"/>
        <v>0</v>
      </c>
      <c r="G458" s="20"/>
    </row>
    <row r="459" spans="1:7" x14ac:dyDescent="0.25">
      <c r="A459" s="20"/>
      <c r="B459" s="20"/>
      <c r="C459" s="20"/>
      <c r="D459" s="20"/>
      <c r="E459" s="20"/>
      <c r="F459" s="33">
        <f t="shared" si="23"/>
        <v>0</v>
      </c>
      <c r="G459" s="20"/>
    </row>
    <row r="460" spans="1:7" x14ac:dyDescent="0.25">
      <c r="A460" s="20"/>
      <c r="B460" s="20"/>
      <c r="C460" s="20"/>
      <c r="D460" s="20"/>
      <c r="E460" s="20"/>
      <c r="F460" s="33">
        <f t="shared" si="23"/>
        <v>0</v>
      </c>
      <c r="G460" s="20"/>
    </row>
    <row r="461" spans="1:7" x14ac:dyDescent="0.25">
      <c r="A461" s="20"/>
      <c r="B461" s="20"/>
      <c r="C461" s="20"/>
      <c r="D461" s="20"/>
      <c r="E461" s="20"/>
      <c r="F461" s="33">
        <f t="shared" si="23"/>
        <v>0</v>
      </c>
      <c r="G461" s="20"/>
    </row>
    <row r="462" spans="1:7" x14ac:dyDescent="0.25">
      <c r="A462" s="20"/>
      <c r="B462" s="20"/>
      <c r="C462" s="20"/>
      <c r="D462" s="20"/>
      <c r="E462" s="20"/>
      <c r="F462" s="20"/>
      <c r="G462" s="20"/>
    </row>
    <row r="469" spans="1:7" x14ac:dyDescent="0.25">
      <c r="A469" s="20" t="s">
        <v>188</v>
      </c>
      <c r="B469" s="20" t="s">
        <v>189</v>
      </c>
      <c r="C469" s="20" t="s">
        <v>190</v>
      </c>
      <c r="D469" s="20" t="s">
        <v>191</v>
      </c>
      <c r="E469" s="20" t="s">
        <v>192</v>
      </c>
      <c r="F469" s="20" t="s">
        <v>193</v>
      </c>
      <c r="G469" s="20" t="s">
        <v>203</v>
      </c>
    </row>
    <row r="470" spans="1:7" x14ac:dyDescent="0.25">
      <c r="A470" s="20"/>
      <c r="B470" s="20"/>
      <c r="C470" s="20"/>
      <c r="D470" s="20"/>
      <c r="E470" s="20"/>
      <c r="F470" s="20"/>
      <c r="G470" s="20"/>
    </row>
    <row r="471" spans="1:7" x14ac:dyDescent="0.25">
      <c r="A471" s="32">
        <v>435510</v>
      </c>
      <c r="B471" s="34" t="s">
        <v>71</v>
      </c>
      <c r="C471" s="20"/>
      <c r="D471" s="20"/>
      <c r="E471" s="20"/>
      <c r="F471" s="33">
        <f>D471*E471</f>
        <v>0</v>
      </c>
      <c r="G471" s="23" t="s">
        <v>187</v>
      </c>
    </row>
    <row r="472" spans="1:7" x14ac:dyDescent="0.25">
      <c r="A472" s="20"/>
      <c r="B472" s="20"/>
      <c r="C472" s="20"/>
      <c r="D472" s="20"/>
      <c r="E472" s="20"/>
      <c r="F472" s="33">
        <f t="shared" ref="F472:F481" si="24">D472*E472</f>
        <v>0</v>
      </c>
      <c r="G472" s="20"/>
    </row>
    <row r="473" spans="1:7" x14ac:dyDescent="0.25">
      <c r="A473" s="20"/>
      <c r="B473" s="20"/>
      <c r="C473" s="20"/>
      <c r="D473" s="20"/>
      <c r="E473" s="20"/>
      <c r="F473" s="33">
        <f t="shared" si="24"/>
        <v>0</v>
      </c>
      <c r="G473" s="20"/>
    </row>
    <row r="474" spans="1:7" x14ac:dyDescent="0.25">
      <c r="A474" s="20"/>
      <c r="B474" s="20"/>
      <c r="C474" s="20"/>
      <c r="D474" s="20"/>
      <c r="E474" s="20"/>
      <c r="F474" s="33">
        <f t="shared" si="24"/>
        <v>0</v>
      </c>
      <c r="G474" s="20"/>
    </row>
    <row r="475" spans="1:7" x14ac:dyDescent="0.25">
      <c r="A475" s="20"/>
      <c r="B475" s="20"/>
      <c r="C475" s="20"/>
      <c r="D475" s="20"/>
      <c r="E475" s="20"/>
      <c r="F475" s="33">
        <f t="shared" si="24"/>
        <v>0</v>
      </c>
      <c r="G475" s="20"/>
    </row>
    <row r="476" spans="1:7" x14ac:dyDescent="0.25">
      <c r="A476" s="20"/>
      <c r="B476" s="20"/>
      <c r="C476" s="20"/>
      <c r="D476" s="20"/>
      <c r="E476" s="20"/>
      <c r="F476" s="33">
        <f t="shared" si="24"/>
        <v>0</v>
      </c>
      <c r="G476" s="20"/>
    </row>
    <row r="477" spans="1:7" x14ac:dyDescent="0.25">
      <c r="A477" s="20"/>
      <c r="B477" s="20"/>
      <c r="C477" s="20"/>
      <c r="D477" s="20"/>
      <c r="E477" s="20"/>
      <c r="F477" s="33">
        <f t="shared" si="24"/>
        <v>0</v>
      </c>
      <c r="G477" s="20"/>
    </row>
    <row r="478" spans="1:7" x14ac:dyDescent="0.25">
      <c r="A478" s="20"/>
      <c r="B478" s="20"/>
      <c r="C478" s="20"/>
      <c r="D478" s="20"/>
      <c r="E478" s="20"/>
      <c r="F478" s="33">
        <f t="shared" si="24"/>
        <v>0</v>
      </c>
      <c r="G478" s="20"/>
    </row>
    <row r="479" spans="1:7" x14ac:dyDescent="0.25">
      <c r="A479" s="20"/>
      <c r="B479" s="20"/>
      <c r="C479" s="20"/>
      <c r="D479" s="20"/>
      <c r="E479" s="20"/>
      <c r="F479" s="33">
        <f t="shared" si="24"/>
        <v>0</v>
      </c>
      <c r="G479" s="20"/>
    </row>
    <row r="480" spans="1:7" x14ac:dyDescent="0.25">
      <c r="A480" s="20"/>
      <c r="B480" s="20"/>
      <c r="C480" s="20"/>
      <c r="D480" s="20"/>
      <c r="E480" s="20"/>
      <c r="F480" s="33">
        <f t="shared" si="24"/>
        <v>0</v>
      </c>
      <c r="G480" s="20"/>
    </row>
    <row r="481" spans="1:7" x14ac:dyDescent="0.25">
      <c r="A481" s="20"/>
      <c r="B481" s="20"/>
      <c r="C481" s="20"/>
      <c r="D481" s="20"/>
      <c r="E481" s="20"/>
      <c r="F481" s="33">
        <f t="shared" si="24"/>
        <v>0</v>
      </c>
      <c r="G481" s="20"/>
    </row>
    <row r="482" spans="1:7" x14ac:dyDescent="0.25">
      <c r="A482" s="20"/>
      <c r="B482" s="20"/>
      <c r="C482" s="20"/>
      <c r="D482" s="20"/>
      <c r="E482" s="20"/>
      <c r="F482" s="20"/>
      <c r="G482" s="20"/>
    </row>
    <row r="490" spans="1:7" x14ac:dyDescent="0.25">
      <c r="A490" s="20" t="s">
        <v>188</v>
      </c>
      <c r="B490" s="20" t="s">
        <v>189</v>
      </c>
      <c r="C490" s="20" t="s">
        <v>190</v>
      </c>
      <c r="D490" s="20" t="s">
        <v>191</v>
      </c>
      <c r="E490" s="20" t="s">
        <v>192</v>
      </c>
      <c r="F490" s="20" t="s">
        <v>193</v>
      </c>
      <c r="G490" s="20" t="s">
        <v>203</v>
      </c>
    </row>
    <row r="491" spans="1:7" x14ac:dyDescent="0.25">
      <c r="A491" s="20"/>
      <c r="B491" s="20"/>
      <c r="C491" s="20"/>
      <c r="D491" s="20"/>
      <c r="E491" s="20"/>
      <c r="F491" s="20"/>
      <c r="G491" s="20"/>
    </row>
    <row r="492" spans="1:7" x14ac:dyDescent="0.25">
      <c r="A492" s="32">
        <v>421100</v>
      </c>
      <c r="B492" s="34" t="s">
        <v>7</v>
      </c>
      <c r="C492" s="20"/>
      <c r="D492" s="20"/>
      <c r="E492" s="20"/>
      <c r="F492" s="33">
        <f>D492*E492</f>
        <v>0</v>
      </c>
      <c r="G492" s="23" t="s">
        <v>198</v>
      </c>
    </row>
    <row r="493" spans="1:7" x14ac:dyDescent="0.25">
      <c r="A493" s="20"/>
      <c r="B493" s="20"/>
      <c r="C493" s="20"/>
      <c r="D493" s="20"/>
      <c r="E493" s="20"/>
      <c r="F493" s="33">
        <f t="shared" ref="F493:F502" si="25">D493*E493</f>
        <v>0</v>
      </c>
      <c r="G493" s="20"/>
    </row>
    <row r="494" spans="1:7" x14ac:dyDescent="0.25">
      <c r="A494" s="20"/>
      <c r="B494" s="20"/>
      <c r="C494" s="20"/>
      <c r="D494" s="20"/>
      <c r="E494" s="20"/>
      <c r="F494" s="33">
        <f t="shared" si="25"/>
        <v>0</v>
      </c>
      <c r="G494" s="20"/>
    </row>
    <row r="495" spans="1:7" x14ac:dyDescent="0.25">
      <c r="A495" s="20"/>
      <c r="B495" s="20"/>
      <c r="C495" s="20"/>
      <c r="D495" s="20"/>
      <c r="E495" s="20"/>
      <c r="F495" s="33">
        <f t="shared" si="25"/>
        <v>0</v>
      </c>
      <c r="G495" s="20"/>
    </row>
    <row r="496" spans="1:7" x14ac:dyDescent="0.25">
      <c r="A496" s="20"/>
      <c r="B496" s="20"/>
      <c r="C496" s="20"/>
      <c r="D496" s="20"/>
      <c r="E496" s="20"/>
      <c r="F496" s="33">
        <f t="shared" si="25"/>
        <v>0</v>
      </c>
      <c r="G496" s="20"/>
    </row>
    <row r="497" spans="1:7" x14ac:dyDescent="0.25">
      <c r="A497" s="20"/>
      <c r="B497" s="20"/>
      <c r="C497" s="20"/>
      <c r="D497" s="20"/>
      <c r="E497" s="20"/>
      <c r="F497" s="33">
        <f t="shared" si="25"/>
        <v>0</v>
      </c>
      <c r="G497" s="20"/>
    </row>
    <row r="498" spans="1:7" x14ac:dyDescent="0.25">
      <c r="A498" s="20"/>
      <c r="B498" s="20"/>
      <c r="C498" s="20"/>
      <c r="D498" s="20"/>
      <c r="E498" s="20"/>
      <c r="F498" s="33">
        <f t="shared" si="25"/>
        <v>0</v>
      </c>
      <c r="G498" s="20"/>
    </row>
    <row r="499" spans="1:7" x14ac:dyDescent="0.25">
      <c r="A499" s="20"/>
      <c r="B499" s="20"/>
      <c r="C499" s="20"/>
      <c r="D499" s="20"/>
      <c r="E499" s="20"/>
      <c r="F499" s="33">
        <f t="shared" si="25"/>
        <v>0</v>
      </c>
      <c r="G499" s="20"/>
    </row>
    <row r="500" spans="1:7" x14ac:dyDescent="0.25">
      <c r="A500" s="20"/>
      <c r="B500" s="20"/>
      <c r="C500" s="20"/>
      <c r="D500" s="20"/>
      <c r="E500" s="20"/>
      <c r="F500" s="33">
        <f t="shared" si="25"/>
        <v>0</v>
      </c>
      <c r="G500" s="20"/>
    </row>
    <row r="501" spans="1:7" x14ac:dyDescent="0.25">
      <c r="A501" s="20"/>
      <c r="B501" s="20"/>
      <c r="C501" s="20"/>
      <c r="D501" s="20"/>
      <c r="E501" s="20"/>
      <c r="F501" s="33">
        <f t="shared" si="25"/>
        <v>0</v>
      </c>
      <c r="G501" s="20"/>
    </row>
    <row r="502" spans="1:7" x14ac:dyDescent="0.25">
      <c r="A502" s="20"/>
      <c r="B502" s="20"/>
      <c r="C502" s="20"/>
      <c r="D502" s="20"/>
      <c r="E502" s="20"/>
      <c r="F502" s="33">
        <f t="shared" si="25"/>
        <v>0</v>
      </c>
      <c r="G502" s="20"/>
    </row>
    <row r="503" spans="1:7" x14ac:dyDescent="0.25">
      <c r="A503" s="20"/>
      <c r="B503" s="20"/>
      <c r="C503" s="20"/>
      <c r="D503" s="20"/>
      <c r="E503" s="20"/>
      <c r="F503" s="20"/>
      <c r="G503" s="20"/>
    </row>
    <row r="507" spans="1:7" x14ac:dyDescent="0.25">
      <c r="A507" s="20" t="s">
        <v>188</v>
      </c>
      <c r="B507" s="20" t="s">
        <v>189</v>
      </c>
      <c r="C507" s="20" t="s">
        <v>190</v>
      </c>
      <c r="D507" s="20" t="s">
        <v>191</v>
      </c>
      <c r="E507" s="20" t="s">
        <v>192</v>
      </c>
      <c r="F507" s="20" t="s">
        <v>193</v>
      </c>
      <c r="G507" s="20" t="s">
        <v>203</v>
      </c>
    </row>
    <row r="508" spans="1:7" x14ac:dyDescent="0.25">
      <c r="A508" s="20"/>
      <c r="B508" s="20"/>
      <c r="C508" s="20"/>
      <c r="D508" s="20"/>
      <c r="E508" s="20"/>
      <c r="F508" s="20"/>
      <c r="G508" s="20"/>
    </row>
    <row r="509" spans="1:7" x14ac:dyDescent="0.25">
      <c r="A509" s="32">
        <v>435523</v>
      </c>
      <c r="B509" s="34" t="s">
        <v>250</v>
      </c>
      <c r="C509" s="20"/>
      <c r="D509" s="20"/>
      <c r="E509" s="20"/>
      <c r="F509" s="33">
        <f>D509*E509</f>
        <v>0</v>
      </c>
      <c r="G509" s="23" t="s">
        <v>198</v>
      </c>
    </row>
    <row r="510" spans="1:7" x14ac:dyDescent="0.25">
      <c r="A510" s="20"/>
      <c r="B510" s="20"/>
      <c r="C510" s="20"/>
      <c r="D510" s="20"/>
      <c r="E510" s="20"/>
      <c r="F510" s="33">
        <f t="shared" ref="F510:F519" si="26">D510*E510</f>
        <v>0</v>
      </c>
      <c r="G510" s="20"/>
    </row>
    <row r="511" spans="1:7" x14ac:dyDescent="0.25">
      <c r="A511" s="20"/>
      <c r="B511" s="20"/>
      <c r="C511" s="20"/>
      <c r="D511" s="20"/>
      <c r="E511" s="20"/>
      <c r="F511" s="33">
        <f t="shared" si="26"/>
        <v>0</v>
      </c>
      <c r="G511" s="20"/>
    </row>
    <row r="512" spans="1:7" x14ac:dyDescent="0.25">
      <c r="A512" s="20"/>
      <c r="B512" s="20"/>
      <c r="C512" s="20"/>
      <c r="D512" s="20"/>
      <c r="E512" s="20"/>
      <c r="F512" s="33">
        <f t="shared" si="26"/>
        <v>0</v>
      </c>
      <c r="G512" s="20"/>
    </row>
    <row r="513" spans="1:7" x14ac:dyDescent="0.25">
      <c r="A513" s="20"/>
      <c r="B513" s="20"/>
      <c r="C513" s="20"/>
      <c r="D513" s="20"/>
      <c r="E513" s="20"/>
      <c r="F513" s="33">
        <f t="shared" si="26"/>
        <v>0</v>
      </c>
      <c r="G513" s="20"/>
    </row>
    <row r="514" spans="1:7" x14ac:dyDescent="0.25">
      <c r="A514" s="20"/>
      <c r="B514" s="20"/>
      <c r="C514" s="20"/>
      <c r="D514" s="20"/>
      <c r="E514" s="20"/>
      <c r="F514" s="33">
        <f t="shared" si="26"/>
        <v>0</v>
      </c>
      <c r="G514" s="20"/>
    </row>
    <row r="515" spans="1:7" x14ac:dyDescent="0.25">
      <c r="A515" s="20"/>
      <c r="B515" s="20"/>
      <c r="C515" s="20"/>
      <c r="D515" s="20"/>
      <c r="E515" s="20"/>
      <c r="F515" s="33">
        <f t="shared" si="26"/>
        <v>0</v>
      </c>
      <c r="G515" s="20"/>
    </row>
    <row r="516" spans="1:7" x14ac:dyDescent="0.25">
      <c r="A516" s="20"/>
      <c r="B516" s="20"/>
      <c r="C516" s="20"/>
      <c r="D516" s="20"/>
      <c r="E516" s="20"/>
      <c r="F516" s="33">
        <f t="shared" si="26"/>
        <v>0</v>
      </c>
      <c r="G516" s="20"/>
    </row>
    <row r="517" spans="1:7" x14ac:dyDescent="0.25">
      <c r="A517" s="20"/>
      <c r="B517" s="20"/>
      <c r="C517" s="20"/>
      <c r="D517" s="20"/>
      <c r="E517" s="20"/>
      <c r="F517" s="33">
        <f t="shared" si="26"/>
        <v>0</v>
      </c>
      <c r="G517" s="20"/>
    </row>
    <row r="518" spans="1:7" x14ac:dyDescent="0.25">
      <c r="A518" s="20"/>
      <c r="B518" s="20"/>
      <c r="C518" s="20"/>
      <c r="D518" s="20"/>
      <c r="E518" s="20"/>
      <c r="F518" s="33">
        <f t="shared" si="26"/>
        <v>0</v>
      </c>
      <c r="G518" s="20"/>
    </row>
    <row r="519" spans="1:7" x14ac:dyDescent="0.25">
      <c r="A519" s="20"/>
      <c r="B519" s="20"/>
      <c r="C519" s="20"/>
      <c r="D519" s="20"/>
      <c r="E519" s="20"/>
      <c r="F519" s="33">
        <f t="shared" si="26"/>
        <v>0</v>
      </c>
      <c r="G519" s="20"/>
    </row>
    <row r="520" spans="1:7" x14ac:dyDescent="0.25">
      <c r="A520" s="20"/>
      <c r="B520" s="20"/>
      <c r="C520" s="20"/>
      <c r="D520" s="20"/>
      <c r="E520" s="20"/>
      <c r="F520" s="20"/>
      <c r="G520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57"/>
  <sheetViews>
    <sheetView zoomScaleNormal="100" workbookViewId="0">
      <pane xSplit="1" ySplit="7" topLeftCell="B26" activePane="bottomRight" state="frozen"/>
      <selection pane="topRight" activeCell="B1" sqref="B1"/>
      <selection pane="bottomLeft" activeCell="A8" sqref="A8"/>
      <selection pane="bottomRight" activeCell="K41" sqref="K41"/>
    </sheetView>
  </sheetViews>
  <sheetFormatPr defaultRowHeight="15" x14ac:dyDescent="0.25"/>
  <cols>
    <col min="1" max="1" width="23" style="16" bestFit="1" customWidth="1"/>
    <col min="2" max="2" width="31.28515625" style="16" customWidth="1"/>
    <col min="3" max="3" width="29.42578125" style="16" customWidth="1"/>
    <col min="4" max="4" width="12" style="16" customWidth="1"/>
    <col min="5" max="5" width="13.42578125" style="16" customWidth="1"/>
    <col min="6" max="6" width="10.5703125" style="16" customWidth="1"/>
    <col min="7" max="8" width="14.28515625" style="42" customWidth="1"/>
    <col min="9" max="9" width="4.42578125" style="16" customWidth="1"/>
    <col min="10" max="12" width="14.28515625" style="42" customWidth="1"/>
    <col min="13" max="13" width="4.42578125" style="16" customWidth="1"/>
    <col min="14" max="16" width="14.28515625" style="42" customWidth="1"/>
    <col min="17" max="17" width="4.42578125" style="16" customWidth="1"/>
    <col min="18" max="20" width="14.28515625" style="42" customWidth="1"/>
    <col min="21" max="16384" width="9.140625" style="16"/>
  </cols>
  <sheetData>
    <row r="2" spans="1:20" s="40" customFormat="1" ht="18.75" x14ac:dyDescent="0.3">
      <c r="A2" s="39"/>
      <c r="B2" s="39"/>
      <c r="C2" s="39"/>
      <c r="D2" s="39"/>
      <c r="G2" s="41"/>
      <c r="H2" s="41"/>
      <c r="J2" s="41"/>
      <c r="K2" s="41"/>
      <c r="L2" s="41"/>
      <c r="N2" s="41"/>
      <c r="O2" s="41"/>
      <c r="P2" s="41"/>
      <c r="R2" s="41"/>
      <c r="S2" s="41"/>
      <c r="T2" s="41"/>
    </row>
    <row r="3" spans="1:20" ht="15.75" customHeight="1" x14ac:dyDescent="0.25">
      <c r="A3" s="108"/>
      <c r="B3" s="108"/>
      <c r="C3" s="108"/>
      <c r="D3" s="108"/>
    </row>
    <row r="4" spans="1:20" ht="15.75" x14ac:dyDescent="0.25">
      <c r="A4" s="43"/>
      <c r="B4" s="43"/>
      <c r="C4" s="43"/>
      <c r="D4" s="43"/>
      <c r="G4" s="44"/>
      <c r="H4" s="44"/>
      <c r="J4" s="44"/>
      <c r="K4" s="44"/>
      <c r="L4" s="44"/>
      <c r="N4" s="44"/>
      <c r="O4" s="44"/>
      <c r="P4" s="44"/>
      <c r="R4" s="44"/>
      <c r="S4" s="44"/>
      <c r="T4" s="44"/>
    </row>
    <row r="5" spans="1:20" ht="15.75" x14ac:dyDescent="0.25">
      <c r="A5" s="43"/>
      <c r="B5" s="43"/>
      <c r="C5" s="43"/>
      <c r="D5" s="43"/>
      <c r="G5" s="45"/>
      <c r="H5" s="45"/>
      <c r="J5" s="45"/>
      <c r="K5" s="45"/>
      <c r="L5" s="45"/>
      <c r="N5" s="45"/>
      <c r="O5" s="45"/>
      <c r="P5" s="45"/>
      <c r="R5" s="45"/>
      <c r="S5" s="45"/>
      <c r="T5" s="45"/>
    </row>
    <row r="6" spans="1:20" ht="75" customHeight="1" x14ac:dyDescent="0.25">
      <c r="A6" s="69" t="s">
        <v>205</v>
      </c>
      <c r="B6" s="70" t="s">
        <v>206</v>
      </c>
      <c r="C6" s="70" t="s">
        <v>207</v>
      </c>
      <c r="D6" s="70" t="s">
        <v>208</v>
      </c>
      <c r="E6" s="70" t="s">
        <v>209</v>
      </c>
      <c r="F6" s="70" t="s">
        <v>210</v>
      </c>
      <c r="G6" s="71" t="s">
        <v>245</v>
      </c>
      <c r="H6" s="71" t="s">
        <v>243</v>
      </c>
      <c r="I6" s="66"/>
      <c r="J6" s="59" t="s">
        <v>246</v>
      </c>
      <c r="K6" s="59" t="s">
        <v>237</v>
      </c>
      <c r="L6" s="59" t="s">
        <v>240</v>
      </c>
      <c r="M6" s="66"/>
      <c r="N6" s="59" t="s">
        <v>247</v>
      </c>
      <c r="O6" s="59" t="s">
        <v>238</v>
      </c>
      <c r="P6" s="59" t="s">
        <v>241</v>
      </c>
      <c r="Q6" s="66"/>
      <c r="R6" s="59" t="s">
        <v>248</v>
      </c>
      <c r="S6" s="59" t="s">
        <v>239</v>
      </c>
      <c r="T6" s="59" t="s">
        <v>242</v>
      </c>
    </row>
    <row r="7" spans="1:20" ht="16.5" thickBot="1" x14ac:dyDescent="0.3">
      <c r="A7" s="46" t="s">
        <v>211</v>
      </c>
      <c r="B7" s="47"/>
      <c r="C7" s="47"/>
      <c r="D7" s="47"/>
      <c r="E7" s="47"/>
      <c r="F7" s="47"/>
      <c r="G7" s="47"/>
      <c r="H7" s="63"/>
      <c r="I7" s="66"/>
      <c r="J7" s="49"/>
      <c r="K7" s="49"/>
      <c r="L7" s="49"/>
      <c r="M7" s="66"/>
      <c r="N7" s="49"/>
      <c r="O7" s="49"/>
      <c r="P7" s="49"/>
      <c r="Q7" s="66"/>
      <c r="R7" s="49"/>
      <c r="S7" s="49"/>
      <c r="T7" s="49"/>
    </row>
    <row r="8" spans="1:20" ht="16.5" thickBot="1" x14ac:dyDescent="0.3">
      <c r="A8" s="48" t="s">
        <v>212</v>
      </c>
      <c r="B8" s="49"/>
      <c r="C8" s="49"/>
      <c r="D8" s="49"/>
      <c r="E8" s="49"/>
      <c r="F8" s="49"/>
      <c r="G8" s="60"/>
      <c r="H8" s="61"/>
      <c r="I8" s="66"/>
      <c r="J8" s="68"/>
      <c r="K8" s="68"/>
      <c r="L8" s="68"/>
      <c r="M8" s="66"/>
      <c r="N8" s="68"/>
      <c r="O8" s="68"/>
      <c r="P8" s="68"/>
      <c r="Q8" s="66"/>
      <c r="R8" s="68"/>
      <c r="S8" s="68"/>
      <c r="T8" s="68"/>
    </row>
    <row r="9" spans="1:20" ht="16.5" thickBot="1" x14ac:dyDescent="0.3">
      <c r="A9" s="51"/>
      <c r="B9" s="49"/>
      <c r="C9" s="49"/>
      <c r="D9" s="49"/>
      <c r="E9" s="49"/>
      <c r="F9" s="49"/>
      <c r="G9" s="60"/>
      <c r="H9" s="61"/>
      <c r="I9" s="66"/>
      <c r="J9" s="68"/>
      <c r="K9" s="68"/>
      <c r="L9" s="68"/>
      <c r="M9" s="66"/>
      <c r="N9" s="68"/>
      <c r="O9" s="68"/>
      <c r="P9" s="68"/>
      <c r="Q9" s="66"/>
      <c r="R9" s="68"/>
      <c r="S9" s="68"/>
      <c r="T9" s="68"/>
    </row>
    <row r="10" spans="1:20" ht="16.5" thickBot="1" x14ac:dyDescent="0.3">
      <c r="A10" s="51"/>
      <c r="B10" s="49"/>
      <c r="C10" s="49"/>
      <c r="D10" s="49"/>
      <c r="E10" s="49"/>
      <c r="F10" s="49"/>
      <c r="G10" s="60"/>
      <c r="H10" s="61"/>
      <c r="I10" s="66"/>
      <c r="J10" s="68"/>
      <c r="K10" s="68"/>
      <c r="L10" s="68"/>
      <c r="M10" s="66"/>
      <c r="N10" s="68"/>
      <c r="O10" s="68"/>
      <c r="P10" s="68"/>
      <c r="Q10" s="66"/>
      <c r="R10" s="68"/>
      <c r="S10" s="68"/>
      <c r="T10" s="68"/>
    </row>
    <row r="11" spans="1:20" ht="16.5" thickBot="1" x14ac:dyDescent="0.3">
      <c r="A11" s="51"/>
      <c r="B11" s="49"/>
      <c r="C11" s="49"/>
      <c r="D11" s="49"/>
      <c r="E11" s="49"/>
      <c r="F11" s="49"/>
      <c r="G11" s="60"/>
      <c r="H11" s="61"/>
      <c r="I11" s="66"/>
      <c r="J11" s="68"/>
      <c r="K11" s="68"/>
      <c r="L11" s="68"/>
      <c r="M11" s="66"/>
      <c r="N11" s="68"/>
      <c r="O11" s="68"/>
      <c r="P11" s="68"/>
      <c r="Q11" s="66"/>
      <c r="R11" s="68"/>
      <c r="S11" s="68"/>
      <c r="T11" s="68"/>
    </row>
    <row r="12" spans="1:20" ht="16.5" thickBot="1" x14ac:dyDescent="0.3">
      <c r="A12" s="51"/>
      <c r="B12" s="49"/>
      <c r="C12" s="49"/>
      <c r="D12" s="49"/>
      <c r="E12" s="49"/>
      <c r="F12" s="49"/>
      <c r="G12" s="60"/>
      <c r="H12" s="61"/>
      <c r="I12" s="66"/>
      <c r="J12" s="68"/>
      <c r="K12" s="68"/>
      <c r="L12" s="68"/>
      <c r="M12" s="66"/>
      <c r="N12" s="68"/>
      <c r="O12" s="68"/>
      <c r="P12" s="68"/>
      <c r="Q12" s="66"/>
      <c r="R12" s="68"/>
      <c r="S12" s="68"/>
      <c r="T12" s="68"/>
    </row>
    <row r="13" spans="1:20" ht="16.5" thickBot="1" x14ac:dyDescent="0.3">
      <c r="A13" s="48" t="s">
        <v>213</v>
      </c>
      <c r="B13" s="49"/>
      <c r="C13" s="49"/>
      <c r="D13" s="49"/>
      <c r="E13" s="49"/>
      <c r="F13" s="49"/>
      <c r="G13" s="60"/>
      <c r="H13" s="61"/>
      <c r="I13" s="66"/>
      <c r="J13" s="68"/>
      <c r="K13" s="68"/>
      <c r="L13" s="68"/>
      <c r="M13" s="66"/>
      <c r="N13" s="68"/>
      <c r="O13" s="68"/>
      <c r="P13" s="68"/>
      <c r="Q13" s="66"/>
      <c r="R13" s="68"/>
      <c r="S13" s="68"/>
      <c r="T13" s="68"/>
    </row>
    <row r="14" spans="1:20" ht="16.5" thickBot="1" x14ac:dyDescent="0.3">
      <c r="A14" s="51"/>
      <c r="B14" s="49"/>
      <c r="C14" s="49"/>
      <c r="D14" s="49"/>
      <c r="E14" s="49"/>
      <c r="F14" s="49"/>
      <c r="G14" s="60"/>
      <c r="H14" s="61"/>
      <c r="I14" s="66"/>
      <c r="J14" s="68"/>
      <c r="K14" s="68"/>
      <c r="L14" s="68"/>
      <c r="M14" s="66"/>
      <c r="N14" s="68"/>
      <c r="O14" s="68"/>
      <c r="P14" s="68"/>
      <c r="Q14" s="66"/>
      <c r="R14" s="68"/>
      <c r="S14" s="68"/>
      <c r="T14" s="68"/>
    </row>
    <row r="15" spans="1:20" ht="16.5" thickBot="1" x14ac:dyDescent="0.3">
      <c r="A15" s="51"/>
      <c r="B15" s="49"/>
      <c r="C15" s="49"/>
      <c r="D15" s="49"/>
      <c r="E15" s="49"/>
      <c r="F15" s="49"/>
      <c r="G15" s="60"/>
      <c r="H15" s="61"/>
      <c r="I15" s="66"/>
      <c r="J15" s="68"/>
      <c r="K15" s="68"/>
      <c r="L15" s="68"/>
      <c r="M15" s="66"/>
      <c r="N15" s="68"/>
      <c r="O15" s="68"/>
      <c r="P15" s="68"/>
      <c r="Q15" s="66"/>
      <c r="R15" s="68"/>
      <c r="S15" s="68"/>
      <c r="T15" s="68"/>
    </row>
    <row r="16" spans="1:20" ht="16.5" thickBot="1" x14ac:dyDescent="0.3">
      <c r="A16" s="51"/>
      <c r="B16" s="49"/>
      <c r="C16" s="49"/>
      <c r="D16" s="49"/>
      <c r="E16" s="49"/>
      <c r="F16" s="49"/>
      <c r="G16" s="60"/>
      <c r="H16" s="61"/>
      <c r="I16" s="66"/>
      <c r="J16" s="68"/>
      <c r="K16" s="68"/>
      <c r="L16" s="68"/>
      <c r="M16" s="66"/>
      <c r="N16" s="68"/>
      <c r="O16" s="68"/>
      <c r="P16" s="68"/>
      <c r="Q16" s="66"/>
      <c r="R16" s="68"/>
      <c r="S16" s="68"/>
      <c r="T16" s="68"/>
    </row>
    <row r="17" spans="1:20" ht="16.5" thickBot="1" x14ac:dyDescent="0.3">
      <c r="A17" s="48" t="s">
        <v>214</v>
      </c>
      <c r="B17" s="49"/>
      <c r="C17" s="49"/>
      <c r="D17" s="49"/>
      <c r="E17" s="49"/>
      <c r="F17" s="49"/>
      <c r="G17" s="60"/>
      <c r="H17" s="61"/>
      <c r="I17" s="66"/>
      <c r="J17" s="68"/>
      <c r="K17" s="68"/>
      <c r="L17" s="68"/>
      <c r="M17" s="66"/>
      <c r="N17" s="68"/>
      <c r="O17" s="68"/>
      <c r="P17" s="68"/>
      <c r="Q17" s="66"/>
      <c r="R17" s="68"/>
      <c r="S17" s="68"/>
      <c r="T17" s="68"/>
    </row>
    <row r="18" spans="1:20" ht="16.5" thickBot="1" x14ac:dyDescent="0.3">
      <c r="A18" s="51"/>
      <c r="B18" s="49"/>
      <c r="C18" s="49"/>
      <c r="D18" s="49"/>
      <c r="E18" s="49"/>
      <c r="F18" s="49"/>
      <c r="G18" s="60"/>
      <c r="H18" s="61"/>
      <c r="I18" s="66"/>
      <c r="J18" s="68"/>
      <c r="K18" s="68"/>
      <c r="L18" s="68"/>
      <c r="M18" s="66"/>
      <c r="N18" s="68"/>
      <c r="O18" s="68"/>
      <c r="P18" s="68"/>
      <c r="Q18" s="66"/>
      <c r="R18" s="68"/>
      <c r="S18" s="68"/>
      <c r="T18" s="68"/>
    </row>
    <row r="19" spans="1:20" ht="16.5" thickBot="1" x14ac:dyDescent="0.3">
      <c r="A19" s="51"/>
      <c r="B19" s="49"/>
      <c r="C19" s="49"/>
      <c r="D19" s="49"/>
      <c r="E19" s="49"/>
      <c r="F19" s="49"/>
      <c r="G19" s="60"/>
      <c r="H19" s="61"/>
      <c r="I19" s="66"/>
      <c r="J19" s="68"/>
      <c r="K19" s="68"/>
      <c r="L19" s="68"/>
      <c r="M19" s="66"/>
      <c r="N19" s="68"/>
      <c r="O19" s="68"/>
      <c r="P19" s="68"/>
      <c r="Q19" s="66"/>
      <c r="R19" s="68"/>
      <c r="S19" s="68"/>
      <c r="T19" s="68"/>
    </row>
    <row r="20" spans="1:20" ht="16.5" thickBot="1" x14ac:dyDescent="0.3">
      <c r="A20" s="51"/>
      <c r="B20" s="49"/>
      <c r="C20" s="49"/>
      <c r="D20" s="49"/>
      <c r="E20" s="49"/>
      <c r="F20" s="49"/>
      <c r="G20" s="60"/>
      <c r="H20" s="61"/>
      <c r="I20" s="66"/>
      <c r="J20" s="68"/>
      <c r="K20" s="68"/>
      <c r="L20" s="68"/>
      <c r="M20" s="66"/>
      <c r="N20" s="68"/>
      <c r="O20" s="68"/>
      <c r="P20" s="68"/>
      <c r="Q20" s="66"/>
      <c r="R20" s="68"/>
      <c r="S20" s="68"/>
      <c r="T20" s="68"/>
    </row>
    <row r="21" spans="1:20" ht="16.5" thickBot="1" x14ac:dyDescent="0.3">
      <c r="A21" s="48" t="s">
        <v>215</v>
      </c>
      <c r="B21" s="49"/>
      <c r="C21" s="49"/>
      <c r="D21" s="49"/>
      <c r="E21" s="49"/>
      <c r="F21" s="49"/>
      <c r="G21" s="60"/>
      <c r="H21" s="61"/>
      <c r="I21" s="66"/>
      <c r="J21" s="68"/>
      <c r="K21" s="68"/>
      <c r="L21" s="74">
        <v>2500</v>
      </c>
      <c r="M21" s="66"/>
      <c r="N21" s="68"/>
      <c r="O21" s="68"/>
      <c r="P21" s="68"/>
      <c r="Q21" s="66"/>
      <c r="R21" s="68"/>
      <c r="S21" s="68"/>
      <c r="T21" s="68"/>
    </row>
    <row r="22" spans="1:20" ht="16.5" thickBot="1" x14ac:dyDescent="0.3">
      <c r="A22" s="51"/>
      <c r="B22" s="49"/>
      <c r="C22" s="49"/>
      <c r="D22" s="49"/>
      <c r="E22" s="49"/>
      <c r="F22" s="49"/>
      <c r="G22" s="60"/>
      <c r="H22" s="61"/>
      <c r="I22" s="66"/>
      <c r="J22" s="68"/>
      <c r="K22" s="68"/>
      <c r="L22" s="68"/>
      <c r="M22" s="66"/>
      <c r="N22" s="68"/>
      <c r="O22" s="68"/>
      <c r="P22" s="68"/>
      <c r="Q22" s="66"/>
      <c r="R22" s="68"/>
      <c r="S22" s="68"/>
      <c r="T22" s="68"/>
    </row>
    <row r="23" spans="1:20" ht="16.5" thickBot="1" x14ac:dyDescent="0.3">
      <c r="A23" s="51"/>
      <c r="B23" s="49"/>
      <c r="C23" s="49"/>
      <c r="D23" s="49"/>
      <c r="E23" s="49"/>
      <c r="F23" s="49"/>
      <c r="G23" s="60"/>
      <c r="H23" s="61"/>
      <c r="I23" s="66"/>
      <c r="J23" s="68"/>
      <c r="K23" s="68"/>
      <c r="L23" s="68"/>
      <c r="M23" s="66"/>
      <c r="N23" s="68"/>
      <c r="O23" s="68"/>
      <c r="P23" s="68"/>
      <c r="Q23" s="66"/>
      <c r="R23" s="68"/>
      <c r="S23" s="68"/>
      <c r="T23" s="68"/>
    </row>
    <row r="24" spans="1:20" ht="16.5" thickBot="1" x14ac:dyDescent="0.3">
      <c r="A24" s="48" t="s">
        <v>216</v>
      </c>
      <c r="B24" s="49"/>
      <c r="C24" s="49"/>
      <c r="D24" s="49"/>
      <c r="E24" s="49"/>
      <c r="F24" s="49"/>
      <c r="G24" s="60"/>
      <c r="H24" s="61"/>
      <c r="I24" s="66"/>
      <c r="J24" s="68"/>
      <c r="K24" s="68"/>
      <c r="L24" s="68"/>
      <c r="M24" s="66"/>
      <c r="N24" s="68"/>
      <c r="O24" s="68"/>
      <c r="P24" s="68"/>
      <c r="Q24" s="66"/>
      <c r="R24" s="68"/>
      <c r="S24" s="68"/>
      <c r="T24" s="68"/>
    </row>
    <row r="25" spans="1:20" ht="16.5" thickBot="1" x14ac:dyDescent="0.3">
      <c r="A25" s="51"/>
      <c r="B25" s="49"/>
      <c r="C25" s="49"/>
      <c r="D25" s="49"/>
      <c r="E25" s="49"/>
      <c r="F25" s="49"/>
      <c r="G25" s="60"/>
      <c r="H25" s="61"/>
      <c r="I25" s="66"/>
      <c r="J25" s="68"/>
      <c r="K25" s="68"/>
      <c r="L25" s="68"/>
      <c r="M25" s="66"/>
      <c r="N25" s="68"/>
      <c r="O25" s="68"/>
      <c r="P25" s="68"/>
      <c r="Q25" s="66"/>
      <c r="R25" s="68"/>
      <c r="S25" s="68"/>
      <c r="T25" s="68"/>
    </row>
    <row r="26" spans="1:20" ht="15.75" x14ac:dyDescent="0.25">
      <c r="A26" s="52" t="s">
        <v>217</v>
      </c>
      <c r="B26" s="52"/>
      <c r="C26" s="52"/>
      <c r="D26" s="52"/>
      <c r="E26" s="52"/>
      <c r="F26" s="52"/>
      <c r="G26" s="53">
        <f t="shared" ref="G26:H26" si="0">SUM(G8:G25)</f>
        <v>0</v>
      </c>
      <c r="H26" s="53">
        <f t="shared" si="0"/>
        <v>0</v>
      </c>
      <c r="I26" s="66"/>
      <c r="J26" s="53">
        <f t="shared" ref="J26:R26" si="1">SUM(J8:J25)</f>
        <v>0</v>
      </c>
      <c r="K26" s="53">
        <f>SUM(K8:K25)</f>
        <v>0</v>
      </c>
      <c r="L26" s="53">
        <f>SUM(L8:L25)</f>
        <v>2500</v>
      </c>
      <c r="M26" s="66"/>
      <c r="N26" s="53">
        <f t="shared" si="1"/>
        <v>0</v>
      </c>
      <c r="O26" s="53">
        <f>SUM(O8:O25)</f>
        <v>0</v>
      </c>
      <c r="P26" s="53">
        <f>SUM(P8:P25)</f>
        <v>0</v>
      </c>
      <c r="Q26" s="66"/>
      <c r="R26" s="53">
        <f t="shared" si="1"/>
        <v>0</v>
      </c>
      <c r="S26" s="53">
        <f t="shared" ref="S26" si="2">SUM(S8:S25)</f>
        <v>0</v>
      </c>
      <c r="T26" s="53">
        <f t="shared" ref="T26" si="3">SUM(T8:T25)</f>
        <v>0</v>
      </c>
    </row>
    <row r="27" spans="1:20" ht="16.5" thickBot="1" x14ac:dyDescent="0.3">
      <c r="A27" s="46" t="s">
        <v>218</v>
      </c>
      <c r="B27" s="49"/>
      <c r="C27" s="49"/>
      <c r="D27" s="49"/>
      <c r="E27" s="49"/>
      <c r="F27" s="49"/>
      <c r="G27" s="58"/>
      <c r="H27" s="62"/>
      <c r="I27" s="66"/>
      <c r="J27" s="50"/>
      <c r="K27" s="50"/>
      <c r="L27" s="50"/>
      <c r="M27" s="66"/>
      <c r="N27" s="50"/>
      <c r="O27" s="50"/>
      <c r="P27" s="50"/>
      <c r="Q27" s="66"/>
      <c r="R27" s="50"/>
      <c r="S27" s="50"/>
      <c r="T27" s="50"/>
    </row>
    <row r="28" spans="1:20" ht="16.5" thickBot="1" x14ac:dyDescent="0.3">
      <c r="A28" s="54"/>
      <c r="B28" s="49"/>
      <c r="C28" s="49"/>
      <c r="D28" s="49"/>
      <c r="E28" s="49"/>
      <c r="F28" s="49"/>
      <c r="G28" s="58"/>
      <c r="H28" s="62"/>
      <c r="I28" s="66"/>
      <c r="J28" s="50"/>
      <c r="K28" s="50"/>
      <c r="L28" s="50"/>
      <c r="M28" s="66"/>
      <c r="N28" s="50"/>
      <c r="O28" s="50"/>
      <c r="P28" s="50"/>
      <c r="Q28" s="66"/>
      <c r="R28" s="50"/>
      <c r="S28" s="50"/>
      <c r="T28" s="50"/>
    </row>
    <row r="29" spans="1:20" ht="16.5" thickBot="1" x14ac:dyDescent="0.3">
      <c r="A29" s="54"/>
      <c r="B29" s="49"/>
      <c r="C29" s="49"/>
      <c r="D29" s="49"/>
      <c r="E29" s="49"/>
      <c r="F29" s="49"/>
      <c r="G29" s="58"/>
      <c r="H29" s="62"/>
      <c r="I29" s="66"/>
      <c r="J29" s="50"/>
      <c r="K29" s="50"/>
      <c r="L29" s="50"/>
      <c r="M29" s="66"/>
      <c r="N29" s="50"/>
      <c r="O29" s="50"/>
      <c r="P29" s="50"/>
      <c r="Q29" s="66"/>
      <c r="R29" s="50"/>
      <c r="S29" s="50"/>
      <c r="T29" s="50"/>
    </row>
    <row r="30" spans="1:20" ht="16.5" thickBot="1" x14ac:dyDescent="0.3">
      <c r="A30" s="54"/>
      <c r="B30" s="49"/>
      <c r="C30" s="49"/>
      <c r="D30" s="49"/>
      <c r="E30" s="49"/>
      <c r="F30" s="49"/>
      <c r="G30" s="58"/>
      <c r="H30" s="62"/>
      <c r="I30" s="66"/>
      <c r="J30" s="50"/>
      <c r="K30" s="50"/>
      <c r="L30" s="50"/>
      <c r="M30" s="66"/>
      <c r="N30" s="50"/>
      <c r="O30" s="50"/>
      <c r="P30" s="50"/>
      <c r="Q30" s="66"/>
      <c r="R30" s="50"/>
      <c r="S30" s="50"/>
      <c r="T30" s="50"/>
    </row>
    <row r="31" spans="1:20" ht="16.5" thickBot="1" x14ac:dyDescent="0.3">
      <c r="A31" s="54"/>
      <c r="B31" s="49"/>
      <c r="C31" s="49"/>
      <c r="D31" s="49"/>
      <c r="E31" s="49"/>
      <c r="F31" s="49"/>
      <c r="G31" s="58"/>
      <c r="H31" s="62"/>
      <c r="I31" s="66"/>
      <c r="J31" s="50"/>
      <c r="K31" s="50"/>
      <c r="L31" s="50"/>
      <c r="M31" s="66"/>
      <c r="N31" s="50"/>
      <c r="O31" s="50"/>
      <c r="P31" s="50"/>
      <c r="Q31" s="66"/>
      <c r="R31" s="50"/>
      <c r="S31" s="50"/>
      <c r="T31" s="50"/>
    </row>
    <row r="32" spans="1:20" ht="16.5" thickBot="1" x14ac:dyDescent="0.3">
      <c r="A32" s="54"/>
      <c r="B32" s="49"/>
      <c r="C32" s="49"/>
      <c r="D32" s="49"/>
      <c r="E32" s="49"/>
      <c r="F32" s="49"/>
      <c r="G32" s="58"/>
      <c r="H32" s="62"/>
      <c r="I32" s="66"/>
      <c r="J32" s="50"/>
      <c r="K32" s="50"/>
      <c r="L32" s="50"/>
      <c r="M32" s="66"/>
      <c r="N32" s="50"/>
      <c r="O32" s="50"/>
      <c r="P32" s="50"/>
      <c r="Q32" s="66"/>
      <c r="R32" s="50"/>
      <c r="S32" s="50"/>
      <c r="T32" s="50"/>
    </row>
    <row r="33" spans="1:20" ht="16.5" thickBot="1" x14ac:dyDescent="0.3">
      <c r="A33" s="54"/>
      <c r="B33" s="49"/>
      <c r="C33" s="49"/>
      <c r="D33" s="49"/>
      <c r="E33" s="49"/>
      <c r="F33" s="49"/>
      <c r="G33" s="58"/>
      <c r="H33" s="62"/>
      <c r="I33" s="66"/>
      <c r="J33" s="50"/>
      <c r="K33" s="50"/>
      <c r="L33" s="50"/>
      <c r="M33" s="66"/>
      <c r="N33" s="50"/>
      <c r="O33" s="50"/>
      <c r="P33" s="50"/>
      <c r="Q33" s="66"/>
      <c r="R33" s="50"/>
      <c r="S33" s="50"/>
      <c r="T33" s="50"/>
    </row>
    <row r="34" spans="1:20" ht="16.5" thickBot="1" x14ac:dyDescent="0.3">
      <c r="A34" s="54"/>
      <c r="B34" s="49"/>
      <c r="C34" s="49"/>
      <c r="D34" s="49"/>
      <c r="E34" s="49"/>
      <c r="F34" s="49"/>
      <c r="G34" s="58"/>
      <c r="H34" s="62"/>
      <c r="I34" s="66"/>
      <c r="J34" s="50"/>
      <c r="K34" s="50"/>
      <c r="L34" s="50"/>
      <c r="M34" s="66"/>
      <c r="N34" s="50"/>
      <c r="O34" s="50"/>
      <c r="P34" s="50"/>
      <c r="Q34" s="66"/>
      <c r="R34" s="50"/>
      <c r="S34" s="50"/>
      <c r="T34" s="50"/>
    </row>
    <row r="35" spans="1:20" ht="16.5" thickBot="1" x14ac:dyDescent="0.3">
      <c r="A35" s="54"/>
      <c r="B35" s="49"/>
      <c r="C35" s="49"/>
      <c r="D35" s="49"/>
      <c r="E35" s="49"/>
      <c r="F35" s="49"/>
      <c r="G35" s="58"/>
      <c r="H35" s="62"/>
      <c r="I35" s="66"/>
      <c r="J35" s="50"/>
      <c r="K35" s="50"/>
      <c r="L35" s="50"/>
      <c r="M35" s="66"/>
      <c r="N35" s="50"/>
      <c r="O35" s="50"/>
      <c r="P35" s="50"/>
      <c r="Q35" s="66"/>
      <c r="R35" s="50"/>
      <c r="S35" s="50"/>
      <c r="T35" s="50"/>
    </row>
    <row r="36" spans="1:20" ht="16.5" thickBot="1" x14ac:dyDescent="0.3">
      <c r="A36" s="46" t="s">
        <v>219</v>
      </c>
      <c r="B36" s="49"/>
      <c r="C36" s="49"/>
      <c r="D36" s="49"/>
      <c r="E36" s="49"/>
      <c r="F36" s="49"/>
      <c r="G36" s="58"/>
      <c r="H36" s="62"/>
      <c r="I36" s="66"/>
      <c r="J36" s="50"/>
      <c r="K36" s="50"/>
      <c r="L36" s="50"/>
      <c r="M36" s="66"/>
      <c r="N36" s="50"/>
      <c r="O36" s="50"/>
      <c r="P36" s="50"/>
      <c r="Q36" s="66"/>
      <c r="R36" s="50"/>
      <c r="S36" s="50"/>
      <c r="T36" s="50"/>
    </row>
    <row r="37" spans="1:20" ht="16.5" thickBot="1" x14ac:dyDescent="0.3">
      <c r="A37" s="51" t="s">
        <v>220</v>
      </c>
      <c r="B37" s="49"/>
      <c r="C37" s="49"/>
      <c r="D37" s="49"/>
      <c r="E37" s="49"/>
      <c r="F37" s="49"/>
      <c r="G37" s="58"/>
      <c r="H37" s="62"/>
      <c r="I37" s="66"/>
      <c r="J37" s="50"/>
      <c r="K37" s="50"/>
      <c r="L37" s="50"/>
      <c r="M37" s="66"/>
      <c r="N37" s="50"/>
      <c r="O37" s="50"/>
      <c r="P37" s="50"/>
      <c r="Q37" s="66"/>
      <c r="R37" s="50"/>
      <c r="S37" s="50"/>
      <c r="T37" s="50"/>
    </row>
    <row r="38" spans="1:20" ht="16.5" thickBot="1" x14ac:dyDescent="0.3">
      <c r="A38" s="51"/>
      <c r="B38" s="49"/>
      <c r="C38" s="49"/>
      <c r="D38" s="49"/>
      <c r="E38" s="49"/>
      <c r="F38" s="49"/>
      <c r="G38" s="58"/>
      <c r="H38" s="62"/>
      <c r="I38" s="66"/>
      <c r="J38" s="50"/>
      <c r="K38" s="50"/>
      <c r="L38" s="50"/>
      <c r="M38" s="66"/>
      <c r="N38" s="50"/>
      <c r="O38" s="50"/>
      <c r="P38" s="50"/>
      <c r="Q38" s="66"/>
      <c r="R38" s="50"/>
      <c r="S38" s="50"/>
      <c r="T38" s="50"/>
    </row>
    <row r="39" spans="1:20" ht="16.5" thickBot="1" x14ac:dyDescent="0.3">
      <c r="A39" s="51"/>
      <c r="B39" s="49"/>
      <c r="C39" s="49"/>
      <c r="D39" s="49"/>
      <c r="E39" s="49"/>
      <c r="F39" s="49"/>
      <c r="G39" s="58"/>
      <c r="H39" s="62"/>
      <c r="I39" s="66"/>
      <c r="J39" s="50"/>
      <c r="K39" s="50"/>
      <c r="L39" s="50"/>
      <c r="M39" s="66"/>
      <c r="N39" s="50"/>
      <c r="O39" s="50"/>
      <c r="P39" s="50"/>
      <c r="Q39" s="66"/>
      <c r="R39" s="50"/>
      <c r="S39" s="50"/>
      <c r="T39" s="50"/>
    </row>
    <row r="40" spans="1:20" ht="16.5" thickBot="1" x14ac:dyDescent="0.3">
      <c r="A40" s="51"/>
      <c r="B40" s="49"/>
      <c r="C40" s="49"/>
      <c r="D40" s="49"/>
      <c r="E40" s="49"/>
      <c r="F40" s="49"/>
      <c r="G40" s="58"/>
      <c r="H40" s="62"/>
      <c r="I40" s="66"/>
      <c r="J40" s="50"/>
      <c r="K40" s="50"/>
      <c r="L40" s="50"/>
      <c r="M40" s="66"/>
      <c r="N40" s="50"/>
      <c r="O40" s="50"/>
      <c r="P40" s="50"/>
      <c r="Q40" s="66"/>
      <c r="R40" s="50"/>
      <c r="S40" s="50"/>
      <c r="T40" s="50"/>
    </row>
    <row r="41" spans="1:20" ht="16.5" thickBot="1" x14ac:dyDescent="0.3">
      <c r="A41" s="51" t="s">
        <v>202</v>
      </c>
      <c r="B41" s="49"/>
      <c r="C41" s="49"/>
      <c r="D41" s="49"/>
      <c r="E41" s="49"/>
      <c r="F41" s="49"/>
      <c r="G41" s="58"/>
      <c r="H41" s="62"/>
      <c r="I41" s="66"/>
      <c r="J41" s="50"/>
      <c r="K41" s="74">
        <v>6638</v>
      </c>
      <c r="L41" s="50"/>
      <c r="M41" s="66"/>
      <c r="N41" s="50"/>
      <c r="O41" s="50"/>
      <c r="P41" s="50"/>
      <c r="Q41" s="66"/>
      <c r="R41" s="50"/>
      <c r="S41" s="50"/>
      <c r="T41" s="50"/>
    </row>
    <row r="42" spans="1:20" ht="16.5" thickBot="1" x14ac:dyDescent="0.3">
      <c r="A42" s="51"/>
      <c r="B42" s="49"/>
      <c r="C42" s="49"/>
      <c r="D42" s="49"/>
      <c r="E42" s="49"/>
      <c r="F42" s="49"/>
      <c r="G42" s="58"/>
      <c r="H42" s="62"/>
      <c r="I42" s="66"/>
      <c r="J42" s="50"/>
      <c r="K42" s="50"/>
      <c r="L42" s="50"/>
      <c r="M42" s="66"/>
      <c r="N42" s="50"/>
      <c r="O42" s="50"/>
      <c r="P42" s="50"/>
      <c r="Q42" s="66"/>
      <c r="R42" s="50"/>
      <c r="S42" s="50"/>
      <c r="T42" s="50"/>
    </row>
    <row r="43" spans="1:20" ht="16.5" thickBot="1" x14ac:dyDescent="0.3">
      <c r="A43" s="51"/>
      <c r="B43" s="49"/>
      <c r="C43" s="49"/>
      <c r="D43" s="49"/>
      <c r="E43" s="49"/>
      <c r="F43" s="49"/>
      <c r="G43" s="58"/>
      <c r="H43" s="62"/>
      <c r="I43" s="66"/>
      <c r="J43" s="50"/>
      <c r="K43" s="50"/>
      <c r="L43" s="50"/>
      <c r="M43" s="66"/>
      <c r="N43" s="50"/>
      <c r="O43" s="50"/>
      <c r="P43" s="50"/>
      <c r="Q43" s="66"/>
      <c r="R43" s="50"/>
      <c r="S43" s="50"/>
      <c r="T43" s="50"/>
    </row>
    <row r="44" spans="1:20" ht="16.5" thickBot="1" x14ac:dyDescent="0.3">
      <c r="A44" s="51"/>
      <c r="B44" s="49"/>
      <c r="C44" s="49"/>
      <c r="D44" s="49"/>
      <c r="E44" s="49"/>
      <c r="F44" s="49"/>
      <c r="G44" s="58"/>
      <c r="H44" s="62"/>
      <c r="I44" s="66"/>
      <c r="J44" s="50"/>
      <c r="K44" s="50"/>
      <c r="L44" s="50"/>
      <c r="M44" s="66"/>
      <c r="N44" s="50"/>
      <c r="O44" s="50"/>
      <c r="P44" s="50"/>
      <c r="Q44" s="66"/>
      <c r="R44" s="50"/>
      <c r="S44" s="50"/>
      <c r="T44" s="50"/>
    </row>
    <row r="45" spans="1:20" ht="16.5" thickBot="1" x14ac:dyDescent="0.3">
      <c r="A45" s="51"/>
      <c r="B45" s="49"/>
      <c r="C45" s="49"/>
      <c r="D45" s="49"/>
      <c r="E45" s="49"/>
      <c r="F45" s="49"/>
      <c r="G45" s="58"/>
      <c r="H45" s="62"/>
      <c r="I45" s="66"/>
      <c r="J45" s="50"/>
      <c r="K45" s="50"/>
      <c r="L45" s="50"/>
      <c r="M45" s="66"/>
      <c r="N45" s="50"/>
      <c r="O45" s="50"/>
      <c r="P45" s="50"/>
      <c r="Q45" s="66"/>
      <c r="R45" s="50"/>
      <c r="S45" s="50"/>
      <c r="T45" s="50"/>
    </row>
    <row r="46" spans="1:20" ht="15.75" x14ac:dyDescent="0.25">
      <c r="A46" s="52" t="s">
        <v>217</v>
      </c>
      <c r="B46" s="52"/>
      <c r="C46" s="52"/>
      <c r="D46" s="52"/>
      <c r="E46" s="52"/>
      <c r="F46" s="52"/>
      <c r="G46" s="53">
        <f>SUM(G27:G45)</f>
        <v>0</v>
      </c>
      <c r="H46" s="53">
        <f>SUM(H27:H45)</f>
        <v>0</v>
      </c>
      <c r="I46" s="66"/>
      <c r="J46" s="53">
        <f>SUM(J27:J45)</f>
        <v>0</v>
      </c>
      <c r="K46" s="53">
        <f>SUM(K27:K45)</f>
        <v>6638</v>
      </c>
      <c r="L46" s="53">
        <f>SUM(L27:L45)</f>
        <v>0</v>
      </c>
      <c r="M46" s="66"/>
      <c r="N46" s="53">
        <f>SUM(N27:N45)</f>
        <v>0</v>
      </c>
      <c r="O46" s="53">
        <f>SUM(O27:O45)</f>
        <v>0</v>
      </c>
      <c r="P46" s="53">
        <f>SUM(P27:P45)</f>
        <v>0</v>
      </c>
      <c r="Q46" s="66"/>
      <c r="R46" s="53">
        <f>SUM(R27:R45)</f>
        <v>0</v>
      </c>
      <c r="S46" s="53">
        <f>SUM(S27:S45)</f>
        <v>0</v>
      </c>
      <c r="T46" s="53">
        <f>SUM(T27:T45)</f>
        <v>0</v>
      </c>
    </row>
    <row r="47" spans="1:20" ht="16.5" thickBot="1" x14ac:dyDescent="0.3">
      <c r="A47" s="46" t="s">
        <v>221</v>
      </c>
      <c r="B47" s="49"/>
      <c r="C47" s="49"/>
      <c r="D47" s="49"/>
      <c r="E47" s="49"/>
      <c r="F47" s="49"/>
      <c r="G47" s="58"/>
      <c r="H47" s="62"/>
      <c r="I47" s="66"/>
      <c r="J47" s="50"/>
      <c r="K47" s="50"/>
      <c r="L47" s="50"/>
      <c r="M47" s="66"/>
      <c r="N47" s="50"/>
      <c r="O47" s="50"/>
      <c r="P47" s="50"/>
      <c r="Q47" s="66"/>
      <c r="R47" s="50"/>
      <c r="S47" s="50"/>
      <c r="T47" s="50"/>
    </row>
    <row r="48" spans="1:20" ht="16.5" thickBot="1" x14ac:dyDescent="0.3">
      <c r="A48" s="54"/>
      <c r="B48" s="49"/>
      <c r="C48" s="49"/>
      <c r="D48" s="49"/>
      <c r="E48" s="49"/>
      <c r="F48" s="49"/>
      <c r="G48" s="58"/>
      <c r="H48" s="62"/>
      <c r="I48" s="66"/>
      <c r="J48" s="50"/>
      <c r="K48" s="50"/>
      <c r="L48" s="50"/>
      <c r="M48" s="66"/>
      <c r="N48" s="50"/>
      <c r="O48" s="50"/>
      <c r="P48" s="50"/>
      <c r="Q48" s="66"/>
      <c r="R48" s="50"/>
      <c r="S48" s="50"/>
      <c r="T48" s="50"/>
    </row>
    <row r="49" spans="1:20" ht="16.5" thickBot="1" x14ac:dyDescent="0.3">
      <c r="A49" s="46" t="s">
        <v>222</v>
      </c>
      <c r="B49" s="49"/>
      <c r="C49" s="49"/>
      <c r="D49" s="49"/>
      <c r="E49" s="49"/>
      <c r="F49" s="49"/>
      <c r="G49" s="58"/>
      <c r="H49" s="62"/>
      <c r="I49" s="66"/>
      <c r="J49" s="50"/>
      <c r="K49" s="50"/>
      <c r="L49" s="50"/>
      <c r="M49" s="66"/>
      <c r="N49" s="50"/>
      <c r="O49" s="50"/>
      <c r="P49" s="50"/>
      <c r="Q49" s="66"/>
      <c r="R49" s="50"/>
      <c r="S49" s="50"/>
      <c r="T49" s="50"/>
    </row>
    <row r="50" spans="1:20" ht="16.5" thickBot="1" x14ac:dyDescent="0.3">
      <c r="A50" s="51" t="s">
        <v>223</v>
      </c>
      <c r="B50" s="49"/>
      <c r="C50" s="49"/>
      <c r="D50" s="49"/>
      <c r="E50" s="49"/>
      <c r="F50" s="49"/>
      <c r="G50" s="58"/>
      <c r="H50" s="62"/>
      <c r="I50" s="66"/>
      <c r="J50" s="50"/>
      <c r="K50" s="50"/>
      <c r="L50" s="50"/>
      <c r="M50" s="66"/>
      <c r="N50" s="50"/>
      <c r="O50" s="50"/>
      <c r="P50" s="50"/>
      <c r="Q50" s="66"/>
      <c r="R50" s="50"/>
      <c r="S50" s="50"/>
      <c r="T50" s="50"/>
    </row>
    <row r="51" spans="1:20" ht="16.5" thickBot="1" x14ac:dyDescent="0.3">
      <c r="A51" s="51" t="s">
        <v>224</v>
      </c>
      <c r="B51" s="49"/>
      <c r="C51" s="49"/>
      <c r="D51" s="49"/>
      <c r="E51" s="49"/>
      <c r="F51" s="49"/>
      <c r="G51" s="58"/>
      <c r="H51" s="62"/>
      <c r="I51" s="66"/>
      <c r="J51" s="50"/>
      <c r="K51" s="50"/>
      <c r="L51" s="50"/>
      <c r="M51" s="66"/>
      <c r="N51" s="50"/>
      <c r="O51" s="50"/>
      <c r="P51" s="50"/>
      <c r="Q51" s="66"/>
      <c r="R51" s="50"/>
      <c r="S51" s="50"/>
      <c r="T51" s="50"/>
    </row>
    <row r="52" spans="1:20" ht="15.75" x14ac:dyDescent="0.25">
      <c r="A52" s="52" t="s">
        <v>217</v>
      </c>
      <c r="B52" s="52"/>
      <c r="C52" s="52"/>
      <c r="D52" s="52"/>
      <c r="E52" s="52"/>
      <c r="F52" s="52"/>
      <c r="G52" s="53">
        <f t="shared" ref="G52" si="4">SUM(G47:G51)</f>
        <v>0</v>
      </c>
      <c r="H52" s="53">
        <f>SUM(H47:H51)</f>
        <v>0</v>
      </c>
      <c r="I52" s="66"/>
      <c r="J52" s="53">
        <f t="shared" ref="J52:R52" si="5">SUM(J47:J51)</f>
        <v>0</v>
      </c>
      <c r="K52" s="53">
        <f>SUM(K47:K51)</f>
        <v>0</v>
      </c>
      <c r="L52" s="53">
        <f>SUM(L47:L51)</f>
        <v>0</v>
      </c>
      <c r="M52" s="66"/>
      <c r="N52" s="53">
        <f t="shared" si="5"/>
        <v>0</v>
      </c>
      <c r="O52" s="53">
        <f>SUM(O47:O51)</f>
        <v>0</v>
      </c>
      <c r="P52" s="53">
        <f>SUM(P47:P51)</f>
        <v>0</v>
      </c>
      <c r="Q52" s="66"/>
      <c r="R52" s="53">
        <f t="shared" si="5"/>
        <v>0</v>
      </c>
      <c r="S52" s="53">
        <f t="shared" ref="S52" si="6">SUM(S47:S51)</f>
        <v>0</v>
      </c>
      <c r="T52" s="53">
        <f t="shared" ref="T52" si="7">SUM(T47:T51)</f>
        <v>0</v>
      </c>
    </row>
    <row r="53" spans="1:20" ht="15.75" x14ac:dyDescent="0.25">
      <c r="A53" s="55"/>
      <c r="B53" s="55"/>
      <c r="C53" s="55"/>
      <c r="D53" s="55"/>
      <c r="E53" s="55"/>
      <c r="F53" s="55"/>
      <c r="G53" s="56"/>
      <c r="H53" s="56"/>
      <c r="I53" s="66"/>
      <c r="J53" s="56"/>
      <c r="K53" s="56"/>
      <c r="L53" s="56"/>
      <c r="M53" s="66"/>
      <c r="N53" s="56"/>
      <c r="O53" s="56"/>
      <c r="P53" s="56"/>
      <c r="Q53" s="66"/>
      <c r="R53" s="56"/>
      <c r="S53" s="56"/>
      <c r="T53" s="56"/>
    </row>
    <row r="54" spans="1:20" ht="15.75" x14ac:dyDescent="0.25">
      <c r="A54" s="52" t="s">
        <v>225</v>
      </c>
      <c r="B54" s="52"/>
      <c r="C54" s="52"/>
      <c r="D54" s="52"/>
      <c r="E54" s="52"/>
      <c r="F54" s="52"/>
      <c r="G54" s="53">
        <f>G26+G46+G52</f>
        <v>0</v>
      </c>
      <c r="H54" s="53">
        <f>H26+H46+H52</f>
        <v>0</v>
      </c>
      <c r="I54" s="66"/>
      <c r="J54" s="53">
        <f>J26+J46+J52</f>
        <v>0</v>
      </c>
      <c r="K54" s="53">
        <f>K26+K46+K52</f>
        <v>6638</v>
      </c>
      <c r="L54" s="53">
        <f>L26+L46+L52</f>
        <v>2500</v>
      </c>
      <c r="M54" s="66"/>
      <c r="N54" s="53">
        <f>N26+N46+N52</f>
        <v>0</v>
      </c>
      <c r="O54" s="53">
        <f>O26+O46+O52</f>
        <v>0</v>
      </c>
      <c r="P54" s="53">
        <f>P26+P46+P52</f>
        <v>0</v>
      </c>
      <c r="Q54" s="66"/>
      <c r="R54" s="53">
        <f>R26+R46+R52</f>
        <v>0</v>
      </c>
      <c r="S54" s="53">
        <f>S26+S46+S52</f>
        <v>0</v>
      </c>
      <c r="T54" s="53">
        <f>T26+T46+T52</f>
        <v>0</v>
      </c>
    </row>
    <row r="57" spans="1:20" x14ac:dyDescent="0.25">
      <c r="A57" s="16" t="s">
        <v>226</v>
      </c>
    </row>
  </sheetData>
  <mergeCells count="1">
    <mergeCell ref="A3:D3"/>
  </mergeCells>
  <pageMargins left="0.25" right="0.25" top="0.25" bottom="0.25" header="0.5" footer="0.5"/>
  <pageSetup paperSize="9" scale="59" orientation="landscape" r:id="rId1"/>
  <headerFooter alignWithMargins="0"/>
  <ignoredErrors>
    <ignoredError sqref="G26:H26 G46:H46 G52:H52 G54:H54 J26:L26 J46:L46 J52:L52 J54:L54 N26:P26 N46:P46 N52:P52 N54:P54 R54:T54 R52:T52 R46:T46 R26:T26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</vt:lpstr>
      <vt:lpstr>Operating consolidated</vt:lpstr>
      <vt:lpstr>Itemized detail</vt:lpstr>
      <vt:lpstr>Capital consolidated</vt:lpstr>
      <vt:lpstr>'Operating consolidated'!Print_Titles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rajesh.raj</dc:creator>
  <cp:lastModifiedBy>Jay Ganasan</cp:lastModifiedBy>
  <cp:lastPrinted>2017-06-08T06:45:40Z</cp:lastPrinted>
  <dcterms:created xsi:type="dcterms:W3CDTF">2017-03-23T10:27:57Z</dcterms:created>
  <dcterms:modified xsi:type="dcterms:W3CDTF">2017-06-11T07:13:02Z</dcterms:modified>
</cp:coreProperties>
</file>