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iju.badarudeen\Desktop\"/>
    </mc:Choice>
  </mc:AlternateContent>
  <bookViews>
    <workbookView xWindow="0" yWindow="0" windowWidth="19200" windowHeight="67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8" i="1" l="1"/>
  <c r="K10" i="1"/>
</calcChain>
</file>

<file path=xl/sharedStrings.xml><?xml version="1.0" encoding="utf-8"?>
<sst xmlns="http://schemas.openxmlformats.org/spreadsheetml/2006/main" count="192" uniqueCount="97">
  <si>
    <t>Database</t>
  </si>
  <si>
    <t>ACS database and open access</t>
  </si>
  <si>
    <t>GeoScience</t>
  </si>
  <si>
    <t>Royal Society of Chemistry Journals</t>
  </si>
  <si>
    <t>EBSCO packages</t>
  </si>
  <si>
    <t xml:space="preserve">Elsevier Knovel </t>
  </si>
  <si>
    <t>Elsevier SciVal</t>
  </si>
  <si>
    <t>Elsevier Scopus</t>
  </si>
  <si>
    <t>Elsevier Science Direct</t>
  </si>
  <si>
    <t>Emerald E-journals</t>
  </si>
  <si>
    <t>GOBI Blanket order for print books</t>
  </si>
  <si>
    <t>Wiley databse and Gold open access</t>
  </si>
  <si>
    <t>DesalData</t>
  </si>
  <si>
    <t>OCLC cataloguing and metadata</t>
  </si>
  <si>
    <t>LibGuides</t>
  </si>
  <si>
    <t>UpToDate and Lexicomp</t>
  </si>
  <si>
    <t xml:space="preserve">Web of Science </t>
  </si>
  <si>
    <t>McGraw Hill</t>
  </si>
  <si>
    <t>EMBASE</t>
  </si>
  <si>
    <t>LinkedIn</t>
  </si>
  <si>
    <t>JoVE</t>
  </si>
  <si>
    <t>SciFinder</t>
  </si>
  <si>
    <t>ORCiD</t>
  </si>
  <si>
    <t>ALMA subscription</t>
  </si>
  <si>
    <t>Contract start date</t>
  </si>
  <si>
    <t>Contract end date</t>
  </si>
  <si>
    <t xml:space="preserve">IEEE databse </t>
  </si>
  <si>
    <t>31/12/2023</t>
  </si>
  <si>
    <t>31/8/2024</t>
  </si>
  <si>
    <t>31/3/2023</t>
  </si>
  <si>
    <t>ASTM International</t>
  </si>
  <si>
    <t>ACS publications</t>
  </si>
  <si>
    <t>Royal Society of Chemistry</t>
  </si>
  <si>
    <t xml:space="preserve">Clarivate </t>
  </si>
  <si>
    <t>Clinical Key</t>
  </si>
  <si>
    <t>PURE</t>
  </si>
  <si>
    <t>One Petro</t>
  </si>
  <si>
    <t xml:space="preserve">Cochrane </t>
  </si>
  <si>
    <t xml:space="preserve">Open access Publishing </t>
  </si>
  <si>
    <t xml:space="preserve">Self Checkin RFiD gates maintaintance </t>
  </si>
  <si>
    <t>Springer Nature database</t>
  </si>
  <si>
    <t xml:space="preserve">ASTM database </t>
  </si>
  <si>
    <t xml:space="preserve">Type of service </t>
  </si>
  <si>
    <t>Vendor</t>
  </si>
  <si>
    <t>Walter Kluwer health database package</t>
  </si>
  <si>
    <t>MAGNA publishing</t>
  </si>
  <si>
    <t xml:space="preserve">Ezproxy </t>
  </si>
  <si>
    <t>31/4/2023</t>
  </si>
  <si>
    <t>ProQuest databse package ( RefWorks, CultureGram, Academic Complete, PQDT, Health research premium, Orelly)</t>
  </si>
  <si>
    <t>15/3/2023</t>
  </si>
  <si>
    <t>14/3/2024</t>
  </si>
  <si>
    <t>`</t>
  </si>
  <si>
    <t>#</t>
  </si>
  <si>
    <t>Print book</t>
  </si>
  <si>
    <t>E-Resource subscription</t>
  </si>
  <si>
    <t>E-Resource Subscription</t>
  </si>
  <si>
    <t>Knowledge E packages- AIP,ASCE,ASME,IOP,JSTOR,OUP,  T&amp;F</t>
  </si>
  <si>
    <t>American Physical society</t>
  </si>
  <si>
    <t xml:space="preserve">APS </t>
  </si>
  <si>
    <t>31/12/2024</t>
  </si>
  <si>
    <t>28/2/2024</t>
  </si>
  <si>
    <t>Optics Infobase E combination package</t>
  </si>
  <si>
    <t xml:space="preserve">ACM Digital library </t>
  </si>
  <si>
    <t>Price (2022)</t>
  </si>
  <si>
    <t>KU Library e-resources subscription vendors</t>
  </si>
  <si>
    <t xml:space="preserve">ProQuest blanket book order for print books </t>
  </si>
  <si>
    <t>USD</t>
  </si>
  <si>
    <t>Currency</t>
  </si>
  <si>
    <t>2022 PO</t>
  </si>
  <si>
    <t>2022 PO Value</t>
  </si>
  <si>
    <t>EBSCO INFORMATION SERVICES SAS</t>
  </si>
  <si>
    <t>KNOWLEDGE E DMCC</t>
  </si>
  <si>
    <t>AED</t>
  </si>
  <si>
    <t>WOLTERS KLUWER HEALTH (MEDICAL RESEARCH) LIMITED</t>
  </si>
  <si>
    <t>GOBI LIBRARY SOLUTIONS FROM EBSCO</t>
  </si>
  <si>
    <t>AL WARAQA AL BAYDAA EDUCATION AND PUBLISHING SERVICES L.L.C.</t>
  </si>
  <si>
    <t>SPRINGER CUSTOMER SERVICE CENTER GmbH</t>
  </si>
  <si>
    <t>NASEEJ FOR COMMUNICATION AND INFORMATION TECHNOLOGY CO L.L.C - ABU DHABI</t>
  </si>
  <si>
    <t>ARABIAN ADVANCED SYSTEMS COMPANY - ABU DHABI</t>
  </si>
  <si>
    <t>AMERICAN CHEMICAL SOCIETY</t>
  </si>
  <si>
    <t>cancelled</t>
  </si>
  <si>
    <t>CLARIVATE ANALYTICS (US) LLC</t>
  </si>
  <si>
    <t>PROQUEST LLC</t>
  </si>
  <si>
    <t>EMERALD GROUP PUBLISHING LIMITED</t>
  </si>
  <si>
    <t>JOHN WILEY &amp; SONS, INC</t>
  </si>
  <si>
    <t>MEDIA ANALYTICS LIMITED</t>
  </si>
  <si>
    <t>GBP</t>
  </si>
  <si>
    <t>EDUTECH MIDDLE EAST (L.L.C.)</t>
  </si>
  <si>
    <t>SPRINGSHARE LLC</t>
  </si>
  <si>
    <t>EMIRATES TECHNOLOGY CO. (EMITAC DUBAI) L.L.C.</t>
  </si>
  <si>
    <t>MCGRAW HILL LLC</t>
  </si>
  <si>
    <t>LINKEDIN IRELAND UNLIMITED COMPANY</t>
  </si>
  <si>
    <t>MYJOVE CORPORATION</t>
  </si>
  <si>
    <t>ORCID, INC</t>
  </si>
  <si>
    <t>MAGNA PUBLICATIONS INC</t>
  </si>
  <si>
    <t>FRONTIERS MEDIA SA</t>
  </si>
  <si>
    <t>Contract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</si>
</sst>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0"/>
      <color rgb="FF333333"/>
      <name val="Calibri Light"/>
      <family val="2"/>
      <scheme val="major"/>
    </font>
    <font>
      <sz val="10"/>
      <color theme="1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20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left"/>
    </xf>
    <xf numFmtId="0" fontId="2" fillId="2" borderId="2" xfId="0" applyFont="1" applyFill="1" applyBorder="1"/>
    <xf numFmtId="164" fontId="2" fillId="2" borderId="3" xfId="1" applyFont="1" applyFill="1" applyBorder="1"/>
    <xf numFmtId="14" fontId="2" fillId="2" borderId="2" xfId="0" applyNumberFormat="1" applyFont="1" applyFill="1" applyBorder="1" applyAlignment="1">
      <alignment horizontal="left"/>
    </xf>
    <xf numFmtId="0" fontId="2" fillId="2" borderId="4" xfId="0" applyFont="1" applyFill="1" applyBorder="1"/>
    <xf numFmtId="0" fontId="1" fillId="2" borderId="5" xfId="0" applyFont="1" applyFill="1" applyBorder="1"/>
    <xf numFmtId="0" fontId="1" fillId="2" borderId="5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left"/>
    </xf>
    <xf numFmtId="0" fontId="1" fillId="2" borderId="6" xfId="0" applyFont="1" applyFill="1" applyBorder="1"/>
    <xf numFmtId="0" fontId="5" fillId="0" borderId="1" xfId="0" applyFont="1" applyBorder="1" applyAlignment="1">
      <alignment horizontal="center" vertical="center"/>
    </xf>
    <xf numFmtId="164" fontId="6" fillId="2" borderId="1" xfId="1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43" fontId="2" fillId="2" borderId="0" xfId="0" applyNumberFormat="1" applyFont="1" applyFill="1"/>
    <xf numFmtId="14" fontId="2" fillId="2" borderId="2" xfId="0" applyNumberFormat="1" applyFont="1" applyFill="1" applyBorder="1"/>
    <xf numFmtId="164" fontId="6" fillId="2" borderId="8" xfId="1" applyFont="1" applyFill="1" applyBorder="1" applyAlignment="1">
      <alignment horizontal="center" vertical="center"/>
    </xf>
    <xf numFmtId="164" fontId="6" fillId="2" borderId="9" xfId="1" applyFont="1" applyFill="1" applyBorder="1" applyAlignment="1">
      <alignment horizontal="center" vertical="center"/>
    </xf>
    <xf numFmtId="164" fontId="6" fillId="2" borderId="2" xfId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28</xdr:row>
      <xdr:rowOff>0</xdr:rowOff>
    </xdr:from>
    <xdr:to>
      <xdr:col>4</xdr:col>
      <xdr:colOff>31750</xdr:colOff>
      <xdr:row>28</xdr:row>
      <xdr:rowOff>12700</xdr:rowOff>
    </xdr:to>
    <xdr:pic>
      <xdr:nvPicPr>
        <xdr:cNvPr id="2" name="TrxnAmountSpacer" descr="https://aderp.dof.abudhabi.ae/OA_HTML/cabo/images/skyro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37350" y="5689600"/>
          <a:ext cx="3175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31750</xdr:colOff>
      <xdr:row>25</xdr:row>
      <xdr:rowOff>12700</xdr:rowOff>
    </xdr:to>
    <xdr:pic>
      <xdr:nvPicPr>
        <xdr:cNvPr id="3" name="TrxnAmountSpacer" descr="https://aderp.dof.abudhabi.ae/OA_HTML/cabo/images/skyro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37350" y="5334000"/>
          <a:ext cx="3175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31750</xdr:colOff>
      <xdr:row>15</xdr:row>
      <xdr:rowOff>12700</xdr:rowOff>
    </xdr:to>
    <xdr:pic>
      <xdr:nvPicPr>
        <xdr:cNvPr id="5" name="TrxnAmountSpacer" descr="https://aderp.dof.abudhabi.ae/OA_HTML/cabo/images/skyro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37350" y="2489200"/>
          <a:ext cx="3175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aderp.dof.abudhabi.ae/OA_HTML/OA.jsp?OAFunc=PO_HTML_VIEW_SUPPLIER_DETAILS&amp;vendorName=%7B!!mUYT0T0zaVNSyxqc4pBAWw%7D&amp;vendorSiteId=%7B!!wZ5tIZR.OjAje4VfyqUvxA%7D&amp;vendorContactId=%7B!!-gU5fzXkY25bCfwoLnCgnA%7D&amp;retainAM=Y&amp;addBreadCrumb=Y&amp;_ti=1622885084&amp;oapc=85&amp;oas=AOVHIDDI4sArkRLif_L8_w.." TargetMode="External"/><Relationship Id="rId1" Type="http://schemas.openxmlformats.org/officeDocument/2006/relationships/hyperlink" Target="https://aderp.dof.abudhabi.ae/OA_HTML/OA.jsp?OAFunc=PO_HTML_VIEW_SUPPLIER_DETAILS&amp;vendorName=%7B!!BEhTMTucXAhOOgDKOeYWSiVvyWpGNok374Veo16xs4g%7D&amp;vendorSiteId=%7B!!KV1TF0VlzvpXWHzuL9uvqQ%7D&amp;vendorContactId=%7B!!u9Iz0r.qV5yx-5iaCYuljg%7D&amp;retainAM=Y&amp;addBreadCrumb=Y&amp;_ti=1478996022&amp;oapc=47&amp;oas=Tvd0JlTphyE2oQQNxqy5tQ..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"/>
  <sheetViews>
    <sheetView tabSelected="1" zoomScale="83" workbookViewId="0">
      <selection activeCell="I49" sqref="I49"/>
    </sheetView>
  </sheetViews>
  <sheetFormatPr defaultColWidth="9.140625" defaultRowHeight="14.25" x14ac:dyDescent="0.2"/>
  <cols>
    <col min="1" max="1" width="7.140625" style="1" customWidth="1"/>
    <col min="2" max="2" width="27.140625" style="1" customWidth="1"/>
    <col min="3" max="3" width="26.5703125" style="1" hidden="1" customWidth="1"/>
    <col min="4" max="4" width="35.42578125" style="1" customWidth="1"/>
    <col min="5" max="5" width="17.5703125" style="2" customWidth="1"/>
    <col min="6" max="6" width="19.85546875" style="1" customWidth="1"/>
    <col min="7" max="7" width="18.42578125" style="1" customWidth="1"/>
    <col min="8" max="8" width="11.5703125" style="1" bestFit="1" customWidth="1"/>
    <col min="9" max="9" width="11.5703125" style="1" customWidth="1"/>
    <col min="10" max="11" width="15.5703125" style="1" bestFit="1" customWidth="1"/>
    <col min="12" max="12" width="18.42578125" style="1" customWidth="1"/>
    <col min="13" max="16384" width="9.140625" style="1"/>
  </cols>
  <sheetData>
    <row r="1" spans="1:12" ht="16.5" thickBot="1" x14ac:dyDescent="0.3">
      <c r="A1" s="14" t="s">
        <v>64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2" ht="15.75" thickBot="1" x14ac:dyDescent="0.3">
      <c r="A2" s="6" t="s">
        <v>52</v>
      </c>
      <c r="B2" s="7" t="s">
        <v>43</v>
      </c>
      <c r="C2" s="7" t="s">
        <v>42</v>
      </c>
      <c r="D2" s="8" t="s">
        <v>0</v>
      </c>
      <c r="E2" s="9" t="s">
        <v>63</v>
      </c>
      <c r="F2" s="7" t="s">
        <v>24</v>
      </c>
      <c r="G2" s="10" t="s">
        <v>25</v>
      </c>
      <c r="H2" s="10" t="s">
        <v>68</v>
      </c>
      <c r="I2" s="10" t="s">
        <v>67</v>
      </c>
      <c r="J2" s="10" t="s">
        <v>69</v>
      </c>
      <c r="K2" s="10" t="s">
        <v>96</v>
      </c>
    </row>
    <row r="3" spans="1:12" x14ac:dyDescent="0.2">
      <c r="A3" s="3">
        <v>1</v>
      </c>
      <c r="B3" s="3" t="s">
        <v>30</v>
      </c>
      <c r="C3" s="3" t="s">
        <v>54</v>
      </c>
      <c r="D3" s="3" t="s">
        <v>41</v>
      </c>
      <c r="E3" s="4">
        <v>33810</v>
      </c>
      <c r="F3" s="5">
        <v>44927</v>
      </c>
      <c r="G3" s="3" t="s">
        <v>27</v>
      </c>
      <c r="H3" s="11">
        <v>8472107939</v>
      </c>
      <c r="I3" s="11" t="s">
        <v>66</v>
      </c>
      <c r="J3" s="12">
        <v>9205</v>
      </c>
      <c r="K3" s="12">
        <v>9205</v>
      </c>
      <c r="L3" s="15"/>
    </row>
    <row r="4" spans="1:12" x14ac:dyDescent="0.2">
      <c r="A4" s="3">
        <v>2</v>
      </c>
      <c r="B4" s="3" t="s">
        <v>31</v>
      </c>
      <c r="C4" s="3" t="s">
        <v>54</v>
      </c>
      <c r="D4" s="3" t="s">
        <v>1</v>
      </c>
      <c r="E4" s="4">
        <v>232817</v>
      </c>
      <c r="F4" s="5">
        <v>44927</v>
      </c>
      <c r="G4" s="3" t="s">
        <v>27</v>
      </c>
      <c r="H4" s="11">
        <v>8472107870</v>
      </c>
      <c r="I4" s="11" t="s">
        <v>66</v>
      </c>
      <c r="J4" s="12">
        <v>63386</v>
      </c>
      <c r="K4" s="12">
        <v>63386</v>
      </c>
      <c r="L4" s="15"/>
    </row>
    <row r="5" spans="1:12" x14ac:dyDescent="0.2">
      <c r="A5" s="3">
        <v>3</v>
      </c>
      <c r="B5" s="3" t="s">
        <v>57</v>
      </c>
      <c r="C5" s="3" t="s">
        <v>54</v>
      </c>
      <c r="D5" s="3" t="s">
        <v>58</v>
      </c>
      <c r="E5" s="4">
        <v>50165</v>
      </c>
      <c r="F5" s="5">
        <v>44927</v>
      </c>
      <c r="G5" s="16">
        <v>45657</v>
      </c>
      <c r="H5" s="11">
        <v>8472109454</v>
      </c>
      <c r="I5" s="11" t="s">
        <v>66</v>
      </c>
      <c r="J5" s="12">
        <v>13658</v>
      </c>
      <c r="K5" s="12">
        <v>46002</v>
      </c>
      <c r="L5" s="15"/>
    </row>
    <row r="6" spans="1:12" x14ac:dyDescent="0.2">
      <c r="A6" s="3">
        <v>4</v>
      </c>
      <c r="B6" s="3" t="s">
        <v>70</v>
      </c>
      <c r="C6" s="3" t="s">
        <v>54</v>
      </c>
      <c r="D6" s="3" t="s">
        <v>4</v>
      </c>
      <c r="E6" s="4">
        <v>627349</v>
      </c>
      <c r="F6" s="5">
        <v>44927</v>
      </c>
      <c r="G6" s="16">
        <v>45657</v>
      </c>
      <c r="H6" s="11">
        <v>8472107944</v>
      </c>
      <c r="I6" s="11" t="s">
        <v>66</v>
      </c>
      <c r="J6" s="12">
        <v>168000</v>
      </c>
      <c r="K6" s="12">
        <v>507000</v>
      </c>
      <c r="L6" s="15"/>
    </row>
    <row r="7" spans="1:12" x14ac:dyDescent="0.2">
      <c r="A7" s="3"/>
      <c r="B7" s="3" t="s">
        <v>71</v>
      </c>
      <c r="C7" s="3" t="s">
        <v>54</v>
      </c>
      <c r="D7" s="3" t="s">
        <v>36</v>
      </c>
      <c r="E7" s="4">
        <v>22067</v>
      </c>
      <c r="F7" s="5">
        <v>44927</v>
      </c>
      <c r="G7" s="16">
        <v>45657</v>
      </c>
      <c r="H7" s="11">
        <v>8472108056</v>
      </c>
      <c r="I7" s="11" t="s">
        <v>72</v>
      </c>
      <c r="J7" s="12">
        <v>29656</v>
      </c>
      <c r="K7" s="12">
        <v>104065.25</v>
      </c>
      <c r="L7" s="15"/>
    </row>
    <row r="8" spans="1:12" x14ac:dyDescent="0.2">
      <c r="A8" s="3"/>
      <c r="B8" s="3" t="s">
        <v>74</v>
      </c>
      <c r="C8" s="3" t="s">
        <v>53</v>
      </c>
      <c r="D8" s="3" t="s">
        <v>10</v>
      </c>
      <c r="E8" s="4">
        <v>147200</v>
      </c>
      <c r="F8" s="5">
        <v>44562</v>
      </c>
      <c r="G8" s="16" t="s">
        <v>59</v>
      </c>
      <c r="H8" s="11">
        <v>8472109266</v>
      </c>
      <c r="I8" s="11" t="s">
        <v>66</v>
      </c>
      <c r="J8" s="12">
        <v>40000</v>
      </c>
      <c r="K8" s="12">
        <v>80000</v>
      </c>
      <c r="L8" s="15"/>
    </row>
    <row r="9" spans="1:12" x14ac:dyDescent="0.2">
      <c r="A9" s="3">
        <v>5</v>
      </c>
      <c r="B9" s="3" t="s">
        <v>75</v>
      </c>
      <c r="C9" s="3" t="s">
        <v>54</v>
      </c>
      <c r="D9" s="3" t="s">
        <v>2</v>
      </c>
      <c r="E9" s="4">
        <v>63922</v>
      </c>
      <c r="F9" s="5">
        <v>44927</v>
      </c>
      <c r="G9" s="16" t="s">
        <v>27</v>
      </c>
      <c r="H9" s="11">
        <v>8472108571</v>
      </c>
      <c r="I9" s="11" t="s">
        <v>72</v>
      </c>
      <c r="J9" s="12">
        <v>64762.400000000001</v>
      </c>
      <c r="K9" s="12">
        <v>64762.400000000001</v>
      </c>
      <c r="L9" s="15"/>
    </row>
    <row r="10" spans="1:12" x14ac:dyDescent="0.2">
      <c r="A10" s="3">
        <v>6</v>
      </c>
      <c r="B10" s="3" t="s">
        <v>76</v>
      </c>
      <c r="C10" s="3" t="s">
        <v>54</v>
      </c>
      <c r="D10" s="3" t="s">
        <v>40</v>
      </c>
      <c r="E10" s="4">
        <v>1258124</v>
      </c>
      <c r="F10" s="5">
        <v>43466</v>
      </c>
      <c r="G10" s="16">
        <v>44926</v>
      </c>
      <c r="H10" s="11">
        <v>8472107868</v>
      </c>
      <c r="I10" s="11" t="s">
        <v>66</v>
      </c>
      <c r="J10" s="12">
        <v>342533</v>
      </c>
      <c r="K10" s="12">
        <f>322874+332558+342533</f>
        <v>997965</v>
      </c>
      <c r="L10" s="15"/>
    </row>
    <row r="11" spans="1:12" x14ac:dyDescent="0.2">
      <c r="A11" s="3">
        <v>7</v>
      </c>
      <c r="B11" s="3" t="s">
        <v>78</v>
      </c>
      <c r="C11" s="3" t="s">
        <v>54</v>
      </c>
      <c r="D11" s="3" t="s">
        <v>26</v>
      </c>
      <c r="E11" s="4">
        <v>1645500</v>
      </c>
      <c r="F11" s="5">
        <v>44621</v>
      </c>
      <c r="G11" s="16" t="s">
        <v>60</v>
      </c>
      <c r="H11" s="11">
        <v>8472108233</v>
      </c>
      <c r="I11" s="11" t="s">
        <v>72</v>
      </c>
      <c r="J11" s="12">
        <v>1465000</v>
      </c>
      <c r="K11" s="12">
        <v>4395000</v>
      </c>
      <c r="L11" s="15"/>
    </row>
    <row r="12" spans="1:12" x14ac:dyDescent="0.2">
      <c r="A12" s="3"/>
      <c r="B12" s="3" t="s">
        <v>79</v>
      </c>
      <c r="C12" s="3" t="s">
        <v>54</v>
      </c>
      <c r="D12" s="3" t="s">
        <v>38</v>
      </c>
      <c r="E12" s="4">
        <v>300000</v>
      </c>
      <c r="F12" s="5">
        <v>44562</v>
      </c>
      <c r="G12" s="16">
        <v>44926</v>
      </c>
      <c r="H12" s="11">
        <v>8472108949</v>
      </c>
      <c r="I12" s="11" t="s">
        <v>66</v>
      </c>
      <c r="J12" s="12">
        <v>30000</v>
      </c>
      <c r="K12" s="12">
        <v>30000</v>
      </c>
      <c r="L12" s="15"/>
    </row>
    <row r="13" spans="1:12" x14ac:dyDescent="0.2">
      <c r="A13" s="3"/>
      <c r="B13" s="3" t="s">
        <v>78</v>
      </c>
      <c r="C13" s="3" t="s">
        <v>54</v>
      </c>
      <c r="D13" s="3" t="s">
        <v>46</v>
      </c>
      <c r="E13" s="4">
        <v>3000</v>
      </c>
      <c r="F13" s="5">
        <v>44931</v>
      </c>
      <c r="G13" s="16" t="s">
        <v>47</v>
      </c>
      <c r="H13" s="11">
        <v>8472103771</v>
      </c>
      <c r="I13" s="11" t="s">
        <v>72</v>
      </c>
      <c r="J13" s="12">
        <v>7500</v>
      </c>
      <c r="K13" s="12">
        <v>7500</v>
      </c>
      <c r="L13" s="15"/>
    </row>
    <row r="14" spans="1:12" x14ac:dyDescent="0.2">
      <c r="A14" s="3"/>
      <c r="B14" s="3" t="s">
        <v>77</v>
      </c>
      <c r="C14" s="3" t="s">
        <v>54</v>
      </c>
      <c r="D14" s="3" t="s">
        <v>39</v>
      </c>
      <c r="E14" s="4">
        <v>372400</v>
      </c>
      <c r="F14" s="5">
        <v>44927</v>
      </c>
      <c r="G14" s="16" t="s">
        <v>27</v>
      </c>
      <c r="H14" s="11">
        <v>8472109590</v>
      </c>
      <c r="I14" s="11" t="s">
        <v>72</v>
      </c>
      <c r="J14" s="12" t="s">
        <v>80</v>
      </c>
      <c r="K14" s="12" t="s">
        <v>80</v>
      </c>
      <c r="L14" s="15"/>
    </row>
    <row r="15" spans="1:12" x14ac:dyDescent="0.2">
      <c r="A15" s="3">
        <v>8</v>
      </c>
      <c r="B15" s="3" t="s">
        <v>32</v>
      </c>
      <c r="C15" s="3" t="s">
        <v>54</v>
      </c>
      <c r="D15" s="3" t="s">
        <v>3</v>
      </c>
      <c r="E15" s="4">
        <v>149652</v>
      </c>
      <c r="F15" s="5">
        <v>44621</v>
      </c>
      <c r="G15" s="16">
        <v>45716</v>
      </c>
      <c r="H15" s="11">
        <v>8472107903</v>
      </c>
      <c r="I15" s="11" t="s">
        <v>72</v>
      </c>
      <c r="J15" s="12">
        <v>149652</v>
      </c>
      <c r="K15" s="12">
        <v>149652</v>
      </c>
      <c r="L15" s="15"/>
    </row>
    <row r="16" spans="1:12" x14ac:dyDescent="0.2">
      <c r="A16" s="3">
        <v>9</v>
      </c>
      <c r="B16" s="3" t="s">
        <v>33</v>
      </c>
      <c r="C16" s="3" t="s">
        <v>54</v>
      </c>
      <c r="D16" s="3" t="s">
        <v>48</v>
      </c>
      <c r="E16" s="4">
        <v>288987.96999999997</v>
      </c>
      <c r="F16" s="5">
        <v>44635</v>
      </c>
      <c r="G16" s="16">
        <v>45730</v>
      </c>
      <c r="H16" s="11">
        <v>8472108420</v>
      </c>
      <c r="I16" s="11" t="s">
        <v>66</v>
      </c>
      <c r="J16" s="12">
        <v>131802.45000000001</v>
      </c>
      <c r="K16" s="12">
        <v>409408.05</v>
      </c>
      <c r="L16" s="15"/>
    </row>
    <row r="17" spans="1:13" x14ac:dyDescent="0.2">
      <c r="A17" s="3"/>
      <c r="B17" s="3" t="s">
        <v>82</v>
      </c>
      <c r="C17" s="3" t="s">
        <v>53</v>
      </c>
      <c r="D17" s="3" t="s">
        <v>65</v>
      </c>
      <c r="E17" s="4">
        <v>1400755</v>
      </c>
      <c r="F17" s="5">
        <v>44927</v>
      </c>
      <c r="G17" s="16" t="s">
        <v>59</v>
      </c>
      <c r="H17" s="11">
        <v>8472109584</v>
      </c>
      <c r="I17" s="11" t="s">
        <v>66</v>
      </c>
      <c r="J17" s="12">
        <v>81566</v>
      </c>
      <c r="K17" s="12">
        <v>81566</v>
      </c>
      <c r="L17" s="15"/>
    </row>
    <row r="18" spans="1:13" x14ac:dyDescent="0.2">
      <c r="A18" s="3"/>
      <c r="B18" s="3" t="s">
        <v>82</v>
      </c>
      <c r="C18" s="3" t="s">
        <v>55</v>
      </c>
      <c r="D18" s="3" t="s">
        <v>23</v>
      </c>
      <c r="E18" s="4">
        <v>143520</v>
      </c>
      <c r="F18" s="5">
        <v>44501</v>
      </c>
      <c r="G18" s="16">
        <v>45077</v>
      </c>
      <c r="H18" s="11">
        <v>8472107513</v>
      </c>
      <c r="I18" s="11" t="s">
        <v>66</v>
      </c>
      <c r="J18" s="12">
        <v>79000</v>
      </c>
      <c r="K18" s="12">
        <f>2*79000</f>
        <v>158000</v>
      </c>
      <c r="L18" s="15"/>
    </row>
    <row r="19" spans="1:13" x14ac:dyDescent="0.2">
      <c r="A19" s="3"/>
      <c r="B19" s="3" t="s">
        <v>81</v>
      </c>
      <c r="C19" s="3" t="s">
        <v>55</v>
      </c>
      <c r="D19" s="3" t="s">
        <v>16</v>
      </c>
      <c r="E19" s="4">
        <v>484114</v>
      </c>
      <c r="F19" s="5" t="s">
        <v>49</v>
      </c>
      <c r="G19" s="16" t="s">
        <v>50</v>
      </c>
      <c r="H19" s="11">
        <v>8472108420</v>
      </c>
      <c r="I19" s="11" t="s">
        <v>66</v>
      </c>
      <c r="J19" s="12">
        <v>131802.45000000001</v>
      </c>
      <c r="K19" s="12">
        <v>409408.05</v>
      </c>
      <c r="L19" s="15"/>
    </row>
    <row r="20" spans="1:13" x14ac:dyDescent="0.2">
      <c r="A20" s="3">
        <v>10</v>
      </c>
      <c r="B20" s="3" t="s">
        <v>82</v>
      </c>
      <c r="C20" s="3" t="s">
        <v>55</v>
      </c>
      <c r="D20" s="3" t="s">
        <v>5</v>
      </c>
      <c r="E20" s="4">
        <v>377226</v>
      </c>
      <c r="F20" s="5">
        <v>44562</v>
      </c>
      <c r="G20" s="16">
        <v>45657</v>
      </c>
      <c r="H20" s="11">
        <v>8472107947</v>
      </c>
      <c r="I20" s="11" t="s">
        <v>66</v>
      </c>
      <c r="J20" s="12">
        <v>78599</v>
      </c>
      <c r="K20" s="12"/>
      <c r="L20" s="15"/>
    </row>
    <row r="21" spans="1:13" x14ac:dyDescent="0.2">
      <c r="A21" s="3"/>
      <c r="B21" s="3" t="s">
        <v>71</v>
      </c>
      <c r="C21" s="3" t="s">
        <v>55</v>
      </c>
      <c r="D21" s="3" t="s">
        <v>6</v>
      </c>
      <c r="E21" s="4">
        <v>285788</v>
      </c>
      <c r="F21" s="5">
        <v>44896</v>
      </c>
      <c r="G21" s="16">
        <v>44926</v>
      </c>
      <c r="H21" s="11">
        <v>8472108421</v>
      </c>
      <c r="I21" s="11"/>
      <c r="J21" s="12">
        <v>300077.40000000002</v>
      </c>
      <c r="K21" s="17">
        <v>4880310.78</v>
      </c>
      <c r="L21" s="15"/>
    </row>
    <row r="22" spans="1:13" x14ac:dyDescent="0.2">
      <c r="A22" s="3"/>
      <c r="B22" s="3" t="s">
        <v>71</v>
      </c>
      <c r="C22" s="3" t="s">
        <v>55</v>
      </c>
      <c r="D22" s="3" t="s">
        <v>7</v>
      </c>
      <c r="E22" s="4">
        <v>197836</v>
      </c>
      <c r="F22" s="5">
        <v>44896</v>
      </c>
      <c r="G22" s="16">
        <v>44926</v>
      </c>
      <c r="H22" s="11">
        <v>8472108421</v>
      </c>
      <c r="I22" s="11"/>
      <c r="J22" s="12">
        <v>207727.80000000002</v>
      </c>
      <c r="K22" s="18"/>
      <c r="L22" s="15"/>
    </row>
    <row r="23" spans="1:13" x14ac:dyDescent="0.2">
      <c r="A23" s="3"/>
      <c r="B23" s="3" t="s">
        <v>71</v>
      </c>
      <c r="C23" s="3" t="s">
        <v>55</v>
      </c>
      <c r="D23" s="3" t="s">
        <v>8</v>
      </c>
      <c r="E23" s="4">
        <v>4004109</v>
      </c>
      <c r="F23" s="5">
        <v>44896</v>
      </c>
      <c r="G23" s="16">
        <v>44926</v>
      </c>
      <c r="H23" s="11">
        <v>8472108421</v>
      </c>
      <c r="I23" s="11"/>
      <c r="J23" s="12">
        <v>4204314.45</v>
      </c>
      <c r="K23" s="19"/>
      <c r="L23" s="15"/>
    </row>
    <row r="24" spans="1:13" x14ac:dyDescent="0.2">
      <c r="A24" s="3"/>
      <c r="B24" s="3" t="s">
        <v>71</v>
      </c>
      <c r="C24" s="3" t="s">
        <v>55</v>
      </c>
      <c r="D24" s="3" t="s">
        <v>56</v>
      </c>
      <c r="E24" s="4">
        <v>978758</v>
      </c>
      <c r="F24" s="5">
        <v>44562</v>
      </c>
      <c r="G24" s="16">
        <v>45657</v>
      </c>
      <c r="H24" s="11">
        <v>8472107961</v>
      </c>
      <c r="I24" s="11" t="s">
        <v>72</v>
      </c>
      <c r="J24" s="12">
        <v>978758.44</v>
      </c>
      <c r="K24" s="12">
        <v>978758.44</v>
      </c>
      <c r="L24" s="15"/>
    </row>
    <row r="25" spans="1:13" x14ac:dyDescent="0.2">
      <c r="A25" s="3"/>
      <c r="B25" s="3" t="s">
        <v>71</v>
      </c>
      <c r="C25" s="3" t="s">
        <v>55</v>
      </c>
      <c r="D25" s="3" t="s">
        <v>34</v>
      </c>
      <c r="E25" s="4">
        <v>85308</v>
      </c>
      <c r="F25" s="5">
        <v>44835</v>
      </c>
      <c r="G25" s="16">
        <v>45046</v>
      </c>
      <c r="H25" s="11">
        <v>8472108123</v>
      </c>
      <c r="I25" s="11" t="s">
        <v>72</v>
      </c>
      <c r="J25" s="12">
        <v>85307.75</v>
      </c>
      <c r="K25" s="12">
        <v>85307.75</v>
      </c>
      <c r="L25" s="15"/>
      <c r="M25" s="1" t="s">
        <v>51</v>
      </c>
    </row>
    <row r="26" spans="1:13" x14ac:dyDescent="0.2">
      <c r="A26" s="3"/>
      <c r="B26" s="3" t="s">
        <v>71</v>
      </c>
      <c r="C26" s="3" t="s">
        <v>55</v>
      </c>
      <c r="D26" s="3" t="s">
        <v>35</v>
      </c>
      <c r="E26" s="4">
        <v>254368</v>
      </c>
      <c r="F26" s="5">
        <v>44927</v>
      </c>
      <c r="G26" s="16" t="s">
        <v>27</v>
      </c>
      <c r="H26" s="11">
        <v>8472109236</v>
      </c>
      <c r="I26" s="11" t="s">
        <v>72</v>
      </c>
      <c r="J26" s="12">
        <v>242255.58</v>
      </c>
      <c r="K26" s="12">
        <v>242255.58</v>
      </c>
      <c r="L26" s="15"/>
    </row>
    <row r="27" spans="1:13" x14ac:dyDescent="0.2">
      <c r="A27" s="3"/>
      <c r="B27" s="3" t="s">
        <v>71</v>
      </c>
      <c r="C27" s="3" t="s">
        <v>55</v>
      </c>
      <c r="D27" s="3" t="s">
        <v>18</v>
      </c>
      <c r="E27" s="4">
        <v>124416</v>
      </c>
      <c r="F27" s="5">
        <v>44682</v>
      </c>
      <c r="G27" s="16">
        <v>45046</v>
      </c>
      <c r="H27" s="11">
        <v>8472108078</v>
      </c>
      <c r="I27" s="11" t="s">
        <v>72</v>
      </c>
      <c r="J27" s="12">
        <v>99531.85</v>
      </c>
      <c r="K27" s="12">
        <v>99531.85</v>
      </c>
      <c r="L27" s="15"/>
    </row>
    <row r="28" spans="1:13" x14ac:dyDescent="0.2">
      <c r="A28" s="3"/>
      <c r="B28" s="3" t="s">
        <v>83</v>
      </c>
      <c r="C28" s="3" t="s">
        <v>55</v>
      </c>
      <c r="D28" s="3" t="s">
        <v>62</v>
      </c>
      <c r="E28" s="4">
        <v>29656</v>
      </c>
      <c r="F28" s="5"/>
      <c r="G28" s="16">
        <v>44926</v>
      </c>
      <c r="H28" s="11">
        <v>8472108983</v>
      </c>
      <c r="I28" s="11" t="s">
        <v>66</v>
      </c>
      <c r="J28" s="12">
        <v>38272.5</v>
      </c>
      <c r="K28" s="12">
        <v>38272.5</v>
      </c>
      <c r="L28" s="15"/>
    </row>
    <row r="29" spans="1:13" x14ac:dyDescent="0.2">
      <c r="A29" s="3"/>
      <c r="B29" s="3" t="s">
        <v>71</v>
      </c>
      <c r="C29" s="3" t="s">
        <v>55</v>
      </c>
      <c r="D29" s="3" t="s">
        <v>61</v>
      </c>
      <c r="E29" s="4">
        <v>28247.99</v>
      </c>
      <c r="F29" s="5"/>
      <c r="G29" s="16">
        <v>44926</v>
      </c>
      <c r="H29" s="11">
        <v>8472108568</v>
      </c>
      <c r="I29" s="11" t="s">
        <v>72</v>
      </c>
      <c r="J29" s="12">
        <v>28247.99</v>
      </c>
      <c r="K29" s="12">
        <v>28247.99</v>
      </c>
      <c r="L29" s="15"/>
    </row>
    <row r="30" spans="1:13" x14ac:dyDescent="0.2">
      <c r="A30" s="3">
        <v>11</v>
      </c>
      <c r="B30" s="3" t="s">
        <v>83</v>
      </c>
      <c r="C30" s="3" t="s">
        <v>55</v>
      </c>
      <c r="D30" s="3" t="s">
        <v>9</v>
      </c>
      <c r="E30" s="4">
        <v>133880</v>
      </c>
      <c r="F30" s="5"/>
      <c r="G30" s="16"/>
      <c r="H30" s="11">
        <v>8472108983</v>
      </c>
      <c r="I30" s="11"/>
      <c r="J30" s="12">
        <v>140574</v>
      </c>
      <c r="K30" s="12">
        <v>140574</v>
      </c>
      <c r="L30" s="15"/>
    </row>
    <row r="31" spans="1:13" x14ac:dyDescent="0.2">
      <c r="A31" s="3">
        <v>12</v>
      </c>
      <c r="B31" s="3" t="s">
        <v>73</v>
      </c>
      <c r="C31" s="3" t="s">
        <v>55</v>
      </c>
      <c r="D31" s="3" t="s">
        <v>44</v>
      </c>
      <c r="E31" s="4">
        <v>296620</v>
      </c>
      <c r="F31" s="5">
        <v>44935</v>
      </c>
      <c r="G31" s="16" t="s">
        <v>28</v>
      </c>
      <c r="H31" s="11">
        <v>8472109624</v>
      </c>
      <c r="I31" s="11" t="s">
        <v>66</v>
      </c>
      <c r="J31" s="12">
        <v>80757</v>
      </c>
      <c r="K31" s="12">
        <v>80757</v>
      </c>
      <c r="L31" s="15"/>
    </row>
    <row r="32" spans="1:13" x14ac:dyDescent="0.2">
      <c r="A32" s="3">
        <v>13</v>
      </c>
      <c r="B32" s="3" t="s">
        <v>84</v>
      </c>
      <c r="C32" s="3" t="s">
        <v>55</v>
      </c>
      <c r="D32" s="3" t="s">
        <v>11</v>
      </c>
      <c r="E32" s="4">
        <v>1200858</v>
      </c>
      <c r="F32" s="5">
        <v>44562</v>
      </c>
      <c r="G32" s="16">
        <v>45657</v>
      </c>
      <c r="H32" s="11">
        <v>8472108403</v>
      </c>
      <c r="I32" s="11" t="s">
        <v>66</v>
      </c>
      <c r="J32" s="12">
        <v>306320.15999999997</v>
      </c>
      <c r="K32" s="12">
        <v>991422.21</v>
      </c>
      <c r="L32" s="15"/>
    </row>
    <row r="33" spans="1:12" x14ac:dyDescent="0.2">
      <c r="A33" s="3"/>
      <c r="B33" s="3" t="s">
        <v>84</v>
      </c>
      <c r="C33" s="3" t="s">
        <v>55</v>
      </c>
      <c r="D33" s="3" t="s">
        <v>37</v>
      </c>
      <c r="E33" s="4">
        <v>42240</v>
      </c>
      <c r="F33" s="5">
        <v>44805</v>
      </c>
      <c r="G33" s="16">
        <v>45169</v>
      </c>
      <c r="H33" s="11">
        <v>8472108295</v>
      </c>
      <c r="I33" s="11" t="s">
        <v>66</v>
      </c>
      <c r="J33" s="12">
        <v>11500</v>
      </c>
      <c r="K33" s="12">
        <v>11500</v>
      </c>
      <c r="L33" s="15"/>
    </row>
    <row r="34" spans="1:12" x14ac:dyDescent="0.2">
      <c r="A34" s="3">
        <v>14</v>
      </c>
      <c r="B34" s="3" t="s">
        <v>85</v>
      </c>
      <c r="C34" s="3" t="s">
        <v>55</v>
      </c>
      <c r="D34" s="3" t="s">
        <v>12</v>
      </c>
      <c r="E34" s="4">
        <v>54333</v>
      </c>
      <c r="F34" s="5">
        <v>44633</v>
      </c>
      <c r="G34" s="16">
        <v>44969</v>
      </c>
      <c r="H34" s="11">
        <v>8472108003</v>
      </c>
      <c r="I34" s="11" t="s">
        <v>86</v>
      </c>
      <c r="J34" s="12">
        <v>11340</v>
      </c>
      <c r="K34" s="12">
        <v>11340</v>
      </c>
      <c r="L34" s="15"/>
    </row>
    <row r="35" spans="1:12" x14ac:dyDescent="0.2">
      <c r="A35" s="3">
        <v>15</v>
      </c>
      <c r="B35" s="3" t="s">
        <v>87</v>
      </c>
      <c r="C35" s="3" t="s">
        <v>55</v>
      </c>
      <c r="D35" s="3" t="s">
        <v>13</v>
      </c>
      <c r="E35" s="4">
        <v>15697</v>
      </c>
      <c r="F35" s="5">
        <v>44562</v>
      </c>
      <c r="G35" s="16">
        <v>44926</v>
      </c>
      <c r="H35" s="11">
        <v>8472108005</v>
      </c>
      <c r="I35" s="11" t="s">
        <v>72</v>
      </c>
      <c r="J35" s="12">
        <v>15697</v>
      </c>
      <c r="K35" s="12">
        <v>15697</v>
      </c>
      <c r="L35" s="15"/>
    </row>
    <row r="36" spans="1:12" x14ac:dyDescent="0.2">
      <c r="A36" s="3">
        <v>16</v>
      </c>
      <c r="B36" s="3" t="s">
        <v>88</v>
      </c>
      <c r="C36" s="3" t="s">
        <v>55</v>
      </c>
      <c r="D36" s="3" t="s">
        <v>14</v>
      </c>
      <c r="E36" s="4">
        <v>38316</v>
      </c>
      <c r="F36" s="5">
        <v>44930</v>
      </c>
      <c r="G36" s="16" t="s">
        <v>29</v>
      </c>
      <c r="H36" s="11">
        <v>8472108018</v>
      </c>
      <c r="I36" s="11" t="s">
        <v>66</v>
      </c>
      <c r="J36" s="12">
        <v>10412</v>
      </c>
      <c r="K36" s="12">
        <v>10412</v>
      </c>
      <c r="L36" s="15"/>
    </row>
    <row r="37" spans="1:12" x14ac:dyDescent="0.2">
      <c r="A37" s="3">
        <v>17</v>
      </c>
      <c r="B37" s="3" t="s">
        <v>89</v>
      </c>
      <c r="C37" s="3" t="s">
        <v>55</v>
      </c>
      <c r="D37" s="3" t="s">
        <v>15</v>
      </c>
      <c r="E37" s="4">
        <v>45009</v>
      </c>
      <c r="F37" s="5">
        <v>44805</v>
      </c>
      <c r="G37" s="16">
        <v>45169</v>
      </c>
      <c r="H37" s="11">
        <v>8472108007</v>
      </c>
      <c r="I37" s="11" t="s">
        <v>72</v>
      </c>
      <c r="J37" s="12">
        <v>45009</v>
      </c>
      <c r="K37" s="12">
        <v>45009</v>
      </c>
      <c r="L37" s="15"/>
    </row>
    <row r="38" spans="1:12" x14ac:dyDescent="0.2">
      <c r="A38" s="3">
        <v>18</v>
      </c>
      <c r="B38" s="3" t="s">
        <v>90</v>
      </c>
      <c r="C38" s="3" t="s">
        <v>55</v>
      </c>
      <c r="D38" s="3" t="s">
        <v>17</v>
      </c>
      <c r="E38" s="4">
        <v>25687</v>
      </c>
      <c r="F38" s="5">
        <v>44864</v>
      </c>
      <c r="G38" s="16">
        <v>45228</v>
      </c>
      <c r="H38" s="11">
        <v>8472108183</v>
      </c>
      <c r="I38" s="11" t="s">
        <v>66</v>
      </c>
      <c r="J38" s="12">
        <v>6795.69</v>
      </c>
      <c r="K38" s="12">
        <v>6795.69</v>
      </c>
      <c r="L38" s="15"/>
    </row>
    <row r="39" spans="1:12" x14ac:dyDescent="0.2">
      <c r="A39" s="3">
        <v>19</v>
      </c>
      <c r="B39" s="3" t="s">
        <v>91</v>
      </c>
      <c r="C39" s="3" t="s">
        <v>55</v>
      </c>
      <c r="D39" s="3" t="s">
        <v>19</v>
      </c>
      <c r="E39" s="4">
        <v>92927</v>
      </c>
      <c r="F39" s="5">
        <v>44733</v>
      </c>
      <c r="G39" s="16">
        <v>45828</v>
      </c>
      <c r="H39" s="11">
        <v>8472108108</v>
      </c>
      <c r="I39" s="11" t="s">
        <v>66</v>
      </c>
      <c r="J39" s="12">
        <v>25300</v>
      </c>
      <c r="K39" s="12">
        <v>25300</v>
      </c>
      <c r="L39" s="15"/>
    </row>
    <row r="40" spans="1:12" x14ac:dyDescent="0.2">
      <c r="A40" s="3">
        <v>20</v>
      </c>
      <c r="B40" s="3" t="s">
        <v>92</v>
      </c>
      <c r="C40" s="3" t="s">
        <v>55</v>
      </c>
      <c r="D40" s="3" t="s">
        <v>20</v>
      </c>
      <c r="E40" s="4">
        <v>52524</v>
      </c>
      <c r="F40" s="5">
        <v>44805</v>
      </c>
      <c r="G40" s="16">
        <v>45169</v>
      </c>
      <c r="H40" s="11">
        <v>8472108221</v>
      </c>
      <c r="I40" s="11" t="s">
        <v>66</v>
      </c>
      <c r="J40" s="12">
        <v>14300</v>
      </c>
      <c r="K40" s="12">
        <v>14300</v>
      </c>
      <c r="L40" s="15"/>
    </row>
    <row r="41" spans="1:12" x14ac:dyDescent="0.2">
      <c r="A41" s="3">
        <v>21</v>
      </c>
      <c r="B41" s="3" t="s">
        <v>79</v>
      </c>
      <c r="C41" s="3" t="s">
        <v>55</v>
      </c>
      <c r="D41" s="3" t="s">
        <v>21</v>
      </c>
      <c r="E41" s="4">
        <v>53038</v>
      </c>
      <c r="F41" s="5">
        <v>44743</v>
      </c>
      <c r="G41" s="16">
        <v>45107</v>
      </c>
      <c r="H41" s="11">
        <v>8472108351</v>
      </c>
      <c r="I41" s="11" t="s">
        <v>66</v>
      </c>
      <c r="J41" s="12">
        <v>55689.9</v>
      </c>
      <c r="K41" s="12">
        <v>55689.9</v>
      </c>
      <c r="L41" s="15"/>
    </row>
    <row r="42" spans="1:12" x14ac:dyDescent="0.2">
      <c r="A42" s="3">
        <v>22</v>
      </c>
      <c r="B42" s="3" t="s">
        <v>93</v>
      </c>
      <c r="C42" s="3" t="s">
        <v>55</v>
      </c>
      <c r="D42" s="3" t="s">
        <v>22</v>
      </c>
      <c r="E42" s="4">
        <v>15592</v>
      </c>
      <c r="F42" s="5">
        <v>44805</v>
      </c>
      <c r="G42" s="16">
        <v>45169</v>
      </c>
      <c r="H42" s="11">
        <v>8472108305</v>
      </c>
      <c r="I42" s="11" t="s">
        <v>66</v>
      </c>
      <c r="J42" s="12">
        <v>4245</v>
      </c>
      <c r="K42" s="12">
        <v>4245</v>
      </c>
      <c r="L42" s="15"/>
    </row>
    <row r="43" spans="1:12" x14ac:dyDescent="0.2">
      <c r="A43" s="3">
        <v>23</v>
      </c>
      <c r="B43" s="3" t="s">
        <v>95</v>
      </c>
      <c r="C43" s="3" t="s">
        <v>55</v>
      </c>
      <c r="D43" s="3" t="s">
        <v>38</v>
      </c>
      <c r="E43" s="4">
        <v>1101200</v>
      </c>
      <c r="F43" s="5">
        <v>44927</v>
      </c>
      <c r="G43" s="16"/>
      <c r="H43" s="11">
        <v>8472109534</v>
      </c>
      <c r="I43" s="11" t="s">
        <v>66</v>
      </c>
      <c r="J43" s="12">
        <v>30000</v>
      </c>
      <c r="K43" s="12">
        <v>30000</v>
      </c>
      <c r="L43" s="15"/>
    </row>
    <row r="44" spans="1:12" x14ac:dyDescent="0.2">
      <c r="A44" s="3">
        <v>24</v>
      </c>
      <c r="B44" s="3" t="s">
        <v>94</v>
      </c>
      <c r="C44" s="3" t="s">
        <v>55</v>
      </c>
      <c r="D44" s="3" t="s">
        <v>45</v>
      </c>
      <c r="E44" s="4">
        <v>10000</v>
      </c>
      <c r="F44" s="5">
        <v>44896</v>
      </c>
      <c r="G44" s="16">
        <v>45260</v>
      </c>
      <c r="H44" s="11">
        <v>8472108761</v>
      </c>
      <c r="I44" s="11" t="s">
        <v>66</v>
      </c>
      <c r="J44" s="12">
        <v>2585</v>
      </c>
      <c r="K44" s="12">
        <v>2585</v>
      </c>
      <c r="L44" s="15"/>
    </row>
  </sheetData>
  <mergeCells count="2">
    <mergeCell ref="A1:K1"/>
    <mergeCell ref="K21:K23"/>
  </mergeCells>
  <hyperlinks>
    <hyperlink ref="B7" r:id="rId1" tooltip="KNOWLEDGE E DMCC" display="https://aderp.dof.abudhabi.ae/OA_HTML/OA.jsp?OAFunc=PO_HTML_VIEW_SUPPLIER_DETAILS&amp;vendorName=%7B!!BEhTMTucXAhOOgDKOeYWSiVvyWpGNok374Veo16xs4g%7D&amp;vendorSiteId=%7B!!KV1TF0VlzvpXWHzuL9uvqQ%7D&amp;vendorContactId=%7B!!u9Iz0r.qV5yx-5iaCYuljg%7D&amp;retainAM=Y&amp;addBreadCrumb=Y&amp;_ti=1478996022&amp;oapc=47&amp;oas=Tvd0JlTphyE2oQQNxqy5tQ.."/>
    <hyperlink ref="B20" r:id="rId2" tooltip="PROQUEST LLC" display="https://aderp.dof.abudhabi.ae/OA_HTML/OA.jsp?OAFunc=PO_HTML_VIEW_SUPPLIER_DETAILS&amp;vendorName=%7B!!mUYT0T0zaVNSyxqc4pBAWw%7D&amp;vendorSiteId=%7B!!wZ5tIZR.OjAje4VfyqUvxA%7D&amp;vendorContactId=%7B!!-gU5fzXkY25bCfwoLnCgnA%7D&amp;retainAM=Y&amp;addBreadCrumb=Y&amp;_ti=1622885084&amp;oapc=85&amp;oas=AOVHIDDI4sArkRLif_L8_w.."/>
  </hyperlinks>
  <pageMargins left="0.7" right="0.7" top="0.75" bottom="0.75" header="0.3" footer="0.3"/>
  <pageSetup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 Anand</dc:creator>
  <cp:lastModifiedBy>Shiju Badarudeen</cp:lastModifiedBy>
  <dcterms:created xsi:type="dcterms:W3CDTF">2022-05-17T13:06:20Z</dcterms:created>
  <dcterms:modified xsi:type="dcterms:W3CDTF">2023-02-22T09:54:00Z</dcterms:modified>
</cp:coreProperties>
</file>