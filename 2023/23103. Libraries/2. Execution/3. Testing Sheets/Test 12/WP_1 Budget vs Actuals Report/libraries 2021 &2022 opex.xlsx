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260" windowHeight="11940" activeTab="1"/>
  </bookViews>
  <sheets>
    <sheet name="libraries opex 2021" sheetId="1" r:id="rId1"/>
    <sheet name="opex 2022" sheetId="2" r:id="rId2"/>
  </sheets>
  <calcPr calcId="162913"/>
</workbook>
</file>

<file path=xl/calcChain.xml><?xml version="1.0" encoding="utf-8"?>
<calcChain xmlns="http://schemas.openxmlformats.org/spreadsheetml/2006/main">
  <c r="O6" i="2" l="1"/>
</calcChain>
</file>

<file path=xl/sharedStrings.xml><?xml version="1.0" encoding="utf-8"?>
<sst xmlns="http://schemas.openxmlformats.org/spreadsheetml/2006/main" count="72" uniqueCount="38">
  <si>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</si>
  <si>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</si>
  <si>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</si>
  <si>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</si>
  <si>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</si>
  <si>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</si>
  <si>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</si>
  <si>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</si>
  <si>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</si>
  <si>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</si>
  <si>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</si>
  <si>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</si>
  <si>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</si>
  <si>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</si>
  <si>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</si>
  <si>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8471270</t>
  </si>
  <si>
    <t>KUST - Libraries</t>
  </si>
  <si>
    <t>435310</t>
  </si>
  <si>
    <t>Newspapers, magazines, journals, etc</t>
  </si>
  <si>
    <t>847.8471270.1.435310.000000.847001.200179</t>
  </si>
  <si>
    <t>435330</t>
  </si>
  <si>
    <t>Library books</t>
  </si>
  <si>
    <t>847.8471270.1.435330.000000.847001.200179</t>
  </si>
  <si>
    <t>436120</t>
  </si>
  <si>
    <t>Stationery</t>
  </si>
  <si>
    <t>847.8471270.1.436120.000000.847001.200179</t>
  </si>
  <si>
    <t>8471270 Total</t>
  </si>
  <si>
    <t>Grand Total</t>
  </si>
  <si>
    <t>847.8471270.1.436110.000000.847001.200179</t>
  </si>
  <si>
    <t>Printing supplies</t>
  </si>
  <si>
    <t>436110</t>
  </si>
  <si>
    <t>847.8471270.1.428090.000000.847001.200179</t>
  </si>
  <si>
    <t>Business Travel - Combined expenses</t>
  </si>
  <si>
    <t>428090</t>
  </si>
  <si>
    <t>847.8471270.1.425900.000000.847001.200179</t>
  </si>
  <si>
    <t>Entertainment and hospitality</t>
  </si>
  <si>
    <t>425900</t>
  </si>
  <si>
    <t>% 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</si>
</sst>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showGridLines="0" workbookViewId="0">
      <selection activeCell="D4" sqref="D4"/>
    </sheetView>
  </sheetViews>
  <sheetFormatPr defaultRowHeight="14.5" x14ac:dyDescent="0.35"/>
  <cols>
    <col min="1" max="1" width="24" customWidth="1"/>
    <col min="2" max="2" width="7.26953125" customWidth="1"/>
    <col min="3" max="3" width="9" customWidth="1"/>
    <col min="4" max="4" width="6.81640625" customWidth="1"/>
    <col min="5" max="5" width="10.26953125" customWidth="1"/>
    <col min="6" max="6" width="33.54296875" customWidth="1"/>
    <col min="7" max="9" width="9" customWidth="1"/>
    <col min="10" max="10" width="3.453125" customWidth="1"/>
    <col min="11" max="11" width="3.54296875" customWidth="1"/>
    <col min="12" max="12" width="7.54296875" customWidth="1"/>
    <col min="13" max="13" width="0.7265625" customWidth="1"/>
  </cols>
  <sheetData>
    <row r="1" spans="1:12" x14ac:dyDescent="0.35">
      <c r="A1" s="1" t="s">
        <v>0</v>
      </c>
    </row>
    <row r="2" spans="1:12" x14ac:dyDescent="0.35">
      <c r="A2" s="2" t="s">
        <v>1</v>
      </c>
    </row>
    <row r="3" spans="1:12" ht="31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1.5" x14ac:dyDescent="0.35">
      <c r="A4" s="1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227</v>
      </c>
      <c r="H4" s="5">
        <v>227</v>
      </c>
      <c r="I4" s="5">
        <v>-8404.76</v>
      </c>
      <c r="J4" s="6"/>
      <c r="K4" s="6"/>
      <c r="L4" s="5">
        <v>8631.76</v>
      </c>
    </row>
    <row r="5" spans="1:12" ht="21" x14ac:dyDescent="0.35">
      <c r="A5" s="14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12960003</v>
      </c>
      <c r="H5" s="5">
        <v>13400003</v>
      </c>
      <c r="I5" s="5">
        <v>13236762.58</v>
      </c>
      <c r="J5" s="5">
        <v>-4.0745362639427201E-10</v>
      </c>
      <c r="K5" s="5">
        <v>-2.23517418115882E-10</v>
      </c>
      <c r="L5" s="5">
        <v>163240.42000000199</v>
      </c>
    </row>
    <row r="6" spans="1:12" ht="21" x14ac:dyDescent="0.35">
      <c r="A6" s="14"/>
      <c r="B6" s="4" t="s">
        <v>15</v>
      </c>
      <c r="C6" s="4" t="s">
        <v>16</v>
      </c>
      <c r="D6" s="4" t="s">
        <v>23</v>
      </c>
      <c r="E6" s="4" t="s">
        <v>24</v>
      </c>
      <c r="F6" s="4" t="s">
        <v>25</v>
      </c>
      <c r="G6" s="5">
        <v>0</v>
      </c>
      <c r="H6" s="5">
        <v>0</v>
      </c>
      <c r="I6" s="6"/>
      <c r="J6" s="6"/>
      <c r="K6" s="6"/>
      <c r="L6" s="5">
        <v>0</v>
      </c>
    </row>
    <row r="7" spans="1:12" ht="21" x14ac:dyDescent="0.35">
      <c r="A7" s="15"/>
      <c r="B7" s="7" t="s">
        <v>26</v>
      </c>
      <c r="C7" s="8"/>
      <c r="D7" s="8"/>
      <c r="E7" s="8"/>
      <c r="F7" s="8"/>
      <c r="G7" s="9">
        <v>12960230</v>
      </c>
      <c r="H7" s="9">
        <v>13400230</v>
      </c>
      <c r="I7" s="9">
        <v>13228357.82</v>
      </c>
      <c r="J7" s="9">
        <v>-4.0745362639427201E-10</v>
      </c>
      <c r="K7" s="9">
        <v>-2.23517418115882E-10</v>
      </c>
      <c r="L7" s="9">
        <v>171872.180000002</v>
      </c>
    </row>
    <row r="8" spans="1:12" x14ac:dyDescent="0.35">
      <c r="A8" s="10" t="s">
        <v>27</v>
      </c>
      <c r="B8" s="11"/>
      <c r="C8" s="11"/>
      <c r="D8" s="11"/>
      <c r="E8" s="11"/>
      <c r="F8" s="11"/>
      <c r="G8" s="12">
        <v>12960230</v>
      </c>
      <c r="H8" s="12">
        <v>13400230</v>
      </c>
      <c r="I8" s="12">
        <v>13228357.82</v>
      </c>
      <c r="J8" s="12">
        <v>-4.0745362639427201E-10</v>
      </c>
      <c r="K8" s="12">
        <v>-2.23517418115882E-10</v>
      </c>
      <c r="L8" s="12">
        <v>171872.180000002</v>
      </c>
    </row>
    <row r="9" spans="1:12" x14ac:dyDescent="0.35">
      <c r="A9" s="2" t="s">
        <v>1</v>
      </c>
    </row>
  </sheetData>
  <mergeCells count="1">
    <mergeCell ref="A4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showGridLines="0" tabSelected="1" workbookViewId="0">
      <selection activeCell="E7" sqref="E7"/>
    </sheetView>
  </sheetViews>
  <sheetFormatPr defaultRowHeight="14.5" x14ac:dyDescent="0.35"/>
  <cols>
    <col min="1" max="1" width="24" customWidth="1"/>
    <col min="2" max="2" width="7.26953125" customWidth="1"/>
    <col min="3" max="3" width="9" customWidth="1"/>
    <col min="4" max="4" width="6.81640625" customWidth="1"/>
    <col min="5" max="5" width="10.81640625" customWidth="1"/>
    <col min="6" max="6" width="33.54296875" customWidth="1"/>
    <col min="7" max="9" width="9" customWidth="1"/>
    <col min="10" max="10" width="3.453125" customWidth="1"/>
    <col min="11" max="11" width="3.54296875" customWidth="1"/>
    <col min="12" max="12" width="7.54296875" customWidth="1"/>
    <col min="13" max="13" width="0.7265625" customWidth="1"/>
  </cols>
  <sheetData>
    <row r="1" spans="1:15" x14ac:dyDescent="0.35">
      <c r="A1" s="1" t="s">
        <v>0</v>
      </c>
    </row>
    <row r="2" spans="1:15" x14ac:dyDescent="0.35">
      <c r="A2" s="2" t="s">
        <v>1</v>
      </c>
    </row>
    <row r="3" spans="1:15" ht="31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5" ht="21" x14ac:dyDescent="0.35">
      <c r="A4" s="13" t="s">
        <v>14</v>
      </c>
      <c r="B4" s="4" t="s">
        <v>15</v>
      </c>
      <c r="C4" s="4" t="s">
        <v>16</v>
      </c>
      <c r="D4" s="4" t="s">
        <v>36</v>
      </c>
      <c r="E4" s="4" t="s">
        <v>35</v>
      </c>
      <c r="F4" s="4" t="s">
        <v>34</v>
      </c>
      <c r="G4" s="5">
        <v>50000</v>
      </c>
      <c r="H4" s="5">
        <v>5962</v>
      </c>
      <c r="I4" s="5">
        <v>2961</v>
      </c>
      <c r="J4" s="6"/>
      <c r="K4" s="6"/>
      <c r="L4" s="5">
        <v>3001</v>
      </c>
    </row>
    <row r="5" spans="1:15" ht="31.5" x14ac:dyDescent="0.35">
      <c r="A5" s="14"/>
      <c r="B5" s="4" t="s">
        <v>15</v>
      </c>
      <c r="C5" s="4" t="s">
        <v>16</v>
      </c>
      <c r="D5" s="4" t="s">
        <v>33</v>
      </c>
      <c r="E5" s="4" t="s">
        <v>32</v>
      </c>
      <c r="F5" s="4" t="s">
        <v>31</v>
      </c>
      <c r="G5" s="5">
        <v>300000</v>
      </c>
      <c r="H5" s="5">
        <v>21738</v>
      </c>
      <c r="I5" s="6"/>
      <c r="J5" s="6"/>
      <c r="K5" s="6"/>
      <c r="L5" s="5">
        <v>21738</v>
      </c>
      <c r="O5" t="s">
        <v>37</v>
      </c>
    </row>
    <row r="6" spans="1:15" ht="21" x14ac:dyDescent="0.35">
      <c r="A6" s="14"/>
      <c r="B6" s="4" t="s">
        <v>15</v>
      </c>
      <c r="C6" s="4" t="s">
        <v>16</v>
      </c>
      <c r="D6" s="4" t="s">
        <v>20</v>
      </c>
      <c r="E6" s="4" t="s">
        <v>21</v>
      </c>
      <c r="F6" s="4" t="s">
        <v>22</v>
      </c>
      <c r="G6" s="5">
        <v>15199430</v>
      </c>
      <c r="H6" s="5">
        <v>14545206</v>
      </c>
      <c r="I6" s="5">
        <v>14192334.699999999</v>
      </c>
      <c r="J6" s="5">
        <v>4.65661287307739E-10</v>
      </c>
      <c r="K6" s="5">
        <v>-4.65661287307739E-10</v>
      </c>
      <c r="L6" s="5">
        <v>352871.29999999399</v>
      </c>
      <c r="O6" s="16">
        <f>I6/H6</f>
        <v>0.97573968357684304</v>
      </c>
    </row>
    <row r="7" spans="1:15" ht="21" x14ac:dyDescent="0.35">
      <c r="A7" s="14"/>
      <c r="B7" s="4" t="s">
        <v>15</v>
      </c>
      <c r="C7" s="4" t="s">
        <v>16</v>
      </c>
      <c r="D7" s="4" t="s">
        <v>30</v>
      </c>
      <c r="E7" s="4" t="s">
        <v>29</v>
      </c>
      <c r="F7" s="4" t="s">
        <v>28</v>
      </c>
      <c r="G7" s="5">
        <v>50000</v>
      </c>
      <c r="H7" s="5">
        <v>0</v>
      </c>
      <c r="I7" s="6"/>
      <c r="J7" s="6"/>
      <c r="K7" s="6"/>
      <c r="L7" s="5">
        <v>0</v>
      </c>
    </row>
    <row r="8" spans="1:15" ht="21" x14ac:dyDescent="0.35">
      <c r="A8" s="15"/>
      <c r="B8" s="7" t="s">
        <v>26</v>
      </c>
      <c r="C8" s="8"/>
      <c r="D8" s="8"/>
      <c r="E8" s="8"/>
      <c r="F8" s="8"/>
      <c r="G8" s="9">
        <v>15599430</v>
      </c>
      <c r="H8" s="9">
        <v>14572906</v>
      </c>
      <c r="I8" s="9">
        <v>14195295.699999999</v>
      </c>
      <c r="J8" s="9">
        <v>4.65661287307739E-10</v>
      </c>
      <c r="K8" s="9">
        <v>-4.65661287307739E-10</v>
      </c>
      <c r="L8" s="9">
        <v>377610.29999999399</v>
      </c>
    </row>
    <row r="9" spans="1:15" x14ac:dyDescent="0.35">
      <c r="A9" s="10" t="s">
        <v>27</v>
      </c>
      <c r="B9" s="11"/>
      <c r="C9" s="11"/>
      <c r="D9" s="11"/>
      <c r="E9" s="11"/>
      <c r="F9" s="11"/>
      <c r="G9" s="12">
        <v>15599430</v>
      </c>
      <c r="H9" s="12">
        <v>14572906</v>
      </c>
      <c r="I9" s="12">
        <v>14195295.699999999</v>
      </c>
      <c r="J9" s="12">
        <v>4.65661287307739E-10</v>
      </c>
      <c r="K9" s="12">
        <v>-4.65661287307739E-10</v>
      </c>
      <c r="L9" s="12">
        <v>377610.29999999399</v>
      </c>
    </row>
    <row r="10" spans="1:15" x14ac:dyDescent="0.35">
      <c r="A10" s="2" t="s">
        <v>1</v>
      </c>
    </row>
  </sheetData>
  <mergeCells count="1">
    <mergeCell ref="A4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libraries opex 2021</vt:lpstr>
      <vt:lpstr>opex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2023-02-01T06:38:58Z</dcterms:created>
  <dcterms:modified xsi:type="dcterms:W3CDTF">2023-02-09T09:43:24Z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